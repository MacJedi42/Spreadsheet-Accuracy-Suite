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0" yWindow="75" windowWidth="14985" windowHeight="14025" tabRatio="740"/>
  </bookViews>
  <sheets>
    <sheet name="Worksheet Instructions" sheetId="24" r:id="rId1"/>
    <sheet name="Template" sheetId="7" r:id="rId2"/>
    <sheet name="Figures 1,2,4-Weighted" sheetId="23" r:id="rId3"/>
    <sheet name="Report Figures 1,3,5,6" sheetId="25" r:id="rId4"/>
    <sheet name="1-Download" sheetId="14" r:id="rId5"/>
    <sheet name="2-ID Study Revenues" sheetId="19" r:id="rId6"/>
    <sheet name="3-Study Revenues" sheetId="20" r:id="rId7"/>
    <sheet name="4-Districts Less Charters" sheetId="17" r:id="rId8"/>
    <sheet name="5-Charters" sheetId="18" r:id="rId9"/>
    <sheet name="6-Enrollment" sheetId="21" r:id="rId10"/>
    <sheet name="7-Charter Enrollment DOE Files" sheetId="16" r:id="rId11"/>
  </sheets>
  <externalReferences>
    <externalReference r:id="rId12"/>
    <externalReference r:id="rId13"/>
    <externalReference r:id="rId14"/>
  </externalReferences>
  <definedNames>
    <definedName name="_xlnm.Print_Area" localSheetId="8">'5-Charters'!$K$7:$Q$44</definedName>
    <definedName name="_xlnm.Print_Area" localSheetId="9">'6-Enrollment'!$A$7:$B$100</definedName>
    <definedName name="_xlnm.Print_Area" localSheetId="10">'7-Charter Enrollment DOE Files'!$A$3:$R$48</definedName>
    <definedName name="_xlnm.Print_Area" localSheetId="0">'Worksheet Instructions'!$B$1:$B$20</definedName>
  </definedNames>
  <calcPr calcId="125725"/>
</workbook>
</file>

<file path=xl/calcChain.xml><?xml version="1.0" encoding="utf-8"?>
<calcChain xmlns="http://schemas.openxmlformats.org/spreadsheetml/2006/main">
  <c r="J104" i="18"/>
  <c r="H199"/>
  <c r="H200"/>
  <c r="H201"/>
  <c r="H202"/>
  <c r="I204"/>
  <c r="I202"/>
  <c r="I199"/>
  <c r="I200"/>
  <c r="I201"/>
  <c r="P65" i="23"/>
  <c r="P63"/>
  <c r="O63"/>
  <c r="N63"/>
  <c r="M63"/>
  <c r="L63"/>
  <c r="T63" s="1"/>
  <c r="P62"/>
  <c r="O62"/>
  <c r="N62"/>
  <c r="M62"/>
  <c r="L62"/>
  <c r="P61"/>
  <c r="C37"/>
  <c r="I36"/>
  <c r="H36"/>
  <c r="E32"/>
  <c r="E31"/>
  <c r="E30"/>
  <c r="E29"/>
  <c r="E28"/>
  <c r="B25"/>
  <c r="F24"/>
  <c r="F26" s="1"/>
  <c r="F22"/>
  <c r="B22"/>
  <c r="B23" s="1"/>
  <c r="B20"/>
  <c r="N19"/>
  <c r="M19"/>
  <c r="L19"/>
  <c r="F18"/>
  <c r="B18"/>
  <c r="B19" s="1"/>
  <c r="F16"/>
  <c r="F17" s="1"/>
  <c r="B16"/>
  <c r="B36" s="1"/>
  <c r="E14"/>
  <c r="D14"/>
  <c r="D32" s="1"/>
  <c r="F13"/>
  <c r="E13"/>
  <c r="T13" s="1"/>
  <c r="G12"/>
  <c r="O65" s="1"/>
  <c r="F12"/>
  <c r="O64" s="1"/>
  <c r="E12"/>
  <c r="B12"/>
  <c r="G11"/>
  <c r="N65" s="1"/>
  <c r="F11"/>
  <c r="E11"/>
  <c r="B11"/>
  <c r="N61" s="1"/>
  <c r="G10"/>
  <c r="M65" s="1"/>
  <c r="F10"/>
  <c r="M64" s="1"/>
  <c r="E10"/>
  <c r="B10"/>
  <c r="G9"/>
  <c r="G14" s="1"/>
  <c r="G32" s="1"/>
  <c r="F9"/>
  <c r="E9"/>
  <c r="B9"/>
  <c r="L61" s="1"/>
  <c r="F5"/>
  <c r="M20" s="1"/>
  <c r="B5"/>
  <c r="M18" s="1"/>
  <c r="F4"/>
  <c r="L20" s="1"/>
  <c r="B4"/>
  <c r="L18" s="1"/>
  <c r="J60" i="18"/>
  <c r="J74"/>
  <c r="J81"/>
  <c r="J88"/>
  <c r="J95"/>
  <c r="J130"/>
  <c r="J142"/>
  <c r="J149"/>
  <c r="J156"/>
  <c r="J169"/>
  <c r="J195"/>
  <c r="J182"/>
  <c r="AY226" i="20"/>
  <c r="K38" i="18"/>
  <c r="R50" i="16"/>
  <c r="X48"/>
  <c r="V48"/>
  <c r="T48"/>
  <c r="X46"/>
  <c r="T46"/>
  <c r="V46" s="1"/>
  <c r="U45"/>
  <c r="X44"/>
  <c r="T44"/>
  <c r="V44" s="1"/>
  <c r="X43"/>
  <c r="V43"/>
  <c r="T43"/>
  <c r="X42"/>
  <c r="T42"/>
  <c r="V42" s="1"/>
  <c r="X40"/>
  <c r="V40"/>
  <c r="T40"/>
  <c r="X38"/>
  <c r="T38"/>
  <c r="V38" s="1"/>
  <c r="X36"/>
  <c r="V36"/>
  <c r="T36"/>
  <c r="X34"/>
  <c r="T34"/>
  <c r="V34" s="1"/>
  <c r="X33"/>
  <c r="V33"/>
  <c r="T33"/>
  <c r="X32"/>
  <c r="T32"/>
  <c r="V32" s="1"/>
  <c r="X31"/>
  <c r="V31"/>
  <c r="T31"/>
  <c r="X30"/>
  <c r="T30"/>
  <c r="V30" s="1"/>
  <c r="X29"/>
  <c r="V29"/>
  <c r="T29"/>
  <c r="X28"/>
  <c r="T28"/>
  <c r="V28" s="1"/>
  <c r="X26"/>
  <c r="V26"/>
  <c r="T26"/>
  <c r="X24"/>
  <c r="T24"/>
  <c r="V24" s="1"/>
  <c r="X22"/>
  <c r="V22"/>
  <c r="T22"/>
  <c r="X20"/>
  <c r="T20"/>
  <c r="V20" s="1"/>
  <c r="X18"/>
  <c r="V18"/>
  <c r="T18"/>
  <c r="X16"/>
  <c r="T16"/>
  <c r="V16" s="1"/>
  <c r="X15"/>
  <c r="V15"/>
  <c r="T15"/>
  <c r="X14"/>
  <c r="T14"/>
  <c r="V14" s="1"/>
  <c r="X13"/>
  <c r="V13"/>
  <c r="T13"/>
  <c r="X12"/>
  <c r="T12"/>
  <c r="V12" s="1"/>
  <c r="X11"/>
  <c r="V11"/>
  <c r="T11"/>
  <c r="X9"/>
  <c r="T9"/>
  <c r="V9" s="1"/>
  <c r="X8"/>
  <c r="V8"/>
  <c r="T8"/>
  <c r="X7"/>
  <c r="T7"/>
  <c r="V7" s="1"/>
  <c r="F23" i="23" l="1"/>
  <c r="B6"/>
  <c r="T9"/>
  <c r="T11"/>
  <c r="F14"/>
  <c r="F30" s="1"/>
  <c r="B17"/>
  <c r="F19"/>
  <c r="F25"/>
  <c r="G28"/>
  <c r="D29"/>
  <c r="F29"/>
  <c r="G30"/>
  <c r="D31"/>
  <c r="F31"/>
  <c r="F36"/>
  <c r="M61"/>
  <c r="M69" s="1"/>
  <c r="O61"/>
  <c r="O69" s="1"/>
  <c r="L64"/>
  <c r="N64"/>
  <c r="N69" s="1"/>
  <c r="P64"/>
  <c r="P69" s="1"/>
  <c r="L65"/>
  <c r="T65" s="1"/>
  <c r="F6"/>
  <c r="T10"/>
  <c r="T12"/>
  <c r="B14"/>
  <c r="B32" s="1"/>
  <c r="D28"/>
  <c r="G29"/>
  <c r="D30"/>
  <c r="G31"/>
  <c r="M33" i="18"/>
  <c r="L33"/>
  <c r="G103"/>
  <c r="G102"/>
  <c r="G101"/>
  <c r="G100"/>
  <c r="G99"/>
  <c r="F103"/>
  <c r="H103" s="1"/>
  <c r="F102"/>
  <c r="F101"/>
  <c r="H101" s="1"/>
  <c r="F100"/>
  <c r="H100" s="1"/>
  <c r="F99"/>
  <c r="H102"/>
  <c r="B98"/>
  <c r="L14"/>
  <c r="M13"/>
  <c r="M12"/>
  <c r="M11"/>
  <c r="D191"/>
  <c r="D178"/>
  <c r="D165"/>
  <c r="D145"/>
  <c r="D138"/>
  <c r="G195"/>
  <c r="F195"/>
  <c r="H195" s="1"/>
  <c r="H194"/>
  <c r="H193"/>
  <c r="H192"/>
  <c r="H191"/>
  <c r="H190"/>
  <c r="G182"/>
  <c r="F182"/>
  <c r="H181"/>
  <c r="H180"/>
  <c r="H179"/>
  <c r="H178"/>
  <c r="H177"/>
  <c r="I182" s="1"/>
  <c r="B177" s="1"/>
  <c r="G169"/>
  <c r="F169"/>
  <c r="H168"/>
  <c r="H167"/>
  <c r="H166"/>
  <c r="H165"/>
  <c r="H164"/>
  <c r="B151"/>
  <c r="D152" s="1"/>
  <c r="G155"/>
  <c r="G154"/>
  <c r="G153"/>
  <c r="G152"/>
  <c r="G156" s="1"/>
  <c r="G151"/>
  <c r="F155"/>
  <c r="H155" s="1"/>
  <c r="F154"/>
  <c r="F153"/>
  <c r="F152"/>
  <c r="F151"/>
  <c r="F156" s="1"/>
  <c r="H154"/>
  <c r="H153"/>
  <c r="H152"/>
  <c r="H151"/>
  <c r="G149"/>
  <c r="F149"/>
  <c r="H149" s="1"/>
  <c r="H148"/>
  <c r="H147"/>
  <c r="H146"/>
  <c r="H145"/>
  <c r="H144"/>
  <c r="G142"/>
  <c r="F142"/>
  <c r="H141"/>
  <c r="H140"/>
  <c r="H139"/>
  <c r="H138"/>
  <c r="H137"/>
  <c r="I142" s="1"/>
  <c r="B137" s="1"/>
  <c r="F129"/>
  <c r="B130"/>
  <c r="M9" s="1"/>
  <c r="G130"/>
  <c r="F130"/>
  <c r="H130" s="1"/>
  <c r="H129"/>
  <c r="H128"/>
  <c r="H127"/>
  <c r="H126"/>
  <c r="H125"/>
  <c r="B107"/>
  <c r="Q47" i="21" s="1"/>
  <c r="R47" s="1"/>
  <c r="G111" i="18"/>
  <c r="G110"/>
  <c r="G109"/>
  <c r="G108"/>
  <c r="G112" s="1"/>
  <c r="G107"/>
  <c r="F111"/>
  <c r="F110"/>
  <c r="F109"/>
  <c r="H109" s="1"/>
  <c r="AY231" i="17" s="1"/>
  <c r="F108" i="18"/>
  <c r="F107"/>
  <c r="H107" s="1"/>
  <c r="AY18" i="17" s="1"/>
  <c r="D91" i="18"/>
  <c r="G95"/>
  <c r="F95"/>
  <c r="H94"/>
  <c r="H93"/>
  <c r="H92"/>
  <c r="H91"/>
  <c r="H90"/>
  <c r="D84"/>
  <c r="G88"/>
  <c r="F88"/>
  <c r="H87"/>
  <c r="H86"/>
  <c r="H85"/>
  <c r="H84"/>
  <c r="H83"/>
  <c r="D77"/>
  <c r="D70"/>
  <c r="D63"/>
  <c r="G81"/>
  <c r="F81"/>
  <c r="H80"/>
  <c r="H79"/>
  <c r="H78"/>
  <c r="H77"/>
  <c r="H76"/>
  <c r="G74"/>
  <c r="F74"/>
  <c r="H73"/>
  <c r="H72"/>
  <c r="H71"/>
  <c r="H70"/>
  <c r="H69"/>
  <c r="D56"/>
  <c r="G67"/>
  <c r="F67"/>
  <c r="H66"/>
  <c r="H65"/>
  <c r="N38" s="1"/>
  <c r="H64"/>
  <c r="N37" s="1"/>
  <c r="H63"/>
  <c r="N36" s="1"/>
  <c r="H62"/>
  <c r="H57"/>
  <c r="H59"/>
  <c r="H58"/>
  <c r="H56"/>
  <c r="H55"/>
  <c r="G60"/>
  <c r="F60"/>
  <c r="DG340" i="17"/>
  <c r="DI304"/>
  <c r="DG235"/>
  <c r="DF235"/>
  <c r="DE235"/>
  <c r="DD235"/>
  <c r="DC235"/>
  <c r="DB235"/>
  <c r="DA235"/>
  <c r="CZ235"/>
  <c r="CY235"/>
  <c r="CX235"/>
  <c r="CW235"/>
  <c r="CV235"/>
  <c r="CU235"/>
  <c r="CT235"/>
  <c r="CS235"/>
  <c r="CR235"/>
  <c r="CQ235"/>
  <c r="CP235"/>
  <c r="CO235"/>
  <c r="CN235"/>
  <c r="CM235"/>
  <c r="CL235"/>
  <c r="CK235"/>
  <c r="CJ235"/>
  <c r="CI235"/>
  <c r="CH235"/>
  <c r="CG235"/>
  <c r="CF235"/>
  <c r="CE235"/>
  <c r="CD235"/>
  <c r="CC235"/>
  <c r="CB235"/>
  <c r="CA235"/>
  <c r="BZ235"/>
  <c r="BY235"/>
  <c r="BX235"/>
  <c r="BW235"/>
  <c r="BV235"/>
  <c r="BU235"/>
  <c r="BT235"/>
  <c r="BS235"/>
  <c r="BR235"/>
  <c r="BQ235"/>
  <c r="BP235"/>
  <c r="BO235"/>
  <c r="BN235"/>
  <c r="BM235"/>
  <c r="BL235"/>
  <c r="BK235"/>
  <c r="BJ235"/>
  <c r="BI235"/>
  <c r="BH235"/>
  <c r="BG235"/>
  <c r="BF235"/>
  <c r="BE235"/>
  <c r="BD235"/>
  <c r="BC235"/>
  <c r="BB235"/>
  <c r="BA235"/>
  <c r="AZ235"/>
  <c r="AY235"/>
  <c r="AX235"/>
  <c r="AW235"/>
  <c r="AV235"/>
  <c r="AU235"/>
  <c r="AT235"/>
  <c r="AS235"/>
  <c r="AR235"/>
  <c r="AQ235"/>
  <c r="AP235"/>
  <c r="AO235"/>
  <c r="AN235"/>
  <c r="AM235"/>
  <c r="AL235"/>
  <c r="AK235"/>
  <c r="AJ235"/>
  <c r="AI235"/>
  <c r="AH235"/>
  <c r="AG235"/>
  <c r="AF235"/>
  <c r="AE235"/>
  <c r="AD235"/>
  <c r="AC235"/>
  <c r="AB235"/>
  <c r="AA235"/>
  <c r="Z235"/>
  <c r="Y235"/>
  <c r="X235"/>
  <c r="W235"/>
  <c r="V235"/>
  <c r="U235"/>
  <c r="T235"/>
  <c r="S235"/>
  <c r="R235"/>
  <c r="Q235"/>
  <c r="P235"/>
  <c r="O235"/>
  <c r="N235"/>
  <c r="M235"/>
  <c r="L235"/>
  <c r="K235"/>
  <c r="J235"/>
  <c r="I235"/>
  <c r="H235"/>
  <c r="G235"/>
  <c r="F235"/>
  <c r="E235"/>
  <c r="D235"/>
  <c r="DG229"/>
  <c r="DF229"/>
  <c r="DE229"/>
  <c r="DD229"/>
  <c r="DC229"/>
  <c r="DB229"/>
  <c r="DA229"/>
  <c r="CZ229"/>
  <c r="CY229"/>
  <c r="CX229"/>
  <c r="CW229"/>
  <c r="CV229"/>
  <c r="CU229"/>
  <c r="CT229"/>
  <c r="CS229"/>
  <c r="CR229"/>
  <c r="CQ229"/>
  <c r="CP229"/>
  <c r="CO229"/>
  <c r="CN229"/>
  <c r="CM229"/>
  <c r="CL229"/>
  <c r="CK229"/>
  <c r="CJ229"/>
  <c r="CI229"/>
  <c r="CH229"/>
  <c r="CG229"/>
  <c r="CF229"/>
  <c r="CE229"/>
  <c r="CD229"/>
  <c r="CC229"/>
  <c r="CB229"/>
  <c r="CA229"/>
  <c r="BZ229"/>
  <c r="BY229"/>
  <c r="BX229"/>
  <c r="BW229"/>
  <c r="BV229"/>
  <c r="BU229"/>
  <c r="BT229"/>
  <c r="BS229"/>
  <c r="BR229"/>
  <c r="BQ229"/>
  <c r="BP229"/>
  <c r="BO229"/>
  <c r="BN229"/>
  <c r="BM229"/>
  <c r="BL229"/>
  <c r="BK229"/>
  <c r="BJ229"/>
  <c r="BI229"/>
  <c r="BH229"/>
  <c r="BG229"/>
  <c r="BF229"/>
  <c r="BE229"/>
  <c r="BD229"/>
  <c r="BC229"/>
  <c r="BB229"/>
  <c r="BA229"/>
  <c r="AZ229"/>
  <c r="AY229"/>
  <c r="AX229"/>
  <c r="AW229"/>
  <c r="AV229"/>
  <c r="AU229"/>
  <c r="AT229"/>
  <c r="AS229"/>
  <c r="AR229"/>
  <c r="AQ229"/>
  <c r="AP229"/>
  <c r="AO229"/>
  <c r="AN229"/>
  <c r="AM229"/>
  <c r="AL229"/>
  <c r="AK229"/>
  <c r="AJ229"/>
  <c r="AI229"/>
  <c r="AH229"/>
  <c r="AG229"/>
  <c r="AF229"/>
  <c r="AE229"/>
  <c r="AD229"/>
  <c r="AC229"/>
  <c r="AB229"/>
  <c r="AA229"/>
  <c r="Z229"/>
  <c r="Y229"/>
  <c r="X229"/>
  <c r="W229"/>
  <c r="V229"/>
  <c r="U229"/>
  <c r="T229"/>
  <c r="S229"/>
  <c r="R229"/>
  <c r="Q229"/>
  <c r="P229"/>
  <c r="O229"/>
  <c r="N229"/>
  <c r="M229"/>
  <c r="L229"/>
  <c r="K229"/>
  <c r="J229"/>
  <c r="I229"/>
  <c r="H229"/>
  <c r="G229"/>
  <c r="F229"/>
  <c r="E229"/>
  <c r="D229"/>
  <c r="DG187"/>
  <c r="DF187"/>
  <c r="DE187"/>
  <c r="DD187"/>
  <c r="DC187"/>
  <c r="DB187"/>
  <c r="DA187"/>
  <c r="CZ187"/>
  <c r="CY187"/>
  <c r="CX187"/>
  <c r="CW187"/>
  <c r="CV187"/>
  <c r="CU187"/>
  <c r="CT187"/>
  <c r="CS187"/>
  <c r="CR187"/>
  <c r="CQ187"/>
  <c r="CP187"/>
  <c r="CO187"/>
  <c r="CN187"/>
  <c r="CM187"/>
  <c r="CL187"/>
  <c r="CK187"/>
  <c r="CJ187"/>
  <c r="CI187"/>
  <c r="CH187"/>
  <c r="CG187"/>
  <c r="CF187"/>
  <c r="CE187"/>
  <c r="CD187"/>
  <c r="CC187"/>
  <c r="CB187"/>
  <c r="CA187"/>
  <c r="BZ187"/>
  <c r="BY187"/>
  <c r="BX187"/>
  <c r="BW187"/>
  <c r="BV187"/>
  <c r="BU187"/>
  <c r="BT187"/>
  <c r="BS187"/>
  <c r="BR187"/>
  <c r="BQ187"/>
  <c r="BP187"/>
  <c r="BO187"/>
  <c r="BN187"/>
  <c r="BM187"/>
  <c r="BL187"/>
  <c r="BK187"/>
  <c r="BJ187"/>
  <c r="BI187"/>
  <c r="BH187"/>
  <c r="BG187"/>
  <c r="BF187"/>
  <c r="BE187"/>
  <c r="BD187"/>
  <c r="BC187"/>
  <c r="BB187"/>
  <c r="BA187"/>
  <c r="AZ187"/>
  <c r="AY187"/>
  <c r="AX187"/>
  <c r="AW187"/>
  <c r="AV187"/>
  <c r="AU187"/>
  <c r="AT187"/>
  <c r="AS187"/>
  <c r="AR187"/>
  <c r="AQ187"/>
  <c r="AP187"/>
  <c r="AO187"/>
  <c r="AN187"/>
  <c r="AM187"/>
  <c r="AL187"/>
  <c r="AK187"/>
  <c r="AJ187"/>
  <c r="AI187"/>
  <c r="AH187"/>
  <c r="AG187"/>
  <c r="AF187"/>
  <c r="AE187"/>
  <c r="AD187"/>
  <c r="AC187"/>
  <c r="AB187"/>
  <c r="AA187"/>
  <c r="Z187"/>
  <c r="Y187"/>
  <c r="X187"/>
  <c r="W187"/>
  <c r="V187"/>
  <c r="U187"/>
  <c r="T187"/>
  <c r="S187"/>
  <c r="R187"/>
  <c r="Q187"/>
  <c r="P187"/>
  <c r="O187"/>
  <c r="N187"/>
  <c r="M187"/>
  <c r="L187"/>
  <c r="K187"/>
  <c r="J187"/>
  <c r="I187"/>
  <c r="H187"/>
  <c r="G187"/>
  <c r="F187"/>
  <c r="E187"/>
  <c r="D187"/>
  <c r="DG58"/>
  <c r="DF58"/>
  <c r="DE58"/>
  <c r="DD58"/>
  <c r="DC58"/>
  <c r="DB58"/>
  <c r="DA58"/>
  <c r="CZ58"/>
  <c r="CY58"/>
  <c r="CX58"/>
  <c r="CW58"/>
  <c r="CV58"/>
  <c r="CU58"/>
  <c r="CT58"/>
  <c r="CS58"/>
  <c r="CR58"/>
  <c r="CQ58"/>
  <c r="CP58"/>
  <c r="CO58"/>
  <c r="CN58"/>
  <c r="CM58"/>
  <c r="CL58"/>
  <c r="CK58"/>
  <c r="CJ58"/>
  <c r="CI58"/>
  <c r="CH58"/>
  <c r="CG58"/>
  <c r="CF58"/>
  <c r="CE58"/>
  <c r="CD58"/>
  <c r="CC58"/>
  <c r="CB58"/>
  <c r="CA58"/>
  <c r="BZ58"/>
  <c r="BY58"/>
  <c r="BX58"/>
  <c r="BW58"/>
  <c r="BV58"/>
  <c r="BU58"/>
  <c r="BT58"/>
  <c r="BS58"/>
  <c r="BR58"/>
  <c r="BQ58"/>
  <c r="BP58"/>
  <c r="BO58"/>
  <c r="BN58"/>
  <c r="BM58"/>
  <c r="BL58"/>
  <c r="BK58"/>
  <c r="BJ58"/>
  <c r="BI58"/>
  <c r="BH58"/>
  <c r="BG58"/>
  <c r="BF58"/>
  <c r="BE58"/>
  <c r="BD58"/>
  <c r="BC58"/>
  <c r="BB58"/>
  <c r="BA58"/>
  <c r="AZ58"/>
  <c r="AY58"/>
  <c r="AX58"/>
  <c r="AW58"/>
  <c r="AV58"/>
  <c r="AU58"/>
  <c r="AT58"/>
  <c r="AS58"/>
  <c r="AR58"/>
  <c r="AQ58"/>
  <c r="AP58"/>
  <c r="AO58"/>
  <c r="AN58"/>
  <c r="AM58"/>
  <c r="AL58"/>
  <c r="AK58"/>
  <c r="AJ58"/>
  <c r="AI58"/>
  <c r="AH58"/>
  <c r="AG58"/>
  <c r="AF58"/>
  <c r="AE58"/>
  <c r="AD58"/>
  <c r="AC58"/>
  <c r="AB58"/>
  <c r="AA58"/>
  <c r="Z58"/>
  <c r="Y58"/>
  <c r="X58"/>
  <c r="W58"/>
  <c r="V58"/>
  <c r="U58"/>
  <c r="T58"/>
  <c r="S58"/>
  <c r="R58"/>
  <c r="Q58"/>
  <c r="P58"/>
  <c r="O58"/>
  <c r="N58"/>
  <c r="M58"/>
  <c r="L58"/>
  <c r="K58"/>
  <c r="J58"/>
  <c r="I58"/>
  <c r="H58"/>
  <c r="G58"/>
  <c r="F58"/>
  <c r="E58"/>
  <c r="D58"/>
  <c r="DG16"/>
  <c r="DG237" s="1"/>
  <c r="DF16"/>
  <c r="DF237" s="1"/>
  <c r="DE16"/>
  <c r="DE237" s="1"/>
  <c r="DD16"/>
  <c r="DD237" s="1"/>
  <c r="DC16"/>
  <c r="DC237" s="1"/>
  <c r="DB16"/>
  <c r="DB237" s="1"/>
  <c r="DA16"/>
  <c r="DA237" s="1"/>
  <c r="CZ16"/>
  <c r="CZ237" s="1"/>
  <c r="CY16"/>
  <c r="CY237" s="1"/>
  <c r="CX16"/>
  <c r="CX237" s="1"/>
  <c r="CW16"/>
  <c r="CW237" s="1"/>
  <c r="CV16"/>
  <c r="CV237" s="1"/>
  <c r="CU16"/>
  <c r="CU237" s="1"/>
  <c r="CT16"/>
  <c r="CT237" s="1"/>
  <c r="CS16"/>
  <c r="CS237" s="1"/>
  <c r="CR16"/>
  <c r="CR237" s="1"/>
  <c r="CQ16"/>
  <c r="CQ237" s="1"/>
  <c r="CP16"/>
  <c r="CP237" s="1"/>
  <c r="CO16"/>
  <c r="CO237" s="1"/>
  <c r="CN16"/>
  <c r="CN237" s="1"/>
  <c r="CM16"/>
  <c r="CM237" s="1"/>
  <c r="CL16"/>
  <c r="CL237" s="1"/>
  <c r="CK16"/>
  <c r="CK237" s="1"/>
  <c r="CJ16"/>
  <c r="CJ237" s="1"/>
  <c r="CI16"/>
  <c r="CI237" s="1"/>
  <c r="CH16"/>
  <c r="CH237" s="1"/>
  <c r="CG16"/>
  <c r="CG237" s="1"/>
  <c r="CF16"/>
  <c r="CF237" s="1"/>
  <c r="CE16"/>
  <c r="CE237" s="1"/>
  <c r="CD16"/>
  <c r="CD237" s="1"/>
  <c r="CC16"/>
  <c r="CC237" s="1"/>
  <c r="CB16"/>
  <c r="CB237" s="1"/>
  <c r="CA16"/>
  <c r="CA237" s="1"/>
  <c r="BZ16"/>
  <c r="BZ237" s="1"/>
  <c r="BY16"/>
  <c r="BY237" s="1"/>
  <c r="BX16"/>
  <c r="BX237" s="1"/>
  <c r="BW16"/>
  <c r="BW237" s="1"/>
  <c r="BV16"/>
  <c r="BV237" s="1"/>
  <c r="BU16"/>
  <c r="BU237" s="1"/>
  <c r="BT16"/>
  <c r="BT237" s="1"/>
  <c r="BS16"/>
  <c r="BS237" s="1"/>
  <c r="BR16"/>
  <c r="BR237" s="1"/>
  <c r="BQ16"/>
  <c r="BQ237" s="1"/>
  <c r="BP16"/>
  <c r="BP237" s="1"/>
  <c r="BO16"/>
  <c r="BO237" s="1"/>
  <c r="BN16"/>
  <c r="BN237" s="1"/>
  <c r="BM16"/>
  <c r="BM237" s="1"/>
  <c r="BL16"/>
  <c r="BL237" s="1"/>
  <c r="BK16"/>
  <c r="BK237" s="1"/>
  <c r="BJ16"/>
  <c r="BJ237" s="1"/>
  <c r="BI16"/>
  <c r="BI237" s="1"/>
  <c r="BH16"/>
  <c r="BH237" s="1"/>
  <c r="BG16"/>
  <c r="BG237" s="1"/>
  <c r="BF16"/>
  <c r="BF237" s="1"/>
  <c r="BE16"/>
  <c r="BE237" s="1"/>
  <c r="BD16"/>
  <c r="BD237" s="1"/>
  <c r="BC16"/>
  <c r="BC237" s="1"/>
  <c r="BB16"/>
  <c r="BB237" s="1"/>
  <c r="BA16"/>
  <c r="BA237" s="1"/>
  <c r="AZ16"/>
  <c r="AZ237" s="1"/>
  <c r="AY16"/>
  <c r="AY237" s="1"/>
  <c r="AX16"/>
  <c r="AX237" s="1"/>
  <c r="AW16"/>
  <c r="AW237" s="1"/>
  <c r="AV16"/>
  <c r="AV237" s="1"/>
  <c r="AU16"/>
  <c r="AU237" s="1"/>
  <c r="AT16"/>
  <c r="AT237" s="1"/>
  <c r="AS16"/>
  <c r="AS237" s="1"/>
  <c r="AR16"/>
  <c r="AR237" s="1"/>
  <c r="AQ16"/>
  <c r="AQ237" s="1"/>
  <c r="AP16"/>
  <c r="AP237" s="1"/>
  <c r="AO16"/>
  <c r="AO237" s="1"/>
  <c r="AN16"/>
  <c r="AN237" s="1"/>
  <c r="AM16"/>
  <c r="AM237" s="1"/>
  <c r="AL16"/>
  <c r="AL237" s="1"/>
  <c r="AK16"/>
  <c r="AK237" s="1"/>
  <c r="AJ16"/>
  <c r="AJ237" s="1"/>
  <c r="AI16"/>
  <c r="AI237" s="1"/>
  <c r="AH16"/>
  <c r="AH237" s="1"/>
  <c r="AG16"/>
  <c r="AG237" s="1"/>
  <c r="AF16"/>
  <c r="AF237" s="1"/>
  <c r="AE16"/>
  <c r="AE237" s="1"/>
  <c r="AD16"/>
  <c r="AD237" s="1"/>
  <c r="AC16"/>
  <c r="AC237" s="1"/>
  <c r="AB16"/>
  <c r="AB237" s="1"/>
  <c r="AA16"/>
  <c r="AA237" s="1"/>
  <c r="Z16"/>
  <c r="Z237" s="1"/>
  <c r="Y16"/>
  <c r="Y237" s="1"/>
  <c r="X16"/>
  <c r="X237" s="1"/>
  <c r="W16"/>
  <c r="W237" s="1"/>
  <c r="V16"/>
  <c r="V237" s="1"/>
  <c r="U16"/>
  <c r="U237" s="1"/>
  <c r="T16"/>
  <c r="T237" s="1"/>
  <c r="S16"/>
  <c r="S237" s="1"/>
  <c r="R16"/>
  <c r="R237" s="1"/>
  <c r="Q16"/>
  <c r="Q237" s="1"/>
  <c r="P16"/>
  <c r="P237" s="1"/>
  <c r="O16"/>
  <c r="O237" s="1"/>
  <c r="N16"/>
  <c r="N237" s="1"/>
  <c r="M16"/>
  <c r="M237" s="1"/>
  <c r="L16"/>
  <c r="L237" s="1"/>
  <c r="K16"/>
  <c r="K237" s="1"/>
  <c r="J16"/>
  <c r="J237" s="1"/>
  <c r="I16"/>
  <c r="I237" s="1"/>
  <c r="H16"/>
  <c r="H237" s="1"/>
  <c r="G16"/>
  <c r="G237" s="1"/>
  <c r="F16"/>
  <c r="F237" s="1"/>
  <c r="E16"/>
  <c r="E237" s="1"/>
  <c r="D16"/>
  <c r="D237" s="1"/>
  <c r="DG326" i="20"/>
  <c r="DI290"/>
  <c r="DG221"/>
  <c r="DF221"/>
  <c r="DE221"/>
  <c r="DD221"/>
  <c r="DC221"/>
  <c r="DB221"/>
  <c r="DA221"/>
  <c r="CZ221"/>
  <c r="CY221"/>
  <c r="CX221"/>
  <c r="CW221"/>
  <c r="CV221"/>
  <c r="CU221"/>
  <c r="CT221"/>
  <c r="CS221"/>
  <c r="CR221"/>
  <c r="CQ221"/>
  <c r="CP221"/>
  <c r="CO221"/>
  <c r="CN221"/>
  <c r="CM221"/>
  <c r="CL221"/>
  <c r="CK221"/>
  <c r="CJ221"/>
  <c r="CI221"/>
  <c r="CH221"/>
  <c r="CG221"/>
  <c r="CF221"/>
  <c r="CE221"/>
  <c r="CD221"/>
  <c r="CC221"/>
  <c r="CB221"/>
  <c r="CA221"/>
  <c r="BZ221"/>
  <c r="BY221"/>
  <c r="BX221"/>
  <c r="BW221"/>
  <c r="BV221"/>
  <c r="BU221"/>
  <c r="BT221"/>
  <c r="BS221"/>
  <c r="BR221"/>
  <c r="BQ221"/>
  <c r="BP221"/>
  <c r="BO221"/>
  <c r="BN221"/>
  <c r="BM221"/>
  <c r="BL221"/>
  <c r="BK221"/>
  <c r="BJ221"/>
  <c r="BI221"/>
  <c r="BH221"/>
  <c r="BG221"/>
  <c r="BF221"/>
  <c r="BE221"/>
  <c r="BD221"/>
  <c r="BC221"/>
  <c r="BB221"/>
  <c r="BA221"/>
  <c r="AZ221"/>
  <c r="AY221"/>
  <c r="AX221"/>
  <c r="AW221"/>
  <c r="AV221"/>
  <c r="AU221"/>
  <c r="AT221"/>
  <c r="AS221"/>
  <c r="AR221"/>
  <c r="AQ221"/>
  <c r="AP221"/>
  <c r="AO221"/>
  <c r="AN221"/>
  <c r="AM221"/>
  <c r="AL221"/>
  <c r="AK221"/>
  <c r="AJ221"/>
  <c r="AI221"/>
  <c r="AH221"/>
  <c r="AG221"/>
  <c r="AF221"/>
  <c r="AE221"/>
  <c r="AD221"/>
  <c r="AC221"/>
  <c r="AB221"/>
  <c r="AA221"/>
  <c r="Z221"/>
  <c r="Y221"/>
  <c r="X221"/>
  <c r="W221"/>
  <c r="V221"/>
  <c r="U221"/>
  <c r="T221"/>
  <c r="S221"/>
  <c r="R221"/>
  <c r="Q221"/>
  <c r="P221"/>
  <c r="O221"/>
  <c r="N221"/>
  <c r="M221"/>
  <c r="L221"/>
  <c r="K221"/>
  <c r="J221"/>
  <c r="I221"/>
  <c r="H221"/>
  <c r="G221"/>
  <c r="F221"/>
  <c r="E221"/>
  <c r="D221"/>
  <c r="DG217"/>
  <c r="DF217"/>
  <c r="DE217"/>
  <c r="DD217"/>
  <c r="DC217"/>
  <c r="DB217"/>
  <c r="DA217"/>
  <c r="CZ217"/>
  <c r="CY217"/>
  <c r="CX217"/>
  <c r="CW217"/>
  <c r="CV217"/>
  <c r="CU217"/>
  <c r="CT217"/>
  <c r="CS217"/>
  <c r="CR217"/>
  <c r="CQ217"/>
  <c r="CP217"/>
  <c r="CO217"/>
  <c r="CN217"/>
  <c r="CM217"/>
  <c r="CL217"/>
  <c r="CK217"/>
  <c r="CJ217"/>
  <c r="CI217"/>
  <c r="CH217"/>
  <c r="CG217"/>
  <c r="CF217"/>
  <c r="CE217"/>
  <c r="CD217"/>
  <c r="CC217"/>
  <c r="CB217"/>
  <c r="CA217"/>
  <c r="BZ217"/>
  <c r="BY217"/>
  <c r="BX217"/>
  <c r="BW217"/>
  <c r="BV217"/>
  <c r="BU217"/>
  <c r="BT217"/>
  <c r="BS217"/>
  <c r="BR217"/>
  <c r="BQ217"/>
  <c r="BP217"/>
  <c r="BO217"/>
  <c r="BN217"/>
  <c r="BM217"/>
  <c r="BL217"/>
  <c r="BK217"/>
  <c r="BJ217"/>
  <c r="BI217"/>
  <c r="BH217"/>
  <c r="BG217"/>
  <c r="BF217"/>
  <c r="BE217"/>
  <c r="BD217"/>
  <c r="BC217"/>
  <c r="BB217"/>
  <c r="BA217"/>
  <c r="AZ217"/>
  <c r="AY217"/>
  <c r="AX217"/>
  <c r="AW217"/>
  <c r="AV217"/>
  <c r="AU217"/>
  <c r="AT217"/>
  <c r="AS217"/>
  <c r="AR217"/>
  <c r="AQ217"/>
  <c r="AP217"/>
  <c r="AO217"/>
  <c r="AN217"/>
  <c r="AM217"/>
  <c r="AL217"/>
  <c r="AK217"/>
  <c r="AJ217"/>
  <c r="AI217"/>
  <c r="AH217"/>
  <c r="AG217"/>
  <c r="AF217"/>
  <c r="AE217"/>
  <c r="AD217"/>
  <c r="AC217"/>
  <c r="AB217"/>
  <c r="AA217"/>
  <c r="Z217"/>
  <c r="Y217"/>
  <c r="X217"/>
  <c r="W217"/>
  <c r="V217"/>
  <c r="U217"/>
  <c r="T217"/>
  <c r="S217"/>
  <c r="R217"/>
  <c r="Q217"/>
  <c r="P217"/>
  <c r="O217"/>
  <c r="N217"/>
  <c r="M217"/>
  <c r="L217"/>
  <c r="K217"/>
  <c r="J217"/>
  <c r="I217"/>
  <c r="H217"/>
  <c r="G217"/>
  <c r="F217"/>
  <c r="E217"/>
  <c r="D217"/>
  <c r="DG179"/>
  <c r="DF179"/>
  <c r="DE179"/>
  <c r="DD179"/>
  <c r="DC179"/>
  <c r="DB179"/>
  <c r="DA179"/>
  <c r="CZ179"/>
  <c r="CY179"/>
  <c r="CX179"/>
  <c r="CW179"/>
  <c r="CV179"/>
  <c r="CU179"/>
  <c r="CT179"/>
  <c r="CS179"/>
  <c r="CR179"/>
  <c r="CQ179"/>
  <c r="CP179"/>
  <c r="CO179"/>
  <c r="CN179"/>
  <c r="CM179"/>
  <c r="CL179"/>
  <c r="CK179"/>
  <c r="CJ179"/>
  <c r="CI179"/>
  <c r="CH179"/>
  <c r="CG179"/>
  <c r="CF179"/>
  <c r="CE179"/>
  <c r="CD179"/>
  <c r="CC179"/>
  <c r="CB179"/>
  <c r="CA179"/>
  <c r="BZ179"/>
  <c r="BY179"/>
  <c r="BX179"/>
  <c r="BW179"/>
  <c r="BV179"/>
  <c r="BU179"/>
  <c r="BT179"/>
  <c r="BS179"/>
  <c r="BR179"/>
  <c r="BQ179"/>
  <c r="BP179"/>
  <c r="BO179"/>
  <c r="BN179"/>
  <c r="BM179"/>
  <c r="BL179"/>
  <c r="BK179"/>
  <c r="BJ179"/>
  <c r="BI179"/>
  <c r="BH179"/>
  <c r="BG179"/>
  <c r="BF179"/>
  <c r="BE179"/>
  <c r="BD179"/>
  <c r="BC179"/>
  <c r="BB179"/>
  <c r="BA179"/>
  <c r="AZ179"/>
  <c r="AY179"/>
  <c r="AX179"/>
  <c r="AW179"/>
  <c r="AV179"/>
  <c r="AU179"/>
  <c r="AT179"/>
  <c r="AS179"/>
  <c r="AR179"/>
  <c r="AQ179"/>
  <c r="AP179"/>
  <c r="AO179"/>
  <c r="AN179"/>
  <c r="AM179"/>
  <c r="AL179"/>
  <c r="AK179"/>
  <c r="AJ179"/>
  <c r="AI179"/>
  <c r="AH179"/>
  <c r="AG179"/>
  <c r="AF179"/>
  <c r="AE179"/>
  <c r="AD179"/>
  <c r="AC179"/>
  <c r="AB179"/>
  <c r="AA179"/>
  <c r="Z179"/>
  <c r="Y179"/>
  <c r="X179"/>
  <c r="W179"/>
  <c r="V179"/>
  <c r="U179"/>
  <c r="T179"/>
  <c r="S179"/>
  <c r="R179"/>
  <c r="Q179"/>
  <c r="P179"/>
  <c r="O179"/>
  <c r="N179"/>
  <c r="M179"/>
  <c r="L179"/>
  <c r="K179"/>
  <c r="J179"/>
  <c r="I179"/>
  <c r="H179"/>
  <c r="G179"/>
  <c r="F179"/>
  <c r="E179"/>
  <c r="D179"/>
  <c r="DG54"/>
  <c r="DF54"/>
  <c r="DE54"/>
  <c r="DD54"/>
  <c r="DC54"/>
  <c r="DB54"/>
  <c r="DA54"/>
  <c r="CZ54"/>
  <c r="CY54"/>
  <c r="CX54"/>
  <c r="CW54"/>
  <c r="CV54"/>
  <c r="CU54"/>
  <c r="CT54"/>
  <c r="CS54"/>
  <c r="CR54"/>
  <c r="CQ54"/>
  <c r="CP54"/>
  <c r="CO54"/>
  <c r="CN54"/>
  <c r="CM54"/>
  <c r="CL54"/>
  <c r="CK54"/>
  <c r="CJ54"/>
  <c r="CI54"/>
  <c r="CH54"/>
  <c r="CG54"/>
  <c r="CF54"/>
  <c r="CE54"/>
  <c r="CD54"/>
  <c r="CC54"/>
  <c r="CB54"/>
  <c r="CA54"/>
  <c r="BZ54"/>
  <c r="BY54"/>
  <c r="BX54"/>
  <c r="BW54"/>
  <c r="BV54"/>
  <c r="BU54"/>
  <c r="BT54"/>
  <c r="BS54"/>
  <c r="BR54"/>
  <c r="BQ54"/>
  <c r="BP54"/>
  <c r="BO54"/>
  <c r="BN54"/>
  <c r="BM54"/>
  <c r="BL54"/>
  <c r="BK54"/>
  <c r="BJ54"/>
  <c r="BI54"/>
  <c r="BH54"/>
  <c r="BG54"/>
  <c r="BF54"/>
  <c r="BE54"/>
  <c r="BD54"/>
  <c r="BC54"/>
  <c r="BB54"/>
  <c r="BA54"/>
  <c r="AZ54"/>
  <c r="AY54"/>
  <c r="AX54"/>
  <c r="AW54"/>
  <c r="AV54"/>
  <c r="AU54"/>
  <c r="AT54"/>
  <c r="AS54"/>
  <c r="AR54"/>
  <c r="AQ54"/>
  <c r="AP54"/>
  <c r="AO54"/>
  <c r="AN54"/>
  <c r="AM54"/>
  <c r="AL54"/>
  <c r="AK54"/>
  <c r="AJ54"/>
  <c r="AI54"/>
  <c r="AH54"/>
  <c r="AG54"/>
  <c r="AF54"/>
  <c r="AE54"/>
  <c r="AD54"/>
  <c r="AC54"/>
  <c r="AB54"/>
  <c r="AA54"/>
  <c r="Z54"/>
  <c r="Y54"/>
  <c r="X54"/>
  <c r="W54"/>
  <c r="V54"/>
  <c r="U54"/>
  <c r="T54"/>
  <c r="S54"/>
  <c r="R54"/>
  <c r="Q54"/>
  <c r="P54"/>
  <c r="O54"/>
  <c r="N54"/>
  <c r="M54"/>
  <c r="L54"/>
  <c r="K54"/>
  <c r="J54"/>
  <c r="I54"/>
  <c r="H54"/>
  <c r="G54"/>
  <c r="F54"/>
  <c r="E54"/>
  <c r="D54"/>
  <c r="DG15"/>
  <c r="DF15"/>
  <c r="DF223" s="1"/>
  <c r="DE15"/>
  <c r="DE223" s="1"/>
  <c r="DD15"/>
  <c r="DD223" s="1"/>
  <c r="DD226" s="1"/>
  <c r="DC15"/>
  <c r="DC223" s="1"/>
  <c r="DC226" s="1"/>
  <c r="DB15"/>
  <c r="DB223" s="1"/>
  <c r="DB226" s="1"/>
  <c r="DA15"/>
  <c r="DA223" s="1"/>
  <c r="DA226" s="1"/>
  <c r="CZ15"/>
  <c r="CZ223" s="1"/>
  <c r="CZ226" s="1"/>
  <c r="CY15"/>
  <c r="CY223" s="1"/>
  <c r="CY226" s="1"/>
  <c r="CX15"/>
  <c r="CX223" s="1"/>
  <c r="CX226" s="1"/>
  <c r="CW15"/>
  <c r="CW223" s="1"/>
  <c r="CW226" s="1"/>
  <c r="CV15"/>
  <c r="CV223" s="1"/>
  <c r="CU15"/>
  <c r="CU223" s="1"/>
  <c r="CU226" s="1"/>
  <c r="CT15"/>
  <c r="CT223" s="1"/>
  <c r="CT226" s="1"/>
  <c r="CS15"/>
  <c r="CS223" s="1"/>
  <c r="CR15"/>
  <c r="CR223" s="1"/>
  <c r="CQ15"/>
  <c r="CQ223" s="1"/>
  <c r="CP15"/>
  <c r="CP223" s="1"/>
  <c r="CP226" s="1"/>
  <c r="CO15"/>
  <c r="CO223" s="1"/>
  <c r="CO226" s="1"/>
  <c r="CN15"/>
  <c r="CN223" s="1"/>
  <c r="CN226" s="1"/>
  <c r="CM15"/>
  <c r="CM223" s="1"/>
  <c r="CM226" s="1"/>
  <c r="CL15"/>
  <c r="CL223" s="1"/>
  <c r="CL226" s="1"/>
  <c r="CK15"/>
  <c r="CK223" s="1"/>
  <c r="CK226" s="1"/>
  <c r="CJ15"/>
  <c r="CJ223" s="1"/>
  <c r="CJ226" s="1"/>
  <c r="CI15"/>
  <c r="CI223" s="1"/>
  <c r="CI226" s="1"/>
  <c r="CH15"/>
  <c r="CH223" s="1"/>
  <c r="CH226" s="1"/>
  <c r="CG15"/>
  <c r="CG223" s="1"/>
  <c r="CG226" s="1"/>
  <c r="CF15"/>
  <c r="CF223" s="1"/>
  <c r="CF226" s="1"/>
  <c r="CE15"/>
  <c r="CE223" s="1"/>
  <c r="CD15"/>
  <c r="CD223" s="1"/>
  <c r="CD226" s="1"/>
  <c r="CC15"/>
  <c r="CC223" s="1"/>
  <c r="CC226" s="1"/>
  <c r="CB15"/>
  <c r="CB223" s="1"/>
  <c r="CB226" s="1"/>
  <c r="CA15"/>
  <c r="CA223" s="1"/>
  <c r="BZ15"/>
  <c r="BZ223" s="1"/>
  <c r="BZ226" s="1"/>
  <c r="BY15"/>
  <c r="BY223" s="1"/>
  <c r="BY226" s="1"/>
  <c r="BX15"/>
  <c r="BX223" s="1"/>
  <c r="BX226" s="1"/>
  <c r="BW15"/>
  <c r="BW223" s="1"/>
  <c r="BV15"/>
  <c r="BV223" s="1"/>
  <c r="BV226" s="1"/>
  <c r="BU15"/>
  <c r="BU223" s="1"/>
  <c r="BU226" s="1"/>
  <c r="BT15"/>
  <c r="BT223" s="1"/>
  <c r="BT226" s="1"/>
  <c r="BS15"/>
  <c r="BS223" s="1"/>
  <c r="BR15"/>
  <c r="BR223" s="1"/>
  <c r="BR226" s="1"/>
  <c r="BQ15"/>
  <c r="BQ223" s="1"/>
  <c r="BQ226" s="1"/>
  <c r="BP15"/>
  <c r="BP223" s="1"/>
  <c r="BP226" s="1"/>
  <c r="BO15"/>
  <c r="BO223" s="1"/>
  <c r="BO226" s="1"/>
  <c r="BN15"/>
  <c r="BN223" s="1"/>
  <c r="BN226" s="1"/>
  <c r="BM15"/>
  <c r="BM223" s="1"/>
  <c r="BM226" s="1"/>
  <c r="BL15"/>
  <c r="BL223" s="1"/>
  <c r="BL226" s="1"/>
  <c r="BK15"/>
  <c r="BK223" s="1"/>
  <c r="BK226" s="1"/>
  <c r="BJ15"/>
  <c r="BJ223" s="1"/>
  <c r="BJ226" s="1"/>
  <c r="BI15"/>
  <c r="BI223" s="1"/>
  <c r="BI226" s="1"/>
  <c r="BH15"/>
  <c r="BH223" s="1"/>
  <c r="BH226" s="1"/>
  <c r="BG15"/>
  <c r="BG223" s="1"/>
  <c r="BG226" s="1"/>
  <c r="BF15"/>
  <c r="BF223" s="1"/>
  <c r="BF226" s="1"/>
  <c r="BE15"/>
  <c r="BE223" s="1"/>
  <c r="BE226" s="1"/>
  <c r="BD15"/>
  <c r="BD223" s="1"/>
  <c r="BD226" s="1"/>
  <c r="BC15"/>
  <c r="BC223" s="1"/>
  <c r="BB15"/>
  <c r="BB223" s="1"/>
  <c r="BB226" s="1"/>
  <c r="BA15"/>
  <c r="BA223" s="1"/>
  <c r="BA226" s="1"/>
  <c r="AZ15"/>
  <c r="AZ223" s="1"/>
  <c r="AZ226" s="1"/>
  <c r="AY15"/>
  <c r="AY223" s="1"/>
  <c r="AX15"/>
  <c r="AX223" s="1"/>
  <c r="AX226" s="1"/>
  <c r="AW15"/>
  <c r="AW223" s="1"/>
  <c r="AW226" s="1"/>
  <c r="AV15"/>
  <c r="AV223" s="1"/>
  <c r="AV226" s="1"/>
  <c r="AU15"/>
  <c r="AU223" s="1"/>
  <c r="AU226" s="1"/>
  <c r="AT15"/>
  <c r="AT223" s="1"/>
  <c r="AT226" s="1"/>
  <c r="AS15"/>
  <c r="AS223" s="1"/>
  <c r="AS226" s="1"/>
  <c r="AR15"/>
  <c r="AR223" s="1"/>
  <c r="AR226" s="1"/>
  <c r="AQ15"/>
  <c r="AQ223" s="1"/>
  <c r="AQ226" s="1"/>
  <c r="AP15"/>
  <c r="AP223" s="1"/>
  <c r="AO15"/>
  <c r="AO223" s="1"/>
  <c r="AO226" s="1"/>
  <c r="AN15"/>
  <c r="AN223" s="1"/>
  <c r="AN226" s="1"/>
  <c r="AM15"/>
  <c r="AM223" s="1"/>
  <c r="AL15"/>
  <c r="AL223" s="1"/>
  <c r="AL226" s="1"/>
  <c r="AK15"/>
  <c r="AK223" s="1"/>
  <c r="AK226" s="1"/>
  <c r="AJ15"/>
  <c r="AJ223" s="1"/>
  <c r="AJ226" s="1"/>
  <c r="AI15"/>
  <c r="AI223" s="1"/>
  <c r="AH15"/>
  <c r="AH223" s="1"/>
  <c r="AH226" s="1"/>
  <c r="AG15"/>
  <c r="AG223" s="1"/>
  <c r="AG226" s="1"/>
  <c r="AF15"/>
  <c r="AF223" s="1"/>
  <c r="AE15"/>
  <c r="AE223" s="1"/>
  <c r="AE226" s="1"/>
  <c r="AD15"/>
  <c r="AD223" s="1"/>
  <c r="AD226" s="1"/>
  <c r="AC15"/>
  <c r="AC223" s="1"/>
  <c r="AC226" s="1"/>
  <c r="AB15"/>
  <c r="AB223" s="1"/>
  <c r="AB226" s="1"/>
  <c r="AA15"/>
  <c r="AA223" s="1"/>
  <c r="AA226" s="1"/>
  <c r="Z15"/>
  <c r="Z223" s="1"/>
  <c r="Z226" s="1"/>
  <c r="Y15"/>
  <c r="Y223" s="1"/>
  <c r="Y226" s="1"/>
  <c r="X15"/>
  <c r="X223" s="1"/>
  <c r="X226" s="1"/>
  <c r="W15"/>
  <c r="W223" s="1"/>
  <c r="W226" s="1"/>
  <c r="V15"/>
  <c r="V223" s="1"/>
  <c r="U15"/>
  <c r="U223" s="1"/>
  <c r="U226" s="1"/>
  <c r="T15"/>
  <c r="T223" s="1"/>
  <c r="S15"/>
  <c r="S223" s="1"/>
  <c r="S226" s="1"/>
  <c r="R15"/>
  <c r="R223" s="1"/>
  <c r="R226" s="1"/>
  <c r="Q15"/>
  <c r="Q223" s="1"/>
  <c r="Q226" s="1"/>
  <c r="P15"/>
  <c r="P223" s="1"/>
  <c r="P226" s="1"/>
  <c r="O15"/>
  <c r="O223" s="1"/>
  <c r="O226" s="1"/>
  <c r="N15"/>
  <c r="N223" s="1"/>
  <c r="M15"/>
  <c r="M223" s="1"/>
  <c r="L15"/>
  <c r="L223" s="1"/>
  <c r="L226" s="1"/>
  <c r="K15"/>
  <c r="K223" s="1"/>
  <c r="K226" s="1"/>
  <c r="J15"/>
  <c r="J223" s="1"/>
  <c r="J226" s="1"/>
  <c r="I15"/>
  <c r="I223" s="1"/>
  <c r="I226" s="1"/>
  <c r="H15"/>
  <c r="H223" s="1"/>
  <c r="H226" s="1"/>
  <c r="G15"/>
  <c r="G223" s="1"/>
  <c r="F15"/>
  <c r="F223" s="1"/>
  <c r="F226" s="1"/>
  <c r="E15"/>
  <c r="E223" s="1"/>
  <c r="E226" s="1"/>
  <c r="D15"/>
  <c r="D223" s="1"/>
  <c r="D226" s="1"/>
  <c r="N20" i="23" l="1"/>
  <c r="F7"/>
  <c r="N18"/>
  <c r="B7"/>
  <c r="T64"/>
  <c r="G37"/>
  <c r="B31"/>
  <c r="F28"/>
  <c r="L69"/>
  <c r="F32"/>
  <c r="B30"/>
  <c r="B28"/>
  <c r="B29"/>
  <c r="T61"/>
  <c r="D16" i="7"/>
  <c r="I156" i="18"/>
  <c r="B152" s="1"/>
  <c r="F112"/>
  <c r="H110"/>
  <c r="AY60" i="17" s="1"/>
  <c r="AY61" s="1"/>
  <c r="L41" i="18"/>
  <c r="L44" s="1"/>
  <c r="L34"/>
  <c r="B20" i="7" s="1"/>
  <c r="DG341" i="17"/>
  <c r="D13" i="7"/>
  <c r="AY232" i="17"/>
  <c r="D9" i="7" s="1"/>
  <c r="DI16" i="17"/>
  <c r="AY19"/>
  <c r="D11" i="7" s="1"/>
  <c r="D108" i="18"/>
  <c r="M8"/>
  <c r="D18" i="7"/>
  <c r="E9" s="1"/>
  <c r="G104" i="18"/>
  <c r="F104"/>
  <c r="H99"/>
  <c r="I104" s="1"/>
  <c r="H88"/>
  <c r="I169"/>
  <c r="H182"/>
  <c r="M10"/>
  <c r="N10"/>
  <c r="N12"/>
  <c r="P12" s="1"/>
  <c r="H142"/>
  <c r="I149"/>
  <c r="B145" s="1"/>
  <c r="H111"/>
  <c r="I195"/>
  <c r="H169"/>
  <c r="H156"/>
  <c r="I130"/>
  <c r="H112"/>
  <c r="B113" s="1"/>
  <c r="H108"/>
  <c r="AY189" i="17" s="1"/>
  <c r="AY239" s="1"/>
  <c r="AY240" s="1"/>
  <c r="H95" i="18"/>
  <c r="I95"/>
  <c r="B91" s="1"/>
  <c r="I88"/>
  <c r="B84" s="1"/>
  <c r="H81"/>
  <c r="I81"/>
  <c r="B77" s="1"/>
  <c r="H74"/>
  <c r="I74"/>
  <c r="B70" s="1"/>
  <c r="I67"/>
  <c r="H67"/>
  <c r="H60"/>
  <c r="I60"/>
  <c r="DG342" i="17"/>
  <c r="DG344" s="1"/>
  <c r="DG223" i="20"/>
  <c r="B37" i="23" l="1"/>
  <c r="F37"/>
  <c r="D12" i="7"/>
  <c r="D22"/>
  <c r="M14" i="18"/>
  <c r="J66"/>
  <c r="B63"/>
  <c r="D24" i="7"/>
  <c r="N8" i="18"/>
  <c r="AY190" i="17"/>
  <c r="D10" i="7" s="1"/>
  <c r="I100" i="18"/>
  <c r="L15"/>
  <c r="B55"/>
  <c r="I98"/>
  <c r="H98" s="1"/>
  <c r="E11" i="7"/>
  <c r="I101" i="18"/>
  <c r="I102"/>
  <c r="P10"/>
  <c r="E12" i="7"/>
  <c r="E10"/>
  <c r="M34" i="18"/>
  <c r="M15" s="1"/>
  <c r="H104"/>
  <c r="B190"/>
  <c r="N13"/>
  <c r="P13" s="1"/>
  <c r="B164"/>
  <c r="N11"/>
  <c r="P11" s="1"/>
  <c r="I131"/>
  <c r="N9"/>
  <c r="P9" s="1"/>
  <c r="I112"/>
  <c r="DG327" i="20"/>
  <c r="DG328" s="1"/>
  <c r="DG330" s="1"/>
  <c r="M44" i="18" l="1"/>
  <c r="P102" i="21" s="1"/>
  <c r="P104" s="1"/>
  <c r="B18" i="7"/>
  <c r="B16" l="1"/>
  <c r="B11" s="1"/>
  <c r="N14" i="18"/>
  <c r="P8"/>
  <c r="N60" i="7"/>
  <c r="N59"/>
  <c r="N58"/>
  <c r="N57"/>
  <c r="D26"/>
  <c r="D19"/>
  <c r="D17"/>
  <c r="R13"/>
  <c r="M60"/>
  <c r="M59"/>
  <c r="L60"/>
  <c r="L59"/>
  <c r="L58"/>
  <c r="K60"/>
  <c r="K59"/>
  <c r="E14"/>
  <c r="J59"/>
  <c r="D5"/>
  <c r="D4"/>
  <c r="J19" s="1"/>
  <c r="P14" i="18" l="1"/>
  <c r="O32" s="1"/>
  <c r="P32" s="1"/>
  <c r="Q14"/>
  <c r="O29"/>
  <c r="P29" s="1"/>
  <c r="N64" i="7"/>
  <c r="O24" i="18"/>
  <c r="P24" s="1"/>
  <c r="O20"/>
  <c r="P20" s="1"/>
  <c r="O21"/>
  <c r="P21" s="1"/>
  <c r="K19" i="7"/>
  <c r="E32"/>
  <c r="E31"/>
  <c r="E29"/>
  <c r="D25"/>
  <c r="D23"/>
  <c r="M58"/>
  <c r="R59"/>
  <c r="D6"/>
  <c r="D34" s="1"/>
  <c r="D14"/>
  <c r="D32" s="1"/>
  <c r="B19"/>
  <c r="E28"/>
  <c r="E30"/>
  <c r="J58"/>
  <c r="J60"/>
  <c r="R60" s="1"/>
  <c r="B17"/>
  <c r="O28" i="18" l="1"/>
  <c r="P28" s="1"/>
  <c r="O19"/>
  <c r="O23"/>
  <c r="P23" s="1"/>
  <c r="O22"/>
  <c r="P22" s="1"/>
  <c r="O25"/>
  <c r="P25" s="1"/>
  <c r="O26"/>
  <c r="P26" s="1"/>
  <c r="O31"/>
  <c r="P31" s="1"/>
  <c r="O30"/>
  <c r="P30" s="1"/>
  <c r="O27"/>
  <c r="P27" s="1"/>
  <c r="P19"/>
  <c r="D31" i="7"/>
  <c r="D29"/>
  <c r="L19"/>
  <c r="D7"/>
  <c r="D30"/>
  <c r="D28"/>
  <c r="R11"/>
  <c r="L57"/>
  <c r="L64" s="1"/>
  <c r="K58"/>
  <c r="E36"/>
  <c r="O33" i="18" l="1"/>
  <c r="Q33" s="1"/>
  <c r="Q34" s="1"/>
  <c r="P34" s="1"/>
  <c r="R58" i="7"/>
  <c r="D36"/>
  <c r="Q37" i="18" l="1"/>
  <c r="Q41" s="1"/>
  <c r="DH229" i="17" s="1"/>
  <c r="DI229" s="1"/>
  <c r="Q38" i="18"/>
  <c r="Q42" s="1"/>
  <c r="DH58" i="17" s="1"/>
  <c r="N15" i="18"/>
  <c r="Q36"/>
  <c r="Q40" s="1"/>
  <c r="C24" i="7"/>
  <c r="B5" s="1"/>
  <c r="K18" s="1"/>
  <c r="DI58" i="17"/>
  <c r="DH187"/>
  <c r="DI187" s="1"/>
  <c r="B12" i="7"/>
  <c r="G36"/>
  <c r="C36"/>
  <c r="F36"/>
  <c r="B10" l="1"/>
  <c r="B9"/>
  <c r="R9" s="1"/>
  <c r="DI237" i="17"/>
  <c r="Q44" i="18"/>
  <c r="DH237" i="17"/>
  <c r="K57" i="7"/>
  <c r="K64" s="1"/>
  <c r="R10"/>
  <c r="M57"/>
  <c r="M64" s="1"/>
  <c r="R12"/>
  <c r="B14"/>
  <c r="B31" s="1"/>
  <c r="B22" l="1"/>
  <c r="B4" s="1"/>
  <c r="J57"/>
  <c r="J64" s="1"/>
  <c r="B28"/>
  <c r="B32"/>
  <c r="B30"/>
  <c r="B26"/>
  <c r="B25" s="1"/>
  <c r="B29"/>
  <c r="R57"/>
  <c r="B23" l="1"/>
  <c r="B36"/>
  <c r="B6"/>
  <c r="J18"/>
  <c r="B34" l="1"/>
  <c r="B7"/>
  <c r="L18"/>
</calcChain>
</file>

<file path=xl/sharedStrings.xml><?xml version="1.0" encoding="utf-8"?>
<sst xmlns="http://schemas.openxmlformats.org/spreadsheetml/2006/main" count="71105" uniqueCount="821">
  <si>
    <t>Figure 1</t>
  </si>
  <si>
    <t>Figure 2</t>
  </si>
  <si>
    <t>TEMPLATE</t>
  </si>
  <si>
    <t>Statewide</t>
  </si>
  <si>
    <t>Per-Pupil Revenue</t>
  </si>
  <si>
    <t>District</t>
  </si>
  <si>
    <t>Charter</t>
  </si>
  <si>
    <t>Difference</t>
  </si>
  <si>
    <t>Per-Pupil Revenue by Source</t>
  </si>
  <si>
    <t xml:space="preserve">District </t>
  </si>
  <si>
    <t>PROOF</t>
  </si>
  <si>
    <t>Federal</t>
  </si>
  <si>
    <t>State</t>
  </si>
  <si>
    <t>Local</t>
  </si>
  <si>
    <t>Other</t>
  </si>
  <si>
    <t>Indeterminate</t>
  </si>
  <si>
    <t>Total</t>
  </si>
  <si>
    <t>Enrollment</t>
  </si>
  <si>
    <t>Number of Charters</t>
  </si>
  <si>
    <t>Total Revenue</t>
  </si>
  <si>
    <t>Percentage of Revenue by Source</t>
  </si>
  <si>
    <t>Figure 4</t>
  </si>
  <si>
    <t>Change in district school funding if subjected to charter funding structure</t>
  </si>
  <si>
    <t xml:space="preserve">Federal </t>
  </si>
  <si>
    <t xml:space="preserve">Other </t>
  </si>
  <si>
    <t>Statewide-District</t>
  </si>
  <si>
    <t>Statewide-Charter</t>
  </si>
  <si>
    <t>N/A</t>
  </si>
  <si>
    <t>OTHER FINANCING SOURCES</t>
  </si>
  <si>
    <t>JUVENILE JUSTICE</t>
  </si>
  <si>
    <t>TOTAL</t>
  </si>
  <si>
    <t>DISTRICT</t>
  </si>
  <si>
    <t>South Carolina
2006-2007</t>
  </si>
  <si>
    <t>Greenville</t>
  </si>
  <si>
    <t>South Carolina</t>
  </si>
  <si>
    <t>Greenville District</t>
  </si>
  <si>
    <t>Greenville Charter</t>
  </si>
  <si>
    <t>|</t>
  </si>
  <si>
    <t xml:space="preserve">ABBEVILLE   </t>
  </si>
  <si>
    <t xml:space="preserve">AIKEN       </t>
  </si>
  <si>
    <t xml:space="preserve">ALLENDALE    </t>
  </si>
  <si>
    <t>ANDERSON CTY BD</t>
  </si>
  <si>
    <t>REVENUE FROM LOCAL SOURCES:</t>
  </si>
  <si>
    <t>TAXES ASSESSED/LEVIED BY LEA:</t>
  </si>
  <si>
    <t>AD VALOREM TAXES (FISC INDEPEN)</t>
  </si>
  <si>
    <t>PENALTY/INT ON TAX (FISC INDEP)</t>
  </si>
  <si>
    <t>OTHER TAXES (FISCALLY INDEPEN)</t>
  </si>
  <si>
    <t>REV FR LOC GOV UNIT OTH THAN LEA:</t>
  </si>
  <si>
    <t>AD VALOREM TAX (FISC DEPENDENT)</t>
  </si>
  <si>
    <t>PENALTY/INT ON TAX (FISC DEPEN)</t>
  </si>
  <si>
    <t>REV IN LIEU OF TAX (INDEP &amp; DEP)</t>
  </si>
  <si>
    <t>OTHER TAXES (FISCALLY DEPENDENT)</t>
  </si>
  <si>
    <t>TUITION:</t>
  </si>
  <si>
    <t>REGULAR DAY SCHOOL FRM PATRONS</t>
  </si>
  <si>
    <t>REG DAY SCHL FROM OTHER LEA'S</t>
  </si>
  <si>
    <t>ADULT/CONT ED FROM PATRONS</t>
  </si>
  <si>
    <t>ADULT/CONT ED FROM OTHER LEA'S</t>
  </si>
  <si>
    <t>SUMMER SCHOOL FROM PATRONS</t>
  </si>
  <si>
    <t>SUMMER SCHOOL FROM OTHER LEA'S</t>
  </si>
  <si>
    <t>TRANSPORTATION FEES:</t>
  </si>
  <si>
    <t>REGULAR DAY SCHL FRM OTH LEA'S</t>
  </si>
  <si>
    <t>SUMMER SCHOOL FRM PATRONS</t>
  </si>
  <si>
    <t>EARNINGS ON INVESTMENTS:</t>
  </si>
  <si>
    <t>INTEREST ON INVESTMENTS</t>
  </si>
  <si>
    <t>DIVIDENDS ON INVESTMENTS</t>
  </si>
  <si>
    <t>GAIN/LOSS ON SALE OF INVEST</t>
  </si>
  <si>
    <t>FOOD SERVICE:</t>
  </si>
  <si>
    <t>LUNCH SALES TO PUPILS</t>
  </si>
  <si>
    <t>BREAKFAST SALES TO PUPILS</t>
  </si>
  <si>
    <t>SPECIAL SALES TO PUPILS</t>
  </si>
  <si>
    <t>LUNCH SALES TO ADULTS</t>
  </si>
  <si>
    <t>BREAKFAST SALES TO ADULTS</t>
  </si>
  <si>
    <t>SPECIAL SALES TO ADULTS</t>
  </si>
  <si>
    <t>PUPIL ACTIVITIES:</t>
  </si>
  <si>
    <t>ADMISSIONS</t>
  </si>
  <si>
    <t>BOOKSTORE SALES</t>
  </si>
  <si>
    <t>PUPIL ORGANIZATION MEMBER DUES</t>
  </si>
  <si>
    <t>STUDENT FEES</t>
  </si>
  <si>
    <t>OTHER PUPIL ACTIVITY</t>
  </si>
  <si>
    <t>OTHER REVENUE FROM LOCAL SOURCES</t>
  </si>
  <si>
    <t>RENTALS</t>
  </si>
  <si>
    <t>CONTRIB/DONAT FRM PRIV SOURCE</t>
  </si>
  <si>
    <t>MEDICAID RECEIPTS</t>
  </si>
  <si>
    <t>MEDICAID THERAPY ADJUSTMENT</t>
  </si>
  <si>
    <t>REFUND-PRIOR YR'S EXPENDITURES</t>
  </si>
  <si>
    <t>MISCELLANEOUS LOCAL REVENUE:</t>
  </si>
  <si>
    <t>CANTEEN OPERATIONS</t>
  </si>
  <si>
    <t>RECEIPT OF INSURANCE PROCEEDS</t>
  </si>
  <si>
    <t>RECEIPT OF LEGAL SETTLEMENTS</t>
  </si>
  <si>
    <t>REVENUES FRM OTH LOCAL SOURCES</t>
  </si>
  <si>
    <t>*****</t>
  </si>
  <si>
    <t>TOTAL REVENUE LOCAL SOURCES:</t>
  </si>
  <si>
    <t>INTERGOVERNMENTAL REVENUES:</t>
  </si>
  <si>
    <t>PAYMENTS FROM OTHER GOVERNMENTAL UN</t>
  </si>
  <si>
    <t>PAYMENTS FROM PUB CHARTER SCHOOL</t>
  </si>
  <si>
    <t>PAYMENT FROM NON-PROFIT ENTITIES (F</t>
  </si>
  <si>
    <t>PAYMENTS FROM NON-PROFIT ENTITIES</t>
  </si>
  <si>
    <t>TOTAL INTERGOVERNMENTAL REVENUE:</t>
  </si>
  <si>
    <t>REVENUE FROM STATE SOURCES:</t>
  </si>
  <si>
    <t>RESTRICTED STATE GRANTS:</t>
  </si>
  <si>
    <t>OCCUPATIONAL EDUCATION:</t>
  </si>
  <si>
    <t>NURSING PROGRAM</t>
  </si>
  <si>
    <t>12-MONTH AGRICULTURE PROGRAM</t>
  </si>
  <si>
    <t>EEDA 8TH GRADE AWARENESS</t>
  </si>
  <si>
    <t>EEDA CAREER SPECIALISTS</t>
  </si>
  <si>
    <t>GENERAL EDUCATION:</t>
  </si>
  <si>
    <t>COMPREHENSIVE REMEDIATION SUMMER SC</t>
  </si>
  <si>
    <t>INCREASE HIGH SCHOOL DIPLOMA CREDIT</t>
  </si>
  <si>
    <t>EAA ALTERNATIVE SCHOOLS GRANT</t>
  </si>
  <si>
    <t>CTE TECHNOLOGY INITIATIVE</t>
  </si>
  <si>
    <t>CAREER &amp; TECHNOLOGY EDUC EQUIPMENT</t>
  </si>
  <si>
    <t>REFURBISH SCIENCE KITS</t>
  </si>
  <si>
    <t>STUDENT HEALTH AND FITNESS</t>
  </si>
  <si>
    <t>EAA REDUCE CLASS SIZE GRADES 1-3</t>
  </si>
  <si>
    <t>SPECIAL PROGRAMS:</t>
  </si>
  <si>
    <t>HANDICAP TRANSPORTATION</t>
  </si>
  <si>
    <t>HOME SCHOOLING</t>
  </si>
  <si>
    <t>CHILD DEVELOP. EDUCATION PILOT PROGRAM</t>
  </si>
  <si>
    <t>PRESCH PRO FOR CHLDRN W/DISABIL</t>
  </si>
  <si>
    <t>SCHOOL LUNCH:</t>
  </si>
  <si>
    <t>SUPERVISOR'S SALARY</t>
  </si>
  <si>
    <t>PROGRAM AID</t>
  </si>
  <si>
    <t>ADULT EDUCATION:</t>
  </si>
  <si>
    <t>BASIC</t>
  </si>
  <si>
    <t>ADULT ED - LITERACY</t>
  </si>
  <si>
    <t>VEHICLE TITLE TRANSFER FEE - ADULT</t>
  </si>
  <si>
    <t>YOUNG ADULT POPULATION - ADULT ED</t>
  </si>
  <si>
    <t>SCHOOL BUS DRIVER'S SALARY</t>
  </si>
  <si>
    <t>EAA BUS DRIVER SALARY AND FRINGE</t>
  </si>
  <si>
    <t>TRANSPORTATION WORKER'S COMP.</t>
  </si>
  <si>
    <t>CDEPP TRANSPORTATION</t>
  </si>
  <si>
    <t>EEDA TRANSPORTATION</t>
  </si>
  <si>
    <t>STATE SCHOOL BUILDING AID</t>
  </si>
  <si>
    <t>CHLDRN EDUC ENDOWMENT-FACILITY</t>
  </si>
  <si>
    <t>STATE SCHOOL FACILITIES BOND ACT</t>
  </si>
  <si>
    <t>FRINGE BENEFITS EMPLOYER CONTR</t>
  </si>
  <si>
    <t>RETIREE INSURANCE</t>
  </si>
  <si>
    <t>HEALTH/DENTAL PART TIME EMPLOY</t>
  </si>
  <si>
    <t>NATIONAL BOARD SALARY SUPPLEMENT</t>
  </si>
  <si>
    <t>MISC RESTRICTED STATE GRANTS:</t>
  </si>
  <si>
    <t>EXCELLENCE IN MIDDLE SCHOOLS</t>
  </si>
  <si>
    <t>SCHOOL SAFETY OFFICER</t>
  </si>
  <si>
    <t>EDUCATION LICENSE PLATES</t>
  </si>
  <si>
    <t>EAA RETRAINING GRANT</t>
  </si>
  <si>
    <t>HIGH SCHOOL READING INITIATIVE</t>
  </si>
  <si>
    <t xml:space="preserve">EAA PRIN/TEACH SPECIALIST ON SITE </t>
  </si>
  <si>
    <t>TECHNOLOGY PROFESSIONAL DEVELOPMENT</t>
  </si>
  <si>
    <t>OTHER RESTRICTED STATE GRANTS</t>
  </si>
  <si>
    <t>UNRESTRICTED GRANTS:</t>
  </si>
  <si>
    <t>ATTENDANCE SUPERVISOR'S SALARY</t>
  </si>
  <si>
    <t>REIMBURSEMENT FOR DISTRICT SERV</t>
  </si>
  <si>
    <t>MISC UNRESTRICTED STATE GRANTS:</t>
  </si>
  <si>
    <t>OTHER UNRESTRICTED STATE GRANTS</t>
  </si>
  <si>
    <t>EDUCATION FINANCE ACT:</t>
  </si>
  <si>
    <t>FULL-TIME PROGRAMS:</t>
  </si>
  <si>
    <t>KINDERGARTEN</t>
  </si>
  <si>
    <t>PRIMARY</t>
  </si>
  <si>
    <t>ELEMENTARY</t>
  </si>
  <si>
    <t>HIGH SCHOOL</t>
  </si>
  <si>
    <t>TRAINABLE MENTALLY HANDICAPPED</t>
  </si>
  <si>
    <t>SPEECH HANDICAPPED (PART-TIME)</t>
  </si>
  <si>
    <t>HOMEBOUND</t>
  </si>
  <si>
    <t>EFA UNDERPAYMENT</t>
  </si>
  <si>
    <t>PART-TIME PROGRAMS:</t>
  </si>
  <si>
    <t>EMOTIONALLY HANDICAPPED</t>
  </si>
  <si>
    <t>EDUCABLE MENTALLY HANDICAPPED</t>
  </si>
  <si>
    <t>LEARNING DISIBILITIES</t>
  </si>
  <si>
    <t>HEARING HANDICAPPED</t>
  </si>
  <si>
    <t>VISUALLY HANDICAPPED</t>
  </si>
  <si>
    <t>ORTHOPEDICALLY HANDICAPPED</t>
  </si>
  <si>
    <t>VOCATIONAL</t>
  </si>
  <si>
    <t>OTHER EFA PROGRAMS:</t>
  </si>
  <si>
    <t>AUTISM</t>
  </si>
  <si>
    <t>OTHER EFA PROGRAMS</t>
  </si>
  <si>
    <t>INCREASE HS DIPLOMA REQUIREMENTS</t>
  </si>
  <si>
    <t>SCHOOL TECHNOLOGY INITIATIVE</t>
  </si>
  <si>
    <t>SCHOOL INNOVATION FUNDS</t>
  </si>
  <si>
    <t>ARTS IN EDUCATION</t>
  </si>
  <si>
    <t>PARENT/FAMILY LITRCY (CARRYOVER PRO</t>
  </si>
  <si>
    <t>ADVANCED PLACEMENT COURSES</t>
  </si>
  <si>
    <t>ADVANCED PLACEMENT-SINGLETON</t>
  </si>
  <si>
    <t>GIFTED AND TALENTED-ACADEMIC</t>
  </si>
  <si>
    <t>GIFTED AND TALENTED-ARTISTIC</t>
  </si>
  <si>
    <t>JUNIOR SCHOLARS PROGRAM</t>
  </si>
  <si>
    <t>NETWORKING PROGRAM(CAREER &amp; TECH)</t>
  </si>
  <si>
    <t>CAREER &amp; TECHNOLOGY EDUCATION EQUIP</t>
  </si>
  <si>
    <t>CRITICAL TEACHING NEEDS</t>
  </si>
  <si>
    <t>TRAIN/PROFOUN MENT DISABLE STUDENT</t>
  </si>
  <si>
    <t xml:space="preserve">NATIONAL BOARD CERTIFICATION </t>
  </si>
  <si>
    <t>TEACHER OF THE YEAR AWARDS</t>
  </si>
  <si>
    <t>PROFESSIONAL DEVELOP. ON STANDARDS</t>
  </si>
  <si>
    <t>GOVERNOR'S INSTITUTE OF READING</t>
  </si>
  <si>
    <t>4-YR-OLD EARLY CHILDHOOD</t>
  </si>
  <si>
    <t>EARLY INTERVENTION PRESCHOOL HANDIC</t>
  </si>
  <si>
    <t>ACAD ASST K-3 (CARRYOVER PROVISION)</t>
  </si>
  <si>
    <t>ACADEM ASSIST 4-12 (CARRYOVER PROVI</t>
  </si>
  <si>
    <t>ACADEM ASSIST READING RECOVERY</t>
  </si>
  <si>
    <t>TEACHER SALARY INCREASE</t>
  </si>
  <si>
    <t>ADULT EDUCATION-REMEDIAL</t>
  </si>
  <si>
    <t>SCHOOL EMPLOYER CONTRIBUTIONS</t>
  </si>
  <si>
    <t>STATEWIDE SYSTEM INIT-MTH &amp; SCI</t>
  </si>
  <si>
    <t>ADULT ED BASIC</t>
  </si>
  <si>
    <t>YOUNG ADULT EDUCATION - EIA</t>
  </si>
  <si>
    <t>ADULT EDUCATION LITERACY</t>
  </si>
  <si>
    <t>EAA TECHNICAL ASSISTANCE</t>
  </si>
  <si>
    <t>TECHNICAL ASSISTANCE TAP</t>
  </si>
  <si>
    <t>INTERVENTION AND ASSISTANCE</t>
  </si>
  <si>
    <t>COMPETITIVE TEACHER GRANTS</t>
  </si>
  <si>
    <t>TEACHER SUPPLIES</t>
  </si>
  <si>
    <t>HIGH SCHOOLS THAT WORK</t>
  </si>
  <si>
    <t>PRINCIPAL SALARY/FRINGE INCREASE</t>
  </si>
  <si>
    <t>SUMMER SCHOOL/COMPREHENSIVE REMEDIA</t>
  </si>
  <si>
    <t>PALMETTO GOLD AND SILVER</t>
  </si>
  <si>
    <t>REALLOCATION OF EIA FUNDS (SCH BLDG)</t>
  </si>
  <si>
    <t>SCH-TO-WORK TRANSITION</t>
  </si>
  <si>
    <t>REDUCE CLASS SIZE</t>
  </si>
  <si>
    <t>EAA-HOMEWORK CENTERS(IMPAIRED DIST)</t>
  </si>
  <si>
    <t>EAA ALTERNATIVE SCHOOLS</t>
  </si>
  <si>
    <t>BUS DRIVER'S SALARY SUPPLEMENT</t>
  </si>
  <si>
    <t>OTHER EIA</t>
  </si>
  <si>
    <t>EDUCATION LOTTERY REVENUE</t>
  </si>
  <si>
    <t>EAA HOMEWORK CENTERS</t>
  </si>
  <si>
    <t>EAA RETRAINING GRANTS</t>
  </si>
  <si>
    <t>EAA PALMETTO GOLD &amp; SILVER AWARDS</t>
  </si>
  <si>
    <t>MATH AND SCIENCE COACHES</t>
  </si>
  <si>
    <t>6-8 ENHANCEMENT LOTTERY</t>
  </si>
  <si>
    <t>K-5 MATH AND SCIENCE</t>
  </si>
  <si>
    <t>OTHER STATE LOTTERY PROGRAMS</t>
  </si>
  <si>
    <t>STATE REVENUE IN LIEU OF TAXES:</t>
  </si>
  <si>
    <t>REIMBURSE-LOC PROP TAX RELIEF</t>
  </si>
  <si>
    <t>HOMESTEAD EXEMPTION</t>
  </si>
  <si>
    <t>MERCHANTS INVENTORY TAX</t>
  </si>
  <si>
    <t>MANUFACTURER'S DEPREC REIMBURSEMENT</t>
  </si>
  <si>
    <t>OTHER STATE PROPERTY TAX REVENUE</t>
  </si>
  <si>
    <t>OTHER STATE REVENUE:</t>
  </si>
  <si>
    <t>ADEPT</t>
  </si>
  <si>
    <t>SC FOREST COMMISSION REVENUE</t>
  </si>
  <si>
    <t>REVENUE FRM OTH STATE SOURCES</t>
  </si>
  <si>
    <t>TOTAL REVENUE STATE SOURCES:</t>
  </si>
  <si>
    <t>REVENUE FROM FEDERAL SOURCES:</t>
  </si>
  <si>
    <t>FEDERALLY IMPACTED AREAS:</t>
  </si>
  <si>
    <t>MAINTEN &amp; OPERATIONS (P.L.874)</t>
  </si>
  <si>
    <t>VOCATIONAL AID (TITLE I)</t>
  </si>
  <si>
    <t>TECH PREP EDUCATION (TITLE II)</t>
  </si>
  <si>
    <t>SCHOOL TO WORK - IMPLEMENTATION</t>
  </si>
  <si>
    <t>ELEM &amp; SECOND EDUC ACT OF 1965:</t>
  </si>
  <si>
    <t>TITLE I</t>
  </si>
  <si>
    <t>TITLE VI/RURAL &amp; LOW INCOME SCHOOL</t>
  </si>
  <si>
    <t>SC READING FIRST</t>
  </si>
  <si>
    <t>PUBLIC CHARTER SCHOOL GRANT</t>
  </si>
  <si>
    <t>MATH &amp; SCIENCE PARTNERSHIPS</t>
  </si>
  <si>
    <t>TITLE II-ENCHANCING EDUC THRU TECHN</t>
  </si>
  <si>
    <t>INNOVATIVE EDUCATION PROGRAM STRATE</t>
  </si>
  <si>
    <t>TITLE III-LANG INSTRUCTION/LIMITED</t>
  </si>
  <si>
    <t>CLASS SIZE REDUCTION PROGRAM</t>
  </si>
  <si>
    <t>IMPROVING TEACHER QUALITY (NCLB)</t>
  </si>
  <si>
    <t>EVEN START FAMILY LITERACY</t>
  </si>
  <si>
    <t>COMPREHENSIVE SCHOOL REFORM DEM</t>
  </si>
  <si>
    <t>OTHER ESEA</t>
  </si>
  <si>
    <t>OTHER ADULT EDUCATION</t>
  </si>
  <si>
    <t>PROG FOR CHILDREN W/DISABILITIES:</t>
  </si>
  <si>
    <t>EDUC OF HNDCAP ACT P.L.94-142</t>
  </si>
  <si>
    <t>INDIV W/DISABILITIES ED ACT(IDEA)</t>
  </si>
  <si>
    <t>USDA REIMBURSEMENT:</t>
  </si>
  <si>
    <t>SCHOOL LUNCH AND AFTER SCHOOL SNACK</t>
  </si>
  <si>
    <t>SCHOOL BREAKFAST PROGRAM</t>
  </si>
  <si>
    <t xml:space="preserve">CASH IN LIEU OF COMMODITIES </t>
  </si>
  <si>
    <t>OTHER FEDERAL SOURCES:</t>
  </si>
  <si>
    <t>DRUG &amp; VIOLENCE PREVENT PROGRAM</t>
  </si>
  <si>
    <t>21ST CENTURY COMMUNITY LEARNING</t>
  </si>
  <si>
    <t>JOB TRAINING PARTNERSHIP ACT</t>
  </si>
  <si>
    <t>INDIVIDUAL DISABILITIES EDUCATION A</t>
  </si>
  <si>
    <t>USDA COMMODITIES (FOOD DISTRIB PROG)</t>
  </si>
  <si>
    <t>U S FOREST COMMISSION REVENUE</t>
  </si>
  <si>
    <t>FEMA DISASTER ASSISTANCE</t>
  </si>
  <si>
    <t>TEMPORARY EMERGENCY IMPACT AID DISP</t>
  </si>
  <si>
    <t>CDC STATE &amp; LOCAL COORDINATED SCH H</t>
  </si>
  <si>
    <t>LEARN &amp; SERVE AMERICA</t>
  </si>
  <si>
    <t>BEFORE/AFTER SCHOOL DAY CARE</t>
  </si>
  <si>
    <t>REVENUE FRM OTH FEDERAL SOURCES</t>
  </si>
  <si>
    <t>TOTAL REVENUE FEDERAL SOURCES:</t>
  </si>
  <si>
    <t>OTHER SOURCES:</t>
  </si>
  <si>
    <t>PREMIUM ON BONDS SOLD</t>
  </si>
  <si>
    <t>PROCEEDS FRM GEN OBLICATION BONDS</t>
  </si>
  <si>
    <t>INSTALLMENT PURCHASE REVENUE PROCEE</t>
  </si>
  <si>
    <t>PROCEEDS OF REFUNDING DEBT</t>
  </si>
  <si>
    <t>INTERFUND TRANSFERS:</t>
  </si>
  <si>
    <t>TRANSFER FROM GENERAL FUND</t>
  </si>
  <si>
    <t>TRANSFER FROM SPECIAL REVENUE FUND</t>
  </si>
  <si>
    <t>TRANSFER FROM EIA FUND</t>
  </si>
  <si>
    <t>TRANSFER FROM DEBT SERVICE FUND</t>
  </si>
  <si>
    <t>TRANSFER FROM SCHOOL BUILDING FND</t>
  </si>
  <si>
    <t>TRANSFER FROM FOOD SERVICE FUND</t>
  </si>
  <si>
    <t>TRANSFER FROM PUPIL ACTIVITY FUND</t>
  </si>
  <si>
    <t>TRANSFER FRM OTH FUNDS-INDIR COST</t>
  </si>
  <si>
    <t>SALE OF FIXED ASSETS</t>
  </si>
  <si>
    <t>PROCEEDS FRM LONG-TERM NOTES</t>
  </si>
  <si>
    <t>CAPITAL LEASE</t>
  </si>
  <si>
    <t>LEASE PURCHASE</t>
  </si>
  <si>
    <t>MISCELLANEOUS SOURCES:</t>
  </si>
  <si>
    <t>TOTAL OTHER SOURCES:</t>
  </si>
  <si>
    <t>TOTAL REVENUE ALL SOURCES</t>
  </si>
  <si>
    <t>TOTAL REVENUE LESS OTHER SOURCES:</t>
  </si>
  <si>
    <t>ANDERSON 01</t>
  </si>
  <si>
    <t>ANDERSON 02</t>
  </si>
  <si>
    <t>ANDERSON 03</t>
  </si>
  <si>
    <t>ANDERSON 04</t>
  </si>
  <si>
    <t>ANDERSON 05</t>
  </si>
  <si>
    <t>ANDERSON ALT SCHOOL</t>
  </si>
  <si>
    <t>ANDERSON 1&amp;2 CC</t>
  </si>
  <si>
    <t>BAMBERG 01</t>
  </si>
  <si>
    <t>BAMBERG 02</t>
  </si>
  <si>
    <t>BARNWELL 19</t>
  </si>
  <si>
    <t>BARNWELL 29</t>
  </si>
  <si>
    <t>BARNWELL 45</t>
  </si>
  <si>
    <t>BARNWELL VOC CEN</t>
  </si>
  <si>
    <t xml:space="preserve">BEAUFORT </t>
  </si>
  <si>
    <t>BEAUFORT-JASPER CEC</t>
  </si>
  <si>
    <t xml:space="preserve">BERKELEY    </t>
  </si>
  <si>
    <t xml:space="preserve">CALHOUN     </t>
  </si>
  <si>
    <t xml:space="preserve">CHARLESTON  </t>
  </si>
  <si>
    <t xml:space="preserve">CHEROKEE     </t>
  </si>
  <si>
    <t xml:space="preserve">CHESTER      </t>
  </si>
  <si>
    <t>CHESTERFIELD</t>
  </si>
  <si>
    <t>CLARENDON 01</t>
  </si>
  <si>
    <t>CLARENDON 02</t>
  </si>
  <si>
    <t>CLARENDON 03</t>
  </si>
  <si>
    <t>F.E. DUBOSE CC</t>
  </si>
  <si>
    <t xml:space="preserve">COLLETON    </t>
  </si>
  <si>
    <t xml:space="preserve">DARLINGTON   </t>
  </si>
  <si>
    <t>DILLON CTY BD</t>
  </si>
  <si>
    <t>DILLON 01</t>
  </si>
  <si>
    <t>DILLON 02</t>
  </si>
  <si>
    <t>DILLON 03</t>
  </si>
  <si>
    <t>DILLON ATC</t>
  </si>
  <si>
    <t>DORCHESTER  02</t>
  </si>
  <si>
    <t>DORCHESTER 04</t>
  </si>
  <si>
    <t>DORCHESTER CAR SCH</t>
  </si>
  <si>
    <t xml:space="preserve">EDGEFIELD  </t>
  </si>
  <si>
    <t xml:space="preserve">FAIRFIELD   </t>
  </si>
  <si>
    <t>FLORENCE 01</t>
  </si>
  <si>
    <t>FLORENCE 02</t>
  </si>
  <si>
    <t>FLORENCE 03</t>
  </si>
  <si>
    <t>FLORENCE 04</t>
  </si>
  <si>
    <t>FLORENCE 05</t>
  </si>
  <si>
    <t xml:space="preserve">GEORGETOWN  </t>
  </si>
  <si>
    <t xml:space="preserve">GREENVILLE   </t>
  </si>
  <si>
    <t>GREENWOOD 50</t>
  </si>
  <si>
    <t>GREENWOOD 51</t>
  </si>
  <si>
    <t>GREENWOOD 52</t>
  </si>
  <si>
    <t>GREENWOOD VOC FAC</t>
  </si>
  <si>
    <t>HAMPTON 01</t>
  </si>
  <si>
    <t>HAMPTON 02</t>
  </si>
  <si>
    <t xml:space="preserve">HORRY       </t>
  </si>
  <si>
    <t xml:space="preserve">JASPER       </t>
  </si>
  <si>
    <t xml:space="preserve">KERSHAW     </t>
  </si>
  <si>
    <t xml:space="preserve">LANCASTER    </t>
  </si>
  <si>
    <t>LAURENS 55</t>
  </si>
  <si>
    <t>LAURENS 56</t>
  </si>
  <si>
    <t xml:space="preserve">LEE         </t>
  </si>
  <si>
    <t>LEXINGTON 01</t>
  </si>
  <si>
    <t>LEXINGTON 02</t>
  </si>
  <si>
    <t>LEXINGTON 03</t>
  </si>
  <si>
    <t>LEXINGTON 04</t>
  </si>
  <si>
    <t>LEXINGTON 05</t>
  </si>
  <si>
    <t xml:space="preserve">MCCORMICK    </t>
  </si>
  <si>
    <t>MARION CTY BD</t>
  </si>
  <si>
    <t>MARION 01</t>
  </si>
  <si>
    <t>MARION 02</t>
  </si>
  <si>
    <t>MARION 07</t>
  </si>
  <si>
    <t>MARION VOC CTR</t>
  </si>
  <si>
    <t xml:space="preserve">MARLBORO    </t>
  </si>
  <si>
    <t xml:space="preserve">NEWBERRY     </t>
  </si>
  <si>
    <t xml:space="preserve">OCONEE       </t>
  </si>
  <si>
    <t>ORANGEBURG CTY BD</t>
  </si>
  <si>
    <t>ORANGEBURG 03</t>
  </si>
  <si>
    <t>ORANGEBURG 04</t>
  </si>
  <si>
    <t>ORANGEBURG 05</t>
  </si>
  <si>
    <t>COPE AVC</t>
  </si>
  <si>
    <t xml:space="preserve">PICKENS     </t>
  </si>
  <si>
    <t>RICHLAND 01</t>
  </si>
  <si>
    <t>RICHLAND 02</t>
  </si>
  <si>
    <t xml:space="preserve">SALUDA      </t>
  </si>
  <si>
    <t>SPARTANBURG 01</t>
  </si>
  <si>
    <t>SPARTANBURG 02</t>
  </si>
  <si>
    <t>SPARTANBURG 03</t>
  </si>
  <si>
    <t>SPARTANBURG 04</t>
  </si>
  <si>
    <t>SPARTANBURG 05</t>
  </si>
  <si>
    <t>SPARTANBURG 06</t>
  </si>
  <si>
    <t>SPARTANBURG 07</t>
  </si>
  <si>
    <t>DAN MORGAN VOC CEN</t>
  </si>
  <si>
    <t>R.D. ANDERSON ATC</t>
  </si>
  <si>
    <t>H.B. SWOFFORD CC</t>
  </si>
  <si>
    <t>SUMTER 02</t>
  </si>
  <si>
    <t>SUMTER  17</t>
  </si>
  <si>
    <t>SUMTER CC</t>
  </si>
  <si>
    <t xml:space="preserve">UNION        </t>
  </si>
  <si>
    <t xml:space="preserve">WILLIAMSBURG </t>
  </si>
  <si>
    <t>YORK 01</t>
  </si>
  <si>
    <t>YORK 02</t>
  </si>
  <si>
    <t>YORK 03</t>
  </si>
  <si>
    <t>YORK 04</t>
  </si>
  <si>
    <t>PALMETTO UNIFIED</t>
  </si>
  <si>
    <t>REGULAR DIST.TOTALS</t>
  </si>
  <si>
    <t>SPECIAL DIST.TOTALS</t>
  </si>
  <si>
    <t>STATE TOTALS</t>
  </si>
  <si>
    <t>Items Removed -- Not Study Revenues</t>
  </si>
  <si>
    <t>X</t>
  </si>
  <si>
    <t>H</t>
  </si>
  <si>
    <t>L</t>
  </si>
  <si>
    <t>O</t>
  </si>
  <si>
    <t>S</t>
  </si>
  <si>
    <t>F</t>
  </si>
  <si>
    <t>LOCAL</t>
  </si>
  <si>
    <t>OTHER</t>
  </si>
  <si>
    <t>STATE</t>
  </si>
  <si>
    <t>FEDERAL</t>
  </si>
  <si>
    <t>INDETERMINATE</t>
  </si>
  <si>
    <t>Line Items Removed -- Not Study Revenues</t>
  </si>
  <si>
    <t>Greenville Technical Charter High School</t>
  </si>
  <si>
    <t>Intergovt.</t>
  </si>
  <si>
    <t>General</t>
  </si>
  <si>
    <t>Fund</t>
  </si>
  <si>
    <t>Special</t>
  </si>
  <si>
    <t>Revenue</t>
  </si>
  <si>
    <t xml:space="preserve">   Total</t>
  </si>
  <si>
    <t>Totals</t>
  </si>
  <si>
    <t>Meyer Center for Special Children</t>
  </si>
  <si>
    <t>Base Funding in 2007:</t>
  </si>
  <si>
    <t>Base</t>
  </si>
  <si>
    <t>Charter School</t>
  </si>
  <si>
    <t>Wohali
Academy</t>
  </si>
  <si>
    <t>Langston Charter Middle School</t>
  </si>
  <si>
    <t>Brasher Middle College Charter High School</t>
  </si>
  <si>
    <t>Fuller Normal Advanced Technolgy Charter School</t>
  </si>
  <si>
    <t>Charleston</t>
  </si>
  <si>
    <t>Charter Schools:</t>
  </si>
  <si>
    <t>Charleston Development Academy</t>
  </si>
  <si>
    <t>James Island Charter High School</t>
  </si>
  <si>
    <t>East Cooper Montessori Charter School</t>
  </si>
  <si>
    <t>Orange Grove Elementary Charter School</t>
  </si>
  <si>
    <t>Richland 1</t>
  </si>
  <si>
    <t>Midlands Math &amp; Business Academy</t>
  </si>
  <si>
    <t>Carolina School for Inquiry</t>
  </si>
  <si>
    <t xml:space="preserve">Total </t>
  </si>
  <si>
    <t>Lee</t>
  </si>
  <si>
    <t>MLD Higher Learning Academy</t>
  </si>
  <si>
    <t>Lancaster</t>
  </si>
  <si>
    <t>The Discovery School</t>
  </si>
  <si>
    <t>Chester</t>
  </si>
  <si>
    <t>Academy for Teaching and Learning</t>
  </si>
  <si>
    <t># of Charters</t>
  </si>
  <si>
    <t>Actual Revenue</t>
  </si>
  <si>
    <t>Estimated Revenue</t>
  </si>
  <si>
    <t>Per Pupil Revenue</t>
  </si>
  <si>
    <t>Richland One</t>
  </si>
  <si>
    <t>Actual</t>
  </si>
  <si>
    <t>Charter Schools Requiring an Estimate of Revenues:</t>
  </si>
  <si>
    <t>Bridgewater Academy (Horry)</t>
  </si>
  <si>
    <t>Aiken Performing Arts Academy (Aiken)</t>
  </si>
  <si>
    <t>Children's Attention Home (Rock Hill 3)</t>
  </si>
  <si>
    <t>Charles Aiken Academy (Greenville)</t>
  </si>
  <si>
    <t>Choices (Darlington/Florence One)</t>
  </si>
  <si>
    <t>Fox Creek High School (Edgefield)</t>
  </si>
  <si>
    <t>Lloyd Kennedy Charter (Aiken)</t>
  </si>
  <si>
    <t>Greenville without Meyer Center</t>
  </si>
  <si>
    <t>Greenville with Meyer Center</t>
  </si>
  <si>
    <t>Greenville (without Meyer Center)</t>
  </si>
  <si>
    <t>Susan G. Boykin Academy (Charleston)</t>
  </si>
  <si>
    <t>Phoenix Charter High School (Clarendon 2)</t>
  </si>
  <si>
    <t>Palmetto Youth Academy (Forence One)</t>
  </si>
  <si>
    <t>Midland Valley Preparatory School (Aiken)</t>
  </si>
  <si>
    <t>Youth Academy Charter School (Williamsburg)</t>
  </si>
  <si>
    <t>Youth Build Charleston (Charleston)</t>
  </si>
  <si>
    <t>Richland One Middle College (Richland One)</t>
  </si>
  <si>
    <t>MeyerCenter for Special Children (Greenville)</t>
  </si>
  <si>
    <t>Estimated</t>
  </si>
  <si>
    <t>Less Charter</t>
  </si>
  <si>
    <t>Revenues</t>
  </si>
  <si>
    <t>STATE - DISTRICT</t>
  </si>
  <si>
    <t>REVENUES</t>
  </si>
  <si>
    <t>CHARTER</t>
  </si>
  <si>
    <t>REVENUE</t>
  </si>
  <si>
    <t>S.C. PUBLIC SCHOOL 135-DAY AVERAGE DAILY MEMBERSHIP BY GRADE, BY DISTRICT, 2006-07</t>
  </si>
  <si>
    <t>KIND</t>
  </si>
  <si>
    <t>GRADE</t>
  </si>
  <si>
    <t>ABBEVILLE</t>
  </si>
  <si>
    <t>AIKEN</t>
  </si>
  <si>
    <t>ALLENDALE</t>
  </si>
  <si>
    <t>ANDERSON 1</t>
  </si>
  <si>
    <t>ANDERSON 2</t>
  </si>
  <si>
    <t>ANDERSON 3</t>
  </si>
  <si>
    <t>ANDERSON 4</t>
  </si>
  <si>
    <t>ANDERSON 5</t>
  </si>
  <si>
    <t>BAMBERG 1</t>
  </si>
  <si>
    <t>BAMBERG 2</t>
  </si>
  <si>
    <t>BEAUFORT</t>
  </si>
  <si>
    <t>BERKELEY</t>
  </si>
  <si>
    <t>CALHOUN</t>
  </si>
  <si>
    <t>CHARLESTON</t>
  </si>
  <si>
    <t>CHEROKEE</t>
  </si>
  <si>
    <t>CHESTER</t>
  </si>
  <si>
    <t>CLARENDON 1</t>
  </si>
  <si>
    <t>CLARENDON 2</t>
  </si>
  <si>
    <t>CLARENDON 3</t>
  </si>
  <si>
    <t>COLLETON</t>
  </si>
  <si>
    <t>DARLINGTON</t>
  </si>
  <si>
    <t>DILLON 1</t>
  </si>
  <si>
    <t>DILLON 2</t>
  </si>
  <si>
    <t>DILLON 3</t>
  </si>
  <si>
    <t>DORCHESTER 2</t>
  </si>
  <si>
    <t>DORCHESTER 4</t>
  </si>
  <si>
    <t>EDGEFIELD</t>
  </si>
  <si>
    <t>FAIRFIELD</t>
  </si>
  <si>
    <t>FLORENCE 1</t>
  </si>
  <si>
    <t>FLORENCE 2</t>
  </si>
  <si>
    <t>FLORENCE 3</t>
  </si>
  <si>
    <t>FLORENCE 4</t>
  </si>
  <si>
    <t>FLORENCE 5</t>
  </si>
  <si>
    <t>GEORGETOWN</t>
  </si>
  <si>
    <t>GREENVILLE</t>
  </si>
  <si>
    <t>HAMPTON 1</t>
  </si>
  <si>
    <t>HAMPTON 2</t>
  </si>
  <si>
    <t>CONTINUED ON REVERSE SIDE</t>
  </si>
  <si>
    <t>HORRY</t>
  </si>
  <si>
    <t>JASPER</t>
  </si>
  <si>
    <t>KERSHAW</t>
  </si>
  <si>
    <t>LANCASTER</t>
  </si>
  <si>
    <t>LEE</t>
  </si>
  <si>
    <t>LEXINGTON 1</t>
  </si>
  <si>
    <t>LEXINGTON 2</t>
  </si>
  <si>
    <t>LEXINGTON 3</t>
  </si>
  <si>
    <t>LEXINGTON 4</t>
  </si>
  <si>
    <t>LEXINGTON 5</t>
  </si>
  <si>
    <t>MCCORMICK</t>
  </si>
  <si>
    <t>MARION 1</t>
  </si>
  <si>
    <t>MARION 2</t>
  </si>
  <si>
    <t>MARION 7</t>
  </si>
  <si>
    <t>MARLBORO</t>
  </si>
  <si>
    <t>NEWBERRY</t>
  </si>
  <si>
    <t>OCONEE</t>
  </si>
  <si>
    <t>ORANGEBURG 3</t>
  </si>
  <si>
    <t>ORANGEBURG 4</t>
  </si>
  <si>
    <t>ORANGEBURG 5</t>
  </si>
  <si>
    <t>PICKENS</t>
  </si>
  <si>
    <t>RICHLAND 1</t>
  </si>
  <si>
    <t>RICHLAND 2</t>
  </si>
  <si>
    <t>SALUDA</t>
  </si>
  <si>
    <t>SPARTANBURG 1</t>
  </si>
  <si>
    <t>SPARTANBURG 2</t>
  </si>
  <si>
    <t>SPARTANBURG 3</t>
  </si>
  <si>
    <t>SPARTANBURG 4</t>
  </si>
  <si>
    <t>SPARTANBURG 5</t>
  </si>
  <si>
    <t>SPARTANBURG 6</t>
  </si>
  <si>
    <t>SPARTANBURG 7</t>
  </si>
  <si>
    <t>SUMTER 2</t>
  </si>
  <si>
    <t>SUMTER 17</t>
  </si>
  <si>
    <t>UNION</t>
  </si>
  <si>
    <t>WILLIAMSBURG</t>
  </si>
  <si>
    <t>YORK 1</t>
  </si>
  <si>
    <t>YORK 2</t>
  </si>
  <si>
    <t>YORK 3</t>
  </si>
  <si>
    <t>YORK 4</t>
  </si>
  <si>
    <t>FELTON LAB</t>
  </si>
  <si>
    <t>SC DEAF/BLIND</t>
  </si>
  <si>
    <t>PALMETTO UNIF.</t>
  </si>
  <si>
    <t>STATE TOTAL</t>
  </si>
  <si>
    <t>Charter Enrollment</t>
  </si>
  <si>
    <t>District Enrollment</t>
  </si>
  <si>
    <t>Less Greenville Charters</t>
  </si>
  <si>
    <t>Greenville Districts - LOCAL</t>
  </si>
  <si>
    <t>N/A (1)</t>
  </si>
  <si>
    <t>Est'd.(2)</t>
  </si>
  <si>
    <t>FY 2006-2007 Charter School Expenditure/Student Data</t>
  </si>
  <si>
    <t>SCH ID</t>
  </si>
  <si>
    <t>SCHOOL</t>
  </si>
  <si>
    <t xml:space="preserve">GRADE </t>
  </si>
  <si>
    <t>GRADE 1</t>
  </si>
  <si>
    <t>GRADE 2</t>
  </si>
  <si>
    <t>GRADE 3</t>
  </si>
  <si>
    <t>GRADE 4</t>
  </si>
  <si>
    <t>GRADE 5</t>
  </si>
  <si>
    <t>GRADE 6</t>
  </si>
  <si>
    <t>GRADE 7</t>
  </si>
  <si>
    <t>GRADE 8</t>
  </si>
  <si>
    <t>GRADE 9</t>
  </si>
  <si>
    <t>GRADE 10</t>
  </si>
  <si>
    <t>GRADE 11</t>
  </si>
  <si>
    <t>GRADE 12</t>
  </si>
  <si>
    <t>135-Day ADM</t>
  </si>
  <si>
    <t>3&amp;4 yr olds</t>
  </si>
  <si>
    <t>Total Student Count</t>
  </si>
  <si>
    <t>Total Expenditures</t>
  </si>
  <si>
    <t>Per Pupil Expenditures</t>
  </si>
  <si>
    <t>Face to Face Teaching Expenditures</t>
  </si>
  <si>
    <t>% of Teacher Salary/Fringe to Total Expenditures</t>
  </si>
  <si>
    <t>% of Instruction to Total</t>
  </si>
  <si>
    <t>PRE-K</t>
  </si>
  <si>
    <t xml:space="preserve">AIKEN                   </t>
  </si>
  <si>
    <t>0201601</t>
  </si>
  <si>
    <t xml:space="preserve">KENNEDY/LLOYD CHARTER           </t>
  </si>
  <si>
    <t>n/a</t>
  </si>
  <si>
    <t>0201602</t>
  </si>
  <si>
    <t xml:space="preserve">MIDLAND VALLEY CHARTER PREP     </t>
  </si>
  <si>
    <t>0201603</t>
  </si>
  <si>
    <t xml:space="preserve">AIKEN PERFORMING ARTS CHARTER   </t>
  </si>
  <si>
    <t xml:space="preserve">CHARLESTON              </t>
  </si>
  <si>
    <t>1001612</t>
  </si>
  <si>
    <t xml:space="preserve">CHARLESTON DEVELOP. CHARTER     </t>
  </si>
  <si>
    <t>1001614</t>
  </si>
  <si>
    <t xml:space="preserve">EAST COOPER MONTESSORI CHARTER  </t>
  </si>
  <si>
    <t>1001615</t>
  </si>
  <si>
    <t xml:space="preserve">YOUTHBUILD CHARLESTON CHARTER   </t>
  </si>
  <si>
    <t>1001616</t>
  </si>
  <si>
    <t xml:space="preserve">JAMES ISLAND CHARTER HIGH       </t>
  </si>
  <si>
    <t>1001617</t>
  </si>
  <si>
    <t xml:space="preserve">SUSAN G. BOYKIN CHARTER         </t>
  </si>
  <si>
    <t>1001618</t>
  </si>
  <si>
    <t xml:space="preserve">ORANGE GROVE CHARTER            </t>
  </si>
  <si>
    <t xml:space="preserve">CHESTER                 </t>
  </si>
  <si>
    <t>1201601</t>
  </si>
  <si>
    <t xml:space="preserve">CHARTER ACADEMY FOR TEACHING    </t>
  </si>
  <si>
    <t xml:space="preserve">CLARENDON 2             </t>
  </si>
  <si>
    <t>1402610</t>
  </si>
  <si>
    <t xml:space="preserve">PHOENIX CHARTER HIGH            </t>
  </si>
  <si>
    <t xml:space="preserve">DARLINGTON              </t>
  </si>
  <si>
    <t>1601610</t>
  </si>
  <si>
    <t xml:space="preserve">CHOICES CHARTER                 </t>
  </si>
  <si>
    <t>na/</t>
  </si>
  <si>
    <t xml:space="preserve">EDGEFIELD               </t>
  </si>
  <si>
    <t>1901601</t>
  </si>
  <si>
    <t xml:space="preserve">FOX CREEK CHARTER HIGH          </t>
  </si>
  <si>
    <t xml:space="preserve">FLORENCE 1              </t>
  </si>
  <si>
    <t>2101600</t>
  </si>
  <si>
    <t xml:space="preserve">PALMETTO YOUTH ACADEMY CHARTER  </t>
  </si>
  <si>
    <t xml:space="preserve">GREENVILLE              </t>
  </si>
  <si>
    <t>2301601</t>
  </si>
  <si>
    <t xml:space="preserve">CHARLES AIKEN ACADEMY CHARTER   </t>
  </si>
  <si>
    <t>2301607</t>
  </si>
  <si>
    <t xml:space="preserve">GREENVILLE TECHNICAL CHARTER    </t>
  </si>
  <si>
    <t>2301608</t>
  </si>
  <si>
    <t xml:space="preserve">MYER CENTER CHARTER             </t>
  </si>
  <si>
    <t>2301609</t>
  </si>
  <si>
    <t xml:space="preserve">WOHALI CHARTER ACADEMY          </t>
  </si>
  <si>
    <t>2301612</t>
  </si>
  <si>
    <t xml:space="preserve">LANGSTON CHARTER MIDDLE         </t>
  </si>
  <si>
    <t>2301613</t>
  </si>
  <si>
    <t xml:space="preserve">FULLER NORMAL ADVANCED CHARTER  </t>
  </si>
  <si>
    <t>2301615</t>
  </si>
  <si>
    <t xml:space="preserve">BRASHIER MIDDLE CHARTER         </t>
  </si>
  <si>
    <t xml:space="preserve">HORRY                   </t>
  </si>
  <si>
    <t>2601601</t>
  </si>
  <si>
    <t xml:space="preserve">BRIDGEWATER ACADEMY CHARTER     </t>
  </si>
  <si>
    <t xml:space="preserve">LANCASTER               </t>
  </si>
  <si>
    <t>2901611</t>
  </si>
  <si>
    <t xml:space="preserve">DISCOVERY CHARTER OF LANCASTER  </t>
  </si>
  <si>
    <t xml:space="preserve">LEE                     </t>
  </si>
  <si>
    <t>3101600</t>
  </si>
  <si>
    <t xml:space="preserve">MARY L. DINKINS CHARTER         </t>
  </si>
  <si>
    <t xml:space="preserve">RICHLAND 1              </t>
  </si>
  <si>
    <t>4001601</t>
  </si>
  <si>
    <t xml:space="preserve">RICHLAND ONE CHARTER MIDDLE CO  </t>
  </si>
  <si>
    <t>4001602</t>
  </si>
  <si>
    <t xml:space="preserve">MIDLANDS MATH/BUSINESS CHARTER  </t>
  </si>
  <si>
    <t>4001603</t>
  </si>
  <si>
    <t xml:space="preserve">CAROLINA CHARTER FOR INQUIRY    </t>
  </si>
  <si>
    <t xml:space="preserve">WILLIAMSBURG            </t>
  </si>
  <si>
    <t>4501612</t>
  </si>
  <si>
    <t xml:space="preserve">YOUTH ACADEMY CHARTER           </t>
  </si>
  <si>
    <t xml:space="preserve">YORK 3                  </t>
  </si>
  <si>
    <t>4603602</t>
  </si>
  <si>
    <t xml:space="preserve">CHILDRENS ATTENTION CHARTER     </t>
  </si>
  <si>
    <t># of Charters in Study</t>
  </si>
  <si>
    <t># of Charter Schools (including Meyer Center)</t>
  </si>
  <si>
    <t>Greenville Districts - OTHER</t>
  </si>
  <si>
    <t>Greenville Districts - STATE</t>
  </si>
  <si>
    <t>Greenville Districts - FEDERAL</t>
  </si>
  <si>
    <t>Greenville Districts - TOTAL</t>
  </si>
  <si>
    <t>1920 Contributions and Donations Private Sources</t>
  </si>
  <si>
    <t>from above</t>
  </si>
  <si>
    <t>2006/2007 Charter School Enrollments</t>
  </si>
  <si>
    <t>SOURCE:  Mellanie Jinnette, Financial Systems Manager, South Carolina Department of Education</t>
  </si>
  <si>
    <t>SOURCE:  SC DOE Web Site; Confirmed as to Content by Mellanie Jinnette, Financial Systems Manager, SC Department of Education (DOE)</t>
  </si>
  <si>
    <t>File Name:  "07-distrev.xls" -- Download of Excel 2006/2007 Revenue File</t>
  </si>
  <si>
    <t>To be completed on next tab.</t>
  </si>
  <si>
    <t>Row</t>
  </si>
  <si>
    <t>Codes</t>
  </si>
  <si>
    <t>PRESCHOOL GRANTS (SpEd)</t>
  </si>
  <si>
    <t>Legend</t>
  </si>
  <si>
    <t>Green Highlight:  Rows to be Removed</t>
  </si>
  <si>
    <t>Evaluation of Download File (Step 1); Restructured to Extend all Districts across Columns</t>
  </si>
  <si>
    <t>Notes:  Includes revenue for traditional district schools and charter schools by district; all revenues sources (some non-study revenue items to be deleted)</t>
  </si>
  <si>
    <t>Evaluation of Download File (Step 2); All "X" Coded Rows Removed and Copied Below; Subtotals Added by Source</t>
  </si>
  <si>
    <t xml:space="preserve">Revenue Study / Row Codes:  H=Row Heading, or Blank Row; F=Federal Revenue; S=State Revenue; L=Local Revenue; O=Other Revenue; X=Not a Study Revenue (Adult Ed, Non-SpEd PreSchool, Non-Revenue Item); </t>
  </si>
  <si>
    <t>Revenue Study / Row Codes:  H=Row Heading, or Blank Row; F=Federal Revenue; S=State Revenue; L=Local Revenue; O=Other Revenue; X=Not a Study Revenue (Adult Ed, Non-SpEd PreSchool, Non-Revenue Item)</t>
  </si>
  <si>
    <t>Evaluation of Download File (Step 3); Charter Revenues Subtracted from Traditional District Revenues for Greenville District and Total for All Districts</t>
  </si>
  <si>
    <t>Actual Charter Data from Audited Annual Financial Reports / Component Units (see details at A50)</t>
  </si>
  <si>
    <t>Charter School Revenues</t>
  </si>
  <si>
    <t>Actuals for 76.2% of Students; Estimated for 24.8%</t>
  </si>
  <si>
    <t>Per Pupil</t>
  </si>
  <si>
    <t>Total Actual Charter Revenue</t>
  </si>
  <si>
    <t>% of Total Charters</t>
  </si>
  <si>
    <t>Total Estimated</t>
  </si>
  <si>
    <t>Charter Revenue</t>
  </si>
  <si>
    <t>TOTAL ACTUAL + ESTIMATED (excludes Meyer)</t>
  </si>
  <si>
    <t>Per Pupil:</t>
  </si>
  <si>
    <t>Excludes Meyer Center</t>
  </si>
  <si>
    <t>Includes Meyer Center</t>
  </si>
  <si>
    <t>Meyer Center for Special Children*</t>
  </si>
  <si>
    <t>* - Revenues and enrollment for the Meyer Center for Special Children Charter School are excluded from state totals and Greenville district totals because the Meyer Center receives 83.4% of its revenues from Contributions and Donations from Private Sources, and the per pupil revenue amount is $401,250.  These metrics would distort this revenue study.</t>
  </si>
  <si>
    <t>Summary of Actual and Estimated Revenue Data</t>
  </si>
  <si>
    <t>See other NOTES on tab #5-Charters.</t>
  </si>
  <si>
    <t>NAVIGATION:  Details of charter revenue data from CAFRs begins at A49.  The Summary is at K7 at right.</t>
  </si>
  <si>
    <t>SHADING LEGEND</t>
  </si>
  <si>
    <t>From or To another evaluation worksheet tabs 1-7.</t>
  </si>
  <si>
    <t>Referenced from the "Template" worksheet.</t>
  </si>
  <si>
    <t>File Name:  "State-ADM135" -- Total State Enrollment by District (includes charter school enrollments)</t>
  </si>
  <si>
    <t>SOURCE  SC DOE, Mellanie Jinnette, Financial Systems Manager</t>
  </si>
  <si>
    <t>This amount includes Meyer Center</t>
  </si>
  <si>
    <t>Districts only, less Meyer School</t>
  </si>
  <si>
    <r>
      <rPr>
        <i/>
        <sz val="8"/>
        <rFont val="Arial"/>
        <family val="2"/>
      </rPr>
      <t xml:space="preserve">Est'd.(2) </t>
    </r>
    <r>
      <rPr>
        <sz val="8"/>
        <rFont val="Arial"/>
        <family val="2"/>
      </rPr>
      <t xml:space="preserve"> $8,396</t>
    </r>
  </si>
  <si>
    <t>Charter (3)</t>
  </si>
  <si>
    <t>NOTE:  The Greenville District CAFR did not provide a Component Unit analysis for Charles Aiken Academy.  See above for an estimate of revenue for this Greenville charter school. Greenville has 7 charter schools, including the Meyer Center.</t>
  </si>
  <si>
    <t>Statewide
    District</t>
  </si>
  <si>
    <t>Statewide
    Charter</t>
  </si>
  <si>
    <t>Greenville
    District</t>
  </si>
  <si>
    <t>Greenville
    Charter</t>
  </si>
  <si>
    <t>Enrollment-Districts &amp; Charters</t>
  </si>
  <si>
    <t>Total Per Pupil Revenue-Districts &amp; Charters</t>
  </si>
  <si>
    <t>Statewide Weighted for Charter Enrollment</t>
  </si>
  <si>
    <t>*</t>
  </si>
  <si>
    <t>$8,396**</t>
  </si>
  <si>
    <t>South Carolina
Weighted</t>
  </si>
  <si>
    <t xml:space="preserve"> $</t>
  </si>
  <si>
    <t>42,012,678**</t>
  </si>
  <si>
    <t>($1.2 billion)</t>
  </si>
  <si>
    <t>($122.1 million)</t>
  </si>
  <si>
    <t>Statewide
Weighted</t>
  </si>
  <si>
    <t>Charter School Funding -- Inequity Persists</t>
  </si>
  <si>
    <t>May 2010</t>
  </si>
  <si>
    <t>Supporting Excel Spreadsheet</t>
  </si>
  <si>
    <t>Worksheet Legend and Instructions</t>
  </si>
  <si>
    <t>Data Source:</t>
  </si>
  <si>
    <t>Disclaimer:</t>
  </si>
  <si>
    <t>File Management:</t>
  </si>
  <si>
    <t>This is a "Final (Read-Only)" Excel file.  This means you will not be able to edit this file, but you can copy whole worksheets, paste them into a new file (workbook), and then save that file under a different name.  No "Protection" has been set for this file.</t>
  </si>
  <si>
    <t>Cautions:</t>
  </si>
  <si>
    <t>This spreadsheet was designed for use by the author/researcher, not for third-party use.  Some of the data in this spreadsheet may be useful to third-parties, but any interpretations or additional analysis by third-parties is done so at their own risk.</t>
  </si>
  <si>
    <t>District revenue data (inclusive of inseparable charter school revenue data) was downloaded from the South Carolina Department of Education (SCDE) FTP site – the download file name: “07-distrev.xls.” This file contains sufficient revenue account coding to identify sources of revenues. Charter school revenue data was not available from SCDE. Charter school revenue data was obtained from audited Annual Financial Reports, which were downloaded from school district web sites (these are also available in paper at SCDE). Charter revenue data were subtracted from the “district” revenue data to arrive at comparable revenue data for district schools and charter schools. A “district” enrollment file was also downloaded – this file included inseparable district school and charter school enrollment. SCDE also provided an enrollment file just for charter schools. The charter school enrollments were subtracted from the “district” enrollment file in order to obtain separate district and charter school enrollment counts.
Charter school revenue data could not be obtained for some charter schools, representing 24.8 percent of the total population of charter school students. An estimate was made of total statewide charter school revenues by taking the actual per pupil revenue amount from charter schools representing 76.2 percent of charter students, and applying that per pupil amount to the 24.8 percent of students with no associated revenue data, then adding the actual and extrapolated amounts together.
The Meyer Center for Special Children, a Greenville charter school, was eliminated from the Greenville and statewide presentation of this analysis because it would distort the analysis. The Meyer Center, established in 1954, receives 83.4 percent of its funding through private contributions and donations, and has a per pupil revenue amount of $410,250.</t>
  </si>
  <si>
    <t>This is a "read only" file containing data collections from the South Carolina Department of Education.  The conclusions reached in this document are those of the author(s) and do not necessarily represent those of Ball State University.</t>
  </si>
  <si>
    <t>South Carolina
(2006-07)</t>
  </si>
  <si>
    <t>est. $8,396</t>
  </si>
  <si>
    <t>est. ($1,769)</t>
  </si>
  <si>
    <t>est. ($1,708)</t>
  </si>
  <si>
    <t>est. (17.4%)</t>
  </si>
  <si>
    <t>est. (16.9%)</t>
  </si>
  <si>
    <t>(20.0%)</t>
  </si>
  <si>
    <t>est. $42,012,678</t>
  </si>
  <si>
    <t>est. $6,921,162,935</t>
  </si>
  <si>
    <t>Figure 3</t>
  </si>
  <si>
    <t>State Policies</t>
  </si>
  <si>
    <t>Yes</t>
  </si>
  <si>
    <t>No</t>
  </si>
  <si>
    <t>Partial</t>
  </si>
  <si>
    <t>Charter schools receive their funding directly from the state</t>
  </si>
  <si>
    <r>
      <t>X</t>
    </r>
    <r>
      <rPr>
        <vertAlign val="superscript"/>
        <sz val="11"/>
        <color theme="1"/>
        <rFont val="Times New Roman"/>
        <family val="1"/>
      </rPr>
      <t>3</t>
    </r>
  </si>
  <si>
    <t>Charter schools are eligible for local funding</t>
  </si>
  <si>
    <r>
      <t>X</t>
    </r>
    <r>
      <rPr>
        <vertAlign val="superscript"/>
        <sz val="11"/>
        <color theme="1"/>
        <rFont val="Times New Roman"/>
        <family val="1"/>
      </rPr>
      <t>4</t>
    </r>
  </si>
  <si>
    <t>Cap on funding a charter school can receive</t>
  </si>
  <si>
    <t>District public schools receive differential funding (e.g. more funding for 9-12 vs. K-8 schools)</t>
  </si>
  <si>
    <t>Charter schools receive differential funding</t>
  </si>
  <si>
    <t>State allows district to withhold funding from charter schools for providing administrative services</t>
  </si>
  <si>
    <r>
      <t>X</t>
    </r>
    <r>
      <rPr>
        <vertAlign val="superscript"/>
        <sz val="11"/>
        <color theme="1"/>
        <rFont val="Times New Roman"/>
        <family val="1"/>
      </rPr>
      <t>5</t>
    </r>
  </si>
  <si>
    <t>State "holds harmless" district funding for charter enrollment</t>
  </si>
  <si>
    <t>School is considered LEA if authorized by non-district organization</t>
  </si>
  <si>
    <t>School is considered LEA if authorized by district</t>
  </si>
  <si>
    <t>Cap on number of charter schools</t>
  </si>
  <si>
    <t>Cap on number of charter schools authorized per year</t>
  </si>
  <si>
    <t>Cap on number of students attending charter schools</t>
  </si>
  <si>
    <t>Charter schools have an open enrollment policy</t>
  </si>
  <si>
    <r>
      <t>X</t>
    </r>
    <r>
      <rPr>
        <vertAlign val="superscript"/>
        <sz val="11"/>
        <color theme="1"/>
        <rFont val="Times New Roman"/>
        <family val="1"/>
      </rPr>
      <t>6</t>
    </r>
  </si>
  <si>
    <t xml:space="preserve">Charter schools can be authorized by local school boards; and by the South Carolina Public Charter School District (SCPCSD) for new starts only.  Revenues pass through the hosting local school district.  The general rule is that charter schools report financial data as a component unit of the hosting school district in annual audits -- that reporting is incomplete as to sources of revenue, and on occasion not included in district annual audits. </t>
  </si>
  <si>
    <t>Charter schools authorized by SCPCSD (the state) receive only state and federal funds.  Charter schools authorized by local school districts receive local revenues.</t>
  </si>
  <si>
    <t>Language in the charter law permits the district to negotiate a variety of services with charters.</t>
  </si>
  <si>
    <t>A charter school may give enrollment priority to a sibling of a pupil already enrolled, children of a charter school employee and children of the charter committee, provided their enrollment does not constitute more than twenty percent of the enrollment of the charter school.  A charter school must give priority to in-district children versus out-of-district children, and the out-of-district enrollment shall not exceed twenty percent of the total enrollment of the charter school without the approval of the sponsoring local school board and the sending local school board.  A converted charter school must give priority in enrollment to students enrolled in the school at the time of conversion.</t>
  </si>
  <si>
    <t>Figure 5</t>
  </si>
  <si>
    <t>Statewide District</t>
  </si>
  <si>
    <t>Statewide Charters</t>
  </si>
  <si>
    <t>Percentage of students eligible for free or reduced price lunch</t>
  </si>
  <si>
    <t>Percentage of schools eligible for Title I</t>
  </si>
  <si>
    <t>Percentage of students by school type:</t>
  </si>
  <si>
    <t>Primary (K-5)</t>
  </si>
  <si>
    <t>Middle (6-8)</t>
  </si>
  <si>
    <t>High (9-12)</t>
  </si>
  <si>
    <t>Other (K-12, K-8, etc.)</t>
  </si>
  <si>
    <t>Figure 6</t>
  </si>
  <si>
    <t>Findings</t>
  </si>
  <si>
    <t>SC</t>
  </si>
  <si>
    <t>Federal Funding</t>
  </si>
  <si>
    <t>Charters have access to federal funds according to state statutes (Yes = black, No = white)</t>
  </si>
  <si>
    <t>Y</t>
  </si>
  <si>
    <r>
      <t xml:space="preserve">Percentage of federal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 xml:space="preserve">ess than </t>
    </r>
    <r>
      <rPr>
        <sz val="10.5"/>
        <color theme="1"/>
        <rFont val="Times New Roman"/>
        <family val="1"/>
      </rPr>
      <t>(&lt;; white) that of total enrollment for charter schools</t>
    </r>
  </si>
  <si>
    <r>
      <t>N/A</t>
    </r>
    <r>
      <rPr>
        <b/>
        <vertAlign val="superscript"/>
        <sz val="11"/>
        <color theme="1"/>
        <rFont val="Times New Roman"/>
        <family val="1"/>
      </rPr>
      <t>7</t>
    </r>
  </si>
  <si>
    <t>State Funding</t>
  </si>
  <si>
    <t>Charters have access to state funds according to state statutes (Yes = black, No = white)</t>
  </si>
  <si>
    <r>
      <t xml:space="preserve">Percentage of state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ess than</t>
    </r>
    <r>
      <rPr>
        <sz val="10.5"/>
        <color theme="1"/>
        <rFont val="Times New Roman"/>
        <family val="1"/>
      </rPr>
      <t xml:space="preserve"> (&lt;; white) that of total enrollment for charter schools</t>
    </r>
  </si>
  <si>
    <t>Local Funding</t>
  </si>
  <si>
    <t>Charters have access to local funds according to state statutes (Yes = black, No = white)</t>
  </si>
  <si>
    <r>
      <t xml:space="preserve">Percentage of local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 xml:space="preserve">ess than </t>
    </r>
    <r>
      <rPr>
        <sz val="10.5"/>
        <color theme="1"/>
        <rFont val="Times New Roman"/>
        <family val="1"/>
      </rPr>
      <t>(&lt;; white) that of total enrollment for charter schools</t>
    </r>
  </si>
  <si>
    <t>Facilities Funding</t>
  </si>
  <si>
    <t>Charters have access to facilities funds according to state statutes (Yes = black, No = white)</t>
  </si>
  <si>
    <t>N</t>
  </si>
  <si>
    <r>
      <t xml:space="preserve">Percentage of facilities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t>
    </r>
    <r>
      <rPr>
        <i/>
        <sz val="10.5"/>
        <color theme="1"/>
        <rFont val="Times New Roman"/>
        <family val="1"/>
      </rPr>
      <t xml:space="preserve">less than </t>
    </r>
    <r>
      <rPr>
        <sz val="10.5"/>
        <color theme="1"/>
        <rFont val="Times New Roman"/>
        <family val="1"/>
      </rPr>
      <t>(&lt;; white) that of total enrollment for charter schools</t>
    </r>
  </si>
  <si>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</si>
  <si>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</si>
  <si>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</si>
  <si>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</si>
  <si>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</si>
  <si>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</si>
  <si>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State funding formula is fair and equitable
(Yes = black, No = white)</t>
  </si>
  <si>
    <t xml:space="preserve">The state does not track charter school revenue by source.  The only source of charter school revenue data is from Annual Financial Reports (AFR) of sponsoring local school districts.  Generally, sponsoring district AFRs report charter schools as separate component units.  However, the AFRs do not consistently report sources of revenue data for charter schools.  Therefore, on a statewide basis the sources of revenues for charter schools could not be determined. </t>
  </si>
</sst>
</file>

<file path=xl/styles.xml><?xml version="1.0" encoding="utf-8"?>
<styleSheet xmlns="http://schemas.openxmlformats.org/spreadsheetml/2006/main">
  <numFmts count="8">
    <numFmt numFmtId="5" formatCode="&quot;$&quot;#,##0_);\(&quot;$&quot;#,##0\)"/>
    <numFmt numFmtId="6" formatCode="&quot;$&quot;#,##0_);[Red]\(&quot;$&quot;#,##0\)"/>
    <numFmt numFmtId="42" formatCode="_(&quot;$&quot;* #,##0_);_(&quot;$&quot;* \(#,##0\);_(&quot;$&quot;* &quot;-&quot;_);_(@_)"/>
    <numFmt numFmtId="44" formatCode="_(&quot;$&quot;* #,##0.00_);_(&quot;$&quot;* \(#,##0.00\);_(&quot;$&quot;* &quot;-&quot;??_);_(@_)"/>
    <numFmt numFmtId="164" formatCode="0.0%"/>
    <numFmt numFmtId="165" formatCode="&quot;$&quot;#,##0.00"/>
    <numFmt numFmtId="166" formatCode="&quot;$&quot;#,##0"/>
    <numFmt numFmtId="167" formatCode="#,##0.000_);\(#,##0.000\)"/>
  </numFmts>
  <fonts count="49">
    <font>
      <sz val="8"/>
      <color theme="1"/>
      <name val="Arial"/>
      <family val="2"/>
    </font>
    <font>
      <sz val="10"/>
      <name val="Arial"/>
      <family val="2"/>
    </font>
    <font>
      <b/>
      <sz val="11"/>
      <color theme="0"/>
      <name val="Calibri"/>
      <family val="2"/>
      <scheme val="minor"/>
    </font>
    <font>
      <sz val="11"/>
      <color theme="9" tint="-0.499984740745262"/>
      <name val="Calibri"/>
      <family val="2"/>
      <scheme val="minor"/>
    </font>
    <font>
      <sz val="10"/>
      <color theme="1"/>
      <name val="Arial"/>
      <family val="2"/>
    </font>
    <font>
      <sz val="10"/>
      <color indexed="10"/>
      <name val="Arial"/>
      <family val="2"/>
    </font>
    <font>
      <b/>
      <sz val="10"/>
      <name val="Arial"/>
      <family val="2"/>
    </font>
    <font>
      <sz val="10"/>
      <color theme="9" tint="-0.499984740745262"/>
      <name val="Arial"/>
      <family val="2"/>
    </font>
    <font>
      <b/>
      <sz val="8"/>
      <name val="Arial"/>
      <family val="2"/>
    </font>
    <font>
      <b/>
      <sz val="10"/>
      <color theme="1"/>
      <name val="Arial"/>
      <family val="2"/>
    </font>
    <font>
      <b/>
      <sz val="12"/>
      <color theme="1"/>
      <name val="Arial"/>
      <family val="2"/>
    </font>
    <font>
      <b/>
      <sz val="9"/>
      <color theme="1"/>
      <name val="Arial"/>
      <family val="2"/>
    </font>
    <font>
      <b/>
      <sz val="10"/>
      <color rgb="FFFF0000"/>
      <name val="Arial"/>
      <family val="2"/>
    </font>
    <font>
      <b/>
      <sz val="8"/>
      <color theme="1"/>
      <name val="Arial"/>
      <family val="2"/>
    </font>
    <font>
      <sz val="8"/>
      <name val="Arial"/>
      <family val="2"/>
    </font>
    <font>
      <b/>
      <sz val="11"/>
      <color theme="1"/>
      <name val="Arial"/>
      <family val="2"/>
    </font>
    <font>
      <sz val="11"/>
      <color theme="1"/>
      <name val="Arial"/>
      <family val="2"/>
    </font>
    <font>
      <sz val="8"/>
      <name val="Arial"/>
      <family val="2"/>
    </font>
    <font>
      <sz val="8"/>
      <color theme="9" tint="-0.499984740745262"/>
      <name val="Arial"/>
      <family val="2"/>
    </font>
    <font>
      <b/>
      <sz val="11"/>
      <name val="Arial"/>
      <family val="2"/>
    </font>
    <font>
      <i/>
      <sz val="8"/>
      <name val="Arial"/>
      <family val="2"/>
    </font>
    <font>
      <b/>
      <sz val="10"/>
      <color rgb="FF0000FF"/>
      <name val="Arial"/>
      <family val="2"/>
    </font>
    <font>
      <sz val="10"/>
      <color rgb="FF0000FF"/>
      <name val="Arial"/>
      <family val="2"/>
    </font>
    <font>
      <sz val="8"/>
      <color rgb="FF0000FF"/>
      <name val="Arial"/>
      <family val="2"/>
    </font>
    <font>
      <b/>
      <sz val="8"/>
      <color rgb="FF0000FF"/>
      <name val="Arial"/>
      <family val="2"/>
    </font>
    <font>
      <b/>
      <sz val="12"/>
      <color rgb="FF0000FF"/>
      <name val="Arial"/>
      <family val="2"/>
    </font>
    <font>
      <sz val="8"/>
      <color theme="1"/>
      <name val="Arial"/>
      <family val="2"/>
    </font>
    <font>
      <i/>
      <sz val="10"/>
      <name val="Arial"/>
      <family val="2"/>
    </font>
    <font>
      <u/>
      <sz val="11"/>
      <color theme="10"/>
      <name val="Calibri"/>
      <family val="2"/>
    </font>
    <font>
      <sz val="11"/>
      <color theme="1"/>
      <name val="Calibri"/>
      <family val="2"/>
    </font>
    <font>
      <b/>
      <sz val="14"/>
      <color rgb="FF000000"/>
      <name val="Calibri"/>
      <family val="2"/>
    </font>
    <font>
      <b/>
      <i/>
      <sz val="12"/>
      <color rgb="FF000000"/>
      <name val="Calibri"/>
      <family val="2"/>
    </font>
    <font>
      <b/>
      <sz val="11"/>
      <color rgb="FF000000"/>
      <name val="Calibri"/>
      <family val="2"/>
    </font>
    <font>
      <u/>
      <sz val="11"/>
      <color rgb="FF0000FF"/>
      <name val="Calibri"/>
      <family val="2"/>
    </font>
    <font>
      <sz val="10"/>
      <color theme="1"/>
      <name val="Calibri"/>
      <family val="2"/>
    </font>
    <font>
      <sz val="11"/>
      <color theme="1"/>
      <name val="Times New Roman"/>
      <family val="1"/>
    </font>
    <font>
      <b/>
      <sz val="11"/>
      <color theme="0"/>
      <name val="Times New Roman"/>
      <family val="1"/>
    </font>
    <font>
      <b/>
      <sz val="11"/>
      <name val="Times New Roman"/>
      <family val="1"/>
    </font>
    <font>
      <sz val="11"/>
      <name val="Times New Roman"/>
      <family val="1"/>
    </font>
    <font>
      <b/>
      <i/>
      <sz val="11"/>
      <name val="Times New Roman"/>
      <family val="1"/>
    </font>
    <font>
      <i/>
      <sz val="11"/>
      <name val="Times New Roman"/>
      <family val="1"/>
    </font>
    <font>
      <b/>
      <i/>
      <sz val="11"/>
      <color theme="1"/>
      <name val="Times New Roman"/>
      <family val="1"/>
    </font>
    <font>
      <b/>
      <sz val="12"/>
      <color theme="1"/>
      <name val="Calibri"/>
      <family val="2"/>
      <scheme val="minor"/>
    </font>
    <font>
      <b/>
      <sz val="11"/>
      <color theme="1"/>
      <name val="Times New Roman"/>
      <family val="1"/>
    </font>
    <font>
      <vertAlign val="superscript"/>
      <sz val="11"/>
      <color theme="1"/>
      <name val="Times New Roman"/>
      <family val="1"/>
    </font>
    <font>
      <b/>
      <sz val="9"/>
      <color theme="1"/>
      <name val="Times New Roman"/>
      <family val="1"/>
    </font>
    <font>
      <sz val="10.5"/>
      <color theme="1"/>
      <name val="Times New Roman"/>
      <family val="1"/>
    </font>
    <font>
      <i/>
      <sz val="10.5"/>
      <color theme="1"/>
      <name val="Times New Roman"/>
      <family val="1"/>
    </font>
    <font>
      <b/>
      <vertAlign val="superscript"/>
      <sz val="11"/>
      <color theme="1"/>
      <name val="Times New Roman"/>
      <family val="1"/>
    </font>
  </fonts>
  <fills count="23">
    <fill>
      <patternFill patternType="none"/>
    </fill>
    <fill>
      <patternFill patternType="gray125"/>
    </fill>
    <fill>
      <patternFill patternType="solid">
        <fgColor rgb="FFC00000"/>
        <bgColor indexed="64"/>
      </patternFill>
    </fill>
    <fill>
      <patternFill patternType="solid">
        <fgColor indexed="22"/>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rgb="FF00FF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FFFFFF"/>
        <bgColor rgb="FF000000"/>
      </patternFill>
    </fill>
    <fill>
      <patternFill patternType="solid">
        <fgColor theme="1"/>
        <bgColor indexed="64"/>
      </patternFill>
    </fill>
  </fills>
  <borders count="19">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diagonal/>
    </border>
  </borders>
  <cellStyleXfs count="4">
    <xf numFmtId="0" fontId="0" fillId="0" borderId="0"/>
    <xf numFmtId="0" fontId="1" fillId="0" borderId="0"/>
    <xf numFmtId="9" fontId="26" fillId="0" borderId="0" applyFont="0" applyFill="0" applyBorder="0" applyAlignment="0" applyProtection="0"/>
    <xf numFmtId="0" fontId="28" fillId="0" borderId="0" applyNumberFormat="0" applyFill="0" applyBorder="0" applyAlignment="0" applyProtection="0">
      <alignment vertical="top"/>
      <protection locked="0"/>
    </xf>
  </cellStyleXfs>
  <cellXfs count="535">
    <xf numFmtId="0" fontId="0" fillId="0" borderId="0" xfId="0"/>
    <xf numFmtId="0" fontId="1" fillId="0" borderId="0" xfId="1"/>
    <xf numFmtId="0" fontId="2" fillId="2" borderId="0" xfId="0" applyFont="1" applyFill="1" applyAlignment="1">
      <alignment horizontal="center"/>
    </xf>
    <xf numFmtId="0" fontId="1" fillId="0" borderId="1" xfId="1" applyBorder="1" applyAlignment="1">
      <alignment wrapText="1"/>
    </xf>
    <xf numFmtId="0" fontId="1" fillId="3" borderId="3" xfId="1" applyFont="1" applyFill="1" applyBorder="1"/>
    <xf numFmtId="0" fontId="1" fillId="3" borderId="5" xfId="1" applyFont="1" applyFill="1" applyBorder="1"/>
    <xf numFmtId="0" fontId="1" fillId="0" borderId="2" xfId="1" applyFont="1" applyBorder="1"/>
    <xf numFmtId="0" fontId="1" fillId="0" borderId="6" xfId="1" applyFont="1" applyBorder="1" applyAlignment="1">
      <alignment vertical="center"/>
    </xf>
    <xf numFmtId="0" fontId="1" fillId="0" borderId="7" xfId="1" applyFont="1" applyBorder="1" applyAlignment="1">
      <alignment vertical="center"/>
    </xf>
    <xf numFmtId="0" fontId="1" fillId="3" borderId="3" xfId="1" applyFont="1" applyFill="1" applyBorder="1" applyAlignment="1">
      <alignment wrapText="1"/>
    </xf>
    <xf numFmtId="0" fontId="1" fillId="3" borderId="2" xfId="1" applyFont="1" applyFill="1" applyBorder="1" applyAlignment="1">
      <alignment horizontal="center" vertical="center"/>
    </xf>
    <xf numFmtId="0" fontId="3" fillId="0" borderId="0" xfId="0" applyFont="1" applyAlignment="1">
      <alignment horizontal="center"/>
    </xf>
    <xf numFmtId="42" fontId="1" fillId="0" borderId="2" xfId="1" applyNumberFormat="1" applyFont="1" applyBorder="1"/>
    <xf numFmtId="42" fontId="3" fillId="0" borderId="0" xfId="0" applyNumberFormat="1" applyFont="1"/>
    <xf numFmtId="0" fontId="1" fillId="0" borderId="0" xfId="1" applyAlignment="1">
      <alignment horizontal="center"/>
    </xf>
    <xf numFmtId="0" fontId="1" fillId="0" borderId="0" xfId="1" applyFont="1"/>
    <xf numFmtId="42" fontId="1" fillId="0" borderId="0" xfId="1" applyNumberFormat="1" applyFont="1"/>
    <xf numFmtId="0" fontId="1" fillId="0" borderId="0" xfId="0" applyFont="1"/>
    <xf numFmtId="42" fontId="4" fillId="0" borderId="0" xfId="0" applyNumberFormat="1" applyFont="1"/>
    <xf numFmtId="0" fontId="5" fillId="0" borderId="0" xfId="1" applyFont="1"/>
    <xf numFmtId="42" fontId="1" fillId="0" borderId="0" xfId="1" applyNumberFormat="1"/>
    <xf numFmtId="0" fontId="1" fillId="3" borderId="2" xfId="1" applyFont="1" applyFill="1" applyBorder="1" applyAlignment="1">
      <alignment wrapText="1"/>
    </xf>
    <xf numFmtId="164" fontId="1" fillId="0" borderId="2" xfId="1" applyNumberFormat="1" applyFont="1" applyBorder="1"/>
    <xf numFmtId="0" fontId="1" fillId="3" borderId="3" xfId="1" applyFill="1" applyBorder="1"/>
    <xf numFmtId="0" fontId="1" fillId="3" borderId="5" xfId="1" applyFill="1" applyBorder="1"/>
    <xf numFmtId="0" fontId="1" fillId="0" borderId="8" xfId="1" applyBorder="1"/>
    <xf numFmtId="0" fontId="7" fillId="0" borderId="0" xfId="1" applyFont="1" applyFill="1" applyAlignment="1">
      <alignment horizontal="right"/>
    </xf>
    <xf numFmtId="164" fontId="7" fillId="0" borderId="0" xfId="1" applyNumberFormat="1" applyFont="1"/>
    <xf numFmtId="165" fontId="0" fillId="0" borderId="0" xfId="0" applyNumberFormat="1"/>
    <xf numFmtId="0" fontId="1" fillId="0" borderId="0" xfId="1" applyFill="1" applyBorder="1" applyAlignment="1">
      <alignment horizontal="center" vertical="center"/>
    </xf>
    <xf numFmtId="0" fontId="7" fillId="0" borderId="0" xfId="1" applyFont="1" applyFill="1" applyBorder="1" applyAlignment="1">
      <alignment horizontal="center" vertical="center"/>
    </xf>
    <xf numFmtId="0" fontId="7" fillId="0" borderId="0" xfId="1" applyFont="1"/>
    <xf numFmtId="42" fontId="7" fillId="0" borderId="0" xfId="1" applyNumberFormat="1" applyFont="1"/>
    <xf numFmtId="0" fontId="1" fillId="4" borderId="2" xfId="1" applyFont="1" applyFill="1" applyBorder="1" applyAlignment="1">
      <alignment horizontal="center" vertical="center"/>
    </xf>
    <xf numFmtId="42" fontId="1" fillId="4" borderId="2" xfId="1" applyNumberFormat="1" applyFont="1" applyFill="1" applyBorder="1"/>
    <xf numFmtId="164" fontId="1" fillId="4" borderId="2" xfId="1" applyNumberFormat="1" applyFont="1" applyFill="1" applyBorder="1"/>
    <xf numFmtId="0" fontId="1" fillId="3" borderId="3" xfId="1" applyFont="1" applyFill="1" applyBorder="1" applyAlignment="1">
      <alignment horizontal="center" vertical="center"/>
    </xf>
    <xf numFmtId="42" fontId="1" fillId="0" borderId="3" xfId="1" applyNumberFormat="1" applyFont="1" applyBorder="1"/>
    <xf numFmtId="164" fontId="1" fillId="0" borderId="3" xfId="1" applyNumberFormat="1" applyFont="1" applyBorder="1"/>
    <xf numFmtId="0" fontId="1" fillId="4" borderId="3" xfId="1" applyFont="1" applyFill="1" applyBorder="1"/>
    <xf numFmtId="0" fontId="1" fillId="4" borderId="4" xfId="1" applyFont="1" applyFill="1" applyBorder="1"/>
    <xf numFmtId="0" fontId="1" fillId="4" borderId="3" xfId="1" applyFill="1" applyBorder="1"/>
    <xf numFmtId="0" fontId="1" fillId="4" borderId="4" xfId="1" applyFill="1" applyBorder="1"/>
    <xf numFmtId="0" fontId="9" fillId="0" borderId="0" xfId="0" applyFont="1"/>
    <xf numFmtId="0" fontId="0" fillId="0" borderId="0" xfId="0"/>
    <xf numFmtId="3" fontId="9" fillId="10" borderId="2" xfId="0" applyNumberFormat="1" applyFont="1" applyFill="1" applyBorder="1"/>
    <xf numFmtId="0" fontId="0" fillId="0" borderId="0" xfId="0" applyAlignment="1">
      <alignment horizontal="center"/>
    </xf>
    <xf numFmtId="0" fontId="0" fillId="0" borderId="0" xfId="0" applyAlignment="1">
      <alignment horizontal="center"/>
    </xf>
    <xf numFmtId="0" fontId="14" fillId="0" borderId="0" xfId="0" applyFont="1" applyAlignment="1">
      <alignment horizontal="center"/>
    </xf>
    <xf numFmtId="0" fontId="8" fillId="0" borderId="0" xfId="0" applyFont="1"/>
    <xf numFmtId="0" fontId="14" fillId="0" borderId="0" xfId="0" applyFont="1"/>
    <xf numFmtId="3" fontId="14" fillId="0" borderId="0" xfId="0" applyNumberFormat="1" applyFont="1"/>
    <xf numFmtId="166" fontId="0" fillId="0" borderId="0" xfId="0" applyNumberFormat="1"/>
    <xf numFmtId="0" fontId="9" fillId="12" borderId="0" xfId="0" applyFont="1" applyFill="1"/>
    <xf numFmtId="0" fontId="0" fillId="12" borderId="0" xfId="0" applyFill="1"/>
    <xf numFmtId="0" fontId="0" fillId="0" borderId="0" xfId="0" applyFill="1"/>
    <xf numFmtId="166" fontId="14" fillId="0" borderId="0" xfId="0" applyNumberFormat="1" applyFont="1"/>
    <xf numFmtId="166" fontId="8" fillId="0" borderId="0" xfId="0" applyNumberFormat="1" applyFont="1"/>
    <xf numFmtId="0" fontId="13" fillId="0" borderId="0" xfId="0" applyFont="1" applyAlignment="1">
      <alignment horizontal="right"/>
    </xf>
    <xf numFmtId="0" fontId="8" fillId="0" borderId="0" xfId="0" applyFont="1" applyAlignment="1">
      <alignment horizontal="right"/>
    </xf>
    <xf numFmtId="0" fontId="15" fillId="0" borderId="5" xfId="0" applyFont="1" applyBorder="1"/>
    <xf numFmtId="166" fontId="15" fillId="0" borderId="5" xfId="0" applyNumberFormat="1" applyFont="1" applyBorder="1"/>
    <xf numFmtId="0" fontId="4" fillId="0" borderId="0" xfId="0" applyFont="1"/>
    <xf numFmtId="166" fontId="9" fillId="0" borderId="0" xfId="0" applyNumberFormat="1" applyFont="1"/>
    <xf numFmtId="0" fontId="10" fillId="0" borderId="0" xfId="0" applyFont="1" applyAlignment="1">
      <alignment horizontal="center"/>
    </xf>
    <xf numFmtId="0" fontId="13" fillId="0" borderId="0" xfId="0" applyFont="1"/>
    <xf numFmtId="0" fontId="10" fillId="8" borderId="0" xfId="0" applyFont="1" applyFill="1" applyAlignment="1">
      <alignment horizontal="center"/>
    </xf>
    <xf numFmtId="0" fontId="0" fillId="8" borderId="0" xfId="0" applyFill="1"/>
    <xf numFmtId="0" fontId="0" fillId="14" borderId="0" xfId="0" applyFill="1"/>
    <xf numFmtId="0" fontId="0" fillId="0" borderId="0" xfId="0" applyFill="1" applyAlignment="1">
      <alignment wrapText="1"/>
    </xf>
    <xf numFmtId="0" fontId="0" fillId="0" borderId="6" xfId="0" applyBorder="1" applyAlignment="1">
      <alignment wrapText="1"/>
    </xf>
    <xf numFmtId="0" fontId="10" fillId="0" borderId="0" xfId="0" applyFont="1" applyAlignment="1">
      <alignment horizontal="left"/>
    </xf>
    <xf numFmtId="166" fontId="0" fillId="0" borderId="5" xfId="0" applyNumberFormat="1" applyBorder="1"/>
    <xf numFmtId="164" fontId="0" fillId="0" borderId="0" xfId="0" applyNumberFormat="1"/>
    <xf numFmtId="3" fontId="9" fillId="10" borderId="5" xfId="0" applyNumberFormat="1" applyFont="1" applyFill="1" applyBorder="1"/>
    <xf numFmtId="165" fontId="9" fillId="10" borderId="5" xfId="0" applyNumberFormat="1" applyFont="1" applyFill="1" applyBorder="1"/>
    <xf numFmtId="0" fontId="17" fillId="0" borderId="0" xfId="0" applyFont="1"/>
    <xf numFmtId="0" fontId="18" fillId="0" borderId="0" xfId="0" applyFont="1"/>
    <xf numFmtId="166" fontId="0" fillId="6" borderId="0" xfId="0" applyNumberFormat="1" applyFill="1"/>
    <xf numFmtId="0" fontId="13" fillId="0" borderId="0" xfId="0" applyFont="1" applyAlignment="1">
      <alignment horizontal="center"/>
    </xf>
    <xf numFmtId="166" fontId="19" fillId="10" borderId="5" xfId="0" applyNumberFormat="1" applyFont="1" applyFill="1" applyBorder="1"/>
    <xf numFmtId="166" fontId="9" fillId="10" borderId="5" xfId="0" applyNumberFormat="1" applyFont="1" applyFill="1" applyBorder="1"/>
    <xf numFmtId="166" fontId="15" fillId="10" borderId="5" xfId="0" applyNumberFormat="1" applyFont="1" applyFill="1" applyBorder="1"/>
    <xf numFmtId="0" fontId="0" fillId="5" borderId="6" xfId="0" applyFill="1" applyBorder="1"/>
    <xf numFmtId="0" fontId="0" fillId="5" borderId="11" xfId="0" applyFill="1" applyBorder="1"/>
    <xf numFmtId="0" fontId="0" fillId="5" borderId="7" xfId="0" applyFill="1" applyBorder="1"/>
    <xf numFmtId="164" fontId="0" fillId="5" borderId="2" xfId="0" applyNumberFormat="1" applyFill="1" applyBorder="1"/>
    <xf numFmtId="14" fontId="6" fillId="0" borderId="0" xfId="0" applyNumberFormat="1" applyFont="1"/>
    <xf numFmtId="0" fontId="6" fillId="0" borderId="0" xfId="0" applyFont="1"/>
    <xf numFmtId="2" fontId="6" fillId="0" borderId="0" xfId="0" applyNumberFormat="1" applyFont="1"/>
    <xf numFmtId="0" fontId="6" fillId="0" borderId="0" xfId="0" applyFont="1" applyBorder="1"/>
    <xf numFmtId="2" fontId="6" fillId="0" borderId="0" xfId="0" applyNumberFormat="1" applyFont="1" applyBorder="1"/>
    <xf numFmtId="2" fontId="6" fillId="0" borderId="0" xfId="0" applyNumberFormat="1" applyFont="1" applyBorder="1" applyAlignment="1">
      <alignment horizontal="right"/>
    </xf>
    <xf numFmtId="0" fontId="6" fillId="0" borderId="9" xfId="0" applyFont="1" applyBorder="1"/>
    <xf numFmtId="2" fontId="6" fillId="0" borderId="9" xfId="0" applyNumberFormat="1" applyFont="1" applyBorder="1"/>
    <xf numFmtId="1" fontId="6" fillId="0" borderId="9" xfId="0" applyNumberFormat="1" applyFont="1" applyBorder="1" applyAlignment="1">
      <alignment horizontal="center"/>
    </xf>
    <xf numFmtId="3" fontId="6" fillId="0" borderId="0" xfId="0" applyNumberFormat="1" applyFont="1"/>
    <xf numFmtId="3" fontId="6" fillId="10" borderId="5" xfId="0" applyNumberFormat="1" applyFont="1" applyFill="1" applyBorder="1"/>
    <xf numFmtId="3" fontId="9" fillId="0" borderId="0" xfId="0" applyNumberFormat="1" applyFont="1"/>
    <xf numFmtId="4" fontId="6" fillId="0" borderId="0" xfId="0" applyNumberFormat="1" applyFont="1"/>
    <xf numFmtId="0" fontId="13" fillId="17" borderId="0" xfId="0" applyFont="1" applyFill="1" applyAlignment="1">
      <alignment horizontal="right"/>
    </xf>
    <xf numFmtId="166" fontId="0" fillId="17" borderId="0" xfId="0" applyNumberFormat="1" applyFill="1"/>
    <xf numFmtId="166" fontId="15" fillId="17" borderId="5" xfId="0" applyNumberFormat="1" applyFont="1" applyFill="1" applyBorder="1"/>
    <xf numFmtId="166" fontId="11" fillId="10" borderId="0" xfId="0" applyNumberFormat="1" applyFont="1" applyFill="1"/>
    <xf numFmtId="42" fontId="1" fillId="0" borderId="2" xfId="1" applyNumberFormat="1" applyFont="1" applyBorder="1" applyAlignment="1">
      <alignment horizontal="right"/>
    </xf>
    <xf numFmtId="42" fontId="17" fillId="0" borderId="2" xfId="1" applyNumberFormat="1" applyFont="1" applyBorder="1" applyAlignment="1">
      <alignment horizontal="right"/>
    </xf>
    <xf numFmtId="0" fontId="0" fillId="14" borderId="3" xfId="0" applyFill="1" applyBorder="1"/>
    <xf numFmtId="42" fontId="1" fillId="14" borderId="5" xfId="1" applyNumberFormat="1" applyFont="1" applyFill="1" applyBorder="1" applyAlignment="1"/>
    <xf numFmtId="2" fontId="17" fillId="0" borderId="0" xfId="0" applyNumberFormat="1" applyFont="1"/>
    <xf numFmtId="4" fontId="17" fillId="0" borderId="0" xfId="0" applyNumberFormat="1" applyFont="1" applyAlignment="1">
      <alignment wrapText="1"/>
    </xf>
    <xf numFmtId="4" fontId="17" fillId="0" borderId="0" xfId="0" applyNumberFormat="1" applyFont="1"/>
    <xf numFmtId="49" fontId="17" fillId="0" borderId="0" xfId="0" applyNumberFormat="1" applyFont="1"/>
    <xf numFmtId="10" fontId="17" fillId="0" borderId="0" xfId="0" applyNumberFormat="1" applyFont="1"/>
    <xf numFmtId="44" fontId="17" fillId="0" borderId="0" xfId="0" applyNumberFormat="1" applyFont="1"/>
    <xf numFmtId="4" fontId="17" fillId="0" borderId="0" xfId="0" applyNumberFormat="1" applyFont="1" applyFill="1"/>
    <xf numFmtId="0" fontId="17" fillId="0" borderId="0" xfId="0" applyFont="1" applyFill="1"/>
    <xf numFmtId="49" fontId="17" fillId="0" borderId="0" xfId="0" applyNumberFormat="1" applyFont="1" applyFill="1"/>
    <xf numFmtId="0" fontId="15" fillId="15" borderId="0" xfId="0" applyFont="1" applyFill="1"/>
    <xf numFmtId="0" fontId="16" fillId="15" borderId="0" xfId="0" applyFont="1" applyFill="1"/>
    <xf numFmtId="0" fontId="0" fillId="15" borderId="0" xfId="0" applyFill="1"/>
    <xf numFmtId="0" fontId="0" fillId="9" borderId="1" xfId="0" applyFill="1" applyBorder="1"/>
    <xf numFmtId="164" fontId="0" fillId="9" borderId="12" xfId="0" applyNumberFormat="1" applyFill="1" applyBorder="1"/>
    <xf numFmtId="3" fontId="0" fillId="9" borderId="12" xfId="0" applyNumberFormat="1" applyFill="1" applyBorder="1"/>
    <xf numFmtId="166" fontId="0" fillId="9" borderId="13" xfId="0" applyNumberFormat="1" applyFill="1" applyBorder="1"/>
    <xf numFmtId="0" fontId="0" fillId="9" borderId="14" xfId="0" applyFill="1" applyBorder="1"/>
    <xf numFmtId="164" fontId="0" fillId="9" borderId="0" xfId="0" applyNumberFormat="1" applyFill="1" applyBorder="1"/>
    <xf numFmtId="3" fontId="0" fillId="9" borderId="0" xfId="0" applyNumberFormat="1" applyFill="1" applyBorder="1"/>
    <xf numFmtId="166" fontId="0" fillId="9" borderId="15" xfId="0" applyNumberFormat="1" applyFill="1" applyBorder="1"/>
    <xf numFmtId="164" fontId="0" fillId="9" borderId="9" xfId="0" applyNumberFormat="1" applyFill="1" applyBorder="1"/>
    <xf numFmtId="3" fontId="0" fillId="9" borderId="9" xfId="0" applyNumberFormat="1" applyFill="1" applyBorder="1"/>
    <xf numFmtId="166" fontId="0" fillId="9" borderId="10" xfId="0" applyNumberFormat="1" applyFill="1" applyBorder="1"/>
    <xf numFmtId="164" fontId="0" fillId="0" borderId="2" xfId="0" applyNumberFormat="1" applyBorder="1"/>
    <xf numFmtId="166" fontId="11" fillId="0" borderId="2" xfId="0" applyNumberFormat="1" applyFont="1" applyFill="1" applyBorder="1"/>
    <xf numFmtId="166" fontId="0" fillId="0" borderId="0" xfId="0" applyNumberFormat="1" applyFill="1" applyBorder="1"/>
    <xf numFmtId="166" fontId="9" fillId="0" borderId="0" xfId="0" applyNumberFormat="1" applyFont="1" applyFill="1" applyBorder="1"/>
    <xf numFmtId="0" fontId="0" fillId="0" borderId="0" xfId="0" applyFill="1" applyBorder="1"/>
    <xf numFmtId="44" fontId="17" fillId="0" borderId="0" xfId="0" applyNumberFormat="1" applyFont="1" applyFill="1" applyAlignment="1">
      <alignment horizontal="right"/>
    </xf>
    <xf numFmtId="44" fontId="17" fillId="0" borderId="0" xfId="0" applyNumberFormat="1" applyFont="1" applyAlignment="1">
      <alignment horizontal="right"/>
    </xf>
    <xf numFmtId="4" fontId="17" fillId="0" borderId="0" xfId="0" applyNumberFormat="1" applyFont="1" applyAlignment="1">
      <alignment horizontal="right" wrapText="1"/>
    </xf>
    <xf numFmtId="4" fontId="17" fillId="0" borderId="0" xfId="0" applyNumberFormat="1" applyFont="1" applyAlignment="1">
      <alignment horizontal="right"/>
    </xf>
    <xf numFmtId="0" fontId="17" fillId="0" borderId="0" xfId="0" applyFont="1" applyAlignment="1">
      <alignment horizontal="right"/>
    </xf>
    <xf numFmtId="10" fontId="17" fillId="0" borderId="0" xfId="0" applyNumberFormat="1" applyFont="1" applyFill="1" applyAlignment="1">
      <alignment horizontal="right"/>
    </xf>
    <xf numFmtId="10" fontId="17" fillId="0" borderId="0" xfId="0" applyNumberFormat="1" applyFont="1" applyAlignment="1">
      <alignment horizontal="right"/>
    </xf>
    <xf numFmtId="2" fontId="8" fillId="6" borderId="0" xfId="0" applyNumberFormat="1" applyFont="1" applyFill="1" applyAlignment="1">
      <alignment wrapText="1"/>
    </xf>
    <xf numFmtId="2" fontId="8" fillId="6" borderId="0" xfId="0" applyNumberFormat="1" applyFont="1" applyFill="1"/>
    <xf numFmtId="4" fontId="8" fillId="6" borderId="0" xfId="0" applyNumberFormat="1" applyFont="1" applyFill="1"/>
    <xf numFmtId="0" fontId="21" fillId="0" borderId="0" xfId="0" applyFont="1"/>
    <xf numFmtId="2" fontId="17" fillId="13" borderId="0" xfId="0" applyNumberFormat="1" applyFont="1" applyFill="1"/>
    <xf numFmtId="4" fontId="17" fillId="13" borderId="0" xfId="0" applyNumberFormat="1" applyFont="1" applyFill="1"/>
    <xf numFmtId="0" fontId="23" fillId="0" borderId="0" xfId="0" applyFont="1"/>
    <xf numFmtId="0" fontId="23" fillId="0" borderId="0" xfId="0" applyFont="1" applyAlignment="1">
      <alignment horizontal="center"/>
    </xf>
    <xf numFmtId="0" fontId="21" fillId="11" borderId="0" xfId="0" applyFont="1" applyFill="1"/>
    <xf numFmtId="0" fontId="0" fillId="11" borderId="0" xfId="0" applyFill="1"/>
    <xf numFmtId="0" fontId="22" fillId="11" borderId="0" xfId="0" applyFont="1" applyFill="1"/>
    <xf numFmtId="0" fontId="24" fillId="0" borderId="0" xfId="0" applyFont="1" applyAlignment="1">
      <alignment horizontal="center"/>
    </xf>
    <xf numFmtId="0" fontId="21" fillId="11" borderId="0" xfId="0" applyFont="1" applyFill="1" applyAlignment="1">
      <alignment horizontal="left"/>
    </xf>
    <xf numFmtId="0" fontId="22" fillId="11" borderId="0" xfId="0" applyFont="1" applyFill="1" applyAlignment="1">
      <alignment horizontal="left"/>
    </xf>
    <xf numFmtId="0" fontId="23" fillId="11" borderId="0" xfId="0" applyFont="1" applyFill="1"/>
    <xf numFmtId="0" fontId="23" fillId="12" borderId="0" xfId="0" applyFont="1" applyFill="1"/>
    <xf numFmtId="0" fontId="23" fillId="12" borderId="2" xfId="0" applyFont="1" applyFill="1" applyBorder="1" applyAlignment="1">
      <alignment horizontal="center"/>
    </xf>
    <xf numFmtId="0" fontId="0" fillId="11" borderId="0" xfId="0" applyFont="1" applyFill="1"/>
    <xf numFmtId="0" fontId="0" fillId="0" borderId="2" xfId="0" applyBorder="1"/>
    <xf numFmtId="165" fontId="0" fillId="0" borderId="2" xfId="0" applyNumberFormat="1" applyBorder="1"/>
    <xf numFmtId="0" fontId="0" fillId="0" borderId="6" xfId="0" applyBorder="1"/>
    <xf numFmtId="0" fontId="0" fillId="0" borderId="11" xfId="0" applyBorder="1"/>
    <xf numFmtId="164" fontId="0" fillId="0" borderId="7" xfId="0" applyNumberFormat="1" applyBorder="1"/>
    <xf numFmtId="166" fontId="0" fillId="0" borderId="6" xfId="0" applyNumberFormat="1" applyBorder="1"/>
    <xf numFmtId="166" fontId="0" fillId="0" borderId="11" xfId="0" applyNumberFormat="1" applyBorder="1"/>
    <xf numFmtId="165" fontId="0" fillId="0" borderId="11" xfId="0" applyNumberFormat="1" applyBorder="1"/>
    <xf numFmtId="0" fontId="0" fillId="14" borderId="6" xfId="0" applyFill="1" applyBorder="1"/>
    <xf numFmtId="166" fontId="0" fillId="14" borderId="6" xfId="0" applyNumberFormat="1" applyFill="1" applyBorder="1"/>
    <xf numFmtId="165" fontId="0" fillId="14" borderId="6" xfId="0" applyNumberFormat="1" applyFill="1" applyBorder="1"/>
    <xf numFmtId="0" fontId="0" fillId="14" borderId="11" xfId="0" applyFill="1" applyBorder="1"/>
    <xf numFmtId="166" fontId="0" fillId="14" borderId="11" xfId="0" applyNumberFormat="1" applyFill="1" applyBorder="1"/>
    <xf numFmtId="165" fontId="0" fillId="14" borderId="11" xfId="0" applyNumberFormat="1" applyFill="1" applyBorder="1"/>
    <xf numFmtId="0" fontId="0" fillId="14" borderId="2" xfId="0" applyFill="1" applyBorder="1"/>
    <xf numFmtId="3" fontId="0" fillId="14" borderId="2" xfId="0" applyNumberFormat="1" applyFill="1" applyBorder="1"/>
    <xf numFmtId="166" fontId="0" fillId="14" borderId="2" xfId="0" applyNumberFormat="1" applyFill="1" applyBorder="1"/>
    <xf numFmtId="165" fontId="0" fillId="14" borderId="2" xfId="0" applyNumberFormat="1" applyFill="1" applyBorder="1"/>
    <xf numFmtId="166" fontId="0" fillId="14" borderId="5" xfId="0" applyNumberFormat="1" applyFill="1" applyBorder="1"/>
    <xf numFmtId="0" fontId="0" fillId="16" borderId="2" xfId="0" applyFill="1" applyBorder="1" applyAlignment="1">
      <alignment horizontal="left" wrapText="1"/>
    </xf>
    <xf numFmtId="0" fontId="0" fillId="16" borderId="2" xfId="0" applyFill="1" applyBorder="1" applyAlignment="1">
      <alignment horizontal="center" wrapText="1"/>
    </xf>
    <xf numFmtId="0" fontId="0" fillId="0" borderId="12" xfId="0" applyBorder="1"/>
    <xf numFmtId="0" fontId="0" fillId="0" borderId="13" xfId="0" applyBorder="1"/>
    <xf numFmtId="0" fontId="0" fillId="0" borderId="9" xfId="0" applyBorder="1"/>
    <xf numFmtId="0" fontId="0" fillId="0" borderId="10" xfId="0" applyBorder="1"/>
    <xf numFmtId="0" fontId="0" fillId="16" borderId="1" xfId="0" applyFill="1" applyBorder="1"/>
    <xf numFmtId="0" fontId="0" fillId="16" borderId="8" xfId="0" applyFill="1" applyBorder="1"/>
    <xf numFmtId="0" fontId="0" fillId="16" borderId="6" xfId="0" applyFill="1" applyBorder="1"/>
    <xf numFmtId="0" fontId="0" fillId="16" borderId="7" xfId="0" applyFill="1" applyBorder="1"/>
    <xf numFmtId="0" fontId="0" fillId="0" borderId="7" xfId="0" applyBorder="1"/>
    <xf numFmtId="0" fontId="0" fillId="19" borderId="0" xfId="0" applyFill="1"/>
    <xf numFmtId="164" fontId="0" fillId="19" borderId="0" xfId="0" applyNumberFormat="1" applyFill="1"/>
    <xf numFmtId="0" fontId="0" fillId="16" borderId="7" xfId="0" applyFill="1" applyBorder="1" applyAlignment="1">
      <alignment horizontal="center"/>
    </xf>
    <xf numFmtId="0" fontId="0" fillId="16" borderId="6" xfId="0" applyFill="1" applyBorder="1" applyAlignment="1">
      <alignment horizontal="center"/>
    </xf>
    <xf numFmtId="165" fontId="13" fillId="14" borderId="2" xfId="0" applyNumberFormat="1" applyFont="1" applyFill="1" applyBorder="1"/>
    <xf numFmtId="0" fontId="0" fillId="14" borderId="7" xfId="0" applyFill="1" applyBorder="1"/>
    <xf numFmtId="0" fontId="0" fillId="14" borderId="6" xfId="0" applyFill="1" applyBorder="1" applyAlignment="1">
      <alignment wrapText="1"/>
    </xf>
    <xf numFmtId="0" fontId="0" fillId="14" borderId="11" xfId="0" applyFill="1" applyBorder="1" applyAlignment="1">
      <alignment horizontal="left"/>
    </xf>
    <xf numFmtId="165" fontId="0" fillId="9" borderId="8" xfId="0" applyNumberFormat="1" applyFill="1" applyBorder="1" applyAlignment="1">
      <alignment horizontal="left"/>
    </xf>
    <xf numFmtId="3" fontId="0" fillId="19" borderId="0" xfId="0" applyNumberFormat="1" applyFill="1"/>
    <xf numFmtId="164" fontId="0" fillId="14" borderId="0" xfId="0" applyNumberFormat="1" applyFill="1"/>
    <xf numFmtId="166" fontId="9" fillId="6" borderId="2" xfId="0" applyNumberFormat="1" applyFont="1" applyFill="1" applyBorder="1"/>
    <xf numFmtId="0" fontId="0" fillId="0" borderId="2" xfId="0" applyFont="1" applyFill="1" applyBorder="1"/>
    <xf numFmtId="3" fontId="9" fillId="0" borderId="2" xfId="0" applyNumberFormat="1" applyFont="1" applyFill="1" applyBorder="1"/>
    <xf numFmtId="0" fontId="0" fillId="0" borderId="2" xfId="0" applyFill="1" applyBorder="1"/>
    <xf numFmtId="166" fontId="9" fillId="0" borderId="2" xfId="0" applyNumberFormat="1" applyFont="1" applyFill="1" applyBorder="1"/>
    <xf numFmtId="164" fontId="0" fillId="14" borderId="6" xfId="0" applyNumberFormat="1" applyFill="1" applyBorder="1"/>
    <xf numFmtId="0" fontId="0" fillId="7" borderId="0" xfId="0" applyFill="1"/>
    <xf numFmtId="0" fontId="0" fillId="16" borderId="11" xfId="0" applyFill="1" applyBorder="1" applyAlignment="1">
      <alignment horizontal="center"/>
    </xf>
    <xf numFmtId="0" fontId="0" fillId="16" borderId="11" xfId="0" applyFill="1" applyBorder="1"/>
    <xf numFmtId="166" fontId="0" fillId="9" borderId="11" xfId="0" applyNumberFormat="1" applyFill="1" applyBorder="1"/>
    <xf numFmtId="0" fontId="0" fillId="9" borderId="11" xfId="0" applyFill="1" applyBorder="1"/>
    <xf numFmtId="166" fontId="9" fillId="10" borderId="11" xfId="0" applyNumberFormat="1" applyFont="1" applyFill="1" applyBorder="1"/>
    <xf numFmtId="166" fontId="11" fillId="6" borderId="11" xfId="0" applyNumberFormat="1" applyFont="1" applyFill="1" applyBorder="1"/>
    <xf numFmtId="166" fontId="11" fillId="0" borderId="11" xfId="0" applyNumberFormat="1" applyFont="1" applyFill="1" applyBorder="1"/>
    <xf numFmtId="166" fontId="0" fillId="0" borderId="11" xfId="0" applyNumberFormat="1" applyFill="1" applyBorder="1"/>
    <xf numFmtId="0" fontId="10" fillId="0" borderId="1" xfId="0" applyFont="1" applyBorder="1" applyAlignment="1">
      <alignment horizontal="center"/>
    </xf>
    <xf numFmtId="3" fontId="0" fillId="18" borderId="12" xfId="0" applyNumberFormat="1" applyFill="1" applyBorder="1"/>
    <xf numFmtId="0" fontId="0" fillId="0" borderId="12" xfId="0" applyBorder="1" applyAlignment="1">
      <alignment wrapText="1"/>
    </xf>
    <xf numFmtId="0" fontId="10" fillId="0" borderId="14" xfId="0" applyFont="1" applyBorder="1" applyAlignment="1">
      <alignment horizontal="center"/>
    </xf>
    <xf numFmtId="166" fontId="0" fillId="0" borderId="0" xfId="0" applyNumberFormat="1" applyBorder="1"/>
    <xf numFmtId="0" fontId="0" fillId="13" borderId="0" xfId="0" applyFill="1" applyBorder="1"/>
    <xf numFmtId="0" fontId="0" fillId="0" borderId="0" xfId="0" applyBorder="1"/>
    <xf numFmtId="0" fontId="0" fillId="0" borderId="15" xfId="0" applyBorder="1"/>
    <xf numFmtId="166" fontId="0" fillId="13" borderId="0" xfId="0" applyNumberFormat="1" applyFill="1" applyBorder="1"/>
    <xf numFmtId="0" fontId="18" fillId="0" borderId="0" xfId="0" applyFont="1" applyBorder="1"/>
    <xf numFmtId="0" fontId="10" fillId="0" borderId="8" xfId="0" applyFont="1" applyBorder="1" applyAlignment="1">
      <alignment horizontal="center"/>
    </xf>
    <xf numFmtId="0" fontId="0" fillId="13" borderId="9" xfId="0" applyFill="1" applyBorder="1"/>
    <xf numFmtId="166" fontId="0" fillId="0" borderId="7" xfId="0" applyNumberFormat="1" applyBorder="1"/>
    <xf numFmtId="166" fontId="0" fillId="0" borderId="10" xfId="0" applyNumberFormat="1" applyBorder="1"/>
    <xf numFmtId="0" fontId="10" fillId="9" borderId="1" xfId="0" applyFont="1" applyFill="1" applyBorder="1" applyAlignment="1">
      <alignment horizontal="center"/>
    </xf>
    <xf numFmtId="0" fontId="0" fillId="9" borderId="12" xfId="0" applyFill="1" applyBorder="1"/>
    <xf numFmtId="166" fontId="0" fillId="9" borderId="6" xfId="0" applyNumberFormat="1" applyFill="1" applyBorder="1"/>
    <xf numFmtId="0" fontId="0" fillId="9" borderId="6" xfId="0" applyFill="1" applyBorder="1"/>
    <xf numFmtId="0" fontId="0" fillId="9" borderId="13" xfId="0" applyFill="1" applyBorder="1"/>
    <xf numFmtId="0" fontId="10" fillId="9" borderId="14" xfId="0" applyFont="1" applyFill="1" applyBorder="1" applyAlignment="1">
      <alignment horizontal="center"/>
    </xf>
    <xf numFmtId="3" fontId="0" fillId="18" borderId="0" xfId="0" applyNumberFormat="1" applyFill="1" applyBorder="1"/>
    <xf numFmtId="0" fontId="0" fillId="9" borderId="0" xfId="0" applyFill="1" applyBorder="1"/>
    <xf numFmtId="0" fontId="0" fillId="9" borderId="15" xfId="0" applyFill="1" applyBorder="1"/>
    <xf numFmtId="165" fontId="0" fillId="9" borderId="0" xfId="0" applyNumberFormat="1" applyFill="1" applyBorder="1"/>
    <xf numFmtId="0" fontId="10" fillId="9" borderId="8" xfId="0" applyFont="1" applyFill="1" applyBorder="1" applyAlignment="1">
      <alignment horizontal="center"/>
    </xf>
    <xf numFmtId="0" fontId="0" fillId="9" borderId="9" xfId="0" applyFill="1" applyBorder="1"/>
    <xf numFmtId="166" fontId="0" fillId="9" borderId="7" xfId="0" applyNumberFormat="1" applyFill="1" applyBorder="1"/>
    <xf numFmtId="0" fontId="0" fillId="13" borderId="6" xfId="0" applyFill="1" applyBorder="1"/>
    <xf numFmtId="166" fontId="0" fillId="13" borderId="11" xfId="0" applyNumberFormat="1" applyFill="1" applyBorder="1"/>
    <xf numFmtId="0" fontId="0" fillId="13" borderId="11" xfId="0" applyFill="1" applyBorder="1"/>
    <xf numFmtId="0" fontId="0" fillId="13" borderId="7" xfId="0" applyFill="1" applyBorder="1"/>
    <xf numFmtId="0" fontId="0" fillId="9" borderId="7" xfId="0" applyFill="1" applyBorder="1"/>
    <xf numFmtId="166" fontId="0" fillId="0" borderId="13" xfId="0" applyNumberFormat="1" applyBorder="1"/>
    <xf numFmtId="0" fontId="0" fillId="9" borderId="13" xfId="0" applyFill="1" applyBorder="1" applyAlignment="1">
      <alignment wrapText="1"/>
    </xf>
    <xf numFmtId="0" fontId="9" fillId="0" borderId="0" xfId="0" applyFont="1" applyBorder="1"/>
    <xf numFmtId="0" fontId="9" fillId="10" borderId="0" xfId="0" applyFont="1" applyFill="1" applyBorder="1"/>
    <xf numFmtId="166" fontId="0" fillId="0" borderId="15" xfId="0" applyNumberFormat="1" applyBorder="1"/>
    <xf numFmtId="164" fontId="13" fillId="0" borderId="15" xfId="0" applyNumberFormat="1" applyFont="1" applyBorder="1"/>
    <xf numFmtId="166" fontId="9" fillId="10" borderId="15" xfId="0" applyNumberFormat="1" applyFont="1" applyFill="1" applyBorder="1"/>
    <xf numFmtId="0" fontId="0" fillId="0" borderId="0" xfId="0" applyBorder="1" applyAlignment="1">
      <alignment wrapText="1"/>
    </xf>
    <xf numFmtId="0" fontId="9" fillId="6" borderId="0" xfId="0" applyFont="1" applyFill="1" applyBorder="1"/>
    <xf numFmtId="0" fontId="0" fillId="0" borderId="15" xfId="0" applyFill="1" applyBorder="1"/>
    <xf numFmtId="165" fontId="0" fillId="0" borderId="9" xfId="0" applyNumberFormat="1" applyBorder="1"/>
    <xf numFmtId="0" fontId="10" fillId="0" borderId="1" xfId="0" applyFont="1" applyBorder="1" applyAlignment="1">
      <alignment horizontal="left"/>
    </xf>
    <xf numFmtId="0" fontId="0" fillId="0" borderId="0" xfId="0" applyFill="1" applyBorder="1" applyAlignment="1">
      <alignment wrapText="1"/>
    </xf>
    <xf numFmtId="0" fontId="0" fillId="0" borderId="9" xfId="0" applyFill="1" applyBorder="1"/>
    <xf numFmtId="0" fontId="0" fillId="0" borderId="9" xfId="0" applyFill="1" applyBorder="1" applyAlignment="1">
      <alignment wrapText="1"/>
    </xf>
    <xf numFmtId="166" fontId="0" fillId="0" borderId="9" xfId="0" applyNumberFormat="1" applyBorder="1"/>
    <xf numFmtId="0" fontId="0" fillId="0" borderId="2" xfId="0" applyFill="1" applyBorder="1" applyAlignment="1">
      <alignment wrapText="1"/>
    </xf>
    <xf numFmtId="166" fontId="0" fillId="0" borderId="2" xfId="0" applyNumberFormat="1" applyFill="1" applyBorder="1" applyAlignment="1">
      <alignment wrapText="1"/>
    </xf>
    <xf numFmtId="165" fontId="0" fillId="0" borderId="0" xfId="0" applyNumberFormat="1" applyBorder="1"/>
    <xf numFmtId="3" fontId="0" fillId="0" borderId="0" xfId="0" applyNumberFormat="1" applyBorder="1"/>
    <xf numFmtId="0" fontId="0" fillId="18" borderId="0" xfId="0" applyFill="1" applyBorder="1"/>
    <xf numFmtId="0" fontId="0" fillId="16" borderId="13" xfId="0" applyFill="1" applyBorder="1" applyAlignment="1">
      <alignment horizontal="center"/>
    </xf>
    <xf numFmtId="0" fontId="0" fillId="16" borderId="15" xfId="0" applyFill="1" applyBorder="1" applyAlignment="1">
      <alignment horizontal="center"/>
    </xf>
    <xf numFmtId="0" fontId="0" fillId="16" borderId="10" xfId="0" applyFill="1" applyBorder="1" applyAlignment="1">
      <alignment horizontal="center"/>
    </xf>
    <xf numFmtId="0" fontId="25" fillId="0" borderId="0" xfId="0" applyFont="1" applyAlignment="1">
      <alignment horizontal="left"/>
    </xf>
    <xf numFmtId="3" fontId="0" fillId="6" borderId="6" xfId="0" applyNumberFormat="1" applyFill="1" applyBorder="1"/>
    <xf numFmtId="3" fontId="0" fillId="6" borderId="11" xfId="0" applyNumberFormat="1" applyFill="1" applyBorder="1"/>
    <xf numFmtId="0" fontId="0" fillId="6" borderId="7" xfId="0" applyFill="1" applyBorder="1"/>
    <xf numFmtId="0" fontId="0" fillId="6" borderId="2" xfId="0" applyFill="1" applyBorder="1"/>
    <xf numFmtId="0" fontId="0" fillId="10" borderId="2" xfId="0" applyFill="1" applyBorder="1"/>
    <xf numFmtId="166" fontId="0" fillId="6" borderId="0" xfId="0" applyNumberFormat="1" applyFont="1" applyFill="1" applyAlignment="1">
      <alignment wrapText="1"/>
    </xf>
    <xf numFmtId="166" fontId="9" fillId="6" borderId="15" xfId="0" applyNumberFormat="1" applyFont="1" applyFill="1" applyBorder="1"/>
    <xf numFmtId="166" fontId="13" fillId="6" borderId="0" xfId="0" applyNumberFormat="1" applyFont="1" applyFill="1"/>
    <xf numFmtId="44" fontId="0" fillId="0" borderId="0" xfId="0" applyNumberFormat="1" applyFill="1"/>
    <xf numFmtId="165" fontId="0" fillId="0" borderId="0" xfId="0" applyNumberFormat="1" applyFill="1"/>
    <xf numFmtId="4" fontId="0" fillId="0" borderId="0" xfId="0" quotePrefix="1" applyNumberFormat="1" applyFill="1" applyAlignment="1"/>
    <xf numFmtId="4" fontId="0" fillId="0" borderId="0" xfId="0" applyNumberFormat="1" applyFill="1" applyAlignment="1"/>
    <xf numFmtId="0" fontId="0" fillId="0" borderId="0" xfId="0" applyFill="1" applyAlignment="1"/>
    <xf numFmtId="0" fontId="1" fillId="0" borderId="0" xfId="1" applyAlignment="1">
      <alignment horizontal="center" wrapText="1"/>
    </xf>
    <xf numFmtId="0" fontId="6" fillId="0" borderId="0" xfId="0" applyFont="1" applyAlignment="1">
      <alignment horizontal="centerContinuous"/>
    </xf>
    <xf numFmtId="14" fontId="6" fillId="0" borderId="0" xfId="0" applyNumberFormat="1" applyFont="1" applyAlignment="1">
      <alignment horizontal="centerContinuous"/>
    </xf>
    <xf numFmtId="3" fontId="6" fillId="0" borderId="0" xfId="0" applyNumberFormat="1" applyFont="1" applyFill="1" applyBorder="1"/>
    <xf numFmtId="2" fontId="6" fillId="0" borderId="0" xfId="0" applyNumberFormat="1" applyFont="1" applyFill="1" applyBorder="1"/>
    <xf numFmtId="2" fontId="6" fillId="13" borderId="0" xfId="0" applyNumberFormat="1" applyFont="1" applyFill="1" applyBorder="1" applyAlignment="1">
      <alignment horizontal="right"/>
    </xf>
    <xf numFmtId="2" fontId="6" fillId="13" borderId="9" xfId="0" applyNumberFormat="1" applyFont="1" applyFill="1" applyBorder="1"/>
    <xf numFmtId="2" fontId="6" fillId="13" borderId="0" xfId="0" applyNumberFormat="1" applyFont="1" applyFill="1"/>
    <xf numFmtId="4" fontId="6" fillId="13" borderId="0" xfId="0" applyNumberFormat="1" applyFont="1" applyFill="1"/>
    <xf numFmtId="3" fontId="6" fillId="13" borderId="0" xfId="0" applyNumberFormat="1" applyFont="1" applyFill="1"/>
    <xf numFmtId="166" fontId="4" fillId="0" borderId="0" xfId="0" applyNumberFormat="1" applyFont="1"/>
    <xf numFmtId="4" fontId="4" fillId="0" borderId="0" xfId="0" applyNumberFormat="1" applyFont="1"/>
    <xf numFmtId="4" fontId="1" fillId="0" borderId="0" xfId="0" applyNumberFormat="1" applyFont="1"/>
    <xf numFmtId="4" fontId="4" fillId="4" borderId="0" xfId="0" applyNumberFormat="1" applyFont="1" applyFill="1"/>
    <xf numFmtId="166" fontId="9" fillId="4" borderId="0" xfId="0" applyNumberFormat="1" applyFont="1" applyFill="1"/>
    <xf numFmtId="166" fontId="9" fillId="10" borderId="0" xfId="0" applyNumberFormat="1" applyFont="1" applyFill="1"/>
    <xf numFmtId="0" fontId="1" fillId="0" borderId="6" xfId="1" applyFont="1" applyBorder="1" applyAlignment="1">
      <alignment vertical="center"/>
    </xf>
    <xf numFmtId="0" fontId="1" fillId="0" borderId="7" xfId="1" applyFont="1" applyBorder="1" applyAlignment="1">
      <alignment vertical="center"/>
    </xf>
    <xf numFmtId="0" fontId="1" fillId="20" borderId="5" xfId="1" applyFont="1" applyFill="1" applyBorder="1"/>
    <xf numFmtId="0" fontId="1" fillId="3" borderId="4" xfId="1" applyFont="1" applyFill="1" applyBorder="1"/>
    <xf numFmtId="0" fontId="1" fillId="20" borderId="2" xfId="1" applyFont="1" applyFill="1" applyBorder="1" applyAlignment="1">
      <alignment horizontal="center" vertical="center"/>
    </xf>
    <xf numFmtId="42" fontId="1" fillId="20" borderId="2" xfId="1" applyNumberFormat="1" applyFont="1" applyFill="1" applyBorder="1" applyAlignment="1">
      <alignment horizontal="left"/>
    </xf>
    <xf numFmtId="42" fontId="1" fillId="20" borderId="2" xfId="1" applyNumberFormat="1" applyFont="1" applyFill="1" applyBorder="1" applyAlignment="1">
      <alignment horizontal="right"/>
    </xf>
    <xf numFmtId="42" fontId="27" fillId="0" borderId="2" xfId="1" applyNumberFormat="1" applyFont="1" applyBorder="1" applyAlignment="1">
      <alignment horizontal="right"/>
    </xf>
    <xf numFmtId="0" fontId="1" fillId="0" borderId="0" xfId="1" applyFont="1" applyAlignment="1">
      <alignment wrapText="1"/>
    </xf>
    <xf numFmtId="0" fontId="4" fillId="14" borderId="3" xfId="0" applyFont="1" applyFill="1" applyBorder="1"/>
    <xf numFmtId="42" fontId="27" fillId="14" borderId="5" xfId="1" quotePrefix="1" applyNumberFormat="1" applyFont="1" applyFill="1" applyBorder="1" applyAlignment="1">
      <alignment horizontal="right"/>
    </xf>
    <xf numFmtId="164" fontId="1" fillId="20" borderId="2" xfId="2" applyNumberFormat="1" applyFont="1" applyFill="1" applyBorder="1" applyAlignment="1">
      <alignment horizontal="right"/>
    </xf>
    <xf numFmtId="0" fontId="1" fillId="20" borderId="5" xfId="1" applyNumberFormat="1" applyFont="1" applyFill="1" applyBorder="1" applyAlignment="1">
      <alignment horizontal="center"/>
    </xf>
    <xf numFmtId="167" fontId="27" fillId="14" borderId="5" xfId="1" applyNumberFormat="1" applyFont="1" applyFill="1" applyBorder="1" applyAlignment="1"/>
    <xf numFmtId="0" fontId="4" fillId="7" borderId="0" xfId="0" applyFont="1" applyFill="1"/>
    <xf numFmtId="44" fontId="4" fillId="0" borderId="0" xfId="0" applyNumberFormat="1" applyFont="1" applyFill="1"/>
    <xf numFmtId="0" fontId="4" fillId="0" borderId="0" xfId="0" applyFont="1" applyFill="1"/>
    <xf numFmtId="4" fontId="4" fillId="0" borderId="0" xfId="0" quotePrefix="1" applyNumberFormat="1" applyFont="1" applyFill="1" applyAlignment="1"/>
    <xf numFmtId="4" fontId="4" fillId="0" borderId="0" xfId="0" applyNumberFormat="1" applyFont="1" applyFill="1" applyAlignment="1"/>
    <xf numFmtId="0" fontId="4" fillId="0" borderId="0" xfId="0" applyFont="1" applyFill="1" applyAlignment="1"/>
    <xf numFmtId="0" fontId="1" fillId="0" borderId="2" xfId="1" applyBorder="1" applyAlignment="1">
      <alignment horizontal="center" vertical="center"/>
    </xf>
    <xf numFmtId="0" fontId="1" fillId="0" borderId="3" xfId="1" applyBorder="1" applyAlignment="1">
      <alignment horizontal="center" vertical="center"/>
    </xf>
    <xf numFmtId="0" fontId="1" fillId="0" borderId="5" xfId="1" applyBorder="1" applyAlignment="1">
      <alignment horizontal="center" vertical="center"/>
    </xf>
    <xf numFmtId="0" fontId="1" fillId="4" borderId="2" xfId="1" applyFill="1" applyBorder="1" applyAlignment="1">
      <alignment horizontal="center" vertical="center"/>
    </xf>
    <xf numFmtId="42" fontId="1" fillId="0" borderId="3" xfId="1" applyNumberFormat="1" applyFont="1" applyBorder="1" applyAlignment="1"/>
    <xf numFmtId="42" fontId="1" fillId="0" borderId="4" xfId="1" applyNumberFormat="1" applyFont="1" applyBorder="1" applyAlignment="1"/>
    <xf numFmtId="42" fontId="1" fillId="0" borderId="3" xfId="1" applyNumberFormat="1" applyFont="1" applyBorder="1" applyAlignment="1">
      <alignment horizontal="center"/>
    </xf>
    <xf numFmtId="42" fontId="1" fillId="0" borderId="5" xfId="1" applyNumberFormat="1" applyFont="1" applyBorder="1" applyAlignment="1">
      <alignment horizontal="center"/>
    </xf>
    <xf numFmtId="42" fontId="1" fillId="4" borderId="3" xfId="1" applyNumberFormat="1" applyFont="1" applyFill="1" applyBorder="1" applyAlignment="1"/>
    <xf numFmtId="42" fontId="1" fillId="4" borderId="4" xfId="1" applyNumberFormat="1" applyFont="1" applyFill="1" applyBorder="1" applyAlignment="1"/>
    <xf numFmtId="42" fontId="1" fillId="0" borderId="5" xfId="1" applyNumberFormat="1" applyFont="1" applyBorder="1" applyAlignment="1"/>
    <xf numFmtId="164" fontId="1" fillId="0" borderId="3" xfId="1" applyNumberFormat="1" applyFont="1" applyBorder="1" applyAlignment="1"/>
    <xf numFmtId="164" fontId="1" fillId="0" borderId="4" xfId="1" applyNumberFormat="1" applyFont="1" applyBorder="1" applyAlignment="1"/>
    <xf numFmtId="164" fontId="1" fillId="0" borderId="5" xfId="1" applyNumberFormat="1" applyFont="1" applyBorder="1" applyAlignment="1"/>
    <xf numFmtId="164" fontId="1" fillId="4" borderId="3" xfId="1" applyNumberFormat="1" applyFont="1" applyFill="1" applyBorder="1" applyAlignment="1"/>
    <xf numFmtId="164" fontId="1" fillId="4" borderId="4" xfId="1" applyNumberFormat="1" applyFont="1" applyFill="1" applyBorder="1" applyAlignment="1"/>
    <xf numFmtId="0" fontId="1" fillId="0" borderId="6" xfId="1" applyFont="1" applyBorder="1" applyAlignment="1">
      <alignment vertical="center"/>
    </xf>
    <xf numFmtId="0" fontId="1" fillId="0" borderId="7" xfId="1" applyFont="1" applyBorder="1" applyAlignment="1">
      <alignment vertical="center"/>
    </xf>
    <xf numFmtId="3" fontId="1" fillId="0" borderId="3" xfId="1" applyNumberFormat="1" applyFont="1" applyBorder="1" applyAlignment="1"/>
    <xf numFmtId="3" fontId="1" fillId="0" borderId="4" xfId="1" applyNumberFormat="1" applyFont="1" applyBorder="1" applyAlignment="1"/>
    <xf numFmtId="3" fontId="1" fillId="0" borderId="3" xfId="1" applyNumberFormat="1" applyFont="1" applyBorder="1" applyAlignment="1">
      <alignment horizontal="right"/>
    </xf>
    <xf numFmtId="3" fontId="1" fillId="0" borderId="5" xfId="1" applyNumberFormat="1" applyFont="1" applyBorder="1" applyAlignment="1">
      <alignment horizontal="right"/>
    </xf>
    <xf numFmtId="3" fontId="1" fillId="4" borderId="3" xfId="1" applyNumberFormat="1" applyFont="1" applyFill="1" applyBorder="1" applyAlignment="1"/>
    <xf numFmtId="3" fontId="1" fillId="4" borderId="4" xfId="1" applyNumberFormat="1" applyFont="1" applyFill="1" applyBorder="1" applyAlignment="1"/>
    <xf numFmtId="164" fontId="1" fillId="0" borderId="3" xfId="1" applyNumberFormat="1" applyFont="1" applyBorder="1" applyAlignment="1">
      <alignment horizontal="right"/>
    </xf>
    <xf numFmtId="164" fontId="1" fillId="0" borderId="5" xfId="1" applyNumberFormat="1" applyFont="1" applyBorder="1" applyAlignment="1">
      <alignment horizontal="right"/>
    </xf>
    <xf numFmtId="3" fontId="1" fillId="0" borderId="3" xfId="1" applyNumberFormat="1" applyFont="1" applyFill="1" applyBorder="1" applyAlignment="1"/>
    <xf numFmtId="0" fontId="1" fillId="0" borderId="4" xfId="1" applyFont="1" applyFill="1" applyBorder="1" applyAlignment="1"/>
    <xf numFmtId="3" fontId="1" fillId="0" borderId="3" xfId="1" applyNumberFormat="1" applyFont="1" applyFill="1" applyBorder="1" applyAlignment="1">
      <alignment horizontal="right"/>
    </xf>
    <xf numFmtId="0" fontId="1" fillId="0" borderId="5" xfId="1" applyFont="1" applyFill="1" applyBorder="1" applyAlignment="1">
      <alignment horizontal="right"/>
    </xf>
    <xf numFmtId="0" fontId="1" fillId="4" borderId="4" xfId="1" applyFont="1" applyFill="1" applyBorder="1" applyAlignment="1"/>
    <xf numFmtId="6" fontId="12" fillId="0" borderId="3" xfId="1" applyNumberFormat="1" applyFont="1" applyFill="1" applyBorder="1" applyAlignment="1">
      <alignment horizontal="right"/>
    </xf>
    <xf numFmtId="0" fontId="12" fillId="0" borderId="4" xfId="1" applyFont="1" applyFill="1" applyBorder="1" applyAlignment="1">
      <alignment horizontal="right"/>
    </xf>
    <xf numFmtId="0" fontId="12" fillId="0" borderId="5" xfId="1" applyFont="1" applyFill="1" applyBorder="1" applyAlignment="1">
      <alignment horizontal="right"/>
    </xf>
    <xf numFmtId="6" fontId="6" fillId="4" borderId="3" xfId="1" applyNumberFormat="1" applyFont="1" applyFill="1" applyBorder="1" applyAlignment="1">
      <alignment horizontal="right"/>
    </xf>
    <xf numFmtId="0" fontId="6" fillId="4" borderId="4" xfId="1" applyFont="1" applyFill="1" applyBorder="1" applyAlignment="1">
      <alignment horizontal="right"/>
    </xf>
    <xf numFmtId="0" fontId="1" fillId="0" borderId="2" xfId="1" applyFont="1" applyBorder="1" applyAlignment="1">
      <alignment horizontal="center" vertical="center"/>
    </xf>
    <xf numFmtId="0" fontId="1" fillId="20" borderId="3" xfId="1" applyFont="1" applyFill="1" applyBorder="1" applyAlignment="1">
      <alignment horizontal="center" vertical="center" wrapText="1"/>
    </xf>
    <xf numFmtId="0" fontId="1" fillId="20" borderId="4" xfId="1" applyFont="1" applyFill="1" applyBorder="1" applyAlignment="1">
      <alignment horizontal="center" vertical="center"/>
    </xf>
    <xf numFmtId="0" fontId="1" fillId="0" borderId="3" xfId="1" applyFont="1" applyBorder="1" applyAlignment="1">
      <alignment horizontal="center" vertical="center"/>
    </xf>
    <xf numFmtId="0" fontId="1" fillId="0" borderId="4" xfId="1" applyFont="1" applyBorder="1" applyAlignment="1">
      <alignment horizontal="center" vertical="center"/>
    </xf>
    <xf numFmtId="42" fontId="1" fillId="20" borderId="3" xfId="1" applyNumberFormat="1" applyFont="1" applyFill="1" applyBorder="1" applyAlignment="1">
      <alignment horizontal="left"/>
    </xf>
    <xf numFmtId="42" fontId="1" fillId="20" borderId="4" xfId="1" applyNumberFormat="1" applyFont="1" applyFill="1" applyBorder="1" applyAlignment="1">
      <alignment horizontal="left"/>
    </xf>
    <xf numFmtId="42" fontId="1" fillId="0" borderId="3" xfId="1" applyNumberFormat="1" applyFont="1" applyBorder="1" applyAlignment="1">
      <alignment horizontal="left"/>
    </xf>
    <xf numFmtId="42" fontId="1" fillId="0" borderId="4" xfId="1" applyNumberFormat="1" applyFont="1" applyBorder="1" applyAlignment="1">
      <alignment horizontal="left"/>
    </xf>
    <xf numFmtId="164" fontId="1" fillId="20" borderId="3" xfId="1" applyNumberFormat="1" applyFont="1" applyFill="1" applyBorder="1" applyAlignment="1">
      <alignment horizontal="right"/>
    </xf>
    <xf numFmtId="164" fontId="1" fillId="20" borderId="4" xfId="1" applyNumberFormat="1" applyFont="1" applyFill="1" applyBorder="1" applyAlignment="1">
      <alignment horizontal="right"/>
    </xf>
    <xf numFmtId="3" fontId="1" fillId="20" borderId="3" xfId="1" applyNumberFormat="1" applyFont="1" applyFill="1" applyBorder="1" applyAlignment="1">
      <alignment horizontal="center"/>
    </xf>
    <xf numFmtId="3" fontId="1" fillId="20" borderId="4" xfId="1" applyNumberFormat="1" applyFont="1" applyFill="1" applyBorder="1" applyAlignment="1">
      <alignment horizontal="center"/>
    </xf>
    <xf numFmtId="3" fontId="1" fillId="0" borderId="4" xfId="1" applyNumberFormat="1" applyFont="1" applyBorder="1" applyAlignment="1">
      <alignment horizontal="right"/>
    </xf>
    <xf numFmtId="164" fontId="1" fillId="0" borderId="4" xfId="1" applyNumberFormat="1" applyFont="1" applyBorder="1" applyAlignment="1">
      <alignment horizontal="right"/>
    </xf>
    <xf numFmtId="0" fontId="1" fillId="0" borderId="4" xfId="1" applyFont="1" applyFill="1" applyBorder="1" applyAlignment="1">
      <alignment horizontal="right"/>
    </xf>
    <xf numFmtId="42" fontId="1" fillId="20" borderId="3" xfId="1" applyNumberFormat="1" applyFont="1" applyFill="1" applyBorder="1" applyAlignment="1">
      <alignment horizontal="center"/>
    </xf>
    <xf numFmtId="42" fontId="1" fillId="20" borderId="4" xfId="1" applyNumberFormat="1" applyFont="1" applyFill="1" applyBorder="1" applyAlignment="1">
      <alignment horizontal="center"/>
    </xf>
    <xf numFmtId="0" fontId="1" fillId="0" borderId="3" xfId="1" applyNumberFormat="1" applyFont="1" applyFill="1" applyBorder="1" applyAlignment="1">
      <alignment horizontal="center"/>
    </xf>
    <xf numFmtId="0" fontId="1" fillId="0" borderId="4" xfId="1" applyNumberFormat="1" applyFont="1" applyFill="1" applyBorder="1" applyAlignment="1">
      <alignment horizontal="center"/>
    </xf>
    <xf numFmtId="6" fontId="6" fillId="0" borderId="3" xfId="1" applyNumberFormat="1" applyFont="1" applyFill="1" applyBorder="1" applyAlignment="1">
      <alignment horizontal="center"/>
    </xf>
    <xf numFmtId="0" fontId="6" fillId="0" borderId="4" xfId="1" applyFont="1" applyFill="1" applyBorder="1" applyAlignment="1">
      <alignment horizontal="center"/>
    </xf>
    <xf numFmtId="0" fontId="4" fillId="14" borderId="1" xfId="0" applyFont="1" applyFill="1" applyBorder="1" applyAlignment="1">
      <alignment horizontal="center" vertical="center"/>
    </xf>
    <xf numFmtId="0" fontId="4" fillId="14" borderId="12" xfId="0" applyFont="1" applyFill="1" applyBorder="1" applyAlignment="1">
      <alignment horizontal="center" vertical="center"/>
    </xf>
    <xf numFmtId="0" fontId="4" fillId="14" borderId="13" xfId="0" applyFont="1" applyFill="1" applyBorder="1" applyAlignment="1">
      <alignment horizontal="center" vertical="center"/>
    </xf>
    <xf numFmtId="0" fontId="4" fillId="14" borderId="1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15" xfId="0" applyFont="1" applyFill="1" applyBorder="1" applyAlignment="1">
      <alignment horizontal="center" vertical="center"/>
    </xf>
    <xf numFmtId="0" fontId="4" fillId="14" borderId="8" xfId="0" applyFont="1" applyFill="1" applyBorder="1" applyAlignment="1">
      <alignment horizontal="center" vertical="center"/>
    </xf>
    <xf numFmtId="0" fontId="4" fillId="14" borderId="9" xfId="0" applyFont="1" applyFill="1" applyBorder="1" applyAlignment="1">
      <alignment horizontal="center" vertical="center"/>
    </xf>
    <xf numFmtId="0" fontId="4" fillId="14" borderId="10" xfId="0" applyFont="1" applyFill="1" applyBorder="1" applyAlignment="1">
      <alignment horizontal="center" vertical="center"/>
    </xf>
    <xf numFmtId="0" fontId="4" fillId="0" borderId="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0" xfId="0" applyFont="1" applyBorder="1" applyAlignment="1">
      <alignment horizontal="center" vertic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0" fillId="14" borderId="0" xfId="0" applyFill="1" applyBorder="1" applyAlignment="1">
      <alignment horizontal="left" wrapText="1"/>
    </xf>
    <xf numFmtId="0" fontId="0" fillId="0" borderId="0" xfId="0" applyAlignment="1">
      <alignment horizontal="left" wrapText="1"/>
    </xf>
    <xf numFmtId="0" fontId="0" fillId="0" borderId="0" xfId="0" applyFont="1" applyAlignment="1">
      <alignment horizontal="left" wrapText="1"/>
    </xf>
    <xf numFmtId="0" fontId="29" fillId="21" borderId="0" xfId="0" applyFont="1" applyFill="1" applyBorder="1" applyAlignment="1">
      <alignment wrapText="1"/>
    </xf>
    <xf numFmtId="0" fontId="29" fillId="0" borderId="0" xfId="0" applyFont="1" applyBorder="1"/>
    <xf numFmtId="0" fontId="30" fillId="21" borderId="0" xfId="0" applyFont="1" applyFill="1" applyBorder="1" applyAlignment="1">
      <alignment wrapText="1"/>
    </xf>
    <xf numFmtId="17" fontId="30" fillId="21" borderId="0" xfId="0" quotePrefix="1" applyNumberFormat="1" applyFont="1" applyFill="1" applyBorder="1" applyAlignment="1">
      <alignment wrapText="1"/>
    </xf>
    <xf numFmtId="0" fontId="31" fillId="21" borderId="0" xfId="0" applyFont="1" applyFill="1" applyBorder="1" applyAlignment="1">
      <alignment wrapText="1"/>
    </xf>
    <xf numFmtId="0" fontId="32" fillId="21" borderId="0" xfId="0" applyFont="1" applyFill="1" applyBorder="1" applyAlignment="1">
      <alignment wrapText="1"/>
    </xf>
    <xf numFmtId="0" fontId="33" fillId="21" borderId="0" xfId="3" applyFont="1" applyFill="1" applyBorder="1" applyAlignment="1" applyProtection="1">
      <alignment wrapText="1"/>
    </xf>
    <xf numFmtId="0" fontId="29" fillId="0" borderId="0" xfId="0" applyFont="1" applyBorder="1" applyAlignment="1">
      <alignment wrapText="1"/>
    </xf>
    <xf numFmtId="0" fontId="34" fillId="21" borderId="0" xfId="0" applyNumberFormat="1" applyFont="1" applyFill="1" applyBorder="1" applyAlignment="1">
      <alignment wrapText="1"/>
    </xf>
    <xf numFmtId="0" fontId="34" fillId="21" borderId="0" xfId="0" applyFont="1" applyFill="1" applyBorder="1" applyAlignment="1">
      <alignment wrapText="1"/>
    </xf>
    <xf numFmtId="0" fontId="35" fillId="0" borderId="0" xfId="0" applyFont="1"/>
    <xf numFmtId="0" fontId="36" fillId="22" borderId="1" xfId="1" applyFont="1" applyFill="1" applyBorder="1" applyAlignment="1">
      <alignment horizontal="center" wrapText="1"/>
    </xf>
    <xf numFmtId="0" fontId="37" fillId="13" borderId="12" xfId="1" applyFont="1" applyFill="1" applyBorder="1" applyAlignment="1">
      <alignment horizontal="center"/>
    </xf>
    <xf numFmtId="0" fontId="37" fillId="13" borderId="13" xfId="1" applyFont="1" applyFill="1" applyBorder="1" applyAlignment="1">
      <alignment horizontal="center"/>
    </xf>
    <xf numFmtId="0" fontId="37" fillId="13" borderId="1" xfId="1" applyFont="1" applyFill="1" applyBorder="1" applyAlignment="1">
      <alignment horizontal="center" wrapText="1"/>
    </xf>
    <xf numFmtId="0" fontId="37" fillId="13" borderId="13" xfId="1" applyFont="1" applyFill="1" applyBorder="1" applyAlignment="1">
      <alignment horizontal="center" wrapText="1"/>
    </xf>
    <xf numFmtId="0" fontId="37" fillId="13" borderId="3" xfId="1" applyFont="1" applyFill="1" applyBorder="1" applyAlignment="1">
      <alignment horizontal="center"/>
    </xf>
    <xf numFmtId="0" fontId="37" fillId="13" borderId="4" xfId="1" applyFont="1" applyFill="1" applyBorder="1" applyAlignment="1">
      <alignment horizontal="center"/>
    </xf>
    <xf numFmtId="0" fontId="0" fillId="0" borderId="0" xfId="0" applyFont="1"/>
    <xf numFmtId="0" fontId="37" fillId="13" borderId="3" xfId="1" applyFont="1" applyFill="1" applyBorder="1" applyAlignment="1">
      <alignment horizontal="left" indent="1"/>
    </xf>
    <xf numFmtId="0" fontId="37" fillId="13" borderId="5" xfId="1" applyFont="1" applyFill="1" applyBorder="1" applyAlignment="1">
      <alignment horizontal="left" indent="1"/>
    </xf>
    <xf numFmtId="0" fontId="37" fillId="13" borderId="5" xfId="1" applyFont="1" applyFill="1" applyBorder="1" applyAlignment="1"/>
    <xf numFmtId="0" fontId="37" fillId="13" borderId="4" xfId="1" applyFont="1" applyFill="1" applyBorder="1" applyAlignment="1"/>
    <xf numFmtId="166" fontId="38" fillId="14" borderId="14" xfId="1" applyNumberFormat="1" applyFont="1" applyFill="1" applyBorder="1" applyAlignment="1">
      <alignment horizontal="left" indent="1"/>
    </xf>
    <xf numFmtId="166" fontId="38" fillId="14" borderId="1" xfId="1" applyNumberFormat="1" applyFont="1" applyFill="1" applyBorder="1" applyAlignment="1">
      <alignment horizontal="right" indent="1"/>
    </xf>
    <xf numFmtId="166" fontId="38" fillId="14" borderId="13" xfId="1" applyNumberFormat="1" applyFont="1" applyFill="1" applyBorder="1" applyAlignment="1">
      <alignment horizontal="right" indent="1"/>
    </xf>
    <xf numFmtId="166" fontId="38" fillId="13" borderId="1" xfId="1" applyNumberFormat="1" applyFont="1" applyFill="1" applyBorder="1" applyAlignment="1">
      <alignment horizontal="right" indent="1"/>
    </xf>
    <xf numFmtId="166" fontId="38" fillId="13" borderId="13" xfId="1" applyNumberFormat="1" applyFont="1" applyFill="1" applyBorder="1" applyAlignment="1">
      <alignment horizontal="right" indent="1"/>
    </xf>
    <xf numFmtId="166" fontId="38" fillId="14" borderId="14" xfId="1" applyNumberFormat="1" applyFont="1" applyFill="1" applyBorder="1" applyAlignment="1">
      <alignment horizontal="right" indent="1"/>
    </xf>
    <xf numFmtId="166" fontId="38" fillId="14" borderId="15" xfId="1" applyNumberFormat="1" applyFont="1" applyFill="1" applyBorder="1" applyAlignment="1">
      <alignment horizontal="right" indent="1"/>
    </xf>
    <xf numFmtId="166" fontId="38" fillId="13" borderId="14" xfId="1" applyNumberFormat="1" applyFont="1" applyFill="1" applyBorder="1" applyAlignment="1">
      <alignment horizontal="right" indent="1"/>
    </xf>
    <xf numFmtId="166" fontId="38" fillId="13" borderId="15" xfId="1" applyNumberFormat="1" applyFont="1" applyFill="1" applyBorder="1" applyAlignment="1">
      <alignment horizontal="right" indent="1"/>
    </xf>
    <xf numFmtId="166" fontId="38" fillId="14" borderId="14" xfId="1" applyNumberFormat="1" applyFont="1" applyFill="1" applyBorder="1" applyAlignment="1">
      <alignment horizontal="left" vertical="center" indent="1"/>
    </xf>
    <xf numFmtId="49" fontId="39" fillId="14" borderId="14" xfId="1" applyNumberFormat="1" applyFont="1" applyFill="1" applyBorder="1" applyAlignment="1">
      <alignment horizontal="right"/>
    </xf>
    <xf numFmtId="49" fontId="39" fillId="14" borderId="15" xfId="1" applyNumberFormat="1" applyFont="1" applyFill="1" applyBorder="1" applyAlignment="1">
      <alignment horizontal="right"/>
    </xf>
    <xf numFmtId="49" fontId="39" fillId="13" borderId="14" xfId="1" applyNumberFormat="1" applyFont="1" applyFill="1" applyBorder="1" applyAlignment="1">
      <alignment horizontal="right"/>
    </xf>
    <xf numFmtId="49" fontId="39" fillId="13" borderId="15" xfId="1" applyNumberFormat="1" applyFont="1" applyFill="1" applyBorder="1" applyAlignment="1">
      <alignment horizontal="right"/>
    </xf>
    <xf numFmtId="5" fontId="39" fillId="14" borderId="14" xfId="1" applyNumberFormat="1" applyFont="1" applyFill="1" applyBorder="1" applyAlignment="1"/>
    <xf numFmtId="5" fontId="39" fillId="14" borderId="15" xfId="1" applyNumberFormat="1" applyFont="1" applyFill="1" applyBorder="1" applyAlignment="1"/>
    <xf numFmtId="49" fontId="39" fillId="14" borderId="8" xfId="2" applyNumberFormat="1" applyFont="1" applyFill="1" applyBorder="1" applyAlignment="1">
      <alignment horizontal="right"/>
    </xf>
    <xf numFmtId="49" fontId="39" fillId="14" borderId="10" xfId="2" applyNumberFormat="1" applyFont="1" applyFill="1" applyBorder="1" applyAlignment="1">
      <alignment horizontal="right"/>
    </xf>
    <xf numFmtId="49" fontId="39" fillId="13" borderId="8" xfId="2" applyNumberFormat="1" applyFont="1" applyFill="1" applyBorder="1" applyAlignment="1">
      <alignment horizontal="right" wrapText="1"/>
    </xf>
    <xf numFmtId="49" fontId="39" fillId="13" borderId="10" xfId="2" applyNumberFormat="1" applyFont="1" applyFill="1" applyBorder="1" applyAlignment="1">
      <alignment horizontal="right" wrapText="1"/>
    </xf>
    <xf numFmtId="0" fontId="37" fillId="13" borderId="2" xfId="1" applyFont="1" applyFill="1" applyBorder="1" applyAlignment="1">
      <alignment horizontal="left" wrapText="1" indent="1"/>
    </xf>
    <xf numFmtId="0" fontId="37" fillId="13" borderId="2" xfId="1" applyFont="1" applyFill="1" applyBorder="1" applyAlignment="1">
      <alignment horizontal="center" vertical="center"/>
    </xf>
    <xf numFmtId="0" fontId="38" fillId="14" borderId="14" xfId="1" applyFont="1" applyFill="1" applyBorder="1" applyAlignment="1">
      <alignment horizontal="left" indent="1"/>
    </xf>
    <xf numFmtId="166" fontId="38" fillId="14" borderId="14" xfId="1" applyNumberFormat="1" applyFont="1" applyFill="1" applyBorder="1" applyAlignment="1">
      <alignment horizontal="right" indent="1"/>
    </xf>
    <xf numFmtId="166" fontId="38" fillId="13" borderId="14" xfId="1" applyNumberFormat="1" applyFont="1" applyFill="1" applyBorder="1" applyAlignment="1">
      <alignment horizontal="right" indent="1"/>
    </xf>
    <xf numFmtId="166" fontId="38" fillId="13" borderId="11" xfId="1" applyNumberFormat="1" applyFont="1" applyFill="1" applyBorder="1" applyAlignment="1">
      <alignment horizontal="right" indent="1"/>
    </xf>
    <xf numFmtId="166" fontId="38" fillId="14" borderId="0" xfId="1" applyNumberFormat="1" applyFont="1" applyFill="1" applyBorder="1" applyAlignment="1">
      <alignment horizontal="right" indent="1"/>
    </xf>
    <xf numFmtId="166" fontId="38" fillId="14" borderId="11" xfId="1" applyNumberFormat="1" applyFont="1" applyFill="1" applyBorder="1" applyAlignment="1">
      <alignment horizontal="right" indent="1"/>
    </xf>
    <xf numFmtId="166" fontId="40" fillId="14" borderId="14" xfId="1" applyNumberFormat="1" applyFont="1" applyFill="1" applyBorder="1" applyAlignment="1">
      <alignment horizontal="right" indent="1"/>
    </xf>
    <xf numFmtId="166" fontId="40" fillId="13" borderId="11" xfId="1" applyNumberFormat="1" applyFont="1" applyFill="1" applyBorder="1" applyAlignment="1">
      <alignment horizontal="right" indent="1"/>
    </xf>
    <xf numFmtId="0" fontId="37" fillId="13" borderId="3" xfId="1" applyFont="1" applyFill="1" applyBorder="1" applyAlignment="1">
      <alignment horizontal="left" indent="1"/>
    </xf>
    <xf numFmtId="0" fontId="37" fillId="13" borderId="5" xfId="1" applyFont="1" applyFill="1" applyBorder="1" applyAlignment="1">
      <alignment horizontal="right" indent="2"/>
    </xf>
    <xf numFmtId="0" fontId="37" fillId="13" borderId="4" xfId="1" applyFont="1" applyFill="1" applyBorder="1" applyAlignment="1">
      <alignment horizontal="right" indent="2"/>
    </xf>
    <xf numFmtId="0" fontId="38" fillId="14" borderId="1" xfId="1" applyFont="1" applyFill="1" applyBorder="1" applyAlignment="1">
      <alignment horizontal="left" vertical="center" indent="1"/>
    </xf>
    <xf numFmtId="3" fontId="38" fillId="14" borderId="1" xfId="1" applyNumberFormat="1" applyFont="1" applyFill="1" applyBorder="1" applyAlignment="1">
      <alignment horizontal="right" indent="1"/>
    </xf>
    <xf numFmtId="3" fontId="38" fillId="14" borderId="12" xfId="1" applyNumberFormat="1" applyFont="1" applyFill="1" applyBorder="1" applyAlignment="1">
      <alignment horizontal="right" indent="1"/>
    </xf>
    <xf numFmtId="3" fontId="38" fillId="13" borderId="1" xfId="1" applyNumberFormat="1" applyFont="1" applyFill="1" applyBorder="1" applyAlignment="1">
      <alignment horizontal="center"/>
    </xf>
    <xf numFmtId="3" fontId="38" fillId="13" borderId="13" xfId="1" applyNumberFormat="1" applyFont="1" applyFill="1" applyBorder="1" applyAlignment="1">
      <alignment horizontal="center"/>
    </xf>
    <xf numFmtId="3" fontId="38" fillId="14" borderId="13" xfId="1" applyNumberFormat="1" applyFont="1" applyFill="1" applyBorder="1" applyAlignment="1">
      <alignment horizontal="right" indent="1"/>
    </xf>
    <xf numFmtId="0" fontId="38" fillId="14" borderId="8" xfId="1" applyFont="1" applyFill="1" applyBorder="1" applyAlignment="1">
      <alignment horizontal="left" vertical="center" indent="1"/>
    </xf>
    <xf numFmtId="164" fontId="38" fillId="14" borderId="8" xfId="1" applyNumberFormat="1" applyFont="1" applyFill="1" applyBorder="1" applyAlignment="1">
      <alignment horizontal="right" indent="1"/>
    </xf>
    <xf numFmtId="164" fontId="38" fillId="14" borderId="9" xfId="1" applyNumberFormat="1" applyFont="1" applyFill="1" applyBorder="1" applyAlignment="1">
      <alignment horizontal="right" indent="1"/>
    </xf>
    <xf numFmtId="164" fontId="38" fillId="14" borderId="10" xfId="1" applyNumberFormat="1" applyFont="1" applyFill="1" applyBorder="1" applyAlignment="1">
      <alignment horizontal="right" indent="1"/>
    </xf>
    <xf numFmtId="3" fontId="38" fillId="14" borderId="14" xfId="1" applyNumberFormat="1" applyFont="1" applyFill="1" applyBorder="1" applyAlignment="1">
      <alignment horizontal="right" indent="1"/>
    </xf>
    <xf numFmtId="0" fontId="38" fillId="14" borderId="0" xfId="1" applyFont="1" applyFill="1" applyBorder="1" applyAlignment="1">
      <alignment horizontal="right" indent="1"/>
    </xf>
    <xf numFmtId="3" fontId="38" fillId="14" borderId="0" xfId="1" applyNumberFormat="1" applyFont="1" applyFill="1" applyBorder="1" applyAlignment="1">
      <alignment horizontal="right" indent="1"/>
    </xf>
    <xf numFmtId="0" fontId="38" fillId="14" borderId="15" xfId="1" applyFont="1" applyFill="1" applyBorder="1" applyAlignment="1">
      <alignment horizontal="right" indent="1"/>
    </xf>
    <xf numFmtId="0" fontId="37" fillId="13" borderId="5" xfId="1" applyFont="1" applyFill="1" applyBorder="1"/>
    <xf numFmtId="0" fontId="37" fillId="13" borderId="5" xfId="1" applyFont="1" applyFill="1" applyBorder="1" applyAlignment="1">
      <alignment horizontal="center"/>
    </xf>
    <xf numFmtId="0" fontId="37" fillId="13" borderId="4" xfId="1" applyFont="1" applyFill="1" applyBorder="1"/>
    <xf numFmtId="166" fontId="38" fillId="14" borderId="12" xfId="1" applyNumberFormat="1" applyFont="1" applyFill="1" applyBorder="1" applyAlignment="1">
      <alignment horizontal="right" indent="1"/>
    </xf>
    <xf numFmtId="166" fontId="38" fillId="13" borderId="1" xfId="1" applyNumberFormat="1" applyFont="1" applyFill="1" applyBorder="1" applyAlignment="1">
      <alignment horizontal="center"/>
    </xf>
    <xf numFmtId="166" fontId="38" fillId="13" borderId="13" xfId="1" applyNumberFormat="1" applyFont="1" applyFill="1" applyBorder="1" applyAlignment="1">
      <alignment horizontal="center"/>
    </xf>
    <xf numFmtId="166" fontId="40" fillId="14" borderId="1" xfId="1" applyNumberFormat="1" applyFont="1" applyFill="1" applyBorder="1" applyAlignment="1">
      <alignment horizontal="right" indent="1"/>
    </xf>
    <xf numFmtId="166" fontId="40" fillId="14" borderId="12" xfId="1" applyNumberFormat="1" applyFont="1" applyFill="1" applyBorder="1" applyAlignment="1">
      <alignment horizontal="right" indent="1"/>
    </xf>
    <xf numFmtId="166" fontId="38" fillId="14" borderId="0" xfId="1" applyNumberFormat="1" applyFont="1" applyFill="1" applyBorder="1" applyAlignment="1">
      <alignment horizontal="right" indent="1"/>
    </xf>
    <xf numFmtId="164" fontId="38" fillId="14" borderId="6" xfId="1" applyNumberFormat="1" applyFont="1" applyFill="1" applyBorder="1" applyAlignment="1">
      <alignment horizontal="right" indent="1"/>
    </xf>
    <xf numFmtId="164" fontId="38" fillId="14" borderId="0" xfId="1" applyNumberFormat="1" applyFont="1" applyFill="1" applyBorder="1" applyAlignment="1">
      <alignment horizontal="right" indent="1"/>
    </xf>
    <xf numFmtId="164" fontId="38" fillId="13" borderId="6" xfId="1" applyNumberFormat="1" applyFont="1" applyFill="1" applyBorder="1" applyAlignment="1">
      <alignment horizontal="right" indent="1"/>
    </xf>
    <xf numFmtId="164" fontId="38" fillId="13" borderId="15" xfId="1" applyNumberFormat="1" applyFont="1" applyFill="1" applyBorder="1" applyAlignment="1">
      <alignment horizontal="right" indent="1"/>
    </xf>
    <xf numFmtId="164" fontId="38" fillId="14" borderId="11" xfId="1" applyNumberFormat="1" applyFont="1" applyFill="1" applyBorder="1" applyAlignment="1">
      <alignment horizontal="right" indent="1"/>
    </xf>
    <xf numFmtId="164" fontId="38" fillId="13" borderId="11" xfId="1" applyNumberFormat="1" applyFont="1" applyFill="1" applyBorder="1" applyAlignment="1">
      <alignment horizontal="right" indent="1"/>
    </xf>
    <xf numFmtId="164" fontId="38" fillId="14" borderId="7" xfId="1" applyNumberFormat="1" applyFont="1" applyFill="1" applyBorder="1" applyAlignment="1">
      <alignment horizontal="right" indent="1"/>
    </xf>
    <xf numFmtId="164" fontId="38" fillId="13" borderId="7" xfId="1" applyNumberFormat="1" applyFont="1" applyFill="1" applyBorder="1" applyAlignment="1">
      <alignment horizontal="right" indent="1"/>
    </xf>
    <xf numFmtId="0" fontId="37" fillId="13" borderId="3" xfId="1" applyFont="1" applyFill="1" applyBorder="1"/>
    <xf numFmtId="0" fontId="38" fillId="14" borderId="8" xfId="1" applyFont="1" applyFill="1" applyBorder="1"/>
    <xf numFmtId="0" fontId="39" fillId="14" borderId="8" xfId="1" applyNumberFormat="1" applyFont="1" applyFill="1" applyBorder="1" applyAlignment="1">
      <alignment horizontal="center"/>
    </xf>
    <xf numFmtId="0" fontId="41" fillId="14" borderId="9" xfId="0" applyNumberFormat="1" applyFont="1" applyFill="1" applyBorder="1"/>
    <xf numFmtId="0" fontId="39" fillId="13" borderId="8" xfId="1" applyNumberFormat="1" applyFont="1" applyFill="1" applyBorder="1" applyAlignment="1">
      <alignment horizontal="center"/>
    </xf>
    <xf numFmtId="0" fontId="39" fillId="13" borderId="10" xfId="1" applyNumberFormat="1" applyFont="1" applyFill="1" applyBorder="1" applyAlignment="1">
      <alignment horizontal="center"/>
    </xf>
    <xf numFmtId="0" fontId="39" fillId="14" borderId="3" xfId="1" applyNumberFormat="1" applyFont="1" applyFill="1" applyBorder="1" applyAlignment="1">
      <alignment horizontal="center"/>
    </xf>
    <xf numFmtId="0" fontId="39" fillId="14" borderId="4" xfId="1" applyNumberFormat="1" applyFont="1" applyFill="1" applyBorder="1" applyAlignment="1">
      <alignment horizontal="center"/>
    </xf>
    <xf numFmtId="0" fontId="42" fillId="0" borderId="0" xfId="0" applyFont="1"/>
    <xf numFmtId="0" fontId="0" fillId="22" borderId="0" xfId="0" applyFill="1"/>
    <xf numFmtId="0" fontId="43" fillId="20" borderId="2" xfId="0" applyFont="1" applyFill="1" applyBorder="1" applyAlignment="1">
      <alignment vertical="center" wrapText="1"/>
    </xf>
    <xf numFmtId="0" fontId="43" fillId="20" borderId="6" xfId="0" applyFont="1" applyFill="1" applyBorder="1" applyAlignment="1">
      <alignment horizontal="center" vertical="center"/>
    </xf>
    <xf numFmtId="0" fontId="35" fillId="0" borderId="3" xfId="0" applyFont="1" applyBorder="1" applyAlignment="1">
      <alignment vertical="center" wrapText="1"/>
    </xf>
    <xf numFmtId="0" fontId="35" fillId="13" borderId="2" xfId="0" applyFont="1" applyFill="1" applyBorder="1" applyAlignment="1">
      <alignment horizontal="center" vertical="center"/>
    </xf>
    <xf numFmtId="0" fontId="35" fillId="0" borderId="2" xfId="0" applyFont="1" applyBorder="1" applyAlignment="1">
      <alignment horizontal="center" vertical="center"/>
    </xf>
    <xf numFmtId="0" fontId="35" fillId="0" borderId="0" xfId="0" applyFont="1" applyAlignment="1">
      <alignment horizontal="center" vertical="top"/>
    </xf>
    <xf numFmtId="0" fontId="35" fillId="0" borderId="0" xfId="0" applyFont="1" applyAlignment="1">
      <alignment vertical="top" wrapText="1"/>
    </xf>
    <xf numFmtId="0" fontId="36" fillId="22" borderId="2" xfId="0" applyFont="1" applyFill="1" applyBorder="1" applyAlignment="1">
      <alignment horizontal="center" vertical="center" wrapText="1"/>
    </xf>
    <xf numFmtId="0" fontId="43" fillId="20" borderId="2" xfId="0" applyFont="1" applyFill="1" applyBorder="1" applyAlignment="1">
      <alignment horizontal="center" vertical="center" wrapText="1"/>
    </xf>
    <xf numFmtId="0" fontId="35" fillId="0" borderId="2" xfId="0" applyFont="1" applyBorder="1" applyAlignment="1">
      <alignment vertical="center" wrapText="1"/>
    </xf>
    <xf numFmtId="164" fontId="35" fillId="0" borderId="2" xfId="0" applyNumberFormat="1" applyFont="1" applyBorder="1" applyAlignment="1">
      <alignment vertical="center"/>
    </xf>
    <xf numFmtId="164" fontId="35" fillId="20" borderId="3" xfId="0" applyNumberFormat="1" applyFont="1" applyFill="1" applyBorder="1" applyAlignment="1">
      <alignment vertical="center"/>
    </xf>
    <xf numFmtId="164" fontId="35" fillId="20" borderId="4" xfId="0" applyNumberFormat="1" applyFont="1" applyFill="1" applyBorder="1" applyAlignment="1">
      <alignment vertical="center"/>
    </xf>
    <xf numFmtId="0" fontId="35" fillId="0" borderId="2" xfId="0" applyFont="1" applyBorder="1" applyAlignment="1">
      <alignment horizontal="right" vertical="center" wrapText="1"/>
    </xf>
    <xf numFmtId="0" fontId="35" fillId="0" borderId="2" xfId="0" applyFont="1" applyBorder="1" applyAlignment="1">
      <alignment horizontal="right" wrapText="1"/>
    </xf>
    <xf numFmtId="164" fontId="35" fillId="0" borderId="2" xfId="0" applyNumberFormat="1" applyFont="1" applyBorder="1"/>
    <xf numFmtId="0" fontId="45" fillId="20" borderId="3" xfId="0" applyFont="1" applyFill="1" applyBorder="1" applyAlignment="1">
      <alignment horizontal="center" vertical="center"/>
    </xf>
    <xf numFmtId="0" fontId="43" fillId="20" borderId="5" xfId="0" applyFont="1" applyFill="1" applyBorder="1" applyAlignment="1">
      <alignment vertical="center"/>
    </xf>
    <xf numFmtId="0" fontId="43" fillId="20" borderId="4" xfId="0" applyFont="1" applyFill="1" applyBorder="1" applyAlignment="1">
      <alignment horizontal="center" vertical="center" wrapText="1"/>
    </xf>
    <xf numFmtId="0" fontId="45" fillId="14" borderId="11" xfId="0" applyFont="1" applyFill="1" applyBorder="1" applyAlignment="1">
      <alignment horizontal="center" vertical="center" textRotation="90"/>
    </xf>
    <xf numFmtId="0" fontId="46" fillId="14" borderId="7" xfId="0" applyFont="1" applyFill="1" applyBorder="1" applyAlignment="1">
      <alignment vertical="center" wrapText="1"/>
    </xf>
    <xf numFmtId="0" fontId="36" fillId="22" borderId="16" xfId="0" applyFont="1" applyFill="1" applyBorder="1" applyAlignment="1">
      <alignment horizontal="center" vertical="center"/>
    </xf>
    <xf numFmtId="0" fontId="45" fillId="14" borderId="7" xfId="0" applyFont="1" applyFill="1" applyBorder="1" applyAlignment="1">
      <alignment horizontal="center" vertical="center" textRotation="90"/>
    </xf>
    <xf numFmtId="0" fontId="46" fillId="14" borderId="2" xfId="0" applyFont="1" applyFill="1" applyBorder="1" applyAlignment="1">
      <alignment vertical="center" wrapText="1"/>
    </xf>
    <xf numFmtId="0" fontId="43" fillId="14" borderId="17" xfId="0" applyFont="1" applyFill="1" applyBorder="1" applyAlignment="1">
      <alignment horizontal="center" vertical="center" wrapText="1"/>
    </xf>
    <xf numFmtId="0" fontId="45" fillId="13" borderId="6" xfId="0" applyFont="1" applyFill="1" applyBorder="1" applyAlignment="1">
      <alignment horizontal="center" vertical="center" textRotation="90"/>
    </xf>
    <xf numFmtId="0" fontId="46" fillId="13" borderId="2" xfId="0" applyFont="1" applyFill="1" applyBorder="1" applyAlignment="1">
      <alignment vertical="center" wrapText="1"/>
    </xf>
    <xf numFmtId="0" fontId="36" fillId="22" borderId="17" xfId="0" applyFont="1" applyFill="1" applyBorder="1" applyAlignment="1">
      <alignment horizontal="center" vertical="center"/>
    </xf>
    <xf numFmtId="0" fontId="45" fillId="13" borderId="7" xfId="0" applyFont="1" applyFill="1" applyBorder="1" applyAlignment="1">
      <alignment horizontal="center" vertical="center" textRotation="90"/>
    </xf>
    <xf numFmtId="0" fontId="45" fillId="14" borderId="6" xfId="0" applyFont="1" applyFill="1" applyBorder="1" applyAlignment="1">
      <alignment horizontal="center" vertical="center" textRotation="90"/>
    </xf>
    <xf numFmtId="0" fontId="43" fillId="14" borderId="17" xfId="0" applyFont="1" applyFill="1" applyBorder="1" applyAlignment="1">
      <alignment horizontal="center" vertical="center"/>
    </xf>
    <xf numFmtId="0" fontId="43" fillId="14" borderId="18" xfId="0" applyFont="1" applyFill="1" applyBorder="1" applyAlignment="1">
      <alignment horizontal="center" vertical="center"/>
    </xf>
    <xf numFmtId="0" fontId="45" fillId="13" borderId="11" xfId="0" applyFont="1" applyFill="1" applyBorder="1" applyAlignment="1">
      <alignment horizontal="center" vertical="center" textRotation="90"/>
    </xf>
    <xf numFmtId="0" fontId="37" fillId="20" borderId="2" xfId="0" applyFont="1" applyFill="1" applyBorder="1" applyAlignment="1">
      <alignment horizontal="center" vertical="center"/>
    </xf>
    <xf numFmtId="0" fontId="43" fillId="14" borderId="7" xfId="0" applyFont="1" applyFill="1" applyBorder="1" applyAlignment="1">
      <alignment horizontal="center" vertical="center"/>
    </xf>
    <xf numFmtId="0" fontId="35" fillId="0" borderId="0" xfId="0" applyFont="1" applyAlignment="1">
      <alignment horizontal="left" vertical="top" wrapText="1"/>
    </xf>
  </cellXfs>
  <cellStyles count="4">
    <cellStyle name="Hyperlink" xfId="3" builtinId="8"/>
    <cellStyle name="Normal" xfId="0" builtinId="0"/>
    <cellStyle name="Normal 3" xfId="1"/>
    <cellStyle name="Percent" xfId="2" builtinId="5"/>
  </cellStyles>
  <dxfs count="0"/>
  <tableStyles count="0" defaultTableStyle="TableStyleMedium9" defaultPivotStyle="PivotStyleLight16"/>
  <colors>
    <mruColors>
      <color rgb="FF00FF00"/>
      <color rgb="FF0000FF"/>
      <color rgb="FFB3FFB3"/>
      <color rgb="FFEA827A"/>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87169042769858884"/>
          <c:h val="0.5750936322889264"/>
        </c:manualLayout>
      </c:layout>
      <c:barChart>
        <c:barDir val="col"/>
        <c:grouping val="clustered"/>
        <c:ser>
          <c:idx val="0"/>
          <c:order val="0"/>
          <c:tx>
            <c:strRef>
              <c:f>[1]TEMPLATE!$J$17</c:f>
              <c:strCache>
                <c:ptCount val="1"/>
                <c:pt idx="0">
                  <c:v>District</c:v>
                </c:pt>
              </c:strCache>
            </c:strRef>
          </c:tx>
          <c:spPr>
            <a:solidFill>
              <a:srgbClr val="000000"/>
            </a:solidFill>
            <a:ln w="12700">
              <a:solidFill>
                <a:srgbClr val="000000"/>
              </a:solidFill>
              <a:prstDash val="solid"/>
            </a:ln>
          </c:spPr>
          <c:cat>
            <c:strRef>
              <c:f>[1]TEMPLATE!$I$18:$I$20</c:f>
              <c:strCache>
                <c:ptCount val="3"/>
                <c:pt idx="0">
                  <c:v>California</c:v>
                </c:pt>
                <c:pt idx="1">
                  <c:v>Los Angeles</c:v>
                </c:pt>
                <c:pt idx="2">
                  <c:v>San Diego</c:v>
                </c:pt>
              </c:strCache>
            </c:strRef>
          </c:cat>
          <c:val>
            <c:numRef>
              <c:f>[1]TEMPLATE!$J$18:$J$20</c:f>
              <c:numCache>
                <c:formatCode>General</c:formatCode>
                <c:ptCount val="3"/>
                <c:pt idx="0">
                  <c:v>10558.719247123563</c:v>
                </c:pt>
                <c:pt idx="1">
                  <c:v>13904.168991027336</c:v>
                </c:pt>
                <c:pt idx="2">
                  <c:v>13312.237502554908</c:v>
                </c:pt>
              </c:numCache>
            </c:numRef>
          </c:val>
        </c:ser>
        <c:ser>
          <c:idx val="1"/>
          <c:order val="1"/>
          <c:tx>
            <c:strRef>
              <c:f>[1]TEMPLATE!$K$17</c:f>
              <c:strCache>
                <c:ptCount val="1"/>
                <c:pt idx="0">
                  <c:v>Charter</c:v>
                </c:pt>
              </c:strCache>
            </c:strRef>
          </c:tx>
          <c:spPr>
            <a:solidFill>
              <a:srgbClr val="C0C0C0"/>
            </a:solidFill>
            <a:ln w="12700">
              <a:solidFill>
                <a:srgbClr val="000000"/>
              </a:solidFill>
              <a:prstDash val="solid"/>
            </a:ln>
          </c:spPr>
          <c:cat>
            <c:strRef>
              <c:f>[1]TEMPLATE!$I$18:$I$20</c:f>
              <c:strCache>
                <c:ptCount val="3"/>
                <c:pt idx="0">
                  <c:v>California</c:v>
                </c:pt>
                <c:pt idx="1">
                  <c:v>Los Angeles</c:v>
                </c:pt>
                <c:pt idx="2">
                  <c:v>San Diego</c:v>
                </c:pt>
              </c:strCache>
            </c:strRef>
          </c:cat>
          <c:val>
            <c:numRef>
              <c:f>[1]TEMPLATE!$K$18:$K$20</c:f>
              <c:numCache>
                <c:formatCode>General</c:formatCode>
                <c:ptCount val="3"/>
                <c:pt idx="0">
                  <c:v>9987.0981689353557</c:v>
                </c:pt>
                <c:pt idx="1">
                  <c:v>8362.9211306807811</c:v>
                </c:pt>
                <c:pt idx="2">
                  <c:v>7658.4173670212767</c:v>
                </c:pt>
              </c:numCache>
            </c:numRef>
          </c:val>
        </c:ser>
        <c:ser>
          <c:idx val="2"/>
          <c:order val="2"/>
          <c:tx>
            <c:strRef>
              <c:f>[1]TEMPLATE!$L$17</c:f>
              <c:strCache>
                <c:ptCount val="1"/>
                <c:pt idx="0">
                  <c:v>Difference</c:v>
                </c:pt>
              </c:strCache>
            </c:strRef>
          </c:tx>
          <c:spPr>
            <a:solidFill>
              <a:schemeClr val="bg1">
                <a:lumMod val="50000"/>
              </a:schemeClr>
            </a:solidFill>
            <a:ln>
              <a:solidFill>
                <a:schemeClr val="tx1"/>
              </a:solidFill>
            </a:ln>
          </c:spPr>
          <c:cat>
            <c:strRef>
              <c:f>[1]TEMPLATE!$I$18:$I$20</c:f>
              <c:strCache>
                <c:ptCount val="3"/>
                <c:pt idx="0">
                  <c:v>California</c:v>
                </c:pt>
                <c:pt idx="1">
                  <c:v>Los Angeles</c:v>
                </c:pt>
                <c:pt idx="2">
                  <c:v>San Diego</c:v>
                </c:pt>
              </c:strCache>
            </c:strRef>
          </c:cat>
          <c:val>
            <c:numRef>
              <c:f>[1]TEMPLATE!$L$18:$L$20</c:f>
              <c:numCache>
                <c:formatCode>General</c:formatCode>
                <c:ptCount val="3"/>
                <c:pt idx="0">
                  <c:v>571.62107818820732</c:v>
                </c:pt>
                <c:pt idx="1">
                  <c:v>5541.2478603465552</c:v>
                </c:pt>
                <c:pt idx="2">
                  <c:v>5653.8201355336314</c:v>
                </c:pt>
              </c:numCache>
            </c:numRef>
          </c:val>
        </c:ser>
        <c:axId val="61842944"/>
        <c:axId val="81929728"/>
      </c:barChart>
      <c:catAx>
        <c:axId val="61842944"/>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1929728"/>
        <c:crosses val="autoZero"/>
        <c:auto val="1"/>
        <c:lblAlgn val="ctr"/>
        <c:lblOffset val="100"/>
        <c:tickLblSkip val="1"/>
        <c:tickMarkSkip val="1"/>
      </c:catAx>
      <c:valAx>
        <c:axId val="81929728"/>
        <c:scaling>
          <c:orientation val="minMax"/>
        </c:scaling>
        <c:axPos val="l"/>
        <c:numFmt formatCode="General" sourceLinked="1"/>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61842944"/>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79461242043"/>
          <c:y val="2.9304243946250905E-2"/>
          <c:w val="0.36573934485947268"/>
          <c:h val="6.8258211909557817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411" r="0.75000000000000411"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5171563810933723"/>
          <c:y val="0.15750974869693263"/>
          <c:w val="0.68024439918533608"/>
          <c:h val="0.6776581017417217"/>
        </c:manualLayout>
      </c:layout>
      <c:barChart>
        <c:barDir val="bar"/>
        <c:grouping val="stacked"/>
        <c:ser>
          <c:idx val="0"/>
          <c:order val="0"/>
          <c:tx>
            <c:strRef>
              <c:f>[1]TEMPLATE!$J$56</c:f>
              <c:strCache>
                <c:ptCount val="1"/>
                <c:pt idx="0">
                  <c:v>Federal </c:v>
                </c:pt>
              </c:strCache>
            </c:strRef>
          </c:tx>
          <c:spPr>
            <a:solidFill>
              <a:srgbClr val="000000"/>
            </a:solidFill>
            <a:ln w="12700">
              <a:solidFill>
                <a:srgbClr val="000000"/>
              </a:solidFill>
              <a:prstDash val="solid"/>
            </a:ln>
          </c:spPr>
          <c:dLbls>
            <c:dLbl>
              <c:idx val="0"/>
              <c:layout>
                <c:manualLayout>
                  <c:x val="1.1862440271889169E-2"/>
                  <c:y val="-4.4761466878145056E-2"/>
                </c:manualLayout>
              </c:layout>
              <c:spPr/>
              <c:txPr>
                <a:bodyPr/>
                <a:lstStyle/>
                <a:p>
                  <a:pPr>
                    <a:defRPr/>
                  </a:pPr>
                  <a:endParaRPr lang="en-US"/>
                </a:p>
              </c:txPr>
              <c:dLblPos val="ctr"/>
              <c:showVal val="1"/>
            </c:dLbl>
            <c:dLbl>
              <c:idx val="1"/>
              <c:layout>
                <c:manualLayout>
                  <c:x val="2.5537653947102765E-2"/>
                  <c:y val="-4.4761466878145056E-2"/>
                </c:manualLayout>
              </c:layout>
              <c:spPr/>
              <c:txPr>
                <a:bodyPr/>
                <a:lstStyle/>
                <a:p>
                  <a:pPr>
                    <a:defRPr/>
                  </a:pPr>
                  <a:endParaRPr lang="en-US"/>
                </a:p>
              </c:txPr>
              <c:dLblPos val="ctr"/>
              <c:showVal val="1"/>
            </c:dLbl>
            <c:dLbl>
              <c:idx val="2"/>
              <c:layout>
                <c:manualLayout>
                  <c:x val="1.1675796935639455E-2"/>
                  <c:y val="-4.7685442813131924E-2"/>
                </c:manualLayout>
              </c:layout>
              <c:spPr/>
              <c:txPr>
                <a:bodyPr/>
                <a:lstStyle/>
                <a:p>
                  <a:pPr>
                    <a:defRPr/>
                  </a:pPr>
                  <a:endParaRPr lang="en-US"/>
                </a:p>
              </c:txPr>
              <c:dLblPos val="ctr"/>
              <c:showVal val="1"/>
            </c:dLbl>
            <c:dLbl>
              <c:idx val="3"/>
              <c:layout>
                <c:manualLayout>
                  <c:x val="2.1352356596451079E-2"/>
                  <c:y val="-4.4761697112470786E-2"/>
                </c:manualLayout>
              </c:layout>
              <c:spPr/>
              <c:txPr>
                <a:bodyPr/>
                <a:lstStyle/>
                <a:p>
                  <a:pPr>
                    <a:defRPr/>
                  </a:pPr>
                  <a:endParaRPr lang="en-US"/>
                </a:p>
              </c:txPr>
              <c:dLblPos val="ctr"/>
              <c:showVal val="1"/>
            </c:dLbl>
            <c:dLbl>
              <c:idx val="4"/>
              <c:layout>
                <c:manualLayout>
                  <c:x val="6.8376068376068393E-3"/>
                  <c:y val="-4.970759089478554E-2"/>
                </c:manualLayout>
              </c:layout>
              <c:showVal val="1"/>
            </c:dLbl>
            <c:dLbl>
              <c:idx val="5"/>
              <c:layout>
                <c:manualLayout>
                  <c:x val="6.8376068376068393E-3"/>
                  <c:y val="-4.3859639024810423E-2"/>
                </c:manualLayout>
              </c:layout>
              <c:showVal val="1"/>
            </c:dLbl>
            <c:showVal val="1"/>
          </c:dLbls>
          <c:cat>
            <c:strRef>
              <c:f>[1]TEMPLATE!$I$57:$I$62</c:f>
              <c:strCache>
                <c:ptCount val="6"/>
                <c:pt idx="0">
                  <c:v>Statewide-District</c:v>
                </c:pt>
                <c:pt idx="1">
                  <c:v>Statewide-Charter</c:v>
                </c:pt>
                <c:pt idx="2">
                  <c:v>LAU-District</c:v>
                </c:pt>
                <c:pt idx="3">
                  <c:v>LAU-Charter</c:v>
                </c:pt>
                <c:pt idx="4">
                  <c:v>SDU-District</c:v>
                </c:pt>
                <c:pt idx="5">
                  <c:v>SDU-Charter</c:v>
                </c:pt>
              </c:strCache>
            </c:strRef>
          </c:cat>
          <c:val>
            <c:numRef>
              <c:f>[1]TEMPLATE!$J$57:$J$62</c:f>
              <c:numCache>
                <c:formatCode>General</c:formatCode>
                <c:ptCount val="6"/>
                <c:pt idx="0">
                  <c:v>862.99337819270272</c:v>
                </c:pt>
                <c:pt idx="1">
                  <c:v>512.33296215969665</c:v>
                </c:pt>
                <c:pt idx="2">
                  <c:v>1481.7342006104304</c:v>
                </c:pt>
                <c:pt idx="3">
                  <c:v>647.15167001277609</c:v>
                </c:pt>
                <c:pt idx="4">
                  <c:v>1201.8333788470236</c:v>
                </c:pt>
                <c:pt idx="5">
                  <c:v>607.00928877831154</c:v>
                </c:pt>
              </c:numCache>
            </c:numRef>
          </c:val>
        </c:ser>
        <c:ser>
          <c:idx val="1"/>
          <c:order val="1"/>
          <c:tx>
            <c:strRef>
              <c:f>[1]TEMPLATE!$K$56</c:f>
              <c:strCache>
                <c:ptCount val="1"/>
                <c:pt idx="0">
                  <c:v>State</c:v>
                </c:pt>
              </c:strCache>
            </c:strRef>
          </c:tx>
          <c:spPr>
            <a:solidFill>
              <a:srgbClr val="C0C0C0"/>
            </a:solidFill>
            <a:ln w="12700">
              <a:solidFill>
                <a:srgbClr val="000000"/>
              </a:solidFill>
              <a:prstDash val="solid"/>
            </a:ln>
          </c:spPr>
          <c:dLbls>
            <c:dLbl>
              <c:idx val="0"/>
              <c:layout>
                <c:manualLayout>
                  <c:x val="2.3725239473271452E-3"/>
                  <c:y val="-4.4761466878145056E-2"/>
                </c:manualLayout>
              </c:layout>
              <c:spPr/>
              <c:txPr>
                <a:bodyPr/>
                <a:lstStyle/>
                <a:p>
                  <a:pPr>
                    <a:defRPr/>
                  </a:pPr>
                  <a:endParaRPr lang="en-US"/>
                </a:p>
              </c:txPr>
              <c:dLblPos val="ctr"/>
              <c:showVal val="1"/>
            </c:dLbl>
            <c:dLbl>
              <c:idx val="1"/>
              <c:layout>
                <c:manualLayout>
                  <c:x val="4.5584045584045555E-3"/>
                  <c:y val="-4.4761466878145056E-2"/>
                </c:manualLayout>
              </c:layout>
              <c:spPr/>
              <c:txPr>
                <a:bodyPr/>
                <a:lstStyle/>
                <a:p>
                  <a:pPr>
                    <a:defRPr/>
                  </a:pPr>
                  <a:endParaRPr lang="en-US"/>
                </a:p>
              </c:txPr>
              <c:dLblPos val="ctr"/>
              <c:showVal val="1"/>
            </c:dLbl>
            <c:dLbl>
              <c:idx val="2"/>
              <c:layout>
                <c:manualLayout>
                  <c:x val="4.6517262265293761E-3"/>
                  <c:y val="-4.4761697112470786E-2"/>
                </c:manualLayout>
              </c:layout>
              <c:spPr/>
              <c:txPr>
                <a:bodyPr/>
                <a:lstStyle/>
                <a:p>
                  <a:pPr>
                    <a:defRPr/>
                  </a:pPr>
                  <a:endParaRPr lang="en-US"/>
                </a:p>
              </c:txPr>
              <c:dLblPos val="ctr"/>
              <c:showVal val="1"/>
            </c:dLbl>
            <c:dLbl>
              <c:idx val="3"/>
              <c:layout>
                <c:manualLayout>
                  <c:x val="0"/>
                  <c:y val="-4.4761697112470786E-2"/>
                </c:manualLayout>
              </c:layout>
              <c:spPr/>
              <c:txPr>
                <a:bodyPr/>
                <a:lstStyle/>
                <a:p>
                  <a:pPr>
                    <a:defRPr/>
                  </a:pPr>
                  <a:endParaRPr lang="en-US"/>
                </a:p>
              </c:txPr>
              <c:dLblPos val="ctr"/>
              <c:showVal val="1"/>
            </c:dLbl>
            <c:dLbl>
              <c:idx val="4"/>
              <c:layout>
                <c:manualLayout>
                  <c:x val="9.1168091168091266E-3"/>
                  <c:y val="-4.6783614959798318E-2"/>
                </c:manualLayout>
              </c:layout>
              <c:dLblPos val="ctr"/>
              <c:showVal val="1"/>
            </c:dLbl>
            <c:dLbl>
              <c:idx val="5"/>
              <c:layout>
                <c:manualLayout>
                  <c:x val="2.2792022792022791E-3"/>
                  <c:y val="-4.0935663089822917E-2"/>
                </c:manualLayout>
              </c:layout>
              <c:dLblPos val="ctr"/>
              <c:showVal val="1"/>
            </c:dLbl>
            <c:dLblPos val="ctr"/>
            <c:showVal val="1"/>
          </c:dLbls>
          <c:cat>
            <c:strRef>
              <c:f>[1]TEMPLATE!$I$57:$I$62</c:f>
              <c:strCache>
                <c:ptCount val="6"/>
                <c:pt idx="0">
                  <c:v>Statewide-District</c:v>
                </c:pt>
                <c:pt idx="1">
                  <c:v>Statewide-Charter</c:v>
                </c:pt>
                <c:pt idx="2">
                  <c:v>LAU-District</c:v>
                </c:pt>
                <c:pt idx="3">
                  <c:v>LAU-Charter</c:v>
                </c:pt>
                <c:pt idx="4">
                  <c:v>SDU-District</c:v>
                </c:pt>
                <c:pt idx="5">
                  <c:v>SDU-Charter</c:v>
                </c:pt>
              </c:strCache>
            </c:strRef>
          </c:cat>
          <c:val>
            <c:numRef>
              <c:f>[1]TEMPLATE!$K$57:$K$62</c:f>
              <c:numCache>
                <c:formatCode>General</c:formatCode>
                <c:ptCount val="6"/>
                <c:pt idx="0">
                  <c:v>6099.1507995505426</c:v>
                </c:pt>
                <c:pt idx="1">
                  <c:v>4832.2428562676632</c:v>
                </c:pt>
                <c:pt idx="2">
                  <c:v>8505.9424607332985</c:v>
                </c:pt>
                <c:pt idx="3">
                  <c:v>6103.1284677860922</c:v>
                </c:pt>
                <c:pt idx="4">
                  <c:v>6003.8123917304702</c:v>
                </c:pt>
                <c:pt idx="5">
                  <c:v>3061.6477831159918</c:v>
                </c:pt>
              </c:numCache>
            </c:numRef>
          </c:val>
        </c:ser>
        <c:ser>
          <c:idx val="2"/>
          <c:order val="2"/>
          <c:tx>
            <c:strRef>
              <c:f>[1]TEMPLATE!$L$56</c:f>
              <c:strCache>
                <c:ptCount val="1"/>
                <c:pt idx="0">
                  <c:v>Local</c:v>
                </c:pt>
              </c:strCache>
            </c:strRef>
          </c:tx>
          <c:spPr>
            <a:solidFill>
              <a:srgbClr val="969696"/>
            </a:solidFill>
            <a:ln w="12700">
              <a:solidFill>
                <a:srgbClr val="000000"/>
              </a:solidFill>
              <a:prstDash val="solid"/>
            </a:ln>
          </c:spPr>
          <c:dLbls>
            <c:dLbl>
              <c:idx val="0"/>
              <c:layout>
                <c:manualLayout>
                  <c:x val="0"/>
                  <c:y val="-4.4761466878145056E-2"/>
                </c:manualLayout>
              </c:layout>
              <c:spPr/>
              <c:txPr>
                <a:bodyPr/>
                <a:lstStyle/>
                <a:p>
                  <a:pPr>
                    <a:defRPr/>
                  </a:pPr>
                  <a:endParaRPr lang="en-US"/>
                </a:p>
              </c:txPr>
              <c:dLblPos val="ctr"/>
              <c:showVal val="1"/>
            </c:dLbl>
            <c:dLbl>
              <c:idx val="1"/>
              <c:layout>
                <c:manualLayout>
                  <c:x val="-2.3725239473271092E-3"/>
                  <c:y val="-4.4761466878145056E-2"/>
                </c:manualLayout>
              </c:layout>
              <c:spPr/>
              <c:txPr>
                <a:bodyPr/>
                <a:lstStyle/>
                <a:p>
                  <a:pPr>
                    <a:defRPr/>
                  </a:pPr>
                  <a:endParaRPr lang="en-US"/>
                </a:p>
              </c:txPr>
              <c:dLblPos val="ctr"/>
              <c:showVal val="1"/>
            </c:dLbl>
            <c:dLbl>
              <c:idx val="2"/>
              <c:layout>
                <c:manualLayout>
                  <c:x val="-2.2792022792022791E-3"/>
                  <c:y val="-4.5991148411118385E-2"/>
                </c:manualLayout>
              </c:layout>
              <c:spPr/>
              <c:txPr>
                <a:bodyPr/>
                <a:lstStyle/>
                <a:p>
                  <a:pPr>
                    <a:defRPr/>
                  </a:pPr>
                  <a:endParaRPr lang="en-US"/>
                </a:p>
              </c:txPr>
              <c:dLblPos val="ctr"/>
              <c:showVal val="1"/>
            </c:dLbl>
            <c:dLbl>
              <c:idx val="3"/>
              <c:layout>
                <c:manualLayout>
                  <c:x val="2.2792022792022791E-3"/>
                  <c:y val="-4.4761466878145056E-2"/>
                </c:manualLayout>
              </c:layout>
              <c:spPr/>
              <c:txPr>
                <a:bodyPr/>
                <a:lstStyle/>
                <a:p>
                  <a:pPr>
                    <a:defRPr/>
                  </a:pPr>
                  <a:endParaRPr lang="en-US"/>
                </a:p>
              </c:txPr>
              <c:dLblPos val="ctr"/>
              <c:showVal val="1"/>
            </c:dLbl>
            <c:dLbl>
              <c:idx val="4"/>
              <c:layout>
                <c:manualLayout>
                  <c:x val="-8.3569784832133157E-17"/>
                  <c:y val="-4.3859639024810423E-2"/>
                </c:manualLayout>
              </c:layout>
              <c:showVal val="1"/>
            </c:dLbl>
            <c:dLbl>
              <c:idx val="5"/>
              <c:layout>
                <c:manualLayout>
                  <c:x val="0"/>
                  <c:y val="-4.3859639024810423E-2"/>
                </c:manualLayout>
              </c:layout>
              <c:showVal val="1"/>
            </c:dLbl>
            <c:showVal val="1"/>
          </c:dLbls>
          <c:cat>
            <c:strRef>
              <c:f>[1]TEMPLATE!$I$57:$I$62</c:f>
              <c:strCache>
                <c:ptCount val="6"/>
                <c:pt idx="0">
                  <c:v>Statewide-District</c:v>
                </c:pt>
                <c:pt idx="1">
                  <c:v>Statewide-Charter</c:v>
                </c:pt>
                <c:pt idx="2">
                  <c:v>LAU-District</c:v>
                </c:pt>
                <c:pt idx="3">
                  <c:v>LAU-Charter</c:v>
                </c:pt>
                <c:pt idx="4">
                  <c:v>SDU-District</c:v>
                </c:pt>
                <c:pt idx="5">
                  <c:v>SDU-Charter</c:v>
                </c:pt>
              </c:strCache>
            </c:strRef>
          </c:cat>
          <c:val>
            <c:numRef>
              <c:f>[1]TEMPLATE!$L$57:$L$62</c:f>
              <c:numCache>
                <c:formatCode>General</c:formatCode>
                <c:ptCount val="6"/>
                <c:pt idx="0">
                  <c:v>3596.5750693803175</c:v>
                </c:pt>
                <c:pt idx="1">
                  <c:v>4642.5223505079957</c:v>
                </c:pt>
                <c:pt idx="2">
                  <c:v>3916.4923296836064</c:v>
                </c:pt>
                <c:pt idx="3">
                  <c:v>1612.6409928819128</c:v>
                </c:pt>
                <c:pt idx="4">
                  <c:v>6106.5917319774162</c:v>
                </c:pt>
                <c:pt idx="5">
                  <c:v>3989.7602951269732</c:v>
                </c:pt>
              </c:numCache>
            </c:numRef>
          </c:val>
        </c:ser>
        <c:overlap val="100"/>
        <c:axId val="159914240"/>
        <c:axId val="162684928"/>
      </c:barChart>
      <c:catAx>
        <c:axId val="159914240"/>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2684928"/>
        <c:crosses val="autoZero"/>
        <c:auto val="1"/>
        <c:lblAlgn val="ctr"/>
        <c:lblOffset val="100"/>
        <c:tickLblSkip val="1"/>
        <c:tickMarkSkip val="1"/>
      </c:catAx>
      <c:valAx>
        <c:axId val="162684928"/>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914240"/>
        <c:crosses val="autoZero"/>
        <c:crossBetween val="between"/>
      </c:valAx>
      <c:spPr>
        <a:solidFill>
          <a:srgbClr val="FFFFFF"/>
        </a:solidFill>
        <a:ln w="12700">
          <a:solidFill>
            <a:srgbClr val="808080"/>
          </a:solidFill>
          <a:prstDash val="solid"/>
        </a:ln>
      </c:spPr>
    </c:plotArea>
    <c:legend>
      <c:legendPos val="t"/>
      <c:layout>
        <c:manualLayout>
          <c:xMode val="edge"/>
          <c:yMode val="edge"/>
          <c:x val="0.28513240115448441"/>
          <c:y val="2.9304133858267713E-2"/>
          <c:w val="0.56143571797115099"/>
          <c:h val="4.7301642192374115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411" r="0.75000000000000411"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87169042769858884"/>
          <c:h val="0.5750936322889264"/>
        </c:manualLayout>
      </c:layout>
      <c:barChart>
        <c:barDir val="col"/>
        <c:grouping val="clustered"/>
        <c:ser>
          <c:idx val="0"/>
          <c:order val="0"/>
          <c:tx>
            <c:strRef>
              <c:f>Template!$J$17</c:f>
              <c:strCache>
                <c:ptCount val="1"/>
                <c:pt idx="0">
                  <c:v>District</c:v>
                </c:pt>
              </c:strCache>
            </c:strRef>
          </c:tx>
          <c:spPr>
            <a:solidFill>
              <a:srgbClr val="000000"/>
            </a:solidFill>
            <a:ln w="12700">
              <a:solidFill>
                <a:srgbClr val="000000"/>
              </a:solidFill>
              <a:prstDash val="solid"/>
            </a:ln>
          </c:spPr>
          <c:cat>
            <c:strRef>
              <c:f>Template!$I$18:$I$19</c:f>
              <c:strCache>
                <c:ptCount val="2"/>
                <c:pt idx="0">
                  <c:v>South Carolina</c:v>
                </c:pt>
                <c:pt idx="1">
                  <c:v>Greenville</c:v>
                </c:pt>
              </c:strCache>
            </c:strRef>
          </c:cat>
          <c:val>
            <c:numRef>
              <c:f>Template!$J$18:$J$19</c:f>
              <c:numCache>
                <c:formatCode>_("$"* #,##0_);_("$"* \(#,##0\);_("$"* "-"_);_(@_)</c:formatCode>
                <c:ptCount val="2"/>
                <c:pt idx="0">
                  <c:v>10164.628148391086</c:v>
                </c:pt>
                <c:pt idx="1">
                  <c:v>9331.7804514496693</c:v>
                </c:pt>
              </c:numCache>
            </c:numRef>
          </c:val>
        </c:ser>
        <c:ser>
          <c:idx val="1"/>
          <c:order val="1"/>
          <c:tx>
            <c:strRef>
              <c:f>Template!$K$17</c:f>
              <c:strCache>
                <c:ptCount val="1"/>
                <c:pt idx="0">
                  <c:v>Charter</c:v>
                </c:pt>
              </c:strCache>
            </c:strRef>
          </c:tx>
          <c:spPr>
            <a:solidFill>
              <a:srgbClr val="C0C0C0"/>
            </a:solidFill>
            <a:ln w="12700">
              <a:solidFill>
                <a:srgbClr val="000000"/>
              </a:solidFill>
              <a:prstDash val="solid"/>
            </a:ln>
          </c:spPr>
          <c:cat>
            <c:strRef>
              <c:f>Template!$I$18:$I$19</c:f>
              <c:strCache>
                <c:ptCount val="2"/>
                <c:pt idx="0">
                  <c:v>South Carolina</c:v>
                </c:pt>
                <c:pt idx="1">
                  <c:v>Greenville</c:v>
                </c:pt>
              </c:strCache>
            </c:strRef>
          </c:cat>
          <c:val>
            <c:numRef>
              <c:f>Template!$K$18:$K$19</c:f>
              <c:numCache>
                <c:formatCode>_("$"* #,##0_);_("$"* \(#,##0\);_("$"* "-"_);_(@_)</c:formatCode>
                <c:ptCount val="2"/>
                <c:pt idx="0">
                  <c:v>8396.0203559671063</c:v>
                </c:pt>
                <c:pt idx="1">
                  <c:v>7464.5999434896376</c:v>
                </c:pt>
              </c:numCache>
            </c:numRef>
          </c:val>
        </c:ser>
        <c:ser>
          <c:idx val="2"/>
          <c:order val="2"/>
          <c:tx>
            <c:strRef>
              <c:f>Template!$L$17</c:f>
              <c:strCache>
                <c:ptCount val="1"/>
                <c:pt idx="0">
                  <c:v>Difference</c:v>
                </c:pt>
              </c:strCache>
            </c:strRef>
          </c:tx>
          <c:cat>
            <c:strRef>
              <c:f>Template!$I$18:$I$19</c:f>
              <c:strCache>
                <c:ptCount val="2"/>
                <c:pt idx="0">
                  <c:v>South Carolina</c:v>
                </c:pt>
                <c:pt idx="1">
                  <c:v>Greenville</c:v>
                </c:pt>
              </c:strCache>
            </c:strRef>
          </c:cat>
          <c:val>
            <c:numRef>
              <c:f>Template!$L$18:$L$19</c:f>
              <c:numCache>
                <c:formatCode>_("$"* #,##0_);_("$"* \(#,##0\);_("$"* "-"_);_(@_)</c:formatCode>
                <c:ptCount val="2"/>
                <c:pt idx="0">
                  <c:v>1768.6077924239798</c:v>
                </c:pt>
                <c:pt idx="1">
                  <c:v>1867.1805079600317</c:v>
                </c:pt>
              </c:numCache>
            </c:numRef>
          </c:val>
        </c:ser>
        <c:axId val="46564864"/>
        <c:axId val="46566400"/>
      </c:barChart>
      <c:catAx>
        <c:axId val="46564864"/>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566400"/>
        <c:crosses val="autoZero"/>
        <c:auto val="1"/>
        <c:lblAlgn val="ctr"/>
        <c:lblOffset val="100"/>
        <c:tickLblSkip val="1"/>
        <c:tickMarkSkip val="1"/>
      </c:catAx>
      <c:valAx>
        <c:axId val="46566400"/>
        <c:scaling>
          <c:orientation val="minMax"/>
        </c:scaling>
        <c:axPos val="l"/>
        <c:numFmt formatCode="_(&quot;$&quot;* #,##0_);_(&quot;$&quot;* \(#,##0\);_(&quot;$&quot;* &quot;-&quot;_);_(@_)" sourceLinked="1"/>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6564864"/>
        <c:crosses val="autoZero"/>
        <c:crossBetween val="between"/>
      </c:valAx>
      <c:spPr>
        <a:solidFill>
          <a:srgbClr val="FFFFFF"/>
        </a:solidFill>
        <a:ln w="12700">
          <a:solidFill>
            <a:srgbClr val="808080"/>
          </a:solidFill>
          <a:prstDash val="solid"/>
        </a:ln>
      </c:spPr>
    </c:plotArea>
    <c:legend>
      <c:legendPos val="t"/>
      <c:layout>
        <c:manualLayout>
          <c:xMode val="edge"/>
          <c:yMode val="edge"/>
          <c:x val="0.23117992273437718"/>
          <c:y val="2.9304243946250905E-2"/>
          <c:w val="0.38491668878469026"/>
          <c:h val="7.1422363595279051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411" r="0.75000000000000411"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5171563810933723"/>
          <c:y val="0.15750974869693263"/>
          <c:w val="0.68024439918533608"/>
          <c:h val="0.6776581017417217"/>
        </c:manualLayout>
      </c:layout>
      <c:barChart>
        <c:barDir val="bar"/>
        <c:grouping val="stacked"/>
        <c:ser>
          <c:idx val="0"/>
          <c:order val="0"/>
          <c:tx>
            <c:strRef>
              <c:f>Template!$J$56</c:f>
              <c:strCache>
                <c:ptCount val="1"/>
                <c:pt idx="0">
                  <c:v>Federal </c:v>
                </c:pt>
              </c:strCache>
            </c:strRef>
          </c:tx>
          <c:spPr>
            <a:solidFill>
              <a:srgbClr val="000000"/>
            </a:solidFill>
            <a:ln w="12700">
              <a:solidFill>
                <a:srgbClr val="000000"/>
              </a:solidFill>
              <a:prstDash val="solid"/>
            </a:ln>
          </c:spPr>
          <c:dLbls>
            <c:dLbl>
              <c:idx val="0"/>
              <c:layout>
                <c:manualLayout>
                  <c:x val="2.5631796025496867E-2"/>
                  <c:y val="-5.8332349359900823E-2"/>
                </c:manualLayout>
              </c:layout>
              <c:spPr/>
              <c:txPr>
                <a:bodyPr/>
                <a:lstStyle/>
                <a:p>
                  <a:pPr>
                    <a:defRPr/>
                  </a:pPr>
                  <a:endParaRPr lang="en-US"/>
                </a:p>
              </c:txPr>
              <c:dLblPos val="ctr"/>
              <c:showVal val="1"/>
            </c:dLbl>
            <c:dLbl>
              <c:idx val="1"/>
              <c:delete val="1"/>
            </c:dLbl>
            <c:dLbl>
              <c:idx val="2"/>
              <c:layout>
                <c:manualLayout>
                  <c:x val="1.1675769444482138E-2"/>
                  <c:y val="-5.7863514959691179E-2"/>
                </c:manualLayout>
              </c:layout>
              <c:spPr/>
              <c:txPr>
                <a:bodyPr/>
                <a:lstStyle/>
                <a:p>
                  <a:pPr>
                    <a:defRPr/>
                  </a:pPr>
                  <a:endParaRPr lang="en-US"/>
                </a:p>
              </c:txPr>
              <c:dLblPos val="ctr"/>
              <c:showVal val="1"/>
            </c:dLbl>
            <c:dLbl>
              <c:idx val="3"/>
              <c:layout>
                <c:manualLayout>
                  <c:x val="1.2172695280559804E-2"/>
                  <c:y val="-5.833261650200932E-2"/>
                </c:manualLayout>
              </c:layout>
              <c:spPr/>
              <c:txPr>
                <a:bodyPr/>
                <a:lstStyle/>
                <a:p>
                  <a:pPr>
                    <a:defRPr/>
                  </a:pPr>
                  <a:endParaRPr lang="en-US"/>
                </a:p>
              </c:txPr>
              <c:dLblPos val="ctr"/>
              <c:showVal val="1"/>
            </c:dLbl>
            <c:dLbl>
              <c:idx val="4"/>
              <c:layout>
                <c:manualLayout>
                  <c:x val="6.8376068376068393E-3"/>
                  <c:y val="-4.970759089478554E-2"/>
                </c:manualLayout>
              </c:layout>
              <c:showVal val="1"/>
            </c:dLbl>
            <c:dLbl>
              <c:idx val="5"/>
              <c:layout>
                <c:manualLayout>
                  <c:x val="6.8376068376068393E-3"/>
                  <c:y val="-4.3859639024810423E-2"/>
                </c:manualLayout>
              </c:layout>
              <c:showVal val="1"/>
            </c:dLbl>
            <c:showVal val="1"/>
          </c:dLbls>
          <c:cat>
            <c:strRef>
              <c:f>Template!$I$57:$I$60</c:f>
              <c:strCache>
                <c:ptCount val="4"/>
                <c:pt idx="0">
                  <c:v>Statewide-District</c:v>
                </c:pt>
                <c:pt idx="1">
                  <c:v>Statewide-Charter</c:v>
                </c:pt>
                <c:pt idx="2">
                  <c:v>Greenville District</c:v>
                </c:pt>
                <c:pt idx="3">
                  <c:v>Greenville Charter</c:v>
                </c:pt>
              </c:strCache>
            </c:strRef>
          </c:cat>
          <c:val>
            <c:numRef>
              <c:f>Template!$J$57:$J$60</c:f>
              <c:numCache>
                <c:formatCode>_("$"* #,##0_);_("$"* \(#,##0\);_("$"* "-"_);_(@_)</c:formatCode>
                <c:ptCount val="4"/>
                <c:pt idx="0">
                  <c:v>1014.4324596184985</c:v>
                </c:pt>
                <c:pt idx="1">
                  <c:v>0</c:v>
                </c:pt>
                <c:pt idx="2">
                  <c:v>796.18152771301686</c:v>
                </c:pt>
                <c:pt idx="3">
                  <c:v>918.71352931782167</c:v>
                </c:pt>
              </c:numCache>
            </c:numRef>
          </c:val>
        </c:ser>
        <c:ser>
          <c:idx val="1"/>
          <c:order val="1"/>
          <c:tx>
            <c:strRef>
              <c:f>Template!$K$56</c:f>
              <c:strCache>
                <c:ptCount val="1"/>
                <c:pt idx="0">
                  <c:v>State</c:v>
                </c:pt>
              </c:strCache>
            </c:strRef>
          </c:tx>
          <c:spPr>
            <a:solidFill>
              <a:srgbClr val="C0C0C0"/>
            </a:solidFill>
            <a:ln w="12700">
              <a:solidFill>
                <a:srgbClr val="000000"/>
              </a:solidFill>
              <a:prstDash val="solid"/>
            </a:ln>
          </c:spPr>
          <c:dLbls>
            <c:dLbl>
              <c:idx val="0"/>
              <c:layout>
                <c:manualLayout>
                  <c:x val="1.3847064297685733E-2"/>
                  <c:y val="-6.1725054136348399E-2"/>
                </c:manualLayout>
              </c:layout>
              <c:spPr/>
              <c:txPr>
                <a:bodyPr/>
                <a:lstStyle/>
                <a:p>
                  <a:pPr>
                    <a:defRPr/>
                  </a:pPr>
                  <a:endParaRPr lang="en-US"/>
                </a:p>
              </c:txPr>
              <c:dLblPos val="ctr"/>
              <c:showVal val="1"/>
            </c:dLbl>
            <c:dLbl>
              <c:idx val="1"/>
              <c:delete val="1"/>
            </c:dLbl>
            <c:dLbl>
              <c:idx val="2"/>
              <c:layout>
                <c:manualLayout>
                  <c:x val="4.6517679265995404E-3"/>
                  <c:y val="-5.833261650200932E-2"/>
                </c:manualLayout>
              </c:layout>
              <c:spPr/>
              <c:txPr>
                <a:bodyPr/>
                <a:lstStyle/>
                <a:p>
                  <a:pPr>
                    <a:defRPr/>
                  </a:pPr>
                  <a:endParaRPr lang="en-US"/>
                </a:p>
              </c:txPr>
              <c:dLblPos val="ctr"/>
              <c:showVal val="1"/>
            </c:dLbl>
            <c:dLbl>
              <c:idx val="3"/>
              <c:layout>
                <c:manualLayout>
                  <c:x val="4.8192771084337498E-2"/>
                  <c:y val="-5.833261650200932E-2"/>
                </c:manualLayout>
              </c:layout>
              <c:spPr/>
              <c:txPr>
                <a:bodyPr/>
                <a:lstStyle/>
                <a:p>
                  <a:pPr>
                    <a:defRPr/>
                  </a:pPr>
                  <a:endParaRPr lang="en-US"/>
                </a:p>
              </c:txPr>
              <c:dLblPos val="ctr"/>
              <c:showVal val="1"/>
            </c:dLbl>
            <c:dLbl>
              <c:idx val="4"/>
              <c:layout>
                <c:manualLayout>
                  <c:x val="9.1168724391378787E-3"/>
                  <c:y val="-5.0176233648899414E-2"/>
                </c:manualLayout>
              </c:layout>
              <c:dLblPos val="ctr"/>
              <c:showVal val="1"/>
            </c:dLbl>
            <c:dLbl>
              <c:idx val="5"/>
              <c:layout>
                <c:manualLayout>
                  <c:x val="5.7356625602522845E-2"/>
                  <c:y val="-4.0935788119976724E-2"/>
                </c:manualLayout>
              </c:layout>
              <c:dLblPos val="ctr"/>
              <c:showVal val="1"/>
            </c:dLbl>
            <c:dLblPos val="ctr"/>
            <c:showVal val="1"/>
          </c:dLbls>
          <c:cat>
            <c:strRef>
              <c:f>Template!$I$57:$I$60</c:f>
              <c:strCache>
                <c:ptCount val="4"/>
                <c:pt idx="0">
                  <c:v>Statewide-District</c:v>
                </c:pt>
                <c:pt idx="1">
                  <c:v>Statewide-Charter</c:v>
                </c:pt>
                <c:pt idx="2">
                  <c:v>Greenville District</c:v>
                </c:pt>
                <c:pt idx="3">
                  <c:v>Greenville Charter</c:v>
                </c:pt>
              </c:strCache>
            </c:strRef>
          </c:cat>
          <c:val>
            <c:numRef>
              <c:f>Template!$K$57:$K$60</c:f>
              <c:numCache>
                <c:formatCode>_("$"* #,##0_);_("$"* \(#,##0\);_("$"* "-"_);_(@_)</c:formatCode>
                <c:ptCount val="4"/>
                <c:pt idx="0">
                  <c:v>4295.040295483589</c:v>
                </c:pt>
                <c:pt idx="1">
                  <c:v>0</c:v>
                </c:pt>
                <c:pt idx="2">
                  <c:v>4078.1773235593128</c:v>
                </c:pt>
                <c:pt idx="3">
                  <c:v>6025.4517757767107</c:v>
                </c:pt>
              </c:numCache>
            </c:numRef>
          </c:val>
        </c:ser>
        <c:ser>
          <c:idx val="2"/>
          <c:order val="2"/>
          <c:tx>
            <c:strRef>
              <c:f>Template!$L$56</c:f>
              <c:strCache>
                <c:ptCount val="1"/>
                <c:pt idx="0">
                  <c:v>Local</c:v>
                </c:pt>
              </c:strCache>
            </c:strRef>
          </c:tx>
          <c:spPr>
            <a:solidFill>
              <a:srgbClr val="969696"/>
            </a:solidFill>
            <a:ln w="12700">
              <a:solidFill>
                <a:srgbClr val="000000"/>
              </a:solidFill>
              <a:prstDash val="solid"/>
            </a:ln>
          </c:spPr>
          <c:dLbls>
            <c:dLbl>
              <c:idx val="0"/>
              <c:layout>
                <c:manualLayout>
                  <c:x val="0"/>
                  <c:y val="-5.8332349359900823E-2"/>
                </c:manualLayout>
              </c:layout>
              <c:spPr/>
              <c:txPr>
                <a:bodyPr/>
                <a:lstStyle/>
                <a:p>
                  <a:pPr>
                    <a:defRPr/>
                  </a:pPr>
                  <a:endParaRPr lang="en-US"/>
                </a:p>
              </c:txPr>
              <c:dLblPos val="ctr"/>
              <c:showVal val="1"/>
            </c:dLbl>
            <c:dLbl>
              <c:idx val="1"/>
              <c:delete val="1"/>
            </c:dLbl>
            <c:dLbl>
              <c:idx val="2"/>
              <c:layout>
                <c:manualLayout>
                  <c:x val="-2.2791729347084629E-3"/>
                  <c:y val="-5.6169299708334244E-2"/>
                </c:manualLayout>
              </c:layout>
              <c:spPr/>
              <c:txPr>
                <a:bodyPr/>
                <a:lstStyle/>
                <a:p>
                  <a:pPr>
                    <a:defRPr/>
                  </a:pPr>
                  <a:endParaRPr lang="en-US"/>
                </a:p>
              </c:txPr>
              <c:dLblPos val="ctr"/>
              <c:showVal val="1"/>
            </c:dLbl>
            <c:dLbl>
              <c:idx val="3"/>
              <c:layout>
                <c:manualLayout>
                  <c:x val="2.2789922344044413E-3"/>
                  <c:y val="-6.1725054136348399E-2"/>
                </c:manualLayout>
              </c:layout>
              <c:tx>
                <c:rich>
                  <a:bodyPr/>
                  <a:lstStyle/>
                  <a:p>
                    <a:pPr>
                      <a:defRPr/>
                    </a:pPr>
                    <a:r>
                      <a:rPr lang="en-US"/>
                      <a:t> $0 </a:t>
                    </a:r>
                  </a:p>
                </c:rich>
              </c:tx>
              <c:spPr/>
              <c:dLblPos val="ctr"/>
              <c:showVal val="1"/>
            </c:dLbl>
            <c:dLbl>
              <c:idx val="4"/>
              <c:layout>
                <c:manualLayout>
                  <c:x val="9.1793947443316575E-3"/>
                  <c:y val="-5.4038039967665132E-2"/>
                </c:manualLayout>
              </c:layout>
              <c:showVal val="1"/>
            </c:dLbl>
            <c:dLbl>
              <c:idx val="5"/>
              <c:layout>
                <c:manualLayout>
                  <c:x val="0"/>
                  <c:y val="-4.3859639024810423E-2"/>
                </c:manualLayout>
              </c:layout>
              <c:showVal val="1"/>
            </c:dLbl>
            <c:showVal val="1"/>
          </c:dLbls>
          <c:cat>
            <c:strRef>
              <c:f>Template!$I$57:$I$60</c:f>
              <c:strCache>
                <c:ptCount val="4"/>
                <c:pt idx="0">
                  <c:v>Statewide-District</c:v>
                </c:pt>
                <c:pt idx="1">
                  <c:v>Statewide-Charter</c:v>
                </c:pt>
                <c:pt idx="2">
                  <c:v>Greenville District</c:v>
                </c:pt>
                <c:pt idx="3">
                  <c:v>Greenville Charter</c:v>
                </c:pt>
              </c:strCache>
            </c:strRef>
          </c:cat>
          <c:val>
            <c:numRef>
              <c:f>Template!$L$57:$L$60</c:f>
              <c:numCache>
                <c:formatCode>_("$"* #,##0_);_("$"* \(#,##0\);_("$"* "-"_);_(@_)</c:formatCode>
                <c:ptCount val="4"/>
                <c:pt idx="0">
                  <c:v>3922.8877365945059</c:v>
                </c:pt>
                <c:pt idx="1">
                  <c:v>0</c:v>
                </c:pt>
                <c:pt idx="2">
                  <c:v>3430.5143285202143</c:v>
                </c:pt>
                <c:pt idx="3">
                  <c:v>0</c:v>
                </c:pt>
              </c:numCache>
            </c:numRef>
          </c:val>
        </c:ser>
        <c:ser>
          <c:idx val="3"/>
          <c:order val="3"/>
          <c:tx>
            <c:strRef>
              <c:f>Template!$M$56</c:f>
              <c:strCache>
                <c:ptCount val="1"/>
                <c:pt idx="0">
                  <c:v>Other </c:v>
                </c:pt>
              </c:strCache>
            </c:strRef>
          </c:tx>
          <c:spPr>
            <a:ln>
              <a:solidFill>
                <a:schemeClr val="tx1"/>
              </a:solidFill>
            </a:ln>
          </c:spPr>
          <c:dLbls>
            <c:dLbl>
              <c:idx val="0"/>
              <c:layout>
                <c:manualLayout>
                  <c:x val="6.4257028112449793E-2"/>
                  <c:y val="0"/>
                </c:manualLayout>
              </c:layout>
              <c:showVal val="1"/>
            </c:dLbl>
            <c:dLbl>
              <c:idx val="1"/>
              <c:layout>
                <c:manualLayout>
                  <c:x val="4.8192771084337442E-2"/>
                  <c:y val="-3.3927047764475389E-3"/>
                </c:manualLayout>
              </c:layout>
              <c:tx>
                <c:rich>
                  <a:bodyPr/>
                  <a:lstStyle/>
                  <a:p>
                    <a:r>
                      <a:rPr lang="en-US"/>
                      <a:t> N/A (1) </a:t>
                    </a:r>
                  </a:p>
                </c:rich>
              </c:tx>
              <c:showVal val="1"/>
            </c:dLbl>
            <c:dLbl>
              <c:idx val="2"/>
              <c:layout>
                <c:manualLayout>
                  <c:x val="7.8026391279403334E-2"/>
                  <c:y val="0"/>
                </c:manualLayout>
              </c:layout>
              <c:showVal val="1"/>
            </c:dLbl>
            <c:dLbl>
              <c:idx val="3"/>
              <c:layout>
                <c:manualLayout>
                  <c:x val="5.5077452667814067E-2"/>
                  <c:y val="3.1099434520780601E-17"/>
                </c:manualLayout>
              </c:layout>
              <c:showVal val="1"/>
            </c:dLbl>
            <c:showVal val="1"/>
          </c:dLbls>
          <c:cat>
            <c:strRef>
              <c:f>Template!$I$57:$I$60</c:f>
              <c:strCache>
                <c:ptCount val="4"/>
                <c:pt idx="0">
                  <c:v>Statewide-District</c:v>
                </c:pt>
                <c:pt idx="1">
                  <c:v>Statewide-Charter</c:v>
                </c:pt>
                <c:pt idx="2">
                  <c:v>Greenville District</c:v>
                </c:pt>
                <c:pt idx="3">
                  <c:v>Greenville Charter</c:v>
                </c:pt>
              </c:strCache>
            </c:strRef>
          </c:cat>
          <c:val>
            <c:numRef>
              <c:f>Template!$M$57:$M$60</c:f>
              <c:numCache>
                <c:formatCode>_("$"* #,##0_);_("$"* \(#,##0\);_("$"* "-"_);_(@_)</c:formatCode>
                <c:ptCount val="4"/>
                <c:pt idx="0">
                  <c:v>932.26765669449196</c:v>
                </c:pt>
                <c:pt idx="1">
                  <c:v>0</c:v>
                </c:pt>
                <c:pt idx="2">
                  <c:v>1026.9072716571245</c:v>
                </c:pt>
                <c:pt idx="3">
                  <c:v>520.43463839510571</c:v>
                </c:pt>
              </c:numCache>
            </c:numRef>
          </c:val>
        </c:ser>
        <c:overlap val="100"/>
        <c:axId val="46593920"/>
        <c:axId val="46595456"/>
      </c:barChart>
      <c:catAx>
        <c:axId val="46593920"/>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595456"/>
        <c:crosses val="autoZero"/>
        <c:auto val="1"/>
        <c:lblAlgn val="ctr"/>
        <c:lblOffset val="100"/>
        <c:tickLblSkip val="1"/>
        <c:tickMarkSkip val="1"/>
      </c:catAx>
      <c:valAx>
        <c:axId val="46595456"/>
        <c:scaling>
          <c:orientation val="minMax"/>
        </c:scaling>
        <c:axPos val="b"/>
        <c:numFmt formatCode="_(&quot;$&quot;* #,##0_);_(&quot;$&quot;* \(#,##0\);_(&quot;$&quot;* &quot;-&quot;_);_(@_)"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593920"/>
        <c:crosses val="autoZero"/>
        <c:crossBetween val="between"/>
      </c:valAx>
      <c:spPr>
        <a:solidFill>
          <a:srgbClr val="FFFFFF"/>
        </a:solidFill>
        <a:ln w="12700">
          <a:solidFill>
            <a:srgbClr val="808080"/>
          </a:solidFill>
          <a:prstDash val="solid"/>
        </a:ln>
      </c:spPr>
    </c:plotArea>
    <c:legend>
      <c:legendPos val="t"/>
      <c:layout>
        <c:manualLayout>
          <c:xMode val="edge"/>
          <c:yMode val="edge"/>
          <c:x val="0.28513240115448441"/>
          <c:y val="2.9304133858267713E-2"/>
          <c:w val="0.38493067884586807"/>
          <c:h val="5.4884346167018323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411" r="0.75000000000000411"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87169042769859306"/>
          <c:h val="0.62187742321683681"/>
        </c:manualLayout>
      </c:layout>
      <c:barChart>
        <c:barDir val="col"/>
        <c:grouping val="clustered"/>
        <c:ser>
          <c:idx val="0"/>
          <c:order val="0"/>
          <c:tx>
            <c:strRef>
              <c:f>'[3]SC-JM'!$L$17</c:f>
              <c:strCache>
                <c:ptCount val="1"/>
                <c:pt idx="0">
                  <c:v>District</c:v>
                </c:pt>
              </c:strCache>
            </c:strRef>
          </c:tx>
          <c:spPr>
            <a:solidFill>
              <a:schemeClr val="tx1">
                <a:lumMod val="75000"/>
                <a:lumOff val="25000"/>
              </a:schemeClr>
            </a:solidFill>
            <a:ln w="12700">
              <a:solidFill>
                <a:srgbClr val="000000"/>
              </a:solidFill>
              <a:prstDash val="solid"/>
            </a:ln>
          </c:spPr>
          <c:dLbls>
            <c:txPr>
              <a:bodyPr/>
              <a:lstStyle/>
              <a:p>
                <a:pPr>
                  <a:defRPr sz="900">
                    <a:latin typeface="+mn-lt"/>
                  </a:defRPr>
                </a:pPr>
                <a:endParaRPr lang="en-US"/>
              </a:p>
            </c:txPr>
            <c:showVal val="1"/>
          </c:dLbls>
          <c:cat>
            <c:strRef>
              <c:f>'[3]SC-JM'!$K$18:$K$20</c:f>
              <c:strCache>
                <c:ptCount val="3"/>
                <c:pt idx="0">
                  <c:v>South Carolina</c:v>
                </c:pt>
                <c:pt idx="1">
                  <c:v>South Carolina
Weighted</c:v>
                </c:pt>
                <c:pt idx="2">
                  <c:v>Greenville</c:v>
                </c:pt>
              </c:strCache>
            </c:strRef>
          </c:cat>
          <c:val>
            <c:numRef>
              <c:f>'[3]SC-JM'!$L$18:$L$20</c:f>
              <c:numCache>
                <c:formatCode>General</c:formatCode>
                <c:ptCount val="3"/>
                <c:pt idx="0">
                  <c:v>10164.628148391086</c:v>
                </c:pt>
                <c:pt idx="1">
                  <c:v>10104</c:v>
                </c:pt>
                <c:pt idx="2">
                  <c:v>9331.7804514496693</c:v>
                </c:pt>
              </c:numCache>
            </c:numRef>
          </c:val>
        </c:ser>
        <c:ser>
          <c:idx val="1"/>
          <c:order val="1"/>
          <c:tx>
            <c:strRef>
              <c:f>'[3]SC-JM'!$M$17</c:f>
              <c:strCache>
                <c:ptCount val="1"/>
                <c:pt idx="0">
                  <c:v>Charter</c:v>
                </c:pt>
              </c:strCache>
            </c:strRef>
          </c:tx>
          <c:spPr>
            <a:solidFill>
              <a:srgbClr val="C0C0C0"/>
            </a:solidFill>
            <a:ln w="12700">
              <a:solidFill>
                <a:srgbClr val="000000"/>
              </a:solidFill>
              <a:prstDash val="solid"/>
            </a:ln>
          </c:spPr>
          <c:dLbls>
            <c:dLbl>
              <c:idx val="0"/>
              <c:layout>
                <c:manualLayout>
                  <c:x val="2.0202020202020211E-2"/>
                  <c:y val="0"/>
                </c:manualLayout>
              </c:layout>
              <c:showVal val="1"/>
            </c:dLbl>
            <c:dLbl>
              <c:idx val="1"/>
              <c:layout>
                <c:manualLayout>
                  <c:x val="2.8282828282828285E-2"/>
                  <c:y val="0"/>
                </c:manualLayout>
              </c:layout>
              <c:showVal val="1"/>
            </c:dLbl>
            <c:dLbl>
              <c:idx val="2"/>
              <c:layout>
                <c:manualLayout>
                  <c:x val="1.4652014652014544E-2"/>
                  <c:y val="4.6783625730994153E-3"/>
                </c:manualLayout>
              </c:layout>
              <c:showVal val="1"/>
            </c:dLbl>
            <c:txPr>
              <a:bodyPr/>
              <a:lstStyle/>
              <a:p>
                <a:pPr>
                  <a:defRPr sz="900">
                    <a:latin typeface="+mn-lt"/>
                  </a:defRPr>
                </a:pPr>
                <a:endParaRPr lang="en-US"/>
              </a:p>
            </c:txPr>
            <c:showVal val="1"/>
          </c:dLbls>
          <c:cat>
            <c:strRef>
              <c:f>'[3]SC-JM'!$K$18:$K$20</c:f>
              <c:strCache>
                <c:ptCount val="3"/>
                <c:pt idx="0">
                  <c:v>South Carolina</c:v>
                </c:pt>
                <c:pt idx="1">
                  <c:v>South Carolina
Weighted</c:v>
                </c:pt>
                <c:pt idx="2">
                  <c:v>Greenville</c:v>
                </c:pt>
              </c:strCache>
            </c:strRef>
          </c:cat>
          <c:val>
            <c:numRef>
              <c:f>'[3]SC-JM'!$M$18:$M$20</c:f>
              <c:numCache>
                <c:formatCode>General</c:formatCode>
                <c:ptCount val="3"/>
                <c:pt idx="0">
                  <c:v>8396.0203560037426</c:v>
                </c:pt>
                <c:pt idx="1">
                  <c:v>8396</c:v>
                </c:pt>
                <c:pt idx="2">
                  <c:v>7464.5999434896376</c:v>
                </c:pt>
              </c:numCache>
            </c:numRef>
          </c:val>
        </c:ser>
        <c:ser>
          <c:idx val="2"/>
          <c:order val="2"/>
          <c:tx>
            <c:strRef>
              <c:f>'[3]SC-JM'!$N$17</c:f>
              <c:strCache>
                <c:ptCount val="1"/>
                <c:pt idx="0">
                  <c:v>Difference</c:v>
                </c:pt>
              </c:strCache>
            </c:strRef>
          </c:tx>
          <c:spPr>
            <a:solidFill>
              <a:schemeClr val="bg1"/>
            </a:solidFill>
            <a:ln>
              <a:solidFill>
                <a:schemeClr val="tx1"/>
              </a:solidFill>
            </a:ln>
          </c:spPr>
          <c:dLbls>
            <c:dLbl>
              <c:idx val="0"/>
              <c:layout>
                <c:manualLayout>
                  <c:x val="2.4242424242424229E-2"/>
                  <c:y val="1.4035087719298246E-2"/>
                </c:manualLayout>
              </c:layout>
              <c:showVal val="1"/>
            </c:dLbl>
            <c:dLbl>
              <c:idx val="1"/>
              <c:layout>
                <c:manualLayout>
                  <c:x val="2.0202020202020211E-2"/>
                  <c:y val="1.4035087719298246E-2"/>
                </c:manualLayout>
              </c:layout>
              <c:showVal val="1"/>
            </c:dLbl>
            <c:dLbl>
              <c:idx val="2"/>
              <c:layout>
                <c:manualLayout>
                  <c:x val="1.7241383288627381E-2"/>
                  <c:y val="1.4035087719298331E-2"/>
                </c:manualLayout>
              </c:layout>
              <c:showVal val="1"/>
            </c:dLbl>
            <c:txPr>
              <a:bodyPr/>
              <a:lstStyle/>
              <a:p>
                <a:pPr>
                  <a:defRPr sz="900">
                    <a:latin typeface="+mn-lt"/>
                  </a:defRPr>
                </a:pPr>
                <a:endParaRPr lang="en-US"/>
              </a:p>
            </c:txPr>
            <c:showVal val="1"/>
          </c:dLbls>
          <c:cat>
            <c:strRef>
              <c:f>'[3]SC-JM'!$K$18:$K$20</c:f>
              <c:strCache>
                <c:ptCount val="3"/>
                <c:pt idx="0">
                  <c:v>South Carolina</c:v>
                </c:pt>
                <c:pt idx="1">
                  <c:v>South Carolina
Weighted</c:v>
                </c:pt>
                <c:pt idx="2">
                  <c:v>Greenville</c:v>
                </c:pt>
              </c:strCache>
            </c:strRef>
          </c:cat>
          <c:val>
            <c:numRef>
              <c:f>'[3]SC-JM'!$N$18:$N$20</c:f>
              <c:numCache>
                <c:formatCode>General</c:formatCode>
                <c:ptCount val="3"/>
                <c:pt idx="0">
                  <c:v>1768.6077923873436</c:v>
                </c:pt>
                <c:pt idx="1">
                  <c:v>1708</c:v>
                </c:pt>
                <c:pt idx="2">
                  <c:v>1867.1805079600317</c:v>
                </c:pt>
              </c:numCache>
            </c:numRef>
          </c:val>
        </c:ser>
        <c:axId val="46626688"/>
        <c:axId val="46628224"/>
      </c:barChart>
      <c:catAx>
        <c:axId val="46626688"/>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46628224"/>
        <c:crosses val="autoZero"/>
        <c:auto val="1"/>
        <c:lblAlgn val="ctr"/>
        <c:lblOffset val="100"/>
        <c:tickLblSkip val="1"/>
        <c:tickMarkSkip val="1"/>
      </c:catAx>
      <c:valAx>
        <c:axId val="46628224"/>
        <c:scaling>
          <c:orientation val="minMax"/>
        </c:scaling>
        <c:axPos val="l"/>
        <c:numFmt formatCode="General" sourceLinked="1"/>
        <c:majorTickMark val="cross"/>
        <c:tickLblPos val="nextTo"/>
        <c:spPr>
          <a:ln w="9525">
            <a:solidFill>
              <a:srgbClr val="000000"/>
            </a:solidFill>
          </a:ln>
        </c:spPr>
        <c:txPr>
          <a:bodyPr rot="0" vert="horz"/>
          <a:lstStyle/>
          <a:p>
            <a:pPr>
              <a:defRPr sz="1000" b="0" i="0" u="none" strike="noStrike" baseline="0">
                <a:solidFill>
                  <a:srgbClr val="000000"/>
                </a:solidFill>
                <a:latin typeface="+mn-lt"/>
                <a:ea typeface="Arial"/>
                <a:cs typeface="Arial"/>
              </a:defRPr>
            </a:pPr>
            <a:endParaRPr lang="en-US"/>
          </a:p>
        </c:txPr>
        <c:crossAx val="46626688"/>
        <c:crosses val="autoZero"/>
        <c:crossBetween val="between"/>
      </c:valAx>
      <c:spPr>
        <a:solidFill>
          <a:srgbClr val="FFFFFF"/>
        </a:solidFill>
        <a:ln w="12700">
          <a:noFill/>
          <a:prstDash val="solid"/>
        </a:ln>
      </c:spPr>
    </c:plotArea>
    <c:legend>
      <c:legendPos val="t"/>
      <c:layout>
        <c:manualLayout>
          <c:xMode val="edge"/>
          <c:yMode val="edge"/>
          <c:x val="0.14229094090511421"/>
          <c:y val="5.737440714647532E-2"/>
          <c:w val="0.75663373896444763"/>
          <c:h val="7.1422363595279051E-2"/>
        </c:manualLayout>
      </c:layout>
      <c:spPr>
        <a:solidFill>
          <a:srgbClr val="FFFFFF"/>
        </a:solidFill>
        <a:ln w="3175">
          <a:noFill/>
          <a:prstDash val="solid"/>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chart>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533" r="0.75000000000000533"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6448607841545579"/>
          <c:y val="0.15750974869693313"/>
          <c:w val="0.759226777065238"/>
          <c:h val="0.71825594770685841"/>
        </c:manualLayout>
      </c:layout>
      <c:barChart>
        <c:barDir val="bar"/>
        <c:grouping val="stacked"/>
        <c:ser>
          <c:idx val="0"/>
          <c:order val="0"/>
          <c:tx>
            <c:strRef>
              <c:f>'[3]SC-JM'!$L$60</c:f>
              <c:strCache>
                <c:ptCount val="1"/>
                <c:pt idx="0">
                  <c:v>Federal </c:v>
                </c:pt>
              </c:strCache>
            </c:strRef>
          </c:tx>
          <c:spPr>
            <a:solidFill>
              <a:schemeClr val="tx1">
                <a:lumMod val="65000"/>
                <a:lumOff val="35000"/>
              </a:schemeClr>
            </a:solidFill>
            <a:ln w="12700">
              <a:solidFill>
                <a:srgbClr val="000000"/>
              </a:solidFill>
              <a:prstDash val="solid"/>
            </a:ln>
          </c:spPr>
          <c:dLbls>
            <c:dLbl>
              <c:idx val="0"/>
              <c:layout>
                <c:manualLayout>
                  <c:x val="8.849852531320191E-3"/>
                  <c:y val="-6.0114093128232501E-2"/>
                </c:manualLayout>
              </c:layout>
              <c:dLblPos val="ctr"/>
              <c:showVal val="1"/>
            </c:dLbl>
            <c:dLbl>
              <c:idx val="1"/>
              <c:layout>
                <c:manualLayout>
                  <c:x val="2.7491408934707932E-3"/>
                  <c:y val="-5.9322020703318566E-2"/>
                </c:manualLayout>
              </c:layout>
              <c:showVal val="1"/>
            </c:dLbl>
            <c:dLbl>
              <c:idx val="2"/>
              <c:layout>
                <c:manualLayout>
                  <c:x val="2.7596200915485848E-2"/>
                  <c:y val="-6.8120043577617945E-2"/>
                </c:manualLayout>
              </c:layout>
              <c:tx>
                <c:rich>
                  <a:bodyPr/>
                  <a:lstStyle/>
                  <a:p>
                    <a:r>
                      <a:rPr lang="en-US"/>
                      <a:t>  </a:t>
                    </a:r>
                  </a:p>
                </c:rich>
              </c:tx>
              <c:dLblPos val="ctr"/>
              <c:showVal val="1"/>
            </c:dLbl>
            <c:dLbl>
              <c:idx val="3"/>
              <c:layout>
                <c:manualLayout>
                  <c:x val="7.6183672917174341E-3"/>
                  <c:y val="-6.0114760417554071E-2"/>
                </c:manualLayout>
              </c:layout>
              <c:dLblPos val="ctr"/>
              <c:showVal val="1"/>
            </c:dLbl>
            <c:dLbl>
              <c:idx val="4"/>
              <c:layout>
                <c:manualLayout>
                  <c:x val="6.8375679844143314E-3"/>
                  <c:y val="-5.5357209983271108E-2"/>
                </c:manualLayout>
              </c:layout>
              <c:showVal val="1"/>
            </c:dLbl>
            <c:dLbl>
              <c:idx val="5"/>
              <c:layout>
                <c:manualLayout>
                  <c:x val="6.8376068376068393E-3"/>
                  <c:y val="-4.3859639024810423E-2"/>
                </c:manualLayout>
              </c:layout>
              <c:showVal val="1"/>
            </c:dLbl>
            <c:txPr>
              <a:bodyPr/>
              <a:lstStyle/>
              <a:p>
                <a:pPr>
                  <a:defRPr sz="900">
                    <a:latin typeface="+mn-lt"/>
                  </a:defRPr>
                </a:pPr>
                <a:endParaRPr lang="en-US"/>
              </a:p>
            </c:txPr>
            <c:showVal val="1"/>
          </c:dLbls>
          <c:cat>
            <c:strRef>
              <c:f>'[3]SC-JM'!$K$61:$K$65</c:f>
              <c:strCache>
                <c:ptCount val="5"/>
                <c:pt idx="0">
                  <c:v>Statewide
    District</c:v>
                </c:pt>
                <c:pt idx="1">
                  <c:v>Statewide
Weighted</c:v>
                </c:pt>
                <c:pt idx="2">
                  <c:v>Statewide
    Charter</c:v>
                </c:pt>
                <c:pt idx="3">
                  <c:v>Greenville
    District</c:v>
                </c:pt>
                <c:pt idx="4">
                  <c:v>Greenville
    Charter</c:v>
                </c:pt>
              </c:strCache>
            </c:strRef>
          </c:cat>
          <c:val>
            <c:numRef>
              <c:f>'[3]SC-JM'!$L$61:$L$65</c:f>
              <c:numCache>
                <c:formatCode>General</c:formatCode>
                <c:ptCount val="5"/>
                <c:pt idx="0">
                  <c:v>1014.4324596184985</c:v>
                </c:pt>
                <c:pt idx="1">
                  <c:v>998</c:v>
                </c:pt>
                <c:pt idx="2">
                  <c:v>0</c:v>
                </c:pt>
                <c:pt idx="3">
                  <c:v>796.18152771301686</c:v>
                </c:pt>
                <c:pt idx="4">
                  <c:v>918.71352931782167</c:v>
                </c:pt>
              </c:numCache>
            </c:numRef>
          </c:val>
        </c:ser>
        <c:ser>
          <c:idx val="1"/>
          <c:order val="1"/>
          <c:tx>
            <c:strRef>
              <c:f>'[3]SC-JM'!$M$60</c:f>
              <c:strCache>
                <c:ptCount val="1"/>
                <c:pt idx="0">
                  <c:v>State</c:v>
                </c:pt>
              </c:strCache>
            </c:strRef>
          </c:tx>
          <c:spPr>
            <a:solidFill>
              <a:schemeClr val="bg1">
                <a:lumMod val="65000"/>
              </a:schemeClr>
            </a:solidFill>
            <a:ln w="12700">
              <a:solidFill>
                <a:srgbClr val="000000"/>
              </a:solidFill>
              <a:prstDash val="solid"/>
            </a:ln>
          </c:spPr>
          <c:dLbls>
            <c:dLbl>
              <c:idx val="0"/>
              <c:layout>
                <c:manualLayout>
                  <c:x val="1.0996563573883159E-2"/>
                  <c:y val="-5.9322020703318566E-2"/>
                </c:manualLayout>
              </c:layout>
              <c:dLblPos val="ctr"/>
              <c:showVal val="1"/>
            </c:dLbl>
            <c:dLbl>
              <c:idx val="1"/>
              <c:layout>
                <c:manualLayout>
                  <c:x val="0"/>
                  <c:y val="-5.9322020703318566E-2"/>
                </c:manualLayout>
              </c:layout>
              <c:dLblPos val="ctr"/>
              <c:showVal val="1"/>
            </c:dLbl>
            <c:dLbl>
              <c:idx val="2"/>
              <c:delete val="1"/>
            </c:dLbl>
            <c:dLbl>
              <c:idx val="3"/>
              <c:layout>
                <c:manualLayout>
                  <c:x val="0"/>
                  <c:y val="-5.6497162574589047E-2"/>
                </c:manualLayout>
              </c:layout>
              <c:dLblPos val="ctr"/>
              <c:showVal val="1"/>
            </c:dLbl>
            <c:dLbl>
              <c:idx val="4"/>
              <c:layout>
                <c:manualLayout>
                  <c:x val="0"/>
                  <c:y val="-5.9322020703318538E-2"/>
                </c:manualLayout>
              </c:layout>
              <c:dLblPos val="ctr"/>
              <c:showVal val="1"/>
            </c:dLbl>
            <c:txPr>
              <a:bodyPr/>
              <a:lstStyle/>
              <a:p>
                <a:pPr>
                  <a:defRPr sz="900">
                    <a:latin typeface="+mn-lt"/>
                  </a:defRPr>
                </a:pPr>
                <a:endParaRPr lang="en-US"/>
              </a:p>
            </c:txPr>
            <c:dLblPos val="ctr"/>
            <c:showVal val="1"/>
          </c:dLbls>
          <c:cat>
            <c:strRef>
              <c:f>'[3]SC-JM'!$K$61:$K$65</c:f>
              <c:strCache>
                <c:ptCount val="5"/>
                <c:pt idx="0">
                  <c:v>Statewide
    District</c:v>
                </c:pt>
                <c:pt idx="1">
                  <c:v>Statewide
Weighted</c:v>
                </c:pt>
                <c:pt idx="2">
                  <c:v>Statewide
    Charter</c:v>
                </c:pt>
                <c:pt idx="3">
                  <c:v>Greenville
    District</c:v>
                </c:pt>
                <c:pt idx="4">
                  <c:v>Greenville
    Charter</c:v>
                </c:pt>
              </c:strCache>
            </c:strRef>
          </c:cat>
          <c:val>
            <c:numRef>
              <c:f>'[3]SC-JM'!$M$61:$M$65</c:f>
              <c:numCache>
                <c:formatCode>General</c:formatCode>
                <c:ptCount val="5"/>
                <c:pt idx="0">
                  <c:v>4295.040295483589</c:v>
                </c:pt>
                <c:pt idx="1">
                  <c:v>4279</c:v>
                </c:pt>
                <c:pt idx="2">
                  <c:v>0</c:v>
                </c:pt>
                <c:pt idx="3">
                  <c:v>4078.1773235593128</c:v>
                </c:pt>
                <c:pt idx="4">
                  <c:v>6025.4517757767107</c:v>
                </c:pt>
              </c:numCache>
            </c:numRef>
          </c:val>
        </c:ser>
        <c:ser>
          <c:idx val="2"/>
          <c:order val="2"/>
          <c:tx>
            <c:strRef>
              <c:f>'[3]SC-JM'!$N$60</c:f>
              <c:strCache>
                <c:ptCount val="1"/>
                <c:pt idx="0">
                  <c:v>Local</c:v>
                </c:pt>
              </c:strCache>
            </c:strRef>
          </c:tx>
          <c:spPr>
            <a:solidFill>
              <a:schemeClr val="bg1">
                <a:lumMod val="95000"/>
              </a:schemeClr>
            </a:solidFill>
            <a:ln w="12700">
              <a:solidFill>
                <a:srgbClr val="000000"/>
              </a:solidFill>
              <a:prstDash val="solid"/>
            </a:ln>
          </c:spPr>
          <c:dLbls>
            <c:dLbl>
              <c:idx val="0"/>
              <c:layout>
                <c:manualLayout>
                  <c:x val="2.7491408934707932E-3"/>
                  <c:y val="-5.9322020703318566E-2"/>
                </c:manualLayout>
              </c:layout>
              <c:dLblPos val="ctr"/>
              <c:showVal val="1"/>
            </c:dLbl>
            <c:dLbl>
              <c:idx val="1"/>
              <c:layout>
                <c:manualLayout>
                  <c:x val="8.2474226804123679E-3"/>
                  <c:y val="-5.9322020703318566E-2"/>
                </c:manualLayout>
              </c:layout>
              <c:dLblPos val="ctr"/>
              <c:showVal val="1"/>
            </c:dLbl>
            <c:dLbl>
              <c:idx val="2"/>
              <c:delete val="1"/>
            </c:dLbl>
            <c:dLbl>
              <c:idx val="3"/>
              <c:layout>
                <c:manualLayout>
                  <c:x val="8.2474226804123679E-3"/>
                  <c:y val="-5.6497162574589047E-2"/>
                </c:manualLayout>
              </c:layout>
              <c:dLblPos val="ctr"/>
              <c:showVal val="1"/>
            </c:dLbl>
            <c:dLbl>
              <c:idx val="4"/>
              <c:layout>
                <c:manualLayout>
                  <c:x val="-3.2989690721649492E-2"/>
                  <c:y val="-5.649716257458897E-2"/>
                </c:manualLayout>
              </c:layout>
              <c:tx>
                <c:rich>
                  <a:bodyPr/>
                  <a:lstStyle/>
                  <a:p>
                    <a:r>
                      <a:rPr lang="en-US"/>
                      <a:t> $0 </a:t>
                    </a:r>
                  </a:p>
                </c:rich>
              </c:tx>
              <c:dLblPos val="ctr"/>
              <c:showVal val="1"/>
            </c:dLbl>
            <c:txPr>
              <a:bodyPr/>
              <a:lstStyle/>
              <a:p>
                <a:pPr>
                  <a:defRPr sz="900">
                    <a:latin typeface="+mn-lt"/>
                  </a:defRPr>
                </a:pPr>
                <a:endParaRPr lang="en-US"/>
              </a:p>
            </c:txPr>
            <c:dLblPos val="ctr"/>
            <c:showVal val="1"/>
          </c:dLbls>
          <c:cat>
            <c:strRef>
              <c:f>'[3]SC-JM'!$K$61:$K$65</c:f>
              <c:strCache>
                <c:ptCount val="5"/>
                <c:pt idx="0">
                  <c:v>Statewide
    District</c:v>
                </c:pt>
                <c:pt idx="1">
                  <c:v>Statewide
Weighted</c:v>
                </c:pt>
                <c:pt idx="2">
                  <c:v>Statewide
    Charter</c:v>
                </c:pt>
                <c:pt idx="3">
                  <c:v>Greenville
    District</c:v>
                </c:pt>
                <c:pt idx="4">
                  <c:v>Greenville
    Charter</c:v>
                </c:pt>
              </c:strCache>
            </c:strRef>
          </c:cat>
          <c:val>
            <c:numRef>
              <c:f>'[3]SC-JM'!$N$61:$N$65</c:f>
              <c:numCache>
                <c:formatCode>General</c:formatCode>
                <c:ptCount val="5"/>
                <c:pt idx="0">
                  <c:v>3922.8877365945059</c:v>
                </c:pt>
                <c:pt idx="1">
                  <c:v>3887</c:v>
                </c:pt>
                <c:pt idx="2">
                  <c:v>0</c:v>
                </c:pt>
                <c:pt idx="3">
                  <c:v>3430.5143285202143</c:v>
                </c:pt>
                <c:pt idx="4">
                  <c:v>0</c:v>
                </c:pt>
              </c:numCache>
            </c:numRef>
          </c:val>
        </c:ser>
        <c:ser>
          <c:idx val="3"/>
          <c:order val="3"/>
          <c:tx>
            <c:strRef>
              <c:f>'[3]SC-JM'!$O$60</c:f>
              <c:strCache>
                <c:ptCount val="1"/>
                <c:pt idx="0">
                  <c:v>Other </c:v>
                </c:pt>
              </c:strCache>
            </c:strRef>
          </c:tx>
          <c:spPr>
            <a:solidFill>
              <a:schemeClr val="tx1"/>
            </a:solidFill>
            <a:ln>
              <a:solidFill>
                <a:schemeClr val="tx1"/>
              </a:solidFill>
            </a:ln>
          </c:spPr>
          <c:dLbls>
            <c:dLbl>
              <c:idx val="0"/>
              <c:layout>
                <c:manualLayout>
                  <c:x val="7.468788050978171E-3"/>
                  <c:y val="-5.9322020703318566E-2"/>
                </c:manualLayout>
              </c:layout>
              <c:showVal val="1"/>
            </c:dLbl>
            <c:dLbl>
              <c:idx val="1"/>
              <c:layout>
                <c:manualLayout>
                  <c:x val="6.2741023351462512E-3"/>
                  <c:y val="-6.1077658908835174E-2"/>
                </c:manualLayout>
              </c:layout>
              <c:showVal val="1"/>
            </c:dLbl>
            <c:dLbl>
              <c:idx val="2"/>
              <c:layout>
                <c:manualLayout>
                  <c:x val="0.1214379955082934"/>
                  <c:y val="0"/>
                </c:manualLayout>
              </c:layout>
              <c:tx>
                <c:rich>
                  <a:bodyPr/>
                  <a:lstStyle/>
                  <a:p>
                    <a:r>
                      <a:rPr lang="en-US"/>
                      <a:t> Data are unavailable </a:t>
                    </a:r>
                  </a:p>
                </c:rich>
              </c:tx>
              <c:showVal val="1"/>
            </c:dLbl>
            <c:dLbl>
              <c:idx val="3"/>
              <c:layout>
                <c:manualLayout>
                  <c:x val="1.0377465703385028E-3"/>
                  <c:y val="-5.6497162574589047E-2"/>
                </c:manualLayout>
              </c:layout>
              <c:showVal val="1"/>
            </c:dLbl>
            <c:dLbl>
              <c:idx val="4"/>
              <c:layout>
                <c:manualLayout>
                  <c:x val="3.8487972508591109E-2"/>
                  <c:y val="-5.9322020703318566E-2"/>
                </c:manualLayout>
              </c:layout>
              <c:showVal val="1"/>
            </c:dLbl>
            <c:txPr>
              <a:bodyPr/>
              <a:lstStyle/>
              <a:p>
                <a:pPr>
                  <a:defRPr sz="900">
                    <a:latin typeface="+mn-lt"/>
                  </a:defRPr>
                </a:pPr>
                <a:endParaRPr lang="en-US"/>
              </a:p>
            </c:txPr>
            <c:showVal val="1"/>
          </c:dLbls>
          <c:cat>
            <c:strRef>
              <c:f>'[3]SC-JM'!$K$61:$K$65</c:f>
              <c:strCache>
                <c:ptCount val="5"/>
                <c:pt idx="0">
                  <c:v>Statewide
    District</c:v>
                </c:pt>
                <c:pt idx="1">
                  <c:v>Statewide
Weighted</c:v>
                </c:pt>
                <c:pt idx="2">
                  <c:v>Statewide
    Charter</c:v>
                </c:pt>
                <c:pt idx="3">
                  <c:v>Greenville
    District</c:v>
                </c:pt>
                <c:pt idx="4">
                  <c:v>Greenville
    Charter</c:v>
                </c:pt>
              </c:strCache>
            </c:strRef>
          </c:cat>
          <c:val>
            <c:numRef>
              <c:f>'[3]SC-JM'!$O$61:$O$65</c:f>
              <c:numCache>
                <c:formatCode>General</c:formatCode>
                <c:ptCount val="5"/>
                <c:pt idx="0">
                  <c:v>932.26765669449196</c:v>
                </c:pt>
                <c:pt idx="1">
                  <c:v>939</c:v>
                </c:pt>
                <c:pt idx="2">
                  <c:v>0</c:v>
                </c:pt>
                <c:pt idx="3">
                  <c:v>1026.9072716571245</c:v>
                </c:pt>
                <c:pt idx="4">
                  <c:v>520.43463839510571</c:v>
                </c:pt>
              </c:numCache>
            </c:numRef>
          </c:val>
        </c:ser>
        <c:gapWidth val="95"/>
        <c:overlap val="100"/>
        <c:axId val="46660224"/>
        <c:axId val="46682496"/>
      </c:barChart>
      <c:catAx>
        <c:axId val="46660224"/>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46682496"/>
        <c:crosses val="autoZero"/>
        <c:auto val="1"/>
        <c:lblAlgn val="ctr"/>
        <c:lblOffset val="100"/>
        <c:tickLblSkip val="1"/>
        <c:tickMarkSkip val="1"/>
      </c:catAx>
      <c:valAx>
        <c:axId val="46682496"/>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46660224"/>
        <c:crosses val="autoZero"/>
        <c:crossBetween val="between"/>
        <c:majorUnit val="4000"/>
      </c:valAx>
      <c:spPr>
        <a:solidFill>
          <a:srgbClr val="FFFFFF"/>
        </a:solidFill>
        <a:ln w="12700">
          <a:noFill/>
          <a:prstDash val="solid"/>
        </a:ln>
      </c:spPr>
    </c:plotArea>
    <c:legend>
      <c:legendPos val="t"/>
      <c:layout>
        <c:manualLayout>
          <c:xMode val="edge"/>
          <c:yMode val="edge"/>
          <c:x val="0.14184891036123695"/>
          <c:y val="3.9560659651212145E-2"/>
          <c:w val="0.78692076214855422"/>
          <c:h val="5.4884346167018323E-2"/>
        </c:manualLayout>
      </c:layout>
      <c:spPr>
        <a:solidFill>
          <a:srgbClr val="FFFFFF"/>
        </a:solidFill>
        <a:ln w="3175">
          <a:noFill/>
          <a:prstDash val="solid"/>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chart>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533" r="0.75000000000000533"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180975</xdr:colOff>
      <xdr:row>1</xdr:row>
      <xdr:rowOff>19050</xdr:rowOff>
    </xdr:from>
    <xdr:to>
      <xdr:col>15</xdr:col>
      <xdr:colOff>581025</xdr:colOff>
      <xdr:row>14</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27</xdr:row>
      <xdr:rowOff>76199</xdr:rowOff>
    </xdr:from>
    <xdr:to>
      <xdr:col>16</xdr:col>
      <xdr:colOff>257175</xdr:colOff>
      <xdr:row>50</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1</xdr:row>
      <xdr:rowOff>9525</xdr:rowOff>
    </xdr:from>
    <xdr:to>
      <xdr:col>15</xdr:col>
      <xdr:colOff>609600</xdr:colOff>
      <xdr:row>14</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27</xdr:row>
      <xdr:rowOff>76199</xdr:rowOff>
    </xdr:from>
    <xdr:to>
      <xdr:col>16</xdr:col>
      <xdr:colOff>257175</xdr:colOff>
      <xdr:row>50</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39</xdr:row>
      <xdr:rowOff>0</xdr:rowOff>
    </xdr:from>
    <xdr:to>
      <xdr:col>6</xdr:col>
      <xdr:colOff>666750</xdr:colOff>
      <xdr:row>59</xdr:row>
      <xdr:rowOff>152400</xdr:rowOff>
    </xdr:to>
    <xdr:sp macro="" textlink="">
      <xdr:nvSpPr>
        <xdr:cNvPr id="6" name="TextBox 5"/>
        <xdr:cNvSpPr txBox="1"/>
      </xdr:nvSpPr>
      <xdr:spPr>
        <a:xfrm>
          <a:off x="47625" y="7200900"/>
          <a:ext cx="6057900" cy="34766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NOTES:</a:t>
          </a:r>
        </a:p>
        <a:p>
          <a:r>
            <a:rPr lang="en-US" sz="1100"/>
            <a:t>(1)  South Carolina charter data for most charters does not differentiate Sources; but Greenville does.</a:t>
          </a:r>
        </a:p>
        <a:p>
          <a:endParaRPr lang="en-US" sz="1100"/>
        </a:p>
        <a:p>
          <a:r>
            <a:rPr lang="en-US" sz="1100"/>
            <a:t>(2)  76.2% of total charter revenue dollars are based on Actual Revenues from Audited Financial statements.  Audited Financial Statements were not made available by some districts; and some district Audited Financial Statements included charter schools as fiscally identifiable Component Units but Component Units were not presented for all active charter schools.  Therefore, revenues for charters representing 24.8% of total charter enrollment had to be estimated.  The estimate includes  Actual Revenues for 76.2% of charter enrollment; &amp; estimated for 24.8% of charter enrollment.  The estimated portion is based on the total Actual Revenue per pupil (for the 76.2%) times the number of students in the charter schools without Actual Revenue data.  </a:t>
          </a:r>
        </a:p>
        <a:p>
          <a:endParaRPr lang="en-US" sz="1100"/>
        </a:p>
        <a:p>
          <a:r>
            <a:rPr lang="en-US" sz="1100"/>
            <a:t>(3)  The 2006/2007</a:t>
          </a:r>
          <a:r>
            <a:rPr lang="en-US" sz="1100" baseline="0"/>
            <a:t> CAFR for the Greenville district included a Component Unit analysis for most Greenville charter schools, and provided more detailed schedules that showed revenue by source (Local, State, and Federal); and showed other detail coding that enabled identification of Other revenues.  This  appears to be more detail than was available for the 2002/2003 year revenue study where 94% of revenue by source was recorded as "Indeterminate."  This year's study allows for the more detailed reporting by source.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1</xdr:row>
      <xdr:rowOff>57150</xdr:rowOff>
    </xdr:from>
    <xdr:to>
      <xdr:col>16</xdr:col>
      <xdr:colOff>190500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27</xdr:row>
      <xdr:rowOff>66674</xdr:rowOff>
    </xdr:from>
    <xdr:to>
      <xdr:col>16</xdr:col>
      <xdr:colOff>476250</xdr:colOff>
      <xdr:row>55</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39</xdr:row>
      <xdr:rowOff>0</xdr:rowOff>
    </xdr:from>
    <xdr:to>
      <xdr:col>8</xdr:col>
      <xdr:colOff>666750</xdr:colOff>
      <xdr:row>59</xdr:row>
      <xdr:rowOff>152400</xdr:rowOff>
    </xdr:to>
    <xdr:sp macro="" textlink="">
      <xdr:nvSpPr>
        <xdr:cNvPr id="4" name="TextBox 3"/>
        <xdr:cNvSpPr txBox="1"/>
      </xdr:nvSpPr>
      <xdr:spPr>
        <a:xfrm>
          <a:off x="47625" y="7172325"/>
          <a:ext cx="7524750" cy="3390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NOTES:</a:t>
          </a:r>
        </a:p>
        <a:p>
          <a:r>
            <a:rPr lang="en-US" sz="1100"/>
            <a:t>(1)  South Carolina charter data for most charters does not differentiate Sources; but Greenville does.</a:t>
          </a:r>
        </a:p>
        <a:p>
          <a:endParaRPr lang="en-US" sz="1100"/>
        </a:p>
        <a:p>
          <a:r>
            <a:rPr lang="en-US" sz="1100"/>
            <a:t>(2)  76.2% of total charter revenue dollars are based on Actual Revenues from Audited Financial statements.  Audited Financial Statements were not made available by some districts; and some district Audited Financial Statements included charter schools as fiscally identifiable Component Units but Component Units were not presented for all active charter schools.  Therefore, revenues for charters representing 24.8% of total charter enrollment had to be estimated.  The estimate includes  Actual Revenues for 76.2% of charter enrollment; &amp; estimated for 24.8% of charter enrollment.  The estimated portion is based on the total Actual Revenue per pupil (for the 76.2%) times the number of students in the charter schools without Actual Revenue data.  </a:t>
          </a:r>
        </a:p>
        <a:p>
          <a:endParaRPr lang="en-US" sz="1100"/>
        </a:p>
        <a:p>
          <a:r>
            <a:rPr lang="en-US" sz="1100"/>
            <a:t>(3)  The 2006/2007</a:t>
          </a:r>
          <a:r>
            <a:rPr lang="en-US" sz="1100" baseline="0"/>
            <a:t> CAFR for the Greenville district included a Component Unit analysis for most Greenville charter schools, and provided more detailed schedules that showed revenue by source (Local, State, and Federal); and showed other detail coding that enabled identification of Other revenues.  This  appears to be more detail than was available for the 2002/2003 year revenue study where 94% of revenue by source was recorded as "Indeterminate."  This year's study allows for the more detailed reporting by source.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6</xdr:row>
      <xdr:rowOff>19049</xdr:rowOff>
    </xdr:from>
    <xdr:to>
      <xdr:col>8</xdr:col>
      <xdr:colOff>819150</xdr:colOff>
      <xdr:row>45</xdr:row>
      <xdr:rowOff>95250</xdr:rowOff>
    </xdr:to>
    <xdr:sp macro="" textlink="">
      <xdr:nvSpPr>
        <xdr:cNvPr id="2" name="TextBox 1"/>
        <xdr:cNvSpPr txBox="1"/>
      </xdr:nvSpPr>
      <xdr:spPr>
        <a:xfrm>
          <a:off x="285750" y="1219199"/>
          <a:ext cx="5895975" cy="762000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NOTES:</a:t>
          </a:r>
        </a:p>
        <a:p>
          <a:r>
            <a:rPr lang="en-US" sz="1100" b="1" i="1"/>
            <a:t>Availability</a:t>
          </a:r>
          <a:r>
            <a:rPr lang="en-US" sz="1100" b="1" i="1" baseline="0"/>
            <a:t> of Charter Revenue Data </a:t>
          </a:r>
          <a:r>
            <a:rPr lang="en-US" sz="1100" baseline="0"/>
            <a:t>-- The SC Department of Education (SC DOE) does not track charter school revenue data.  All charter schools in 2006/2007 were opened by districts and most accounting information is combined with District data -- charter funding flows through school districts.  The only potential source for reliable charter revenue data is through audited Comprehensive Annual Financial Reports (CAFRs).  However, charter revenue data is not consistently reported in CAFRs across school districts.  The best CAFRs (like for Greenville) include an analysis of Component Units, which report individual charter school revenues; some including source data and some not.  In many cases, a district's CAFR reports only show one data source, "intergovernmental."  In other cases, a district's CAFR shows sources for Local, State and Federal revenues.  A district's CAFR may also report on some charter schools as Component Units, but not on other charter schools.  CAFR's could not be obtained for all districts with charter schools.  For this analysis 76.2% of the revenue reported is based on actual audited information from CAFRs; and 24.8% was estimated.</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latin typeface="+mn-lt"/>
              <a:ea typeface="+mn-ea"/>
              <a:cs typeface="+mn-cs"/>
            </a:rPr>
            <a:t>Method of Revenue Estimation (for 24.8% of data)</a:t>
          </a:r>
          <a:r>
            <a:rPr lang="en-US" sz="1100" baseline="0">
              <a:solidFill>
                <a:schemeClr val="dk1"/>
              </a:solidFill>
              <a:latin typeface="+mn-lt"/>
              <a:ea typeface="+mn-ea"/>
              <a:cs typeface="+mn-cs"/>
            </a:rPr>
            <a:t> -- The summary at the right illustrates the revenue estimation methodology used for 24.8% of charter students.  The top portion of the schedule shows actual revenue data for 76.2% of students, which averages $8,396.02 per pupil.  That per pupil amount is multiplied by the number of students in charter schools for which revenue data was not available to estimate reveneus for 24.8% of charter students (see middle portion of schedule at right).</a:t>
          </a:r>
          <a:endParaRPr lang="en-US" sz="1100" baseline="0"/>
        </a:p>
        <a:p>
          <a:endParaRPr lang="en-US" sz="1100" baseline="0"/>
        </a:p>
        <a:p>
          <a:r>
            <a:rPr lang="en-US" sz="1100" b="1" i="1" baseline="0"/>
            <a:t>Availability of Traditional School Revenue Data </a:t>
          </a:r>
          <a:r>
            <a:rPr lang="en-US" sz="1100" baseline="0"/>
            <a:t>-- The SC DOE tracks revenue data by source, and by detailed accounting code, for school districts in total (inclusive of traditional schools and charter schools).  A SC DOE Excel spreadsheet was downloaded from the DOE web site for 2006/2007 revenue (see tab #1).  Tabs #2-4 restructure the download file and subtract charter totals from district totals in order to report separately on traditional schools vs. charter schools.   </a:t>
          </a:r>
        </a:p>
        <a:p>
          <a:endParaRPr lang="en-US" sz="1100" baseline="0"/>
        </a:p>
        <a:p>
          <a:r>
            <a:rPr lang="en-US" sz="1100" b="1" baseline="0"/>
            <a:t>Availability of Enrollment Data </a:t>
          </a:r>
          <a:r>
            <a:rPr lang="en-US" sz="1100" baseline="0"/>
            <a:t>-- The SC DOE tracks enrollment data along with Expenditure data in order to show per pupil expenditures.   Tab #7 contains the DOE file for charter school enrollment.  DOE also reports total district enrollment (inclusive of traditional schools and charter schools.  See tab #6 for the subtraction of charter enrollment for total enrollment in order to isolate traditional school vs. charter school enrollment.</a:t>
          </a:r>
        </a:p>
        <a:p>
          <a:endParaRPr lang="en-US" sz="1100" baseline="0"/>
        </a:p>
        <a:p>
          <a:r>
            <a:rPr lang="en-US" sz="1100" b="1" i="1" baseline="0"/>
            <a:t>Meyer Center for Special Children Charter Excluded from Analysis </a:t>
          </a:r>
          <a:r>
            <a:rPr lang="en-US" sz="1100" baseline="0"/>
            <a:t>-- The Meyer Center was excluded from Greenville's charter and district totals and was excluded from state totals; but is shown separately in this worksheet.  The Meyer Center was established in 1954, receives 83.4% of its funding through private contributions and donations, serves only children through age 7 with disabilities, and has a per pupil revenue of $401,250.  This large per pupil revenue amount would distort this analysis; so the Meyer Center is excluded from this analysis and shown separately below in the detail.</a:t>
          </a:r>
        </a:p>
        <a:p>
          <a:endParaRPr lang="en-US" sz="1100" baseline="0"/>
        </a:p>
        <a:p>
          <a:endParaRPr lang="en-US" sz="1100" baseline="0"/>
        </a:p>
        <a:p>
          <a:endParaRPr lang="en-US" sz="1100" baseline="0"/>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Ea%20BUSINESS/103=BSU/CA=0607/BSU=CA=0607=20090707=v28REVIS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y/~Ea%20BUSINESS/103=BSU/~~FINAL%20WORKBOOKS/BSU%20Revenue%20Study_SC_0607-SENT%20TO%20H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ay/~Ea%20BUSINESS/103=BSU/~~~EDIT2_APR15%20SUPPORT/Figure%201%20with%20Adjusted%20Values%20-%2004_06_JMa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MPLATE"/>
      <sheetName val="REV-CA Revenue for Study "/>
      <sheetName val="OLD-Left1"/>
      <sheetName val="REV-California Districts"/>
      <sheetName val="OLD-Left2"/>
      <sheetName val="REV-California Charters"/>
      <sheetName val="OLD-Left3"/>
      <sheetName val="REV-LAU District"/>
      <sheetName val="REV-LAU Charters"/>
      <sheetName val="REV-SDU District"/>
      <sheetName val="REV-SDU Charters"/>
      <sheetName val="DETAIL-SACS with Flags"/>
      <sheetName val="DETAIL-Alternative Form w Flags"/>
      <sheetName val="revDETAIL-Alternative Form w Fl"/>
      <sheetName val="FILING-All Charters-SACS"/>
      <sheetName val="FILING-LAU Charters-SACS"/>
      <sheetName val="FILING-All Charters Alternative"/>
      <sheetName val="FILING-SDU-Charters Alternative"/>
      <sheetName val="FILING-Charters Not Filing"/>
      <sheetName val="FILING-LEA Listing"/>
      <sheetName val="ENROLL-DOWNLOAD=rad60677"/>
      <sheetName val="SORT"/>
      <sheetName val="ENROLL-State-Districts"/>
      <sheetName val="ENROLL-State-Charters"/>
      <sheetName val="ENROLL-LAU-Districts"/>
      <sheetName val="ENROLL-LAU-Charters"/>
      <sheetName val="ENROLL-SDU-Districts"/>
      <sheetName val="ENROLL-SDU-Charters"/>
    </sheetNames>
    <sheetDataSet>
      <sheetData sheetId="0">
        <row r="17">
          <cell r="J17" t="str">
            <v>District</v>
          </cell>
          <cell r="K17" t="str">
            <v>Charter</v>
          </cell>
          <cell r="L17" t="str">
            <v>Difference</v>
          </cell>
        </row>
        <row r="18">
          <cell r="I18" t="str">
            <v>California</v>
          </cell>
          <cell r="J18">
            <v>10558.719247123563</v>
          </cell>
          <cell r="K18">
            <v>9987.0981689353557</v>
          </cell>
          <cell r="L18">
            <v>571.62107818820732</v>
          </cell>
        </row>
        <row r="19">
          <cell r="I19" t="str">
            <v>Los Angeles</v>
          </cell>
          <cell r="J19">
            <v>13904.168991027336</v>
          </cell>
          <cell r="K19">
            <v>8362.9211306807811</v>
          </cell>
          <cell r="L19">
            <v>5541.2478603465552</v>
          </cell>
        </row>
        <row r="20">
          <cell r="I20" t="str">
            <v>San Diego</v>
          </cell>
          <cell r="J20">
            <v>13312.237502554908</v>
          </cell>
          <cell r="K20">
            <v>7658.4173670212767</v>
          </cell>
          <cell r="L20">
            <v>5653.8201355336314</v>
          </cell>
        </row>
        <row r="56">
          <cell r="J56" t="str">
            <v xml:space="preserve">Federal </v>
          </cell>
          <cell r="K56" t="str">
            <v>State</v>
          </cell>
          <cell r="L56" t="str">
            <v>Local</v>
          </cell>
        </row>
        <row r="57">
          <cell r="I57" t="str">
            <v>Statewide-District</v>
          </cell>
          <cell r="J57">
            <v>862.99337819270272</v>
          </cell>
          <cell r="K57">
            <v>6099.1507995505426</v>
          </cell>
          <cell r="L57">
            <v>3596.5750693803175</v>
          </cell>
        </row>
        <row r="58">
          <cell r="I58" t="str">
            <v>Statewide-Charter</v>
          </cell>
          <cell r="J58">
            <v>512.33296215969665</v>
          </cell>
          <cell r="K58">
            <v>4832.2428562676632</v>
          </cell>
          <cell r="L58">
            <v>4642.5223505079957</v>
          </cell>
        </row>
        <row r="59">
          <cell r="I59" t="str">
            <v>LAU-District</v>
          </cell>
          <cell r="J59">
            <v>1481.7342006104304</v>
          </cell>
          <cell r="K59">
            <v>8505.9424607332985</v>
          </cell>
          <cell r="L59">
            <v>3916.4923296836064</v>
          </cell>
        </row>
        <row r="60">
          <cell r="I60" t="str">
            <v>LAU-Charter</v>
          </cell>
          <cell r="J60">
            <v>647.15167001277609</v>
          </cell>
          <cell r="K60">
            <v>6103.1284677860922</v>
          </cell>
          <cell r="L60">
            <v>1612.6409928819128</v>
          </cell>
        </row>
        <row r="61">
          <cell r="I61" t="str">
            <v>SDU-District</v>
          </cell>
          <cell r="J61">
            <v>1201.8333788470236</v>
          </cell>
          <cell r="K61">
            <v>6003.8123917304702</v>
          </cell>
          <cell r="L61">
            <v>6106.5917319774162</v>
          </cell>
        </row>
        <row r="62">
          <cell r="I62" t="str">
            <v>SDU-Charter</v>
          </cell>
          <cell r="J62">
            <v>607.00928877831154</v>
          </cell>
          <cell r="K62">
            <v>3061.6477831159918</v>
          </cell>
          <cell r="L62">
            <v>3989.7602951269732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emplate"/>
      <sheetName val="Chapter Charts"/>
      <sheetName val="1-Download"/>
      <sheetName val="2-ID Study Revenues"/>
      <sheetName val="3-Study Revenues"/>
      <sheetName val="4-Districts Less Charters"/>
      <sheetName val="5-Charters"/>
      <sheetName val="6-Enrollment"/>
      <sheetName val="7-Charter Enrollment DOE Files"/>
    </sheetNames>
    <sheetDataSet>
      <sheetData sheetId="0" refreshError="1"/>
      <sheetData sheetId="1" refreshError="1"/>
      <sheetData sheetId="2" refreshError="1"/>
      <sheetData sheetId="3" refreshError="1"/>
      <sheetData sheetId="4" refreshError="1"/>
      <sheetData sheetId="5" refreshError="1">
        <row r="16">
          <cell r="DI16">
            <v>2654906189</v>
          </cell>
        </row>
        <row r="19">
          <cell r="AY19">
            <v>224395088</v>
          </cell>
        </row>
        <row r="58">
          <cell r="DI58">
            <v>630933979.69919372</v>
          </cell>
        </row>
        <row r="61">
          <cell r="AY61">
            <v>67171545</v>
          </cell>
        </row>
        <row r="187">
          <cell r="DI187">
            <v>2906769152.7626419</v>
          </cell>
        </row>
        <row r="190">
          <cell r="AY190">
            <v>266759696</v>
          </cell>
        </row>
        <row r="229">
          <cell r="DI229">
            <v>686540935.19934762</v>
          </cell>
        </row>
        <row r="232">
          <cell r="AY232">
            <v>52079428</v>
          </cell>
        </row>
        <row r="235">
          <cell r="AY235">
            <v>0</v>
          </cell>
        </row>
        <row r="237">
          <cell r="DI237">
            <v>6879150256.6611834</v>
          </cell>
        </row>
        <row r="240">
          <cell r="AY240">
            <v>610405757</v>
          </cell>
        </row>
      </sheetData>
      <sheetData sheetId="6" refreshError="1">
        <row r="34">
          <cell r="L34">
            <v>28</v>
          </cell>
          <cell r="M34">
            <v>5003.8799999999992</v>
          </cell>
        </row>
        <row r="98">
          <cell r="B98">
            <v>814.01</v>
          </cell>
        </row>
        <row r="99">
          <cell r="H99">
            <v>0</v>
          </cell>
        </row>
        <row r="100">
          <cell r="H100">
            <v>4904778</v>
          </cell>
        </row>
        <row r="101">
          <cell r="H101">
            <v>747842</v>
          </cell>
        </row>
        <row r="102">
          <cell r="H102">
            <v>423639</v>
          </cell>
        </row>
        <row r="104">
          <cell r="I104">
            <v>6076259</v>
          </cell>
        </row>
      </sheetData>
      <sheetData sheetId="7" refreshError="1">
        <row r="47">
          <cell r="R47">
            <v>65411.5</v>
          </cell>
        </row>
        <row r="104">
          <cell r="P104">
            <v>676773.42999999993</v>
          </cell>
        </row>
      </sheetData>
      <sheetData sheetId="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Z-JM"/>
      <sheetName val="CA-JM"/>
      <sheetName val="CO-JM"/>
      <sheetName val="CT"/>
      <sheetName val="DE"/>
      <sheetName val="FL"/>
      <sheetName val="GA"/>
      <sheetName val="ID"/>
      <sheetName val="IL"/>
      <sheetName val="MA"/>
      <sheetName val="MI"/>
      <sheetName val="MN"/>
      <sheetName val="NJ"/>
      <sheetName val="NM-JM"/>
      <sheetName val="NY"/>
      <sheetName val="NC"/>
      <sheetName val="OH"/>
      <sheetName val="PA-JM"/>
      <sheetName val="SC-JM"/>
      <sheetName val="TX"/>
      <sheetName val="DC"/>
    </sheetNames>
    <sheetDataSet>
      <sheetData sheetId="0">
        <row r="17">
          <cell r="J17" t="str">
            <v>District</v>
          </cell>
        </row>
      </sheetData>
      <sheetData sheetId="1"/>
      <sheetData sheetId="2"/>
      <sheetData sheetId="3"/>
      <sheetData sheetId="4"/>
      <sheetData sheetId="5"/>
      <sheetData sheetId="6"/>
      <sheetData sheetId="7"/>
      <sheetData sheetId="8"/>
      <sheetData sheetId="9"/>
      <sheetData sheetId="10"/>
      <sheetData sheetId="11"/>
      <sheetData sheetId="12"/>
      <sheetData sheetId="13">
        <row r="17">
          <cell r="J17" t="str">
            <v>District</v>
          </cell>
        </row>
      </sheetData>
      <sheetData sheetId="14"/>
      <sheetData sheetId="15"/>
      <sheetData sheetId="16"/>
      <sheetData sheetId="17">
        <row r="17">
          <cell r="L17" t="str">
            <v>District</v>
          </cell>
        </row>
      </sheetData>
      <sheetData sheetId="18">
        <row r="17">
          <cell r="L17" t="str">
            <v>District</v>
          </cell>
          <cell r="M17" t="str">
            <v>Charter</v>
          </cell>
          <cell r="N17" t="str">
            <v>Difference</v>
          </cell>
        </row>
        <row r="18">
          <cell r="K18" t="str">
            <v>South Carolina</v>
          </cell>
          <cell r="L18">
            <v>10164.628148391086</v>
          </cell>
          <cell r="M18">
            <v>8396.0203560037426</v>
          </cell>
          <cell r="N18">
            <v>1768.6077923873436</v>
          </cell>
        </row>
        <row r="19">
          <cell r="K19" t="str">
            <v>South Carolina
Weighted</v>
          </cell>
          <cell r="L19">
            <v>10104</v>
          </cell>
          <cell r="M19">
            <v>8396</v>
          </cell>
          <cell r="N19">
            <v>1708</v>
          </cell>
        </row>
        <row r="20">
          <cell r="K20" t="str">
            <v>Greenville</v>
          </cell>
          <cell r="L20">
            <v>9331.7804514496693</v>
          </cell>
          <cell r="M20">
            <v>7464.5999434896376</v>
          </cell>
          <cell r="N20">
            <v>1867.1805079600317</v>
          </cell>
        </row>
        <row r="60">
          <cell r="L60" t="str">
            <v xml:space="preserve">Federal </v>
          </cell>
          <cell r="M60" t="str">
            <v>State</v>
          </cell>
          <cell r="N60" t="str">
            <v>Local</v>
          </cell>
          <cell r="O60" t="str">
            <v xml:space="preserve">Other </v>
          </cell>
        </row>
        <row r="61">
          <cell r="K61" t="str">
            <v>Statewide
    District</v>
          </cell>
          <cell r="L61">
            <v>1014.4324596184985</v>
          </cell>
          <cell r="M61">
            <v>4295.040295483589</v>
          </cell>
          <cell r="N61">
            <v>3922.8877365945059</v>
          </cell>
          <cell r="O61">
            <v>932.26765669449196</v>
          </cell>
        </row>
        <row r="62">
          <cell r="K62" t="str">
            <v>Statewide
Weighted</v>
          </cell>
          <cell r="L62">
            <v>998</v>
          </cell>
          <cell r="M62">
            <v>4279</v>
          </cell>
          <cell r="N62">
            <v>3887</v>
          </cell>
          <cell r="O62">
            <v>939</v>
          </cell>
        </row>
        <row r="63">
          <cell r="K63" t="str">
            <v>Statewide
    Charter</v>
          </cell>
          <cell r="L63" t="str">
            <v>*</v>
          </cell>
          <cell r="M63" t="str">
            <v>*</v>
          </cell>
          <cell r="N63" t="str">
            <v>*</v>
          </cell>
          <cell r="O63" t="str">
            <v>*</v>
          </cell>
        </row>
        <row r="64">
          <cell r="K64" t="str">
            <v>Greenville
    District</v>
          </cell>
          <cell r="L64">
            <v>796.18152771301686</v>
          </cell>
          <cell r="M64">
            <v>4078.1773235593128</v>
          </cell>
          <cell r="N64">
            <v>3430.5143285202143</v>
          </cell>
          <cell r="O64">
            <v>1026.9072716571245</v>
          </cell>
        </row>
        <row r="65">
          <cell r="K65" t="str">
            <v>Greenville
    Charter</v>
          </cell>
          <cell r="L65">
            <v>918.71352931782167</v>
          </cell>
          <cell r="M65">
            <v>6025.4517757767107</v>
          </cell>
          <cell r="N65">
            <v>0</v>
          </cell>
          <cell r="O65">
            <v>520.43463839510571</v>
          </cell>
        </row>
      </sheetData>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tabColor rgb="FFFFFF00"/>
  </sheetPr>
  <dimension ref="B1:B40"/>
  <sheetViews>
    <sheetView tabSelected="1" workbookViewId="0">
      <selection activeCell="B2" sqref="B2"/>
    </sheetView>
  </sheetViews>
  <sheetFormatPr defaultRowHeight="15"/>
  <cols>
    <col min="1" max="1" width="9.33203125" style="403"/>
    <col min="2" max="2" width="97.5" style="403" customWidth="1"/>
    <col min="3" max="16384" width="9.33203125" style="403"/>
  </cols>
  <sheetData>
    <row r="1" spans="2:2">
      <c r="B1" s="402"/>
    </row>
    <row r="2" spans="2:2" ht="18.75">
      <c r="B2" s="404" t="s">
        <v>738</v>
      </c>
    </row>
    <row r="3" spans="2:2" ht="18.75">
      <c r="B3" s="405" t="s">
        <v>739</v>
      </c>
    </row>
    <row r="4" spans="2:2">
      <c r="B4" s="402"/>
    </row>
    <row r="5" spans="2:2" ht="15.75">
      <c r="B5" s="406" t="s">
        <v>740</v>
      </c>
    </row>
    <row r="6" spans="2:2" ht="15.75">
      <c r="B6" s="406" t="s">
        <v>741</v>
      </c>
    </row>
    <row r="7" spans="2:2" ht="15.75">
      <c r="B7" s="406" t="s">
        <v>34</v>
      </c>
    </row>
    <row r="8" spans="2:2">
      <c r="B8" s="402"/>
    </row>
    <row r="9" spans="2:2">
      <c r="B9" s="407" t="s">
        <v>742</v>
      </c>
    </row>
    <row r="10" spans="2:2" ht="306" customHeight="1">
      <c r="B10" s="410" t="s">
        <v>748</v>
      </c>
    </row>
    <row r="11" spans="2:2" ht="21.75" customHeight="1">
      <c r="B11" s="408"/>
    </row>
    <row r="12" spans="2:2">
      <c r="B12" s="407" t="s">
        <v>743</v>
      </c>
    </row>
    <row r="13" spans="2:2" ht="48" customHeight="1">
      <c r="B13" s="411" t="s">
        <v>749</v>
      </c>
    </row>
    <row r="14" spans="2:2">
      <c r="B14" s="402"/>
    </row>
    <row r="15" spans="2:2">
      <c r="B15" s="407" t="s">
        <v>744</v>
      </c>
    </row>
    <row r="16" spans="2:2" ht="48" customHeight="1">
      <c r="B16" s="411" t="s">
        <v>745</v>
      </c>
    </row>
    <row r="17" spans="2:2">
      <c r="B17" s="402"/>
    </row>
    <row r="18" spans="2:2">
      <c r="B18" s="407" t="s">
        <v>746</v>
      </c>
    </row>
    <row r="19" spans="2:2" ht="43.5" customHeight="1">
      <c r="B19" s="411" t="s">
        <v>747</v>
      </c>
    </row>
    <row r="20" spans="2:2">
      <c r="B20" s="402"/>
    </row>
    <row r="21" spans="2:2">
      <c r="B21" s="409"/>
    </row>
    <row r="22" spans="2:2">
      <c r="B22" s="409"/>
    </row>
    <row r="23" spans="2:2">
      <c r="B23" s="409"/>
    </row>
    <row r="24" spans="2:2">
      <c r="B24" s="409"/>
    </row>
    <row r="25" spans="2:2">
      <c r="B25" s="409"/>
    </row>
    <row r="26" spans="2:2">
      <c r="B26" s="409"/>
    </row>
    <row r="27" spans="2:2">
      <c r="B27" s="409"/>
    </row>
    <row r="28" spans="2:2">
      <c r="B28" s="409"/>
    </row>
    <row r="29" spans="2:2">
      <c r="B29" s="409"/>
    </row>
    <row r="30" spans="2:2">
      <c r="B30" s="409"/>
    </row>
    <row r="31" spans="2:2">
      <c r="B31" s="409"/>
    </row>
    <row r="32" spans="2:2">
      <c r="B32" s="409"/>
    </row>
    <row r="33" spans="2:2">
      <c r="B33" s="409"/>
    </row>
    <row r="34" spans="2:2">
      <c r="B34" s="409"/>
    </row>
    <row r="35" spans="2:2">
      <c r="B35" s="409"/>
    </row>
    <row r="36" spans="2:2">
      <c r="B36" s="409"/>
    </row>
    <row r="37" spans="2:2">
      <c r="B37" s="409"/>
    </row>
    <row r="38" spans="2:2">
      <c r="B38" s="409"/>
    </row>
    <row r="39" spans="2:2">
      <c r="B39" s="409"/>
    </row>
    <row r="40" spans="2:2">
      <c r="B40" s="409"/>
    </row>
  </sheetData>
  <pageMargins left="0.7" right="0.7" top="0.5" bottom="0.5" header="0.3" footer="0.3"/>
  <pageSetup orientation="portrait" r:id="rId1"/>
</worksheet>
</file>

<file path=xl/worksheets/sheet2.xml><?xml version="1.0" encoding="utf-8"?>
<worksheet xmlns="http://schemas.openxmlformats.org/spreadsheetml/2006/main" xmlns:r="http://schemas.openxmlformats.org/officeDocument/2006/relationships">
  <dimension ref="A1:S64"/>
  <sheetViews>
    <sheetView workbookViewId="0"/>
  </sheetViews>
  <sheetFormatPr defaultRowHeight="11.25"/>
  <cols>
    <col min="1" max="1" width="19.33203125" customWidth="1"/>
    <col min="2" max="5" width="15.83203125" customWidth="1"/>
    <col min="6" max="6" width="12.5" customWidth="1"/>
    <col min="7" max="7" width="12.1640625" customWidth="1"/>
    <col min="9" max="9" width="20.33203125" customWidth="1"/>
    <col min="10" max="10" width="12.6640625" customWidth="1"/>
    <col min="11" max="11" width="10.1640625" customWidth="1"/>
    <col min="12" max="12" width="10.83203125" customWidth="1"/>
    <col min="16" max="16" width="12.33203125" customWidth="1"/>
    <col min="18" max="18" width="16" customWidth="1"/>
    <col min="19" max="19" width="43.33203125" customWidth="1"/>
  </cols>
  <sheetData>
    <row r="1" spans="1:19" ht="15">
      <c r="A1" s="1" t="s">
        <v>0</v>
      </c>
      <c r="B1" s="1"/>
      <c r="C1" s="1"/>
      <c r="D1" s="1"/>
      <c r="E1" s="1"/>
      <c r="F1" s="1"/>
      <c r="G1" s="1"/>
      <c r="H1" s="1"/>
      <c r="I1" s="1" t="s">
        <v>1</v>
      </c>
      <c r="J1" s="1"/>
      <c r="K1" s="1"/>
      <c r="L1" s="1"/>
      <c r="S1" s="2" t="s">
        <v>2</v>
      </c>
    </row>
    <row r="2" spans="1:19" ht="25.5">
      <c r="A2" s="3" t="s">
        <v>32</v>
      </c>
      <c r="B2" s="323" t="s">
        <v>3</v>
      </c>
      <c r="C2" s="323"/>
      <c r="D2" s="324" t="s">
        <v>33</v>
      </c>
      <c r="E2" s="325"/>
      <c r="F2" s="326" t="s">
        <v>27</v>
      </c>
      <c r="G2" s="326"/>
      <c r="H2" s="1"/>
      <c r="I2" s="1"/>
      <c r="J2" s="1"/>
      <c r="K2" s="1"/>
      <c r="L2" s="1"/>
    </row>
    <row r="3" spans="1:19" ht="12.75">
      <c r="A3" s="4" t="s">
        <v>4</v>
      </c>
      <c r="B3" s="5"/>
      <c r="C3" s="5"/>
      <c r="D3" s="5"/>
      <c r="E3" s="5"/>
      <c r="F3" s="39"/>
      <c r="G3" s="40"/>
      <c r="H3" s="1"/>
      <c r="I3" s="1"/>
      <c r="J3" s="1"/>
      <c r="K3" s="1"/>
      <c r="L3" s="1"/>
    </row>
    <row r="4" spans="1:19" ht="12.75">
      <c r="A4" s="6" t="s">
        <v>5</v>
      </c>
      <c r="B4" s="327">
        <f>B22/B16</f>
        <v>10164.628148391086</v>
      </c>
      <c r="C4" s="328"/>
      <c r="D4" s="329">
        <f>D22/D16</f>
        <v>9331.7804514496693</v>
      </c>
      <c r="E4" s="330"/>
      <c r="F4" s="331"/>
      <c r="G4" s="332"/>
      <c r="H4" s="1"/>
      <c r="I4" s="1"/>
      <c r="J4" s="1"/>
      <c r="K4" s="1"/>
      <c r="L4" s="1"/>
    </row>
    <row r="5" spans="1:19" ht="12.75">
      <c r="A5" s="6" t="s">
        <v>6</v>
      </c>
      <c r="B5" s="327">
        <f>C24/B18</f>
        <v>8396.0203559671063</v>
      </c>
      <c r="C5" s="328"/>
      <c r="D5" s="329">
        <f>D24/D18</f>
        <v>7464.5999434896376</v>
      </c>
      <c r="E5" s="330"/>
      <c r="F5" s="331"/>
      <c r="G5" s="332"/>
      <c r="H5" s="1"/>
      <c r="I5" s="1"/>
      <c r="J5" s="1"/>
      <c r="K5" s="1"/>
      <c r="L5" s="1"/>
    </row>
    <row r="6" spans="1:19" ht="12.75">
      <c r="A6" s="7" t="s">
        <v>7</v>
      </c>
      <c r="B6" s="327">
        <f>B4-B5</f>
        <v>1768.6077924239798</v>
      </c>
      <c r="C6" s="328"/>
      <c r="D6" s="327">
        <f>D4-D5</f>
        <v>1867.1805079600317</v>
      </c>
      <c r="E6" s="333"/>
      <c r="F6" s="331"/>
      <c r="G6" s="332"/>
      <c r="H6" s="1"/>
      <c r="I6" s="1"/>
      <c r="J6" s="1"/>
      <c r="K6" s="1"/>
      <c r="L6" s="1"/>
    </row>
    <row r="7" spans="1:19" ht="12.75">
      <c r="A7" s="8"/>
      <c r="B7" s="334">
        <f>B6/B4</f>
        <v>0.17399631020480813</v>
      </c>
      <c r="C7" s="335"/>
      <c r="D7" s="334">
        <f>D6/D4</f>
        <v>0.20008834516353949</v>
      </c>
      <c r="E7" s="336"/>
      <c r="F7" s="337"/>
      <c r="G7" s="338"/>
      <c r="H7" s="1"/>
      <c r="I7" s="1"/>
      <c r="J7" s="1"/>
      <c r="K7" s="1"/>
      <c r="L7" s="1"/>
    </row>
    <row r="8" spans="1:19" ht="26.25">
      <c r="A8" s="9" t="s">
        <v>8</v>
      </c>
      <c r="B8" s="10" t="s">
        <v>9</v>
      </c>
      <c r="C8" s="10" t="s">
        <v>6</v>
      </c>
      <c r="D8" s="10" t="s">
        <v>9</v>
      </c>
      <c r="E8" s="36" t="s">
        <v>721</v>
      </c>
      <c r="F8" s="33"/>
      <c r="G8" s="33"/>
      <c r="H8" s="1"/>
      <c r="I8" s="1"/>
      <c r="J8" s="1"/>
      <c r="K8" s="1"/>
      <c r="L8" s="1"/>
      <c r="R8" s="11" t="s">
        <v>10</v>
      </c>
    </row>
    <row r="9" spans="1:19" ht="15">
      <c r="A9" s="6" t="s">
        <v>11</v>
      </c>
      <c r="B9" s="12">
        <f>'4-Districts Less Charters'!DI229/B16</f>
        <v>1014.4324596184985</v>
      </c>
      <c r="C9" s="105" t="s">
        <v>571</v>
      </c>
      <c r="D9" s="12">
        <f>'4-Districts Less Charters'!AY232/D16</f>
        <v>796.18152771301686</v>
      </c>
      <c r="E9" s="37">
        <f>'5-Charters'!H101/D18</f>
        <v>918.71352931782167</v>
      </c>
      <c r="F9" s="34"/>
      <c r="G9" s="34"/>
      <c r="H9" s="1"/>
      <c r="I9" s="1"/>
      <c r="J9" s="1"/>
      <c r="K9" s="1"/>
      <c r="L9" s="1"/>
      <c r="R9" s="13">
        <f>SUM(B9:G9)</f>
        <v>2729.3275166493368</v>
      </c>
    </row>
    <row r="10" spans="1:19" ht="15">
      <c r="A10" s="6" t="s">
        <v>12</v>
      </c>
      <c r="B10" s="12">
        <f>'4-Districts Less Charters'!DI187/B16</f>
        <v>4295.040295483589</v>
      </c>
      <c r="C10" s="105" t="s">
        <v>571</v>
      </c>
      <c r="D10" s="12">
        <f>'4-Districts Less Charters'!AY190/D16</f>
        <v>4078.1773235593128</v>
      </c>
      <c r="E10" s="37">
        <f>'5-Charters'!H100/D18</f>
        <v>6025.4517757767107</v>
      </c>
      <c r="F10" s="34"/>
      <c r="G10" s="34"/>
      <c r="H10" s="1"/>
      <c r="I10" s="1"/>
      <c r="J10" s="1"/>
      <c r="K10" s="1"/>
      <c r="L10" s="1"/>
      <c r="R10" s="13">
        <f>SUM(B10:G10)</f>
        <v>14398.669394819612</v>
      </c>
    </row>
    <row r="11" spans="1:19" ht="15">
      <c r="A11" s="6" t="s">
        <v>13</v>
      </c>
      <c r="B11" s="12">
        <f>'4-Districts Less Charters'!DI16/B16</f>
        <v>3922.8877365945059</v>
      </c>
      <c r="C11" s="105" t="s">
        <v>571</v>
      </c>
      <c r="D11" s="12">
        <f>'4-Districts Less Charters'!AY19/D16</f>
        <v>3430.5143285202143</v>
      </c>
      <c r="E11" s="37">
        <f>'5-Charters'!H99/D18</f>
        <v>0</v>
      </c>
      <c r="F11" s="34"/>
      <c r="G11" s="34"/>
      <c r="H11" s="1"/>
      <c r="I11" s="1"/>
      <c r="J11" s="1"/>
      <c r="K11" s="1"/>
      <c r="L11" s="1"/>
      <c r="R11" s="13">
        <f>SUM(B11:G11)</f>
        <v>7353.4020651147202</v>
      </c>
    </row>
    <row r="12" spans="1:19" ht="15">
      <c r="A12" s="6" t="s">
        <v>14</v>
      </c>
      <c r="B12" s="12">
        <f>'4-Districts Less Charters'!DI58/B16</f>
        <v>932.26765669449196</v>
      </c>
      <c r="C12" s="105" t="s">
        <v>571</v>
      </c>
      <c r="D12" s="12">
        <f>'4-Districts Less Charters'!AY61/D16</f>
        <v>1026.9072716571245</v>
      </c>
      <c r="E12" s="37">
        <f>'5-Charters'!H102/D18</f>
        <v>520.43463839510571</v>
      </c>
      <c r="F12" s="34"/>
      <c r="G12" s="34"/>
      <c r="H12" s="1"/>
      <c r="I12" s="1"/>
      <c r="J12" s="1"/>
      <c r="K12" s="1"/>
      <c r="L12" s="1"/>
      <c r="R12" s="13">
        <f>SUM(B12:G12)</f>
        <v>2479.6095667467221</v>
      </c>
    </row>
    <row r="13" spans="1:19" ht="15">
      <c r="A13" s="6" t="s">
        <v>15</v>
      </c>
      <c r="B13" s="12">
        <v>0</v>
      </c>
      <c r="C13" s="105" t="s">
        <v>571</v>
      </c>
      <c r="D13" s="12">
        <f>'4-Districts Less Charters'!AY235/D16</f>
        <v>0</v>
      </c>
      <c r="E13" s="37">
        <v>0</v>
      </c>
      <c r="F13" s="34"/>
      <c r="G13" s="34"/>
      <c r="H13" s="1"/>
      <c r="I13" s="1"/>
      <c r="J13" s="1"/>
      <c r="K13" s="1"/>
      <c r="L13" s="1"/>
      <c r="R13" s="13">
        <f>SUM(B13:G13)</f>
        <v>0</v>
      </c>
    </row>
    <row r="14" spans="1:19" ht="15">
      <c r="A14" s="6" t="s">
        <v>16</v>
      </c>
      <c r="B14" s="12">
        <f>SUM(B9:B13)</f>
        <v>10164.628148391086</v>
      </c>
      <c r="C14" s="105" t="s">
        <v>720</v>
      </c>
      <c r="D14" s="12">
        <f>SUM(D9:D13)</f>
        <v>9331.7804514496693</v>
      </c>
      <c r="E14" s="37">
        <f>SUM(E9:E13)</f>
        <v>7464.5999434896385</v>
      </c>
      <c r="F14" s="34"/>
      <c r="G14" s="34"/>
      <c r="H14" s="1"/>
      <c r="I14" s="1"/>
      <c r="J14" s="1"/>
      <c r="K14" s="1"/>
      <c r="L14" s="1"/>
      <c r="R14" s="13"/>
    </row>
    <row r="15" spans="1:19" ht="12.75">
      <c r="A15" s="4" t="s">
        <v>17</v>
      </c>
      <c r="B15" s="5"/>
      <c r="C15" s="5"/>
      <c r="D15" s="5"/>
      <c r="E15" s="5"/>
      <c r="F15" s="39"/>
      <c r="G15" s="40"/>
      <c r="H15" s="1"/>
      <c r="I15" s="1"/>
      <c r="J15" s="1"/>
      <c r="K15" s="1"/>
      <c r="L15" s="1"/>
    </row>
    <row r="16" spans="1:19" ht="12.75">
      <c r="A16" s="339" t="s">
        <v>5</v>
      </c>
      <c r="B16" s="341">
        <f>'6-Enrollment'!P104</f>
        <v>676773.42999999993</v>
      </c>
      <c r="C16" s="342"/>
      <c r="D16" s="343">
        <f>'6-Enrollment'!R47</f>
        <v>65411.5</v>
      </c>
      <c r="E16" s="344"/>
      <c r="F16" s="345"/>
      <c r="G16" s="346"/>
      <c r="H16" s="1"/>
      <c r="I16" s="1"/>
      <c r="J16" s="1"/>
      <c r="K16" s="1"/>
      <c r="L16" s="1"/>
    </row>
    <row r="17" spans="1:14" ht="12.75">
      <c r="A17" s="340"/>
      <c r="B17" s="334">
        <f>B16/(B16+B18)</f>
        <v>0.992660536033386</v>
      </c>
      <c r="C17" s="335"/>
      <c r="D17" s="347">
        <f>D16/(D16+D18)</f>
        <v>0.98770851292802431</v>
      </c>
      <c r="E17" s="348"/>
      <c r="F17" s="337"/>
      <c r="G17" s="338"/>
      <c r="H17" s="1"/>
      <c r="I17" s="1"/>
      <c r="J17" s="14" t="s">
        <v>5</v>
      </c>
      <c r="K17" s="14" t="s">
        <v>6</v>
      </c>
      <c r="L17" s="14" t="s">
        <v>7</v>
      </c>
    </row>
    <row r="18" spans="1:14" ht="12.75">
      <c r="A18" s="339" t="s">
        <v>6</v>
      </c>
      <c r="B18" s="341">
        <f>'5-Charters'!M34</f>
        <v>5003.8799999999992</v>
      </c>
      <c r="C18" s="342"/>
      <c r="D18" s="343">
        <f>'5-Charters'!B98</f>
        <v>814.01</v>
      </c>
      <c r="E18" s="344"/>
      <c r="F18" s="345"/>
      <c r="G18" s="346"/>
      <c r="H18" s="1"/>
      <c r="I18" s="15" t="s">
        <v>34</v>
      </c>
      <c r="J18" s="16">
        <f>B4</f>
        <v>10164.628148391086</v>
      </c>
      <c r="K18" s="16">
        <f>B5</f>
        <v>8396.0203559671063</v>
      </c>
      <c r="L18" s="16">
        <f>B6</f>
        <v>1768.6077924239798</v>
      </c>
    </row>
    <row r="19" spans="1:14" ht="12.75">
      <c r="A19" s="340"/>
      <c r="B19" s="334">
        <f>B18/(B16+B18)</f>
        <v>7.339463966613966E-3</v>
      </c>
      <c r="C19" s="335"/>
      <c r="D19" s="347">
        <f>D18/(D16+D18)</f>
        <v>1.229148707197574E-2</v>
      </c>
      <c r="E19" s="348"/>
      <c r="F19" s="337"/>
      <c r="G19" s="338"/>
      <c r="H19" s="1"/>
      <c r="I19" s="17" t="s">
        <v>33</v>
      </c>
      <c r="J19" s="18">
        <f>D4</f>
        <v>9331.7804514496693</v>
      </c>
      <c r="K19" s="18">
        <f>D5</f>
        <v>7464.5999434896376</v>
      </c>
      <c r="L19" s="18">
        <f>D6</f>
        <v>1867.1805079600317</v>
      </c>
    </row>
    <row r="20" spans="1:14" ht="12.75">
      <c r="A20" s="6" t="s">
        <v>18</v>
      </c>
      <c r="B20" s="349">
        <f>'5-Charters'!L34</f>
        <v>28</v>
      </c>
      <c r="C20" s="350"/>
      <c r="D20" s="351">
        <v>6</v>
      </c>
      <c r="E20" s="352"/>
      <c r="F20" s="345"/>
      <c r="G20" s="353"/>
      <c r="H20" s="1"/>
      <c r="I20" s="15"/>
      <c r="J20" s="16"/>
      <c r="K20" s="16"/>
      <c r="L20" s="16"/>
    </row>
    <row r="21" spans="1:14" ht="12.75">
      <c r="A21" s="4" t="s">
        <v>19</v>
      </c>
      <c r="B21" s="5"/>
      <c r="C21" s="5"/>
      <c r="D21" s="5"/>
      <c r="E21" s="5"/>
      <c r="F21" s="39"/>
      <c r="G21" s="40"/>
      <c r="H21" s="1"/>
      <c r="I21" s="19"/>
      <c r="J21" s="20"/>
      <c r="K21" s="20"/>
      <c r="L21" s="20"/>
    </row>
    <row r="22" spans="1:14" ht="12.75">
      <c r="A22" s="339" t="s">
        <v>5</v>
      </c>
      <c r="B22" s="327">
        <f>'4-Districts Less Charters'!DI237</f>
        <v>6879150256.6611834</v>
      </c>
      <c r="C22" s="328"/>
      <c r="D22" s="329">
        <f>'4-Districts Less Charters'!AY240</f>
        <v>610405757</v>
      </c>
      <c r="E22" s="330"/>
      <c r="F22" s="331"/>
      <c r="G22" s="332"/>
      <c r="H22" s="1"/>
      <c r="I22" s="1"/>
      <c r="J22" s="1"/>
      <c r="K22" s="1"/>
      <c r="L22" s="1"/>
    </row>
    <row r="23" spans="1:14" ht="12.75">
      <c r="A23" s="340"/>
      <c r="B23" s="334">
        <f>B22/B26</f>
        <v>0.99392982382680795</v>
      </c>
      <c r="C23" s="335"/>
      <c r="D23" s="334">
        <f>D22/D26</f>
        <v>0.99014365570722507</v>
      </c>
      <c r="E23" s="336"/>
      <c r="F23" s="337"/>
      <c r="G23" s="338"/>
      <c r="H23" s="1"/>
      <c r="I23" s="1"/>
      <c r="J23" s="1"/>
      <c r="K23" s="1"/>
      <c r="L23" s="1"/>
    </row>
    <row r="24" spans="1:14" ht="12.75">
      <c r="A24" s="339" t="s">
        <v>6</v>
      </c>
      <c r="B24" s="106" t="s">
        <v>572</v>
      </c>
      <c r="C24" s="107">
        <f>'5-Charters'!Q34</f>
        <v>42012678.33881668</v>
      </c>
      <c r="D24" s="327">
        <f>'5-Charters'!I104</f>
        <v>6076259</v>
      </c>
      <c r="E24" s="333"/>
      <c r="F24" s="331"/>
      <c r="G24" s="332"/>
      <c r="H24" s="1"/>
      <c r="I24" s="1"/>
      <c r="J24" s="1"/>
      <c r="K24" s="1"/>
      <c r="L24" s="1"/>
    </row>
    <row r="25" spans="1:14" ht="12.75">
      <c r="A25" s="340"/>
      <c r="B25" s="334">
        <f>C24/B26</f>
        <v>6.0701761731920103E-3</v>
      </c>
      <c r="C25" s="335"/>
      <c r="D25" s="334">
        <f>D24/D26</f>
        <v>9.8563442927749566E-3</v>
      </c>
      <c r="E25" s="336"/>
      <c r="F25" s="337"/>
      <c r="G25" s="338"/>
      <c r="H25" s="1"/>
      <c r="I25" s="1"/>
      <c r="J25" s="1"/>
      <c r="K25" s="1"/>
      <c r="L25" s="1"/>
    </row>
    <row r="26" spans="1:14" ht="12.75">
      <c r="A26" s="6" t="s">
        <v>16</v>
      </c>
      <c r="B26" s="327">
        <f>C24+B22</f>
        <v>6921162935</v>
      </c>
      <c r="C26" s="328"/>
      <c r="D26" s="327">
        <f>D24+D22</f>
        <v>616482016</v>
      </c>
      <c r="E26" s="333"/>
      <c r="F26" s="331"/>
      <c r="G26" s="332"/>
      <c r="H26" s="1"/>
      <c r="I26" s="1"/>
      <c r="J26" s="1"/>
      <c r="K26" s="1"/>
      <c r="L26" s="1"/>
    </row>
    <row r="27" spans="1:14" ht="38.25">
      <c r="A27" s="21" t="s">
        <v>20</v>
      </c>
      <c r="B27" s="10" t="s">
        <v>9</v>
      </c>
      <c r="C27" s="10" t="s">
        <v>6</v>
      </c>
      <c r="D27" s="10" t="s">
        <v>9</v>
      </c>
      <c r="E27" s="36" t="s">
        <v>6</v>
      </c>
      <c r="F27" s="33"/>
      <c r="G27" s="33"/>
      <c r="H27" s="1"/>
      <c r="I27" s="1" t="s">
        <v>21</v>
      </c>
      <c r="J27" s="1"/>
      <c r="K27" s="1"/>
      <c r="L27" s="1"/>
      <c r="M27" s="1"/>
      <c r="N27" s="1"/>
    </row>
    <row r="28" spans="1:14" ht="12.75">
      <c r="A28" s="6" t="s">
        <v>11</v>
      </c>
      <c r="B28" s="22">
        <f>B9/B$14</f>
        <v>9.9800252877825985E-2</v>
      </c>
      <c r="C28" s="104" t="s">
        <v>571</v>
      </c>
      <c r="D28" s="22">
        <f>D9/D$14</f>
        <v>8.5319359135729772E-2</v>
      </c>
      <c r="E28" s="38">
        <f>E9/E$14</f>
        <v>0.12307605715951211</v>
      </c>
      <c r="F28" s="35"/>
      <c r="G28" s="35"/>
      <c r="H28" s="1"/>
      <c r="I28" s="1"/>
      <c r="J28" s="1"/>
      <c r="K28" s="1"/>
      <c r="L28" s="1"/>
      <c r="M28" s="1"/>
      <c r="N28" s="1"/>
    </row>
    <row r="29" spans="1:14" ht="12.75">
      <c r="A29" s="6" t="s">
        <v>12</v>
      </c>
      <c r="B29" s="22">
        <f t="shared" ref="B29:E32" si="0">B10/B$14</f>
        <v>0.4225477049215452</v>
      </c>
      <c r="C29" s="104" t="s">
        <v>571</v>
      </c>
      <c r="D29" s="22">
        <f t="shared" si="0"/>
        <v>0.43702028190405806</v>
      </c>
      <c r="E29" s="38">
        <f t="shared" si="0"/>
        <v>0.80720357706937773</v>
      </c>
      <c r="F29" s="35"/>
      <c r="G29" s="35"/>
      <c r="H29" s="1"/>
      <c r="I29" s="1"/>
      <c r="J29" s="1"/>
      <c r="K29" s="1"/>
      <c r="L29" s="1"/>
      <c r="M29" s="1"/>
      <c r="N29" s="1"/>
    </row>
    <row r="30" spans="1:14" ht="12.75">
      <c r="A30" s="6" t="s">
        <v>13</v>
      </c>
      <c r="B30" s="22">
        <f t="shared" si="0"/>
        <v>0.38593519402039733</v>
      </c>
      <c r="C30" s="104" t="s">
        <v>571</v>
      </c>
      <c r="D30" s="22">
        <f t="shared" si="0"/>
        <v>0.36761627069647707</v>
      </c>
      <c r="E30" s="38">
        <f t="shared" si="0"/>
        <v>0</v>
      </c>
      <c r="F30" s="35"/>
      <c r="G30" s="35"/>
      <c r="H30" s="1"/>
      <c r="I30" s="1"/>
      <c r="J30" s="1"/>
      <c r="K30" s="1"/>
      <c r="L30" s="1"/>
      <c r="M30" s="1"/>
      <c r="N30" s="1"/>
    </row>
    <row r="31" spans="1:14" ht="12.75">
      <c r="A31" s="6" t="s">
        <v>14</v>
      </c>
      <c r="B31" s="22">
        <f t="shared" si="0"/>
        <v>9.1716848180231417E-2</v>
      </c>
      <c r="C31" s="104" t="s">
        <v>571</v>
      </c>
      <c r="D31" s="22">
        <f t="shared" si="0"/>
        <v>0.11004408826373503</v>
      </c>
      <c r="E31" s="38">
        <f t="shared" si="0"/>
        <v>6.972036577111014E-2</v>
      </c>
      <c r="F31" s="35"/>
      <c r="G31" s="35"/>
      <c r="H31" s="1"/>
      <c r="I31" s="1"/>
      <c r="J31" s="1"/>
      <c r="K31" s="1"/>
      <c r="L31" s="1"/>
      <c r="M31" s="1"/>
      <c r="N31" s="1"/>
    </row>
    <row r="32" spans="1:14" ht="12.75">
      <c r="A32" s="6" t="s">
        <v>15</v>
      </c>
      <c r="B32" s="22">
        <f t="shared" si="0"/>
        <v>0</v>
      </c>
      <c r="C32" s="104" t="s">
        <v>571</v>
      </c>
      <c r="D32" s="22">
        <f t="shared" si="0"/>
        <v>0</v>
      </c>
      <c r="E32" s="38">
        <f t="shared" si="0"/>
        <v>0</v>
      </c>
      <c r="F32" s="35"/>
      <c r="G32" s="35"/>
      <c r="H32" s="1"/>
      <c r="I32" s="1"/>
      <c r="J32" s="1"/>
      <c r="K32" s="1"/>
      <c r="L32" s="1"/>
      <c r="M32" s="1"/>
      <c r="N32" s="1"/>
    </row>
    <row r="33" spans="1:14" ht="12.75">
      <c r="A33" s="23" t="s">
        <v>22</v>
      </c>
      <c r="B33" s="24"/>
      <c r="C33" s="24"/>
      <c r="D33" s="24"/>
      <c r="E33" s="24"/>
      <c r="F33" s="41"/>
      <c r="G33" s="42"/>
      <c r="H33" s="1"/>
      <c r="I33" s="1"/>
      <c r="J33" s="1"/>
      <c r="K33" s="1"/>
      <c r="L33" s="1"/>
      <c r="M33" s="1"/>
      <c r="N33" s="1"/>
    </row>
    <row r="34" spans="1:14" ht="12.75">
      <c r="A34" s="25"/>
      <c r="B34" s="354">
        <f>B6*B16</f>
        <v>1196946762.0035048</v>
      </c>
      <c r="C34" s="355"/>
      <c r="D34" s="354">
        <f>D6*D16</f>
        <v>122135077.79642761</v>
      </c>
      <c r="E34" s="356"/>
      <c r="F34" s="357"/>
      <c r="G34" s="358"/>
      <c r="H34" s="1"/>
      <c r="I34" s="1"/>
      <c r="J34" s="1"/>
      <c r="K34" s="1"/>
      <c r="L34" s="1"/>
      <c r="M34" s="1"/>
      <c r="N34" s="1"/>
    </row>
    <row r="35" spans="1:14" ht="12.75">
      <c r="A35" s="1"/>
      <c r="B35" s="1"/>
      <c r="C35" s="1"/>
      <c r="D35" s="1"/>
      <c r="E35" s="1"/>
      <c r="F35" s="1"/>
      <c r="G35" s="1"/>
      <c r="H35" s="1"/>
      <c r="I35" s="1"/>
      <c r="J35" s="1"/>
      <c r="K35" s="1"/>
      <c r="L35" s="1"/>
      <c r="M35" s="1"/>
      <c r="N35" s="1"/>
    </row>
    <row r="36" spans="1:14" ht="12.75">
      <c r="A36" s="26" t="s">
        <v>10</v>
      </c>
      <c r="B36" s="27">
        <f t="shared" ref="B36:G36" si="1">SUM(B28:B32)</f>
        <v>0.99999999999999989</v>
      </c>
      <c r="C36" s="27">
        <f t="shared" si="1"/>
        <v>0</v>
      </c>
      <c r="D36" s="27">
        <f t="shared" si="1"/>
        <v>0.99999999999999989</v>
      </c>
      <c r="E36" s="27">
        <f t="shared" si="1"/>
        <v>1</v>
      </c>
      <c r="F36" s="27">
        <f t="shared" si="1"/>
        <v>0</v>
      </c>
      <c r="G36" s="27">
        <f t="shared" si="1"/>
        <v>0</v>
      </c>
      <c r="I36" s="1"/>
      <c r="J36" s="1"/>
      <c r="K36" s="1"/>
      <c r="L36" s="1"/>
      <c r="M36" s="1"/>
      <c r="N36" s="1"/>
    </row>
    <row r="37" spans="1:14" ht="12.75">
      <c r="I37" s="1"/>
      <c r="J37" s="1"/>
      <c r="K37" s="1"/>
      <c r="L37" s="1"/>
      <c r="M37" s="1"/>
      <c r="N37" s="1"/>
    </row>
    <row r="38" spans="1:14" ht="12.75">
      <c r="A38" s="208" t="s">
        <v>711</v>
      </c>
      <c r="B38" s="208"/>
      <c r="C38" s="282"/>
      <c r="D38" s="55"/>
      <c r="E38" s="55"/>
      <c r="F38" s="55"/>
      <c r="I38" s="1"/>
      <c r="J38" s="1"/>
      <c r="K38" s="1"/>
      <c r="L38" s="1"/>
      <c r="M38" s="1"/>
      <c r="N38" s="1"/>
    </row>
    <row r="39" spans="1:14" ht="15" customHeight="1">
      <c r="A39" s="284"/>
      <c r="B39" s="284"/>
      <c r="C39" s="284"/>
      <c r="D39" s="284"/>
      <c r="E39" s="284"/>
      <c r="F39" s="283"/>
      <c r="G39" s="28"/>
      <c r="I39" s="1"/>
      <c r="J39" s="1"/>
      <c r="K39" s="1"/>
      <c r="L39" s="1"/>
      <c r="M39" s="1"/>
      <c r="N39" s="1"/>
    </row>
    <row r="40" spans="1:14" ht="12.75">
      <c r="A40" s="284"/>
      <c r="B40" s="285"/>
      <c r="C40" s="285"/>
      <c r="D40" s="285"/>
      <c r="E40" s="285"/>
      <c r="F40" s="55"/>
      <c r="I40" s="1"/>
      <c r="J40" s="1"/>
      <c r="K40" s="1"/>
      <c r="L40" s="1"/>
      <c r="M40" s="1"/>
      <c r="N40" s="1"/>
    </row>
    <row r="41" spans="1:14" ht="12.75">
      <c r="A41" s="285"/>
      <c r="B41" s="285"/>
      <c r="C41" s="285"/>
      <c r="D41" s="285"/>
      <c r="E41" s="285"/>
      <c r="F41" s="55"/>
      <c r="I41" s="1"/>
      <c r="J41" s="1"/>
      <c r="K41" s="1"/>
      <c r="L41" s="1"/>
      <c r="M41" s="1"/>
      <c r="N41" s="1"/>
    </row>
    <row r="42" spans="1:14" ht="12.75">
      <c r="A42" s="285"/>
      <c r="B42" s="285"/>
      <c r="C42" s="285"/>
      <c r="D42" s="285"/>
      <c r="E42" s="285"/>
      <c r="F42" s="55"/>
      <c r="I42" s="1"/>
      <c r="J42" s="1"/>
      <c r="K42" s="1"/>
      <c r="L42" s="1"/>
      <c r="M42" s="1"/>
      <c r="N42" s="1"/>
    </row>
    <row r="43" spans="1:14" ht="12.75">
      <c r="A43" s="285"/>
      <c r="B43" s="285"/>
      <c r="C43" s="285"/>
      <c r="D43" s="285"/>
      <c r="E43" s="285"/>
      <c r="F43" s="55"/>
      <c r="I43" s="1"/>
      <c r="J43" s="1"/>
      <c r="K43" s="1"/>
      <c r="L43" s="1"/>
      <c r="M43" s="1"/>
      <c r="N43" s="1"/>
    </row>
    <row r="44" spans="1:14" ht="12.75">
      <c r="A44" s="286"/>
      <c r="B44" s="286"/>
      <c r="C44" s="286"/>
      <c r="D44" s="286"/>
      <c r="E44" s="286"/>
      <c r="F44" s="55"/>
      <c r="I44" s="1"/>
      <c r="J44" s="1"/>
      <c r="K44" s="1"/>
      <c r="L44" s="1"/>
      <c r="M44" s="1"/>
      <c r="N44" s="1"/>
    </row>
    <row r="45" spans="1:14" ht="12.75">
      <c r="A45" s="286"/>
      <c r="B45" s="286"/>
      <c r="C45" s="286"/>
      <c r="D45" s="286"/>
      <c r="E45" s="286"/>
      <c r="F45" s="55"/>
      <c r="I45" s="1"/>
      <c r="J45" s="1"/>
      <c r="K45" s="1"/>
      <c r="L45" s="1"/>
      <c r="M45" s="1"/>
      <c r="N45" s="1"/>
    </row>
    <row r="46" spans="1:14" ht="12.75">
      <c r="A46" s="286"/>
      <c r="B46" s="286"/>
      <c r="C46" s="286"/>
      <c r="D46" s="286"/>
      <c r="E46" s="286"/>
      <c r="F46" s="282"/>
      <c r="I46" s="1"/>
      <c r="J46" s="1"/>
      <c r="K46" s="1"/>
      <c r="L46" s="1"/>
      <c r="M46" s="1"/>
      <c r="N46" s="1"/>
    </row>
    <row r="47" spans="1:14" ht="12.75">
      <c r="A47" s="286"/>
      <c r="B47" s="286"/>
      <c r="C47" s="286"/>
      <c r="D47" s="286"/>
      <c r="E47" s="286"/>
      <c r="F47" s="282"/>
      <c r="I47" s="1"/>
      <c r="J47" s="1"/>
      <c r="K47" s="1"/>
      <c r="L47" s="1"/>
      <c r="M47" s="1"/>
      <c r="N47" s="1"/>
    </row>
    <row r="48" spans="1:14" ht="12.75">
      <c r="A48" s="55"/>
      <c r="B48" s="55"/>
      <c r="C48" s="55"/>
      <c r="D48" s="55"/>
      <c r="E48" s="55"/>
      <c r="F48" s="55"/>
      <c r="I48" s="1"/>
      <c r="J48" s="1"/>
      <c r="K48" s="1"/>
      <c r="L48" s="1"/>
      <c r="M48" s="1"/>
      <c r="N48" s="1"/>
    </row>
    <row r="49" spans="9:18" ht="12.75">
      <c r="I49" s="1"/>
      <c r="J49" s="1"/>
      <c r="K49" s="1"/>
      <c r="L49" s="1"/>
      <c r="M49" s="1"/>
      <c r="N49" s="1"/>
    </row>
    <row r="50" spans="9:18" ht="12.75">
      <c r="I50" s="1"/>
      <c r="J50" s="1"/>
      <c r="K50" s="1"/>
      <c r="L50" s="1"/>
      <c r="M50" s="1"/>
      <c r="N50" s="1"/>
    </row>
    <row r="51" spans="9:18" ht="12.75">
      <c r="I51" s="1"/>
      <c r="J51" s="1"/>
      <c r="K51" s="1"/>
      <c r="L51" s="1"/>
      <c r="M51" s="1"/>
      <c r="N51" s="1"/>
    </row>
    <row r="52" spans="9:18" ht="12.75">
      <c r="I52" s="1"/>
      <c r="J52" s="1"/>
      <c r="K52" s="1"/>
      <c r="L52" s="1"/>
      <c r="M52" s="1"/>
      <c r="N52" s="1"/>
    </row>
    <row r="53" spans="9:18" ht="12.75">
      <c r="I53" s="1"/>
      <c r="J53" s="1"/>
      <c r="K53" s="1"/>
      <c r="L53" s="1"/>
      <c r="M53" s="1"/>
      <c r="N53" s="1"/>
    </row>
    <row r="54" spans="9:18" ht="12.75">
      <c r="I54" s="1"/>
      <c r="J54" s="1"/>
      <c r="K54" s="1"/>
      <c r="L54" s="1"/>
      <c r="M54" s="1"/>
      <c r="N54" s="1"/>
    </row>
    <row r="55" spans="9:18" ht="12.75">
      <c r="I55" s="1"/>
      <c r="J55" s="1"/>
      <c r="K55" s="1"/>
      <c r="L55" s="1"/>
      <c r="M55" s="1"/>
      <c r="N55" s="1"/>
    </row>
    <row r="56" spans="9:18" ht="12.75">
      <c r="I56" s="1"/>
      <c r="J56" s="29" t="s">
        <v>23</v>
      </c>
      <c r="K56" s="29" t="s">
        <v>12</v>
      </c>
      <c r="L56" s="29" t="s">
        <v>13</v>
      </c>
      <c r="M56" s="29" t="s">
        <v>24</v>
      </c>
      <c r="N56" s="29" t="s">
        <v>15</v>
      </c>
      <c r="R56" s="30" t="s">
        <v>10</v>
      </c>
    </row>
    <row r="57" spans="9:18" ht="15">
      <c r="I57" s="1" t="s">
        <v>25</v>
      </c>
      <c r="J57" s="20">
        <f>B9</f>
        <v>1014.4324596184985</v>
      </c>
      <c r="K57" s="20">
        <f>B10</f>
        <v>4295.040295483589</v>
      </c>
      <c r="L57" s="20">
        <f>B11</f>
        <v>3922.8877365945059</v>
      </c>
      <c r="M57" s="20">
        <f>B12</f>
        <v>932.26765669449196</v>
      </c>
      <c r="N57" s="20">
        <f>B13</f>
        <v>0</v>
      </c>
      <c r="R57" s="13">
        <f>SUM(J57:O57)</f>
        <v>10164.628148391086</v>
      </c>
    </row>
    <row r="58" spans="9:18" ht="15">
      <c r="I58" s="1" t="s">
        <v>26</v>
      </c>
      <c r="J58" s="20" t="str">
        <f>C9</f>
        <v>N/A (1)</v>
      </c>
      <c r="K58" s="20" t="str">
        <f>C10</f>
        <v>N/A (1)</v>
      </c>
      <c r="L58" s="20" t="str">
        <f>C11</f>
        <v>N/A (1)</v>
      </c>
      <c r="M58" s="20" t="str">
        <f>C12</f>
        <v>N/A (1)</v>
      </c>
      <c r="N58" s="20" t="str">
        <f>C13</f>
        <v>N/A (1)</v>
      </c>
      <c r="R58" s="13">
        <f>SUM(J58:O58)</f>
        <v>0</v>
      </c>
    </row>
    <row r="59" spans="9:18" ht="15">
      <c r="I59" s="1" t="s">
        <v>35</v>
      </c>
      <c r="J59" s="20">
        <f>D9</f>
        <v>796.18152771301686</v>
      </c>
      <c r="K59" s="20">
        <f>D10</f>
        <v>4078.1773235593128</v>
      </c>
      <c r="L59" s="20">
        <f>D11</f>
        <v>3430.5143285202143</v>
      </c>
      <c r="M59" s="20">
        <f>D12</f>
        <v>1026.9072716571245</v>
      </c>
      <c r="N59" s="20">
        <f>D13</f>
        <v>0</v>
      </c>
      <c r="R59" s="13">
        <f>SUM(J59:O59)</f>
        <v>9331.7804514496693</v>
      </c>
    </row>
    <row r="60" spans="9:18" ht="15">
      <c r="I60" s="1" t="s">
        <v>36</v>
      </c>
      <c r="J60" s="20">
        <f>E9</f>
        <v>918.71352931782167</v>
      </c>
      <c r="K60" s="20">
        <f>E10</f>
        <v>6025.4517757767107</v>
      </c>
      <c r="L60" s="20">
        <f>E11</f>
        <v>0</v>
      </c>
      <c r="M60" s="20">
        <f>E12</f>
        <v>520.43463839510571</v>
      </c>
      <c r="N60" s="20">
        <f>E13</f>
        <v>0</v>
      </c>
      <c r="R60" s="13">
        <f>SUM(J60:O60)</f>
        <v>7464.5999434896385</v>
      </c>
    </row>
    <row r="61" spans="9:18" ht="15">
      <c r="I61" s="1"/>
      <c r="J61" s="20"/>
      <c r="K61" s="20"/>
      <c r="L61" s="20"/>
      <c r="M61" s="20"/>
      <c r="N61" s="20"/>
      <c r="R61" s="13"/>
    </row>
    <row r="62" spans="9:18" ht="15">
      <c r="I62" s="1"/>
      <c r="J62" s="20"/>
      <c r="K62" s="20"/>
      <c r="L62" s="20"/>
      <c r="M62" s="20"/>
      <c r="N62" s="20"/>
      <c r="R62" s="13"/>
    </row>
    <row r="63" spans="9:18" ht="12.75">
      <c r="I63" s="1"/>
      <c r="J63" s="20"/>
      <c r="K63" s="20"/>
      <c r="L63" s="20"/>
      <c r="M63" s="20"/>
      <c r="N63" s="20"/>
    </row>
    <row r="64" spans="9:18" ht="12.75">
      <c r="I64" s="31" t="s">
        <v>10</v>
      </c>
      <c r="J64" s="32">
        <f>SUM(J57:J63)</f>
        <v>2729.3275166493368</v>
      </c>
      <c r="K64" s="32">
        <f>SUM(K57:K63)</f>
        <v>14398.669394819612</v>
      </c>
      <c r="L64" s="32">
        <f>SUM(L57:L63)</f>
        <v>7353.4020651147202</v>
      </c>
      <c r="M64" s="32">
        <f>SUM(M57:M63)</f>
        <v>2479.6095667467221</v>
      </c>
      <c r="N64" s="32">
        <f>SUM(N57:N62)</f>
        <v>0</v>
      </c>
    </row>
  </sheetData>
  <mergeCells count="51">
    <mergeCell ref="B26:C26"/>
    <mergeCell ref="D26:E26"/>
    <mergeCell ref="F26:G26"/>
    <mergeCell ref="B34:C34"/>
    <mergeCell ref="D34:E34"/>
    <mergeCell ref="F34:G34"/>
    <mergeCell ref="A24:A25"/>
    <mergeCell ref="D24:E24"/>
    <mergeCell ref="F24:G24"/>
    <mergeCell ref="B25:C25"/>
    <mergeCell ref="D25:E25"/>
    <mergeCell ref="F25:G25"/>
    <mergeCell ref="B20:C20"/>
    <mergeCell ref="D20:E20"/>
    <mergeCell ref="F20:G20"/>
    <mergeCell ref="A22:A23"/>
    <mergeCell ref="B22:C22"/>
    <mergeCell ref="D22:E22"/>
    <mergeCell ref="F22:G22"/>
    <mergeCell ref="B23:C23"/>
    <mergeCell ref="D23:E23"/>
    <mergeCell ref="F23:G23"/>
    <mergeCell ref="A18:A19"/>
    <mergeCell ref="B18:C18"/>
    <mergeCell ref="D18:E18"/>
    <mergeCell ref="F18:G18"/>
    <mergeCell ref="B19:C19"/>
    <mergeCell ref="D19:E19"/>
    <mergeCell ref="F19:G19"/>
    <mergeCell ref="B7:C7"/>
    <mergeCell ref="D7:E7"/>
    <mergeCell ref="F7:G7"/>
    <mergeCell ref="A16:A17"/>
    <mergeCell ref="B16:C16"/>
    <mergeCell ref="D16:E16"/>
    <mergeCell ref="F16:G16"/>
    <mergeCell ref="B17:C17"/>
    <mergeCell ref="D17:E17"/>
    <mergeCell ref="F17:G17"/>
    <mergeCell ref="B5:C5"/>
    <mergeCell ref="D5:E5"/>
    <mergeCell ref="F5:G5"/>
    <mergeCell ref="B6:C6"/>
    <mergeCell ref="D6:E6"/>
    <mergeCell ref="F6:G6"/>
    <mergeCell ref="B2:C2"/>
    <mergeCell ref="D2:E2"/>
    <mergeCell ref="F2:G2"/>
    <mergeCell ref="B4:C4"/>
    <mergeCell ref="D4:E4"/>
    <mergeCell ref="F4:G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U69"/>
  <sheetViews>
    <sheetView workbookViewId="0"/>
  </sheetViews>
  <sheetFormatPr defaultRowHeight="12.75"/>
  <cols>
    <col min="1" max="1" width="19.33203125" style="44" customWidth="1"/>
    <col min="2" max="7" width="14.83203125" style="62" customWidth="1"/>
    <col min="8" max="8" width="12.5" style="44" customWidth="1"/>
    <col min="9" max="9" width="12.1640625" style="44" customWidth="1"/>
    <col min="10" max="10" width="9.33203125" style="44"/>
    <col min="11" max="11" width="20.33203125" style="44" customWidth="1"/>
    <col min="12" max="12" width="12.6640625" style="44" customWidth="1"/>
    <col min="13" max="13" width="10.1640625" style="44" customWidth="1"/>
    <col min="14" max="14" width="10.83203125" style="44" customWidth="1"/>
    <col min="15" max="15" width="9.6640625" style="44" bestFit="1" customWidth="1"/>
    <col min="16" max="16" width="9.5" style="44" bestFit="1" customWidth="1"/>
    <col min="17" max="17" width="9.33203125" style="44"/>
    <col min="18" max="18" width="12.33203125" style="44" customWidth="1"/>
    <col min="19" max="19" width="9.33203125" style="44"/>
    <col min="20" max="20" width="16" style="44" customWidth="1"/>
    <col min="21" max="21" width="43.33203125" style="44" customWidth="1"/>
    <col min="22" max="16384" width="9.33203125" style="44"/>
  </cols>
  <sheetData>
    <row r="1" spans="1:21" ht="15">
      <c r="A1" s="1" t="s">
        <v>0</v>
      </c>
      <c r="B1" s="15"/>
      <c r="C1" s="15"/>
      <c r="D1" s="15"/>
      <c r="E1" s="15"/>
      <c r="F1" s="15"/>
      <c r="G1" s="15"/>
      <c r="H1" s="1"/>
      <c r="I1" s="1"/>
      <c r="J1" s="1"/>
      <c r="K1" s="1" t="s">
        <v>1</v>
      </c>
      <c r="L1" s="1"/>
      <c r="M1" s="1"/>
      <c r="N1" s="1"/>
      <c r="U1" s="2" t="s">
        <v>2</v>
      </c>
    </row>
    <row r="2" spans="1:21" ht="25.5">
      <c r="A2" s="3" t="s">
        <v>32</v>
      </c>
      <c r="B2" s="359" t="s">
        <v>3</v>
      </c>
      <c r="C2" s="359"/>
      <c r="D2" s="360" t="s">
        <v>729</v>
      </c>
      <c r="E2" s="361"/>
      <c r="F2" s="362" t="s">
        <v>33</v>
      </c>
      <c r="G2" s="363"/>
      <c r="H2" s="326" t="s">
        <v>27</v>
      </c>
      <c r="I2" s="326"/>
      <c r="J2" s="1"/>
      <c r="K2" s="1"/>
      <c r="L2" s="1"/>
      <c r="M2" s="1"/>
      <c r="N2" s="1"/>
    </row>
    <row r="3" spans="1:21">
      <c r="A3" s="4" t="s">
        <v>4</v>
      </c>
      <c r="B3" s="5"/>
      <c r="C3" s="5"/>
      <c r="D3" s="305"/>
      <c r="E3" s="305"/>
      <c r="F3" s="5"/>
      <c r="G3" s="306"/>
      <c r="H3" s="39"/>
      <c r="I3" s="40"/>
      <c r="J3" s="1"/>
      <c r="K3" s="1"/>
      <c r="L3" s="1"/>
      <c r="M3" s="1"/>
      <c r="N3" s="1"/>
    </row>
    <row r="4" spans="1:21">
      <c r="A4" s="6" t="s">
        <v>5</v>
      </c>
      <c r="B4" s="327">
        <f>B22/B16</f>
        <v>10164.628148391086</v>
      </c>
      <c r="C4" s="328"/>
      <c r="D4" s="364">
        <v>10104</v>
      </c>
      <c r="E4" s="365"/>
      <c r="F4" s="366">
        <f>F22/F16</f>
        <v>9331.7804514496693</v>
      </c>
      <c r="G4" s="367"/>
      <c r="H4" s="331"/>
      <c r="I4" s="332"/>
      <c r="J4" s="1"/>
      <c r="K4" s="1"/>
      <c r="L4" s="1"/>
      <c r="M4" s="1"/>
      <c r="N4" s="1"/>
    </row>
    <row r="5" spans="1:21">
      <c r="A5" s="6" t="s">
        <v>6</v>
      </c>
      <c r="B5" s="327">
        <f>42012678.339/B18</f>
        <v>8396.0203560037426</v>
      </c>
      <c r="C5" s="328"/>
      <c r="D5" s="364">
        <v>8396</v>
      </c>
      <c r="E5" s="365"/>
      <c r="F5" s="366">
        <f>F24/F18</f>
        <v>7464.5999434896376</v>
      </c>
      <c r="G5" s="367"/>
      <c r="H5" s="331"/>
      <c r="I5" s="332"/>
      <c r="J5" s="1"/>
      <c r="K5" s="1"/>
      <c r="L5" s="1"/>
      <c r="M5" s="1"/>
      <c r="N5" s="1"/>
    </row>
    <row r="6" spans="1:21">
      <c r="A6" s="303" t="s">
        <v>7</v>
      </c>
      <c r="B6" s="327">
        <f>B4-B5</f>
        <v>1768.6077923873436</v>
      </c>
      <c r="C6" s="328"/>
      <c r="D6" s="364">
        <v>1708</v>
      </c>
      <c r="E6" s="365"/>
      <c r="F6" s="366">
        <f>F4-F5</f>
        <v>1867.1805079600317</v>
      </c>
      <c r="G6" s="367"/>
      <c r="H6" s="331"/>
      <c r="I6" s="332"/>
      <c r="J6" s="1"/>
      <c r="K6" s="1"/>
      <c r="L6" s="1"/>
      <c r="M6" s="1"/>
      <c r="N6" s="1"/>
    </row>
    <row r="7" spans="1:21">
      <c r="A7" s="304"/>
      <c r="B7" s="334">
        <f>B6/B4</f>
        <v>0.17399631020120385</v>
      </c>
      <c r="C7" s="335"/>
      <c r="D7" s="368">
        <v>0.16900000000000001</v>
      </c>
      <c r="E7" s="369"/>
      <c r="F7" s="334">
        <f>F6/F4</f>
        <v>0.20008834516353949</v>
      </c>
      <c r="G7" s="335"/>
      <c r="H7" s="337"/>
      <c r="I7" s="338"/>
      <c r="J7" s="1"/>
      <c r="K7" s="1"/>
      <c r="L7" s="1"/>
      <c r="M7" s="1"/>
      <c r="N7" s="1"/>
    </row>
    <row r="8" spans="1:21" ht="26.25">
      <c r="A8" s="9" t="s">
        <v>8</v>
      </c>
      <c r="B8" s="10" t="s">
        <v>9</v>
      </c>
      <c r="C8" s="10" t="s">
        <v>6</v>
      </c>
      <c r="D8" s="307" t="s">
        <v>9</v>
      </c>
      <c r="E8" s="307" t="s">
        <v>6</v>
      </c>
      <c r="F8" s="10" t="s">
        <v>9</v>
      </c>
      <c r="G8" s="10" t="s">
        <v>721</v>
      </c>
      <c r="H8" s="33"/>
      <c r="I8" s="33"/>
      <c r="J8" s="1"/>
      <c r="K8" s="1"/>
      <c r="L8" s="1"/>
      <c r="M8" s="1"/>
      <c r="N8" s="1"/>
      <c r="T8" s="11" t="s">
        <v>10</v>
      </c>
    </row>
    <row r="9" spans="1:21" ht="15">
      <c r="A9" s="6" t="s">
        <v>11</v>
      </c>
      <c r="B9" s="12">
        <f>'[2]4-Districts Less Charters'!DI229/B16</f>
        <v>1014.4324596184985</v>
      </c>
      <c r="C9" s="104" t="s">
        <v>730</v>
      </c>
      <c r="D9" s="308">
        <v>998</v>
      </c>
      <c r="E9" s="309" t="str">
        <f t="shared" ref="E9:E14" si="0">C9</f>
        <v>*</v>
      </c>
      <c r="F9" s="12">
        <f>'[2]4-Districts Less Charters'!AY232/F16</f>
        <v>796.18152771301686</v>
      </c>
      <c r="G9" s="12">
        <f>'[2]5-Charters'!H101/F18</f>
        <v>918.71352931782167</v>
      </c>
      <c r="H9" s="34"/>
      <c r="I9" s="34"/>
      <c r="J9" s="1"/>
      <c r="K9" s="1"/>
      <c r="L9" s="1"/>
      <c r="M9" s="1"/>
      <c r="N9" s="1"/>
      <c r="T9" s="13">
        <f>SUM(B9:I9)</f>
        <v>3727.3275166493368</v>
      </c>
    </row>
    <row r="10" spans="1:21" ht="15">
      <c r="A10" s="6" t="s">
        <v>12</v>
      </c>
      <c r="B10" s="12">
        <f>'[2]4-Districts Less Charters'!DI187/B16</f>
        <v>4295.040295483589</v>
      </c>
      <c r="C10" s="104" t="s">
        <v>730</v>
      </c>
      <c r="D10" s="308">
        <v>4279</v>
      </c>
      <c r="E10" s="309" t="str">
        <f t="shared" si="0"/>
        <v>*</v>
      </c>
      <c r="F10" s="12">
        <f>'[2]4-Districts Less Charters'!AY190/F16</f>
        <v>4078.1773235593128</v>
      </c>
      <c r="G10" s="12">
        <f>'[2]5-Charters'!H100/F18</f>
        <v>6025.4517757767107</v>
      </c>
      <c r="H10" s="34"/>
      <c r="I10" s="34"/>
      <c r="J10" s="1"/>
      <c r="K10" s="1"/>
      <c r="L10" s="1"/>
      <c r="M10" s="1"/>
      <c r="N10" s="1"/>
      <c r="T10" s="13">
        <f>SUM(B10:I10)</f>
        <v>18677.669394819612</v>
      </c>
    </row>
    <row r="11" spans="1:21" ht="15">
      <c r="A11" s="6" t="s">
        <v>13</v>
      </c>
      <c r="B11" s="12">
        <f>'[2]4-Districts Less Charters'!DI16/B16</f>
        <v>3922.8877365945059</v>
      </c>
      <c r="C11" s="104" t="s">
        <v>730</v>
      </c>
      <c r="D11" s="308">
        <v>3887</v>
      </c>
      <c r="E11" s="309" t="str">
        <f t="shared" si="0"/>
        <v>*</v>
      </c>
      <c r="F11" s="12">
        <f>'[2]4-Districts Less Charters'!AY19/F16</f>
        <v>3430.5143285202143</v>
      </c>
      <c r="G11" s="12">
        <f>'[2]5-Charters'!H99/F18</f>
        <v>0</v>
      </c>
      <c r="H11" s="34"/>
      <c r="I11" s="34"/>
      <c r="J11" s="1"/>
      <c r="K11" s="1"/>
      <c r="L11" s="1"/>
      <c r="M11" s="1"/>
      <c r="N11" s="1"/>
      <c r="T11" s="13">
        <f>SUM(B11:I11)</f>
        <v>11240.40206511472</v>
      </c>
    </row>
    <row r="12" spans="1:21" ht="15">
      <c r="A12" s="6" t="s">
        <v>14</v>
      </c>
      <c r="B12" s="12">
        <f>'[2]4-Districts Less Charters'!DI58/B16</f>
        <v>932.26765669449196</v>
      </c>
      <c r="C12" s="104" t="s">
        <v>730</v>
      </c>
      <c r="D12" s="308">
        <v>939</v>
      </c>
      <c r="E12" s="309" t="str">
        <f t="shared" si="0"/>
        <v>*</v>
      </c>
      <c r="F12" s="12">
        <f>'[2]4-Districts Less Charters'!AY61/F16</f>
        <v>1026.9072716571245</v>
      </c>
      <c r="G12" s="12">
        <f>'[2]5-Charters'!H102/F18</f>
        <v>520.43463839510571</v>
      </c>
      <c r="H12" s="34"/>
      <c r="I12" s="34"/>
      <c r="J12" s="1"/>
      <c r="K12" s="1"/>
      <c r="L12" s="1"/>
      <c r="M12" s="1"/>
      <c r="N12" s="1"/>
      <c r="T12" s="13">
        <f>SUM(B12:I12)</f>
        <v>3418.6095667467221</v>
      </c>
    </row>
    <row r="13" spans="1:21" ht="15">
      <c r="A13" s="6" t="s">
        <v>15</v>
      </c>
      <c r="B13" s="12">
        <v>0</v>
      </c>
      <c r="C13" s="104" t="s">
        <v>730</v>
      </c>
      <c r="D13" s="308">
        <v>0</v>
      </c>
      <c r="E13" s="309" t="str">
        <f t="shared" si="0"/>
        <v>*</v>
      </c>
      <c r="F13" s="12">
        <f>'[2]4-Districts Less Charters'!AY235/F16</f>
        <v>0</v>
      </c>
      <c r="G13" s="12">
        <v>0</v>
      </c>
      <c r="H13" s="34"/>
      <c r="I13" s="34"/>
      <c r="J13" s="1"/>
      <c r="K13" s="1"/>
      <c r="L13" s="1"/>
      <c r="M13" s="1"/>
      <c r="N13" s="1"/>
      <c r="T13" s="13">
        <f>SUM(B13:I13)</f>
        <v>0</v>
      </c>
    </row>
    <row r="14" spans="1:21" ht="15">
      <c r="A14" s="6" t="s">
        <v>16</v>
      </c>
      <c r="B14" s="12">
        <f>SUM(B9:B13)</f>
        <v>10164.628148391086</v>
      </c>
      <c r="C14" s="310" t="s">
        <v>731</v>
      </c>
      <c r="D14" s="308">
        <f>D4</f>
        <v>10104</v>
      </c>
      <c r="E14" s="309" t="str">
        <f t="shared" si="0"/>
        <v>$8,396**</v>
      </c>
      <c r="F14" s="12">
        <f>SUM(F9:F13)</f>
        <v>9331.7804514496693</v>
      </c>
      <c r="G14" s="12">
        <f>SUM(G9:G13)</f>
        <v>7464.5999434896385</v>
      </c>
      <c r="H14" s="34"/>
      <c r="I14" s="34"/>
      <c r="J14" s="1"/>
      <c r="K14" s="1"/>
      <c r="L14" s="1"/>
      <c r="M14" s="1"/>
      <c r="N14" s="1"/>
      <c r="T14" s="13"/>
    </row>
    <row r="15" spans="1:21">
      <c r="A15" s="4" t="s">
        <v>17</v>
      </c>
      <c r="B15" s="5"/>
      <c r="C15" s="5"/>
      <c r="D15" s="305"/>
      <c r="E15" s="305"/>
      <c r="F15" s="5"/>
      <c r="G15" s="306"/>
      <c r="H15" s="39"/>
      <c r="I15" s="40"/>
      <c r="J15" s="1"/>
      <c r="K15" s="1"/>
      <c r="L15" s="1"/>
      <c r="M15" s="1"/>
      <c r="N15" s="1"/>
    </row>
    <row r="16" spans="1:21">
      <c r="A16" s="339" t="s">
        <v>5</v>
      </c>
      <c r="B16" s="341">
        <f>'[2]6-Enrollment'!P104</f>
        <v>676773.42999999993</v>
      </c>
      <c r="C16" s="342"/>
      <c r="D16" s="370" t="s">
        <v>601</v>
      </c>
      <c r="E16" s="371"/>
      <c r="F16" s="343">
        <f>'[2]6-Enrollment'!R47</f>
        <v>65411.5</v>
      </c>
      <c r="G16" s="372"/>
      <c r="H16" s="345"/>
      <c r="I16" s="346"/>
      <c r="J16" s="1"/>
      <c r="K16" s="1"/>
      <c r="L16" s="1"/>
      <c r="M16" s="1"/>
      <c r="N16" s="1"/>
    </row>
    <row r="17" spans="1:16">
      <c r="A17" s="340"/>
      <c r="B17" s="334">
        <f>B16/(B16+B18)</f>
        <v>0.992660536033386</v>
      </c>
      <c r="C17" s="335"/>
      <c r="D17" s="370" t="s">
        <v>601</v>
      </c>
      <c r="E17" s="371"/>
      <c r="F17" s="347">
        <f>F16/(F16+F18)</f>
        <v>0.98770851292802431</v>
      </c>
      <c r="G17" s="373"/>
      <c r="H17" s="337"/>
      <c r="I17" s="338"/>
      <c r="J17" s="1"/>
      <c r="K17" s="1"/>
      <c r="L17" s="14" t="s">
        <v>5</v>
      </c>
      <c r="M17" s="14" t="s">
        <v>6</v>
      </c>
      <c r="N17" s="14" t="s">
        <v>7</v>
      </c>
    </row>
    <row r="18" spans="1:16">
      <c r="A18" s="339" t="s">
        <v>6</v>
      </c>
      <c r="B18" s="341">
        <f>'[2]5-Charters'!M34</f>
        <v>5003.8799999999992</v>
      </c>
      <c r="C18" s="342"/>
      <c r="D18" s="370" t="s">
        <v>601</v>
      </c>
      <c r="E18" s="371"/>
      <c r="F18" s="343">
        <f>'[2]5-Charters'!B98</f>
        <v>814.01</v>
      </c>
      <c r="G18" s="372"/>
      <c r="H18" s="345"/>
      <c r="I18" s="346"/>
      <c r="J18" s="1"/>
      <c r="K18" s="15" t="s">
        <v>34</v>
      </c>
      <c r="L18" s="16">
        <f>B4</f>
        <v>10164.628148391086</v>
      </c>
      <c r="M18" s="16">
        <f>B5</f>
        <v>8396.0203560037426</v>
      </c>
      <c r="N18" s="16">
        <f>B6</f>
        <v>1768.6077923873436</v>
      </c>
    </row>
    <row r="19" spans="1:16" ht="25.5">
      <c r="A19" s="340"/>
      <c r="B19" s="334">
        <f>B18/(B16+B18)</f>
        <v>7.339463966613966E-3</v>
      </c>
      <c r="C19" s="335"/>
      <c r="D19" s="370" t="s">
        <v>601</v>
      </c>
      <c r="E19" s="371"/>
      <c r="F19" s="347">
        <f>F18/(F16+F18)</f>
        <v>1.229148707197574E-2</v>
      </c>
      <c r="G19" s="373"/>
      <c r="H19" s="337"/>
      <c r="I19" s="338"/>
      <c r="J19" s="1"/>
      <c r="K19" s="311" t="s">
        <v>732</v>
      </c>
      <c r="L19" s="18">
        <f>D4</f>
        <v>10104</v>
      </c>
      <c r="M19" s="18">
        <f>D5</f>
        <v>8396</v>
      </c>
      <c r="N19" s="18">
        <f>D6</f>
        <v>1708</v>
      </c>
    </row>
    <row r="20" spans="1:16">
      <c r="A20" s="6" t="s">
        <v>18</v>
      </c>
      <c r="B20" s="349">
        <f>'[2]5-Charters'!L34</f>
        <v>28</v>
      </c>
      <c r="C20" s="350"/>
      <c r="D20" s="370" t="s">
        <v>601</v>
      </c>
      <c r="E20" s="371"/>
      <c r="F20" s="351">
        <v>6</v>
      </c>
      <c r="G20" s="374"/>
      <c r="H20" s="345"/>
      <c r="I20" s="353"/>
      <c r="J20" s="1"/>
      <c r="K20" s="17" t="s">
        <v>33</v>
      </c>
      <c r="L20" s="18">
        <f>F4</f>
        <v>9331.7804514496693</v>
      </c>
      <c r="M20" s="18">
        <f>F5</f>
        <v>7464.5999434896376</v>
      </c>
      <c r="N20" s="18">
        <f>F6</f>
        <v>1867.1805079600317</v>
      </c>
    </row>
    <row r="21" spans="1:16">
      <c r="A21" s="4" t="s">
        <v>19</v>
      </c>
      <c r="B21" s="5"/>
      <c r="C21" s="5"/>
      <c r="D21" s="305"/>
      <c r="E21" s="305"/>
      <c r="F21" s="5"/>
      <c r="G21" s="306"/>
      <c r="H21" s="39"/>
      <c r="I21" s="40"/>
      <c r="J21" s="1"/>
      <c r="K21" s="19"/>
      <c r="L21" s="20"/>
      <c r="M21" s="20"/>
      <c r="N21" s="20"/>
    </row>
    <row r="22" spans="1:16">
      <c r="A22" s="339" t="s">
        <v>5</v>
      </c>
      <c r="B22" s="327">
        <f>'[2]4-Districts Less Charters'!DI237</f>
        <v>6879150256.6611834</v>
      </c>
      <c r="C22" s="328"/>
      <c r="D22" s="375" t="s">
        <v>601</v>
      </c>
      <c r="E22" s="376"/>
      <c r="F22" s="366">
        <f>'[2]4-Districts Less Charters'!AY240</f>
        <v>610405757</v>
      </c>
      <c r="G22" s="367"/>
      <c r="H22" s="331"/>
      <c r="I22" s="332"/>
      <c r="J22" s="1"/>
      <c r="K22" s="1"/>
      <c r="L22" s="1"/>
      <c r="M22" s="1"/>
      <c r="N22" s="1"/>
    </row>
    <row r="23" spans="1:16">
      <c r="A23" s="340"/>
      <c r="B23" s="334">
        <f>B22/B26</f>
        <v>0.99392982382680795</v>
      </c>
      <c r="C23" s="335"/>
      <c r="D23" s="375" t="s">
        <v>601</v>
      </c>
      <c r="E23" s="376"/>
      <c r="F23" s="347">
        <f>F22/F26</f>
        <v>0.99014365570722507</v>
      </c>
      <c r="G23" s="373"/>
      <c r="H23" s="337"/>
      <c r="I23" s="338"/>
      <c r="J23" s="1"/>
      <c r="K23" s="1"/>
      <c r="L23" s="1"/>
      <c r="M23" s="1"/>
      <c r="N23" s="1"/>
    </row>
    <row r="24" spans="1:16">
      <c r="A24" s="339" t="s">
        <v>6</v>
      </c>
      <c r="B24" s="312" t="s">
        <v>733</v>
      </c>
      <c r="C24" s="313" t="s">
        <v>734</v>
      </c>
      <c r="D24" s="375" t="s">
        <v>601</v>
      </c>
      <c r="E24" s="376"/>
      <c r="F24" s="366">
        <f>'[2]5-Charters'!I104</f>
        <v>6076259</v>
      </c>
      <c r="G24" s="367"/>
      <c r="H24" s="331"/>
      <c r="I24" s="332"/>
      <c r="J24" s="1"/>
      <c r="K24" s="1"/>
      <c r="L24" s="1"/>
      <c r="M24" s="1"/>
      <c r="N24" s="1"/>
    </row>
    <row r="25" spans="1:16">
      <c r="A25" s="340"/>
      <c r="B25" s="334">
        <f>42012678.339/B26</f>
        <v>6.0701761732184969E-3</v>
      </c>
      <c r="C25" s="335"/>
      <c r="D25" s="375" t="s">
        <v>601</v>
      </c>
      <c r="E25" s="376"/>
      <c r="F25" s="347">
        <f>F24/F26</f>
        <v>9.8563442927749566E-3</v>
      </c>
      <c r="G25" s="373"/>
      <c r="H25" s="337"/>
      <c r="I25" s="338"/>
      <c r="J25" s="1"/>
      <c r="K25" s="1"/>
      <c r="L25" s="1"/>
      <c r="M25" s="1"/>
      <c r="N25" s="1"/>
    </row>
    <row r="26" spans="1:16">
      <c r="A26" s="6" t="s">
        <v>16</v>
      </c>
      <c r="B26" s="366">
        <v>6921162935</v>
      </c>
      <c r="C26" s="367"/>
      <c r="D26" s="375" t="s">
        <v>601</v>
      </c>
      <c r="E26" s="376"/>
      <c r="F26" s="366">
        <f>F24+F22</f>
        <v>616482016</v>
      </c>
      <c r="G26" s="367"/>
      <c r="H26" s="331"/>
      <c r="I26" s="332"/>
      <c r="J26" s="1"/>
      <c r="K26" s="1"/>
      <c r="L26" s="1"/>
      <c r="M26" s="1"/>
      <c r="N26" s="1"/>
    </row>
    <row r="27" spans="1:16" ht="38.25">
      <c r="A27" s="21" t="s">
        <v>20</v>
      </c>
      <c r="B27" s="10" t="s">
        <v>9</v>
      </c>
      <c r="C27" s="10" t="s">
        <v>6</v>
      </c>
      <c r="D27" s="307" t="s">
        <v>9</v>
      </c>
      <c r="E27" s="307" t="s">
        <v>6</v>
      </c>
      <c r="F27" s="10" t="s">
        <v>9</v>
      </c>
      <c r="G27" s="10" t="s">
        <v>6</v>
      </c>
      <c r="H27" s="33"/>
      <c r="I27" s="33"/>
      <c r="J27" s="1"/>
      <c r="K27" s="1" t="s">
        <v>21</v>
      </c>
      <c r="L27" s="1"/>
      <c r="M27" s="1"/>
      <c r="N27" s="1"/>
      <c r="O27" s="1"/>
      <c r="P27" s="1"/>
    </row>
    <row r="28" spans="1:16">
      <c r="A28" s="6" t="s">
        <v>11</v>
      </c>
      <c r="B28" s="22">
        <f>B9/B$14</f>
        <v>9.9800252877825985E-2</v>
      </c>
      <c r="C28" s="104" t="s">
        <v>730</v>
      </c>
      <c r="D28" s="314">
        <f>D9/$D$14</f>
        <v>9.8772763262074431E-2</v>
      </c>
      <c r="E28" s="309" t="str">
        <f>C28</f>
        <v>*</v>
      </c>
      <c r="F28" s="22">
        <f>F9/F$14</f>
        <v>8.5319359135729772E-2</v>
      </c>
      <c r="G28" s="22">
        <f>G9/G$14</f>
        <v>0.12307605715951211</v>
      </c>
      <c r="H28" s="35"/>
      <c r="I28" s="35"/>
      <c r="J28" s="1"/>
      <c r="K28" s="1"/>
      <c r="L28" s="1"/>
      <c r="M28" s="1"/>
      <c r="N28" s="1"/>
      <c r="O28" s="1"/>
      <c r="P28" s="1"/>
    </row>
    <row r="29" spans="1:16">
      <c r="A29" s="6" t="s">
        <v>12</v>
      </c>
      <c r="B29" s="22">
        <f t="shared" ref="B29:G32" si="1">B10/B$14</f>
        <v>0.4225477049215452</v>
      </c>
      <c r="C29" s="104" t="s">
        <v>730</v>
      </c>
      <c r="D29" s="314">
        <f>D10/$D$14</f>
        <v>0.42349564528899447</v>
      </c>
      <c r="E29" s="309" t="str">
        <f>C29</f>
        <v>*</v>
      </c>
      <c r="F29" s="22">
        <f t="shared" si="1"/>
        <v>0.43702028190405806</v>
      </c>
      <c r="G29" s="22">
        <f t="shared" si="1"/>
        <v>0.80720357706937773</v>
      </c>
      <c r="H29" s="35"/>
      <c r="I29" s="35"/>
      <c r="J29" s="1"/>
      <c r="K29" s="1"/>
      <c r="L29" s="1"/>
      <c r="M29" s="1"/>
      <c r="N29" s="1"/>
      <c r="O29" s="1"/>
      <c r="P29" s="1"/>
    </row>
    <row r="30" spans="1:16">
      <c r="A30" s="6" t="s">
        <v>13</v>
      </c>
      <c r="B30" s="22">
        <f t="shared" si="1"/>
        <v>0.38593519402039733</v>
      </c>
      <c r="C30" s="104" t="s">
        <v>730</v>
      </c>
      <c r="D30" s="314">
        <f>D11/$D$14</f>
        <v>0.38469912905779891</v>
      </c>
      <c r="E30" s="309" t="str">
        <f>C30</f>
        <v>*</v>
      </c>
      <c r="F30" s="22">
        <f t="shared" si="1"/>
        <v>0.36761627069647707</v>
      </c>
      <c r="G30" s="22">
        <f t="shared" si="1"/>
        <v>0</v>
      </c>
      <c r="H30" s="35"/>
      <c r="I30" s="35"/>
      <c r="J30" s="1"/>
      <c r="K30" s="1"/>
      <c r="L30" s="1"/>
      <c r="M30" s="1"/>
      <c r="N30" s="1"/>
      <c r="O30" s="1"/>
      <c r="P30" s="1"/>
    </row>
    <row r="31" spans="1:16">
      <c r="A31" s="6" t="s">
        <v>14</v>
      </c>
      <c r="B31" s="22">
        <f t="shared" si="1"/>
        <v>9.1716848180231417E-2</v>
      </c>
      <c r="C31" s="104" t="s">
        <v>730</v>
      </c>
      <c r="D31" s="314">
        <f>D12/$D$14</f>
        <v>9.2933491686460812E-2</v>
      </c>
      <c r="E31" s="309" t="str">
        <f>C31</f>
        <v>*</v>
      </c>
      <c r="F31" s="22">
        <f t="shared" si="1"/>
        <v>0.11004408826373503</v>
      </c>
      <c r="G31" s="22">
        <f t="shared" si="1"/>
        <v>6.972036577111014E-2</v>
      </c>
      <c r="H31" s="35"/>
      <c r="I31" s="35"/>
      <c r="J31" s="1"/>
      <c r="K31" s="1"/>
      <c r="L31" s="1"/>
      <c r="M31" s="1"/>
      <c r="N31" s="1"/>
      <c r="O31" s="1"/>
      <c r="P31" s="1"/>
    </row>
    <row r="32" spans="1:16">
      <c r="A32" s="6" t="s">
        <v>15</v>
      </c>
      <c r="B32" s="22">
        <f t="shared" si="1"/>
        <v>0</v>
      </c>
      <c r="C32" s="104" t="s">
        <v>730</v>
      </c>
      <c r="D32" s="314">
        <f>D13/$D$14</f>
        <v>0</v>
      </c>
      <c r="E32" s="309" t="str">
        <f>C32</f>
        <v>*</v>
      </c>
      <c r="F32" s="22">
        <f t="shared" si="1"/>
        <v>0</v>
      </c>
      <c r="G32" s="22">
        <f t="shared" si="1"/>
        <v>0</v>
      </c>
      <c r="H32" s="35"/>
      <c r="I32" s="35"/>
      <c r="J32" s="1"/>
      <c r="K32" s="1"/>
      <c r="L32" s="1"/>
      <c r="M32" s="1"/>
      <c r="N32" s="1"/>
      <c r="O32" s="1"/>
      <c r="P32" s="1"/>
    </row>
    <row r="33" spans="1:16">
      <c r="A33" s="23" t="s">
        <v>22</v>
      </c>
      <c r="B33" s="5"/>
      <c r="C33" s="5"/>
      <c r="D33" s="5"/>
      <c r="E33" s="5"/>
      <c r="F33" s="5"/>
      <c r="G33" s="306"/>
      <c r="H33" s="41"/>
      <c r="I33" s="42"/>
      <c r="J33" s="1"/>
      <c r="K33" s="1"/>
      <c r="L33" s="1"/>
      <c r="M33" s="1"/>
      <c r="N33" s="1"/>
      <c r="O33" s="1"/>
      <c r="P33" s="1"/>
    </row>
    <row r="34" spans="1:16">
      <c r="A34" s="25"/>
      <c r="B34" s="377" t="s">
        <v>735</v>
      </c>
      <c r="C34" s="378"/>
      <c r="D34" s="315"/>
      <c r="E34" s="315"/>
      <c r="F34" s="377" t="s">
        <v>736</v>
      </c>
      <c r="G34" s="378"/>
      <c r="H34" s="357"/>
      <c r="I34" s="358"/>
      <c r="J34" s="1"/>
      <c r="K34" s="1"/>
      <c r="L34" s="1"/>
      <c r="M34" s="1"/>
      <c r="N34" s="1"/>
      <c r="O34" s="1"/>
      <c r="P34" s="1"/>
    </row>
    <row r="35" spans="1:16">
      <c r="A35" s="1"/>
      <c r="B35" s="15"/>
      <c r="C35" s="15"/>
      <c r="D35" s="15"/>
      <c r="E35" s="15"/>
      <c r="F35" s="15"/>
      <c r="G35" s="15"/>
      <c r="H35" s="1"/>
      <c r="I35" s="1"/>
      <c r="J35" s="1"/>
      <c r="K35" s="1"/>
      <c r="L35" s="1"/>
      <c r="M35" s="1"/>
      <c r="N35" s="1"/>
      <c r="O35" s="1"/>
      <c r="P35" s="1"/>
    </row>
    <row r="36" spans="1:16">
      <c r="A36" s="316">
        <v>42012678.33881668</v>
      </c>
      <c r="B36" s="379">
        <f>(B$16*B$5)-B$22</f>
        <v>-1196946761.9787102</v>
      </c>
      <c r="C36" s="380"/>
      <c r="F36" s="379">
        <f>(F$16*F$5)-F$22</f>
        <v>-122135077.79642755</v>
      </c>
      <c r="G36" s="380"/>
      <c r="H36" s="27">
        <f t="shared" ref="H36:I36" si="2">SUM(H28:H32)</f>
        <v>0</v>
      </c>
      <c r="I36" s="27">
        <f t="shared" si="2"/>
        <v>0</v>
      </c>
      <c r="K36" s="1"/>
      <c r="L36" s="1"/>
      <c r="M36" s="1"/>
      <c r="N36" s="1"/>
      <c r="O36" s="1"/>
      <c r="P36" s="1"/>
    </row>
    <row r="37" spans="1:16">
      <c r="A37" s="26" t="s">
        <v>10</v>
      </c>
      <c r="B37" s="27">
        <f>SUM(B28:B32)</f>
        <v>0.99999999999999989</v>
      </c>
      <c r="C37" s="27">
        <f>SUM(C28:C32)</f>
        <v>0</v>
      </c>
      <c r="D37" s="27"/>
      <c r="F37" s="27">
        <f>SUM(F28:F32)</f>
        <v>0.99999999999999989</v>
      </c>
      <c r="G37" s="27">
        <f>SUM(G28:G32)</f>
        <v>1</v>
      </c>
      <c r="K37" s="1"/>
      <c r="L37" s="1"/>
      <c r="M37" s="1"/>
      <c r="N37" s="1"/>
      <c r="O37" s="1"/>
      <c r="P37" s="1"/>
    </row>
    <row r="38" spans="1:16">
      <c r="A38" s="208" t="s">
        <v>711</v>
      </c>
      <c r="B38" s="317"/>
      <c r="C38" s="318"/>
      <c r="D38" s="318"/>
      <c r="E38" s="318"/>
      <c r="F38" s="319"/>
      <c r="G38" s="319"/>
      <c r="H38" s="55"/>
      <c r="K38" s="1"/>
      <c r="L38" s="1"/>
      <c r="M38" s="1"/>
      <c r="N38" s="1"/>
      <c r="O38" s="1"/>
      <c r="P38" s="1"/>
    </row>
    <row r="39" spans="1:16">
      <c r="A39" s="284"/>
      <c r="B39" s="320"/>
      <c r="C39" s="320"/>
      <c r="D39" s="320"/>
      <c r="E39" s="320"/>
      <c r="F39" s="320"/>
      <c r="G39" s="320"/>
      <c r="H39" s="283"/>
      <c r="I39" s="28"/>
      <c r="K39" s="1"/>
      <c r="L39" s="1"/>
      <c r="M39" s="1"/>
      <c r="N39" s="1"/>
      <c r="O39" s="1"/>
      <c r="P39" s="1"/>
    </row>
    <row r="40" spans="1:16">
      <c r="A40" s="284"/>
      <c r="B40" s="321"/>
      <c r="C40" s="321"/>
      <c r="D40" s="321"/>
      <c r="E40" s="321"/>
      <c r="F40" s="321"/>
      <c r="G40" s="321"/>
      <c r="H40" s="55"/>
      <c r="K40" s="1"/>
      <c r="L40" s="1"/>
      <c r="M40" s="1"/>
      <c r="N40" s="1"/>
      <c r="O40" s="1"/>
      <c r="P40" s="1"/>
    </row>
    <row r="41" spans="1:16">
      <c r="A41" s="285"/>
      <c r="B41" s="321"/>
      <c r="C41" s="321"/>
      <c r="D41" s="321"/>
      <c r="E41" s="321"/>
      <c r="F41" s="321"/>
      <c r="G41" s="321"/>
      <c r="H41" s="55"/>
      <c r="K41" s="1"/>
      <c r="L41" s="1"/>
      <c r="M41" s="1"/>
      <c r="N41" s="1"/>
      <c r="O41" s="1"/>
      <c r="P41" s="1"/>
    </row>
    <row r="42" spans="1:16">
      <c r="A42" s="285"/>
      <c r="B42" s="321"/>
      <c r="C42" s="321"/>
      <c r="D42" s="321"/>
      <c r="E42" s="321"/>
      <c r="F42" s="321"/>
      <c r="G42" s="321"/>
      <c r="H42" s="55"/>
      <c r="K42" s="1"/>
      <c r="L42" s="1"/>
      <c r="M42" s="1"/>
      <c r="N42" s="1"/>
      <c r="O42" s="1"/>
      <c r="P42" s="1"/>
    </row>
    <row r="43" spans="1:16">
      <c r="A43" s="285"/>
      <c r="B43" s="321"/>
      <c r="C43" s="321"/>
      <c r="D43" s="321"/>
      <c r="E43" s="321"/>
      <c r="F43" s="321"/>
      <c r="G43" s="321"/>
      <c r="H43" s="55"/>
      <c r="K43" s="1"/>
      <c r="L43" s="1"/>
      <c r="M43" s="1"/>
      <c r="N43" s="1"/>
      <c r="O43" s="1"/>
      <c r="P43" s="1"/>
    </row>
    <row r="44" spans="1:16">
      <c r="A44" s="286"/>
      <c r="B44" s="322"/>
      <c r="C44" s="322"/>
      <c r="D44" s="322"/>
      <c r="E44" s="322"/>
      <c r="F44" s="322"/>
      <c r="G44" s="322"/>
      <c r="H44" s="55"/>
      <c r="K44" s="1"/>
      <c r="L44" s="1"/>
      <c r="M44" s="1"/>
      <c r="N44" s="1"/>
      <c r="O44" s="1"/>
      <c r="P44" s="1"/>
    </row>
    <row r="45" spans="1:16">
      <c r="A45" s="286"/>
      <c r="B45" s="322"/>
      <c r="C45" s="322"/>
      <c r="D45" s="322"/>
      <c r="E45" s="322"/>
      <c r="F45" s="322"/>
      <c r="G45" s="322"/>
      <c r="H45" s="55"/>
      <c r="K45" s="1"/>
      <c r="L45" s="1"/>
      <c r="M45" s="1"/>
      <c r="N45" s="1"/>
      <c r="O45" s="1"/>
      <c r="P45" s="1"/>
    </row>
    <row r="46" spans="1:16">
      <c r="A46" s="286"/>
      <c r="B46" s="322"/>
      <c r="C46" s="322"/>
      <c r="D46" s="322"/>
      <c r="E46" s="322"/>
      <c r="F46" s="322"/>
      <c r="G46" s="322"/>
      <c r="H46" s="282"/>
      <c r="K46" s="1"/>
      <c r="L46" s="1"/>
      <c r="M46" s="1"/>
      <c r="N46" s="1"/>
      <c r="O46" s="1"/>
      <c r="P46" s="1"/>
    </row>
    <row r="47" spans="1:16">
      <c r="A47" s="286"/>
      <c r="B47" s="322"/>
      <c r="C47" s="322"/>
      <c r="D47" s="322"/>
      <c r="E47" s="322"/>
      <c r="F47" s="322"/>
      <c r="G47" s="322"/>
      <c r="H47" s="282"/>
      <c r="K47" s="1"/>
      <c r="L47" s="1"/>
      <c r="M47" s="1"/>
      <c r="N47" s="1"/>
      <c r="O47" s="1"/>
      <c r="P47" s="1"/>
    </row>
    <row r="48" spans="1:16">
      <c r="A48" s="55"/>
      <c r="B48" s="319"/>
      <c r="C48" s="319"/>
      <c r="D48" s="319"/>
      <c r="E48" s="319"/>
      <c r="F48" s="319"/>
      <c r="G48" s="319"/>
      <c r="H48" s="55"/>
      <c r="K48" s="1"/>
      <c r="L48" s="1"/>
      <c r="M48" s="1"/>
      <c r="N48" s="1"/>
      <c r="O48" s="1"/>
      <c r="P48" s="1"/>
    </row>
    <row r="49" spans="11:20">
      <c r="K49" s="1"/>
      <c r="L49" s="1"/>
      <c r="M49" s="1"/>
      <c r="N49" s="1"/>
      <c r="O49" s="1"/>
      <c r="P49" s="1"/>
    </row>
    <row r="50" spans="11:20">
      <c r="K50" s="1"/>
      <c r="L50" s="1"/>
      <c r="M50" s="1"/>
      <c r="N50" s="1"/>
      <c r="O50" s="1"/>
      <c r="P50" s="1"/>
    </row>
    <row r="51" spans="11:20">
      <c r="K51" s="1"/>
      <c r="L51" s="1"/>
      <c r="M51" s="1"/>
      <c r="N51" s="1"/>
      <c r="O51" s="1"/>
      <c r="P51" s="1"/>
    </row>
    <row r="52" spans="11:20">
      <c r="K52" s="1"/>
      <c r="L52" s="1"/>
      <c r="M52" s="1"/>
      <c r="N52" s="1"/>
      <c r="O52" s="1"/>
      <c r="P52" s="1"/>
    </row>
    <row r="53" spans="11:20">
      <c r="K53" s="1"/>
      <c r="L53" s="1"/>
      <c r="M53" s="1"/>
      <c r="N53" s="1"/>
      <c r="O53" s="1"/>
      <c r="P53" s="1"/>
    </row>
    <row r="54" spans="11:20">
      <c r="K54" s="1"/>
      <c r="L54" s="1"/>
      <c r="M54" s="1"/>
      <c r="N54" s="1"/>
      <c r="O54" s="1"/>
      <c r="P54" s="1"/>
    </row>
    <row r="55" spans="11:20">
      <c r="K55" s="1"/>
      <c r="L55" s="1"/>
      <c r="M55" s="1"/>
      <c r="N55" s="1"/>
      <c r="O55" s="1"/>
      <c r="P55" s="1"/>
    </row>
    <row r="60" spans="11:20">
      <c r="K60" s="1"/>
      <c r="L60" s="29" t="s">
        <v>23</v>
      </c>
      <c r="M60" s="29" t="s">
        <v>12</v>
      </c>
      <c r="N60" s="29" t="s">
        <v>13</v>
      </c>
      <c r="O60" s="29" t="s">
        <v>24</v>
      </c>
      <c r="P60" s="29" t="s">
        <v>15</v>
      </c>
      <c r="T60" s="30" t="s">
        <v>10</v>
      </c>
    </row>
    <row r="61" spans="11:20" ht="26.25">
      <c r="K61" s="287" t="s">
        <v>723</v>
      </c>
      <c r="L61" s="20">
        <f>B9</f>
        <v>1014.4324596184985</v>
      </c>
      <c r="M61" s="20">
        <f>B10</f>
        <v>4295.040295483589</v>
      </c>
      <c r="N61" s="20">
        <f>B11</f>
        <v>3922.8877365945059</v>
      </c>
      <c r="O61" s="20">
        <f>B12</f>
        <v>932.26765669449196</v>
      </c>
      <c r="P61" s="20">
        <f>B13</f>
        <v>0</v>
      </c>
      <c r="T61" s="13">
        <f>SUM(L61:Q61)</f>
        <v>10164.628148391086</v>
      </c>
    </row>
    <row r="62" spans="11:20" ht="25.5">
      <c r="K62" s="287" t="s">
        <v>737</v>
      </c>
      <c r="L62" s="18">
        <f>D9</f>
        <v>998</v>
      </c>
      <c r="M62" s="18">
        <f>D10</f>
        <v>4279</v>
      </c>
      <c r="N62" s="18">
        <f>D11</f>
        <v>3887</v>
      </c>
      <c r="O62" s="18">
        <f>D12</f>
        <v>939</v>
      </c>
      <c r="P62" s="18">
        <f>D13</f>
        <v>0</v>
      </c>
      <c r="Q62" s="62"/>
    </row>
    <row r="63" spans="11:20" ht="26.25">
      <c r="K63" s="287" t="s">
        <v>724</v>
      </c>
      <c r="L63" s="20" t="str">
        <f>C9</f>
        <v>*</v>
      </c>
      <c r="M63" s="20" t="str">
        <f>C10</f>
        <v>*</v>
      </c>
      <c r="N63" s="20" t="str">
        <f>C11</f>
        <v>*</v>
      </c>
      <c r="O63" s="20" t="str">
        <f>C12</f>
        <v>*</v>
      </c>
      <c r="P63" s="20" t="str">
        <f>C13</f>
        <v>*</v>
      </c>
      <c r="T63" s="13">
        <f>SUM(L63:Q63)</f>
        <v>0</v>
      </c>
    </row>
    <row r="64" spans="11:20" ht="26.25">
      <c r="K64" s="287" t="s">
        <v>725</v>
      </c>
      <c r="L64" s="20">
        <f>F9</f>
        <v>796.18152771301686</v>
      </c>
      <c r="M64" s="20">
        <f>F10</f>
        <v>4078.1773235593128</v>
      </c>
      <c r="N64" s="20">
        <f>F11</f>
        <v>3430.5143285202143</v>
      </c>
      <c r="O64" s="20">
        <f>F12</f>
        <v>1026.9072716571245</v>
      </c>
      <c r="P64" s="20">
        <f>F13</f>
        <v>0</v>
      </c>
      <c r="T64" s="13">
        <f>SUM(L64:Q64)</f>
        <v>9331.7804514496693</v>
      </c>
    </row>
    <row r="65" spans="11:20" ht="26.25">
      <c r="K65" s="287" t="s">
        <v>726</v>
      </c>
      <c r="L65" s="20">
        <f>G9</f>
        <v>918.71352931782167</v>
      </c>
      <c r="M65" s="20">
        <f>G10</f>
        <v>6025.4517757767107</v>
      </c>
      <c r="N65" s="20">
        <f>G11</f>
        <v>0</v>
      </c>
      <c r="O65" s="20">
        <f>G12</f>
        <v>520.43463839510571</v>
      </c>
      <c r="P65" s="20">
        <f>G13</f>
        <v>0</v>
      </c>
      <c r="T65" s="13">
        <f>SUM(L65:Q65)</f>
        <v>7464.5999434896385</v>
      </c>
    </row>
    <row r="66" spans="11:20" ht="15">
      <c r="K66" s="1"/>
      <c r="L66" s="20"/>
      <c r="M66" s="20"/>
      <c r="N66" s="20"/>
      <c r="O66" s="20"/>
      <c r="P66" s="20"/>
      <c r="T66" s="13"/>
    </row>
    <row r="67" spans="11:20" ht="15">
      <c r="K67" s="1"/>
      <c r="L67" s="20"/>
      <c r="M67" s="20"/>
      <c r="N67" s="20"/>
      <c r="O67" s="20"/>
      <c r="P67" s="20"/>
      <c r="T67" s="13"/>
    </row>
    <row r="68" spans="11:20">
      <c r="K68" s="1"/>
      <c r="L68" s="20"/>
      <c r="M68" s="20"/>
      <c r="N68" s="20"/>
      <c r="O68" s="20"/>
      <c r="P68" s="20"/>
    </row>
    <row r="69" spans="11:20">
      <c r="K69" s="31" t="s">
        <v>10</v>
      </c>
      <c r="L69" s="32">
        <f>SUM(L61:L68)</f>
        <v>3727.3275166493368</v>
      </c>
      <c r="M69" s="32">
        <f>SUM(M61:M68)</f>
        <v>18677.669394819612</v>
      </c>
      <c r="N69" s="32">
        <f>SUM(N61:N68)</f>
        <v>11240.40206511472</v>
      </c>
      <c r="O69" s="32">
        <f>SUM(O61:O68)</f>
        <v>3418.6095667467221</v>
      </c>
      <c r="P69" s="32">
        <f>SUM(P61:P67)</f>
        <v>0</v>
      </c>
    </row>
  </sheetData>
  <mergeCells count="68">
    <mergeCell ref="B36:C36"/>
    <mergeCell ref="F36:G36"/>
    <mergeCell ref="B26:C26"/>
    <mergeCell ref="D26:E26"/>
    <mergeCell ref="F26:G26"/>
    <mergeCell ref="H26:I26"/>
    <mergeCell ref="B34:C34"/>
    <mergeCell ref="F34:G34"/>
    <mergeCell ref="H34:I34"/>
    <mergeCell ref="A24:A25"/>
    <mergeCell ref="D24:E24"/>
    <mergeCell ref="F24:G24"/>
    <mergeCell ref="H24:I24"/>
    <mergeCell ref="B25:C25"/>
    <mergeCell ref="D25:E25"/>
    <mergeCell ref="F25:G25"/>
    <mergeCell ref="H25:I25"/>
    <mergeCell ref="B20:C20"/>
    <mergeCell ref="D20:E20"/>
    <mergeCell ref="F20:G20"/>
    <mergeCell ref="H20:I20"/>
    <mergeCell ref="A22:A23"/>
    <mergeCell ref="B22:C22"/>
    <mergeCell ref="D22:E22"/>
    <mergeCell ref="F22:G22"/>
    <mergeCell ref="H22:I22"/>
    <mergeCell ref="B23:C23"/>
    <mergeCell ref="D23:E23"/>
    <mergeCell ref="F23:G23"/>
    <mergeCell ref="H23:I23"/>
    <mergeCell ref="A18:A19"/>
    <mergeCell ref="B18:C18"/>
    <mergeCell ref="D18:E18"/>
    <mergeCell ref="F18:G18"/>
    <mergeCell ref="H18:I18"/>
    <mergeCell ref="B19:C19"/>
    <mergeCell ref="D19:E19"/>
    <mergeCell ref="F19:G19"/>
    <mergeCell ref="H19:I19"/>
    <mergeCell ref="B7:C7"/>
    <mergeCell ref="D7:E7"/>
    <mergeCell ref="F7:G7"/>
    <mergeCell ref="H7:I7"/>
    <mergeCell ref="A16:A17"/>
    <mergeCell ref="B16:C16"/>
    <mergeCell ref="D16:E16"/>
    <mergeCell ref="F16:G16"/>
    <mergeCell ref="H16:I16"/>
    <mergeCell ref="B17:C17"/>
    <mergeCell ref="D17:E17"/>
    <mergeCell ref="F17:G17"/>
    <mergeCell ref="H17:I17"/>
    <mergeCell ref="B5:C5"/>
    <mergeCell ref="D5:E5"/>
    <mergeCell ref="F5:G5"/>
    <mergeCell ref="H5:I5"/>
    <mergeCell ref="B6:C6"/>
    <mergeCell ref="D6:E6"/>
    <mergeCell ref="F6:G6"/>
    <mergeCell ref="H6:I6"/>
    <mergeCell ref="B2:C2"/>
    <mergeCell ref="D2:E2"/>
    <mergeCell ref="F2:G2"/>
    <mergeCell ref="H2:I2"/>
    <mergeCell ref="B4:C4"/>
    <mergeCell ref="D4:E4"/>
    <mergeCell ref="F4:G4"/>
    <mergeCell ref="H4:I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3:U88"/>
  <sheetViews>
    <sheetView workbookViewId="0"/>
  </sheetViews>
  <sheetFormatPr defaultRowHeight="11.25"/>
  <cols>
    <col min="2" max="2" width="25.5" customWidth="1"/>
    <col min="3" max="3" width="13.1640625" customWidth="1"/>
    <col min="4" max="4" width="15.6640625" customWidth="1"/>
    <col min="5" max="5" width="15.83203125" customWidth="1"/>
    <col min="6" max="6" width="16.5" customWidth="1"/>
    <col min="7" max="7" width="13" customWidth="1"/>
    <col min="8" max="8" width="13.1640625" customWidth="1"/>
    <col min="10" max="10" width="36.6640625" customWidth="1"/>
    <col min="11" max="11" width="8.5" customWidth="1"/>
    <col min="12" max="12" width="8" customWidth="1"/>
    <col min="13" max="13" width="7.6640625" customWidth="1"/>
    <col min="15" max="15" width="26.33203125" customWidth="1"/>
    <col min="16" max="16" width="15.6640625" customWidth="1"/>
    <col min="17" max="17" width="14.83203125" customWidth="1"/>
    <col min="19" max="19" width="5.6640625" customWidth="1"/>
    <col min="20" max="20" width="41.5" customWidth="1"/>
  </cols>
  <sheetData>
    <row r="3" spans="2:10" ht="15.75">
      <c r="B3" s="497" t="s">
        <v>0</v>
      </c>
    </row>
    <row r="4" spans="2:10" s="412" customFormat="1" ht="29.25">
      <c r="B4" s="413" t="s">
        <v>750</v>
      </c>
      <c r="C4" s="414" t="s">
        <v>3</v>
      </c>
      <c r="D4" s="415"/>
      <c r="E4" s="416" t="s">
        <v>729</v>
      </c>
      <c r="F4" s="417"/>
      <c r="G4" s="418" t="s">
        <v>33</v>
      </c>
      <c r="H4" s="419"/>
      <c r="I4" s="420"/>
      <c r="J4" s="420"/>
    </row>
    <row r="5" spans="2:10" s="412" customFormat="1" ht="15">
      <c r="B5" s="421" t="s">
        <v>4</v>
      </c>
      <c r="C5" s="422"/>
      <c r="D5" s="422"/>
      <c r="E5" s="423"/>
      <c r="F5" s="423"/>
      <c r="G5" s="423"/>
      <c r="H5" s="424"/>
      <c r="I5" s="420"/>
      <c r="J5" s="420"/>
    </row>
    <row r="6" spans="2:10" s="412" customFormat="1" ht="15">
      <c r="B6" s="425" t="s">
        <v>5</v>
      </c>
      <c r="C6" s="426">
        <v>10164.628148391086</v>
      </c>
      <c r="D6" s="427"/>
      <c r="E6" s="428">
        <v>10104</v>
      </c>
      <c r="F6" s="429"/>
      <c r="G6" s="426">
        <v>9331.7804514496693</v>
      </c>
      <c r="H6" s="427"/>
      <c r="I6" s="420"/>
      <c r="J6" s="420"/>
    </row>
    <row r="7" spans="2:10" s="412" customFormat="1" ht="15">
      <c r="B7" s="425" t="s">
        <v>6</v>
      </c>
      <c r="C7" s="430" t="s">
        <v>751</v>
      </c>
      <c r="D7" s="431"/>
      <c r="E7" s="432" t="s">
        <v>751</v>
      </c>
      <c r="F7" s="433"/>
      <c r="G7" s="430">
        <v>7464.5999434896376</v>
      </c>
      <c r="H7" s="431"/>
      <c r="I7" s="420"/>
      <c r="J7" s="420"/>
    </row>
    <row r="8" spans="2:10" s="412" customFormat="1" ht="15">
      <c r="B8" s="434" t="s">
        <v>7</v>
      </c>
      <c r="C8" s="435" t="s">
        <v>752</v>
      </c>
      <c r="D8" s="436"/>
      <c r="E8" s="437" t="s">
        <v>753</v>
      </c>
      <c r="F8" s="438"/>
      <c r="G8" s="439">
        <v>-1867.1805079600299</v>
      </c>
      <c r="H8" s="440"/>
      <c r="I8" s="420"/>
      <c r="J8" s="420"/>
    </row>
    <row r="9" spans="2:10" s="412" customFormat="1" ht="15">
      <c r="B9" s="434"/>
      <c r="C9" s="441" t="s">
        <v>754</v>
      </c>
      <c r="D9" s="442"/>
      <c r="E9" s="443" t="s">
        <v>755</v>
      </c>
      <c r="F9" s="444"/>
      <c r="G9" s="441" t="s">
        <v>756</v>
      </c>
      <c r="H9" s="442"/>
      <c r="I9" s="420"/>
      <c r="J9" s="420"/>
    </row>
    <row r="10" spans="2:10" s="412" customFormat="1" ht="30" customHeight="1">
      <c r="B10" s="445" t="s">
        <v>8</v>
      </c>
      <c r="C10" s="446" t="s">
        <v>9</v>
      </c>
      <c r="D10" s="446" t="s">
        <v>6</v>
      </c>
      <c r="E10" s="446" t="s">
        <v>9</v>
      </c>
      <c r="F10" s="446" t="s">
        <v>6</v>
      </c>
      <c r="G10" s="446" t="s">
        <v>9</v>
      </c>
      <c r="H10" s="446" t="s">
        <v>6</v>
      </c>
      <c r="I10" s="420"/>
      <c r="J10" s="420"/>
    </row>
    <row r="11" spans="2:10" s="412" customFormat="1" ht="15">
      <c r="B11" s="447" t="s">
        <v>11</v>
      </c>
      <c r="C11" s="448">
        <v>1014.4324596184985</v>
      </c>
      <c r="D11" s="448" t="s">
        <v>27</v>
      </c>
      <c r="E11" s="449">
        <v>998</v>
      </c>
      <c r="F11" s="450" t="s">
        <v>27</v>
      </c>
      <c r="G11" s="451">
        <v>796.18152771301686</v>
      </c>
      <c r="H11" s="452">
        <v>918.71352931782167</v>
      </c>
      <c r="I11" s="420"/>
      <c r="J11" s="420"/>
    </row>
    <row r="12" spans="2:10" s="412" customFormat="1" ht="15">
      <c r="B12" s="447" t="s">
        <v>12</v>
      </c>
      <c r="C12" s="448">
        <v>4295.040295483589</v>
      </c>
      <c r="D12" s="448" t="s">
        <v>27</v>
      </c>
      <c r="E12" s="449">
        <v>4279</v>
      </c>
      <c r="F12" s="450" t="s">
        <v>27</v>
      </c>
      <c r="G12" s="451">
        <v>4078.1773235593128</v>
      </c>
      <c r="H12" s="452">
        <v>6025.4517757767107</v>
      </c>
      <c r="I12" s="420"/>
      <c r="J12" s="420"/>
    </row>
    <row r="13" spans="2:10" s="412" customFormat="1" ht="15">
      <c r="B13" s="447" t="s">
        <v>13</v>
      </c>
      <c r="C13" s="448">
        <v>3922.8877365945059</v>
      </c>
      <c r="D13" s="448" t="s">
        <v>27</v>
      </c>
      <c r="E13" s="449">
        <v>3887</v>
      </c>
      <c r="F13" s="450" t="s">
        <v>27</v>
      </c>
      <c r="G13" s="451">
        <v>3430.5143285202143</v>
      </c>
      <c r="H13" s="452">
        <v>0</v>
      </c>
      <c r="I13" s="420"/>
      <c r="J13" s="420"/>
    </row>
    <row r="14" spans="2:10" s="412" customFormat="1" ht="15">
      <c r="B14" s="447" t="s">
        <v>14</v>
      </c>
      <c r="C14" s="448">
        <v>932.26765669449196</v>
      </c>
      <c r="D14" s="448" t="s">
        <v>27</v>
      </c>
      <c r="E14" s="449">
        <v>939</v>
      </c>
      <c r="F14" s="450" t="s">
        <v>27</v>
      </c>
      <c r="G14" s="451">
        <v>1026.9072716571245</v>
      </c>
      <c r="H14" s="452">
        <v>520.43463839510571</v>
      </c>
      <c r="I14" s="420"/>
      <c r="J14" s="420"/>
    </row>
    <row r="15" spans="2:10" s="412" customFormat="1" ht="15">
      <c r="B15" s="447" t="s">
        <v>15</v>
      </c>
      <c r="C15" s="448">
        <v>0</v>
      </c>
      <c r="D15" s="448" t="s">
        <v>27</v>
      </c>
      <c r="E15" s="449">
        <v>0</v>
      </c>
      <c r="F15" s="450" t="s">
        <v>27</v>
      </c>
      <c r="G15" s="451">
        <v>0</v>
      </c>
      <c r="H15" s="452">
        <v>0</v>
      </c>
      <c r="I15" s="420"/>
      <c r="J15" s="420"/>
    </row>
    <row r="16" spans="2:10" s="412" customFormat="1" ht="15">
      <c r="B16" s="447" t="s">
        <v>16</v>
      </c>
      <c r="C16" s="448">
        <v>10164.628148391086</v>
      </c>
      <c r="D16" s="453" t="s">
        <v>751</v>
      </c>
      <c r="E16" s="449">
        <v>10104</v>
      </c>
      <c r="F16" s="454" t="s">
        <v>751</v>
      </c>
      <c r="G16" s="451">
        <v>9331.7804514496693</v>
      </c>
      <c r="H16" s="452">
        <v>7464.5999434896385</v>
      </c>
      <c r="I16" s="420"/>
      <c r="J16" s="420"/>
    </row>
    <row r="17" spans="2:10" s="412" customFormat="1" ht="15">
      <c r="B17" s="455" t="s">
        <v>17</v>
      </c>
      <c r="C17" s="456"/>
      <c r="D17" s="456"/>
      <c r="E17" s="456"/>
      <c r="F17" s="456"/>
      <c r="G17" s="456"/>
      <c r="H17" s="457"/>
      <c r="I17" s="420"/>
      <c r="J17" s="420"/>
    </row>
    <row r="18" spans="2:10" s="412" customFormat="1" ht="15">
      <c r="B18" s="458" t="s">
        <v>5</v>
      </c>
      <c r="C18" s="459">
        <v>676773.42999999993</v>
      </c>
      <c r="D18" s="460"/>
      <c r="E18" s="461" t="s">
        <v>27</v>
      </c>
      <c r="F18" s="462"/>
      <c r="G18" s="460">
        <v>65411.5</v>
      </c>
      <c r="H18" s="463"/>
      <c r="I18" s="420"/>
      <c r="J18" s="420"/>
    </row>
    <row r="19" spans="2:10" s="412" customFormat="1" ht="15">
      <c r="B19" s="464"/>
      <c r="C19" s="465">
        <v>0.992660536033386</v>
      </c>
      <c r="D19" s="466"/>
      <c r="E19" s="461" t="s">
        <v>27</v>
      </c>
      <c r="F19" s="462"/>
      <c r="G19" s="466">
        <v>0.98770851292802431</v>
      </c>
      <c r="H19" s="467"/>
      <c r="I19" s="420"/>
      <c r="J19" s="420"/>
    </row>
    <row r="20" spans="2:10" s="412" customFormat="1" ht="15">
      <c r="B20" s="458" t="s">
        <v>6</v>
      </c>
      <c r="C20" s="459">
        <v>5003.8799999999992</v>
      </c>
      <c r="D20" s="460"/>
      <c r="E20" s="461" t="s">
        <v>27</v>
      </c>
      <c r="F20" s="462"/>
      <c r="G20" s="460">
        <v>814.01</v>
      </c>
      <c r="H20" s="463"/>
      <c r="I20" s="420"/>
      <c r="J20" s="420"/>
    </row>
    <row r="21" spans="2:10" s="412" customFormat="1" ht="15">
      <c r="B21" s="464"/>
      <c r="C21" s="465">
        <v>7.339463966613966E-3</v>
      </c>
      <c r="D21" s="466"/>
      <c r="E21" s="461" t="s">
        <v>27</v>
      </c>
      <c r="F21" s="462"/>
      <c r="G21" s="466">
        <v>1.229148707197574E-2</v>
      </c>
      <c r="H21" s="467"/>
      <c r="I21" s="420"/>
      <c r="J21" s="420"/>
    </row>
    <row r="22" spans="2:10" s="412" customFormat="1" ht="15">
      <c r="B22" s="447" t="s">
        <v>18</v>
      </c>
      <c r="C22" s="468">
        <v>28</v>
      </c>
      <c r="D22" s="469"/>
      <c r="E22" s="461" t="s">
        <v>27</v>
      </c>
      <c r="F22" s="462"/>
      <c r="G22" s="470">
        <v>6</v>
      </c>
      <c r="H22" s="471"/>
      <c r="I22" s="420"/>
      <c r="J22" s="420"/>
    </row>
    <row r="23" spans="2:10" s="412" customFormat="1" ht="15">
      <c r="B23" s="455" t="s">
        <v>19</v>
      </c>
      <c r="C23" s="472"/>
      <c r="D23" s="472"/>
      <c r="E23" s="473"/>
      <c r="F23" s="473"/>
      <c r="G23" s="472"/>
      <c r="H23" s="474"/>
      <c r="I23" s="420"/>
      <c r="J23" s="420"/>
    </row>
    <row r="24" spans="2:10" s="412" customFormat="1" ht="15">
      <c r="B24" s="458" t="s">
        <v>5</v>
      </c>
      <c r="C24" s="426">
        <v>6879150256.6611834</v>
      </c>
      <c r="D24" s="475"/>
      <c r="E24" s="476" t="s">
        <v>27</v>
      </c>
      <c r="F24" s="477"/>
      <c r="G24" s="475">
        <v>610405757</v>
      </c>
      <c r="H24" s="427"/>
      <c r="I24" s="420"/>
      <c r="J24" s="420"/>
    </row>
    <row r="25" spans="2:10" s="412" customFormat="1" ht="15">
      <c r="B25" s="464"/>
      <c r="C25" s="465">
        <v>0.99392982382680795</v>
      </c>
      <c r="D25" s="466"/>
      <c r="E25" s="476" t="s">
        <v>27</v>
      </c>
      <c r="F25" s="477"/>
      <c r="G25" s="466">
        <v>0.99014365570722507</v>
      </c>
      <c r="H25" s="467"/>
      <c r="I25" s="420"/>
      <c r="J25" s="420"/>
    </row>
    <row r="26" spans="2:10" s="412" customFormat="1" ht="15">
      <c r="B26" s="458" t="s">
        <v>6</v>
      </c>
      <c r="C26" s="478" t="s">
        <v>757</v>
      </c>
      <c r="D26" s="479"/>
      <c r="E26" s="476" t="s">
        <v>27</v>
      </c>
      <c r="F26" s="477"/>
      <c r="G26" s="475">
        <v>6076259</v>
      </c>
      <c r="H26" s="427"/>
      <c r="I26" s="420"/>
      <c r="J26" s="420"/>
    </row>
    <row r="27" spans="2:10" s="412" customFormat="1" ht="15">
      <c r="B27" s="464"/>
      <c r="C27" s="465">
        <v>6.0701761732184969E-3</v>
      </c>
      <c r="D27" s="466"/>
      <c r="E27" s="476" t="s">
        <v>27</v>
      </c>
      <c r="F27" s="477"/>
      <c r="G27" s="466">
        <v>9.8563442927749566E-3</v>
      </c>
      <c r="H27" s="467"/>
      <c r="I27" s="420"/>
      <c r="J27" s="420"/>
    </row>
    <row r="28" spans="2:10" s="412" customFormat="1" ht="15">
      <c r="B28" s="447" t="s">
        <v>16</v>
      </c>
      <c r="C28" s="430" t="s">
        <v>758</v>
      </c>
      <c r="D28" s="480"/>
      <c r="E28" s="476" t="s">
        <v>27</v>
      </c>
      <c r="F28" s="477"/>
      <c r="G28" s="480">
        <v>616482016</v>
      </c>
      <c r="H28" s="431"/>
      <c r="I28" s="420"/>
      <c r="J28" s="420"/>
    </row>
    <row r="29" spans="2:10" s="412" customFormat="1" ht="30" customHeight="1">
      <c r="B29" s="445" t="s">
        <v>20</v>
      </c>
      <c r="C29" s="446" t="s">
        <v>9</v>
      </c>
      <c r="D29" s="446" t="s">
        <v>6</v>
      </c>
      <c r="E29" s="446" t="s">
        <v>9</v>
      </c>
      <c r="F29" s="446" t="s">
        <v>6</v>
      </c>
      <c r="G29" s="446" t="s">
        <v>9</v>
      </c>
      <c r="H29" s="446" t="s">
        <v>6</v>
      </c>
      <c r="I29" s="420"/>
      <c r="J29" s="420"/>
    </row>
    <row r="30" spans="2:10" s="412" customFormat="1" ht="15">
      <c r="B30" s="447" t="s">
        <v>11</v>
      </c>
      <c r="C30" s="481">
        <v>9.9800252877825985E-2</v>
      </c>
      <c r="D30" s="482" t="s">
        <v>27</v>
      </c>
      <c r="E30" s="483">
        <v>9.8772763262074431E-2</v>
      </c>
      <c r="F30" s="484" t="s">
        <v>27</v>
      </c>
      <c r="G30" s="482">
        <v>8.5319359135729772E-2</v>
      </c>
      <c r="H30" s="481">
        <v>0.12307605715951211</v>
      </c>
      <c r="I30" s="420"/>
      <c r="J30" s="420"/>
    </row>
    <row r="31" spans="2:10" s="412" customFormat="1" ht="15">
      <c r="B31" s="447" t="s">
        <v>12</v>
      </c>
      <c r="C31" s="485">
        <v>0.4225477049215452</v>
      </c>
      <c r="D31" s="482" t="s">
        <v>27</v>
      </c>
      <c r="E31" s="486">
        <v>0.42349564528899447</v>
      </c>
      <c r="F31" s="484" t="s">
        <v>27</v>
      </c>
      <c r="G31" s="482">
        <v>0.43702028190405806</v>
      </c>
      <c r="H31" s="485">
        <v>0.80720357706937773</v>
      </c>
      <c r="I31" s="420"/>
      <c r="J31" s="420"/>
    </row>
    <row r="32" spans="2:10" s="412" customFormat="1" ht="15">
      <c r="B32" s="447" t="s">
        <v>13</v>
      </c>
      <c r="C32" s="485">
        <v>0.38593519402039733</v>
      </c>
      <c r="D32" s="482" t="s">
        <v>27</v>
      </c>
      <c r="E32" s="486">
        <v>0.38469912905779891</v>
      </c>
      <c r="F32" s="484" t="s">
        <v>27</v>
      </c>
      <c r="G32" s="482">
        <v>0.36761627069647707</v>
      </c>
      <c r="H32" s="485">
        <v>0</v>
      </c>
      <c r="I32" s="420"/>
      <c r="J32" s="420"/>
    </row>
    <row r="33" spans="2:13" s="412" customFormat="1" ht="15">
      <c r="B33" s="447" t="s">
        <v>14</v>
      </c>
      <c r="C33" s="485">
        <v>9.1716848180231417E-2</v>
      </c>
      <c r="D33" s="482" t="s">
        <v>27</v>
      </c>
      <c r="E33" s="486">
        <v>9.2933491686460812E-2</v>
      </c>
      <c r="F33" s="484" t="s">
        <v>27</v>
      </c>
      <c r="G33" s="482">
        <v>0.11004408826373503</v>
      </c>
      <c r="H33" s="485">
        <v>6.972036577111014E-2</v>
      </c>
      <c r="I33" s="420"/>
      <c r="J33" s="420"/>
    </row>
    <row r="34" spans="2:13" s="412" customFormat="1" ht="15">
      <c r="B34" s="447" t="s">
        <v>15</v>
      </c>
      <c r="C34" s="487">
        <v>0</v>
      </c>
      <c r="D34" s="482" t="s">
        <v>27</v>
      </c>
      <c r="E34" s="488">
        <v>0</v>
      </c>
      <c r="F34" s="484" t="s">
        <v>27</v>
      </c>
      <c r="G34" s="482">
        <v>0</v>
      </c>
      <c r="H34" s="487">
        <v>0</v>
      </c>
      <c r="I34" s="420"/>
      <c r="J34" s="420"/>
    </row>
    <row r="35" spans="2:13" s="412" customFormat="1" ht="15">
      <c r="B35" s="455" t="s">
        <v>22</v>
      </c>
      <c r="C35" s="472"/>
      <c r="D35" s="472"/>
      <c r="E35" s="489"/>
      <c r="F35" s="474"/>
      <c r="G35" s="472"/>
      <c r="H35" s="474"/>
      <c r="I35" s="420"/>
      <c r="J35" s="420"/>
    </row>
    <row r="36" spans="2:13" s="412" customFormat="1" ht="15">
      <c r="B36" s="490"/>
      <c r="C36" s="491" t="s">
        <v>735</v>
      </c>
      <c r="D36" s="492"/>
      <c r="E36" s="493"/>
      <c r="F36" s="494"/>
      <c r="G36" s="495" t="s">
        <v>736</v>
      </c>
      <c r="H36" s="496"/>
      <c r="I36" s="420"/>
      <c r="J36" s="420"/>
    </row>
    <row r="37" spans="2:13">
      <c r="I37" s="498"/>
    </row>
    <row r="38" spans="2:13">
      <c r="I38" s="498"/>
    </row>
    <row r="39" spans="2:13" ht="15.75">
      <c r="J39" s="497" t="s">
        <v>759</v>
      </c>
    </row>
    <row r="40" spans="2:13" ht="14.25">
      <c r="J40" s="499" t="s">
        <v>760</v>
      </c>
      <c r="K40" s="500" t="s">
        <v>761</v>
      </c>
      <c r="L40" s="500" t="s">
        <v>762</v>
      </c>
      <c r="M40" s="500" t="s">
        <v>763</v>
      </c>
    </row>
    <row r="41" spans="2:13" ht="30">
      <c r="J41" s="501" t="s">
        <v>764</v>
      </c>
      <c r="K41" s="502"/>
      <c r="L41" s="503" t="s">
        <v>765</v>
      </c>
      <c r="M41" s="502"/>
    </row>
    <row r="42" spans="2:13" ht="30">
      <c r="J42" s="501" t="s">
        <v>766</v>
      </c>
      <c r="K42" s="502" t="s">
        <v>767</v>
      </c>
      <c r="L42" s="503"/>
      <c r="M42" s="502"/>
    </row>
    <row r="43" spans="2:13" ht="30">
      <c r="J43" s="501" t="s">
        <v>768</v>
      </c>
      <c r="K43" s="502"/>
      <c r="L43" s="503" t="s">
        <v>407</v>
      </c>
      <c r="M43" s="502"/>
    </row>
    <row r="44" spans="2:13" ht="45">
      <c r="J44" s="501" t="s">
        <v>769</v>
      </c>
      <c r="K44" s="502" t="s">
        <v>407</v>
      </c>
      <c r="L44" s="503"/>
      <c r="M44" s="502"/>
    </row>
    <row r="45" spans="2:13" ht="30">
      <c r="J45" s="501" t="s">
        <v>770</v>
      </c>
      <c r="K45" s="502" t="s">
        <v>407</v>
      </c>
      <c r="L45" s="503"/>
      <c r="M45" s="502"/>
    </row>
    <row r="46" spans="2:13" ht="45">
      <c r="J46" s="501" t="s">
        <v>771</v>
      </c>
      <c r="K46" s="502" t="s">
        <v>772</v>
      </c>
      <c r="L46" s="503"/>
      <c r="M46" s="502"/>
    </row>
    <row r="47" spans="2:13" ht="30">
      <c r="J47" s="501" t="s">
        <v>773</v>
      </c>
      <c r="K47" s="502"/>
      <c r="L47" s="503" t="s">
        <v>407</v>
      </c>
      <c r="M47" s="502"/>
    </row>
    <row r="48" spans="2:13" ht="45">
      <c r="J48" s="501" t="s">
        <v>774</v>
      </c>
      <c r="K48" s="502"/>
      <c r="L48" s="503" t="s">
        <v>407</v>
      </c>
      <c r="M48" s="502"/>
    </row>
    <row r="49" spans="5:17" ht="30">
      <c r="J49" s="501" t="s">
        <v>775</v>
      </c>
      <c r="K49" s="502"/>
      <c r="L49" s="503" t="s">
        <v>407</v>
      </c>
      <c r="M49" s="502"/>
    </row>
    <row r="50" spans="5:17" ht="15">
      <c r="J50" s="501" t="s">
        <v>776</v>
      </c>
      <c r="K50" s="502"/>
      <c r="L50" s="503" t="s">
        <v>407</v>
      </c>
      <c r="M50" s="502"/>
    </row>
    <row r="51" spans="5:17" ht="30">
      <c r="J51" s="501" t="s">
        <v>777</v>
      </c>
      <c r="K51" s="502"/>
      <c r="L51" s="503" t="s">
        <v>407</v>
      </c>
      <c r="M51" s="502"/>
    </row>
    <row r="52" spans="5:17" ht="30">
      <c r="J52" s="501" t="s">
        <v>778</v>
      </c>
      <c r="K52" s="502"/>
      <c r="L52" s="503" t="s">
        <v>407</v>
      </c>
      <c r="M52" s="502"/>
    </row>
    <row r="53" spans="5:17" ht="30">
      <c r="J53" s="501" t="s">
        <v>779</v>
      </c>
      <c r="K53" s="502" t="s">
        <v>780</v>
      </c>
      <c r="L53" s="503"/>
      <c r="M53" s="502"/>
    </row>
    <row r="54" spans="5:17">
      <c r="N54" s="498"/>
    </row>
    <row r="55" spans="5:17">
      <c r="N55" s="498"/>
    </row>
    <row r="56" spans="5:17" ht="81" customHeight="1">
      <c r="E56" s="504">
        <v>3</v>
      </c>
      <c r="F56" s="505" t="s">
        <v>781</v>
      </c>
      <c r="G56" s="505"/>
      <c r="H56" s="505"/>
      <c r="I56" s="505"/>
      <c r="J56" s="505"/>
      <c r="K56" s="505"/>
      <c r="L56" s="505"/>
      <c r="N56" s="498"/>
    </row>
    <row r="57" spans="5:17" ht="36.75" customHeight="1">
      <c r="E57" s="504">
        <v>4</v>
      </c>
      <c r="F57" s="505" t="s">
        <v>782</v>
      </c>
      <c r="G57" s="505"/>
      <c r="H57" s="505"/>
      <c r="I57" s="505"/>
      <c r="J57" s="505"/>
      <c r="K57" s="505"/>
      <c r="L57" s="505"/>
      <c r="N57" s="498"/>
    </row>
    <row r="58" spans="5:17" ht="25.5" customHeight="1">
      <c r="E58" s="504">
        <v>5</v>
      </c>
      <c r="F58" s="505" t="s">
        <v>783</v>
      </c>
      <c r="G58" s="505"/>
      <c r="H58" s="505"/>
      <c r="I58" s="505"/>
      <c r="J58" s="505"/>
      <c r="K58" s="505"/>
      <c r="L58" s="505"/>
      <c r="N58" s="498"/>
    </row>
    <row r="59" spans="5:17" ht="111.75" customHeight="1">
      <c r="E59" s="504">
        <v>6</v>
      </c>
      <c r="F59" s="505" t="s">
        <v>784</v>
      </c>
      <c r="G59" s="505"/>
      <c r="H59" s="505"/>
      <c r="I59" s="505"/>
      <c r="J59" s="505"/>
      <c r="K59" s="505"/>
      <c r="L59" s="505"/>
      <c r="N59" s="498"/>
    </row>
    <row r="60" spans="5:17" ht="15.75">
      <c r="O60" s="497" t="s">
        <v>785</v>
      </c>
    </row>
    <row r="61" spans="5:17" ht="28.5">
      <c r="O61" s="506" t="s">
        <v>750</v>
      </c>
      <c r="P61" s="507" t="s">
        <v>786</v>
      </c>
      <c r="Q61" s="507" t="s">
        <v>787</v>
      </c>
    </row>
    <row r="62" spans="5:17" ht="45">
      <c r="O62" s="508" t="s">
        <v>788</v>
      </c>
      <c r="P62" s="509">
        <v>0.51481288869595898</v>
      </c>
      <c r="Q62" s="509">
        <v>0.30594679186228479</v>
      </c>
    </row>
    <row r="63" spans="5:17" ht="30">
      <c r="O63" s="508" t="s">
        <v>789</v>
      </c>
      <c r="P63" s="509">
        <v>0.42060085836909872</v>
      </c>
      <c r="Q63" s="509">
        <v>0.26666666666666666</v>
      </c>
    </row>
    <row r="64" spans="5:17" ht="30">
      <c r="O64" s="508" t="s">
        <v>790</v>
      </c>
      <c r="P64" s="510"/>
      <c r="Q64" s="511"/>
    </row>
    <row r="65" spans="15:21" ht="15">
      <c r="O65" s="512" t="s">
        <v>791</v>
      </c>
      <c r="P65" s="509">
        <v>0.47810838573252129</v>
      </c>
      <c r="Q65" s="509">
        <v>0.414906103286385</v>
      </c>
    </row>
    <row r="66" spans="15:21" ht="15">
      <c r="O66" s="512" t="s">
        <v>792</v>
      </c>
      <c r="P66" s="509">
        <v>0.22380864375285633</v>
      </c>
      <c r="Q66" s="509">
        <v>6.0054773082942096E-2</v>
      </c>
    </row>
    <row r="67" spans="15:21" ht="15">
      <c r="O67" s="512" t="s">
        <v>793</v>
      </c>
      <c r="P67" s="509">
        <v>0.27996997164784881</v>
      </c>
      <c r="Q67" s="509">
        <v>0.50058685446009388</v>
      </c>
    </row>
    <row r="68" spans="15:21" ht="15">
      <c r="O68" s="513" t="s">
        <v>794</v>
      </c>
      <c r="P68" s="514">
        <v>1.8112998866773544E-2</v>
      </c>
      <c r="Q68" s="514">
        <v>2.4452269170579029E-2</v>
      </c>
    </row>
    <row r="69" spans="15:21">
      <c r="R69" s="498"/>
    </row>
    <row r="70" spans="15:21">
      <c r="R70" s="498"/>
    </row>
    <row r="71" spans="15:21" ht="15.75">
      <c r="S71" s="497" t="s">
        <v>795</v>
      </c>
    </row>
    <row r="72" spans="15:21" ht="14.25">
      <c r="S72" s="515"/>
      <c r="T72" s="516" t="s">
        <v>796</v>
      </c>
      <c r="U72" s="517" t="s">
        <v>797</v>
      </c>
    </row>
    <row r="73" spans="15:21" ht="45" customHeight="1">
      <c r="S73" s="518" t="s">
        <v>798</v>
      </c>
      <c r="T73" s="519" t="s">
        <v>799</v>
      </c>
      <c r="U73" s="520" t="s">
        <v>800</v>
      </c>
    </row>
    <row r="74" spans="15:21" ht="60.75" customHeight="1">
      <c r="S74" s="521"/>
      <c r="T74" s="522" t="s">
        <v>801</v>
      </c>
      <c r="U74" s="523" t="s">
        <v>802</v>
      </c>
    </row>
    <row r="75" spans="15:21" ht="45" customHeight="1">
      <c r="S75" s="524" t="s">
        <v>803</v>
      </c>
      <c r="T75" s="525" t="s">
        <v>804</v>
      </c>
      <c r="U75" s="526" t="s">
        <v>800</v>
      </c>
    </row>
    <row r="76" spans="15:21" ht="40.5">
      <c r="S76" s="527"/>
      <c r="T76" s="525" t="s">
        <v>805</v>
      </c>
      <c r="U76" s="523" t="s">
        <v>802</v>
      </c>
    </row>
    <row r="77" spans="15:21" ht="45" customHeight="1">
      <c r="S77" s="528" t="s">
        <v>806</v>
      </c>
      <c r="T77" s="522" t="s">
        <v>807</v>
      </c>
      <c r="U77" s="526" t="s">
        <v>800</v>
      </c>
    </row>
    <row r="78" spans="15:21" ht="55.5" customHeight="1">
      <c r="S78" s="521"/>
      <c r="T78" s="522" t="s">
        <v>808</v>
      </c>
      <c r="U78" s="523" t="s">
        <v>802</v>
      </c>
    </row>
    <row r="79" spans="15:21" ht="43.5" customHeight="1">
      <c r="S79" s="524" t="s">
        <v>809</v>
      </c>
      <c r="T79" s="525" t="s">
        <v>810</v>
      </c>
      <c r="U79" s="529" t="s">
        <v>811</v>
      </c>
    </row>
    <row r="80" spans="15:21" ht="58.5" customHeight="1">
      <c r="S80" s="527"/>
      <c r="T80" s="525" t="s">
        <v>812</v>
      </c>
      <c r="U80" s="523" t="s">
        <v>802</v>
      </c>
    </row>
    <row r="81" spans="14:21" ht="60" customHeight="1">
      <c r="S81" s="528" t="s">
        <v>813</v>
      </c>
      <c r="T81" s="522" t="s">
        <v>814</v>
      </c>
      <c r="U81" s="526" t="s">
        <v>800</v>
      </c>
    </row>
    <row r="82" spans="14:21" ht="54.75" customHeight="1">
      <c r="S82" s="521"/>
      <c r="T82" s="522" t="s">
        <v>815</v>
      </c>
      <c r="U82" s="529" t="s">
        <v>811</v>
      </c>
    </row>
    <row r="83" spans="14:21" ht="40.5" customHeight="1">
      <c r="S83" s="524" t="s">
        <v>816</v>
      </c>
      <c r="T83" s="525" t="s">
        <v>817</v>
      </c>
      <c r="U83" s="530" t="s">
        <v>811</v>
      </c>
    </row>
    <row r="84" spans="14:21" ht="33" customHeight="1">
      <c r="S84" s="531"/>
      <c r="T84" s="525" t="s">
        <v>818</v>
      </c>
      <c r="U84" s="532" t="s">
        <v>409</v>
      </c>
    </row>
    <row r="85" spans="14:21" ht="27">
      <c r="S85" s="527"/>
      <c r="T85" s="525" t="s">
        <v>819</v>
      </c>
      <c r="U85" s="533" t="s">
        <v>811</v>
      </c>
    </row>
    <row r="88" spans="14:21" ht="84.75" customHeight="1">
      <c r="N88" s="504">
        <v>7</v>
      </c>
      <c r="O88" s="534" t="s">
        <v>820</v>
      </c>
      <c r="P88" s="534"/>
      <c r="Q88" s="534"/>
      <c r="R88" s="534"/>
      <c r="S88" s="534"/>
      <c r="T88" s="534"/>
    </row>
  </sheetData>
  <mergeCells count="65">
    <mergeCell ref="S77:S78"/>
    <mergeCell ref="S79:S80"/>
    <mergeCell ref="S81:S82"/>
    <mergeCell ref="S83:S85"/>
    <mergeCell ref="O88:T88"/>
    <mergeCell ref="F56:L56"/>
    <mergeCell ref="F57:L57"/>
    <mergeCell ref="F58:L58"/>
    <mergeCell ref="F59:L59"/>
    <mergeCell ref="S73:S74"/>
    <mergeCell ref="S75:S76"/>
    <mergeCell ref="C28:D28"/>
    <mergeCell ref="E28:F28"/>
    <mergeCell ref="G28:H28"/>
    <mergeCell ref="C36:D36"/>
    <mergeCell ref="E36:F36"/>
    <mergeCell ref="G36:H36"/>
    <mergeCell ref="B26:B27"/>
    <mergeCell ref="C26:D26"/>
    <mergeCell ref="E26:F26"/>
    <mergeCell ref="G26:H26"/>
    <mergeCell ref="C27:D27"/>
    <mergeCell ref="E27:F27"/>
    <mergeCell ref="G27:H27"/>
    <mergeCell ref="C22:D22"/>
    <mergeCell ref="E22:F22"/>
    <mergeCell ref="G22:H22"/>
    <mergeCell ref="B24:B25"/>
    <mergeCell ref="C24:D24"/>
    <mergeCell ref="E24:F24"/>
    <mergeCell ref="G24:H24"/>
    <mergeCell ref="C25:D25"/>
    <mergeCell ref="E25:F25"/>
    <mergeCell ref="G25:H25"/>
    <mergeCell ref="B20:B21"/>
    <mergeCell ref="C20:D20"/>
    <mergeCell ref="E20:F20"/>
    <mergeCell ref="G20:H20"/>
    <mergeCell ref="C21:D21"/>
    <mergeCell ref="E21:F21"/>
    <mergeCell ref="G21:H21"/>
    <mergeCell ref="B18:B19"/>
    <mergeCell ref="C18:D18"/>
    <mergeCell ref="E18:F18"/>
    <mergeCell ref="G18:H18"/>
    <mergeCell ref="C19:D19"/>
    <mergeCell ref="E19:F19"/>
    <mergeCell ref="G19:H19"/>
    <mergeCell ref="C7:D7"/>
    <mergeCell ref="E7:F7"/>
    <mergeCell ref="G7:H7"/>
    <mergeCell ref="B8:B9"/>
    <mergeCell ref="C8:D8"/>
    <mergeCell ref="E8:F8"/>
    <mergeCell ref="G8:H8"/>
    <mergeCell ref="C9:D9"/>
    <mergeCell ref="E9:F9"/>
    <mergeCell ref="G9:H9"/>
    <mergeCell ref="C4:D4"/>
    <mergeCell ref="E4:F4"/>
    <mergeCell ref="G4:H4"/>
    <mergeCell ref="B5:D5"/>
    <mergeCell ref="C6:D6"/>
    <mergeCell ref="E6:F6"/>
    <mergeCell ref="G6:H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HK302"/>
  <sheetViews>
    <sheetView workbookViewId="0"/>
  </sheetViews>
  <sheetFormatPr defaultRowHeight="11.25"/>
  <cols>
    <col min="2" max="2" width="37.5" customWidth="1"/>
    <col min="10" max="10" width="18.1640625" customWidth="1"/>
    <col min="12" max="12" width="13.83203125" customWidth="1"/>
    <col min="14" max="14" width="16" customWidth="1"/>
    <col min="18" max="18" width="15.5" customWidth="1"/>
    <col min="90" max="90" width="14.83203125" customWidth="1"/>
    <col min="92" max="92" width="13.5" customWidth="1"/>
    <col min="106" max="106" width="18.5" customWidth="1"/>
    <col min="122" max="122" width="13.6640625" customWidth="1"/>
    <col min="130" max="130" width="13.83203125" customWidth="1"/>
    <col min="214" max="214" width="15.33203125" customWidth="1"/>
    <col min="218" max="218" width="15.33203125" customWidth="1"/>
  </cols>
  <sheetData>
    <row r="1" spans="1:219" ht="15.95" customHeight="1">
      <c r="A1" s="151" t="s">
        <v>683</v>
      </c>
      <c r="B1" s="152"/>
      <c r="C1" s="152"/>
      <c r="D1" s="152"/>
      <c r="E1" s="152"/>
      <c r="F1" s="152"/>
      <c r="G1" s="152"/>
      <c r="H1" s="152"/>
      <c r="I1" s="152"/>
      <c r="J1" s="152"/>
      <c r="K1" s="152"/>
      <c r="L1" s="152"/>
      <c r="M1" s="152"/>
      <c r="N1" s="152"/>
    </row>
    <row r="2" spans="1:219" ht="15.95" customHeight="1">
      <c r="A2" s="151" t="s">
        <v>682</v>
      </c>
      <c r="B2" s="152"/>
      <c r="C2" s="152"/>
      <c r="D2" s="152"/>
      <c r="E2" s="152"/>
      <c r="F2" s="152"/>
      <c r="G2" s="152"/>
      <c r="H2" s="152"/>
      <c r="I2" s="152"/>
      <c r="J2" s="152"/>
      <c r="K2" s="152"/>
      <c r="L2" s="152"/>
      <c r="M2" s="152"/>
      <c r="N2" s="152"/>
      <c r="O2" s="208" t="s">
        <v>711</v>
      </c>
      <c r="P2" s="208"/>
      <c r="Q2" s="208"/>
      <c r="R2" s="208"/>
    </row>
    <row r="3" spans="1:219" ht="15.95" customHeight="1">
      <c r="A3" s="153" t="s">
        <v>691</v>
      </c>
      <c r="B3" s="152"/>
      <c r="C3" s="152"/>
      <c r="D3" s="152"/>
      <c r="E3" s="152"/>
      <c r="F3" s="152"/>
      <c r="G3" s="152"/>
      <c r="H3" s="152"/>
      <c r="I3" s="152"/>
      <c r="J3" s="152"/>
      <c r="K3" s="152"/>
      <c r="L3" s="152"/>
      <c r="M3" s="152"/>
      <c r="N3" s="152"/>
    </row>
    <row r="5" spans="1:219">
      <c r="C5" t="s">
        <v>37</v>
      </c>
      <c r="D5" t="s">
        <v>38</v>
      </c>
      <c r="E5" t="s">
        <v>37</v>
      </c>
      <c r="F5" t="s">
        <v>39</v>
      </c>
      <c r="G5" t="s">
        <v>37</v>
      </c>
      <c r="H5" t="s">
        <v>40</v>
      </c>
      <c r="I5" t="s">
        <v>37</v>
      </c>
      <c r="J5" t="s">
        <v>41</v>
      </c>
      <c r="K5" s="48" t="s">
        <v>37</v>
      </c>
      <c r="L5" s="49" t="s">
        <v>303</v>
      </c>
      <c r="M5" s="48" t="s">
        <v>37</v>
      </c>
      <c r="N5" s="49" t="s">
        <v>304</v>
      </c>
      <c r="O5" s="48" t="s">
        <v>37</v>
      </c>
      <c r="P5" s="49" t="s">
        <v>305</v>
      </c>
      <c r="Q5" s="48" t="s">
        <v>37</v>
      </c>
      <c r="R5" s="49" t="s">
        <v>306</v>
      </c>
      <c r="S5" s="48" t="s">
        <v>37</v>
      </c>
      <c r="T5" t="s">
        <v>307</v>
      </c>
      <c r="U5" t="s">
        <v>37</v>
      </c>
      <c r="V5" t="s">
        <v>308</v>
      </c>
      <c r="W5" t="s">
        <v>37</v>
      </c>
      <c r="X5" t="s">
        <v>309</v>
      </c>
      <c r="Y5" t="s">
        <v>37</v>
      </c>
      <c r="Z5" t="s">
        <v>310</v>
      </c>
      <c r="AA5" t="s">
        <v>37</v>
      </c>
      <c r="AB5" t="s">
        <v>311</v>
      </c>
      <c r="AC5" t="s">
        <v>37</v>
      </c>
      <c r="AD5" t="s">
        <v>312</v>
      </c>
      <c r="AE5" t="s">
        <v>37</v>
      </c>
      <c r="AF5" t="s">
        <v>313</v>
      </c>
      <c r="AG5" t="s">
        <v>37</v>
      </c>
      <c r="AH5" t="s">
        <v>314</v>
      </c>
      <c r="AI5" t="s">
        <v>37</v>
      </c>
      <c r="AJ5" t="s">
        <v>315</v>
      </c>
      <c r="AK5" t="s">
        <v>37</v>
      </c>
      <c r="AL5" t="s">
        <v>316</v>
      </c>
      <c r="AM5" t="s">
        <v>37</v>
      </c>
      <c r="AN5" t="s">
        <v>317</v>
      </c>
      <c r="AO5" t="s">
        <v>37</v>
      </c>
      <c r="AP5" t="s">
        <v>318</v>
      </c>
      <c r="AQ5" t="s">
        <v>37</v>
      </c>
      <c r="AR5" t="s">
        <v>319</v>
      </c>
      <c r="AS5" t="s">
        <v>37</v>
      </c>
      <c r="AT5" t="s">
        <v>320</v>
      </c>
      <c r="AU5" t="s">
        <v>37</v>
      </c>
      <c r="AV5" t="s">
        <v>321</v>
      </c>
      <c r="AW5" t="s">
        <v>37</v>
      </c>
      <c r="AX5" t="s">
        <v>322</v>
      </c>
      <c r="AY5" t="s">
        <v>37</v>
      </c>
      <c r="AZ5" t="s">
        <v>323</v>
      </c>
      <c r="BA5" t="s">
        <v>37</v>
      </c>
      <c r="BB5" t="s">
        <v>324</v>
      </c>
      <c r="BC5" t="s">
        <v>37</v>
      </c>
      <c r="BD5" t="s">
        <v>325</v>
      </c>
      <c r="BE5" t="s">
        <v>37</v>
      </c>
      <c r="BF5" t="s">
        <v>326</v>
      </c>
      <c r="BG5" t="s">
        <v>37</v>
      </c>
      <c r="BH5" t="s">
        <v>327</v>
      </c>
      <c r="BI5" t="s">
        <v>37</v>
      </c>
      <c r="BJ5" t="s">
        <v>328</v>
      </c>
      <c r="BK5" t="s">
        <v>37</v>
      </c>
      <c r="BL5" t="s">
        <v>329</v>
      </c>
      <c r="BM5" t="s">
        <v>37</v>
      </c>
      <c r="BN5" t="s">
        <v>330</v>
      </c>
      <c r="BO5" t="s">
        <v>37</v>
      </c>
      <c r="BP5" t="s">
        <v>331</v>
      </c>
      <c r="BQ5" t="s">
        <v>37</v>
      </c>
      <c r="BR5" t="s">
        <v>332</v>
      </c>
      <c r="BS5" t="s">
        <v>37</v>
      </c>
      <c r="BT5" t="s">
        <v>333</v>
      </c>
      <c r="BU5" t="s">
        <v>37</v>
      </c>
      <c r="BV5" t="s">
        <v>334</v>
      </c>
      <c r="BW5" t="s">
        <v>37</v>
      </c>
      <c r="BX5" t="s">
        <v>335</v>
      </c>
      <c r="BY5" t="s">
        <v>37</v>
      </c>
      <c r="BZ5" t="s">
        <v>336</v>
      </c>
      <c r="CA5" t="s">
        <v>37</v>
      </c>
      <c r="CB5" t="s">
        <v>337</v>
      </c>
      <c r="CC5" t="s">
        <v>37</v>
      </c>
      <c r="CD5" t="s">
        <v>338</v>
      </c>
      <c r="CE5" t="s">
        <v>37</v>
      </c>
      <c r="CF5" t="s">
        <v>339</v>
      </c>
      <c r="CG5" t="s">
        <v>37</v>
      </c>
      <c r="CH5" t="s">
        <v>340</v>
      </c>
      <c r="CI5" t="s">
        <v>37</v>
      </c>
      <c r="CJ5" t="s">
        <v>341</v>
      </c>
      <c r="CK5" t="s">
        <v>37</v>
      </c>
      <c r="CL5" t="s">
        <v>342</v>
      </c>
      <c r="CM5" t="s">
        <v>37</v>
      </c>
      <c r="CN5" t="s">
        <v>343</v>
      </c>
      <c r="CO5" t="s">
        <v>37</v>
      </c>
      <c r="CP5" t="s">
        <v>344</v>
      </c>
      <c r="CQ5" t="s">
        <v>37</v>
      </c>
      <c r="CR5" t="s">
        <v>345</v>
      </c>
      <c r="CS5" t="s">
        <v>37</v>
      </c>
      <c r="CT5" t="s">
        <v>346</v>
      </c>
      <c r="CU5" t="s">
        <v>37</v>
      </c>
      <c r="CV5" t="s">
        <v>347</v>
      </c>
      <c r="CW5" t="s">
        <v>37</v>
      </c>
      <c r="CX5" t="s">
        <v>348</v>
      </c>
      <c r="CY5" t="s">
        <v>37</v>
      </c>
      <c r="CZ5" t="s">
        <v>349</v>
      </c>
      <c r="DA5" t="s">
        <v>37</v>
      </c>
      <c r="DB5" t="s">
        <v>350</v>
      </c>
      <c r="DC5" t="s">
        <v>37</v>
      </c>
      <c r="DD5" t="s">
        <v>351</v>
      </c>
      <c r="DE5" t="s">
        <v>37</v>
      </c>
      <c r="DF5" t="s">
        <v>352</v>
      </c>
      <c r="DG5" t="s">
        <v>37</v>
      </c>
      <c r="DH5" t="s">
        <v>353</v>
      </c>
      <c r="DI5" t="s">
        <v>37</v>
      </c>
      <c r="DJ5" t="s">
        <v>354</v>
      </c>
      <c r="DK5" t="s">
        <v>37</v>
      </c>
      <c r="DL5" t="s">
        <v>355</v>
      </c>
      <c r="DM5" t="s">
        <v>37</v>
      </c>
      <c r="DN5" t="s">
        <v>356</v>
      </c>
      <c r="DO5" t="s">
        <v>37</v>
      </c>
      <c r="DP5" t="s">
        <v>357</v>
      </c>
      <c r="DQ5" t="s">
        <v>37</v>
      </c>
      <c r="DR5" t="s">
        <v>358</v>
      </c>
      <c r="DS5" t="s">
        <v>37</v>
      </c>
      <c r="DT5" t="s">
        <v>359</v>
      </c>
      <c r="DU5" t="s">
        <v>37</v>
      </c>
      <c r="DV5" t="s">
        <v>360</v>
      </c>
      <c r="DW5" t="s">
        <v>37</v>
      </c>
      <c r="DX5" t="s">
        <v>361</v>
      </c>
      <c r="DY5" t="s">
        <v>37</v>
      </c>
      <c r="DZ5" t="s">
        <v>362</v>
      </c>
      <c r="EA5" t="s">
        <v>37</v>
      </c>
      <c r="EB5" t="s">
        <v>363</v>
      </c>
      <c r="EC5" t="s">
        <v>37</v>
      </c>
      <c r="ED5" t="s">
        <v>364</v>
      </c>
      <c r="EE5" t="s">
        <v>37</v>
      </c>
      <c r="EF5" t="s">
        <v>365</v>
      </c>
      <c r="EG5" t="s">
        <v>37</v>
      </c>
      <c r="EH5" t="s">
        <v>366</v>
      </c>
      <c r="EI5" t="s">
        <v>37</v>
      </c>
      <c r="EJ5" t="s">
        <v>367</v>
      </c>
      <c r="EK5" t="s">
        <v>37</v>
      </c>
      <c r="EL5" t="s">
        <v>368</v>
      </c>
      <c r="EM5" t="s">
        <v>37</v>
      </c>
      <c r="EN5" t="s">
        <v>369</v>
      </c>
      <c r="EO5" t="s">
        <v>37</v>
      </c>
      <c r="EP5" t="s">
        <v>370</v>
      </c>
      <c r="EQ5" t="s">
        <v>37</v>
      </c>
      <c r="ER5" t="s">
        <v>371</v>
      </c>
      <c r="ES5" t="s">
        <v>37</v>
      </c>
      <c r="ET5" t="s">
        <v>372</v>
      </c>
      <c r="EU5" t="s">
        <v>37</v>
      </c>
      <c r="EV5" t="s">
        <v>373</v>
      </c>
      <c r="EW5" t="s">
        <v>37</v>
      </c>
      <c r="EX5" t="s">
        <v>374</v>
      </c>
      <c r="EY5" t="s">
        <v>37</v>
      </c>
      <c r="EZ5" t="s">
        <v>375</v>
      </c>
      <c r="FA5" t="s">
        <v>37</v>
      </c>
      <c r="FB5" t="s">
        <v>376</v>
      </c>
      <c r="FC5" t="s">
        <v>37</v>
      </c>
      <c r="FD5" t="s">
        <v>377</v>
      </c>
      <c r="FE5" t="s">
        <v>37</v>
      </c>
      <c r="FF5" t="s">
        <v>378</v>
      </c>
      <c r="FG5" t="s">
        <v>37</v>
      </c>
      <c r="FH5" t="s">
        <v>379</v>
      </c>
      <c r="FI5" t="s">
        <v>37</v>
      </c>
      <c r="FJ5" t="s">
        <v>380</v>
      </c>
      <c r="FK5" t="s">
        <v>37</v>
      </c>
      <c r="FL5" t="s">
        <v>381</v>
      </c>
      <c r="FM5" t="s">
        <v>37</v>
      </c>
      <c r="FN5" t="s">
        <v>382</v>
      </c>
      <c r="FO5" t="s">
        <v>37</v>
      </c>
      <c r="FP5" t="s">
        <v>383</v>
      </c>
      <c r="FQ5" t="s">
        <v>37</v>
      </c>
      <c r="FR5" t="s">
        <v>384</v>
      </c>
      <c r="FS5" t="s">
        <v>37</v>
      </c>
      <c r="FT5" t="s">
        <v>385</v>
      </c>
      <c r="FU5" t="s">
        <v>37</v>
      </c>
      <c r="FV5" t="s">
        <v>386</v>
      </c>
      <c r="FW5" t="s">
        <v>37</v>
      </c>
      <c r="FX5" t="s">
        <v>387</v>
      </c>
      <c r="FY5" t="s">
        <v>37</v>
      </c>
      <c r="FZ5" t="s">
        <v>388</v>
      </c>
      <c r="GA5" t="s">
        <v>37</v>
      </c>
      <c r="GB5" t="s">
        <v>389</v>
      </c>
      <c r="GC5" t="s">
        <v>37</v>
      </c>
      <c r="GD5" t="s">
        <v>390</v>
      </c>
      <c r="GE5" t="s">
        <v>37</v>
      </c>
      <c r="GF5" t="s">
        <v>391</v>
      </c>
      <c r="GG5" t="s">
        <v>37</v>
      </c>
      <c r="GH5" t="s">
        <v>392</v>
      </c>
      <c r="GI5" t="s">
        <v>37</v>
      </c>
      <c r="GJ5" t="s">
        <v>393</v>
      </c>
      <c r="GK5" t="s">
        <v>37</v>
      </c>
      <c r="GL5" t="s">
        <v>394</v>
      </c>
      <c r="GM5" t="s">
        <v>37</v>
      </c>
      <c r="GN5" t="s">
        <v>395</v>
      </c>
      <c r="GO5" t="s">
        <v>37</v>
      </c>
      <c r="GP5" t="s">
        <v>396</v>
      </c>
      <c r="GQ5" t="s">
        <v>37</v>
      </c>
      <c r="GR5" t="s">
        <v>397</v>
      </c>
      <c r="GS5" t="s">
        <v>37</v>
      </c>
      <c r="GT5" t="s">
        <v>398</v>
      </c>
      <c r="GU5" t="s">
        <v>37</v>
      </c>
      <c r="GV5" t="s">
        <v>399</v>
      </c>
      <c r="GW5" t="s">
        <v>37</v>
      </c>
      <c r="GX5" t="s">
        <v>400</v>
      </c>
      <c r="GY5" t="s">
        <v>37</v>
      </c>
      <c r="GZ5" t="s">
        <v>401</v>
      </c>
      <c r="HA5" t="s">
        <v>37</v>
      </c>
      <c r="HB5" t="s">
        <v>29</v>
      </c>
      <c r="HC5" t="s">
        <v>37</v>
      </c>
      <c r="HD5" t="s">
        <v>402</v>
      </c>
      <c r="HE5" t="s">
        <v>37</v>
      </c>
      <c r="HF5" t="s">
        <v>403</v>
      </c>
      <c r="HG5" t="s">
        <v>37</v>
      </c>
      <c r="HH5" t="s">
        <v>404</v>
      </c>
      <c r="HI5" t="s">
        <v>37</v>
      </c>
      <c r="HJ5" t="s">
        <v>405</v>
      </c>
      <c r="HK5" t="s">
        <v>37</v>
      </c>
    </row>
    <row r="6" spans="1:219">
      <c r="C6" t="s">
        <v>37</v>
      </c>
      <c r="E6" t="s">
        <v>37</v>
      </c>
      <c r="G6" t="s">
        <v>37</v>
      </c>
      <c r="I6" t="s">
        <v>37</v>
      </c>
      <c r="K6" s="48" t="s">
        <v>37</v>
      </c>
      <c r="L6" s="50"/>
      <c r="M6" s="48" t="s">
        <v>37</v>
      </c>
      <c r="N6" s="50"/>
      <c r="O6" s="48" t="s">
        <v>37</v>
      </c>
      <c r="P6" s="50"/>
      <c r="Q6" s="48" t="s">
        <v>37</v>
      </c>
      <c r="R6" s="50"/>
      <c r="S6" s="48" t="s">
        <v>37</v>
      </c>
      <c r="U6" t="s">
        <v>37</v>
      </c>
      <c r="W6" t="s">
        <v>37</v>
      </c>
      <c r="Y6" t="s">
        <v>37</v>
      </c>
      <c r="AA6" t="s">
        <v>37</v>
      </c>
      <c r="AC6" t="s">
        <v>37</v>
      </c>
      <c r="AE6" t="s">
        <v>37</v>
      </c>
      <c r="AG6" t="s">
        <v>37</v>
      </c>
      <c r="AI6" t="s">
        <v>37</v>
      </c>
      <c r="AK6" t="s">
        <v>37</v>
      </c>
      <c r="AM6" t="s">
        <v>37</v>
      </c>
      <c r="AO6" t="s">
        <v>37</v>
      </c>
      <c r="AQ6" t="s">
        <v>37</v>
      </c>
      <c r="AS6" t="s">
        <v>37</v>
      </c>
      <c r="AU6" t="s">
        <v>37</v>
      </c>
      <c r="AW6" t="s">
        <v>37</v>
      </c>
      <c r="AY6" t="s">
        <v>37</v>
      </c>
      <c r="BA6" t="s">
        <v>37</v>
      </c>
      <c r="BC6" t="s">
        <v>37</v>
      </c>
      <c r="BE6" t="s">
        <v>37</v>
      </c>
      <c r="BG6" t="s">
        <v>37</v>
      </c>
      <c r="BI6" t="s">
        <v>37</v>
      </c>
      <c r="BK6" t="s">
        <v>37</v>
      </c>
      <c r="BM6" t="s">
        <v>37</v>
      </c>
      <c r="BO6" t="s">
        <v>37</v>
      </c>
      <c r="BQ6" t="s">
        <v>37</v>
      </c>
      <c r="BS6" t="s">
        <v>37</v>
      </c>
      <c r="BU6" t="s">
        <v>37</v>
      </c>
      <c r="BW6" t="s">
        <v>37</v>
      </c>
      <c r="BY6" t="s">
        <v>37</v>
      </c>
      <c r="CA6" t="s">
        <v>37</v>
      </c>
      <c r="CC6" t="s">
        <v>37</v>
      </c>
      <c r="CE6" t="s">
        <v>37</v>
      </c>
      <c r="CG6" t="s">
        <v>37</v>
      </c>
      <c r="CI6" t="s">
        <v>37</v>
      </c>
      <c r="CK6" t="s">
        <v>37</v>
      </c>
      <c r="CM6" t="s">
        <v>37</v>
      </c>
      <c r="CO6" t="s">
        <v>37</v>
      </c>
      <c r="CQ6" t="s">
        <v>37</v>
      </c>
      <c r="CS6" t="s">
        <v>37</v>
      </c>
      <c r="CU6" t="s">
        <v>37</v>
      </c>
      <c r="CW6" t="s">
        <v>37</v>
      </c>
      <c r="CY6" t="s">
        <v>37</v>
      </c>
      <c r="DA6" t="s">
        <v>37</v>
      </c>
      <c r="DC6" t="s">
        <v>37</v>
      </c>
      <c r="DE6" t="s">
        <v>37</v>
      </c>
      <c r="DG6" t="s">
        <v>37</v>
      </c>
      <c r="DI6" t="s">
        <v>37</v>
      </c>
      <c r="DK6" t="s">
        <v>37</v>
      </c>
      <c r="DM6" t="s">
        <v>37</v>
      </c>
      <c r="DO6" t="s">
        <v>37</v>
      </c>
      <c r="DQ6" t="s">
        <v>37</v>
      </c>
      <c r="DS6" t="s">
        <v>37</v>
      </c>
      <c r="DU6" t="s">
        <v>37</v>
      </c>
      <c r="DW6" t="s">
        <v>37</v>
      </c>
      <c r="DY6" t="s">
        <v>37</v>
      </c>
      <c r="EA6" t="s">
        <v>37</v>
      </c>
      <c r="EC6" t="s">
        <v>37</v>
      </c>
      <c r="EE6" t="s">
        <v>37</v>
      </c>
      <c r="EG6" t="s">
        <v>37</v>
      </c>
      <c r="EI6" t="s">
        <v>37</v>
      </c>
      <c r="EK6" t="s">
        <v>37</v>
      </c>
      <c r="EM6" t="s">
        <v>37</v>
      </c>
      <c r="EO6" t="s">
        <v>37</v>
      </c>
      <c r="EQ6" t="s">
        <v>37</v>
      </c>
      <c r="ES6" t="s">
        <v>37</v>
      </c>
      <c r="EU6" t="s">
        <v>37</v>
      </c>
      <c r="EW6" t="s">
        <v>37</v>
      </c>
      <c r="EY6" t="s">
        <v>37</v>
      </c>
      <c r="FA6" t="s">
        <v>37</v>
      </c>
      <c r="FC6" t="s">
        <v>37</v>
      </c>
      <c r="FE6" t="s">
        <v>37</v>
      </c>
      <c r="FG6" t="s">
        <v>37</v>
      </c>
      <c r="FI6" t="s">
        <v>37</v>
      </c>
      <c r="FK6" t="s">
        <v>37</v>
      </c>
      <c r="FM6" t="s">
        <v>37</v>
      </c>
      <c r="FO6" t="s">
        <v>37</v>
      </c>
      <c r="FQ6" t="s">
        <v>37</v>
      </c>
      <c r="FS6" t="s">
        <v>37</v>
      </c>
      <c r="FU6" t="s">
        <v>37</v>
      </c>
      <c r="FW6" t="s">
        <v>37</v>
      </c>
      <c r="FY6" t="s">
        <v>37</v>
      </c>
      <c r="GA6" t="s">
        <v>37</v>
      </c>
      <c r="GC6" t="s">
        <v>37</v>
      </c>
      <c r="GE6" t="s">
        <v>37</v>
      </c>
      <c r="GG6" t="s">
        <v>37</v>
      </c>
      <c r="GI6" t="s">
        <v>37</v>
      </c>
      <c r="GK6" t="s">
        <v>37</v>
      </c>
      <c r="GM6" t="s">
        <v>37</v>
      </c>
      <c r="GO6" t="s">
        <v>37</v>
      </c>
      <c r="GQ6" t="s">
        <v>37</v>
      </c>
      <c r="GS6" t="s">
        <v>37</v>
      </c>
      <c r="GU6" t="s">
        <v>37</v>
      </c>
      <c r="GW6" t="s">
        <v>37</v>
      </c>
      <c r="GY6" t="s">
        <v>37</v>
      </c>
      <c r="HA6" t="s">
        <v>37</v>
      </c>
      <c r="HC6" t="s">
        <v>37</v>
      </c>
      <c r="HE6" t="s">
        <v>37</v>
      </c>
      <c r="HG6" t="s">
        <v>37</v>
      </c>
      <c r="HI6" t="s">
        <v>37</v>
      </c>
      <c r="HK6" t="s">
        <v>37</v>
      </c>
    </row>
    <row r="7" spans="1:219">
      <c r="A7">
        <v>1000</v>
      </c>
      <c r="B7" t="s">
        <v>42</v>
      </c>
      <c r="C7" t="s">
        <v>37</v>
      </c>
      <c r="E7" t="s">
        <v>37</v>
      </c>
      <c r="G7" t="s">
        <v>37</v>
      </c>
      <c r="I7" t="s">
        <v>37</v>
      </c>
      <c r="K7" s="48" t="s">
        <v>37</v>
      </c>
      <c r="L7" s="50"/>
      <c r="M7" s="48" t="s">
        <v>37</v>
      </c>
      <c r="N7" s="50"/>
      <c r="O7" s="48" t="s">
        <v>37</v>
      </c>
      <c r="P7" s="50"/>
      <c r="Q7" s="48" t="s">
        <v>37</v>
      </c>
      <c r="R7" s="50"/>
      <c r="S7" s="48" t="s">
        <v>37</v>
      </c>
      <c r="U7" t="s">
        <v>37</v>
      </c>
      <c r="W7" t="s">
        <v>37</v>
      </c>
      <c r="Y7" t="s">
        <v>37</v>
      </c>
      <c r="AA7" t="s">
        <v>37</v>
      </c>
      <c r="AC7" t="s">
        <v>37</v>
      </c>
      <c r="AE7" t="s">
        <v>37</v>
      </c>
      <c r="AG7" t="s">
        <v>37</v>
      </c>
      <c r="AI7" t="s">
        <v>37</v>
      </c>
      <c r="AK7" t="s">
        <v>37</v>
      </c>
      <c r="AM7" t="s">
        <v>37</v>
      </c>
      <c r="AO7" t="s">
        <v>37</v>
      </c>
      <c r="AQ7" t="s">
        <v>37</v>
      </c>
      <c r="AS7" t="s">
        <v>37</v>
      </c>
      <c r="AU7" t="s">
        <v>37</v>
      </c>
      <c r="AW7" t="s">
        <v>37</v>
      </c>
      <c r="AY7" t="s">
        <v>37</v>
      </c>
      <c r="BA7" t="s">
        <v>37</v>
      </c>
      <c r="BC7" t="s">
        <v>37</v>
      </c>
      <c r="BE7" t="s">
        <v>37</v>
      </c>
      <c r="BG7" t="s">
        <v>37</v>
      </c>
      <c r="BI7" t="s">
        <v>37</v>
      </c>
      <c r="BK7" t="s">
        <v>37</v>
      </c>
      <c r="BM7" t="s">
        <v>37</v>
      </c>
      <c r="BO7" t="s">
        <v>37</v>
      </c>
      <c r="BQ7" t="s">
        <v>37</v>
      </c>
      <c r="BS7" t="s">
        <v>37</v>
      </c>
      <c r="BU7" t="s">
        <v>37</v>
      </c>
      <c r="BW7" t="s">
        <v>37</v>
      </c>
      <c r="BY7" t="s">
        <v>37</v>
      </c>
      <c r="CA7" t="s">
        <v>37</v>
      </c>
      <c r="CC7" t="s">
        <v>37</v>
      </c>
      <c r="CE7" t="s">
        <v>37</v>
      </c>
      <c r="CG7" t="s">
        <v>37</v>
      </c>
      <c r="CI7" t="s">
        <v>37</v>
      </c>
      <c r="CK7" t="s">
        <v>37</v>
      </c>
      <c r="CM7" t="s">
        <v>37</v>
      </c>
      <c r="CO7" t="s">
        <v>37</v>
      </c>
      <c r="CQ7" t="s">
        <v>37</v>
      </c>
      <c r="CS7" t="s">
        <v>37</v>
      </c>
      <c r="CU7" t="s">
        <v>37</v>
      </c>
      <c r="CW7" t="s">
        <v>37</v>
      </c>
      <c r="CY7" t="s">
        <v>37</v>
      </c>
      <c r="DA7" t="s">
        <v>37</v>
      </c>
      <c r="DC7" t="s">
        <v>37</v>
      </c>
      <c r="DE7" t="s">
        <v>37</v>
      </c>
      <c r="DG7" t="s">
        <v>37</v>
      </c>
      <c r="DI7" t="s">
        <v>37</v>
      </c>
      <c r="DK7" t="s">
        <v>37</v>
      </c>
      <c r="DM7" t="s">
        <v>37</v>
      </c>
      <c r="DO7" t="s">
        <v>37</v>
      </c>
      <c r="DQ7" t="s">
        <v>37</v>
      </c>
      <c r="DS7" t="s">
        <v>37</v>
      </c>
      <c r="DU7" t="s">
        <v>37</v>
      </c>
      <c r="DW7" t="s">
        <v>37</v>
      </c>
      <c r="DY7" t="s">
        <v>37</v>
      </c>
      <c r="EA7" t="s">
        <v>37</v>
      </c>
      <c r="EC7" t="s">
        <v>37</v>
      </c>
      <c r="EE7" t="s">
        <v>37</v>
      </c>
      <c r="EG7" t="s">
        <v>37</v>
      </c>
      <c r="EI7" t="s">
        <v>37</v>
      </c>
      <c r="EK7" t="s">
        <v>37</v>
      </c>
      <c r="EM7" t="s">
        <v>37</v>
      </c>
      <c r="EO7" t="s">
        <v>37</v>
      </c>
      <c r="EQ7" t="s">
        <v>37</v>
      </c>
      <c r="ES7" t="s">
        <v>37</v>
      </c>
      <c r="EU7" t="s">
        <v>37</v>
      </c>
      <c r="EW7" t="s">
        <v>37</v>
      </c>
      <c r="EY7" t="s">
        <v>37</v>
      </c>
      <c r="FA7" t="s">
        <v>37</v>
      </c>
      <c r="FC7" t="s">
        <v>37</v>
      </c>
      <c r="FE7" t="s">
        <v>37</v>
      </c>
      <c r="FG7" t="s">
        <v>37</v>
      </c>
      <c r="FI7" t="s">
        <v>37</v>
      </c>
      <c r="FK7" t="s">
        <v>37</v>
      </c>
      <c r="FM7" t="s">
        <v>37</v>
      </c>
      <c r="FO7" t="s">
        <v>37</v>
      </c>
      <c r="FQ7" t="s">
        <v>37</v>
      </c>
      <c r="FS7" t="s">
        <v>37</v>
      </c>
      <c r="FU7" t="s">
        <v>37</v>
      </c>
      <c r="FW7" t="s">
        <v>37</v>
      </c>
      <c r="FY7" t="s">
        <v>37</v>
      </c>
      <c r="GA7" t="s">
        <v>37</v>
      </c>
      <c r="GC7" t="s">
        <v>37</v>
      </c>
      <c r="GE7" t="s">
        <v>37</v>
      </c>
      <c r="GG7" t="s">
        <v>37</v>
      </c>
      <c r="GI7" t="s">
        <v>37</v>
      </c>
      <c r="GK7" t="s">
        <v>37</v>
      </c>
      <c r="GM7" t="s">
        <v>37</v>
      </c>
      <c r="GO7" t="s">
        <v>37</v>
      </c>
      <c r="GQ7" t="s">
        <v>37</v>
      </c>
      <c r="GS7" t="s">
        <v>37</v>
      </c>
      <c r="GU7" t="s">
        <v>37</v>
      </c>
      <c r="GW7" t="s">
        <v>37</v>
      </c>
      <c r="GY7" t="s">
        <v>37</v>
      </c>
      <c r="HA7" t="s">
        <v>37</v>
      </c>
      <c r="HC7" t="s">
        <v>37</v>
      </c>
      <c r="HE7" t="s">
        <v>37</v>
      </c>
      <c r="HG7" t="s">
        <v>37</v>
      </c>
      <c r="HI7" t="s">
        <v>37</v>
      </c>
      <c r="HK7" t="s">
        <v>37</v>
      </c>
    </row>
    <row r="8" spans="1:219">
      <c r="A8">
        <v>1100</v>
      </c>
      <c r="B8" t="s">
        <v>43</v>
      </c>
      <c r="C8" t="s">
        <v>37</v>
      </c>
      <c r="E8" t="s">
        <v>37</v>
      </c>
      <c r="G8" t="s">
        <v>37</v>
      </c>
      <c r="I8" t="s">
        <v>37</v>
      </c>
      <c r="K8" s="48" t="s">
        <v>37</v>
      </c>
      <c r="L8" s="50"/>
      <c r="M8" s="48" t="s">
        <v>37</v>
      </c>
      <c r="N8" s="50"/>
      <c r="O8" s="48" t="s">
        <v>37</v>
      </c>
      <c r="P8" s="50"/>
      <c r="Q8" s="48" t="s">
        <v>37</v>
      </c>
      <c r="R8" s="50"/>
      <c r="S8" s="48" t="s">
        <v>37</v>
      </c>
      <c r="U8" t="s">
        <v>37</v>
      </c>
      <c r="W8" t="s">
        <v>37</v>
      </c>
      <c r="Y8" t="s">
        <v>37</v>
      </c>
      <c r="AA8" t="s">
        <v>37</v>
      </c>
      <c r="AC8" t="s">
        <v>37</v>
      </c>
      <c r="AE8" t="s">
        <v>37</v>
      </c>
      <c r="AG8" t="s">
        <v>37</v>
      </c>
      <c r="AI8" t="s">
        <v>37</v>
      </c>
      <c r="AK8" t="s">
        <v>37</v>
      </c>
      <c r="AM8" t="s">
        <v>37</v>
      </c>
      <c r="AO8" t="s">
        <v>37</v>
      </c>
      <c r="AQ8" t="s">
        <v>37</v>
      </c>
      <c r="AS8" t="s">
        <v>37</v>
      </c>
      <c r="AU8" t="s">
        <v>37</v>
      </c>
      <c r="AW8" t="s">
        <v>37</v>
      </c>
      <c r="AY8" t="s">
        <v>37</v>
      </c>
      <c r="BA8" t="s">
        <v>37</v>
      </c>
      <c r="BC8" t="s">
        <v>37</v>
      </c>
      <c r="BE8" t="s">
        <v>37</v>
      </c>
      <c r="BG8" t="s">
        <v>37</v>
      </c>
      <c r="BI8" t="s">
        <v>37</v>
      </c>
      <c r="BK8" t="s">
        <v>37</v>
      </c>
      <c r="BM8" t="s">
        <v>37</v>
      </c>
      <c r="BO8" t="s">
        <v>37</v>
      </c>
      <c r="BQ8" t="s">
        <v>37</v>
      </c>
      <c r="BS8" t="s">
        <v>37</v>
      </c>
      <c r="BU8" t="s">
        <v>37</v>
      </c>
      <c r="BW8" t="s">
        <v>37</v>
      </c>
      <c r="BY8" t="s">
        <v>37</v>
      </c>
      <c r="CA8" t="s">
        <v>37</v>
      </c>
      <c r="CC8" t="s">
        <v>37</v>
      </c>
      <c r="CE8" t="s">
        <v>37</v>
      </c>
      <c r="CG8" t="s">
        <v>37</v>
      </c>
      <c r="CI8" t="s">
        <v>37</v>
      </c>
      <c r="CK8" t="s">
        <v>37</v>
      </c>
      <c r="CM8" t="s">
        <v>37</v>
      </c>
      <c r="CO8" t="s">
        <v>37</v>
      </c>
      <c r="CQ8" t="s">
        <v>37</v>
      </c>
      <c r="CS8" t="s">
        <v>37</v>
      </c>
      <c r="CU8" t="s">
        <v>37</v>
      </c>
      <c r="CW8" t="s">
        <v>37</v>
      </c>
      <c r="CY8" t="s">
        <v>37</v>
      </c>
      <c r="DA8" t="s">
        <v>37</v>
      </c>
      <c r="DC8" t="s">
        <v>37</v>
      </c>
      <c r="DE8" t="s">
        <v>37</v>
      </c>
      <c r="DG8" t="s">
        <v>37</v>
      </c>
      <c r="DI8" t="s">
        <v>37</v>
      </c>
      <c r="DK8" t="s">
        <v>37</v>
      </c>
      <c r="DM8" t="s">
        <v>37</v>
      </c>
      <c r="DO8" t="s">
        <v>37</v>
      </c>
      <c r="DQ8" t="s">
        <v>37</v>
      </c>
      <c r="DS8" t="s">
        <v>37</v>
      </c>
      <c r="DU8" t="s">
        <v>37</v>
      </c>
      <c r="DW8" t="s">
        <v>37</v>
      </c>
      <c r="DY8" t="s">
        <v>37</v>
      </c>
      <c r="EA8" t="s">
        <v>37</v>
      </c>
      <c r="EC8" t="s">
        <v>37</v>
      </c>
      <c r="EE8" t="s">
        <v>37</v>
      </c>
      <c r="EG8" t="s">
        <v>37</v>
      </c>
      <c r="EI8" t="s">
        <v>37</v>
      </c>
      <c r="EK8" t="s">
        <v>37</v>
      </c>
      <c r="EM8" t="s">
        <v>37</v>
      </c>
      <c r="EO8" t="s">
        <v>37</v>
      </c>
      <c r="EQ8" t="s">
        <v>37</v>
      </c>
      <c r="ES8" t="s">
        <v>37</v>
      </c>
      <c r="EU8" t="s">
        <v>37</v>
      </c>
      <c r="EW8" t="s">
        <v>37</v>
      </c>
      <c r="EY8" t="s">
        <v>37</v>
      </c>
      <c r="FA8" t="s">
        <v>37</v>
      </c>
      <c r="FC8" t="s">
        <v>37</v>
      </c>
      <c r="FE8" t="s">
        <v>37</v>
      </c>
      <c r="FG8" t="s">
        <v>37</v>
      </c>
      <c r="FI8" t="s">
        <v>37</v>
      </c>
      <c r="FK8" t="s">
        <v>37</v>
      </c>
      <c r="FM8" t="s">
        <v>37</v>
      </c>
      <c r="FO8" t="s">
        <v>37</v>
      </c>
      <c r="FQ8" t="s">
        <v>37</v>
      </c>
      <c r="FS8" t="s">
        <v>37</v>
      </c>
      <c r="FU8" t="s">
        <v>37</v>
      </c>
      <c r="FW8" t="s">
        <v>37</v>
      </c>
      <c r="FY8" t="s">
        <v>37</v>
      </c>
      <c r="GA8" t="s">
        <v>37</v>
      </c>
      <c r="GC8" t="s">
        <v>37</v>
      </c>
      <c r="GE8" t="s">
        <v>37</v>
      </c>
      <c r="GG8" t="s">
        <v>37</v>
      </c>
      <c r="GI8" t="s">
        <v>37</v>
      </c>
      <c r="GK8" t="s">
        <v>37</v>
      </c>
      <c r="GM8" t="s">
        <v>37</v>
      </c>
      <c r="GO8" t="s">
        <v>37</v>
      </c>
      <c r="GQ8" t="s">
        <v>37</v>
      </c>
      <c r="GS8" t="s">
        <v>37</v>
      </c>
      <c r="GU8" t="s">
        <v>37</v>
      </c>
      <c r="GW8" t="s">
        <v>37</v>
      </c>
      <c r="GY8" t="s">
        <v>37</v>
      </c>
      <c r="HA8" t="s">
        <v>37</v>
      </c>
      <c r="HC8" t="s">
        <v>37</v>
      </c>
      <c r="HE8" t="s">
        <v>37</v>
      </c>
      <c r="HG8" t="s">
        <v>37</v>
      </c>
      <c r="HI8" t="s">
        <v>37</v>
      </c>
      <c r="HK8" t="s">
        <v>37</v>
      </c>
    </row>
    <row r="9" spans="1:219">
      <c r="A9">
        <v>1110</v>
      </c>
      <c r="B9" t="s">
        <v>44</v>
      </c>
      <c r="C9" t="s">
        <v>37</v>
      </c>
      <c r="D9">
        <v>1520764</v>
      </c>
      <c r="E9" t="s">
        <v>37</v>
      </c>
      <c r="F9">
        <v>60312472</v>
      </c>
      <c r="G9" t="s">
        <v>37</v>
      </c>
      <c r="H9">
        <v>4709102</v>
      </c>
      <c r="I9" t="s">
        <v>37</v>
      </c>
      <c r="K9" s="48" t="s">
        <v>37</v>
      </c>
      <c r="L9" s="50"/>
      <c r="M9" s="48" t="s">
        <v>37</v>
      </c>
      <c r="N9" s="50"/>
      <c r="O9" s="48" t="s">
        <v>37</v>
      </c>
      <c r="P9" s="50"/>
      <c r="Q9" s="48" t="s">
        <v>37</v>
      </c>
      <c r="R9" s="50"/>
      <c r="S9" s="48" t="s">
        <v>37</v>
      </c>
      <c r="U9" t="s">
        <v>37</v>
      </c>
      <c r="W9" t="s">
        <v>37</v>
      </c>
      <c r="Y9" t="s">
        <v>37</v>
      </c>
      <c r="Z9">
        <v>3518785</v>
      </c>
      <c r="AA9" t="s">
        <v>37</v>
      </c>
      <c r="AC9" t="s">
        <v>37</v>
      </c>
      <c r="AD9">
        <v>1608309</v>
      </c>
      <c r="AE9" t="s">
        <v>37</v>
      </c>
      <c r="AF9">
        <v>1694415</v>
      </c>
      <c r="AG9" t="s">
        <v>37</v>
      </c>
      <c r="AH9">
        <v>4983807</v>
      </c>
      <c r="AI9" t="s">
        <v>37</v>
      </c>
      <c r="AK9" t="s">
        <v>37</v>
      </c>
      <c r="AM9" t="s">
        <v>37</v>
      </c>
      <c r="AO9" t="s">
        <v>37</v>
      </c>
      <c r="AP9">
        <v>81057233</v>
      </c>
      <c r="AQ9" t="s">
        <v>37</v>
      </c>
      <c r="AS9" t="s">
        <v>37</v>
      </c>
      <c r="AT9">
        <v>237617163</v>
      </c>
      <c r="AU9" t="s">
        <v>37</v>
      </c>
      <c r="AV9">
        <v>20857424</v>
      </c>
      <c r="AW9" t="s">
        <v>37</v>
      </c>
      <c r="AX9">
        <v>15774043</v>
      </c>
      <c r="AY9" t="s">
        <v>37</v>
      </c>
      <c r="AZ9">
        <v>13611432</v>
      </c>
      <c r="BA9" t="s">
        <v>37</v>
      </c>
      <c r="BC9" t="s">
        <v>37</v>
      </c>
      <c r="BE9" t="s">
        <v>37</v>
      </c>
      <c r="BG9" t="s">
        <v>37</v>
      </c>
      <c r="BI9" t="s">
        <v>37</v>
      </c>
      <c r="BJ9">
        <v>3633589</v>
      </c>
      <c r="BK9" t="s">
        <v>37</v>
      </c>
      <c r="BL9">
        <v>31643785</v>
      </c>
      <c r="BM9" t="s">
        <v>37</v>
      </c>
      <c r="BN9">
        <v>1164045</v>
      </c>
      <c r="BO9" t="s">
        <v>37</v>
      </c>
      <c r="BQ9" t="s">
        <v>37</v>
      </c>
      <c r="BS9" t="s">
        <v>37</v>
      </c>
      <c r="BT9">
        <v>1669444</v>
      </c>
      <c r="BU9" t="s">
        <v>37</v>
      </c>
      <c r="BV9">
        <v>773207</v>
      </c>
      <c r="BW9" t="s">
        <v>37</v>
      </c>
      <c r="BX9">
        <v>47974404</v>
      </c>
      <c r="BY9" t="s">
        <v>37</v>
      </c>
      <c r="BZ9">
        <v>9991137</v>
      </c>
      <c r="CA9" t="s">
        <v>37</v>
      </c>
      <c r="CC9" t="s">
        <v>37</v>
      </c>
      <c r="CD9">
        <v>9211573</v>
      </c>
      <c r="CE9" t="s">
        <v>37</v>
      </c>
      <c r="CG9" t="s">
        <v>37</v>
      </c>
      <c r="CI9" t="s">
        <v>37</v>
      </c>
      <c r="CK9" t="s">
        <v>37</v>
      </c>
      <c r="CL9">
        <v>6118718</v>
      </c>
      <c r="CM9" t="s">
        <v>37</v>
      </c>
      <c r="CN9">
        <v>2340676</v>
      </c>
      <c r="CO9" t="s">
        <v>37</v>
      </c>
      <c r="CQ9" t="s">
        <v>37</v>
      </c>
      <c r="CR9">
        <v>53912753</v>
      </c>
      <c r="CS9" t="s">
        <v>37</v>
      </c>
      <c r="CT9">
        <v>209875704</v>
      </c>
      <c r="CU9" t="s">
        <v>37</v>
      </c>
      <c r="CW9" t="s">
        <v>37</v>
      </c>
      <c r="CY9" t="s">
        <v>37</v>
      </c>
      <c r="DA9" t="s">
        <v>37</v>
      </c>
      <c r="DC9" t="s">
        <v>37</v>
      </c>
      <c r="DE9" t="s">
        <v>37</v>
      </c>
      <c r="DG9" t="s">
        <v>37</v>
      </c>
      <c r="DH9">
        <v>189882593</v>
      </c>
      <c r="DI9" t="s">
        <v>37</v>
      </c>
      <c r="DK9" t="s">
        <v>37</v>
      </c>
      <c r="DM9" t="s">
        <v>37</v>
      </c>
      <c r="DN9">
        <v>27833046</v>
      </c>
      <c r="DO9" t="s">
        <v>37</v>
      </c>
      <c r="DP9">
        <v>12598542</v>
      </c>
      <c r="DQ9" t="s">
        <v>37</v>
      </c>
      <c r="DR9">
        <v>4931133</v>
      </c>
      <c r="DS9" t="s">
        <v>37</v>
      </c>
      <c r="DU9" t="s">
        <v>37</v>
      </c>
      <c r="DV9">
        <v>54022433</v>
      </c>
      <c r="DW9" t="s">
        <v>37</v>
      </c>
      <c r="DX9">
        <v>28570445</v>
      </c>
      <c r="DY9" t="s">
        <v>37</v>
      </c>
      <c r="DZ9">
        <v>8785696</v>
      </c>
      <c r="EA9" t="s">
        <v>37</v>
      </c>
      <c r="EB9">
        <v>6370433</v>
      </c>
      <c r="EC9" t="s">
        <v>37</v>
      </c>
      <c r="ED9">
        <v>75156901</v>
      </c>
      <c r="EE9" t="s">
        <v>37</v>
      </c>
      <c r="EG9" t="s">
        <v>37</v>
      </c>
      <c r="EH9">
        <v>1031638</v>
      </c>
      <c r="EI9" t="s">
        <v>37</v>
      </c>
      <c r="EK9" t="s">
        <v>37</v>
      </c>
      <c r="EM9" t="s">
        <v>37</v>
      </c>
      <c r="EO9" t="s">
        <v>37</v>
      </c>
      <c r="EP9">
        <v>829221</v>
      </c>
      <c r="EQ9" t="s">
        <v>37</v>
      </c>
      <c r="ER9">
        <v>7589855</v>
      </c>
      <c r="ES9" t="s">
        <v>37</v>
      </c>
      <c r="ET9">
        <v>21368223</v>
      </c>
      <c r="EU9" t="s">
        <v>37</v>
      </c>
      <c r="EW9" t="s">
        <v>37</v>
      </c>
      <c r="EY9" t="s">
        <v>37</v>
      </c>
      <c r="EZ9">
        <v>8411421</v>
      </c>
      <c r="FA9" t="s">
        <v>37</v>
      </c>
      <c r="FB9">
        <v>9864404</v>
      </c>
      <c r="FC9" t="s">
        <v>37</v>
      </c>
      <c r="FD9">
        <v>22697920</v>
      </c>
      <c r="FE9" t="s">
        <v>37</v>
      </c>
      <c r="FG9" t="s">
        <v>37</v>
      </c>
      <c r="FH9">
        <v>41771782</v>
      </c>
      <c r="FI9" t="s">
        <v>37</v>
      </c>
      <c r="FK9" t="s">
        <v>37</v>
      </c>
      <c r="FM9" t="s">
        <v>37</v>
      </c>
      <c r="FO9" t="s">
        <v>37</v>
      </c>
      <c r="FP9">
        <v>15002986</v>
      </c>
      <c r="FQ9" t="s">
        <v>37</v>
      </c>
      <c r="FR9">
        <v>19399837</v>
      </c>
      <c r="FS9" t="s">
        <v>37</v>
      </c>
      <c r="FT9">
        <v>10606763</v>
      </c>
      <c r="FU9" t="s">
        <v>37</v>
      </c>
      <c r="FV9">
        <v>6064849</v>
      </c>
      <c r="FW9" t="s">
        <v>37</v>
      </c>
      <c r="FX9">
        <v>27007132</v>
      </c>
      <c r="FY9" t="s">
        <v>37</v>
      </c>
      <c r="FZ9">
        <v>34914489</v>
      </c>
      <c r="GA9" t="s">
        <v>37</v>
      </c>
      <c r="GB9">
        <v>35418636</v>
      </c>
      <c r="GC9" t="s">
        <v>37</v>
      </c>
      <c r="GD9">
        <v>1220480</v>
      </c>
      <c r="GE9" t="s">
        <v>37</v>
      </c>
      <c r="GF9">
        <v>1790126</v>
      </c>
      <c r="GG9" t="s">
        <v>37</v>
      </c>
      <c r="GI9" t="s">
        <v>37</v>
      </c>
      <c r="GK9" t="s">
        <v>37</v>
      </c>
      <c r="GM9" t="s">
        <v>37</v>
      </c>
      <c r="GO9" t="s">
        <v>37</v>
      </c>
      <c r="GP9">
        <v>7548390</v>
      </c>
      <c r="GQ9" t="s">
        <v>37</v>
      </c>
      <c r="GR9">
        <v>6863244</v>
      </c>
      <c r="GS9" t="s">
        <v>37</v>
      </c>
      <c r="GT9">
        <v>8885582</v>
      </c>
      <c r="GU9" t="s">
        <v>37</v>
      </c>
      <c r="GV9">
        <v>37156040</v>
      </c>
      <c r="GW9" t="s">
        <v>37</v>
      </c>
      <c r="GX9">
        <v>51613941</v>
      </c>
      <c r="GY9" t="s">
        <v>37</v>
      </c>
      <c r="GZ9">
        <v>34135864</v>
      </c>
      <c r="HA9" t="s">
        <v>37</v>
      </c>
      <c r="HC9" t="s">
        <v>37</v>
      </c>
      <c r="HE9" t="s">
        <v>37</v>
      </c>
      <c r="HF9">
        <v>1644918029</v>
      </c>
      <c r="HG9" t="s">
        <v>37</v>
      </c>
      <c r="HI9" t="s">
        <v>37</v>
      </c>
      <c r="HJ9">
        <v>1644918029</v>
      </c>
      <c r="HK9" t="s">
        <v>37</v>
      </c>
    </row>
    <row r="10" spans="1:219">
      <c r="A10">
        <v>1140</v>
      </c>
      <c r="B10" t="s">
        <v>45</v>
      </c>
      <c r="C10" t="s">
        <v>37</v>
      </c>
      <c r="D10">
        <v>132769</v>
      </c>
      <c r="E10" t="s">
        <v>37</v>
      </c>
      <c r="F10">
        <v>2319640</v>
      </c>
      <c r="G10" t="s">
        <v>37</v>
      </c>
      <c r="H10">
        <v>10538</v>
      </c>
      <c r="I10" t="s">
        <v>37</v>
      </c>
      <c r="K10" s="48" t="s">
        <v>37</v>
      </c>
      <c r="L10" s="50"/>
      <c r="M10" s="48" t="s">
        <v>37</v>
      </c>
      <c r="N10" s="50"/>
      <c r="O10" s="48" t="s">
        <v>37</v>
      </c>
      <c r="P10" s="50"/>
      <c r="Q10" s="48" t="s">
        <v>37</v>
      </c>
      <c r="R10" s="50"/>
      <c r="S10" s="48" t="s">
        <v>37</v>
      </c>
      <c r="U10" t="s">
        <v>37</v>
      </c>
      <c r="W10" t="s">
        <v>37</v>
      </c>
      <c r="Y10" t="s">
        <v>37</v>
      </c>
      <c r="AA10" t="s">
        <v>37</v>
      </c>
      <c r="AC10" t="s">
        <v>37</v>
      </c>
      <c r="AD10">
        <v>22174</v>
      </c>
      <c r="AE10" t="s">
        <v>37</v>
      </c>
      <c r="AF10">
        <v>315835</v>
      </c>
      <c r="AG10" t="s">
        <v>37</v>
      </c>
      <c r="AI10" t="s">
        <v>37</v>
      </c>
      <c r="AK10" t="s">
        <v>37</v>
      </c>
      <c r="AM10" t="s">
        <v>37</v>
      </c>
      <c r="AO10" t="s">
        <v>37</v>
      </c>
      <c r="AP10">
        <v>283069</v>
      </c>
      <c r="AQ10" t="s">
        <v>37</v>
      </c>
      <c r="AS10" t="s">
        <v>37</v>
      </c>
      <c r="AT10">
        <v>7206803</v>
      </c>
      <c r="AU10" t="s">
        <v>37</v>
      </c>
      <c r="AW10" t="s">
        <v>37</v>
      </c>
      <c r="AY10" t="s">
        <v>37</v>
      </c>
      <c r="AZ10">
        <v>69856</v>
      </c>
      <c r="BA10" t="s">
        <v>37</v>
      </c>
      <c r="BC10" t="s">
        <v>37</v>
      </c>
      <c r="BE10" t="s">
        <v>37</v>
      </c>
      <c r="BG10" t="s">
        <v>37</v>
      </c>
      <c r="BI10" t="s">
        <v>37</v>
      </c>
      <c r="BK10" t="s">
        <v>37</v>
      </c>
      <c r="BL10">
        <v>149802</v>
      </c>
      <c r="BM10" t="s">
        <v>37</v>
      </c>
      <c r="BO10" t="s">
        <v>37</v>
      </c>
      <c r="BQ10" t="s">
        <v>37</v>
      </c>
      <c r="BS10" t="s">
        <v>37</v>
      </c>
      <c r="BT10">
        <v>16783</v>
      </c>
      <c r="BU10" t="s">
        <v>37</v>
      </c>
      <c r="BV10">
        <v>7569</v>
      </c>
      <c r="BW10" t="s">
        <v>37</v>
      </c>
      <c r="BY10" t="s">
        <v>37</v>
      </c>
      <c r="CA10" t="s">
        <v>37</v>
      </c>
      <c r="CC10" t="s">
        <v>37</v>
      </c>
      <c r="CD10">
        <v>63329</v>
      </c>
      <c r="CE10" t="s">
        <v>37</v>
      </c>
      <c r="CG10" t="s">
        <v>37</v>
      </c>
      <c r="CI10" t="s">
        <v>37</v>
      </c>
      <c r="CK10" t="s">
        <v>37</v>
      </c>
      <c r="CL10">
        <v>24835</v>
      </c>
      <c r="CM10" t="s">
        <v>37</v>
      </c>
      <c r="CN10">
        <v>7929</v>
      </c>
      <c r="CO10" t="s">
        <v>37</v>
      </c>
      <c r="CQ10" t="s">
        <v>37</v>
      </c>
      <c r="CR10">
        <v>338274</v>
      </c>
      <c r="CS10" t="s">
        <v>37</v>
      </c>
      <c r="CU10" t="s">
        <v>37</v>
      </c>
      <c r="CW10" t="s">
        <v>37</v>
      </c>
      <c r="CY10" t="s">
        <v>37</v>
      </c>
      <c r="DA10" t="s">
        <v>37</v>
      </c>
      <c r="DC10" t="s">
        <v>37</v>
      </c>
      <c r="DE10" t="s">
        <v>37</v>
      </c>
      <c r="DG10" t="s">
        <v>37</v>
      </c>
      <c r="DH10">
        <v>1847104</v>
      </c>
      <c r="DI10" t="s">
        <v>37</v>
      </c>
      <c r="DK10" t="s">
        <v>37</v>
      </c>
      <c r="DM10" t="s">
        <v>37</v>
      </c>
      <c r="DN10">
        <v>306014</v>
      </c>
      <c r="DO10" t="s">
        <v>37</v>
      </c>
      <c r="DP10">
        <v>39250</v>
      </c>
      <c r="DQ10" t="s">
        <v>37</v>
      </c>
      <c r="DR10">
        <v>352047</v>
      </c>
      <c r="DS10" t="s">
        <v>37</v>
      </c>
      <c r="DU10" t="s">
        <v>37</v>
      </c>
      <c r="DV10">
        <v>2948414</v>
      </c>
      <c r="DW10" t="s">
        <v>37</v>
      </c>
      <c r="DX10">
        <v>168908</v>
      </c>
      <c r="DY10" t="s">
        <v>37</v>
      </c>
      <c r="DZ10">
        <v>123038</v>
      </c>
      <c r="EA10" t="s">
        <v>37</v>
      </c>
      <c r="EB10">
        <v>60715</v>
      </c>
      <c r="EC10" t="s">
        <v>37</v>
      </c>
      <c r="ED10">
        <v>401443</v>
      </c>
      <c r="EE10" t="s">
        <v>37</v>
      </c>
      <c r="EG10" t="s">
        <v>37</v>
      </c>
      <c r="EH10">
        <v>13774</v>
      </c>
      <c r="EI10" t="s">
        <v>37</v>
      </c>
      <c r="EK10" t="s">
        <v>37</v>
      </c>
      <c r="EM10" t="s">
        <v>37</v>
      </c>
      <c r="EO10" t="s">
        <v>37</v>
      </c>
      <c r="EP10">
        <v>11472</v>
      </c>
      <c r="EQ10" t="s">
        <v>37</v>
      </c>
      <c r="ER10">
        <v>98476</v>
      </c>
      <c r="ES10" t="s">
        <v>37</v>
      </c>
      <c r="ET10">
        <v>382847</v>
      </c>
      <c r="EU10" t="s">
        <v>37</v>
      </c>
      <c r="EW10" t="s">
        <v>37</v>
      </c>
      <c r="EY10" t="s">
        <v>37</v>
      </c>
      <c r="EZ10">
        <v>158859</v>
      </c>
      <c r="FA10" t="s">
        <v>37</v>
      </c>
      <c r="FB10">
        <v>92320</v>
      </c>
      <c r="FC10" t="s">
        <v>37</v>
      </c>
      <c r="FD10">
        <v>302645</v>
      </c>
      <c r="FE10" t="s">
        <v>37</v>
      </c>
      <c r="FG10" t="s">
        <v>37</v>
      </c>
      <c r="FH10">
        <v>356908</v>
      </c>
      <c r="FI10" t="s">
        <v>37</v>
      </c>
      <c r="FK10" t="s">
        <v>37</v>
      </c>
      <c r="FM10" t="s">
        <v>37</v>
      </c>
      <c r="FO10" t="s">
        <v>37</v>
      </c>
      <c r="FQ10" t="s">
        <v>37</v>
      </c>
      <c r="FS10" t="s">
        <v>37</v>
      </c>
      <c r="FU10" t="s">
        <v>37</v>
      </c>
      <c r="FW10" t="s">
        <v>37</v>
      </c>
      <c r="FY10" t="s">
        <v>37</v>
      </c>
      <c r="FZ10">
        <v>53219</v>
      </c>
      <c r="GA10" t="s">
        <v>37</v>
      </c>
      <c r="GC10" t="s">
        <v>37</v>
      </c>
      <c r="GE10" t="s">
        <v>37</v>
      </c>
      <c r="GF10">
        <v>118918</v>
      </c>
      <c r="GG10" t="s">
        <v>37</v>
      </c>
      <c r="GI10" t="s">
        <v>37</v>
      </c>
      <c r="GK10" t="s">
        <v>37</v>
      </c>
      <c r="GM10" t="s">
        <v>37</v>
      </c>
      <c r="GO10" t="s">
        <v>37</v>
      </c>
      <c r="GP10">
        <v>623388</v>
      </c>
      <c r="GQ10" t="s">
        <v>37</v>
      </c>
      <c r="GS10" t="s">
        <v>37</v>
      </c>
      <c r="GT10">
        <v>436515</v>
      </c>
      <c r="GU10" t="s">
        <v>37</v>
      </c>
      <c r="GV10">
        <v>765865</v>
      </c>
      <c r="GW10" t="s">
        <v>37</v>
      </c>
      <c r="GX10">
        <v>436456</v>
      </c>
      <c r="GY10" t="s">
        <v>37</v>
      </c>
      <c r="GZ10">
        <v>117338</v>
      </c>
      <c r="HA10" t="s">
        <v>37</v>
      </c>
      <c r="HC10" t="s">
        <v>37</v>
      </c>
      <c r="HE10" t="s">
        <v>37</v>
      </c>
      <c r="HF10">
        <v>21185138</v>
      </c>
      <c r="HG10" t="s">
        <v>37</v>
      </c>
      <c r="HI10" t="s">
        <v>37</v>
      </c>
      <c r="HJ10">
        <v>21185138</v>
      </c>
      <c r="HK10" t="s">
        <v>37</v>
      </c>
    </row>
    <row r="11" spans="1:219">
      <c r="A11">
        <v>1190</v>
      </c>
      <c r="B11" t="s">
        <v>46</v>
      </c>
      <c r="C11" t="s">
        <v>37</v>
      </c>
      <c r="E11" t="s">
        <v>37</v>
      </c>
      <c r="G11" t="s">
        <v>37</v>
      </c>
      <c r="I11" t="s">
        <v>37</v>
      </c>
      <c r="K11" s="48" t="s">
        <v>37</v>
      </c>
      <c r="L11" s="50"/>
      <c r="M11" s="48" t="s">
        <v>37</v>
      </c>
      <c r="N11" s="50"/>
      <c r="O11" s="48" t="s">
        <v>37</v>
      </c>
      <c r="P11" s="50"/>
      <c r="Q11" s="48" t="s">
        <v>37</v>
      </c>
      <c r="R11" s="50"/>
      <c r="S11" s="48" t="s">
        <v>37</v>
      </c>
      <c r="U11" t="s">
        <v>37</v>
      </c>
      <c r="W11" t="s">
        <v>37</v>
      </c>
      <c r="Y11" t="s">
        <v>37</v>
      </c>
      <c r="AA11" t="s">
        <v>37</v>
      </c>
      <c r="AC11" t="s">
        <v>37</v>
      </c>
      <c r="AE11" t="s">
        <v>37</v>
      </c>
      <c r="AG11" t="s">
        <v>37</v>
      </c>
      <c r="AI11" t="s">
        <v>37</v>
      </c>
      <c r="AK11" t="s">
        <v>37</v>
      </c>
      <c r="AM11" t="s">
        <v>37</v>
      </c>
      <c r="AO11" t="s">
        <v>37</v>
      </c>
      <c r="AQ11" t="s">
        <v>37</v>
      </c>
      <c r="AS11" t="s">
        <v>37</v>
      </c>
      <c r="AU11" t="s">
        <v>37</v>
      </c>
      <c r="AV11">
        <v>5051631</v>
      </c>
      <c r="AW11" t="s">
        <v>37</v>
      </c>
      <c r="AY11" t="s">
        <v>37</v>
      </c>
      <c r="BA11" t="s">
        <v>37</v>
      </c>
      <c r="BC11" t="s">
        <v>37</v>
      </c>
      <c r="BE11" t="s">
        <v>37</v>
      </c>
      <c r="BG11" t="s">
        <v>37</v>
      </c>
      <c r="BI11" t="s">
        <v>37</v>
      </c>
      <c r="BK11" t="s">
        <v>37</v>
      </c>
      <c r="BM11" t="s">
        <v>37</v>
      </c>
      <c r="BN11">
        <v>62076</v>
      </c>
      <c r="BO11" t="s">
        <v>37</v>
      </c>
      <c r="BQ11" t="s">
        <v>37</v>
      </c>
      <c r="BS11" t="s">
        <v>37</v>
      </c>
      <c r="BT11">
        <v>347531</v>
      </c>
      <c r="BU11" t="s">
        <v>37</v>
      </c>
      <c r="BV11">
        <v>162535</v>
      </c>
      <c r="BW11" t="s">
        <v>37</v>
      </c>
      <c r="BY11" t="s">
        <v>37</v>
      </c>
      <c r="CA11" t="s">
        <v>37</v>
      </c>
      <c r="CC11" t="s">
        <v>37</v>
      </c>
      <c r="CE11" t="s">
        <v>37</v>
      </c>
      <c r="CG11" t="s">
        <v>37</v>
      </c>
      <c r="CI11" t="s">
        <v>37</v>
      </c>
      <c r="CK11" t="s">
        <v>37</v>
      </c>
      <c r="CM11" t="s">
        <v>37</v>
      </c>
      <c r="CO11" t="s">
        <v>37</v>
      </c>
      <c r="CQ11" t="s">
        <v>37</v>
      </c>
      <c r="CS11" t="s">
        <v>37</v>
      </c>
      <c r="CU11" t="s">
        <v>37</v>
      </c>
      <c r="CW11" t="s">
        <v>37</v>
      </c>
      <c r="CY11" t="s">
        <v>37</v>
      </c>
      <c r="DA11" t="s">
        <v>37</v>
      </c>
      <c r="DC11" t="s">
        <v>37</v>
      </c>
      <c r="DE11" t="s">
        <v>37</v>
      </c>
      <c r="DG11" t="s">
        <v>37</v>
      </c>
      <c r="DI11" t="s">
        <v>37</v>
      </c>
      <c r="DK11" t="s">
        <v>37</v>
      </c>
      <c r="DM11" t="s">
        <v>37</v>
      </c>
      <c r="DO11" t="s">
        <v>37</v>
      </c>
      <c r="DQ11" t="s">
        <v>37</v>
      </c>
      <c r="DS11" t="s">
        <v>37</v>
      </c>
      <c r="DU11" t="s">
        <v>37</v>
      </c>
      <c r="DV11">
        <v>25525556</v>
      </c>
      <c r="DW11" t="s">
        <v>37</v>
      </c>
      <c r="DY11" t="s">
        <v>37</v>
      </c>
      <c r="EA11" t="s">
        <v>37</v>
      </c>
      <c r="EC11" t="s">
        <v>37</v>
      </c>
      <c r="EE11" t="s">
        <v>37</v>
      </c>
      <c r="EG11" t="s">
        <v>37</v>
      </c>
      <c r="EI11" t="s">
        <v>37</v>
      </c>
      <c r="EK11" t="s">
        <v>37</v>
      </c>
      <c r="EM11" t="s">
        <v>37</v>
      </c>
      <c r="EO11" t="s">
        <v>37</v>
      </c>
      <c r="EQ11" t="s">
        <v>37</v>
      </c>
      <c r="ER11">
        <v>8497</v>
      </c>
      <c r="ES11" t="s">
        <v>37</v>
      </c>
      <c r="EU11" t="s">
        <v>37</v>
      </c>
      <c r="EW11" t="s">
        <v>37</v>
      </c>
      <c r="EY11" t="s">
        <v>37</v>
      </c>
      <c r="FA11" t="s">
        <v>37</v>
      </c>
      <c r="FC11" t="s">
        <v>37</v>
      </c>
      <c r="FE11" t="s">
        <v>37</v>
      </c>
      <c r="FG11" t="s">
        <v>37</v>
      </c>
      <c r="FH11">
        <v>5595</v>
      </c>
      <c r="FI11" t="s">
        <v>37</v>
      </c>
      <c r="FK11" t="s">
        <v>37</v>
      </c>
      <c r="FM11" t="s">
        <v>37</v>
      </c>
      <c r="FO11" t="s">
        <v>37</v>
      </c>
      <c r="FQ11" t="s">
        <v>37</v>
      </c>
      <c r="FS11" t="s">
        <v>37</v>
      </c>
      <c r="FU11" t="s">
        <v>37</v>
      </c>
      <c r="FW11" t="s">
        <v>37</v>
      </c>
      <c r="FX11">
        <v>1781081</v>
      </c>
      <c r="FY11" t="s">
        <v>37</v>
      </c>
      <c r="GA11" t="s">
        <v>37</v>
      </c>
      <c r="GC11" t="s">
        <v>37</v>
      </c>
      <c r="GE11" t="s">
        <v>37</v>
      </c>
      <c r="GG11" t="s">
        <v>37</v>
      </c>
      <c r="GI11" t="s">
        <v>37</v>
      </c>
      <c r="GK11" t="s">
        <v>37</v>
      </c>
      <c r="GM11" t="s">
        <v>37</v>
      </c>
      <c r="GO11" t="s">
        <v>37</v>
      </c>
      <c r="GQ11" t="s">
        <v>37</v>
      </c>
      <c r="GS11" t="s">
        <v>37</v>
      </c>
      <c r="GU11" t="s">
        <v>37</v>
      </c>
      <c r="GW11" t="s">
        <v>37</v>
      </c>
      <c r="GY11" t="s">
        <v>37</v>
      </c>
      <c r="HA11" t="s">
        <v>37</v>
      </c>
      <c r="HC11" t="s">
        <v>37</v>
      </c>
      <c r="HE11" t="s">
        <v>37</v>
      </c>
      <c r="HF11">
        <v>32944502</v>
      </c>
      <c r="HG11" t="s">
        <v>37</v>
      </c>
      <c r="HI11" t="s">
        <v>37</v>
      </c>
      <c r="HJ11">
        <v>32944502</v>
      </c>
      <c r="HK11" t="s">
        <v>37</v>
      </c>
    </row>
    <row r="12" spans="1:219">
      <c r="A12">
        <v>1200</v>
      </c>
      <c r="B12" t="s">
        <v>47</v>
      </c>
      <c r="C12" t="s">
        <v>37</v>
      </c>
      <c r="E12" t="s">
        <v>37</v>
      </c>
      <c r="G12" t="s">
        <v>37</v>
      </c>
      <c r="I12" t="s">
        <v>37</v>
      </c>
      <c r="K12" s="48" t="s">
        <v>37</v>
      </c>
      <c r="L12" s="50"/>
      <c r="M12" s="48" t="s">
        <v>37</v>
      </c>
      <c r="N12" s="50"/>
      <c r="O12" s="48" t="s">
        <v>37</v>
      </c>
      <c r="P12" s="50"/>
      <c r="Q12" s="48" t="s">
        <v>37</v>
      </c>
      <c r="R12" s="50"/>
      <c r="S12" s="48" t="s">
        <v>37</v>
      </c>
      <c r="U12" t="s">
        <v>37</v>
      </c>
      <c r="W12" t="s">
        <v>37</v>
      </c>
      <c r="Y12" t="s">
        <v>37</v>
      </c>
      <c r="AA12" t="s">
        <v>37</v>
      </c>
      <c r="AC12" t="s">
        <v>37</v>
      </c>
      <c r="AE12" t="s">
        <v>37</v>
      </c>
      <c r="AG12" t="s">
        <v>37</v>
      </c>
      <c r="AI12" t="s">
        <v>37</v>
      </c>
      <c r="AK12" t="s">
        <v>37</v>
      </c>
      <c r="AM12" t="s">
        <v>37</v>
      </c>
      <c r="AO12" t="s">
        <v>37</v>
      </c>
      <c r="AQ12" t="s">
        <v>37</v>
      </c>
      <c r="AS12" t="s">
        <v>37</v>
      </c>
      <c r="AU12" t="s">
        <v>37</v>
      </c>
      <c r="AW12" t="s">
        <v>37</v>
      </c>
      <c r="AY12" t="s">
        <v>37</v>
      </c>
      <c r="BA12" t="s">
        <v>37</v>
      </c>
      <c r="BC12" t="s">
        <v>37</v>
      </c>
      <c r="BE12" t="s">
        <v>37</v>
      </c>
      <c r="BG12" t="s">
        <v>37</v>
      </c>
      <c r="BI12" t="s">
        <v>37</v>
      </c>
      <c r="BK12" t="s">
        <v>37</v>
      </c>
      <c r="BM12" t="s">
        <v>37</v>
      </c>
      <c r="BO12" t="s">
        <v>37</v>
      </c>
      <c r="BQ12" t="s">
        <v>37</v>
      </c>
      <c r="BS12" t="s">
        <v>37</v>
      </c>
      <c r="BU12" t="s">
        <v>37</v>
      </c>
      <c r="BW12" t="s">
        <v>37</v>
      </c>
      <c r="BY12" t="s">
        <v>37</v>
      </c>
      <c r="CA12" t="s">
        <v>37</v>
      </c>
      <c r="CC12" t="s">
        <v>37</v>
      </c>
      <c r="CE12" t="s">
        <v>37</v>
      </c>
      <c r="CG12" t="s">
        <v>37</v>
      </c>
      <c r="CI12" t="s">
        <v>37</v>
      </c>
      <c r="CK12" t="s">
        <v>37</v>
      </c>
      <c r="CM12" t="s">
        <v>37</v>
      </c>
      <c r="CO12" t="s">
        <v>37</v>
      </c>
      <c r="CQ12" t="s">
        <v>37</v>
      </c>
      <c r="CS12" t="s">
        <v>37</v>
      </c>
      <c r="CU12" t="s">
        <v>37</v>
      </c>
      <c r="CW12" t="s">
        <v>37</v>
      </c>
      <c r="CY12" t="s">
        <v>37</v>
      </c>
      <c r="DA12" t="s">
        <v>37</v>
      </c>
      <c r="DC12" t="s">
        <v>37</v>
      </c>
      <c r="DE12" t="s">
        <v>37</v>
      </c>
      <c r="DG12" t="s">
        <v>37</v>
      </c>
      <c r="DI12" t="s">
        <v>37</v>
      </c>
      <c r="DK12" t="s">
        <v>37</v>
      </c>
      <c r="DM12" t="s">
        <v>37</v>
      </c>
      <c r="DO12" t="s">
        <v>37</v>
      </c>
      <c r="DQ12" t="s">
        <v>37</v>
      </c>
      <c r="DS12" t="s">
        <v>37</v>
      </c>
      <c r="DU12" t="s">
        <v>37</v>
      </c>
      <c r="DW12" t="s">
        <v>37</v>
      </c>
      <c r="DY12" t="s">
        <v>37</v>
      </c>
      <c r="EA12" t="s">
        <v>37</v>
      </c>
      <c r="EC12" t="s">
        <v>37</v>
      </c>
      <c r="EE12" t="s">
        <v>37</v>
      </c>
      <c r="EG12" t="s">
        <v>37</v>
      </c>
      <c r="EI12" t="s">
        <v>37</v>
      </c>
      <c r="EK12" t="s">
        <v>37</v>
      </c>
      <c r="EM12" t="s">
        <v>37</v>
      </c>
      <c r="EO12" t="s">
        <v>37</v>
      </c>
      <c r="EQ12" t="s">
        <v>37</v>
      </c>
      <c r="ES12" t="s">
        <v>37</v>
      </c>
      <c r="EU12" t="s">
        <v>37</v>
      </c>
      <c r="EW12" t="s">
        <v>37</v>
      </c>
      <c r="EY12" t="s">
        <v>37</v>
      </c>
      <c r="FA12" t="s">
        <v>37</v>
      </c>
      <c r="FC12" t="s">
        <v>37</v>
      </c>
      <c r="FE12" t="s">
        <v>37</v>
      </c>
      <c r="FG12" t="s">
        <v>37</v>
      </c>
      <c r="FI12" t="s">
        <v>37</v>
      </c>
      <c r="FK12" t="s">
        <v>37</v>
      </c>
      <c r="FM12" t="s">
        <v>37</v>
      </c>
      <c r="FO12" t="s">
        <v>37</v>
      </c>
      <c r="FQ12" t="s">
        <v>37</v>
      </c>
      <c r="FS12" t="s">
        <v>37</v>
      </c>
      <c r="FU12" t="s">
        <v>37</v>
      </c>
      <c r="FW12" t="s">
        <v>37</v>
      </c>
      <c r="FY12" t="s">
        <v>37</v>
      </c>
      <c r="GA12" t="s">
        <v>37</v>
      </c>
      <c r="GC12" t="s">
        <v>37</v>
      </c>
      <c r="GE12" t="s">
        <v>37</v>
      </c>
      <c r="GG12" t="s">
        <v>37</v>
      </c>
      <c r="GI12" t="s">
        <v>37</v>
      </c>
      <c r="GK12" t="s">
        <v>37</v>
      </c>
      <c r="GM12" t="s">
        <v>37</v>
      </c>
      <c r="GO12" t="s">
        <v>37</v>
      </c>
      <c r="GQ12" t="s">
        <v>37</v>
      </c>
      <c r="GS12" t="s">
        <v>37</v>
      </c>
      <c r="GU12" t="s">
        <v>37</v>
      </c>
      <c r="GW12" t="s">
        <v>37</v>
      </c>
      <c r="GY12" t="s">
        <v>37</v>
      </c>
      <c r="HA12" t="s">
        <v>37</v>
      </c>
      <c r="HC12" t="s">
        <v>37</v>
      </c>
      <c r="HE12" t="s">
        <v>37</v>
      </c>
      <c r="HG12" t="s">
        <v>37</v>
      </c>
      <c r="HI12" t="s">
        <v>37</v>
      </c>
      <c r="HK12" t="s">
        <v>37</v>
      </c>
    </row>
    <row r="13" spans="1:219">
      <c r="A13">
        <v>1210</v>
      </c>
      <c r="B13" t="s">
        <v>48</v>
      </c>
      <c r="C13" t="s">
        <v>37</v>
      </c>
      <c r="D13">
        <v>6245819</v>
      </c>
      <c r="E13" t="s">
        <v>37</v>
      </c>
      <c r="G13" t="s">
        <v>37</v>
      </c>
      <c r="I13" t="s">
        <v>37</v>
      </c>
      <c r="J13">
        <v>433216</v>
      </c>
      <c r="K13" s="48" t="s">
        <v>37</v>
      </c>
      <c r="L13" s="51">
        <v>16421598</v>
      </c>
      <c r="M13" s="48" t="s">
        <v>37</v>
      </c>
      <c r="N13" s="51">
        <v>7017799</v>
      </c>
      <c r="O13" s="48" t="s">
        <v>37</v>
      </c>
      <c r="P13" s="51">
        <v>5213455</v>
      </c>
      <c r="Q13" s="48" t="s">
        <v>37</v>
      </c>
      <c r="R13" s="51">
        <v>12347769</v>
      </c>
      <c r="S13" s="48" t="s">
        <v>37</v>
      </c>
      <c r="T13">
        <v>33664427</v>
      </c>
      <c r="U13" t="s">
        <v>37</v>
      </c>
      <c r="V13">
        <v>868614</v>
      </c>
      <c r="W13" t="s">
        <v>37</v>
      </c>
      <c r="X13">
        <v>2138478</v>
      </c>
      <c r="Y13" t="s">
        <v>37</v>
      </c>
      <c r="AA13" t="s">
        <v>37</v>
      </c>
      <c r="AB13">
        <v>2593235</v>
      </c>
      <c r="AC13" t="s">
        <v>37</v>
      </c>
      <c r="AE13" t="s">
        <v>37</v>
      </c>
      <c r="AG13" t="s">
        <v>37</v>
      </c>
      <c r="AI13" t="s">
        <v>37</v>
      </c>
      <c r="AJ13">
        <v>1111614</v>
      </c>
      <c r="AK13" t="s">
        <v>37</v>
      </c>
      <c r="AL13">
        <v>153402920</v>
      </c>
      <c r="AM13" t="s">
        <v>37</v>
      </c>
      <c r="AO13" t="s">
        <v>37</v>
      </c>
      <c r="AQ13" t="s">
        <v>37</v>
      </c>
      <c r="AR13">
        <v>5828627</v>
      </c>
      <c r="AS13" t="s">
        <v>37</v>
      </c>
      <c r="AU13" t="s">
        <v>37</v>
      </c>
      <c r="AW13" t="s">
        <v>37</v>
      </c>
      <c r="AY13" t="s">
        <v>37</v>
      </c>
      <c r="BA13" t="s">
        <v>37</v>
      </c>
      <c r="BB13">
        <v>3254202</v>
      </c>
      <c r="BC13" t="s">
        <v>37</v>
      </c>
      <c r="BD13">
        <v>3919418</v>
      </c>
      <c r="BE13" t="s">
        <v>37</v>
      </c>
      <c r="BF13">
        <v>1414172</v>
      </c>
      <c r="BG13" t="s">
        <v>37</v>
      </c>
      <c r="BH13">
        <v>195242</v>
      </c>
      <c r="BI13" t="s">
        <v>37</v>
      </c>
      <c r="BJ13">
        <v>13693942</v>
      </c>
      <c r="BK13" t="s">
        <v>37</v>
      </c>
      <c r="BM13" t="s">
        <v>37</v>
      </c>
      <c r="BO13" t="s">
        <v>37</v>
      </c>
      <c r="BP13">
        <v>797062</v>
      </c>
      <c r="BQ13" t="s">
        <v>37</v>
      </c>
      <c r="BR13">
        <v>3812551</v>
      </c>
      <c r="BS13" t="s">
        <v>37</v>
      </c>
      <c r="BU13" t="s">
        <v>37</v>
      </c>
      <c r="BW13" t="s">
        <v>37</v>
      </c>
      <c r="BY13" t="s">
        <v>37</v>
      </c>
      <c r="CA13" t="s">
        <v>37</v>
      </c>
      <c r="CB13">
        <v>2977217</v>
      </c>
      <c r="CC13" t="s">
        <v>37</v>
      </c>
      <c r="CD13">
        <v>1735984</v>
      </c>
      <c r="CE13" t="s">
        <v>37</v>
      </c>
      <c r="CF13">
        <v>21351124</v>
      </c>
      <c r="CG13" t="s">
        <v>37</v>
      </c>
      <c r="CH13">
        <v>46691201</v>
      </c>
      <c r="CI13" t="s">
        <v>37</v>
      </c>
      <c r="CJ13">
        <v>2458856</v>
      </c>
      <c r="CK13" t="s">
        <v>37</v>
      </c>
      <c r="CM13" t="s">
        <v>37</v>
      </c>
      <c r="CO13" t="s">
        <v>37</v>
      </c>
      <c r="CP13">
        <v>2852068</v>
      </c>
      <c r="CQ13" t="s">
        <v>37</v>
      </c>
      <c r="CS13" t="s">
        <v>37</v>
      </c>
      <c r="CU13" t="s">
        <v>37</v>
      </c>
      <c r="CV13">
        <v>30220203</v>
      </c>
      <c r="CW13" t="s">
        <v>37</v>
      </c>
      <c r="CX13">
        <v>2691050</v>
      </c>
      <c r="CY13" t="s">
        <v>37</v>
      </c>
      <c r="CZ13">
        <v>7425961</v>
      </c>
      <c r="DA13" t="s">
        <v>37</v>
      </c>
      <c r="DB13">
        <v>1147565</v>
      </c>
      <c r="DC13" t="s">
        <v>37</v>
      </c>
      <c r="DD13">
        <v>5106272</v>
      </c>
      <c r="DE13" t="s">
        <v>37</v>
      </c>
      <c r="DF13">
        <v>3216142</v>
      </c>
      <c r="DG13" t="s">
        <v>37</v>
      </c>
      <c r="DI13" t="s">
        <v>37</v>
      </c>
      <c r="DJ13">
        <v>9192444</v>
      </c>
      <c r="DK13" t="s">
        <v>37</v>
      </c>
      <c r="DL13">
        <v>24813543</v>
      </c>
      <c r="DM13" t="s">
        <v>37</v>
      </c>
      <c r="DO13" t="s">
        <v>37</v>
      </c>
      <c r="DQ13" t="s">
        <v>37</v>
      </c>
      <c r="DR13">
        <v>976985</v>
      </c>
      <c r="DS13" t="s">
        <v>37</v>
      </c>
      <c r="DT13">
        <v>4809755</v>
      </c>
      <c r="DU13" t="s">
        <v>37</v>
      </c>
      <c r="DW13" t="s">
        <v>37</v>
      </c>
      <c r="DY13" t="s">
        <v>37</v>
      </c>
      <c r="EA13" t="s">
        <v>37</v>
      </c>
      <c r="EC13" t="s">
        <v>37</v>
      </c>
      <c r="EE13" t="s">
        <v>37</v>
      </c>
      <c r="EF13">
        <v>4962701</v>
      </c>
      <c r="EG13" t="s">
        <v>37</v>
      </c>
      <c r="EI13" t="s">
        <v>37</v>
      </c>
      <c r="EJ13">
        <v>3857014</v>
      </c>
      <c r="EK13" t="s">
        <v>37</v>
      </c>
      <c r="EL13">
        <v>2488097</v>
      </c>
      <c r="EM13" t="s">
        <v>37</v>
      </c>
      <c r="EN13">
        <v>1333045</v>
      </c>
      <c r="EO13" t="s">
        <v>37</v>
      </c>
      <c r="EQ13" t="s">
        <v>37</v>
      </c>
      <c r="ES13" t="s">
        <v>37</v>
      </c>
      <c r="EU13" t="s">
        <v>37</v>
      </c>
      <c r="EV13">
        <v>54253011</v>
      </c>
      <c r="EW13" t="s">
        <v>37</v>
      </c>
      <c r="EY13" t="s">
        <v>37</v>
      </c>
      <c r="EZ13">
        <v>1874414</v>
      </c>
      <c r="FA13" t="s">
        <v>37</v>
      </c>
      <c r="FB13">
        <v>604807</v>
      </c>
      <c r="FC13" t="s">
        <v>37</v>
      </c>
      <c r="FD13">
        <v>3222083</v>
      </c>
      <c r="FE13" t="s">
        <v>37</v>
      </c>
      <c r="FG13" t="s">
        <v>37</v>
      </c>
      <c r="FI13" t="s">
        <v>37</v>
      </c>
      <c r="FJ13">
        <v>158166933</v>
      </c>
      <c r="FK13" t="s">
        <v>37</v>
      </c>
      <c r="FL13">
        <v>97862726</v>
      </c>
      <c r="FM13" t="s">
        <v>37</v>
      </c>
      <c r="FN13">
        <v>5417651</v>
      </c>
      <c r="FO13" t="s">
        <v>37</v>
      </c>
      <c r="FQ13" t="s">
        <v>37</v>
      </c>
      <c r="FS13" t="s">
        <v>37</v>
      </c>
      <c r="FU13" t="s">
        <v>37</v>
      </c>
      <c r="FW13" t="s">
        <v>37</v>
      </c>
      <c r="FY13" t="s">
        <v>37</v>
      </c>
      <c r="GA13" t="s">
        <v>37</v>
      </c>
      <c r="GC13" t="s">
        <v>37</v>
      </c>
      <c r="GE13" t="s">
        <v>37</v>
      </c>
      <c r="GG13" t="s">
        <v>37</v>
      </c>
      <c r="GH13">
        <v>1742817</v>
      </c>
      <c r="GI13" t="s">
        <v>37</v>
      </c>
      <c r="GJ13">
        <v>18310585</v>
      </c>
      <c r="GK13" t="s">
        <v>37</v>
      </c>
      <c r="GL13">
        <v>18715981</v>
      </c>
      <c r="GM13" t="s">
        <v>37</v>
      </c>
      <c r="GO13" t="s">
        <v>37</v>
      </c>
      <c r="GQ13" t="s">
        <v>37</v>
      </c>
      <c r="GS13" t="s">
        <v>37</v>
      </c>
      <c r="GT13">
        <v>5888294</v>
      </c>
      <c r="GU13" t="s">
        <v>37</v>
      </c>
      <c r="GV13">
        <v>3131088</v>
      </c>
      <c r="GW13" t="s">
        <v>37</v>
      </c>
      <c r="GX13">
        <v>9576458</v>
      </c>
      <c r="GY13" t="s">
        <v>37</v>
      </c>
      <c r="HA13" t="s">
        <v>37</v>
      </c>
      <c r="HC13" t="s">
        <v>37</v>
      </c>
      <c r="HE13" t="s">
        <v>37</v>
      </c>
      <c r="HF13">
        <v>833448235</v>
      </c>
      <c r="HG13" t="s">
        <v>37</v>
      </c>
      <c r="HI13" t="s">
        <v>37</v>
      </c>
      <c r="HJ13">
        <v>833448235</v>
      </c>
      <c r="HK13" t="s">
        <v>37</v>
      </c>
    </row>
    <row r="14" spans="1:219">
      <c r="A14">
        <v>1240</v>
      </c>
      <c r="B14" t="s">
        <v>49</v>
      </c>
      <c r="C14" t="s">
        <v>37</v>
      </c>
      <c r="D14">
        <v>597511</v>
      </c>
      <c r="E14" t="s">
        <v>37</v>
      </c>
      <c r="G14" t="s">
        <v>37</v>
      </c>
      <c r="I14" t="s">
        <v>37</v>
      </c>
      <c r="K14" s="48" t="s">
        <v>37</v>
      </c>
      <c r="L14" s="51">
        <v>880175</v>
      </c>
      <c r="M14" s="48" t="s">
        <v>37</v>
      </c>
      <c r="N14" s="51">
        <v>621538</v>
      </c>
      <c r="O14" s="48" t="s">
        <v>37</v>
      </c>
      <c r="P14" s="50"/>
      <c r="Q14" s="48" t="s">
        <v>37</v>
      </c>
      <c r="R14" s="50"/>
      <c r="S14" s="48" t="s">
        <v>37</v>
      </c>
      <c r="T14">
        <v>1894677</v>
      </c>
      <c r="U14" t="s">
        <v>37</v>
      </c>
      <c r="W14" t="s">
        <v>37</v>
      </c>
      <c r="X14">
        <v>154664</v>
      </c>
      <c r="Y14" t="s">
        <v>37</v>
      </c>
      <c r="AA14" t="s">
        <v>37</v>
      </c>
      <c r="AB14">
        <v>263749</v>
      </c>
      <c r="AC14" t="s">
        <v>37</v>
      </c>
      <c r="AE14" t="s">
        <v>37</v>
      </c>
      <c r="AG14" t="s">
        <v>37</v>
      </c>
      <c r="AI14" t="s">
        <v>37</v>
      </c>
      <c r="AJ14">
        <v>7827</v>
      </c>
      <c r="AK14" t="s">
        <v>37</v>
      </c>
      <c r="AL14">
        <v>1108823</v>
      </c>
      <c r="AM14" t="s">
        <v>37</v>
      </c>
      <c r="AO14" t="s">
        <v>37</v>
      </c>
      <c r="AQ14" t="s">
        <v>37</v>
      </c>
      <c r="AR14">
        <v>314398</v>
      </c>
      <c r="AS14" t="s">
        <v>37</v>
      </c>
      <c r="AU14" t="s">
        <v>37</v>
      </c>
      <c r="AW14" t="s">
        <v>37</v>
      </c>
      <c r="AY14" t="s">
        <v>37</v>
      </c>
      <c r="BA14" t="s">
        <v>37</v>
      </c>
      <c r="BB14">
        <v>20715</v>
      </c>
      <c r="BC14" t="s">
        <v>37</v>
      </c>
      <c r="BD14">
        <v>58335</v>
      </c>
      <c r="BE14" t="s">
        <v>37</v>
      </c>
      <c r="BF14">
        <v>14132</v>
      </c>
      <c r="BG14" t="s">
        <v>37</v>
      </c>
      <c r="BI14" t="s">
        <v>37</v>
      </c>
      <c r="BK14" t="s">
        <v>37</v>
      </c>
      <c r="BM14" t="s">
        <v>37</v>
      </c>
      <c r="BO14" t="s">
        <v>37</v>
      </c>
      <c r="BP14">
        <v>10867</v>
      </c>
      <c r="BQ14" t="s">
        <v>37</v>
      </c>
      <c r="BR14">
        <v>45178</v>
      </c>
      <c r="BS14" t="s">
        <v>37</v>
      </c>
      <c r="BU14" t="s">
        <v>37</v>
      </c>
      <c r="BW14" t="s">
        <v>37</v>
      </c>
      <c r="BY14" t="s">
        <v>37</v>
      </c>
      <c r="CA14" t="s">
        <v>37</v>
      </c>
      <c r="CC14" t="s">
        <v>37</v>
      </c>
      <c r="CE14" t="s">
        <v>37</v>
      </c>
      <c r="CF14">
        <v>128917</v>
      </c>
      <c r="CG14" t="s">
        <v>37</v>
      </c>
      <c r="CH14">
        <v>94545</v>
      </c>
      <c r="CI14" t="s">
        <v>37</v>
      </c>
      <c r="CJ14">
        <v>8145</v>
      </c>
      <c r="CK14" t="s">
        <v>37</v>
      </c>
      <c r="CM14" t="s">
        <v>37</v>
      </c>
      <c r="CO14" t="s">
        <v>37</v>
      </c>
      <c r="CP14">
        <v>8204</v>
      </c>
      <c r="CQ14" t="s">
        <v>37</v>
      </c>
      <c r="CS14" t="s">
        <v>37</v>
      </c>
      <c r="CU14" t="s">
        <v>37</v>
      </c>
      <c r="CV14">
        <v>3144240</v>
      </c>
      <c r="CW14" t="s">
        <v>37</v>
      </c>
      <c r="CX14">
        <v>28733</v>
      </c>
      <c r="CY14" t="s">
        <v>37</v>
      </c>
      <c r="CZ14">
        <v>20006</v>
      </c>
      <c r="DA14" t="s">
        <v>37</v>
      </c>
      <c r="DB14">
        <v>101865</v>
      </c>
      <c r="DC14" t="s">
        <v>37</v>
      </c>
      <c r="DD14">
        <v>36588</v>
      </c>
      <c r="DE14" t="s">
        <v>37</v>
      </c>
      <c r="DF14">
        <v>44176</v>
      </c>
      <c r="DG14" t="s">
        <v>37</v>
      </c>
      <c r="DI14" t="s">
        <v>37</v>
      </c>
      <c r="DJ14">
        <v>147877</v>
      </c>
      <c r="DK14" t="s">
        <v>37</v>
      </c>
      <c r="DL14">
        <v>381137</v>
      </c>
      <c r="DM14" t="s">
        <v>37</v>
      </c>
      <c r="DO14" t="s">
        <v>37</v>
      </c>
      <c r="DQ14" t="s">
        <v>37</v>
      </c>
      <c r="DS14" t="s">
        <v>37</v>
      </c>
      <c r="DT14">
        <v>41064</v>
      </c>
      <c r="DU14" t="s">
        <v>37</v>
      </c>
      <c r="DW14" t="s">
        <v>37</v>
      </c>
      <c r="DY14" t="s">
        <v>37</v>
      </c>
      <c r="EA14" t="s">
        <v>37</v>
      </c>
      <c r="EC14" t="s">
        <v>37</v>
      </c>
      <c r="EE14" t="s">
        <v>37</v>
      </c>
      <c r="EG14" t="s">
        <v>37</v>
      </c>
      <c r="EI14" t="s">
        <v>37</v>
      </c>
      <c r="EJ14">
        <v>56050</v>
      </c>
      <c r="EK14" t="s">
        <v>37</v>
      </c>
      <c r="EL14">
        <v>36677</v>
      </c>
      <c r="EM14" t="s">
        <v>37</v>
      </c>
      <c r="EN14">
        <v>121914</v>
      </c>
      <c r="EO14" t="s">
        <v>37</v>
      </c>
      <c r="EQ14" t="s">
        <v>37</v>
      </c>
      <c r="ES14" t="s">
        <v>37</v>
      </c>
      <c r="EU14" t="s">
        <v>37</v>
      </c>
      <c r="EV14">
        <v>172869</v>
      </c>
      <c r="EW14" t="s">
        <v>37</v>
      </c>
      <c r="EY14" t="s">
        <v>37</v>
      </c>
      <c r="FA14" t="s">
        <v>37</v>
      </c>
      <c r="FC14" t="s">
        <v>37</v>
      </c>
      <c r="FE14" t="s">
        <v>37</v>
      </c>
      <c r="FG14" t="s">
        <v>37</v>
      </c>
      <c r="FI14" t="s">
        <v>37</v>
      </c>
      <c r="FJ14">
        <v>1748</v>
      </c>
      <c r="FK14" t="s">
        <v>37</v>
      </c>
      <c r="FL14">
        <v>1202011</v>
      </c>
      <c r="FM14" t="s">
        <v>37</v>
      </c>
      <c r="FO14" t="s">
        <v>37</v>
      </c>
      <c r="FQ14" t="s">
        <v>37</v>
      </c>
      <c r="FS14" t="s">
        <v>37</v>
      </c>
      <c r="FU14" t="s">
        <v>37</v>
      </c>
      <c r="FW14" t="s">
        <v>37</v>
      </c>
      <c r="FY14" t="s">
        <v>37</v>
      </c>
      <c r="GA14" t="s">
        <v>37</v>
      </c>
      <c r="GC14" t="s">
        <v>37</v>
      </c>
      <c r="GE14" t="s">
        <v>37</v>
      </c>
      <c r="GG14" t="s">
        <v>37</v>
      </c>
      <c r="GI14" t="s">
        <v>37</v>
      </c>
      <c r="GK14" t="s">
        <v>37</v>
      </c>
      <c r="GM14" t="s">
        <v>37</v>
      </c>
      <c r="GO14" t="s">
        <v>37</v>
      </c>
      <c r="GQ14" t="s">
        <v>37</v>
      </c>
      <c r="GS14" t="s">
        <v>37</v>
      </c>
      <c r="GT14">
        <v>233092</v>
      </c>
      <c r="GU14" t="s">
        <v>37</v>
      </c>
      <c r="GV14">
        <v>89758</v>
      </c>
      <c r="GW14" t="s">
        <v>37</v>
      </c>
      <c r="GY14" t="s">
        <v>37</v>
      </c>
      <c r="HA14" t="s">
        <v>37</v>
      </c>
      <c r="HC14" t="s">
        <v>37</v>
      </c>
      <c r="HE14" t="s">
        <v>37</v>
      </c>
      <c r="HF14">
        <v>12092205</v>
      </c>
      <c r="HG14" t="s">
        <v>37</v>
      </c>
      <c r="HI14" t="s">
        <v>37</v>
      </c>
      <c r="HJ14">
        <v>12092205</v>
      </c>
      <c r="HK14" t="s">
        <v>37</v>
      </c>
    </row>
    <row r="15" spans="1:219">
      <c r="A15">
        <v>1280</v>
      </c>
      <c r="B15" t="s">
        <v>50</v>
      </c>
      <c r="C15" t="s">
        <v>37</v>
      </c>
      <c r="D15">
        <v>248250</v>
      </c>
      <c r="E15" t="s">
        <v>37</v>
      </c>
      <c r="F15">
        <v>3228180</v>
      </c>
      <c r="G15" t="s">
        <v>37</v>
      </c>
      <c r="H15">
        <v>30934</v>
      </c>
      <c r="I15" t="s">
        <v>37</v>
      </c>
      <c r="J15">
        <v>16195</v>
      </c>
      <c r="K15" s="48" t="s">
        <v>37</v>
      </c>
      <c r="L15" s="51">
        <v>281920</v>
      </c>
      <c r="M15" s="48" t="s">
        <v>37</v>
      </c>
      <c r="N15" s="51">
        <v>110149</v>
      </c>
      <c r="O15" s="48" t="s">
        <v>37</v>
      </c>
      <c r="P15" s="51">
        <v>663826</v>
      </c>
      <c r="Q15" s="48" t="s">
        <v>37</v>
      </c>
      <c r="R15" s="51">
        <v>987719</v>
      </c>
      <c r="S15" s="48" t="s">
        <v>37</v>
      </c>
      <c r="T15">
        <v>705878</v>
      </c>
      <c r="U15" t="s">
        <v>37</v>
      </c>
      <c r="V15">
        <v>32380</v>
      </c>
      <c r="W15" t="s">
        <v>37</v>
      </c>
      <c r="X15">
        <v>37121</v>
      </c>
      <c r="Y15" t="s">
        <v>37</v>
      </c>
      <c r="AA15" t="s">
        <v>37</v>
      </c>
      <c r="AB15">
        <v>58802</v>
      </c>
      <c r="AC15" t="s">
        <v>37</v>
      </c>
      <c r="AD15">
        <v>337725</v>
      </c>
      <c r="AE15" t="s">
        <v>37</v>
      </c>
      <c r="AG15" t="s">
        <v>37</v>
      </c>
      <c r="AI15" t="s">
        <v>37</v>
      </c>
      <c r="AK15" t="s">
        <v>37</v>
      </c>
      <c r="AL15">
        <v>72555</v>
      </c>
      <c r="AM15" t="s">
        <v>37</v>
      </c>
      <c r="AO15" t="s">
        <v>37</v>
      </c>
      <c r="AP15">
        <v>11717128</v>
      </c>
      <c r="AQ15" t="s">
        <v>37</v>
      </c>
      <c r="AR15">
        <v>1501169</v>
      </c>
      <c r="AS15" t="s">
        <v>37</v>
      </c>
      <c r="AU15" t="s">
        <v>37</v>
      </c>
      <c r="AV15">
        <v>3487340</v>
      </c>
      <c r="AW15" t="s">
        <v>37</v>
      </c>
      <c r="AX15">
        <v>1808893</v>
      </c>
      <c r="AY15" t="s">
        <v>37</v>
      </c>
      <c r="AZ15">
        <v>1012904</v>
      </c>
      <c r="BA15" t="s">
        <v>37</v>
      </c>
      <c r="BC15" t="s">
        <v>37</v>
      </c>
      <c r="BE15" t="s">
        <v>37</v>
      </c>
      <c r="BG15" t="s">
        <v>37</v>
      </c>
      <c r="BI15" t="s">
        <v>37</v>
      </c>
      <c r="BK15" t="s">
        <v>37</v>
      </c>
      <c r="BL15">
        <v>2270051</v>
      </c>
      <c r="BM15" t="s">
        <v>37</v>
      </c>
      <c r="BO15" t="s">
        <v>37</v>
      </c>
      <c r="BQ15" t="s">
        <v>37</v>
      </c>
      <c r="BS15" t="s">
        <v>37</v>
      </c>
      <c r="BU15" t="s">
        <v>37</v>
      </c>
      <c r="BW15" t="s">
        <v>37</v>
      </c>
      <c r="BX15">
        <v>2558555</v>
      </c>
      <c r="BY15" t="s">
        <v>37</v>
      </c>
      <c r="BZ15">
        <v>136438</v>
      </c>
      <c r="CA15" t="s">
        <v>37</v>
      </c>
      <c r="CC15" t="s">
        <v>37</v>
      </c>
      <c r="CE15" t="s">
        <v>37</v>
      </c>
      <c r="CF15">
        <v>81935</v>
      </c>
      <c r="CG15" t="s">
        <v>37</v>
      </c>
      <c r="CH15">
        <v>1352744</v>
      </c>
      <c r="CI15" t="s">
        <v>37</v>
      </c>
      <c r="CJ15">
        <v>18213</v>
      </c>
      <c r="CK15" t="s">
        <v>37</v>
      </c>
      <c r="CL15">
        <v>512915</v>
      </c>
      <c r="CM15" t="s">
        <v>37</v>
      </c>
      <c r="CN15">
        <v>778498</v>
      </c>
      <c r="CO15" t="s">
        <v>37</v>
      </c>
      <c r="CP15">
        <v>75913</v>
      </c>
      <c r="CQ15" t="s">
        <v>37</v>
      </c>
      <c r="CR15">
        <v>260827</v>
      </c>
      <c r="CS15" t="s">
        <v>37</v>
      </c>
      <c r="CT15">
        <v>14519384</v>
      </c>
      <c r="CU15" t="s">
        <v>37</v>
      </c>
      <c r="CW15" t="s">
        <v>37</v>
      </c>
      <c r="CX15">
        <v>239598</v>
      </c>
      <c r="CY15" t="s">
        <v>37</v>
      </c>
      <c r="DA15" t="s">
        <v>37</v>
      </c>
      <c r="DC15" t="s">
        <v>37</v>
      </c>
      <c r="DD15">
        <v>175</v>
      </c>
      <c r="DE15" t="s">
        <v>37</v>
      </c>
      <c r="DG15" t="s">
        <v>37</v>
      </c>
      <c r="DH15">
        <v>3339957</v>
      </c>
      <c r="DI15" t="s">
        <v>37</v>
      </c>
      <c r="DJ15">
        <v>424974</v>
      </c>
      <c r="DK15" t="s">
        <v>37</v>
      </c>
      <c r="DL15">
        <v>2160178</v>
      </c>
      <c r="DM15" t="s">
        <v>37</v>
      </c>
      <c r="DN15">
        <v>1429643</v>
      </c>
      <c r="DO15" t="s">
        <v>37</v>
      </c>
      <c r="DP15">
        <v>262951</v>
      </c>
      <c r="DQ15" t="s">
        <v>37</v>
      </c>
      <c r="DR15">
        <v>635032</v>
      </c>
      <c r="DS15" t="s">
        <v>37</v>
      </c>
      <c r="DT15">
        <v>151497</v>
      </c>
      <c r="DU15" t="s">
        <v>37</v>
      </c>
      <c r="DV15">
        <v>3660322</v>
      </c>
      <c r="DW15" t="s">
        <v>37</v>
      </c>
      <c r="DX15">
        <v>1228103</v>
      </c>
      <c r="DY15" t="s">
        <v>37</v>
      </c>
      <c r="DZ15">
        <v>9708</v>
      </c>
      <c r="EA15" t="s">
        <v>37</v>
      </c>
      <c r="EB15">
        <v>449301</v>
      </c>
      <c r="EC15" t="s">
        <v>37</v>
      </c>
      <c r="ED15">
        <v>78278</v>
      </c>
      <c r="EE15" t="s">
        <v>37</v>
      </c>
      <c r="EF15">
        <v>138537</v>
      </c>
      <c r="EG15" t="s">
        <v>37</v>
      </c>
      <c r="EI15" t="s">
        <v>37</v>
      </c>
      <c r="EJ15">
        <v>107735</v>
      </c>
      <c r="EK15" t="s">
        <v>37</v>
      </c>
      <c r="EL15">
        <v>66565</v>
      </c>
      <c r="EM15" t="s">
        <v>37</v>
      </c>
      <c r="EO15" t="s">
        <v>37</v>
      </c>
      <c r="EQ15" t="s">
        <v>37</v>
      </c>
      <c r="ER15">
        <v>2473128</v>
      </c>
      <c r="ES15" t="s">
        <v>37</v>
      </c>
      <c r="ET15">
        <v>1173323</v>
      </c>
      <c r="EU15" t="s">
        <v>37</v>
      </c>
      <c r="EV15">
        <v>1913859</v>
      </c>
      <c r="EW15" t="s">
        <v>37</v>
      </c>
      <c r="EY15" t="s">
        <v>37</v>
      </c>
      <c r="EZ15">
        <v>983273</v>
      </c>
      <c r="FA15" t="s">
        <v>37</v>
      </c>
      <c r="FB15">
        <v>164336</v>
      </c>
      <c r="FC15" t="s">
        <v>37</v>
      </c>
      <c r="FD15">
        <v>1488642</v>
      </c>
      <c r="FE15" t="s">
        <v>37</v>
      </c>
      <c r="FG15" t="s">
        <v>37</v>
      </c>
      <c r="FH15">
        <v>57293</v>
      </c>
      <c r="FI15" t="s">
        <v>37</v>
      </c>
      <c r="FJ15">
        <v>6147665</v>
      </c>
      <c r="FK15" t="s">
        <v>37</v>
      </c>
      <c r="FL15">
        <v>955039</v>
      </c>
      <c r="FM15" t="s">
        <v>37</v>
      </c>
      <c r="FO15" t="s">
        <v>37</v>
      </c>
      <c r="FQ15" t="s">
        <v>37</v>
      </c>
      <c r="FR15">
        <v>66554</v>
      </c>
      <c r="FS15" t="s">
        <v>37</v>
      </c>
      <c r="FT15">
        <v>1296281</v>
      </c>
      <c r="FU15" t="s">
        <v>37</v>
      </c>
      <c r="FV15">
        <v>126483</v>
      </c>
      <c r="FW15" t="s">
        <v>37</v>
      </c>
      <c r="FX15">
        <v>4902610</v>
      </c>
      <c r="FY15" t="s">
        <v>37</v>
      </c>
      <c r="FZ15">
        <v>1833006</v>
      </c>
      <c r="GA15" t="s">
        <v>37</v>
      </c>
      <c r="GB15">
        <v>42550</v>
      </c>
      <c r="GC15" t="s">
        <v>37</v>
      </c>
      <c r="GD15">
        <v>2821</v>
      </c>
      <c r="GE15" t="s">
        <v>37</v>
      </c>
      <c r="GF15">
        <v>11374</v>
      </c>
      <c r="GG15" t="s">
        <v>37</v>
      </c>
      <c r="GI15" t="s">
        <v>37</v>
      </c>
      <c r="GJ15">
        <v>286707</v>
      </c>
      <c r="GK15" t="s">
        <v>37</v>
      </c>
      <c r="GM15" t="s">
        <v>37</v>
      </c>
      <c r="GO15" t="s">
        <v>37</v>
      </c>
      <c r="GQ15" t="s">
        <v>37</v>
      </c>
      <c r="GR15">
        <v>3398472</v>
      </c>
      <c r="GS15" t="s">
        <v>37</v>
      </c>
      <c r="GU15" t="s">
        <v>37</v>
      </c>
      <c r="GV15">
        <v>194008</v>
      </c>
      <c r="GW15" t="s">
        <v>37</v>
      </c>
      <c r="GY15" t="s">
        <v>37</v>
      </c>
      <c r="GZ15">
        <v>2423424</v>
      </c>
      <c r="HA15" t="s">
        <v>37</v>
      </c>
      <c r="HC15" t="s">
        <v>37</v>
      </c>
      <c r="HE15" t="s">
        <v>37</v>
      </c>
      <c r="HF15">
        <v>93227943</v>
      </c>
      <c r="HG15" t="s">
        <v>37</v>
      </c>
      <c r="HI15" t="s">
        <v>37</v>
      </c>
      <c r="HJ15">
        <v>93227943</v>
      </c>
      <c r="HK15" t="s">
        <v>37</v>
      </c>
    </row>
    <row r="16" spans="1:219">
      <c r="A16">
        <v>1290</v>
      </c>
      <c r="B16" t="s">
        <v>51</v>
      </c>
      <c r="C16" t="s">
        <v>37</v>
      </c>
      <c r="D16">
        <v>-185981</v>
      </c>
      <c r="E16" t="s">
        <v>37</v>
      </c>
      <c r="G16" t="s">
        <v>37</v>
      </c>
      <c r="I16" t="s">
        <v>37</v>
      </c>
      <c r="K16" s="48" t="s">
        <v>37</v>
      </c>
      <c r="L16" s="51">
        <v>2529411</v>
      </c>
      <c r="M16" s="48" t="s">
        <v>37</v>
      </c>
      <c r="N16" s="51">
        <v>1058039</v>
      </c>
      <c r="O16" s="48" t="s">
        <v>37</v>
      </c>
      <c r="P16" s="50"/>
      <c r="Q16" s="48" t="s">
        <v>37</v>
      </c>
      <c r="R16" s="50"/>
      <c r="S16" s="48" t="s">
        <v>37</v>
      </c>
      <c r="T16">
        <v>3578859</v>
      </c>
      <c r="U16" t="s">
        <v>37</v>
      </c>
      <c r="W16" t="s">
        <v>37</v>
      </c>
      <c r="Y16" t="s">
        <v>37</v>
      </c>
      <c r="AA16" t="s">
        <v>37</v>
      </c>
      <c r="AC16" t="s">
        <v>37</v>
      </c>
      <c r="AE16" t="s">
        <v>37</v>
      </c>
      <c r="AG16" t="s">
        <v>37</v>
      </c>
      <c r="AI16" t="s">
        <v>37</v>
      </c>
      <c r="AK16" t="s">
        <v>37</v>
      </c>
      <c r="AM16" t="s">
        <v>37</v>
      </c>
      <c r="AO16" t="s">
        <v>37</v>
      </c>
      <c r="AQ16" t="s">
        <v>37</v>
      </c>
      <c r="AS16" t="s">
        <v>37</v>
      </c>
      <c r="AU16" t="s">
        <v>37</v>
      </c>
      <c r="AW16" t="s">
        <v>37</v>
      </c>
      <c r="AY16" t="s">
        <v>37</v>
      </c>
      <c r="AZ16">
        <v>2678003</v>
      </c>
      <c r="BA16" t="s">
        <v>37</v>
      </c>
      <c r="BB16">
        <v>498106</v>
      </c>
      <c r="BC16" t="s">
        <v>37</v>
      </c>
      <c r="BE16" t="s">
        <v>37</v>
      </c>
      <c r="BF16">
        <v>592984</v>
      </c>
      <c r="BG16" t="s">
        <v>37</v>
      </c>
      <c r="BI16" t="s">
        <v>37</v>
      </c>
      <c r="BK16" t="s">
        <v>37</v>
      </c>
      <c r="BM16" t="s">
        <v>37</v>
      </c>
      <c r="BO16" t="s">
        <v>37</v>
      </c>
      <c r="BP16">
        <v>191741</v>
      </c>
      <c r="BQ16" t="s">
        <v>37</v>
      </c>
      <c r="BR16">
        <v>693689</v>
      </c>
      <c r="BS16" t="s">
        <v>37</v>
      </c>
      <c r="BU16" t="s">
        <v>37</v>
      </c>
      <c r="BW16" t="s">
        <v>37</v>
      </c>
      <c r="BY16" t="s">
        <v>37</v>
      </c>
      <c r="CA16" t="s">
        <v>37</v>
      </c>
      <c r="CC16" t="s">
        <v>37</v>
      </c>
      <c r="CE16" t="s">
        <v>37</v>
      </c>
      <c r="CG16" t="s">
        <v>37</v>
      </c>
      <c r="CI16" t="s">
        <v>37</v>
      </c>
      <c r="CK16" t="s">
        <v>37</v>
      </c>
      <c r="CM16" t="s">
        <v>37</v>
      </c>
      <c r="CO16" t="s">
        <v>37</v>
      </c>
      <c r="CQ16" t="s">
        <v>37</v>
      </c>
      <c r="CS16" t="s">
        <v>37</v>
      </c>
      <c r="CU16" t="s">
        <v>37</v>
      </c>
      <c r="CW16" t="s">
        <v>37</v>
      </c>
      <c r="CY16" t="s">
        <v>37</v>
      </c>
      <c r="DA16" t="s">
        <v>37</v>
      </c>
      <c r="DC16" t="s">
        <v>37</v>
      </c>
      <c r="DE16" t="s">
        <v>37</v>
      </c>
      <c r="DG16" t="s">
        <v>37</v>
      </c>
      <c r="DI16" t="s">
        <v>37</v>
      </c>
      <c r="DK16" t="s">
        <v>37</v>
      </c>
      <c r="DM16" t="s">
        <v>37</v>
      </c>
      <c r="DO16" t="s">
        <v>37</v>
      </c>
      <c r="DQ16" t="s">
        <v>37</v>
      </c>
      <c r="DS16" t="s">
        <v>37</v>
      </c>
      <c r="DT16">
        <v>162622</v>
      </c>
      <c r="DU16" t="s">
        <v>37</v>
      </c>
      <c r="DW16" t="s">
        <v>37</v>
      </c>
      <c r="DY16" t="s">
        <v>37</v>
      </c>
      <c r="EA16" t="s">
        <v>37</v>
      </c>
      <c r="EC16" t="s">
        <v>37</v>
      </c>
      <c r="EE16" t="s">
        <v>37</v>
      </c>
      <c r="EG16" t="s">
        <v>37</v>
      </c>
      <c r="EI16" t="s">
        <v>37</v>
      </c>
      <c r="EK16" t="s">
        <v>37</v>
      </c>
      <c r="EM16" t="s">
        <v>37</v>
      </c>
      <c r="EO16" t="s">
        <v>37</v>
      </c>
      <c r="EQ16" t="s">
        <v>37</v>
      </c>
      <c r="ES16" t="s">
        <v>37</v>
      </c>
      <c r="EU16" t="s">
        <v>37</v>
      </c>
      <c r="EW16" t="s">
        <v>37</v>
      </c>
      <c r="EY16" t="s">
        <v>37</v>
      </c>
      <c r="FA16" t="s">
        <v>37</v>
      </c>
      <c r="FB16">
        <v>2395955</v>
      </c>
      <c r="FC16" t="s">
        <v>37</v>
      </c>
      <c r="FE16" t="s">
        <v>37</v>
      </c>
      <c r="FG16" t="s">
        <v>37</v>
      </c>
      <c r="FI16" t="s">
        <v>37</v>
      </c>
      <c r="FK16" t="s">
        <v>37</v>
      </c>
      <c r="FM16" t="s">
        <v>37</v>
      </c>
      <c r="FO16" t="s">
        <v>37</v>
      </c>
      <c r="FQ16" t="s">
        <v>37</v>
      </c>
      <c r="FR16">
        <v>2896709</v>
      </c>
      <c r="FS16" t="s">
        <v>37</v>
      </c>
      <c r="FU16" t="s">
        <v>37</v>
      </c>
      <c r="FW16" t="s">
        <v>37</v>
      </c>
      <c r="FY16" t="s">
        <v>37</v>
      </c>
      <c r="GA16" t="s">
        <v>37</v>
      </c>
      <c r="GC16" t="s">
        <v>37</v>
      </c>
      <c r="GE16" t="s">
        <v>37</v>
      </c>
      <c r="GG16" t="s">
        <v>37</v>
      </c>
      <c r="GI16" t="s">
        <v>37</v>
      </c>
      <c r="GK16" t="s">
        <v>37</v>
      </c>
      <c r="GM16" t="s">
        <v>37</v>
      </c>
      <c r="GO16" t="s">
        <v>37</v>
      </c>
      <c r="GQ16" t="s">
        <v>37</v>
      </c>
      <c r="GS16" t="s">
        <v>37</v>
      </c>
      <c r="GU16" t="s">
        <v>37</v>
      </c>
      <c r="GW16" t="s">
        <v>37</v>
      </c>
      <c r="GY16" t="s">
        <v>37</v>
      </c>
      <c r="HA16" t="s">
        <v>37</v>
      </c>
      <c r="HC16" t="s">
        <v>37</v>
      </c>
      <c r="HE16" t="s">
        <v>37</v>
      </c>
      <c r="HF16">
        <v>17090137</v>
      </c>
      <c r="HG16" t="s">
        <v>37</v>
      </c>
      <c r="HI16" t="s">
        <v>37</v>
      </c>
      <c r="HJ16">
        <v>17090137</v>
      </c>
      <c r="HK16" t="s">
        <v>37</v>
      </c>
    </row>
    <row r="17" spans="1:219">
      <c r="A17">
        <v>1300</v>
      </c>
      <c r="B17" t="s">
        <v>52</v>
      </c>
      <c r="C17" t="s">
        <v>37</v>
      </c>
      <c r="E17" t="s">
        <v>37</v>
      </c>
      <c r="G17" t="s">
        <v>37</v>
      </c>
      <c r="I17" t="s">
        <v>37</v>
      </c>
      <c r="K17" s="48" t="s">
        <v>37</v>
      </c>
      <c r="L17" s="50"/>
      <c r="M17" s="48" t="s">
        <v>37</v>
      </c>
      <c r="N17" s="50"/>
      <c r="O17" s="48" t="s">
        <v>37</v>
      </c>
      <c r="P17" s="50"/>
      <c r="Q17" s="48" t="s">
        <v>37</v>
      </c>
      <c r="R17" s="50"/>
      <c r="S17" s="48" t="s">
        <v>37</v>
      </c>
      <c r="U17" t="s">
        <v>37</v>
      </c>
      <c r="W17" t="s">
        <v>37</v>
      </c>
      <c r="Y17" t="s">
        <v>37</v>
      </c>
      <c r="AA17" t="s">
        <v>37</v>
      </c>
      <c r="AC17" t="s">
        <v>37</v>
      </c>
      <c r="AE17" t="s">
        <v>37</v>
      </c>
      <c r="AG17" t="s">
        <v>37</v>
      </c>
      <c r="AI17" t="s">
        <v>37</v>
      </c>
      <c r="AK17" t="s">
        <v>37</v>
      </c>
      <c r="AM17" t="s">
        <v>37</v>
      </c>
      <c r="AO17" t="s">
        <v>37</v>
      </c>
      <c r="AQ17" t="s">
        <v>37</v>
      </c>
      <c r="AS17" t="s">
        <v>37</v>
      </c>
      <c r="AU17" t="s">
        <v>37</v>
      </c>
      <c r="AW17" t="s">
        <v>37</v>
      </c>
      <c r="AY17" t="s">
        <v>37</v>
      </c>
      <c r="BA17" t="s">
        <v>37</v>
      </c>
      <c r="BC17" t="s">
        <v>37</v>
      </c>
      <c r="BE17" t="s">
        <v>37</v>
      </c>
      <c r="BG17" t="s">
        <v>37</v>
      </c>
      <c r="BI17" t="s">
        <v>37</v>
      </c>
      <c r="BK17" t="s">
        <v>37</v>
      </c>
      <c r="BM17" t="s">
        <v>37</v>
      </c>
      <c r="BO17" t="s">
        <v>37</v>
      </c>
      <c r="BQ17" t="s">
        <v>37</v>
      </c>
      <c r="BS17" t="s">
        <v>37</v>
      </c>
      <c r="BU17" t="s">
        <v>37</v>
      </c>
      <c r="BW17" t="s">
        <v>37</v>
      </c>
      <c r="BY17" t="s">
        <v>37</v>
      </c>
      <c r="CA17" t="s">
        <v>37</v>
      </c>
      <c r="CC17" t="s">
        <v>37</v>
      </c>
      <c r="CE17" t="s">
        <v>37</v>
      </c>
      <c r="CG17" t="s">
        <v>37</v>
      </c>
      <c r="CI17" t="s">
        <v>37</v>
      </c>
      <c r="CK17" t="s">
        <v>37</v>
      </c>
      <c r="CM17" t="s">
        <v>37</v>
      </c>
      <c r="CO17" t="s">
        <v>37</v>
      </c>
      <c r="CQ17" t="s">
        <v>37</v>
      </c>
      <c r="CS17" t="s">
        <v>37</v>
      </c>
      <c r="CU17" t="s">
        <v>37</v>
      </c>
      <c r="CW17" t="s">
        <v>37</v>
      </c>
      <c r="CY17" t="s">
        <v>37</v>
      </c>
      <c r="DA17" t="s">
        <v>37</v>
      </c>
      <c r="DC17" t="s">
        <v>37</v>
      </c>
      <c r="DE17" t="s">
        <v>37</v>
      </c>
      <c r="DG17" t="s">
        <v>37</v>
      </c>
      <c r="DI17" t="s">
        <v>37</v>
      </c>
      <c r="DK17" t="s">
        <v>37</v>
      </c>
      <c r="DM17" t="s">
        <v>37</v>
      </c>
      <c r="DO17" t="s">
        <v>37</v>
      </c>
      <c r="DQ17" t="s">
        <v>37</v>
      </c>
      <c r="DS17" t="s">
        <v>37</v>
      </c>
      <c r="DU17" t="s">
        <v>37</v>
      </c>
      <c r="DW17" t="s">
        <v>37</v>
      </c>
      <c r="DY17" t="s">
        <v>37</v>
      </c>
      <c r="EA17" t="s">
        <v>37</v>
      </c>
      <c r="EC17" t="s">
        <v>37</v>
      </c>
      <c r="EE17" t="s">
        <v>37</v>
      </c>
      <c r="EG17" t="s">
        <v>37</v>
      </c>
      <c r="EI17" t="s">
        <v>37</v>
      </c>
      <c r="EK17" t="s">
        <v>37</v>
      </c>
      <c r="EM17" t="s">
        <v>37</v>
      </c>
      <c r="EO17" t="s">
        <v>37</v>
      </c>
      <c r="EQ17" t="s">
        <v>37</v>
      </c>
      <c r="ES17" t="s">
        <v>37</v>
      </c>
      <c r="EU17" t="s">
        <v>37</v>
      </c>
      <c r="EW17" t="s">
        <v>37</v>
      </c>
      <c r="EY17" t="s">
        <v>37</v>
      </c>
      <c r="FA17" t="s">
        <v>37</v>
      </c>
      <c r="FC17" t="s">
        <v>37</v>
      </c>
      <c r="FE17" t="s">
        <v>37</v>
      </c>
      <c r="FG17" t="s">
        <v>37</v>
      </c>
      <c r="FI17" t="s">
        <v>37</v>
      </c>
      <c r="FK17" t="s">
        <v>37</v>
      </c>
      <c r="FM17" t="s">
        <v>37</v>
      </c>
      <c r="FO17" t="s">
        <v>37</v>
      </c>
      <c r="FQ17" t="s">
        <v>37</v>
      </c>
      <c r="FS17" t="s">
        <v>37</v>
      </c>
      <c r="FU17" t="s">
        <v>37</v>
      </c>
      <c r="FW17" t="s">
        <v>37</v>
      </c>
      <c r="FY17" t="s">
        <v>37</v>
      </c>
      <c r="GA17" t="s">
        <v>37</v>
      </c>
      <c r="GC17" t="s">
        <v>37</v>
      </c>
      <c r="GE17" t="s">
        <v>37</v>
      </c>
      <c r="GG17" t="s">
        <v>37</v>
      </c>
      <c r="GI17" t="s">
        <v>37</v>
      </c>
      <c r="GK17" t="s">
        <v>37</v>
      </c>
      <c r="GM17" t="s">
        <v>37</v>
      </c>
      <c r="GO17" t="s">
        <v>37</v>
      </c>
      <c r="GQ17" t="s">
        <v>37</v>
      </c>
      <c r="GS17" t="s">
        <v>37</v>
      </c>
      <c r="GU17" t="s">
        <v>37</v>
      </c>
      <c r="GW17" t="s">
        <v>37</v>
      </c>
      <c r="GY17" t="s">
        <v>37</v>
      </c>
      <c r="HA17" t="s">
        <v>37</v>
      </c>
      <c r="HC17" t="s">
        <v>37</v>
      </c>
      <c r="HE17" t="s">
        <v>37</v>
      </c>
      <c r="HG17" t="s">
        <v>37</v>
      </c>
      <c r="HI17" t="s">
        <v>37</v>
      </c>
      <c r="HK17" t="s">
        <v>37</v>
      </c>
    </row>
    <row r="18" spans="1:219">
      <c r="A18">
        <v>1310</v>
      </c>
      <c r="B18" t="s">
        <v>53</v>
      </c>
      <c r="C18" t="s">
        <v>37</v>
      </c>
      <c r="D18">
        <v>4600</v>
      </c>
      <c r="E18" t="s">
        <v>37</v>
      </c>
      <c r="F18">
        <v>19069</v>
      </c>
      <c r="G18" t="s">
        <v>37</v>
      </c>
      <c r="I18" t="s">
        <v>37</v>
      </c>
      <c r="K18" s="48" t="s">
        <v>37</v>
      </c>
      <c r="L18" s="51">
        <v>29796</v>
      </c>
      <c r="M18" s="48" t="s">
        <v>37</v>
      </c>
      <c r="N18" s="51">
        <v>13270</v>
      </c>
      <c r="O18" s="48" t="s">
        <v>37</v>
      </c>
      <c r="P18" s="51">
        <v>6586</v>
      </c>
      <c r="Q18" s="48" t="s">
        <v>37</v>
      </c>
      <c r="R18" s="51">
        <v>9507</v>
      </c>
      <c r="S18" s="48" t="s">
        <v>37</v>
      </c>
      <c r="U18" t="s">
        <v>37</v>
      </c>
      <c r="W18" t="s">
        <v>37</v>
      </c>
      <c r="Y18" t="s">
        <v>37</v>
      </c>
      <c r="Z18">
        <v>44039</v>
      </c>
      <c r="AA18" t="s">
        <v>37</v>
      </c>
      <c r="AC18" t="s">
        <v>37</v>
      </c>
      <c r="AE18" t="s">
        <v>37</v>
      </c>
      <c r="AG18" t="s">
        <v>37</v>
      </c>
      <c r="AI18" t="s">
        <v>37</v>
      </c>
      <c r="AK18" t="s">
        <v>37</v>
      </c>
      <c r="AL18">
        <v>40379</v>
      </c>
      <c r="AM18" t="s">
        <v>37</v>
      </c>
      <c r="AO18" t="s">
        <v>37</v>
      </c>
      <c r="AP18">
        <v>2424119</v>
      </c>
      <c r="AQ18" t="s">
        <v>37</v>
      </c>
      <c r="AS18" t="s">
        <v>37</v>
      </c>
      <c r="AT18">
        <v>29275</v>
      </c>
      <c r="AU18" t="s">
        <v>37</v>
      </c>
      <c r="AW18" t="s">
        <v>37</v>
      </c>
      <c r="AX18">
        <v>1517</v>
      </c>
      <c r="AY18" t="s">
        <v>37</v>
      </c>
      <c r="AZ18">
        <v>61794</v>
      </c>
      <c r="BA18" t="s">
        <v>37</v>
      </c>
      <c r="BC18" t="s">
        <v>37</v>
      </c>
      <c r="BD18">
        <v>6214</v>
      </c>
      <c r="BE18" t="s">
        <v>37</v>
      </c>
      <c r="BF18">
        <v>100565</v>
      </c>
      <c r="BG18" t="s">
        <v>37</v>
      </c>
      <c r="BH18">
        <v>4201</v>
      </c>
      <c r="BI18" t="s">
        <v>37</v>
      </c>
      <c r="BK18" t="s">
        <v>37</v>
      </c>
      <c r="BM18" t="s">
        <v>37</v>
      </c>
      <c r="BO18" t="s">
        <v>37</v>
      </c>
      <c r="BQ18" t="s">
        <v>37</v>
      </c>
      <c r="BS18" t="s">
        <v>37</v>
      </c>
      <c r="BU18" t="s">
        <v>37</v>
      </c>
      <c r="BW18" t="s">
        <v>37</v>
      </c>
      <c r="BY18" t="s">
        <v>37</v>
      </c>
      <c r="CA18" t="s">
        <v>37</v>
      </c>
      <c r="CB18">
        <v>7752</v>
      </c>
      <c r="CC18" t="s">
        <v>37</v>
      </c>
      <c r="CD18">
        <v>11617</v>
      </c>
      <c r="CE18" t="s">
        <v>37</v>
      </c>
      <c r="CF18">
        <v>1068</v>
      </c>
      <c r="CG18" t="s">
        <v>37</v>
      </c>
      <c r="CH18">
        <v>102253</v>
      </c>
      <c r="CI18" t="s">
        <v>37</v>
      </c>
      <c r="CK18" t="s">
        <v>37</v>
      </c>
      <c r="CL18">
        <v>7970</v>
      </c>
      <c r="CM18" t="s">
        <v>37</v>
      </c>
      <c r="CO18" t="s">
        <v>37</v>
      </c>
      <c r="CP18">
        <v>55215</v>
      </c>
      <c r="CQ18" t="s">
        <v>37</v>
      </c>
      <c r="CR18">
        <v>25358</v>
      </c>
      <c r="CS18" t="s">
        <v>37</v>
      </c>
      <c r="CT18">
        <v>495128</v>
      </c>
      <c r="CU18" t="s">
        <v>37</v>
      </c>
      <c r="CV18">
        <v>5400</v>
      </c>
      <c r="CW18" t="s">
        <v>37</v>
      </c>
      <c r="CX18">
        <v>7750</v>
      </c>
      <c r="CY18" t="s">
        <v>37</v>
      </c>
      <c r="CZ18">
        <v>9080</v>
      </c>
      <c r="DA18" t="s">
        <v>37</v>
      </c>
      <c r="DC18" t="s">
        <v>37</v>
      </c>
      <c r="DD18">
        <v>28003</v>
      </c>
      <c r="DE18" t="s">
        <v>37</v>
      </c>
      <c r="DG18" t="s">
        <v>37</v>
      </c>
      <c r="DH18">
        <v>59417</v>
      </c>
      <c r="DI18" t="s">
        <v>37</v>
      </c>
      <c r="DK18" t="s">
        <v>37</v>
      </c>
      <c r="DM18" t="s">
        <v>37</v>
      </c>
      <c r="DN18">
        <v>37589</v>
      </c>
      <c r="DO18" t="s">
        <v>37</v>
      </c>
      <c r="DQ18" t="s">
        <v>37</v>
      </c>
      <c r="DR18">
        <v>4776</v>
      </c>
      <c r="DS18" t="s">
        <v>37</v>
      </c>
      <c r="DU18" t="s">
        <v>37</v>
      </c>
      <c r="DV18">
        <v>33968</v>
      </c>
      <c r="DW18" t="s">
        <v>37</v>
      </c>
      <c r="DX18">
        <v>33500</v>
      </c>
      <c r="DY18" t="s">
        <v>37</v>
      </c>
      <c r="DZ18">
        <v>83297</v>
      </c>
      <c r="EA18" t="s">
        <v>37</v>
      </c>
      <c r="EB18">
        <v>36675</v>
      </c>
      <c r="EC18" t="s">
        <v>37</v>
      </c>
      <c r="ED18">
        <v>287505</v>
      </c>
      <c r="EE18" t="s">
        <v>37</v>
      </c>
      <c r="EG18" t="s">
        <v>37</v>
      </c>
      <c r="EI18" t="s">
        <v>37</v>
      </c>
      <c r="EK18" t="s">
        <v>37</v>
      </c>
      <c r="EL18">
        <v>16296</v>
      </c>
      <c r="EM18" t="s">
        <v>37</v>
      </c>
      <c r="EO18" t="s">
        <v>37</v>
      </c>
      <c r="EP18">
        <v>35090</v>
      </c>
      <c r="EQ18" t="s">
        <v>37</v>
      </c>
      <c r="ES18" t="s">
        <v>37</v>
      </c>
      <c r="ET18">
        <v>1700</v>
      </c>
      <c r="EU18" t="s">
        <v>37</v>
      </c>
      <c r="EV18">
        <v>103074</v>
      </c>
      <c r="EW18" t="s">
        <v>37</v>
      </c>
      <c r="EY18" t="s">
        <v>37</v>
      </c>
      <c r="FA18" t="s">
        <v>37</v>
      </c>
      <c r="FB18">
        <v>25225</v>
      </c>
      <c r="FC18" t="s">
        <v>37</v>
      </c>
      <c r="FD18">
        <v>77335</v>
      </c>
      <c r="FE18" t="s">
        <v>37</v>
      </c>
      <c r="FG18" t="s">
        <v>37</v>
      </c>
      <c r="FH18">
        <v>240398</v>
      </c>
      <c r="FI18" t="s">
        <v>37</v>
      </c>
      <c r="FJ18">
        <v>72550</v>
      </c>
      <c r="FK18" t="s">
        <v>37</v>
      </c>
      <c r="FL18">
        <v>90318</v>
      </c>
      <c r="FM18" t="s">
        <v>37</v>
      </c>
      <c r="FO18" t="s">
        <v>37</v>
      </c>
      <c r="FP18">
        <v>5112</v>
      </c>
      <c r="FQ18" t="s">
        <v>37</v>
      </c>
      <c r="FR18">
        <v>6335</v>
      </c>
      <c r="FS18" t="s">
        <v>37</v>
      </c>
      <c r="FT18">
        <v>42214</v>
      </c>
      <c r="FU18" t="s">
        <v>37</v>
      </c>
      <c r="FV18">
        <v>3550</v>
      </c>
      <c r="FW18" t="s">
        <v>37</v>
      </c>
      <c r="FX18">
        <v>3815</v>
      </c>
      <c r="FY18" t="s">
        <v>37</v>
      </c>
      <c r="FZ18">
        <v>29962</v>
      </c>
      <c r="GA18" t="s">
        <v>37</v>
      </c>
      <c r="GB18">
        <v>47447</v>
      </c>
      <c r="GC18" t="s">
        <v>37</v>
      </c>
      <c r="GE18" t="s">
        <v>37</v>
      </c>
      <c r="GG18" t="s">
        <v>37</v>
      </c>
      <c r="GI18" t="s">
        <v>37</v>
      </c>
      <c r="GJ18">
        <v>1139</v>
      </c>
      <c r="GK18" t="s">
        <v>37</v>
      </c>
      <c r="GL18">
        <v>551267</v>
      </c>
      <c r="GM18" t="s">
        <v>37</v>
      </c>
      <c r="GO18" t="s">
        <v>37</v>
      </c>
      <c r="GQ18" t="s">
        <v>37</v>
      </c>
      <c r="GS18" t="s">
        <v>37</v>
      </c>
      <c r="GU18" t="s">
        <v>37</v>
      </c>
      <c r="GV18">
        <v>6218</v>
      </c>
      <c r="GW18" t="s">
        <v>37</v>
      </c>
      <c r="GX18">
        <v>280631</v>
      </c>
      <c r="GY18" t="s">
        <v>37</v>
      </c>
      <c r="GZ18">
        <v>139833</v>
      </c>
      <c r="HA18" t="s">
        <v>37</v>
      </c>
      <c r="HC18" t="s">
        <v>37</v>
      </c>
      <c r="HE18" t="s">
        <v>37</v>
      </c>
      <c r="HF18">
        <v>5907761</v>
      </c>
      <c r="HG18" t="s">
        <v>37</v>
      </c>
      <c r="HI18" t="s">
        <v>37</v>
      </c>
      <c r="HJ18">
        <v>5907761</v>
      </c>
      <c r="HK18" t="s">
        <v>37</v>
      </c>
    </row>
    <row r="19" spans="1:219">
      <c r="A19">
        <v>1320</v>
      </c>
      <c r="B19" t="s">
        <v>54</v>
      </c>
      <c r="C19" t="s">
        <v>37</v>
      </c>
      <c r="E19" t="s">
        <v>37</v>
      </c>
      <c r="F19">
        <v>12820</v>
      </c>
      <c r="G19" t="s">
        <v>37</v>
      </c>
      <c r="H19">
        <v>47341</v>
      </c>
      <c r="I19" t="s">
        <v>37</v>
      </c>
      <c r="K19" s="48" t="s">
        <v>37</v>
      </c>
      <c r="L19" s="51">
        <v>17317</v>
      </c>
      <c r="M19" s="48" t="s">
        <v>37</v>
      </c>
      <c r="N19" s="50"/>
      <c r="O19" s="48" t="s">
        <v>37</v>
      </c>
      <c r="P19" s="50"/>
      <c r="Q19" s="48" t="s">
        <v>37</v>
      </c>
      <c r="R19" s="50"/>
      <c r="S19" s="48" t="s">
        <v>37</v>
      </c>
      <c r="T19">
        <v>76940</v>
      </c>
      <c r="U19" t="s">
        <v>37</v>
      </c>
      <c r="W19" t="s">
        <v>37</v>
      </c>
      <c r="X19">
        <v>1221292</v>
      </c>
      <c r="Y19" t="s">
        <v>37</v>
      </c>
      <c r="AA19" t="s">
        <v>37</v>
      </c>
      <c r="AC19" t="s">
        <v>37</v>
      </c>
      <c r="AE19" t="s">
        <v>37</v>
      </c>
      <c r="AG19" t="s">
        <v>37</v>
      </c>
      <c r="AH19">
        <v>90802</v>
      </c>
      <c r="AI19" t="s">
        <v>37</v>
      </c>
      <c r="AJ19">
        <v>181167</v>
      </c>
      <c r="AK19" t="s">
        <v>37</v>
      </c>
      <c r="AM19" t="s">
        <v>37</v>
      </c>
      <c r="AN19">
        <v>2431388</v>
      </c>
      <c r="AO19" t="s">
        <v>37</v>
      </c>
      <c r="AP19">
        <v>56192</v>
      </c>
      <c r="AQ19" t="s">
        <v>37</v>
      </c>
      <c r="AS19" t="s">
        <v>37</v>
      </c>
      <c r="AU19" t="s">
        <v>37</v>
      </c>
      <c r="AW19" t="s">
        <v>37</v>
      </c>
      <c r="AX19">
        <v>50000</v>
      </c>
      <c r="AY19" t="s">
        <v>37</v>
      </c>
      <c r="AZ19">
        <v>16318</v>
      </c>
      <c r="BA19" t="s">
        <v>37</v>
      </c>
      <c r="BC19" t="s">
        <v>37</v>
      </c>
      <c r="BE19" t="s">
        <v>37</v>
      </c>
      <c r="BG19" t="s">
        <v>37</v>
      </c>
      <c r="BH19">
        <v>750617</v>
      </c>
      <c r="BI19" t="s">
        <v>37</v>
      </c>
      <c r="BJ19">
        <v>11183</v>
      </c>
      <c r="BK19" t="s">
        <v>37</v>
      </c>
      <c r="BM19" t="s">
        <v>37</v>
      </c>
      <c r="BO19" t="s">
        <v>37</v>
      </c>
      <c r="BQ19" t="s">
        <v>37</v>
      </c>
      <c r="BS19" t="s">
        <v>37</v>
      </c>
      <c r="BU19" t="s">
        <v>37</v>
      </c>
      <c r="BW19" t="s">
        <v>37</v>
      </c>
      <c r="BY19" t="s">
        <v>37</v>
      </c>
      <c r="BZ19">
        <v>14134</v>
      </c>
      <c r="CA19" t="s">
        <v>37</v>
      </c>
      <c r="CC19" t="s">
        <v>37</v>
      </c>
      <c r="CE19" t="s">
        <v>37</v>
      </c>
      <c r="CG19" t="s">
        <v>37</v>
      </c>
      <c r="CH19">
        <v>78083</v>
      </c>
      <c r="CI19" t="s">
        <v>37</v>
      </c>
      <c r="CK19" t="s">
        <v>37</v>
      </c>
      <c r="CL19">
        <v>11617</v>
      </c>
      <c r="CM19" t="s">
        <v>37</v>
      </c>
      <c r="CN19">
        <v>3122</v>
      </c>
      <c r="CO19" t="s">
        <v>37</v>
      </c>
      <c r="CQ19" t="s">
        <v>37</v>
      </c>
      <c r="CS19" t="s">
        <v>37</v>
      </c>
      <c r="CU19" t="s">
        <v>37</v>
      </c>
      <c r="CW19" t="s">
        <v>37</v>
      </c>
      <c r="CY19" t="s">
        <v>37</v>
      </c>
      <c r="DA19" t="s">
        <v>37</v>
      </c>
      <c r="DC19" t="s">
        <v>37</v>
      </c>
      <c r="DE19" t="s">
        <v>37</v>
      </c>
      <c r="DG19" t="s">
        <v>37</v>
      </c>
      <c r="DI19" t="s">
        <v>37</v>
      </c>
      <c r="DK19" t="s">
        <v>37</v>
      </c>
      <c r="DL19">
        <v>24318</v>
      </c>
      <c r="DM19" t="s">
        <v>37</v>
      </c>
      <c r="DN19">
        <v>21353</v>
      </c>
      <c r="DO19" t="s">
        <v>37</v>
      </c>
      <c r="DQ19" t="s">
        <v>37</v>
      </c>
      <c r="DR19">
        <v>5787</v>
      </c>
      <c r="DS19" t="s">
        <v>37</v>
      </c>
      <c r="DU19" t="s">
        <v>37</v>
      </c>
      <c r="DV19">
        <v>197914</v>
      </c>
      <c r="DW19" t="s">
        <v>37</v>
      </c>
      <c r="DX19">
        <v>668225</v>
      </c>
      <c r="DY19" t="s">
        <v>37</v>
      </c>
      <c r="EA19" t="s">
        <v>37</v>
      </c>
      <c r="EC19" t="s">
        <v>37</v>
      </c>
      <c r="EE19" t="s">
        <v>37</v>
      </c>
      <c r="EG19" t="s">
        <v>37</v>
      </c>
      <c r="EH19">
        <v>375077</v>
      </c>
      <c r="EI19" t="s">
        <v>37</v>
      </c>
      <c r="EK19" t="s">
        <v>37</v>
      </c>
      <c r="EM19" t="s">
        <v>37</v>
      </c>
      <c r="EO19" t="s">
        <v>37</v>
      </c>
      <c r="EP19">
        <v>329502</v>
      </c>
      <c r="EQ19" t="s">
        <v>37</v>
      </c>
      <c r="ES19" t="s">
        <v>37</v>
      </c>
      <c r="ET19">
        <v>13989</v>
      </c>
      <c r="EU19" t="s">
        <v>37</v>
      </c>
      <c r="EV19">
        <v>21750</v>
      </c>
      <c r="EW19" t="s">
        <v>37</v>
      </c>
      <c r="EY19" t="s">
        <v>37</v>
      </c>
      <c r="FA19" t="s">
        <v>37</v>
      </c>
      <c r="FB19">
        <v>6195</v>
      </c>
      <c r="FC19" t="s">
        <v>37</v>
      </c>
      <c r="FD19">
        <v>24622</v>
      </c>
      <c r="FE19" t="s">
        <v>37</v>
      </c>
      <c r="FF19">
        <v>759620</v>
      </c>
      <c r="FG19" t="s">
        <v>37</v>
      </c>
      <c r="FH19">
        <v>63211</v>
      </c>
      <c r="FI19" t="s">
        <v>37</v>
      </c>
      <c r="FJ19">
        <v>396184</v>
      </c>
      <c r="FK19" t="s">
        <v>37</v>
      </c>
      <c r="FL19">
        <v>882</v>
      </c>
      <c r="FM19" t="s">
        <v>37</v>
      </c>
      <c r="FO19" t="s">
        <v>37</v>
      </c>
      <c r="FQ19" t="s">
        <v>37</v>
      </c>
      <c r="FR19">
        <v>81313</v>
      </c>
      <c r="FS19" t="s">
        <v>37</v>
      </c>
      <c r="FU19" t="s">
        <v>37</v>
      </c>
      <c r="FW19" t="s">
        <v>37</v>
      </c>
      <c r="FY19" t="s">
        <v>37</v>
      </c>
      <c r="FZ19">
        <v>31574</v>
      </c>
      <c r="GA19" t="s">
        <v>37</v>
      </c>
      <c r="GB19">
        <v>663166</v>
      </c>
      <c r="GC19" t="s">
        <v>37</v>
      </c>
      <c r="GD19">
        <v>407619</v>
      </c>
      <c r="GE19" t="s">
        <v>37</v>
      </c>
      <c r="GF19">
        <v>619986</v>
      </c>
      <c r="GG19" t="s">
        <v>37</v>
      </c>
      <c r="GH19">
        <v>544539</v>
      </c>
      <c r="GI19" t="s">
        <v>37</v>
      </c>
      <c r="GJ19">
        <v>995368</v>
      </c>
      <c r="GK19" t="s">
        <v>37</v>
      </c>
      <c r="GM19" t="s">
        <v>37</v>
      </c>
      <c r="GO19" t="s">
        <v>37</v>
      </c>
      <c r="GQ19" t="s">
        <v>37</v>
      </c>
      <c r="GR19">
        <v>22786</v>
      </c>
      <c r="GS19" t="s">
        <v>37</v>
      </c>
      <c r="GU19" t="s">
        <v>37</v>
      </c>
      <c r="GW19" t="s">
        <v>37</v>
      </c>
      <c r="GX19">
        <v>15962</v>
      </c>
      <c r="GY19" t="s">
        <v>37</v>
      </c>
      <c r="HA19" t="s">
        <v>37</v>
      </c>
      <c r="HC19" t="s">
        <v>37</v>
      </c>
      <c r="HE19" t="s">
        <v>37</v>
      </c>
      <c r="HF19">
        <v>11361275</v>
      </c>
      <c r="HG19" t="s">
        <v>37</v>
      </c>
      <c r="HI19" t="s">
        <v>37</v>
      </c>
      <c r="HJ19">
        <v>11361275</v>
      </c>
      <c r="HK19" t="s">
        <v>37</v>
      </c>
    </row>
    <row r="20" spans="1:219">
      <c r="A20">
        <v>1330</v>
      </c>
      <c r="B20" t="s">
        <v>55</v>
      </c>
      <c r="C20" t="s">
        <v>37</v>
      </c>
      <c r="E20" t="s">
        <v>37</v>
      </c>
      <c r="F20">
        <v>12354</v>
      </c>
      <c r="G20" t="s">
        <v>37</v>
      </c>
      <c r="I20" t="s">
        <v>37</v>
      </c>
      <c r="K20" s="48" t="s">
        <v>37</v>
      </c>
      <c r="L20" s="50"/>
      <c r="M20" s="48" t="s">
        <v>37</v>
      </c>
      <c r="N20" s="50"/>
      <c r="O20" s="48" t="s">
        <v>37</v>
      </c>
      <c r="P20" s="50"/>
      <c r="Q20" s="48" t="s">
        <v>37</v>
      </c>
      <c r="R20" s="50"/>
      <c r="S20" s="48" t="s">
        <v>37</v>
      </c>
      <c r="U20" t="s">
        <v>37</v>
      </c>
      <c r="W20" t="s">
        <v>37</v>
      </c>
      <c r="X20">
        <v>29659</v>
      </c>
      <c r="Y20" t="s">
        <v>37</v>
      </c>
      <c r="AA20" t="s">
        <v>37</v>
      </c>
      <c r="AC20" t="s">
        <v>37</v>
      </c>
      <c r="AD20">
        <v>1267</v>
      </c>
      <c r="AE20" t="s">
        <v>37</v>
      </c>
      <c r="AG20" t="s">
        <v>37</v>
      </c>
      <c r="AI20" t="s">
        <v>37</v>
      </c>
      <c r="AK20" t="s">
        <v>37</v>
      </c>
      <c r="AM20" t="s">
        <v>37</v>
      </c>
      <c r="AO20" t="s">
        <v>37</v>
      </c>
      <c r="AQ20" t="s">
        <v>37</v>
      </c>
      <c r="AR20">
        <v>12856</v>
      </c>
      <c r="AS20" t="s">
        <v>37</v>
      </c>
      <c r="AU20" t="s">
        <v>37</v>
      </c>
      <c r="AV20">
        <v>11021</v>
      </c>
      <c r="AW20" t="s">
        <v>37</v>
      </c>
      <c r="AY20" t="s">
        <v>37</v>
      </c>
      <c r="AZ20">
        <v>18550</v>
      </c>
      <c r="BA20" t="s">
        <v>37</v>
      </c>
      <c r="BC20" t="s">
        <v>37</v>
      </c>
      <c r="BE20" t="s">
        <v>37</v>
      </c>
      <c r="BG20" t="s">
        <v>37</v>
      </c>
      <c r="BH20">
        <v>15692</v>
      </c>
      <c r="BI20" t="s">
        <v>37</v>
      </c>
      <c r="BK20" t="s">
        <v>37</v>
      </c>
      <c r="BM20" t="s">
        <v>37</v>
      </c>
      <c r="BO20" t="s">
        <v>37</v>
      </c>
      <c r="BQ20" t="s">
        <v>37</v>
      </c>
      <c r="BR20">
        <v>3490</v>
      </c>
      <c r="BS20" t="s">
        <v>37</v>
      </c>
      <c r="BU20" t="s">
        <v>37</v>
      </c>
      <c r="BW20" t="s">
        <v>37</v>
      </c>
      <c r="BX20">
        <v>105071</v>
      </c>
      <c r="BY20" t="s">
        <v>37</v>
      </c>
      <c r="CA20" t="s">
        <v>37</v>
      </c>
      <c r="CC20" t="s">
        <v>37</v>
      </c>
      <c r="CE20" t="s">
        <v>37</v>
      </c>
      <c r="CF20">
        <v>141</v>
      </c>
      <c r="CG20" t="s">
        <v>37</v>
      </c>
      <c r="CH20">
        <v>146348</v>
      </c>
      <c r="CI20" t="s">
        <v>37</v>
      </c>
      <c r="CK20" t="s">
        <v>37</v>
      </c>
      <c r="CM20" t="s">
        <v>37</v>
      </c>
      <c r="CO20" t="s">
        <v>37</v>
      </c>
      <c r="CQ20" t="s">
        <v>37</v>
      </c>
      <c r="CS20" t="s">
        <v>37</v>
      </c>
      <c r="CT20">
        <v>509383</v>
      </c>
      <c r="CU20" t="s">
        <v>37</v>
      </c>
      <c r="CV20">
        <v>20362</v>
      </c>
      <c r="CW20" t="s">
        <v>37</v>
      </c>
      <c r="CY20" t="s">
        <v>37</v>
      </c>
      <c r="DA20" t="s">
        <v>37</v>
      </c>
      <c r="DC20" t="s">
        <v>37</v>
      </c>
      <c r="DE20" t="s">
        <v>37</v>
      </c>
      <c r="DG20" t="s">
        <v>37</v>
      </c>
      <c r="DH20">
        <v>15248</v>
      </c>
      <c r="DI20" t="s">
        <v>37</v>
      </c>
      <c r="DK20" t="s">
        <v>37</v>
      </c>
      <c r="DM20" t="s">
        <v>37</v>
      </c>
      <c r="DN20">
        <v>20604</v>
      </c>
      <c r="DO20" t="s">
        <v>37</v>
      </c>
      <c r="DQ20" t="s">
        <v>37</v>
      </c>
      <c r="DS20" t="s">
        <v>37</v>
      </c>
      <c r="DU20" t="s">
        <v>37</v>
      </c>
      <c r="DW20" t="s">
        <v>37</v>
      </c>
      <c r="DX20">
        <v>100</v>
      </c>
      <c r="DY20" t="s">
        <v>37</v>
      </c>
      <c r="EA20" t="s">
        <v>37</v>
      </c>
      <c r="EC20" t="s">
        <v>37</v>
      </c>
      <c r="EE20" t="s">
        <v>37</v>
      </c>
      <c r="EG20" t="s">
        <v>37</v>
      </c>
      <c r="EI20" t="s">
        <v>37</v>
      </c>
      <c r="EK20" t="s">
        <v>37</v>
      </c>
      <c r="EM20" t="s">
        <v>37</v>
      </c>
      <c r="EO20" t="s">
        <v>37</v>
      </c>
      <c r="EP20">
        <v>520</v>
      </c>
      <c r="EQ20" t="s">
        <v>37</v>
      </c>
      <c r="ES20" t="s">
        <v>37</v>
      </c>
      <c r="EU20" t="s">
        <v>37</v>
      </c>
      <c r="EV20">
        <v>6002</v>
      </c>
      <c r="EW20" t="s">
        <v>37</v>
      </c>
      <c r="EY20" t="s">
        <v>37</v>
      </c>
      <c r="FA20" t="s">
        <v>37</v>
      </c>
      <c r="FC20" t="s">
        <v>37</v>
      </c>
      <c r="FE20" t="s">
        <v>37</v>
      </c>
      <c r="FG20" t="s">
        <v>37</v>
      </c>
      <c r="FI20" t="s">
        <v>37</v>
      </c>
      <c r="FJ20">
        <v>66956</v>
      </c>
      <c r="FK20" t="s">
        <v>37</v>
      </c>
      <c r="FM20" t="s">
        <v>37</v>
      </c>
      <c r="FO20" t="s">
        <v>37</v>
      </c>
      <c r="FQ20" t="s">
        <v>37</v>
      </c>
      <c r="FS20" t="s">
        <v>37</v>
      </c>
      <c r="FU20" t="s">
        <v>37</v>
      </c>
      <c r="FW20" t="s">
        <v>37</v>
      </c>
      <c r="FY20" t="s">
        <v>37</v>
      </c>
      <c r="GA20" t="s">
        <v>37</v>
      </c>
      <c r="GB20">
        <v>13313</v>
      </c>
      <c r="GC20" t="s">
        <v>37</v>
      </c>
      <c r="GE20" t="s">
        <v>37</v>
      </c>
      <c r="GG20" t="s">
        <v>37</v>
      </c>
      <c r="GI20" t="s">
        <v>37</v>
      </c>
      <c r="GK20" t="s">
        <v>37</v>
      </c>
      <c r="GL20">
        <v>7190</v>
      </c>
      <c r="GM20" t="s">
        <v>37</v>
      </c>
      <c r="GO20" t="s">
        <v>37</v>
      </c>
      <c r="GQ20" t="s">
        <v>37</v>
      </c>
      <c r="GR20">
        <v>41319</v>
      </c>
      <c r="GS20" t="s">
        <v>37</v>
      </c>
      <c r="GU20" t="s">
        <v>37</v>
      </c>
      <c r="GW20" t="s">
        <v>37</v>
      </c>
      <c r="GY20" t="s">
        <v>37</v>
      </c>
      <c r="HA20" t="s">
        <v>37</v>
      </c>
      <c r="HC20" t="s">
        <v>37</v>
      </c>
      <c r="HE20" t="s">
        <v>37</v>
      </c>
      <c r="HF20">
        <v>1057446</v>
      </c>
      <c r="HG20" t="s">
        <v>37</v>
      </c>
      <c r="HI20" t="s">
        <v>37</v>
      </c>
      <c r="HJ20">
        <v>1057446</v>
      </c>
      <c r="HK20" t="s">
        <v>37</v>
      </c>
    </row>
    <row r="21" spans="1:219">
      <c r="A21">
        <v>1340</v>
      </c>
      <c r="B21" t="s">
        <v>56</v>
      </c>
      <c r="C21" t="s">
        <v>37</v>
      </c>
      <c r="E21" t="s">
        <v>37</v>
      </c>
      <c r="G21" t="s">
        <v>37</v>
      </c>
      <c r="I21" t="s">
        <v>37</v>
      </c>
      <c r="K21" s="48" t="s">
        <v>37</v>
      </c>
      <c r="L21" s="50"/>
      <c r="M21" s="48" t="s">
        <v>37</v>
      </c>
      <c r="N21" s="50"/>
      <c r="O21" s="48" t="s">
        <v>37</v>
      </c>
      <c r="P21" s="50"/>
      <c r="Q21" s="48" t="s">
        <v>37</v>
      </c>
      <c r="R21" s="50"/>
      <c r="S21" s="48" t="s">
        <v>37</v>
      </c>
      <c r="U21" t="s">
        <v>37</v>
      </c>
      <c r="W21" t="s">
        <v>37</v>
      </c>
      <c r="Y21" t="s">
        <v>37</v>
      </c>
      <c r="AA21" t="s">
        <v>37</v>
      </c>
      <c r="AC21" t="s">
        <v>37</v>
      </c>
      <c r="AE21" t="s">
        <v>37</v>
      </c>
      <c r="AG21" t="s">
        <v>37</v>
      </c>
      <c r="AI21" t="s">
        <v>37</v>
      </c>
      <c r="AK21" t="s">
        <v>37</v>
      </c>
      <c r="AM21" t="s">
        <v>37</v>
      </c>
      <c r="AO21" t="s">
        <v>37</v>
      </c>
      <c r="AQ21" t="s">
        <v>37</v>
      </c>
      <c r="AS21" t="s">
        <v>37</v>
      </c>
      <c r="AU21" t="s">
        <v>37</v>
      </c>
      <c r="AW21" t="s">
        <v>37</v>
      </c>
      <c r="AY21" t="s">
        <v>37</v>
      </c>
      <c r="BA21" t="s">
        <v>37</v>
      </c>
      <c r="BC21" t="s">
        <v>37</v>
      </c>
      <c r="BE21" t="s">
        <v>37</v>
      </c>
      <c r="BG21" t="s">
        <v>37</v>
      </c>
      <c r="BH21">
        <v>12000</v>
      </c>
      <c r="BI21" t="s">
        <v>37</v>
      </c>
      <c r="BK21" t="s">
        <v>37</v>
      </c>
      <c r="BM21" t="s">
        <v>37</v>
      </c>
      <c r="BO21" t="s">
        <v>37</v>
      </c>
      <c r="BQ21" t="s">
        <v>37</v>
      </c>
      <c r="BS21" t="s">
        <v>37</v>
      </c>
      <c r="BU21" t="s">
        <v>37</v>
      </c>
      <c r="BW21" t="s">
        <v>37</v>
      </c>
      <c r="BY21" t="s">
        <v>37</v>
      </c>
      <c r="CA21" t="s">
        <v>37</v>
      </c>
      <c r="CC21" t="s">
        <v>37</v>
      </c>
      <c r="CE21" t="s">
        <v>37</v>
      </c>
      <c r="CG21" t="s">
        <v>37</v>
      </c>
      <c r="CI21" t="s">
        <v>37</v>
      </c>
      <c r="CK21" t="s">
        <v>37</v>
      </c>
      <c r="CM21" t="s">
        <v>37</v>
      </c>
      <c r="CO21" t="s">
        <v>37</v>
      </c>
      <c r="CQ21" t="s">
        <v>37</v>
      </c>
      <c r="CS21" t="s">
        <v>37</v>
      </c>
      <c r="CU21" t="s">
        <v>37</v>
      </c>
      <c r="CW21" t="s">
        <v>37</v>
      </c>
      <c r="CY21" t="s">
        <v>37</v>
      </c>
      <c r="DA21" t="s">
        <v>37</v>
      </c>
      <c r="DC21" t="s">
        <v>37</v>
      </c>
      <c r="DE21" t="s">
        <v>37</v>
      </c>
      <c r="DG21" t="s">
        <v>37</v>
      </c>
      <c r="DI21" t="s">
        <v>37</v>
      </c>
      <c r="DK21" t="s">
        <v>37</v>
      </c>
      <c r="DM21" t="s">
        <v>37</v>
      </c>
      <c r="DO21" t="s">
        <v>37</v>
      </c>
      <c r="DQ21" t="s">
        <v>37</v>
      </c>
      <c r="DS21" t="s">
        <v>37</v>
      </c>
      <c r="DU21" t="s">
        <v>37</v>
      </c>
      <c r="DW21" t="s">
        <v>37</v>
      </c>
      <c r="DY21" t="s">
        <v>37</v>
      </c>
      <c r="EA21" t="s">
        <v>37</v>
      </c>
      <c r="EC21" t="s">
        <v>37</v>
      </c>
      <c r="EE21" t="s">
        <v>37</v>
      </c>
      <c r="EG21" t="s">
        <v>37</v>
      </c>
      <c r="EI21" t="s">
        <v>37</v>
      </c>
      <c r="EK21" t="s">
        <v>37</v>
      </c>
      <c r="EM21" t="s">
        <v>37</v>
      </c>
      <c r="EO21" t="s">
        <v>37</v>
      </c>
      <c r="EQ21" t="s">
        <v>37</v>
      </c>
      <c r="ES21" t="s">
        <v>37</v>
      </c>
      <c r="EU21" t="s">
        <v>37</v>
      </c>
      <c r="EV21">
        <v>3960</v>
      </c>
      <c r="EW21" t="s">
        <v>37</v>
      </c>
      <c r="EY21" t="s">
        <v>37</v>
      </c>
      <c r="FA21" t="s">
        <v>37</v>
      </c>
      <c r="FC21" t="s">
        <v>37</v>
      </c>
      <c r="FE21" t="s">
        <v>37</v>
      </c>
      <c r="FG21" t="s">
        <v>37</v>
      </c>
      <c r="FI21" t="s">
        <v>37</v>
      </c>
      <c r="FK21" t="s">
        <v>37</v>
      </c>
      <c r="FM21" t="s">
        <v>37</v>
      </c>
      <c r="FO21" t="s">
        <v>37</v>
      </c>
      <c r="FQ21" t="s">
        <v>37</v>
      </c>
      <c r="FS21" t="s">
        <v>37</v>
      </c>
      <c r="FU21" t="s">
        <v>37</v>
      </c>
      <c r="FW21" t="s">
        <v>37</v>
      </c>
      <c r="FY21" t="s">
        <v>37</v>
      </c>
      <c r="GA21" t="s">
        <v>37</v>
      </c>
      <c r="GC21" t="s">
        <v>37</v>
      </c>
      <c r="GE21" t="s">
        <v>37</v>
      </c>
      <c r="GG21" t="s">
        <v>37</v>
      </c>
      <c r="GI21" t="s">
        <v>37</v>
      </c>
      <c r="GK21" t="s">
        <v>37</v>
      </c>
      <c r="GM21" t="s">
        <v>37</v>
      </c>
      <c r="GO21" t="s">
        <v>37</v>
      </c>
      <c r="GQ21" t="s">
        <v>37</v>
      </c>
      <c r="GS21" t="s">
        <v>37</v>
      </c>
      <c r="GU21" t="s">
        <v>37</v>
      </c>
      <c r="GW21" t="s">
        <v>37</v>
      </c>
      <c r="GY21" t="s">
        <v>37</v>
      </c>
      <c r="HA21" t="s">
        <v>37</v>
      </c>
      <c r="HC21" t="s">
        <v>37</v>
      </c>
      <c r="HE21" t="s">
        <v>37</v>
      </c>
      <c r="HF21">
        <v>15960</v>
      </c>
      <c r="HG21" t="s">
        <v>37</v>
      </c>
      <c r="HI21" t="s">
        <v>37</v>
      </c>
      <c r="HJ21">
        <v>15960</v>
      </c>
      <c r="HK21" t="s">
        <v>37</v>
      </c>
    </row>
    <row r="22" spans="1:219">
      <c r="A22">
        <v>1350</v>
      </c>
      <c r="B22" t="s">
        <v>57</v>
      </c>
      <c r="C22" t="s">
        <v>37</v>
      </c>
      <c r="D22">
        <v>2400</v>
      </c>
      <c r="E22" t="s">
        <v>37</v>
      </c>
      <c r="G22" t="s">
        <v>37</v>
      </c>
      <c r="I22" t="s">
        <v>37</v>
      </c>
      <c r="K22" s="48" t="s">
        <v>37</v>
      </c>
      <c r="L22" s="51">
        <v>52183</v>
      </c>
      <c r="M22" s="48" t="s">
        <v>37</v>
      </c>
      <c r="N22" s="51">
        <v>16242</v>
      </c>
      <c r="O22" s="48" t="s">
        <v>37</v>
      </c>
      <c r="P22" s="51">
        <v>7992</v>
      </c>
      <c r="Q22" s="48" t="s">
        <v>37</v>
      </c>
      <c r="R22" s="50"/>
      <c r="S22" s="48" t="s">
        <v>37</v>
      </c>
      <c r="U22" t="s">
        <v>37</v>
      </c>
      <c r="W22" t="s">
        <v>37</v>
      </c>
      <c r="Y22" t="s">
        <v>37</v>
      </c>
      <c r="AA22" t="s">
        <v>37</v>
      </c>
      <c r="AB22">
        <v>250</v>
      </c>
      <c r="AC22" t="s">
        <v>37</v>
      </c>
      <c r="AE22" t="s">
        <v>37</v>
      </c>
      <c r="AG22" t="s">
        <v>37</v>
      </c>
      <c r="AH22">
        <v>29544</v>
      </c>
      <c r="AI22" t="s">
        <v>37</v>
      </c>
      <c r="AK22" t="s">
        <v>37</v>
      </c>
      <c r="AM22" t="s">
        <v>37</v>
      </c>
      <c r="AN22">
        <v>780636</v>
      </c>
      <c r="AO22" t="s">
        <v>37</v>
      </c>
      <c r="AQ22" t="s">
        <v>37</v>
      </c>
      <c r="AS22" t="s">
        <v>37</v>
      </c>
      <c r="AU22" t="s">
        <v>37</v>
      </c>
      <c r="AV22">
        <v>22803</v>
      </c>
      <c r="AW22" t="s">
        <v>37</v>
      </c>
      <c r="AY22" t="s">
        <v>37</v>
      </c>
      <c r="AZ22">
        <v>18050</v>
      </c>
      <c r="BA22" t="s">
        <v>37</v>
      </c>
      <c r="BC22" t="s">
        <v>37</v>
      </c>
      <c r="BE22" t="s">
        <v>37</v>
      </c>
      <c r="BG22" t="s">
        <v>37</v>
      </c>
      <c r="BI22" t="s">
        <v>37</v>
      </c>
      <c r="BK22" t="s">
        <v>37</v>
      </c>
      <c r="BM22" t="s">
        <v>37</v>
      </c>
      <c r="BO22" t="s">
        <v>37</v>
      </c>
      <c r="BP22">
        <v>900</v>
      </c>
      <c r="BQ22" t="s">
        <v>37</v>
      </c>
      <c r="BR22">
        <v>5150</v>
      </c>
      <c r="BS22" t="s">
        <v>37</v>
      </c>
      <c r="BU22" t="s">
        <v>37</v>
      </c>
      <c r="BW22" t="s">
        <v>37</v>
      </c>
      <c r="BX22">
        <v>184486</v>
      </c>
      <c r="BY22" t="s">
        <v>37</v>
      </c>
      <c r="BZ22">
        <v>12995</v>
      </c>
      <c r="CA22" t="s">
        <v>37</v>
      </c>
      <c r="CB22">
        <v>2925</v>
      </c>
      <c r="CC22" t="s">
        <v>37</v>
      </c>
      <c r="CE22" t="s">
        <v>37</v>
      </c>
      <c r="CG22" t="s">
        <v>37</v>
      </c>
      <c r="CI22" t="s">
        <v>37</v>
      </c>
      <c r="CK22" t="s">
        <v>37</v>
      </c>
      <c r="CM22" t="s">
        <v>37</v>
      </c>
      <c r="CN22">
        <v>460</v>
      </c>
      <c r="CO22" t="s">
        <v>37</v>
      </c>
      <c r="CQ22" t="s">
        <v>37</v>
      </c>
      <c r="CR22">
        <v>20638</v>
      </c>
      <c r="CS22" t="s">
        <v>37</v>
      </c>
      <c r="CT22">
        <v>278417</v>
      </c>
      <c r="CU22" t="s">
        <v>37</v>
      </c>
      <c r="CW22" t="s">
        <v>37</v>
      </c>
      <c r="CX22">
        <v>7390</v>
      </c>
      <c r="CY22" t="s">
        <v>37</v>
      </c>
      <c r="CZ22">
        <v>200</v>
      </c>
      <c r="DA22" t="s">
        <v>37</v>
      </c>
      <c r="DC22" t="s">
        <v>37</v>
      </c>
      <c r="DE22" t="s">
        <v>37</v>
      </c>
      <c r="DG22" t="s">
        <v>37</v>
      </c>
      <c r="DH22">
        <v>147814</v>
      </c>
      <c r="DI22" t="s">
        <v>37</v>
      </c>
      <c r="DJ22">
        <v>8294</v>
      </c>
      <c r="DK22" t="s">
        <v>37</v>
      </c>
      <c r="DM22" t="s">
        <v>37</v>
      </c>
      <c r="DN22">
        <v>11420</v>
      </c>
      <c r="DO22" t="s">
        <v>37</v>
      </c>
      <c r="DQ22" t="s">
        <v>37</v>
      </c>
      <c r="DS22" t="s">
        <v>37</v>
      </c>
      <c r="DT22">
        <v>11980</v>
      </c>
      <c r="DU22" t="s">
        <v>37</v>
      </c>
      <c r="DW22" t="s">
        <v>37</v>
      </c>
      <c r="DX22">
        <v>38629</v>
      </c>
      <c r="DY22" t="s">
        <v>37</v>
      </c>
      <c r="EA22" t="s">
        <v>37</v>
      </c>
      <c r="EC22" t="s">
        <v>37</v>
      </c>
      <c r="ED22">
        <v>75910</v>
      </c>
      <c r="EE22" t="s">
        <v>37</v>
      </c>
      <c r="EG22" t="s">
        <v>37</v>
      </c>
      <c r="EI22" t="s">
        <v>37</v>
      </c>
      <c r="EJ22">
        <v>15033</v>
      </c>
      <c r="EK22" t="s">
        <v>37</v>
      </c>
      <c r="EL22">
        <v>3040</v>
      </c>
      <c r="EM22" t="s">
        <v>37</v>
      </c>
      <c r="EO22" t="s">
        <v>37</v>
      </c>
      <c r="EQ22" t="s">
        <v>37</v>
      </c>
      <c r="ES22" t="s">
        <v>37</v>
      </c>
      <c r="ET22">
        <v>6250</v>
      </c>
      <c r="EU22" t="s">
        <v>37</v>
      </c>
      <c r="EV22">
        <v>75695</v>
      </c>
      <c r="EW22" t="s">
        <v>37</v>
      </c>
      <c r="EY22" t="s">
        <v>37</v>
      </c>
      <c r="EZ22">
        <v>74383</v>
      </c>
      <c r="FA22" t="s">
        <v>37</v>
      </c>
      <c r="FB22">
        <v>33386</v>
      </c>
      <c r="FC22" t="s">
        <v>37</v>
      </c>
      <c r="FD22">
        <v>16724</v>
      </c>
      <c r="FE22" t="s">
        <v>37</v>
      </c>
      <c r="FG22" t="s">
        <v>37</v>
      </c>
      <c r="FH22">
        <v>45210</v>
      </c>
      <c r="FI22" t="s">
        <v>37</v>
      </c>
      <c r="FJ22">
        <v>61125</v>
      </c>
      <c r="FK22" t="s">
        <v>37</v>
      </c>
      <c r="FL22">
        <v>90223</v>
      </c>
      <c r="FM22" t="s">
        <v>37</v>
      </c>
      <c r="FO22" t="s">
        <v>37</v>
      </c>
      <c r="FP22">
        <v>3400</v>
      </c>
      <c r="FQ22" t="s">
        <v>37</v>
      </c>
      <c r="FR22">
        <v>3050</v>
      </c>
      <c r="FS22" t="s">
        <v>37</v>
      </c>
      <c r="FU22" t="s">
        <v>37</v>
      </c>
      <c r="FW22" t="s">
        <v>37</v>
      </c>
      <c r="FX22">
        <v>3575</v>
      </c>
      <c r="FY22" t="s">
        <v>37</v>
      </c>
      <c r="FZ22">
        <v>1000</v>
      </c>
      <c r="GA22" t="s">
        <v>37</v>
      </c>
      <c r="GB22">
        <v>22365</v>
      </c>
      <c r="GC22" t="s">
        <v>37</v>
      </c>
      <c r="GE22" t="s">
        <v>37</v>
      </c>
      <c r="GG22" t="s">
        <v>37</v>
      </c>
      <c r="GI22" t="s">
        <v>37</v>
      </c>
      <c r="GJ22">
        <v>6942</v>
      </c>
      <c r="GK22" t="s">
        <v>37</v>
      </c>
      <c r="GL22">
        <v>11978</v>
      </c>
      <c r="GM22" t="s">
        <v>37</v>
      </c>
      <c r="GO22" t="s">
        <v>37</v>
      </c>
      <c r="GQ22" t="s">
        <v>37</v>
      </c>
      <c r="GS22" t="s">
        <v>37</v>
      </c>
      <c r="GU22" t="s">
        <v>37</v>
      </c>
      <c r="GW22" t="s">
        <v>37</v>
      </c>
      <c r="GX22">
        <v>123250</v>
      </c>
      <c r="GY22" t="s">
        <v>37</v>
      </c>
      <c r="GZ22">
        <v>20749</v>
      </c>
      <c r="HA22" t="s">
        <v>37</v>
      </c>
      <c r="HC22" t="s">
        <v>37</v>
      </c>
      <c r="HE22" t="s">
        <v>37</v>
      </c>
      <c r="HF22">
        <v>2355086</v>
      </c>
      <c r="HG22" t="s">
        <v>37</v>
      </c>
      <c r="HI22" t="s">
        <v>37</v>
      </c>
      <c r="HJ22">
        <v>2355086</v>
      </c>
      <c r="HK22" t="s">
        <v>37</v>
      </c>
    </row>
    <row r="23" spans="1:219">
      <c r="A23">
        <v>1360</v>
      </c>
      <c r="B23" t="s">
        <v>58</v>
      </c>
      <c r="C23" t="s">
        <v>37</v>
      </c>
      <c r="E23" t="s">
        <v>37</v>
      </c>
      <c r="G23" t="s">
        <v>37</v>
      </c>
      <c r="I23" t="s">
        <v>37</v>
      </c>
      <c r="K23" s="48" t="s">
        <v>37</v>
      </c>
      <c r="L23" s="50"/>
      <c r="M23" s="48" t="s">
        <v>37</v>
      </c>
      <c r="N23" s="50"/>
      <c r="O23" s="48" t="s">
        <v>37</v>
      </c>
      <c r="P23" s="50"/>
      <c r="Q23" s="48" t="s">
        <v>37</v>
      </c>
      <c r="R23" s="50"/>
      <c r="S23" s="48" t="s">
        <v>37</v>
      </c>
      <c r="U23" t="s">
        <v>37</v>
      </c>
      <c r="W23" t="s">
        <v>37</v>
      </c>
      <c r="Y23" t="s">
        <v>37</v>
      </c>
      <c r="AA23" t="s">
        <v>37</v>
      </c>
      <c r="AC23" t="s">
        <v>37</v>
      </c>
      <c r="AE23" t="s">
        <v>37</v>
      </c>
      <c r="AG23" t="s">
        <v>37</v>
      </c>
      <c r="AI23" t="s">
        <v>37</v>
      </c>
      <c r="AK23" t="s">
        <v>37</v>
      </c>
      <c r="AM23" t="s">
        <v>37</v>
      </c>
      <c r="AO23" t="s">
        <v>37</v>
      </c>
      <c r="AQ23" t="s">
        <v>37</v>
      </c>
      <c r="AS23" t="s">
        <v>37</v>
      </c>
      <c r="AU23" t="s">
        <v>37</v>
      </c>
      <c r="AW23" t="s">
        <v>37</v>
      </c>
      <c r="AY23" t="s">
        <v>37</v>
      </c>
      <c r="BA23" t="s">
        <v>37</v>
      </c>
      <c r="BC23" t="s">
        <v>37</v>
      </c>
      <c r="BE23" t="s">
        <v>37</v>
      </c>
      <c r="BG23" t="s">
        <v>37</v>
      </c>
      <c r="BI23" t="s">
        <v>37</v>
      </c>
      <c r="BK23" t="s">
        <v>37</v>
      </c>
      <c r="BM23" t="s">
        <v>37</v>
      </c>
      <c r="BO23" t="s">
        <v>37</v>
      </c>
      <c r="BQ23" t="s">
        <v>37</v>
      </c>
      <c r="BS23" t="s">
        <v>37</v>
      </c>
      <c r="BU23" t="s">
        <v>37</v>
      </c>
      <c r="BW23" t="s">
        <v>37</v>
      </c>
      <c r="BY23" t="s">
        <v>37</v>
      </c>
      <c r="CA23" t="s">
        <v>37</v>
      </c>
      <c r="CC23" t="s">
        <v>37</v>
      </c>
      <c r="CE23" t="s">
        <v>37</v>
      </c>
      <c r="CG23" t="s">
        <v>37</v>
      </c>
      <c r="CI23" t="s">
        <v>37</v>
      </c>
      <c r="CK23" t="s">
        <v>37</v>
      </c>
      <c r="CM23" t="s">
        <v>37</v>
      </c>
      <c r="CO23" t="s">
        <v>37</v>
      </c>
      <c r="CQ23" t="s">
        <v>37</v>
      </c>
      <c r="CS23" t="s">
        <v>37</v>
      </c>
      <c r="CU23" t="s">
        <v>37</v>
      </c>
      <c r="CW23" t="s">
        <v>37</v>
      </c>
      <c r="CY23" t="s">
        <v>37</v>
      </c>
      <c r="DA23" t="s">
        <v>37</v>
      </c>
      <c r="DC23" t="s">
        <v>37</v>
      </c>
      <c r="DE23" t="s">
        <v>37</v>
      </c>
      <c r="DG23" t="s">
        <v>37</v>
      </c>
      <c r="DH23">
        <v>400</v>
      </c>
      <c r="DI23" t="s">
        <v>37</v>
      </c>
      <c r="DK23" t="s">
        <v>37</v>
      </c>
      <c r="DM23" t="s">
        <v>37</v>
      </c>
      <c r="DO23" t="s">
        <v>37</v>
      </c>
      <c r="DQ23" t="s">
        <v>37</v>
      </c>
      <c r="DS23" t="s">
        <v>37</v>
      </c>
      <c r="DU23" t="s">
        <v>37</v>
      </c>
      <c r="DW23" t="s">
        <v>37</v>
      </c>
      <c r="DY23" t="s">
        <v>37</v>
      </c>
      <c r="EA23" t="s">
        <v>37</v>
      </c>
      <c r="EC23" t="s">
        <v>37</v>
      </c>
      <c r="EE23" t="s">
        <v>37</v>
      </c>
      <c r="EG23" t="s">
        <v>37</v>
      </c>
      <c r="EI23" t="s">
        <v>37</v>
      </c>
      <c r="EK23" t="s">
        <v>37</v>
      </c>
      <c r="EM23" t="s">
        <v>37</v>
      </c>
      <c r="EO23" t="s">
        <v>37</v>
      </c>
      <c r="EQ23" t="s">
        <v>37</v>
      </c>
      <c r="ES23" t="s">
        <v>37</v>
      </c>
      <c r="EU23" t="s">
        <v>37</v>
      </c>
      <c r="EW23" t="s">
        <v>37</v>
      </c>
      <c r="EY23" t="s">
        <v>37</v>
      </c>
      <c r="FA23" t="s">
        <v>37</v>
      </c>
      <c r="FC23" t="s">
        <v>37</v>
      </c>
      <c r="FE23" t="s">
        <v>37</v>
      </c>
      <c r="FG23" t="s">
        <v>37</v>
      </c>
      <c r="FI23" t="s">
        <v>37</v>
      </c>
      <c r="FK23" t="s">
        <v>37</v>
      </c>
      <c r="FL23">
        <v>104200</v>
      </c>
      <c r="FM23" t="s">
        <v>37</v>
      </c>
      <c r="FO23" t="s">
        <v>37</v>
      </c>
      <c r="FQ23" t="s">
        <v>37</v>
      </c>
      <c r="FS23" t="s">
        <v>37</v>
      </c>
      <c r="FU23" t="s">
        <v>37</v>
      </c>
      <c r="FW23" t="s">
        <v>37</v>
      </c>
      <c r="FY23" t="s">
        <v>37</v>
      </c>
      <c r="GA23" t="s">
        <v>37</v>
      </c>
      <c r="GC23" t="s">
        <v>37</v>
      </c>
      <c r="GE23" t="s">
        <v>37</v>
      </c>
      <c r="GG23" t="s">
        <v>37</v>
      </c>
      <c r="GI23" t="s">
        <v>37</v>
      </c>
      <c r="GK23" t="s">
        <v>37</v>
      </c>
      <c r="GM23" t="s">
        <v>37</v>
      </c>
      <c r="GO23" t="s">
        <v>37</v>
      </c>
      <c r="GQ23" t="s">
        <v>37</v>
      </c>
      <c r="GS23" t="s">
        <v>37</v>
      </c>
      <c r="GU23" t="s">
        <v>37</v>
      </c>
      <c r="GW23" t="s">
        <v>37</v>
      </c>
      <c r="GY23" t="s">
        <v>37</v>
      </c>
      <c r="HA23" t="s">
        <v>37</v>
      </c>
      <c r="HC23" t="s">
        <v>37</v>
      </c>
      <c r="HE23" t="s">
        <v>37</v>
      </c>
      <c r="HF23">
        <v>104600</v>
      </c>
      <c r="HG23" t="s">
        <v>37</v>
      </c>
      <c r="HI23" t="s">
        <v>37</v>
      </c>
      <c r="HJ23">
        <v>104600</v>
      </c>
      <c r="HK23" t="s">
        <v>37</v>
      </c>
    </row>
    <row r="24" spans="1:219">
      <c r="A24">
        <v>1400</v>
      </c>
      <c r="B24" t="s">
        <v>59</v>
      </c>
      <c r="C24" t="s">
        <v>37</v>
      </c>
      <c r="E24" t="s">
        <v>37</v>
      </c>
      <c r="G24" t="s">
        <v>37</v>
      </c>
      <c r="I24" t="s">
        <v>37</v>
      </c>
      <c r="K24" s="48" t="s">
        <v>37</v>
      </c>
      <c r="L24" s="50"/>
      <c r="M24" s="48" t="s">
        <v>37</v>
      </c>
      <c r="N24" s="50"/>
      <c r="O24" s="48" t="s">
        <v>37</v>
      </c>
      <c r="P24" s="50"/>
      <c r="Q24" s="48" t="s">
        <v>37</v>
      </c>
      <c r="R24" s="50"/>
      <c r="S24" s="48" t="s">
        <v>37</v>
      </c>
      <c r="U24" t="s">
        <v>37</v>
      </c>
      <c r="W24" t="s">
        <v>37</v>
      </c>
      <c r="Y24" t="s">
        <v>37</v>
      </c>
      <c r="AA24" t="s">
        <v>37</v>
      </c>
      <c r="AC24" t="s">
        <v>37</v>
      </c>
      <c r="AE24" t="s">
        <v>37</v>
      </c>
      <c r="AG24" t="s">
        <v>37</v>
      </c>
      <c r="AI24" t="s">
        <v>37</v>
      </c>
      <c r="AK24" t="s">
        <v>37</v>
      </c>
      <c r="AM24" t="s">
        <v>37</v>
      </c>
      <c r="AO24" t="s">
        <v>37</v>
      </c>
      <c r="AQ24" t="s">
        <v>37</v>
      </c>
      <c r="AS24" t="s">
        <v>37</v>
      </c>
      <c r="AU24" t="s">
        <v>37</v>
      </c>
      <c r="AW24" t="s">
        <v>37</v>
      </c>
      <c r="AY24" t="s">
        <v>37</v>
      </c>
      <c r="BA24" t="s">
        <v>37</v>
      </c>
      <c r="BC24" t="s">
        <v>37</v>
      </c>
      <c r="BE24" t="s">
        <v>37</v>
      </c>
      <c r="BG24" t="s">
        <v>37</v>
      </c>
      <c r="BI24" t="s">
        <v>37</v>
      </c>
      <c r="BK24" t="s">
        <v>37</v>
      </c>
      <c r="BM24" t="s">
        <v>37</v>
      </c>
      <c r="BO24" t="s">
        <v>37</v>
      </c>
      <c r="BQ24" t="s">
        <v>37</v>
      </c>
      <c r="BS24" t="s">
        <v>37</v>
      </c>
      <c r="BU24" t="s">
        <v>37</v>
      </c>
      <c r="BW24" t="s">
        <v>37</v>
      </c>
      <c r="BY24" t="s">
        <v>37</v>
      </c>
      <c r="CA24" t="s">
        <v>37</v>
      </c>
      <c r="CC24" t="s">
        <v>37</v>
      </c>
      <c r="CE24" t="s">
        <v>37</v>
      </c>
      <c r="CG24" t="s">
        <v>37</v>
      </c>
      <c r="CI24" t="s">
        <v>37</v>
      </c>
      <c r="CK24" t="s">
        <v>37</v>
      </c>
      <c r="CM24" t="s">
        <v>37</v>
      </c>
      <c r="CO24" t="s">
        <v>37</v>
      </c>
      <c r="CQ24" t="s">
        <v>37</v>
      </c>
      <c r="CS24" t="s">
        <v>37</v>
      </c>
      <c r="CU24" t="s">
        <v>37</v>
      </c>
      <c r="CW24" t="s">
        <v>37</v>
      </c>
      <c r="CY24" t="s">
        <v>37</v>
      </c>
      <c r="DA24" t="s">
        <v>37</v>
      </c>
      <c r="DC24" t="s">
        <v>37</v>
      </c>
      <c r="DE24" t="s">
        <v>37</v>
      </c>
      <c r="DG24" t="s">
        <v>37</v>
      </c>
      <c r="DI24" t="s">
        <v>37</v>
      </c>
      <c r="DK24" t="s">
        <v>37</v>
      </c>
      <c r="DM24" t="s">
        <v>37</v>
      </c>
      <c r="DO24" t="s">
        <v>37</v>
      </c>
      <c r="DQ24" t="s">
        <v>37</v>
      </c>
      <c r="DS24" t="s">
        <v>37</v>
      </c>
      <c r="DU24" t="s">
        <v>37</v>
      </c>
      <c r="DW24" t="s">
        <v>37</v>
      </c>
      <c r="DY24" t="s">
        <v>37</v>
      </c>
      <c r="EA24" t="s">
        <v>37</v>
      </c>
      <c r="EC24" t="s">
        <v>37</v>
      </c>
      <c r="EE24" t="s">
        <v>37</v>
      </c>
      <c r="EG24" t="s">
        <v>37</v>
      </c>
      <c r="EI24" t="s">
        <v>37</v>
      </c>
      <c r="EK24" t="s">
        <v>37</v>
      </c>
      <c r="EM24" t="s">
        <v>37</v>
      </c>
      <c r="EO24" t="s">
        <v>37</v>
      </c>
      <c r="EQ24" t="s">
        <v>37</v>
      </c>
      <c r="ES24" t="s">
        <v>37</v>
      </c>
      <c r="EU24" t="s">
        <v>37</v>
      </c>
      <c r="EW24" t="s">
        <v>37</v>
      </c>
      <c r="EY24" t="s">
        <v>37</v>
      </c>
      <c r="FA24" t="s">
        <v>37</v>
      </c>
      <c r="FC24" t="s">
        <v>37</v>
      </c>
      <c r="FE24" t="s">
        <v>37</v>
      </c>
      <c r="FG24" t="s">
        <v>37</v>
      </c>
      <c r="FI24" t="s">
        <v>37</v>
      </c>
      <c r="FK24" t="s">
        <v>37</v>
      </c>
      <c r="FM24" t="s">
        <v>37</v>
      </c>
      <c r="FO24" t="s">
        <v>37</v>
      </c>
      <c r="FQ24" t="s">
        <v>37</v>
      </c>
      <c r="FS24" t="s">
        <v>37</v>
      </c>
      <c r="FU24" t="s">
        <v>37</v>
      </c>
      <c r="FW24" t="s">
        <v>37</v>
      </c>
      <c r="FY24" t="s">
        <v>37</v>
      </c>
      <c r="GA24" t="s">
        <v>37</v>
      </c>
      <c r="GC24" t="s">
        <v>37</v>
      </c>
      <c r="GE24" t="s">
        <v>37</v>
      </c>
      <c r="GG24" t="s">
        <v>37</v>
      </c>
      <c r="GI24" t="s">
        <v>37</v>
      </c>
      <c r="GK24" t="s">
        <v>37</v>
      </c>
      <c r="GM24" t="s">
        <v>37</v>
      </c>
      <c r="GO24" t="s">
        <v>37</v>
      </c>
      <c r="GQ24" t="s">
        <v>37</v>
      </c>
      <c r="GS24" t="s">
        <v>37</v>
      </c>
      <c r="GU24" t="s">
        <v>37</v>
      </c>
      <c r="GW24" t="s">
        <v>37</v>
      </c>
      <c r="GY24" t="s">
        <v>37</v>
      </c>
      <c r="HA24" t="s">
        <v>37</v>
      </c>
      <c r="HC24" t="s">
        <v>37</v>
      </c>
      <c r="HE24" t="s">
        <v>37</v>
      </c>
      <c r="HG24" t="s">
        <v>37</v>
      </c>
      <c r="HI24" t="s">
        <v>37</v>
      </c>
      <c r="HK24" t="s">
        <v>37</v>
      </c>
    </row>
    <row r="25" spans="1:219">
      <c r="A25">
        <v>1410</v>
      </c>
      <c r="B25" t="s">
        <v>53</v>
      </c>
      <c r="C25" t="s">
        <v>37</v>
      </c>
      <c r="E25" t="s">
        <v>37</v>
      </c>
      <c r="G25" t="s">
        <v>37</v>
      </c>
      <c r="I25" t="s">
        <v>37</v>
      </c>
      <c r="K25" s="48" t="s">
        <v>37</v>
      </c>
      <c r="L25" s="51">
        <v>107802</v>
      </c>
      <c r="M25" s="48" t="s">
        <v>37</v>
      </c>
      <c r="N25" s="50"/>
      <c r="O25" s="48" t="s">
        <v>37</v>
      </c>
      <c r="P25" s="50"/>
      <c r="Q25" s="48" t="s">
        <v>37</v>
      </c>
      <c r="R25" s="50"/>
      <c r="S25" s="48" t="s">
        <v>37</v>
      </c>
      <c r="U25" t="s">
        <v>37</v>
      </c>
      <c r="W25" t="s">
        <v>37</v>
      </c>
      <c r="Y25" t="s">
        <v>37</v>
      </c>
      <c r="AA25" t="s">
        <v>37</v>
      </c>
      <c r="AC25" t="s">
        <v>37</v>
      </c>
      <c r="AE25" t="s">
        <v>37</v>
      </c>
      <c r="AG25" t="s">
        <v>37</v>
      </c>
      <c r="AI25" t="s">
        <v>37</v>
      </c>
      <c r="AK25" t="s">
        <v>37</v>
      </c>
      <c r="AM25" t="s">
        <v>37</v>
      </c>
      <c r="AO25" t="s">
        <v>37</v>
      </c>
      <c r="AQ25" t="s">
        <v>37</v>
      </c>
      <c r="AS25" t="s">
        <v>37</v>
      </c>
      <c r="AU25" t="s">
        <v>37</v>
      </c>
      <c r="AW25" t="s">
        <v>37</v>
      </c>
      <c r="AY25" t="s">
        <v>37</v>
      </c>
      <c r="BA25" t="s">
        <v>37</v>
      </c>
      <c r="BC25" t="s">
        <v>37</v>
      </c>
      <c r="BE25" t="s">
        <v>37</v>
      </c>
      <c r="BG25" t="s">
        <v>37</v>
      </c>
      <c r="BI25" t="s">
        <v>37</v>
      </c>
      <c r="BK25" t="s">
        <v>37</v>
      </c>
      <c r="BM25" t="s">
        <v>37</v>
      </c>
      <c r="BO25" t="s">
        <v>37</v>
      </c>
      <c r="BQ25" t="s">
        <v>37</v>
      </c>
      <c r="BS25" t="s">
        <v>37</v>
      </c>
      <c r="BU25" t="s">
        <v>37</v>
      </c>
      <c r="BW25" t="s">
        <v>37</v>
      </c>
      <c r="BY25" t="s">
        <v>37</v>
      </c>
      <c r="CA25" t="s">
        <v>37</v>
      </c>
      <c r="CC25" t="s">
        <v>37</v>
      </c>
      <c r="CE25" t="s">
        <v>37</v>
      </c>
      <c r="CG25" t="s">
        <v>37</v>
      </c>
      <c r="CI25" t="s">
        <v>37</v>
      </c>
      <c r="CK25" t="s">
        <v>37</v>
      </c>
      <c r="CM25" t="s">
        <v>37</v>
      </c>
      <c r="CO25" t="s">
        <v>37</v>
      </c>
      <c r="CQ25" t="s">
        <v>37</v>
      </c>
      <c r="CS25" t="s">
        <v>37</v>
      </c>
      <c r="CU25" t="s">
        <v>37</v>
      </c>
      <c r="CW25" t="s">
        <v>37</v>
      </c>
      <c r="CY25" t="s">
        <v>37</v>
      </c>
      <c r="DA25" t="s">
        <v>37</v>
      </c>
      <c r="DC25" t="s">
        <v>37</v>
      </c>
      <c r="DE25" t="s">
        <v>37</v>
      </c>
      <c r="DG25" t="s">
        <v>37</v>
      </c>
      <c r="DI25" t="s">
        <v>37</v>
      </c>
      <c r="DK25" t="s">
        <v>37</v>
      </c>
      <c r="DM25" t="s">
        <v>37</v>
      </c>
      <c r="DO25" t="s">
        <v>37</v>
      </c>
      <c r="DP25">
        <v>40077</v>
      </c>
      <c r="DQ25" t="s">
        <v>37</v>
      </c>
      <c r="DS25" t="s">
        <v>37</v>
      </c>
      <c r="DU25" t="s">
        <v>37</v>
      </c>
      <c r="DW25" t="s">
        <v>37</v>
      </c>
      <c r="DY25" t="s">
        <v>37</v>
      </c>
      <c r="EA25" t="s">
        <v>37</v>
      </c>
      <c r="EC25" t="s">
        <v>37</v>
      </c>
      <c r="EE25" t="s">
        <v>37</v>
      </c>
      <c r="EG25" t="s">
        <v>37</v>
      </c>
      <c r="EI25" t="s">
        <v>37</v>
      </c>
      <c r="EK25" t="s">
        <v>37</v>
      </c>
      <c r="EM25" t="s">
        <v>37</v>
      </c>
      <c r="EN25">
        <v>3750</v>
      </c>
      <c r="EO25" t="s">
        <v>37</v>
      </c>
      <c r="EQ25" t="s">
        <v>37</v>
      </c>
      <c r="ES25" t="s">
        <v>37</v>
      </c>
      <c r="EU25" t="s">
        <v>37</v>
      </c>
      <c r="EV25">
        <v>157696</v>
      </c>
      <c r="EW25" t="s">
        <v>37</v>
      </c>
      <c r="EY25" t="s">
        <v>37</v>
      </c>
      <c r="FA25" t="s">
        <v>37</v>
      </c>
      <c r="FC25" t="s">
        <v>37</v>
      </c>
      <c r="FE25" t="s">
        <v>37</v>
      </c>
      <c r="FG25" t="s">
        <v>37</v>
      </c>
      <c r="FI25" t="s">
        <v>37</v>
      </c>
      <c r="FJ25">
        <v>85349</v>
      </c>
      <c r="FK25" t="s">
        <v>37</v>
      </c>
      <c r="FM25" t="s">
        <v>37</v>
      </c>
      <c r="FO25" t="s">
        <v>37</v>
      </c>
      <c r="FQ25" t="s">
        <v>37</v>
      </c>
      <c r="FS25" t="s">
        <v>37</v>
      </c>
      <c r="FU25" t="s">
        <v>37</v>
      </c>
      <c r="FW25" t="s">
        <v>37</v>
      </c>
      <c r="FY25" t="s">
        <v>37</v>
      </c>
      <c r="FZ25">
        <v>105</v>
      </c>
      <c r="GA25" t="s">
        <v>37</v>
      </c>
      <c r="GC25" t="s">
        <v>37</v>
      </c>
      <c r="GE25" t="s">
        <v>37</v>
      </c>
      <c r="GG25" t="s">
        <v>37</v>
      </c>
      <c r="GI25" t="s">
        <v>37</v>
      </c>
      <c r="GK25" t="s">
        <v>37</v>
      </c>
      <c r="GM25" t="s">
        <v>37</v>
      </c>
      <c r="GO25" t="s">
        <v>37</v>
      </c>
      <c r="GQ25" t="s">
        <v>37</v>
      </c>
      <c r="GS25" t="s">
        <v>37</v>
      </c>
      <c r="GU25" t="s">
        <v>37</v>
      </c>
      <c r="GW25" t="s">
        <v>37</v>
      </c>
      <c r="GY25" t="s">
        <v>37</v>
      </c>
      <c r="HA25" t="s">
        <v>37</v>
      </c>
      <c r="HC25" t="s">
        <v>37</v>
      </c>
      <c r="HE25" t="s">
        <v>37</v>
      </c>
      <c r="HF25">
        <v>394779</v>
      </c>
      <c r="HG25" t="s">
        <v>37</v>
      </c>
      <c r="HI25" t="s">
        <v>37</v>
      </c>
      <c r="HJ25">
        <v>394779</v>
      </c>
      <c r="HK25" t="s">
        <v>37</v>
      </c>
    </row>
    <row r="26" spans="1:219">
      <c r="A26">
        <v>1415</v>
      </c>
      <c r="B26" t="s">
        <v>60</v>
      </c>
      <c r="C26" t="s">
        <v>37</v>
      </c>
      <c r="E26" t="s">
        <v>37</v>
      </c>
      <c r="G26" t="s">
        <v>37</v>
      </c>
      <c r="I26" t="s">
        <v>37</v>
      </c>
      <c r="K26" s="48" t="s">
        <v>37</v>
      </c>
      <c r="L26" s="51">
        <v>28632</v>
      </c>
      <c r="M26" s="48" t="s">
        <v>37</v>
      </c>
      <c r="N26" s="50"/>
      <c r="O26" s="48" t="s">
        <v>37</v>
      </c>
      <c r="P26" s="50"/>
      <c r="Q26" s="48" t="s">
        <v>37</v>
      </c>
      <c r="R26" s="50"/>
      <c r="S26" s="48" t="s">
        <v>37</v>
      </c>
      <c r="U26" t="s">
        <v>37</v>
      </c>
      <c r="W26" t="s">
        <v>37</v>
      </c>
      <c r="Y26" t="s">
        <v>37</v>
      </c>
      <c r="AA26" t="s">
        <v>37</v>
      </c>
      <c r="AC26" t="s">
        <v>37</v>
      </c>
      <c r="AE26" t="s">
        <v>37</v>
      </c>
      <c r="AG26" t="s">
        <v>37</v>
      </c>
      <c r="AH26">
        <v>14420</v>
      </c>
      <c r="AI26" t="s">
        <v>37</v>
      </c>
      <c r="AK26" t="s">
        <v>37</v>
      </c>
      <c r="AM26" t="s">
        <v>37</v>
      </c>
      <c r="AO26" t="s">
        <v>37</v>
      </c>
      <c r="AQ26" t="s">
        <v>37</v>
      </c>
      <c r="AS26" t="s">
        <v>37</v>
      </c>
      <c r="AU26" t="s">
        <v>37</v>
      </c>
      <c r="AW26" t="s">
        <v>37</v>
      </c>
      <c r="AY26" t="s">
        <v>37</v>
      </c>
      <c r="BA26" t="s">
        <v>37</v>
      </c>
      <c r="BC26" t="s">
        <v>37</v>
      </c>
      <c r="BE26" t="s">
        <v>37</v>
      </c>
      <c r="BG26" t="s">
        <v>37</v>
      </c>
      <c r="BI26" t="s">
        <v>37</v>
      </c>
      <c r="BK26" t="s">
        <v>37</v>
      </c>
      <c r="BM26" t="s">
        <v>37</v>
      </c>
      <c r="BO26" t="s">
        <v>37</v>
      </c>
      <c r="BQ26" t="s">
        <v>37</v>
      </c>
      <c r="BS26" t="s">
        <v>37</v>
      </c>
      <c r="BU26" t="s">
        <v>37</v>
      </c>
      <c r="BW26" t="s">
        <v>37</v>
      </c>
      <c r="BY26" t="s">
        <v>37</v>
      </c>
      <c r="CA26" t="s">
        <v>37</v>
      </c>
      <c r="CC26" t="s">
        <v>37</v>
      </c>
      <c r="CE26" t="s">
        <v>37</v>
      </c>
      <c r="CG26" t="s">
        <v>37</v>
      </c>
      <c r="CI26" t="s">
        <v>37</v>
      </c>
      <c r="CK26" t="s">
        <v>37</v>
      </c>
      <c r="CM26" t="s">
        <v>37</v>
      </c>
      <c r="CO26" t="s">
        <v>37</v>
      </c>
      <c r="CQ26" t="s">
        <v>37</v>
      </c>
      <c r="CS26" t="s">
        <v>37</v>
      </c>
      <c r="CU26" t="s">
        <v>37</v>
      </c>
      <c r="CW26" t="s">
        <v>37</v>
      </c>
      <c r="CY26" t="s">
        <v>37</v>
      </c>
      <c r="DA26" t="s">
        <v>37</v>
      </c>
      <c r="DC26" t="s">
        <v>37</v>
      </c>
      <c r="DE26" t="s">
        <v>37</v>
      </c>
      <c r="DG26" t="s">
        <v>37</v>
      </c>
      <c r="DI26" t="s">
        <v>37</v>
      </c>
      <c r="DK26" t="s">
        <v>37</v>
      </c>
      <c r="DM26" t="s">
        <v>37</v>
      </c>
      <c r="DO26" t="s">
        <v>37</v>
      </c>
      <c r="DQ26" t="s">
        <v>37</v>
      </c>
      <c r="DS26" t="s">
        <v>37</v>
      </c>
      <c r="DU26" t="s">
        <v>37</v>
      </c>
      <c r="DW26" t="s">
        <v>37</v>
      </c>
      <c r="DY26" t="s">
        <v>37</v>
      </c>
      <c r="EA26" t="s">
        <v>37</v>
      </c>
      <c r="EC26" t="s">
        <v>37</v>
      </c>
      <c r="EE26" t="s">
        <v>37</v>
      </c>
      <c r="EG26" t="s">
        <v>37</v>
      </c>
      <c r="EI26" t="s">
        <v>37</v>
      </c>
      <c r="EK26" t="s">
        <v>37</v>
      </c>
      <c r="EM26" t="s">
        <v>37</v>
      </c>
      <c r="EO26" t="s">
        <v>37</v>
      </c>
      <c r="EQ26" t="s">
        <v>37</v>
      </c>
      <c r="ES26" t="s">
        <v>37</v>
      </c>
      <c r="EU26" t="s">
        <v>37</v>
      </c>
      <c r="EW26" t="s">
        <v>37</v>
      </c>
      <c r="EY26" t="s">
        <v>37</v>
      </c>
      <c r="FA26" t="s">
        <v>37</v>
      </c>
      <c r="FC26" t="s">
        <v>37</v>
      </c>
      <c r="FE26" t="s">
        <v>37</v>
      </c>
      <c r="FG26" t="s">
        <v>37</v>
      </c>
      <c r="FI26" t="s">
        <v>37</v>
      </c>
      <c r="FK26" t="s">
        <v>37</v>
      </c>
      <c r="FM26" t="s">
        <v>37</v>
      </c>
      <c r="FO26" t="s">
        <v>37</v>
      </c>
      <c r="FQ26" t="s">
        <v>37</v>
      </c>
      <c r="FS26" t="s">
        <v>37</v>
      </c>
      <c r="FU26" t="s">
        <v>37</v>
      </c>
      <c r="FW26" t="s">
        <v>37</v>
      </c>
      <c r="FY26" t="s">
        <v>37</v>
      </c>
      <c r="GA26" t="s">
        <v>37</v>
      </c>
      <c r="GC26" t="s">
        <v>37</v>
      </c>
      <c r="GE26" t="s">
        <v>37</v>
      </c>
      <c r="GG26" t="s">
        <v>37</v>
      </c>
      <c r="GI26" t="s">
        <v>37</v>
      </c>
      <c r="GK26" t="s">
        <v>37</v>
      </c>
      <c r="GM26" t="s">
        <v>37</v>
      </c>
      <c r="GO26" t="s">
        <v>37</v>
      </c>
      <c r="GQ26" t="s">
        <v>37</v>
      </c>
      <c r="GS26" t="s">
        <v>37</v>
      </c>
      <c r="GU26" t="s">
        <v>37</v>
      </c>
      <c r="GW26" t="s">
        <v>37</v>
      </c>
      <c r="GY26" t="s">
        <v>37</v>
      </c>
      <c r="HA26" t="s">
        <v>37</v>
      </c>
      <c r="HC26" t="s">
        <v>37</v>
      </c>
      <c r="HE26" t="s">
        <v>37</v>
      </c>
      <c r="HF26">
        <v>43052</v>
      </c>
      <c r="HG26" t="s">
        <v>37</v>
      </c>
      <c r="HI26" t="s">
        <v>37</v>
      </c>
      <c r="HJ26">
        <v>43052</v>
      </c>
      <c r="HK26" t="s">
        <v>37</v>
      </c>
    </row>
    <row r="27" spans="1:219">
      <c r="A27">
        <v>1420</v>
      </c>
      <c r="B27" t="s">
        <v>61</v>
      </c>
      <c r="C27" t="s">
        <v>37</v>
      </c>
      <c r="E27" t="s">
        <v>37</v>
      </c>
      <c r="G27" t="s">
        <v>37</v>
      </c>
      <c r="I27" t="s">
        <v>37</v>
      </c>
      <c r="K27" s="48" t="s">
        <v>37</v>
      </c>
      <c r="L27" s="50"/>
      <c r="M27" s="48" t="s">
        <v>37</v>
      </c>
      <c r="N27" s="50"/>
      <c r="O27" s="48" t="s">
        <v>37</v>
      </c>
      <c r="P27" s="50"/>
      <c r="Q27" s="48" t="s">
        <v>37</v>
      </c>
      <c r="R27" s="50"/>
      <c r="S27" s="48" t="s">
        <v>37</v>
      </c>
      <c r="U27" t="s">
        <v>37</v>
      </c>
      <c r="W27" t="s">
        <v>37</v>
      </c>
      <c r="Y27" t="s">
        <v>37</v>
      </c>
      <c r="AA27" t="s">
        <v>37</v>
      </c>
      <c r="AC27" t="s">
        <v>37</v>
      </c>
      <c r="AE27" t="s">
        <v>37</v>
      </c>
      <c r="AG27" t="s">
        <v>37</v>
      </c>
      <c r="AI27" t="s">
        <v>37</v>
      </c>
      <c r="AK27" t="s">
        <v>37</v>
      </c>
      <c r="AM27" t="s">
        <v>37</v>
      </c>
      <c r="AO27" t="s">
        <v>37</v>
      </c>
      <c r="AQ27" t="s">
        <v>37</v>
      </c>
      <c r="AS27" t="s">
        <v>37</v>
      </c>
      <c r="AU27" t="s">
        <v>37</v>
      </c>
      <c r="AW27" t="s">
        <v>37</v>
      </c>
      <c r="AY27" t="s">
        <v>37</v>
      </c>
      <c r="BA27" t="s">
        <v>37</v>
      </c>
      <c r="BC27" t="s">
        <v>37</v>
      </c>
      <c r="BE27" t="s">
        <v>37</v>
      </c>
      <c r="BG27" t="s">
        <v>37</v>
      </c>
      <c r="BI27" t="s">
        <v>37</v>
      </c>
      <c r="BK27" t="s">
        <v>37</v>
      </c>
      <c r="BM27" t="s">
        <v>37</v>
      </c>
      <c r="BO27" t="s">
        <v>37</v>
      </c>
      <c r="BQ27" t="s">
        <v>37</v>
      </c>
      <c r="BS27" t="s">
        <v>37</v>
      </c>
      <c r="BU27" t="s">
        <v>37</v>
      </c>
      <c r="BW27" t="s">
        <v>37</v>
      </c>
      <c r="BY27" t="s">
        <v>37</v>
      </c>
      <c r="CA27" t="s">
        <v>37</v>
      </c>
      <c r="CC27" t="s">
        <v>37</v>
      </c>
      <c r="CE27" t="s">
        <v>37</v>
      </c>
      <c r="CG27" t="s">
        <v>37</v>
      </c>
      <c r="CI27" t="s">
        <v>37</v>
      </c>
      <c r="CK27" t="s">
        <v>37</v>
      </c>
      <c r="CM27" t="s">
        <v>37</v>
      </c>
      <c r="CO27" t="s">
        <v>37</v>
      </c>
      <c r="CQ27" t="s">
        <v>37</v>
      </c>
      <c r="CS27" t="s">
        <v>37</v>
      </c>
      <c r="CU27" t="s">
        <v>37</v>
      </c>
      <c r="CW27" t="s">
        <v>37</v>
      </c>
      <c r="CY27" t="s">
        <v>37</v>
      </c>
      <c r="DA27" t="s">
        <v>37</v>
      </c>
      <c r="DC27" t="s">
        <v>37</v>
      </c>
      <c r="DE27" t="s">
        <v>37</v>
      </c>
      <c r="DG27" t="s">
        <v>37</v>
      </c>
      <c r="DI27" t="s">
        <v>37</v>
      </c>
      <c r="DK27" t="s">
        <v>37</v>
      </c>
      <c r="DM27" t="s">
        <v>37</v>
      </c>
      <c r="DO27" t="s">
        <v>37</v>
      </c>
      <c r="DQ27" t="s">
        <v>37</v>
      </c>
      <c r="DS27" t="s">
        <v>37</v>
      </c>
      <c r="DU27" t="s">
        <v>37</v>
      </c>
      <c r="DW27" t="s">
        <v>37</v>
      </c>
      <c r="DY27" t="s">
        <v>37</v>
      </c>
      <c r="EA27" t="s">
        <v>37</v>
      </c>
      <c r="EC27" t="s">
        <v>37</v>
      </c>
      <c r="EE27" t="s">
        <v>37</v>
      </c>
      <c r="EG27" t="s">
        <v>37</v>
      </c>
      <c r="EI27" t="s">
        <v>37</v>
      </c>
      <c r="EK27" t="s">
        <v>37</v>
      </c>
      <c r="EM27" t="s">
        <v>37</v>
      </c>
      <c r="EO27" t="s">
        <v>37</v>
      </c>
      <c r="EQ27" t="s">
        <v>37</v>
      </c>
      <c r="ES27" t="s">
        <v>37</v>
      </c>
      <c r="EU27" t="s">
        <v>37</v>
      </c>
      <c r="EW27" t="s">
        <v>37</v>
      </c>
      <c r="EY27" t="s">
        <v>37</v>
      </c>
      <c r="FA27" t="s">
        <v>37</v>
      </c>
      <c r="FC27" t="s">
        <v>37</v>
      </c>
      <c r="FE27" t="s">
        <v>37</v>
      </c>
      <c r="FG27" t="s">
        <v>37</v>
      </c>
      <c r="FI27" t="s">
        <v>37</v>
      </c>
      <c r="FK27" t="s">
        <v>37</v>
      </c>
      <c r="FM27" t="s">
        <v>37</v>
      </c>
      <c r="FO27" t="s">
        <v>37</v>
      </c>
      <c r="FQ27" t="s">
        <v>37</v>
      </c>
      <c r="FS27" t="s">
        <v>37</v>
      </c>
      <c r="FU27" t="s">
        <v>37</v>
      </c>
      <c r="FW27" t="s">
        <v>37</v>
      </c>
      <c r="FY27" t="s">
        <v>37</v>
      </c>
      <c r="GA27" t="s">
        <v>37</v>
      </c>
      <c r="GC27" t="s">
        <v>37</v>
      </c>
      <c r="GE27" t="s">
        <v>37</v>
      </c>
      <c r="GG27" t="s">
        <v>37</v>
      </c>
      <c r="GI27" t="s">
        <v>37</v>
      </c>
      <c r="GK27" t="s">
        <v>37</v>
      </c>
      <c r="GM27" t="s">
        <v>37</v>
      </c>
      <c r="GO27" t="s">
        <v>37</v>
      </c>
      <c r="GQ27" t="s">
        <v>37</v>
      </c>
      <c r="GS27" t="s">
        <v>37</v>
      </c>
      <c r="GU27" t="s">
        <v>37</v>
      </c>
      <c r="GW27" t="s">
        <v>37</v>
      </c>
      <c r="GY27" t="s">
        <v>37</v>
      </c>
      <c r="HA27" t="s">
        <v>37</v>
      </c>
      <c r="HC27" t="s">
        <v>37</v>
      </c>
      <c r="HE27" t="s">
        <v>37</v>
      </c>
      <c r="HG27" t="s">
        <v>37</v>
      </c>
      <c r="HI27" t="s">
        <v>37</v>
      </c>
      <c r="HK27" t="s">
        <v>37</v>
      </c>
    </row>
    <row r="28" spans="1:219">
      <c r="A28">
        <v>1425</v>
      </c>
      <c r="B28" t="s">
        <v>58</v>
      </c>
      <c r="C28" t="s">
        <v>37</v>
      </c>
      <c r="E28" t="s">
        <v>37</v>
      </c>
      <c r="G28" t="s">
        <v>37</v>
      </c>
      <c r="I28" t="s">
        <v>37</v>
      </c>
      <c r="K28" s="48" t="s">
        <v>37</v>
      </c>
      <c r="L28" s="50"/>
      <c r="M28" s="48" t="s">
        <v>37</v>
      </c>
      <c r="N28" s="50"/>
      <c r="O28" s="48" t="s">
        <v>37</v>
      </c>
      <c r="P28" s="50"/>
      <c r="Q28" s="48" t="s">
        <v>37</v>
      </c>
      <c r="R28" s="50"/>
      <c r="S28" s="48" t="s">
        <v>37</v>
      </c>
      <c r="U28" t="s">
        <v>37</v>
      </c>
      <c r="W28" t="s">
        <v>37</v>
      </c>
      <c r="Y28" t="s">
        <v>37</v>
      </c>
      <c r="AA28" t="s">
        <v>37</v>
      </c>
      <c r="AC28" t="s">
        <v>37</v>
      </c>
      <c r="AE28" t="s">
        <v>37</v>
      </c>
      <c r="AG28" t="s">
        <v>37</v>
      </c>
      <c r="AI28" t="s">
        <v>37</v>
      </c>
      <c r="AK28" t="s">
        <v>37</v>
      </c>
      <c r="AM28" t="s">
        <v>37</v>
      </c>
      <c r="AO28" t="s">
        <v>37</v>
      </c>
      <c r="AQ28" t="s">
        <v>37</v>
      </c>
      <c r="AS28" t="s">
        <v>37</v>
      </c>
      <c r="AU28" t="s">
        <v>37</v>
      </c>
      <c r="AW28" t="s">
        <v>37</v>
      </c>
      <c r="AY28" t="s">
        <v>37</v>
      </c>
      <c r="BA28" t="s">
        <v>37</v>
      </c>
      <c r="BC28" t="s">
        <v>37</v>
      </c>
      <c r="BE28" t="s">
        <v>37</v>
      </c>
      <c r="BG28" t="s">
        <v>37</v>
      </c>
      <c r="BI28" t="s">
        <v>37</v>
      </c>
      <c r="BK28" t="s">
        <v>37</v>
      </c>
      <c r="BM28" t="s">
        <v>37</v>
      </c>
      <c r="BO28" t="s">
        <v>37</v>
      </c>
      <c r="BQ28" t="s">
        <v>37</v>
      </c>
      <c r="BS28" t="s">
        <v>37</v>
      </c>
      <c r="BU28" t="s">
        <v>37</v>
      </c>
      <c r="BW28" t="s">
        <v>37</v>
      </c>
      <c r="BY28" t="s">
        <v>37</v>
      </c>
      <c r="CA28" t="s">
        <v>37</v>
      </c>
      <c r="CC28" t="s">
        <v>37</v>
      </c>
      <c r="CE28" t="s">
        <v>37</v>
      </c>
      <c r="CG28" t="s">
        <v>37</v>
      </c>
      <c r="CI28" t="s">
        <v>37</v>
      </c>
      <c r="CK28" t="s">
        <v>37</v>
      </c>
      <c r="CM28" t="s">
        <v>37</v>
      </c>
      <c r="CO28" t="s">
        <v>37</v>
      </c>
      <c r="CQ28" t="s">
        <v>37</v>
      </c>
      <c r="CS28" t="s">
        <v>37</v>
      </c>
      <c r="CU28" t="s">
        <v>37</v>
      </c>
      <c r="CW28" t="s">
        <v>37</v>
      </c>
      <c r="CY28" t="s">
        <v>37</v>
      </c>
      <c r="DA28" t="s">
        <v>37</v>
      </c>
      <c r="DC28" t="s">
        <v>37</v>
      </c>
      <c r="DE28" t="s">
        <v>37</v>
      </c>
      <c r="DG28" t="s">
        <v>37</v>
      </c>
      <c r="DI28" t="s">
        <v>37</v>
      </c>
      <c r="DK28" t="s">
        <v>37</v>
      </c>
      <c r="DM28" t="s">
        <v>37</v>
      </c>
      <c r="DO28" t="s">
        <v>37</v>
      </c>
      <c r="DQ28" t="s">
        <v>37</v>
      </c>
      <c r="DS28" t="s">
        <v>37</v>
      </c>
      <c r="DU28" t="s">
        <v>37</v>
      </c>
      <c r="DW28" t="s">
        <v>37</v>
      </c>
      <c r="DY28" t="s">
        <v>37</v>
      </c>
      <c r="EA28" t="s">
        <v>37</v>
      </c>
      <c r="EC28" t="s">
        <v>37</v>
      </c>
      <c r="EE28" t="s">
        <v>37</v>
      </c>
      <c r="EG28" t="s">
        <v>37</v>
      </c>
      <c r="EI28" t="s">
        <v>37</v>
      </c>
      <c r="EK28" t="s">
        <v>37</v>
      </c>
      <c r="EM28" t="s">
        <v>37</v>
      </c>
      <c r="EO28" t="s">
        <v>37</v>
      </c>
      <c r="EQ28" t="s">
        <v>37</v>
      </c>
      <c r="ES28" t="s">
        <v>37</v>
      </c>
      <c r="EU28" t="s">
        <v>37</v>
      </c>
      <c r="EW28" t="s">
        <v>37</v>
      </c>
      <c r="EY28" t="s">
        <v>37</v>
      </c>
      <c r="FA28" t="s">
        <v>37</v>
      </c>
      <c r="FC28" t="s">
        <v>37</v>
      </c>
      <c r="FE28" t="s">
        <v>37</v>
      </c>
      <c r="FG28" t="s">
        <v>37</v>
      </c>
      <c r="FI28" t="s">
        <v>37</v>
      </c>
      <c r="FK28" t="s">
        <v>37</v>
      </c>
      <c r="FM28" t="s">
        <v>37</v>
      </c>
      <c r="FO28" t="s">
        <v>37</v>
      </c>
      <c r="FQ28" t="s">
        <v>37</v>
      </c>
      <c r="FS28" t="s">
        <v>37</v>
      </c>
      <c r="FU28" t="s">
        <v>37</v>
      </c>
      <c r="FW28" t="s">
        <v>37</v>
      </c>
      <c r="FY28" t="s">
        <v>37</v>
      </c>
      <c r="GA28" t="s">
        <v>37</v>
      </c>
      <c r="GC28" t="s">
        <v>37</v>
      </c>
      <c r="GE28" t="s">
        <v>37</v>
      </c>
      <c r="GG28" t="s">
        <v>37</v>
      </c>
      <c r="GI28" t="s">
        <v>37</v>
      </c>
      <c r="GK28" t="s">
        <v>37</v>
      </c>
      <c r="GM28" t="s">
        <v>37</v>
      </c>
      <c r="GO28" t="s">
        <v>37</v>
      </c>
      <c r="GQ28" t="s">
        <v>37</v>
      </c>
      <c r="GS28" t="s">
        <v>37</v>
      </c>
      <c r="GU28" t="s">
        <v>37</v>
      </c>
      <c r="GW28" t="s">
        <v>37</v>
      </c>
      <c r="GY28" t="s">
        <v>37</v>
      </c>
      <c r="HA28" t="s">
        <v>37</v>
      </c>
      <c r="HC28" t="s">
        <v>37</v>
      </c>
      <c r="HE28" t="s">
        <v>37</v>
      </c>
      <c r="HG28" t="s">
        <v>37</v>
      </c>
      <c r="HI28" t="s">
        <v>37</v>
      </c>
      <c r="HK28" t="s">
        <v>37</v>
      </c>
    </row>
    <row r="29" spans="1:219">
      <c r="A29">
        <v>1500</v>
      </c>
      <c r="B29" t="s">
        <v>62</v>
      </c>
      <c r="C29" t="s">
        <v>37</v>
      </c>
      <c r="E29" t="s">
        <v>37</v>
      </c>
      <c r="G29" t="s">
        <v>37</v>
      </c>
      <c r="I29" t="s">
        <v>37</v>
      </c>
      <c r="K29" s="48" t="s">
        <v>37</v>
      </c>
      <c r="L29" s="50"/>
      <c r="M29" s="48" t="s">
        <v>37</v>
      </c>
      <c r="N29" s="50"/>
      <c r="O29" s="48" t="s">
        <v>37</v>
      </c>
      <c r="P29" s="50"/>
      <c r="Q29" s="48" t="s">
        <v>37</v>
      </c>
      <c r="R29" s="50"/>
      <c r="S29" s="48" t="s">
        <v>37</v>
      </c>
      <c r="U29" t="s">
        <v>37</v>
      </c>
      <c r="W29" t="s">
        <v>37</v>
      </c>
      <c r="Y29" t="s">
        <v>37</v>
      </c>
      <c r="AA29" t="s">
        <v>37</v>
      </c>
      <c r="AC29" t="s">
        <v>37</v>
      </c>
      <c r="AE29" t="s">
        <v>37</v>
      </c>
      <c r="AG29" t="s">
        <v>37</v>
      </c>
      <c r="AI29" t="s">
        <v>37</v>
      </c>
      <c r="AK29" t="s">
        <v>37</v>
      </c>
      <c r="AM29" t="s">
        <v>37</v>
      </c>
      <c r="AO29" t="s">
        <v>37</v>
      </c>
      <c r="AQ29" t="s">
        <v>37</v>
      </c>
      <c r="AS29" t="s">
        <v>37</v>
      </c>
      <c r="AU29" t="s">
        <v>37</v>
      </c>
      <c r="AW29" t="s">
        <v>37</v>
      </c>
      <c r="AY29" t="s">
        <v>37</v>
      </c>
      <c r="BA29" t="s">
        <v>37</v>
      </c>
      <c r="BC29" t="s">
        <v>37</v>
      </c>
      <c r="BE29" t="s">
        <v>37</v>
      </c>
      <c r="BG29" t="s">
        <v>37</v>
      </c>
      <c r="BI29" t="s">
        <v>37</v>
      </c>
      <c r="BK29" t="s">
        <v>37</v>
      </c>
      <c r="BM29" t="s">
        <v>37</v>
      </c>
      <c r="BO29" t="s">
        <v>37</v>
      </c>
      <c r="BQ29" t="s">
        <v>37</v>
      </c>
      <c r="BS29" t="s">
        <v>37</v>
      </c>
      <c r="BU29" t="s">
        <v>37</v>
      </c>
      <c r="BW29" t="s">
        <v>37</v>
      </c>
      <c r="BY29" t="s">
        <v>37</v>
      </c>
      <c r="CA29" t="s">
        <v>37</v>
      </c>
      <c r="CC29" t="s">
        <v>37</v>
      </c>
      <c r="CE29" t="s">
        <v>37</v>
      </c>
      <c r="CG29" t="s">
        <v>37</v>
      </c>
      <c r="CI29" t="s">
        <v>37</v>
      </c>
      <c r="CK29" t="s">
        <v>37</v>
      </c>
      <c r="CM29" t="s">
        <v>37</v>
      </c>
      <c r="CO29" t="s">
        <v>37</v>
      </c>
      <c r="CQ29" t="s">
        <v>37</v>
      </c>
      <c r="CS29" t="s">
        <v>37</v>
      </c>
      <c r="CU29" t="s">
        <v>37</v>
      </c>
      <c r="CW29" t="s">
        <v>37</v>
      </c>
      <c r="CY29" t="s">
        <v>37</v>
      </c>
      <c r="DA29" t="s">
        <v>37</v>
      </c>
      <c r="DC29" t="s">
        <v>37</v>
      </c>
      <c r="DE29" t="s">
        <v>37</v>
      </c>
      <c r="DG29" t="s">
        <v>37</v>
      </c>
      <c r="DI29" t="s">
        <v>37</v>
      </c>
      <c r="DK29" t="s">
        <v>37</v>
      </c>
      <c r="DM29" t="s">
        <v>37</v>
      </c>
      <c r="DO29" t="s">
        <v>37</v>
      </c>
      <c r="DQ29" t="s">
        <v>37</v>
      </c>
      <c r="DS29" t="s">
        <v>37</v>
      </c>
      <c r="DU29" t="s">
        <v>37</v>
      </c>
      <c r="DW29" t="s">
        <v>37</v>
      </c>
      <c r="DY29" t="s">
        <v>37</v>
      </c>
      <c r="EA29" t="s">
        <v>37</v>
      </c>
      <c r="EC29" t="s">
        <v>37</v>
      </c>
      <c r="EE29" t="s">
        <v>37</v>
      </c>
      <c r="EG29" t="s">
        <v>37</v>
      </c>
      <c r="EI29" t="s">
        <v>37</v>
      </c>
      <c r="EK29" t="s">
        <v>37</v>
      </c>
      <c r="EM29" t="s">
        <v>37</v>
      </c>
      <c r="EO29" t="s">
        <v>37</v>
      </c>
      <c r="EQ29" t="s">
        <v>37</v>
      </c>
      <c r="ES29" t="s">
        <v>37</v>
      </c>
      <c r="EU29" t="s">
        <v>37</v>
      </c>
      <c r="EW29" t="s">
        <v>37</v>
      </c>
      <c r="EY29" t="s">
        <v>37</v>
      </c>
      <c r="FA29" t="s">
        <v>37</v>
      </c>
      <c r="FC29" t="s">
        <v>37</v>
      </c>
      <c r="FE29" t="s">
        <v>37</v>
      </c>
      <c r="FG29" t="s">
        <v>37</v>
      </c>
      <c r="FI29" t="s">
        <v>37</v>
      </c>
      <c r="FK29" t="s">
        <v>37</v>
      </c>
      <c r="FM29" t="s">
        <v>37</v>
      </c>
      <c r="FO29" t="s">
        <v>37</v>
      </c>
      <c r="FQ29" t="s">
        <v>37</v>
      </c>
      <c r="FS29" t="s">
        <v>37</v>
      </c>
      <c r="FU29" t="s">
        <v>37</v>
      </c>
      <c r="FW29" t="s">
        <v>37</v>
      </c>
      <c r="FY29" t="s">
        <v>37</v>
      </c>
      <c r="GA29" t="s">
        <v>37</v>
      </c>
      <c r="GC29" t="s">
        <v>37</v>
      </c>
      <c r="GE29" t="s">
        <v>37</v>
      </c>
      <c r="GG29" t="s">
        <v>37</v>
      </c>
      <c r="GI29" t="s">
        <v>37</v>
      </c>
      <c r="GK29" t="s">
        <v>37</v>
      </c>
      <c r="GM29" t="s">
        <v>37</v>
      </c>
      <c r="GO29" t="s">
        <v>37</v>
      </c>
      <c r="GQ29" t="s">
        <v>37</v>
      </c>
      <c r="GS29" t="s">
        <v>37</v>
      </c>
      <c r="GU29" t="s">
        <v>37</v>
      </c>
      <c r="GW29" t="s">
        <v>37</v>
      </c>
      <c r="GY29" t="s">
        <v>37</v>
      </c>
      <c r="HA29" t="s">
        <v>37</v>
      </c>
      <c r="HC29" t="s">
        <v>37</v>
      </c>
      <c r="HE29" t="s">
        <v>37</v>
      </c>
      <c r="HG29" t="s">
        <v>37</v>
      </c>
      <c r="HI29" t="s">
        <v>37</v>
      </c>
      <c r="HK29" t="s">
        <v>37</v>
      </c>
    </row>
    <row r="30" spans="1:219">
      <c r="A30">
        <v>1510</v>
      </c>
      <c r="B30" t="s">
        <v>63</v>
      </c>
      <c r="C30" t="s">
        <v>37</v>
      </c>
      <c r="D30">
        <v>134656</v>
      </c>
      <c r="E30" t="s">
        <v>37</v>
      </c>
      <c r="F30">
        <v>1019518</v>
      </c>
      <c r="G30" t="s">
        <v>37</v>
      </c>
      <c r="H30">
        <v>26508</v>
      </c>
      <c r="I30" t="s">
        <v>37</v>
      </c>
      <c r="J30">
        <v>14227</v>
      </c>
      <c r="K30" s="48" t="s">
        <v>37</v>
      </c>
      <c r="L30" s="51">
        <v>382520</v>
      </c>
      <c r="M30" s="48" t="s">
        <v>37</v>
      </c>
      <c r="N30" s="51">
        <v>175851</v>
      </c>
      <c r="O30" s="48" t="s">
        <v>37</v>
      </c>
      <c r="P30" s="51">
        <v>593746</v>
      </c>
      <c r="Q30" s="48" t="s">
        <v>37</v>
      </c>
      <c r="R30" s="51">
        <v>1393711</v>
      </c>
      <c r="S30" s="48" t="s">
        <v>37</v>
      </c>
      <c r="T30">
        <v>995816</v>
      </c>
      <c r="U30" t="s">
        <v>37</v>
      </c>
      <c r="V30">
        <v>24583</v>
      </c>
      <c r="W30" t="s">
        <v>37</v>
      </c>
      <c r="X30">
        <v>101910</v>
      </c>
      <c r="Y30" t="s">
        <v>37</v>
      </c>
      <c r="Z30">
        <v>86610</v>
      </c>
      <c r="AA30" t="s">
        <v>37</v>
      </c>
      <c r="AB30">
        <v>31703</v>
      </c>
      <c r="AC30" t="s">
        <v>37</v>
      </c>
      <c r="AD30">
        <v>33738</v>
      </c>
      <c r="AE30" t="s">
        <v>37</v>
      </c>
      <c r="AF30">
        <v>51617</v>
      </c>
      <c r="AG30" t="s">
        <v>37</v>
      </c>
      <c r="AH30">
        <v>283442</v>
      </c>
      <c r="AI30" t="s">
        <v>37</v>
      </c>
      <c r="AJ30">
        <v>3750</v>
      </c>
      <c r="AK30" t="s">
        <v>37</v>
      </c>
      <c r="AL30">
        <v>6091855</v>
      </c>
      <c r="AM30" t="s">
        <v>37</v>
      </c>
      <c r="AN30">
        <v>17315</v>
      </c>
      <c r="AO30" t="s">
        <v>37</v>
      </c>
      <c r="AP30">
        <v>9966532</v>
      </c>
      <c r="AQ30" t="s">
        <v>37</v>
      </c>
      <c r="AR30">
        <v>1039571</v>
      </c>
      <c r="AS30" t="s">
        <v>37</v>
      </c>
      <c r="AT30">
        <v>31663984</v>
      </c>
      <c r="AU30" t="s">
        <v>37</v>
      </c>
      <c r="AV30">
        <v>2551948</v>
      </c>
      <c r="AW30" t="s">
        <v>37</v>
      </c>
      <c r="AX30">
        <v>657255</v>
      </c>
      <c r="AY30" t="s">
        <v>37</v>
      </c>
      <c r="AZ30">
        <v>775806</v>
      </c>
      <c r="BA30" t="s">
        <v>37</v>
      </c>
      <c r="BB30">
        <v>480114</v>
      </c>
      <c r="BC30" t="s">
        <v>37</v>
      </c>
      <c r="BD30">
        <v>157046</v>
      </c>
      <c r="BE30" t="s">
        <v>37</v>
      </c>
      <c r="BF30">
        <v>95143</v>
      </c>
      <c r="BG30" t="s">
        <v>37</v>
      </c>
      <c r="BH30">
        <v>77</v>
      </c>
      <c r="BI30" t="s">
        <v>37</v>
      </c>
      <c r="BJ30">
        <v>2944533</v>
      </c>
      <c r="BK30" t="s">
        <v>37</v>
      </c>
      <c r="BL30">
        <v>2511589</v>
      </c>
      <c r="BM30" t="s">
        <v>37</v>
      </c>
      <c r="BN30">
        <v>61978</v>
      </c>
      <c r="BO30" t="s">
        <v>37</v>
      </c>
      <c r="BP30">
        <v>25012</v>
      </c>
      <c r="BQ30" t="s">
        <v>37</v>
      </c>
      <c r="BR30">
        <v>213591</v>
      </c>
      <c r="BS30" t="s">
        <v>37</v>
      </c>
      <c r="BT30">
        <v>146640</v>
      </c>
      <c r="BU30" t="s">
        <v>37</v>
      </c>
      <c r="BV30">
        <v>10776</v>
      </c>
      <c r="BW30" t="s">
        <v>37</v>
      </c>
      <c r="BX30">
        <v>6061613</v>
      </c>
      <c r="BY30" t="s">
        <v>37</v>
      </c>
      <c r="BZ30">
        <v>328116</v>
      </c>
      <c r="CA30" t="s">
        <v>37</v>
      </c>
      <c r="CB30">
        <v>70250</v>
      </c>
      <c r="CC30" t="s">
        <v>37</v>
      </c>
      <c r="CD30">
        <v>263705</v>
      </c>
      <c r="CE30" t="s">
        <v>37</v>
      </c>
      <c r="CF30">
        <v>455917</v>
      </c>
      <c r="CG30" t="s">
        <v>37</v>
      </c>
      <c r="CH30">
        <v>2392922</v>
      </c>
      <c r="CI30" t="s">
        <v>37</v>
      </c>
      <c r="CJ30">
        <v>22739</v>
      </c>
      <c r="CK30" t="s">
        <v>37</v>
      </c>
      <c r="CL30">
        <v>447808</v>
      </c>
      <c r="CM30" t="s">
        <v>37</v>
      </c>
      <c r="CN30">
        <v>65072</v>
      </c>
      <c r="CO30" t="s">
        <v>37</v>
      </c>
      <c r="CP30">
        <v>173768</v>
      </c>
      <c r="CQ30" t="s">
        <v>37</v>
      </c>
      <c r="CR30">
        <v>1222449</v>
      </c>
      <c r="CS30" t="s">
        <v>37</v>
      </c>
      <c r="CT30">
        <v>26367262</v>
      </c>
      <c r="CU30" t="s">
        <v>37</v>
      </c>
      <c r="CV30">
        <v>3868814</v>
      </c>
      <c r="CW30" t="s">
        <v>37</v>
      </c>
      <c r="CX30">
        <v>140798</v>
      </c>
      <c r="CY30" t="s">
        <v>37</v>
      </c>
      <c r="CZ30">
        <v>148978</v>
      </c>
      <c r="DA30" t="s">
        <v>37</v>
      </c>
      <c r="DB30">
        <v>15150</v>
      </c>
      <c r="DC30" t="s">
        <v>37</v>
      </c>
      <c r="DD30">
        <v>78885</v>
      </c>
      <c r="DE30" t="s">
        <v>37</v>
      </c>
      <c r="DF30">
        <v>99706</v>
      </c>
      <c r="DG30" t="s">
        <v>37</v>
      </c>
      <c r="DH30">
        <v>9414516</v>
      </c>
      <c r="DI30" t="s">
        <v>37</v>
      </c>
      <c r="DJ30">
        <v>858451</v>
      </c>
      <c r="DK30" t="s">
        <v>37</v>
      </c>
      <c r="DL30">
        <v>6396413</v>
      </c>
      <c r="DM30" t="s">
        <v>37</v>
      </c>
      <c r="DN30">
        <v>2710836</v>
      </c>
      <c r="DO30" t="s">
        <v>37</v>
      </c>
      <c r="DP30">
        <v>891984</v>
      </c>
      <c r="DQ30" t="s">
        <v>37</v>
      </c>
      <c r="DR30">
        <v>1098339</v>
      </c>
      <c r="DS30" t="s">
        <v>37</v>
      </c>
      <c r="DT30">
        <v>256399</v>
      </c>
      <c r="DU30" t="s">
        <v>37</v>
      </c>
      <c r="DV30">
        <v>8581616</v>
      </c>
      <c r="DW30" t="s">
        <v>37</v>
      </c>
      <c r="DX30">
        <v>1636238</v>
      </c>
      <c r="DY30" t="s">
        <v>37</v>
      </c>
      <c r="DZ30">
        <v>159922</v>
      </c>
      <c r="EA30" t="s">
        <v>37</v>
      </c>
      <c r="EB30">
        <v>414131</v>
      </c>
      <c r="EC30" t="s">
        <v>37</v>
      </c>
      <c r="ED30">
        <v>1932695</v>
      </c>
      <c r="EE30" t="s">
        <v>37</v>
      </c>
      <c r="EF30">
        <v>121817</v>
      </c>
      <c r="EG30" t="s">
        <v>37</v>
      </c>
      <c r="EH30">
        <v>88904</v>
      </c>
      <c r="EI30" t="s">
        <v>37</v>
      </c>
      <c r="EJ30">
        <v>317612</v>
      </c>
      <c r="EK30" t="s">
        <v>37</v>
      </c>
      <c r="EL30">
        <v>295666</v>
      </c>
      <c r="EM30" t="s">
        <v>37</v>
      </c>
      <c r="EN30">
        <v>93279</v>
      </c>
      <c r="EO30" t="s">
        <v>37</v>
      </c>
      <c r="EP30">
        <v>50194</v>
      </c>
      <c r="EQ30" t="s">
        <v>37</v>
      </c>
      <c r="ER30">
        <v>125350</v>
      </c>
      <c r="ES30" t="s">
        <v>37</v>
      </c>
      <c r="ET30">
        <v>3580991</v>
      </c>
      <c r="EU30" t="s">
        <v>37</v>
      </c>
      <c r="EV30">
        <v>1454347</v>
      </c>
      <c r="EW30" t="s">
        <v>37</v>
      </c>
      <c r="EY30" t="s">
        <v>37</v>
      </c>
      <c r="EZ30">
        <v>412277</v>
      </c>
      <c r="FA30" t="s">
        <v>37</v>
      </c>
      <c r="FB30">
        <v>386574</v>
      </c>
      <c r="FC30" t="s">
        <v>37</v>
      </c>
      <c r="FD30">
        <v>1137980</v>
      </c>
      <c r="FE30" t="s">
        <v>37</v>
      </c>
      <c r="FF30">
        <v>2297</v>
      </c>
      <c r="FG30" t="s">
        <v>37</v>
      </c>
      <c r="FH30">
        <v>9208926</v>
      </c>
      <c r="FI30" t="s">
        <v>37</v>
      </c>
      <c r="FJ30">
        <v>7846289</v>
      </c>
      <c r="FK30" t="s">
        <v>37</v>
      </c>
      <c r="FL30">
        <v>5121247</v>
      </c>
      <c r="FM30" t="s">
        <v>37</v>
      </c>
      <c r="FN30">
        <v>159958</v>
      </c>
      <c r="FO30" t="s">
        <v>37</v>
      </c>
      <c r="FP30">
        <v>1053150</v>
      </c>
      <c r="FQ30" t="s">
        <v>37</v>
      </c>
      <c r="FR30">
        <v>1413118</v>
      </c>
      <c r="FS30" t="s">
        <v>37</v>
      </c>
      <c r="FT30">
        <v>802732</v>
      </c>
      <c r="FU30" t="s">
        <v>37</v>
      </c>
      <c r="FV30">
        <v>520570</v>
      </c>
      <c r="FW30" t="s">
        <v>37</v>
      </c>
      <c r="FX30">
        <v>3698436</v>
      </c>
      <c r="FY30" t="s">
        <v>37</v>
      </c>
      <c r="FZ30">
        <v>1076282</v>
      </c>
      <c r="GA30" t="s">
        <v>37</v>
      </c>
      <c r="GB30">
        <v>1152244</v>
      </c>
      <c r="GC30" t="s">
        <v>37</v>
      </c>
      <c r="GD30">
        <v>3680</v>
      </c>
      <c r="GE30" t="s">
        <v>37</v>
      </c>
      <c r="GF30">
        <v>21482</v>
      </c>
      <c r="GG30" t="s">
        <v>37</v>
      </c>
      <c r="GH30">
        <v>19850</v>
      </c>
      <c r="GI30" t="s">
        <v>37</v>
      </c>
      <c r="GJ30">
        <v>2016865</v>
      </c>
      <c r="GK30" t="s">
        <v>37</v>
      </c>
      <c r="GL30">
        <v>1476955</v>
      </c>
      <c r="GM30" t="s">
        <v>37</v>
      </c>
      <c r="GO30" t="s">
        <v>37</v>
      </c>
      <c r="GP30">
        <v>1460897</v>
      </c>
      <c r="GQ30" t="s">
        <v>37</v>
      </c>
      <c r="GR30">
        <v>721203</v>
      </c>
      <c r="GS30" t="s">
        <v>37</v>
      </c>
      <c r="GT30">
        <v>760084</v>
      </c>
      <c r="GU30" t="s">
        <v>37</v>
      </c>
      <c r="GV30">
        <v>1333915</v>
      </c>
      <c r="GW30" t="s">
        <v>37</v>
      </c>
      <c r="GX30">
        <v>3715398</v>
      </c>
      <c r="GY30" t="s">
        <v>37</v>
      </c>
      <c r="GZ30">
        <v>3658618</v>
      </c>
      <c r="HA30" t="s">
        <v>37</v>
      </c>
      <c r="HC30" t="s">
        <v>37</v>
      </c>
      <c r="HE30" t="s">
        <v>37</v>
      </c>
      <c r="HF30">
        <v>196649350</v>
      </c>
      <c r="HG30" t="s">
        <v>37</v>
      </c>
      <c r="HI30" t="s">
        <v>37</v>
      </c>
      <c r="HJ30">
        <v>196649350</v>
      </c>
      <c r="HK30" t="s">
        <v>37</v>
      </c>
    </row>
    <row r="31" spans="1:219">
      <c r="A31">
        <v>1520</v>
      </c>
      <c r="B31" t="s">
        <v>64</v>
      </c>
      <c r="C31" t="s">
        <v>37</v>
      </c>
      <c r="E31" t="s">
        <v>37</v>
      </c>
      <c r="F31">
        <v>156526</v>
      </c>
      <c r="G31" t="s">
        <v>37</v>
      </c>
      <c r="I31" t="s">
        <v>37</v>
      </c>
      <c r="K31" s="48" t="s">
        <v>37</v>
      </c>
      <c r="L31" s="50"/>
      <c r="M31" s="48" t="s">
        <v>37</v>
      </c>
      <c r="N31" s="50"/>
      <c r="O31" s="48" t="s">
        <v>37</v>
      </c>
      <c r="P31" s="50"/>
      <c r="Q31" s="48" t="s">
        <v>37</v>
      </c>
      <c r="R31" s="50"/>
      <c r="S31" s="48" t="s">
        <v>37</v>
      </c>
      <c r="U31" t="s">
        <v>37</v>
      </c>
      <c r="W31" t="s">
        <v>37</v>
      </c>
      <c r="Y31" t="s">
        <v>37</v>
      </c>
      <c r="AA31" t="s">
        <v>37</v>
      </c>
      <c r="AC31" t="s">
        <v>37</v>
      </c>
      <c r="AE31" t="s">
        <v>37</v>
      </c>
      <c r="AG31" t="s">
        <v>37</v>
      </c>
      <c r="AI31" t="s">
        <v>37</v>
      </c>
      <c r="AK31" t="s">
        <v>37</v>
      </c>
      <c r="AM31" t="s">
        <v>37</v>
      </c>
      <c r="AO31" t="s">
        <v>37</v>
      </c>
      <c r="AQ31" t="s">
        <v>37</v>
      </c>
      <c r="AS31" t="s">
        <v>37</v>
      </c>
      <c r="AU31" t="s">
        <v>37</v>
      </c>
      <c r="AW31" t="s">
        <v>37</v>
      </c>
      <c r="AY31" t="s">
        <v>37</v>
      </c>
      <c r="BA31" t="s">
        <v>37</v>
      </c>
      <c r="BC31" t="s">
        <v>37</v>
      </c>
      <c r="BE31" t="s">
        <v>37</v>
      </c>
      <c r="BG31" t="s">
        <v>37</v>
      </c>
      <c r="BI31" t="s">
        <v>37</v>
      </c>
      <c r="BK31" t="s">
        <v>37</v>
      </c>
      <c r="BM31" t="s">
        <v>37</v>
      </c>
      <c r="BO31" t="s">
        <v>37</v>
      </c>
      <c r="BQ31" t="s">
        <v>37</v>
      </c>
      <c r="BS31" t="s">
        <v>37</v>
      </c>
      <c r="BU31" t="s">
        <v>37</v>
      </c>
      <c r="BW31" t="s">
        <v>37</v>
      </c>
      <c r="BY31" t="s">
        <v>37</v>
      </c>
      <c r="CA31" t="s">
        <v>37</v>
      </c>
      <c r="CC31" t="s">
        <v>37</v>
      </c>
      <c r="CE31" t="s">
        <v>37</v>
      </c>
      <c r="CG31" t="s">
        <v>37</v>
      </c>
      <c r="CI31" t="s">
        <v>37</v>
      </c>
      <c r="CK31" t="s">
        <v>37</v>
      </c>
      <c r="CM31" t="s">
        <v>37</v>
      </c>
      <c r="CO31" t="s">
        <v>37</v>
      </c>
      <c r="CQ31" t="s">
        <v>37</v>
      </c>
      <c r="CS31" t="s">
        <v>37</v>
      </c>
      <c r="CU31" t="s">
        <v>37</v>
      </c>
      <c r="CW31" t="s">
        <v>37</v>
      </c>
      <c r="CY31" t="s">
        <v>37</v>
      </c>
      <c r="DA31" t="s">
        <v>37</v>
      </c>
      <c r="DC31" t="s">
        <v>37</v>
      </c>
      <c r="DE31" t="s">
        <v>37</v>
      </c>
      <c r="DG31" t="s">
        <v>37</v>
      </c>
      <c r="DI31" t="s">
        <v>37</v>
      </c>
      <c r="DK31" t="s">
        <v>37</v>
      </c>
      <c r="DM31" t="s">
        <v>37</v>
      </c>
      <c r="DO31" t="s">
        <v>37</v>
      </c>
      <c r="DQ31" t="s">
        <v>37</v>
      </c>
      <c r="DS31" t="s">
        <v>37</v>
      </c>
      <c r="DU31" t="s">
        <v>37</v>
      </c>
      <c r="DW31" t="s">
        <v>37</v>
      </c>
      <c r="DY31" t="s">
        <v>37</v>
      </c>
      <c r="EA31" t="s">
        <v>37</v>
      </c>
      <c r="EC31" t="s">
        <v>37</v>
      </c>
      <c r="EE31" t="s">
        <v>37</v>
      </c>
      <c r="EG31" t="s">
        <v>37</v>
      </c>
      <c r="EI31" t="s">
        <v>37</v>
      </c>
      <c r="EK31" t="s">
        <v>37</v>
      </c>
      <c r="EM31" t="s">
        <v>37</v>
      </c>
      <c r="EO31" t="s">
        <v>37</v>
      </c>
      <c r="EQ31" t="s">
        <v>37</v>
      </c>
      <c r="ES31" t="s">
        <v>37</v>
      </c>
      <c r="EU31" t="s">
        <v>37</v>
      </c>
      <c r="EW31" t="s">
        <v>37</v>
      </c>
      <c r="EY31" t="s">
        <v>37</v>
      </c>
      <c r="FA31" t="s">
        <v>37</v>
      </c>
      <c r="FC31" t="s">
        <v>37</v>
      </c>
      <c r="FE31" t="s">
        <v>37</v>
      </c>
      <c r="FG31" t="s">
        <v>37</v>
      </c>
      <c r="FI31" t="s">
        <v>37</v>
      </c>
      <c r="FK31" t="s">
        <v>37</v>
      </c>
      <c r="FM31" t="s">
        <v>37</v>
      </c>
      <c r="FO31" t="s">
        <v>37</v>
      </c>
      <c r="FQ31" t="s">
        <v>37</v>
      </c>
      <c r="FS31" t="s">
        <v>37</v>
      </c>
      <c r="FU31" t="s">
        <v>37</v>
      </c>
      <c r="FW31" t="s">
        <v>37</v>
      </c>
      <c r="FY31" t="s">
        <v>37</v>
      </c>
      <c r="GA31" t="s">
        <v>37</v>
      </c>
      <c r="GC31" t="s">
        <v>37</v>
      </c>
      <c r="GE31" t="s">
        <v>37</v>
      </c>
      <c r="GG31" t="s">
        <v>37</v>
      </c>
      <c r="GI31" t="s">
        <v>37</v>
      </c>
      <c r="GK31" t="s">
        <v>37</v>
      </c>
      <c r="GM31" t="s">
        <v>37</v>
      </c>
      <c r="GO31" t="s">
        <v>37</v>
      </c>
      <c r="GQ31" t="s">
        <v>37</v>
      </c>
      <c r="GS31" t="s">
        <v>37</v>
      </c>
      <c r="GU31" t="s">
        <v>37</v>
      </c>
      <c r="GW31" t="s">
        <v>37</v>
      </c>
      <c r="GY31" t="s">
        <v>37</v>
      </c>
      <c r="HA31" t="s">
        <v>37</v>
      </c>
      <c r="HC31" t="s">
        <v>37</v>
      </c>
      <c r="HE31" t="s">
        <v>37</v>
      </c>
      <c r="HF31">
        <v>156526</v>
      </c>
      <c r="HG31" t="s">
        <v>37</v>
      </c>
      <c r="HI31" t="s">
        <v>37</v>
      </c>
      <c r="HJ31">
        <v>156526</v>
      </c>
      <c r="HK31" t="s">
        <v>37</v>
      </c>
    </row>
    <row r="32" spans="1:219">
      <c r="A32">
        <v>1530</v>
      </c>
      <c r="B32" t="s">
        <v>65</v>
      </c>
      <c r="C32" t="s">
        <v>37</v>
      </c>
      <c r="E32" t="s">
        <v>37</v>
      </c>
      <c r="G32" t="s">
        <v>37</v>
      </c>
      <c r="I32" t="s">
        <v>37</v>
      </c>
      <c r="K32" s="48" t="s">
        <v>37</v>
      </c>
      <c r="L32" s="50"/>
      <c r="M32" s="48" t="s">
        <v>37</v>
      </c>
      <c r="N32" s="50"/>
      <c r="O32" s="48" t="s">
        <v>37</v>
      </c>
      <c r="P32" s="50"/>
      <c r="Q32" s="48" t="s">
        <v>37</v>
      </c>
      <c r="R32" s="50"/>
      <c r="S32" s="48" t="s">
        <v>37</v>
      </c>
      <c r="U32" t="s">
        <v>37</v>
      </c>
      <c r="W32" t="s">
        <v>37</v>
      </c>
      <c r="Y32" t="s">
        <v>37</v>
      </c>
      <c r="AA32" t="s">
        <v>37</v>
      </c>
      <c r="AC32" t="s">
        <v>37</v>
      </c>
      <c r="AE32" t="s">
        <v>37</v>
      </c>
      <c r="AG32" t="s">
        <v>37</v>
      </c>
      <c r="AI32" t="s">
        <v>37</v>
      </c>
      <c r="AK32" t="s">
        <v>37</v>
      </c>
      <c r="AM32" t="s">
        <v>37</v>
      </c>
      <c r="AO32" t="s">
        <v>37</v>
      </c>
      <c r="AQ32" t="s">
        <v>37</v>
      </c>
      <c r="AS32" t="s">
        <v>37</v>
      </c>
      <c r="AU32" t="s">
        <v>37</v>
      </c>
      <c r="AV32">
        <v>22159</v>
      </c>
      <c r="AW32" t="s">
        <v>37</v>
      </c>
      <c r="AY32" t="s">
        <v>37</v>
      </c>
      <c r="BA32" t="s">
        <v>37</v>
      </c>
      <c r="BC32" t="s">
        <v>37</v>
      </c>
      <c r="BE32" t="s">
        <v>37</v>
      </c>
      <c r="BG32" t="s">
        <v>37</v>
      </c>
      <c r="BI32" t="s">
        <v>37</v>
      </c>
      <c r="BK32" t="s">
        <v>37</v>
      </c>
      <c r="BM32" t="s">
        <v>37</v>
      </c>
      <c r="BO32" t="s">
        <v>37</v>
      </c>
      <c r="BQ32" t="s">
        <v>37</v>
      </c>
      <c r="BS32" t="s">
        <v>37</v>
      </c>
      <c r="BU32" t="s">
        <v>37</v>
      </c>
      <c r="BW32" t="s">
        <v>37</v>
      </c>
      <c r="BY32" t="s">
        <v>37</v>
      </c>
      <c r="CA32" t="s">
        <v>37</v>
      </c>
      <c r="CC32" t="s">
        <v>37</v>
      </c>
      <c r="CE32" t="s">
        <v>37</v>
      </c>
      <c r="CG32" t="s">
        <v>37</v>
      </c>
      <c r="CI32" t="s">
        <v>37</v>
      </c>
      <c r="CK32" t="s">
        <v>37</v>
      </c>
      <c r="CM32" t="s">
        <v>37</v>
      </c>
      <c r="CO32" t="s">
        <v>37</v>
      </c>
      <c r="CQ32" t="s">
        <v>37</v>
      </c>
      <c r="CS32" t="s">
        <v>37</v>
      </c>
      <c r="CT32">
        <v>123830</v>
      </c>
      <c r="CU32" t="s">
        <v>37</v>
      </c>
      <c r="CW32" t="s">
        <v>37</v>
      </c>
      <c r="CY32" t="s">
        <v>37</v>
      </c>
      <c r="DA32" t="s">
        <v>37</v>
      </c>
      <c r="DC32" t="s">
        <v>37</v>
      </c>
      <c r="DE32" t="s">
        <v>37</v>
      </c>
      <c r="DG32" t="s">
        <v>37</v>
      </c>
      <c r="DI32" t="s">
        <v>37</v>
      </c>
      <c r="DK32" t="s">
        <v>37</v>
      </c>
      <c r="DM32" t="s">
        <v>37</v>
      </c>
      <c r="DO32" t="s">
        <v>37</v>
      </c>
      <c r="DQ32" t="s">
        <v>37</v>
      </c>
      <c r="DS32" t="s">
        <v>37</v>
      </c>
      <c r="DU32" t="s">
        <v>37</v>
      </c>
      <c r="DW32" t="s">
        <v>37</v>
      </c>
      <c r="DY32" t="s">
        <v>37</v>
      </c>
      <c r="EA32" t="s">
        <v>37</v>
      </c>
      <c r="EC32" t="s">
        <v>37</v>
      </c>
      <c r="EE32" t="s">
        <v>37</v>
      </c>
      <c r="EG32" t="s">
        <v>37</v>
      </c>
      <c r="EI32" t="s">
        <v>37</v>
      </c>
      <c r="EK32" t="s">
        <v>37</v>
      </c>
      <c r="EM32" t="s">
        <v>37</v>
      </c>
      <c r="EO32" t="s">
        <v>37</v>
      </c>
      <c r="EQ32" t="s">
        <v>37</v>
      </c>
      <c r="ES32" t="s">
        <v>37</v>
      </c>
      <c r="EU32" t="s">
        <v>37</v>
      </c>
      <c r="EW32" t="s">
        <v>37</v>
      </c>
      <c r="EY32" t="s">
        <v>37</v>
      </c>
      <c r="FA32" t="s">
        <v>37</v>
      </c>
      <c r="FC32" t="s">
        <v>37</v>
      </c>
      <c r="FE32" t="s">
        <v>37</v>
      </c>
      <c r="FG32" t="s">
        <v>37</v>
      </c>
      <c r="FI32" t="s">
        <v>37</v>
      </c>
      <c r="FJ32">
        <v>31128</v>
      </c>
      <c r="FK32" t="s">
        <v>37</v>
      </c>
      <c r="FM32" t="s">
        <v>37</v>
      </c>
      <c r="FO32" t="s">
        <v>37</v>
      </c>
      <c r="FQ32" t="s">
        <v>37</v>
      </c>
      <c r="FS32" t="s">
        <v>37</v>
      </c>
      <c r="FU32" t="s">
        <v>37</v>
      </c>
      <c r="FW32" t="s">
        <v>37</v>
      </c>
      <c r="FY32" t="s">
        <v>37</v>
      </c>
      <c r="GA32" t="s">
        <v>37</v>
      </c>
      <c r="GC32" t="s">
        <v>37</v>
      </c>
      <c r="GE32" t="s">
        <v>37</v>
      </c>
      <c r="GG32" t="s">
        <v>37</v>
      </c>
      <c r="GI32" t="s">
        <v>37</v>
      </c>
      <c r="GK32" t="s">
        <v>37</v>
      </c>
      <c r="GM32" t="s">
        <v>37</v>
      </c>
      <c r="GO32" t="s">
        <v>37</v>
      </c>
      <c r="GQ32" t="s">
        <v>37</v>
      </c>
      <c r="GS32" t="s">
        <v>37</v>
      </c>
      <c r="GU32" t="s">
        <v>37</v>
      </c>
      <c r="GW32" t="s">
        <v>37</v>
      </c>
      <c r="GY32" t="s">
        <v>37</v>
      </c>
      <c r="HA32" t="s">
        <v>37</v>
      </c>
      <c r="HC32" t="s">
        <v>37</v>
      </c>
      <c r="HE32" t="s">
        <v>37</v>
      </c>
      <c r="HF32">
        <v>177117</v>
      </c>
      <c r="HG32" t="s">
        <v>37</v>
      </c>
      <c r="HI32" t="s">
        <v>37</v>
      </c>
      <c r="HJ32">
        <v>177117</v>
      </c>
      <c r="HK32" t="s">
        <v>37</v>
      </c>
    </row>
    <row r="33" spans="1:219">
      <c r="A33">
        <v>1600</v>
      </c>
      <c r="B33" t="s">
        <v>66</v>
      </c>
      <c r="C33" t="s">
        <v>37</v>
      </c>
      <c r="E33" t="s">
        <v>37</v>
      </c>
      <c r="G33" t="s">
        <v>37</v>
      </c>
      <c r="I33" t="s">
        <v>37</v>
      </c>
      <c r="K33" s="48" t="s">
        <v>37</v>
      </c>
      <c r="L33" s="50"/>
      <c r="M33" s="48" t="s">
        <v>37</v>
      </c>
      <c r="N33" s="50"/>
      <c r="O33" s="48" t="s">
        <v>37</v>
      </c>
      <c r="P33" s="50"/>
      <c r="Q33" s="48" t="s">
        <v>37</v>
      </c>
      <c r="R33" s="50"/>
      <c r="S33" s="48" t="s">
        <v>37</v>
      </c>
      <c r="U33" t="s">
        <v>37</v>
      </c>
      <c r="W33" t="s">
        <v>37</v>
      </c>
      <c r="Y33" t="s">
        <v>37</v>
      </c>
      <c r="AA33" t="s">
        <v>37</v>
      </c>
      <c r="AC33" t="s">
        <v>37</v>
      </c>
      <c r="AE33" t="s">
        <v>37</v>
      </c>
      <c r="AG33" t="s">
        <v>37</v>
      </c>
      <c r="AI33" t="s">
        <v>37</v>
      </c>
      <c r="AK33" t="s">
        <v>37</v>
      </c>
      <c r="AM33" t="s">
        <v>37</v>
      </c>
      <c r="AO33" t="s">
        <v>37</v>
      </c>
      <c r="AQ33" t="s">
        <v>37</v>
      </c>
      <c r="AS33" t="s">
        <v>37</v>
      </c>
      <c r="AU33" t="s">
        <v>37</v>
      </c>
      <c r="AW33" t="s">
        <v>37</v>
      </c>
      <c r="AY33" t="s">
        <v>37</v>
      </c>
      <c r="BA33" t="s">
        <v>37</v>
      </c>
      <c r="BC33" t="s">
        <v>37</v>
      </c>
      <c r="BE33" t="s">
        <v>37</v>
      </c>
      <c r="BG33" t="s">
        <v>37</v>
      </c>
      <c r="BI33" t="s">
        <v>37</v>
      </c>
      <c r="BK33" t="s">
        <v>37</v>
      </c>
      <c r="BM33" t="s">
        <v>37</v>
      </c>
      <c r="BO33" t="s">
        <v>37</v>
      </c>
      <c r="BQ33" t="s">
        <v>37</v>
      </c>
      <c r="BS33" t="s">
        <v>37</v>
      </c>
      <c r="BU33" t="s">
        <v>37</v>
      </c>
      <c r="BW33" t="s">
        <v>37</v>
      </c>
      <c r="BY33" t="s">
        <v>37</v>
      </c>
      <c r="CA33" t="s">
        <v>37</v>
      </c>
      <c r="CC33" t="s">
        <v>37</v>
      </c>
      <c r="CE33" t="s">
        <v>37</v>
      </c>
      <c r="CG33" t="s">
        <v>37</v>
      </c>
      <c r="CI33" t="s">
        <v>37</v>
      </c>
      <c r="CK33" t="s">
        <v>37</v>
      </c>
      <c r="CM33" t="s">
        <v>37</v>
      </c>
      <c r="CO33" t="s">
        <v>37</v>
      </c>
      <c r="CQ33" t="s">
        <v>37</v>
      </c>
      <c r="CS33" t="s">
        <v>37</v>
      </c>
      <c r="CU33" t="s">
        <v>37</v>
      </c>
      <c r="CW33" t="s">
        <v>37</v>
      </c>
      <c r="CY33" t="s">
        <v>37</v>
      </c>
      <c r="DA33" t="s">
        <v>37</v>
      </c>
      <c r="DC33" t="s">
        <v>37</v>
      </c>
      <c r="DE33" t="s">
        <v>37</v>
      </c>
      <c r="DG33" t="s">
        <v>37</v>
      </c>
      <c r="DI33" t="s">
        <v>37</v>
      </c>
      <c r="DK33" t="s">
        <v>37</v>
      </c>
      <c r="DM33" t="s">
        <v>37</v>
      </c>
      <c r="DO33" t="s">
        <v>37</v>
      </c>
      <c r="DQ33" t="s">
        <v>37</v>
      </c>
      <c r="DS33" t="s">
        <v>37</v>
      </c>
      <c r="DU33" t="s">
        <v>37</v>
      </c>
      <c r="DW33" t="s">
        <v>37</v>
      </c>
      <c r="DY33" t="s">
        <v>37</v>
      </c>
      <c r="EA33" t="s">
        <v>37</v>
      </c>
      <c r="EC33" t="s">
        <v>37</v>
      </c>
      <c r="EE33" t="s">
        <v>37</v>
      </c>
      <c r="EG33" t="s">
        <v>37</v>
      </c>
      <c r="EI33" t="s">
        <v>37</v>
      </c>
      <c r="EK33" t="s">
        <v>37</v>
      </c>
      <c r="EM33" t="s">
        <v>37</v>
      </c>
      <c r="EO33" t="s">
        <v>37</v>
      </c>
      <c r="EQ33" t="s">
        <v>37</v>
      </c>
      <c r="ES33" t="s">
        <v>37</v>
      </c>
      <c r="EU33" t="s">
        <v>37</v>
      </c>
      <c r="EW33" t="s">
        <v>37</v>
      </c>
      <c r="EY33" t="s">
        <v>37</v>
      </c>
      <c r="FA33" t="s">
        <v>37</v>
      </c>
      <c r="FC33" t="s">
        <v>37</v>
      </c>
      <c r="FE33" t="s">
        <v>37</v>
      </c>
      <c r="FG33" t="s">
        <v>37</v>
      </c>
      <c r="FI33" t="s">
        <v>37</v>
      </c>
      <c r="FK33" t="s">
        <v>37</v>
      </c>
      <c r="FM33" t="s">
        <v>37</v>
      </c>
      <c r="FO33" t="s">
        <v>37</v>
      </c>
      <c r="FQ33" t="s">
        <v>37</v>
      </c>
      <c r="FS33" t="s">
        <v>37</v>
      </c>
      <c r="FU33" t="s">
        <v>37</v>
      </c>
      <c r="FW33" t="s">
        <v>37</v>
      </c>
      <c r="FY33" t="s">
        <v>37</v>
      </c>
      <c r="GA33" t="s">
        <v>37</v>
      </c>
      <c r="GC33" t="s">
        <v>37</v>
      </c>
      <c r="GE33" t="s">
        <v>37</v>
      </c>
      <c r="GG33" t="s">
        <v>37</v>
      </c>
      <c r="GI33" t="s">
        <v>37</v>
      </c>
      <c r="GK33" t="s">
        <v>37</v>
      </c>
      <c r="GM33" t="s">
        <v>37</v>
      </c>
      <c r="GO33" t="s">
        <v>37</v>
      </c>
      <c r="GQ33" t="s">
        <v>37</v>
      </c>
      <c r="GS33" t="s">
        <v>37</v>
      </c>
      <c r="GU33" t="s">
        <v>37</v>
      </c>
      <c r="GW33" t="s">
        <v>37</v>
      </c>
      <c r="GY33" t="s">
        <v>37</v>
      </c>
      <c r="HA33" t="s">
        <v>37</v>
      </c>
      <c r="HC33" t="s">
        <v>37</v>
      </c>
      <c r="HE33" t="s">
        <v>37</v>
      </c>
      <c r="HG33" t="s">
        <v>37</v>
      </c>
      <c r="HI33" t="s">
        <v>37</v>
      </c>
      <c r="HK33" t="s">
        <v>37</v>
      </c>
    </row>
    <row r="34" spans="1:219">
      <c r="A34">
        <v>1610</v>
      </c>
      <c r="B34" t="s">
        <v>67</v>
      </c>
      <c r="C34" t="s">
        <v>37</v>
      </c>
      <c r="D34">
        <v>246083</v>
      </c>
      <c r="E34" t="s">
        <v>37</v>
      </c>
      <c r="F34">
        <v>1413480</v>
      </c>
      <c r="G34" t="s">
        <v>37</v>
      </c>
      <c r="H34">
        <v>30345</v>
      </c>
      <c r="I34" t="s">
        <v>37</v>
      </c>
      <c r="K34" s="48" t="s">
        <v>37</v>
      </c>
      <c r="L34" s="51">
        <v>852482</v>
      </c>
      <c r="M34" s="48" t="s">
        <v>37</v>
      </c>
      <c r="N34" s="51">
        <v>366676</v>
      </c>
      <c r="O34" s="48" t="s">
        <v>37</v>
      </c>
      <c r="P34" s="51">
        <v>201824</v>
      </c>
      <c r="Q34" s="48" t="s">
        <v>37</v>
      </c>
      <c r="R34" s="51">
        <v>286322</v>
      </c>
      <c r="S34" s="48" t="s">
        <v>37</v>
      </c>
      <c r="T34">
        <v>873370</v>
      </c>
      <c r="U34" t="s">
        <v>37</v>
      </c>
      <c r="V34">
        <v>11557</v>
      </c>
      <c r="W34" t="s">
        <v>37</v>
      </c>
      <c r="Y34" t="s">
        <v>37</v>
      </c>
      <c r="Z34">
        <v>69734</v>
      </c>
      <c r="AA34" t="s">
        <v>37</v>
      </c>
      <c r="AB34">
        <v>12316</v>
      </c>
      <c r="AC34" t="s">
        <v>37</v>
      </c>
      <c r="AD34">
        <v>24769</v>
      </c>
      <c r="AE34" t="s">
        <v>37</v>
      </c>
      <c r="AF34">
        <v>62933</v>
      </c>
      <c r="AG34" t="s">
        <v>37</v>
      </c>
      <c r="AH34">
        <v>100630</v>
      </c>
      <c r="AI34" t="s">
        <v>37</v>
      </c>
      <c r="AK34" t="s">
        <v>37</v>
      </c>
      <c r="AL34">
        <v>1239577</v>
      </c>
      <c r="AM34" t="s">
        <v>37</v>
      </c>
      <c r="AO34" t="s">
        <v>37</v>
      </c>
      <c r="AP34">
        <v>2238786</v>
      </c>
      <c r="AQ34" t="s">
        <v>37</v>
      </c>
      <c r="AR34">
        <v>48354</v>
      </c>
      <c r="AS34" t="s">
        <v>37</v>
      </c>
      <c r="AT34">
        <v>1844001</v>
      </c>
      <c r="AU34" t="s">
        <v>37</v>
      </c>
      <c r="AV34">
        <v>628479</v>
      </c>
      <c r="AW34" t="s">
        <v>37</v>
      </c>
      <c r="AX34">
        <v>232350</v>
      </c>
      <c r="AY34" t="s">
        <v>37</v>
      </c>
      <c r="AZ34">
        <v>446789</v>
      </c>
      <c r="BA34" t="s">
        <v>37</v>
      </c>
      <c r="BB34">
        <v>39</v>
      </c>
      <c r="BC34" t="s">
        <v>37</v>
      </c>
      <c r="BD34">
        <v>82123</v>
      </c>
      <c r="BE34" t="s">
        <v>37</v>
      </c>
      <c r="BF34">
        <v>39445</v>
      </c>
      <c r="BG34" t="s">
        <v>37</v>
      </c>
      <c r="BI34" t="s">
        <v>37</v>
      </c>
      <c r="BJ34">
        <v>188805</v>
      </c>
      <c r="BK34" t="s">
        <v>37</v>
      </c>
      <c r="BL34">
        <v>521901</v>
      </c>
      <c r="BM34" t="s">
        <v>37</v>
      </c>
      <c r="BO34" t="s">
        <v>37</v>
      </c>
      <c r="BP34">
        <v>40199</v>
      </c>
      <c r="BQ34" t="s">
        <v>37</v>
      </c>
      <c r="BR34">
        <v>97296</v>
      </c>
      <c r="BS34" t="s">
        <v>37</v>
      </c>
      <c r="BT34">
        <v>70674</v>
      </c>
      <c r="BU34" t="s">
        <v>37</v>
      </c>
      <c r="BW34" t="s">
        <v>37</v>
      </c>
      <c r="BX34">
        <v>1477132</v>
      </c>
      <c r="BY34" t="s">
        <v>37</v>
      </c>
      <c r="BZ34">
        <v>75687</v>
      </c>
      <c r="CA34" t="s">
        <v>37</v>
      </c>
      <c r="CC34" t="s">
        <v>37</v>
      </c>
      <c r="CD34">
        <v>218188</v>
      </c>
      <c r="CE34" t="s">
        <v>37</v>
      </c>
      <c r="CF34">
        <v>132328</v>
      </c>
      <c r="CG34" t="s">
        <v>37</v>
      </c>
      <c r="CH34">
        <v>1002764</v>
      </c>
      <c r="CI34" t="s">
        <v>37</v>
      </c>
      <c r="CJ34">
        <v>73929</v>
      </c>
      <c r="CK34" t="s">
        <v>37</v>
      </c>
      <c r="CL34">
        <v>51994</v>
      </c>
      <c r="CM34" t="s">
        <v>37</v>
      </c>
      <c r="CN34">
        <v>9318</v>
      </c>
      <c r="CO34" t="s">
        <v>37</v>
      </c>
      <c r="CP34">
        <v>116700</v>
      </c>
      <c r="CQ34" t="s">
        <v>37</v>
      </c>
      <c r="CR34">
        <v>589941</v>
      </c>
      <c r="CS34" t="s">
        <v>37</v>
      </c>
      <c r="CT34">
        <v>5450673</v>
      </c>
      <c r="CU34" t="s">
        <v>37</v>
      </c>
      <c r="CV34">
        <v>471484</v>
      </c>
      <c r="CW34" t="s">
        <v>37</v>
      </c>
      <c r="CX34">
        <v>85914</v>
      </c>
      <c r="CY34" t="s">
        <v>37</v>
      </c>
      <c r="CZ34">
        <v>169699</v>
      </c>
      <c r="DA34" t="s">
        <v>37</v>
      </c>
      <c r="DC34" t="s">
        <v>37</v>
      </c>
      <c r="DD34">
        <v>144530</v>
      </c>
      <c r="DE34" t="s">
        <v>37</v>
      </c>
      <c r="DF34">
        <v>16626</v>
      </c>
      <c r="DG34" t="s">
        <v>37</v>
      </c>
      <c r="DH34">
        <v>3925632</v>
      </c>
      <c r="DI34" t="s">
        <v>37</v>
      </c>
      <c r="DJ34">
        <v>67003</v>
      </c>
      <c r="DK34" t="s">
        <v>37</v>
      </c>
      <c r="DL34">
        <v>1154336</v>
      </c>
      <c r="DM34" t="s">
        <v>37</v>
      </c>
      <c r="DN34">
        <v>776698</v>
      </c>
      <c r="DO34" t="s">
        <v>37</v>
      </c>
      <c r="DP34">
        <v>432990</v>
      </c>
      <c r="DQ34" t="s">
        <v>37</v>
      </c>
      <c r="DR34">
        <v>234124</v>
      </c>
      <c r="DS34" t="s">
        <v>37</v>
      </c>
      <c r="DT34">
        <v>31658</v>
      </c>
      <c r="DU34" t="s">
        <v>37</v>
      </c>
      <c r="DV34">
        <v>2337800</v>
      </c>
      <c r="DW34" t="s">
        <v>37</v>
      </c>
      <c r="DX34">
        <v>642393</v>
      </c>
      <c r="DY34" t="s">
        <v>37</v>
      </c>
      <c r="DZ34">
        <v>205793</v>
      </c>
      <c r="EA34" t="s">
        <v>37</v>
      </c>
      <c r="EB34">
        <v>256088</v>
      </c>
      <c r="EC34" t="s">
        <v>37</v>
      </c>
      <c r="ED34">
        <v>2293609</v>
      </c>
      <c r="EE34" t="s">
        <v>37</v>
      </c>
      <c r="EF34">
        <v>28336</v>
      </c>
      <c r="EG34" t="s">
        <v>37</v>
      </c>
      <c r="EI34" t="s">
        <v>37</v>
      </c>
      <c r="EJ34">
        <v>47668</v>
      </c>
      <c r="EK34" t="s">
        <v>37</v>
      </c>
      <c r="EL34">
        <v>50276</v>
      </c>
      <c r="EM34" t="s">
        <v>37</v>
      </c>
      <c r="EN34">
        <v>12527</v>
      </c>
      <c r="EO34" t="s">
        <v>37</v>
      </c>
      <c r="EQ34" t="s">
        <v>37</v>
      </c>
      <c r="ER34">
        <v>153858</v>
      </c>
      <c r="ES34" t="s">
        <v>37</v>
      </c>
      <c r="ET34">
        <v>532300</v>
      </c>
      <c r="EU34" t="s">
        <v>37</v>
      </c>
      <c r="EV34">
        <v>1184438</v>
      </c>
      <c r="EW34" t="s">
        <v>37</v>
      </c>
      <c r="EY34" t="s">
        <v>37</v>
      </c>
      <c r="EZ34">
        <v>70177</v>
      </c>
      <c r="FA34" t="s">
        <v>37</v>
      </c>
      <c r="FB34">
        <v>273553</v>
      </c>
      <c r="FC34" t="s">
        <v>37</v>
      </c>
      <c r="FD34">
        <v>183112</v>
      </c>
      <c r="FE34" t="s">
        <v>37</v>
      </c>
      <c r="FG34" t="s">
        <v>37</v>
      </c>
      <c r="FH34">
        <v>1576485</v>
      </c>
      <c r="FI34" t="s">
        <v>37</v>
      </c>
      <c r="FJ34">
        <v>1135626</v>
      </c>
      <c r="FK34" t="s">
        <v>37</v>
      </c>
      <c r="FL34">
        <v>2203713</v>
      </c>
      <c r="FM34" t="s">
        <v>37</v>
      </c>
      <c r="FN34">
        <v>78426</v>
      </c>
      <c r="FO34" t="s">
        <v>37</v>
      </c>
      <c r="FP34">
        <v>438070</v>
      </c>
      <c r="FQ34" t="s">
        <v>37</v>
      </c>
      <c r="FR34">
        <v>955997</v>
      </c>
      <c r="FS34" t="s">
        <v>37</v>
      </c>
      <c r="FT34">
        <v>296238</v>
      </c>
      <c r="FU34" t="s">
        <v>37</v>
      </c>
      <c r="FV34">
        <v>305564</v>
      </c>
      <c r="FW34" t="s">
        <v>37</v>
      </c>
      <c r="FX34">
        <v>653776</v>
      </c>
      <c r="FY34" t="s">
        <v>37</v>
      </c>
      <c r="FZ34">
        <v>732955</v>
      </c>
      <c r="GA34" t="s">
        <v>37</v>
      </c>
      <c r="GB34">
        <v>481303</v>
      </c>
      <c r="GC34" t="s">
        <v>37</v>
      </c>
      <c r="GE34" t="s">
        <v>37</v>
      </c>
      <c r="GG34" t="s">
        <v>37</v>
      </c>
      <c r="GI34" t="s">
        <v>37</v>
      </c>
      <c r="GJ34">
        <v>365772</v>
      </c>
      <c r="GK34" t="s">
        <v>37</v>
      </c>
      <c r="GL34">
        <v>379982</v>
      </c>
      <c r="GM34" t="s">
        <v>37</v>
      </c>
      <c r="GO34" t="s">
        <v>37</v>
      </c>
      <c r="GP34">
        <v>276492</v>
      </c>
      <c r="GQ34" t="s">
        <v>37</v>
      </c>
      <c r="GR34">
        <v>80504</v>
      </c>
      <c r="GS34" t="s">
        <v>37</v>
      </c>
      <c r="GT34">
        <v>367069</v>
      </c>
      <c r="GU34" t="s">
        <v>37</v>
      </c>
      <c r="GV34">
        <v>781941</v>
      </c>
      <c r="GW34" t="s">
        <v>37</v>
      </c>
      <c r="GX34">
        <v>1216703</v>
      </c>
      <c r="GY34" t="s">
        <v>37</v>
      </c>
      <c r="GZ34">
        <v>1067064</v>
      </c>
      <c r="HA34" t="s">
        <v>37</v>
      </c>
      <c r="HC34" t="s">
        <v>37</v>
      </c>
      <c r="HE34" t="s">
        <v>37</v>
      </c>
      <c r="HF34">
        <v>50646295</v>
      </c>
      <c r="HG34" t="s">
        <v>37</v>
      </c>
      <c r="HI34" t="s">
        <v>37</v>
      </c>
      <c r="HJ34">
        <v>50646295</v>
      </c>
      <c r="HK34" t="s">
        <v>37</v>
      </c>
    </row>
    <row r="35" spans="1:219">
      <c r="A35">
        <v>1620</v>
      </c>
      <c r="B35" t="s">
        <v>68</v>
      </c>
      <c r="C35" t="s">
        <v>37</v>
      </c>
      <c r="D35">
        <v>953</v>
      </c>
      <c r="E35" t="s">
        <v>37</v>
      </c>
      <c r="F35">
        <v>6381</v>
      </c>
      <c r="G35" t="s">
        <v>37</v>
      </c>
      <c r="I35" t="s">
        <v>37</v>
      </c>
      <c r="K35" s="48" t="s">
        <v>37</v>
      </c>
      <c r="L35" s="51">
        <v>86755</v>
      </c>
      <c r="M35" s="48" t="s">
        <v>37</v>
      </c>
      <c r="N35" s="51">
        <v>24708</v>
      </c>
      <c r="O35" s="48" t="s">
        <v>37</v>
      </c>
      <c r="P35" s="50"/>
      <c r="Q35" s="48" t="s">
        <v>37</v>
      </c>
      <c r="R35" s="50"/>
      <c r="S35" s="48" t="s">
        <v>37</v>
      </c>
      <c r="T35">
        <v>4743</v>
      </c>
      <c r="U35" t="s">
        <v>37</v>
      </c>
      <c r="W35" t="s">
        <v>37</v>
      </c>
      <c r="Y35" t="s">
        <v>37</v>
      </c>
      <c r="Z35">
        <v>11556</v>
      </c>
      <c r="AA35" t="s">
        <v>37</v>
      </c>
      <c r="AB35">
        <v>3477</v>
      </c>
      <c r="AC35" t="s">
        <v>37</v>
      </c>
      <c r="AD35">
        <v>9875</v>
      </c>
      <c r="AE35" t="s">
        <v>37</v>
      </c>
      <c r="AF35">
        <v>2866</v>
      </c>
      <c r="AG35" t="s">
        <v>37</v>
      </c>
      <c r="AH35">
        <v>17387</v>
      </c>
      <c r="AI35" t="s">
        <v>37</v>
      </c>
      <c r="AK35" t="s">
        <v>37</v>
      </c>
      <c r="AL35">
        <v>79818</v>
      </c>
      <c r="AM35" t="s">
        <v>37</v>
      </c>
      <c r="AO35" t="s">
        <v>37</v>
      </c>
      <c r="AP35">
        <v>42732</v>
      </c>
      <c r="AQ35" t="s">
        <v>37</v>
      </c>
      <c r="AR35">
        <v>8161</v>
      </c>
      <c r="AS35" t="s">
        <v>37</v>
      </c>
      <c r="AT35">
        <v>80564</v>
      </c>
      <c r="AU35" t="s">
        <v>37</v>
      </c>
      <c r="AV35">
        <v>18927</v>
      </c>
      <c r="AW35" t="s">
        <v>37</v>
      </c>
      <c r="AX35">
        <v>59270</v>
      </c>
      <c r="AY35" t="s">
        <v>37</v>
      </c>
      <c r="AZ35">
        <v>2</v>
      </c>
      <c r="BA35" t="s">
        <v>37</v>
      </c>
      <c r="BC35" t="s">
        <v>37</v>
      </c>
      <c r="BE35" t="s">
        <v>37</v>
      </c>
      <c r="BF35">
        <v>5024</v>
      </c>
      <c r="BG35" t="s">
        <v>37</v>
      </c>
      <c r="BI35" t="s">
        <v>37</v>
      </c>
      <c r="BJ35">
        <v>1000</v>
      </c>
      <c r="BK35" t="s">
        <v>37</v>
      </c>
      <c r="BL35">
        <v>28881</v>
      </c>
      <c r="BM35" t="s">
        <v>37</v>
      </c>
      <c r="BO35" t="s">
        <v>37</v>
      </c>
      <c r="BQ35" t="s">
        <v>37</v>
      </c>
      <c r="BR35">
        <v>235</v>
      </c>
      <c r="BS35" t="s">
        <v>37</v>
      </c>
      <c r="BT35">
        <v>250</v>
      </c>
      <c r="BU35" t="s">
        <v>37</v>
      </c>
      <c r="BW35" t="s">
        <v>37</v>
      </c>
      <c r="BX35">
        <v>128196</v>
      </c>
      <c r="BY35" t="s">
        <v>37</v>
      </c>
      <c r="CA35" t="s">
        <v>37</v>
      </c>
      <c r="CC35" t="s">
        <v>37</v>
      </c>
      <c r="CD35">
        <v>1575</v>
      </c>
      <c r="CE35" t="s">
        <v>37</v>
      </c>
      <c r="CG35" t="s">
        <v>37</v>
      </c>
      <c r="CH35">
        <v>15230</v>
      </c>
      <c r="CI35" t="s">
        <v>37</v>
      </c>
      <c r="CJ35">
        <v>869</v>
      </c>
      <c r="CK35" t="s">
        <v>37</v>
      </c>
      <c r="CM35" t="s">
        <v>37</v>
      </c>
      <c r="CN35">
        <v>1258</v>
      </c>
      <c r="CO35" t="s">
        <v>37</v>
      </c>
      <c r="CP35">
        <v>18937</v>
      </c>
      <c r="CQ35" t="s">
        <v>37</v>
      </c>
      <c r="CR35">
        <v>22260</v>
      </c>
      <c r="CS35" t="s">
        <v>37</v>
      </c>
      <c r="CT35">
        <v>342432</v>
      </c>
      <c r="CU35" t="s">
        <v>37</v>
      </c>
      <c r="CV35">
        <v>26906</v>
      </c>
      <c r="CW35" t="s">
        <v>37</v>
      </c>
      <c r="CX35">
        <v>5244</v>
      </c>
      <c r="CY35" t="s">
        <v>37</v>
      </c>
      <c r="CZ35">
        <v>14683</v>
      </c>
      <c r="DA35" t="s">
        <v>37</v>
      </c>
      <c r="DC35" t="s">
        <v>37</v>
      </c>
      <c r="DD35">
        <v>18499</v>
      </c>
      <c r="DE35" t="s">
        <v>37</v>
      </c>
      <c r="DF35">
        <v>7722</v>
      </c>
      <c r="DG35" t="s">
        <v>37</v>
      </c>
      <c r="DH35">
        <v>28367</v>
      </c>
      <c r="DI35" t="s">
        <v>37</v>
      </c>
      <c r="DJ35">
        <v>2570</v>
      </c>
      <c r="DK35" t="s">
        <v>37</v>
      </c>
      <c r="DL35">
        <v>154734</v>
      </c>
      <c r="DM35" t="s">
        <v>37</v>
      </c>
      <c r="DN35">
        <v>81645</v>
      </c>
      <c r="DO35" t="s">
        <v>37</v>
      </c>
      <c r="DP35">
        <v>291</v>
      </c>
      <c r="DQ35" t="s">
        <v>37</v>
      </c>
      <c r="DR35">
        <v>1663</v>
      </c>
      <c r="DS35" t="s">
        <v>37</v>
      </c>
      <c r="DT35">
        <v>77</v>
      </c>
      <c r="DU35" t="s">
        <v>37</v>
      </c>
      <c r="DV35">
        <v>199816</v>
      </c>
      <c r="DW35" t="s">
        <v>37</v>
      </c>
      <c r="DX35">
        <v>66419</v>
      </c>
      <c r="DY35" t="s">
        <v>37</v>
      </c>
      <c r="DZ35">
        <v>5050</v>
      </c>
      <c r="EA35" t="s">
        <v>37</v>
      </c>
      <c r="EB35">
        <v>2974</v>
      </c>
      <c r="EC35" t="s">
        <v>37</v>
      </c>
      <c r="ED35">
        <v>117514</v>
      </c>
      <c r="EE35" t="s">
        <v>37</v>
      </c>
      <c r="EF35">
        <v>7293</v>
      </c>
      <c r="EG35" t="s">
        <v>37</v>
      </c>
      <c r="EI35" t="s">
        <v>37</v>
      </c>
      <c r="EJ35">
        <v>14032</v>
      </c>
      <c r="EK35" t="s">
        <v>37</v>
      </c>
      <c r="EL35">
        <v>1145</v>
      </c>
      <c r="EM35" t="s">
        <v>37</v>
      </c>
      <c r="EO35" t="s">
        <v>37</v>
      </c>
      <c r="EQ35" t="s">
        <v>37</v>
      </c>
      <c r="ER35">
        <v>93</v>
      </c>
      <c r="ES35" t="s">
        <v>37</v>
      </c>
      <c r="ET35">
        <v>21885</v>
      </c>
      <c r="EU35" t="s">
        <v>37</v>
      </c>
      <c r="EV35">
        <v>13501</v>
      </c>
      <c r="EW35" t="s">
        <v>37</v>
      </c>
      <c r="EY35" t="s">
        <v>37</v>
      </c>
      <c r="EZ35">
        <v>12746</v>
      </c>
      <c r="FA35" t="s">
        <v>37</v>
      </c>
      <c r="FB35">
        <v>10695</v>
      </c>
      <c r="FC35" t="s">
        <v>37</v>
      </c>
      <c r="FD35">
        <v>23237</v>
      </c>
      <c r="FE35" t="s">
        <v>37</v>
      </c>
      <c r="FG35" t="s">
        <v>37</v>
      </c>
      <c r="FH35">
        <v>232536</v>
      </c>
      <c r="FI35" t="s">
        <v>37</v>
      </c>
      <c r="FJ35">
        <v>9107</v>
      </c>
      <c r="FK35" t="s">
        <v>37</v>
      </c>
      <c r="FL35">
        <v>173475</v>
      </c>
      <c r="FM35" t="s">
        <v>37</v>
      </c>
      <c r="FN35">
        <v>86369</v>
      </c>
      <c r="FO35" t="s">
        <v>37</v>
      </c>
      <c r="FP35">
        <v>1314</v>
      </c>
      <c r="FQ35" t="s">
        <v>37</v>
      </c>
      <c r="FR35">
        <v>88332</v>
      </c>
      <c r="FS35" t="s">
        <v>37</v>
      </c>
      <c r="FU35" t="s">
        <v>37</v>
      </c>
      <c r="FV35">
        <v>23425</v>
      </c>
      <c r="FW35" t="s">
        <v>37</v>
      </c>
      <c r="FX35">
        <v>53962</v>
      </c>
      <c r="FY35" t="s">
        <v>37</v>
      </c>
      <c r="FZ35">
        <v>54777</v>
      </c>
      <c r="GA35" t="s">
        <v>37</v>
      </c>
      <c r="GC35" t="s">
        <v>37</v>
      </c>
      <c r="GE35" t="s">
        <v>37</v>
      </c>
      <c r="GG35" t="s">
        <v>37</v>
      </c>
      <c r="GI35" t="s">
        <v>37</v>
      </c>
      <c r="GJ35">
        <v>224</v>
      </c>
      <c r="GK35" t="s">
        <v>37</v>
      </c>
      <c r="GM35" t="s">
        <v>37</v>
      </c>
      <c r="GO35" t="s">
        <v>37</v>
      </c>
      <c r="GP35">
        <v>12991</v>
      </c>
      <c r="GQ35" t="s">
        <v>37</v>
      </c>
      <c r="GR35">
        <v>9281</v>
      </c>
      <c r="GS35" t="s">
        <v>37</v>
      </c>
      <c r="GT35">
        <v>22029</v>
      </c>
      <c r="GU35" t="s">
        <v>37</v>
      </c>
      <c r="GV35">
        <v>39243</v>
      </c>
      <c r="GW35" t="s">
        <v>37</v>
      </c>
      <c r="GX35">
        <v>283905</v>
      </c>
      <c r="GY35" t="s">
        <v>37</v>
      </c>
      <c r="GZ35">
        <v>42476</v>
      </c>
      <c r="HA35" t="s">
        <v>37</v>
      </c>
      <c r="HC35" t="s">
        <v>37</v>
      </c>
      <c r="HE35" t="s">
        <v>37</v>
      </c>
      <c r="HF35">
        <v>2996569</v>
      </c>
      <c r="HG35" t="s">
        <v>37</v>
      </c>
      <c r="HI35" t="s">
        <v>37</v>
      </c>
      <c r="HJ35">
        <v>2996569</v>
      </c>
      <c r="HK35" t="s">
        <v>37</v>
      </c>
    </row>
    <row r="36" spans="1:219">
      <c r="A36">
        <v>1630</v>
      </c>
      <c r="B36" t="s">
        <v>69</v>
      </c>
      <c r="C36" t="s">
        <v>37</v>
      </c>
      <c r="D36">
        <v>39142</v>
      </c>
      <c r="E36" t="s">
        <v>37</v>
      </c>
      <c r="F36">
        <v>161805</v>
      </c>
      <c r="G36" t="s">
        <v>37</v>
      </c>
      <c r="H36">
        <v>20436</v>
      </c>
      <c r="I36" t="s">
        <v>37</v>
      </c>
      <c r="K36" s="48" t="s">
        <v>37</v>
      </c>
      <c r="L36" s="51">
        <v>614736</v>
      </c>
      <c r="M36" s="48" t="s">
        <v>37</v>
      </c>
      <c r="N36" s="51">
        <v>114919</v>
      </c>
      <c r="O36" s="48" t="s">
        <v>37</v>
      </c>
      <c r="P36" s="51">
        <v>156186</v>
      </c>
      <c r="Q36" s="48" t="s">
        <v>37</v>
      </c>
      <c r="R36" s="51">
        <v>91170</v>
      </c>
      <c r="S36" s="48" t="s">
        <v>37</v>
      </c>
      <c r="T36">
        <v>437833</v>
      </c>
      <c r="U36" t="s">
        <v>37</v>
      </c>
      <c r="W36" t="s">
        <v>37</v>
      </c>
      <c r="Y36" t="s">
        <v>37</v>
      </c>
      <c r="Z36">
        <v>91768</v>
      </c>
      <c r="AA36" t="s">
        <v>37</v>
      </c>
      <c r="AB36">
        <v>27950</v>
      </c>
      <c r="AC36" t="s">
        <v>37</v>
      </c>
      <c r="AD36">
        <v>15288</v>
      </c>
      <c r="AE36" t="s">
        <v>37</v>
      </c>
      <c r="AF36">
        <v>475</v>
      </c>
      <c r="AG36" t="s">
        <v>37</v>
      </c>
      <c r="AH36">
        <v>74594</v>
      </c>
      <c r="AI36" t="s">
        <v>37</v>
      </c>
      <c r="AK36" t="s">
        <v>37</v>
      </c>
      <c r="AL36">
        <v>537023</v>
      </c>
      <c r="AM36" t="s">
        <v>37</v>
      </c>
      <c r="AO36" t="s">
        <v>37</v>
      </c>
      <c r="AP36">
        <v>399631</v>
      </c>
      <c r="AQ36" t="s">
        <v>37</v>
      </c>
      <c r="AR36">
        <v>47168</v>
      </c>
      <c r="AS36" t="s">
        <v>37</v>
      </c>
      <c r="AT36">
        <v>3296713</v>
      </c>
      <c r="AU36" t="s">
        <v>37</v>
      </c>
      <c r="AV36">
        <v>307255</v>
      </c>
      <c r="AW36" t="s">
        <v>37</v>
      </c>
      <c r="AX36">
        <v>49626</v>
      </c>
      <c r="AY36" t="s">
        <v>37</v>
      </c>
      <c r="AZ36">
        <v>102661</v>
      </c>
      <c r="BA36" t="s">
        <v>37</v>
      </c>
      <c r="BB36">
        <v>15349</v>
      </c>
      <c r="BC36" t="s">
        <v>37</v>
      </c>
      <c r="BD36">
        <v>69727</v>
      </c>
      <c r="BE36" t="s">
        <v>37</v>
      </c>
      <c r="BF36">
        <v>150732</v>
      </c>
      <c r="BG36" t="s">
        <v>37</v>
      </c>
      <c r="BI36" t="s">
        <v>37</v>
      </c>
      <c r="BJ36">
        <v>88032</v>
      </c>
      <c r="BK36" t="s">
        <v>37</v>
      </c>
      <c r="BL36">
        <v>96330</v>
      </c>
      <c r="BM36" t="s">
        <v>37</v>
      </c>
      <c r="BO36" t="s">
        <v>37</v>
      </c>
      <c r="BP36">
        <v>16053</v>
      </c>
      <c r="BQ36" t="s">
        <v>37</v>
      </c>
      <c r="BR36">
        <v>51708</v>
      </c>
      <c r="BS36" t="s">
        <v>37</v>
      </c>
      <c r="BT36">
        <v>874</v>
      </c>
      <c r="BU36" t="s">
        <v>37</v>
      </c>
      <c r="BW36" t="s">
        <v>37</v>
      </c>
      <c r="BX36">
        <v>1106909</v>
      </c>
      <c r="BY36" t="s">
        <v>37</v>
      </c>
      <c r="BZ36">
        <v>56477</v>
      </c>
      <c r="CA36" t="s">
        <v>37</v>
      </c>
      <c r="CC36" t="s">
        <v>37</v>
      </c>
      <c r="CD36">
        <v>172122</v>
      </c>
      <c r="CE36" t="s">
        <v>37</v>
      </c>
      <c r="CF36">
        <v>68701</v>
      </c>
      <c r="CG36" t="s">
        <v>37</v>
      </c>
      <c r="CH36">
        <v>556005</v>
      </c>
      <c r="CI36" t="s">
        <v>37</v>
      </c>
      <c r="CJ36">
        <v>4646</v>
      </c>
      <c r="CK36" t="s">
        <v>37</v>
      </c>
      <c r="CL36">
        <v>30763</v>
      </c>
      <c r="CM36" t="s">
        <v>37</v>
      </c>
      <c r="CN36">
        <v>26775</v>
      </c>
      <c r="CO36" t="s">
        <v>37</v>
      </c>
      <c r="CP36">
        <v>72411</v>
      </c>
      <c r="CQ36" t="s">
        <v>37</v>
      </c>
      <c r="CR36">
        <v>260941</v>
      </c>
      <c r="CS36" t="s">
        <v>37</v>
      </c>
      <c r="CT36">
        <v>5214333</v>
      </c>
      <c r="CU36" t="s">
        <v>37</v>
      </c>
      <c r="CV36">
        <v>600750</v>
      </c>
      <c r="CW36" t="s">
        <v>37</v>
      </c>
      <c r="CX36">
        <v>51740</v>
      </c>
      <c r="CY36" t="s">
        <v>37</v>
      </c>
      <c r="CZ36">
        <v>25847</v>
      </c>
      <c r="DA36" t="s">
        <v>37</v>
      </c>
      <c r="DC36" t="s">
        <v>37</v>
      </c>
      <c r="DD36">
        <v>41896</v>
      </c>
      <c r="DE36" t="s">
        <v>37</v>
      </c>
      <c r="DF36">
        <v>2269</v>
      </c>
      <c r="DG36" t="s">
        <v>37</v>
      </c>
      <c r="DH36">
        <v>1379077</v>
      </c>
      <c r="DI36" t="s">
        <v>37</v>
      </c>
      <c r="DJ36">
        <v>7482</v>
      </c>
      <c r="DK36" t="s">
        <v>37</v>
      </c>
      <c r="DL36">
        <v>173723</v>
      </c>
      <c r="DM36" t="s">
        <v>37</v>
      </c>
      <c r="DN36">
        <v>354227</v>
      </c>
      <c r="DO36" t="s">
        <v>37</v>
      </c>
      <c r="DP36">
        <v>118897</v>
      </c>
      <c r="DQ36" t="s">
        <v>37</v>
      </c>
      <c r="DR36">
        <v>88300</v>
      </c>
      <c r="DS36" t="s">
        <v>37</v>
      </c>
      <c r="DT36">
        <v>25014</v>
      </c>
      <c r="DU36" t="s">
        <v>37</v>
      </c>
      <c r="DV36">
        <v>2463539</v>
      </c>
      <c r="DW36" t="s">
        <v>37</v>
      </c>
      <c r="DX36">
        <v>232856</v>
      </c>
      <c r="DY36" t="s">
        <v>37</v>
      </c>
      <c r="DZ36">
        <v>81663</v>
      </c>
      <c r="EA36" t="s">
        <v>37</v>
      </c>
      <c r="EB36">
        <v>13529</v>
      </c>
      <c r="EC36" t="s">
        <v>37</v>
      </c>
      <c r="ED36">
        <v>1935871</v>
      </c>
      <c r="EE36" t="s">
        <v>37</v>
      </c>
      <c r="EF36">
        <v>2190</v>
      </c>
      <c r="EG36" t="s">
        <v>37</v>
      </c>
      <c r="EI36" t="s">
        <v>37</v>
      </c>
      <c r="EJ36">
        <v>44455</v>
      </c>
      <c r="EK36" t="s">
        <v>37</v>
      </c>
      <c r="EL36">
        <v>27624</v>
      </c>
      <c r="EM36" t="s">
        <v>37</v>
      </c>
      <c r="EO36" t="s">
        <v>37</v>
      </c>
      <c r="EQ36" t="s">
        <v>37</v>
      </c>
      <c r="ER36">
        <v>41249</v>
      </c>
      <c r="ES36" t="s">
        <v>37</v>
      </c>
      <c r="ET36">
        <v>250718</v>
      </c>
      <c r="EU36" t="s">
        <v>37</v>
      </c>
      <c r="EV36">
        <v>200255</v>
      </c>
      <c r="EW36" t="s">
        <v>37</v>
      </c>
      <c r="EY36" t="s">
        <v>37</v>
      </c>
      <c r="EZ36">
        <v>23878</v>
      </c>
      <c r="FA36" t="s">
        <v>37</v>
      </c>
      <c r="FB36">
        <v>31409</v>
      </c>
      <c r="FC36" t="s">
        <v>37</v>
      </c>
      <c r="FD36">
        <v>104242</v>
      </c>
      <c r="FE36" t="s">
        <v>37</v>
      </c>
      <c r="FG36" t="s">
        <v>37</v>
      </c>
      <c r="FH36">
        <v>310314</v>
      </c>
      <c r="FI36" t="s">
        <v>37</v>
      </c>
      <c r="FJ36">
        <v>565404</v>
      </c>
      <c r="FK36" t="s">
        <v>37</v>
      </c>
      <c r="FL36">
        <v>277437</v>
      </c>
      <c r="FM36" t="s">
        <v>37</v>
      </c>
      <c r="FN36">
        <v>64644</v>
      </c>
      <c r="FO36" t="s">
        <v>37</v>
      </c>
      <c r="FP36">
        <v>260928</v>
      </c>
      <c r="FQ36" t="s">
        <v>37</v>
      </c>
      <c r="FR36">
        <v>275690</v>
      </c>
      <c r="FS36" t="s">
        <v>37</v>
      </c>
      <c r="FT36">
        <v>108205</v>
      </c>
      <c r="FU36" t="s">
        <v>37</v>
      </c>
      <c r="FV36">
        <v>40571</v>
      </c>
      <c r="FW36" t="s">
        <v>37</v>
      </c>
      <c r="FX36">
        <v>376169</v>
      </c>
      <c r="FY36" t="s">
        <v>37</v>
      </c>
      <c r="FZ36">
        <v>433053</v>
      </c>
      <c r="GA36" t="s">
        <v>37</v>
      </c>
      <c r="GC36" t="s">
        <v>37</v>
      </c>
      <c r="GE36" t="s">
        <v>37</v>
      </c>
      <c r="GG36" t="s">
        <v>37</v>
      </c>
      <c r="GI36" t="s">
        <v>37</v>
      </c>
      <c r="GJ36">
        <v>273036</v>
      </c>
      <c r="GK36" t="s">
        <v>37</v>
      </c>
      <c r="GL36">
        <v>490225</v>
      </c>
      <c r="GM36" t="s">
        <v>37</v>
      </c>
      <c r="GO36" t="s">
        <v>37</v>
      </c>
      <c r="GP36">
        <v>133041</v>
      </c>
      <c r="GQ36" t="s">
        <v>37</v>
      </c>
      <c r="GR36">
        <v>33866</v>
      </c>
      <c r="GS36" t="s">
        <v>37</v>
      </c>
      <c r="GT36">
        <v>347649</v>
      </c>
      <c r="GU36" t="s">
        <v>37</v>
      </c>
      <c r="GV36">
        <v>399735</v>
      </c>
      <c r="GW36" t="s">
        <v>37</v>
      </c>
      <c r="GX36">
        <v>515229</v>
      </c>
      <c r="GY36" t="s">
        <v>37</v>
      </c>
      <c r="GZ36">
        <v>685028</v>
      </c>
      <c r="HA36" t="s">
        <v>37</v>
      </c>
      <c r="HC36" t="s">
        <v>37</v>
      </c>
      <c r="HE36" t="s">
        <v>37</v>
      </c>
      <c r="HF36">
        <v>28558191</v>
      </c>
      <c r="HG36" t="s">
        <v>37</v>
      </c>
      <c r="HI36" t="s">
        <v>37</v>
      </c>
      <c r="HJ36">
        <v>28558191</v>
      </c>
      <c r="HK36" t="s">
        <v>37</v>
      </c>
    </row>
    <row r="37" spans="1:219">
      <c r="A37">
        <v>1640</v>
      </c>
      <c r="B37" t="s">
        <v>70</v>
      </c>
      <c r="C37" t="s">
        <v>37</v>
      </c>
      <c r="D37">
        <v>58681</v>
      </c>
      <c r="E37" t="s">
        <v>37</v>
      </c>
      <c r="F37">
        <v>240995</v>
      </c>
      <c r="G37" t="s">
        <v>37</v>
      </c>
      <c r="H37">
        <v>40720</v>
      </c>
      <c r="I37" t="s">
        <v>37</v>
      </c>
      <c r="K37" s="48" t="s">
        <v>37</v>
      </c>
      <c r="L37" s="51">
        <v>53286</v>
      </c>
      <c r="M37" s="48" t="s">
        <v>37</v>
      </c>
      <c r="N37" s="51">
        <v>49161</v>
      </c>
      <c r="O37" s="48" t="s">
        <v>37</v>
      </c>
      <c r="P37" s="51">
        <v>50977</v>
      </c>
      <c r="Q37" s="48" t="s">
        <v>37</v>
      </c>
      <c r="R37" s="51">
        <v>36317</v>
      </c>
      <c r="S37" s="48" t="s">
        <v>37</v>
      </c>
      <c r="T37">
        <v>144626</v>
      </c>
      <c r="U37" t="s">
        <v>37</v>
      </c>
      <c r="W37" t="s">
        <v>37</v>
      </c>
      <c r="Y37" t="s">
        <v>37</v>
      </c>
      <c r="Z37">
        <v>13859</v>
      </c>
      <c r="AA37" t="s">
        <v>37</v>
      </c>
      <c r="AB37">
        <v>16079</v>
      </c>
      <c r="AC37" t="s">
        <v>37</v>
      </c>
      <c r="AD37">
        <v>25639</v>
      </c>
      <c r="AE37" t="s">
        <v>37</v>
      </c>
      <c r="AF37">
        <v>17763</v>
      </c>
      <c r="AG37" t="s">
        <v>37</v>
      </c>
      <c r="AH37">
        <v>36528</v>
      </c>
      <c r="AI37" t="s">
        <v>37</v>
      </c>
      <c r="AK37" t="s">
        <v>37</v>
      </c>
      <c r="AL37">
        <v>98847</v>
      </c>
      <c r="AM37" t="s">
        <v>37</v>
      </c>
      <c r="AO37" t="s">
        <v>37</v>
      </c>
      <c r="AP37">
        <v>252145</v>
      </c>
      <c r="AQ37" t="s">
        <v>37</v>
      </c>
      <c r="AR37">
        <v>19872</v>
      </c>
      <c r="AS37" t="s">
        <v>37</v>
      </c>
      <c r="AT37">
        <v>257485</v>
      </c>
      <c r="AU37" t="s">
        <v>37</v>
      </c>
      <c r="AV37">
        <v>159550</v>
      </c>
      <c r="AW37" t="s">
        <v>37</v>
      </c>
      <c r="AX37">
        <v>60745</v>
      </c>
      <c r="AY37" t="s">
        <v>37</v>
      </c>
      <c r="AZ37">
        <v>100929</v>
      </c>
      <c r="BA37" t="s">
        <v>37</v>
      </c>
      <c r="BB37">
        <v>9964</v>
      </c>
      <c r="BC37" t="s">
        <v>37</v>
      </c>
      <c r="BD37">
        <v>49068</v>
      </c>
      <c r="BE37" t="s">
        <v>37</v>
      </c>
      <c r="BF37">
        <v>4464</v>
      </c>
      <c r="BG37" t="s">
        <v>37</v>
      </c>
      <c r="BI37" t="s">
        <v>37</v>
      </c>
      <c r="BJ37">
        <v>80694</v>
      </c>
      <c r="BK37" t="s">
        <v>37</v>
      </c>
      <c r="BL37">
        <v>120792</v>
      </c>
      <c r="BM37" t="s">
        <v>37</v>
      </c>
      <c r="BO37" t="s">
        <v>37</v>
      </c>
      <c r="BP37">
        <v>25030</v>
      </c>
      <c r="BQ37" t="s">
        <v>37</v>
      </c>
      <c r="BR37">
        <v>52554</v>
      </c>
      <c r="BS37" t="s">
        <v>37</v>
      </c>
      <c r="BT37">
        <v>16560</v>
      </c>
      <c r="BU37" t="s">
        <v>37</v>
      </c>
      <c r="BW37" t="s">
        <v>37</v>
      </c>
      <c r="BX37">
        <v>84307</v>
      </c>
      <c r="BY37" t="s">
        <v>37</v>
      </c>
      <c r="BZ37">
        <v>45033</v>
      </c>
      <c r="CA37" t="s">
        <v>37</v>
      </c>
      <c r="CC37" t="s">
        <v>37</v>
      </c>
      <c r="CD37">
        <v>63217</v>
      </c>
      <c r="CE37" t="s">
        <v>37</v>
      </c>
      <c r="CF37">
        <v>71395</v>
      </c>
      <c r="CG37" t="s">
        <v>37</v>
      </c>
      <c r="CH37">
        <v>243331</v>
      </c>
      <c r="CI37" t="s">
        <v>37</v>
      </c>
      <c r="CJ37">
        <v>15392</v>
      </c>
      <c r="CK37" t="s">
        <v>37</v>
      </c>
      <c r="CL37">
        <v>33589</v>
      </c>
      <c r="CM37" t="s">
        <v>37</v>
      </c>
      <c r="CN37">
        <v>7361</v>
      </c>
      <c r="CO37" t="s">
        <v>37</v>
      </c>
      <c r="CP37">
        <v>20628</v>
      </c>
      <c r="CQ37" t="s">
        <v>37</v>
      </c>
      <c r="CR37">
        <v>139036</v>
      </c>
      <c r="CS37" t="s">
        <v>37</v>
      </c>
      <c r="CT37">
        <v>655456</v>
      </c>
      <c r="CU37" t="s">
        <v>37</v>
      </c>
      <c r="CV37">
        <v>96833</v>
      </c>
      <c r="CW37" t="s">
        <v>37</v>
      </c>
      <c r="CX37">
        <v>14979</v>
      </c>
      <c r="CY37" t="s">
        <v>37</v>
      </c>
      <c r="CZ37">
        <v>22311</v>
      </c>
      <c r="DA37" t="s">
        <v>37</v>
      </c>
      <c r="DC37" t="s">
        <v>37</v>
      </c>
      <c r="DD37">
        <v>47637</v>
      </c>
      <c r="DE37" t="s">
        <v>37</v>
      </c>
      <c r="DF37">
        <v>21611</v>
      </c>
      <c r="DG37" t="s">
        <v>37</v>
      </c>
      <c r="DH37">
        <v>422376</v>
      </c>
      <c r="DI37" t="s">
        <v>37</v>
      </c>
      <c r="DJ37">
        <v>14777</v>
      </c>
      <c r="DK37" t="s">
        <v>37</v>
      </c>
      <c r="DL37">
        <v>165170</v>
      </c>
      <c r="DM37" t="s">
        <v>37</v>
      </c>
      <c r="DN37">
        <v>106614</v>
      </c>
      <c r="DO37" t="s">
        <v>37</v>
      </c>
      <c r="DP37">
        <v>73788</v>
      </c>
      <c r="DQ37" t="s">
        <v>37</v>
      </c>
      <c r="DR37">
        <v>71074</v>
      </c>
      <c r="DS37" t="s">
        <v>37</v>
      </c>
      <c r="DT37">
        <v>24029</v>
      </c>
      <c r="DU37" t="s">
        <v>37</v>
      </c>
      <c r="DV37">
        <v>276763</v>
      </c>
      <c r="DW37" t="s">
        <v>37</v>
      </c>
      <c r="DX37">
        <v>111699</v>
      </c>
      <c r="DY37" t="s">
        <v>37</v>
      </c>
      <c r="DZ37">
        <v>32955</v>
      </c>
      <c r="EA37" t="s">
        <v>37</v>
      </c>
      <c r="EB37">
        <v>47293</v>
      </c>
      <c r="EC37" t="s">
        <v>37</v>
      </c>
      <c r="ED37">
        <v>181136</v>
      </c>
      <c r="EE37" t="s">
        <v>37</v>
      </c>
      <c r="EF37">
        <v>11792</v>
      </c>
      <c r="EG37" t="s">
        <v>37</v>
      </c>
      <c r="EI37" t="s">
        <v>37</v>
      </c>
      <c r="EJ37">
        <v>31004</v>
      </c>
      <c r="EK37" t="s">
        <v>37</v>
      </c>
      <c r="EL37">
        <v>35322</v>
      </c>
      <c r="EM37" t="s">
        <v>37</v>
      </c>
      <c r="EN37">
        <v>9726</v>
      </c>
      <c r="EO37" t="s">
        <v>37</v>
      </c>
      <c r="EQ37" t="s">
        <v>37</v>
      </c>
      <c r="ER37">
        <v>45277</v>
      </c>
      <c r="ES37" t="s">
        <v>37</v>
      </c>
      <c r="ET37">
        <v>106335</v>
      </c>
      <c r="EU37" t="s">
        <v>37</v>
      </c>
      <c r="EV37">
        <v>147078</v>
      </c>
      <c r="EW37" t="s">
        <v>37</v>
      </c>
      <c r="EY37" t="s">
        <v>37</v>
      </c>
      <c r="EZ37">
        <v>33327</v>
      </c>
      <c r="FA37" t="s">
        <v>37</v>
      </c>
      <c r="FB37">
        <v>61989</v>
      </c>
      <c r="FC37" t="s">
        <v>37</v>
      </c>
      <c r="FD37">
        <v>144208</v>
      </c>
      <c r="FE37" t="s">
        <v>37</v>
      </c>
      <c r="FG37" t="s">
        <v>37</v>
      </c>
      <c r="FH37">
        <v>142647</v>
      </c>
      <c r="FI37" t="s">
        <v>37</v>
      </c>
      <c r="FJ37">
        <v>172337</v>
      </c>
      <c r="FK37" t="s">
        <v>37</v>
      </c>
      <c r="FL37">
        <v>351935</v>
      </c>
      <c r="FM37" t="s">
        <v>37</v>
      </c>
      <c r="FN37">
        <v>48275</v>
      </c>
      <c r="FO37" t="s">
        <v>37</v>
      </c>
      <c r="FP37">
        <v>56555</v>
      </c>
      <c r="FQ37" t="s">
        <v>37</v>
      </c>
      <c r="FR37">
        <v>103133</v>
      </c>
      <c r="FS37" t="s">
        <v>37</v>
      </c>
      <c r="FT37">
        <v>38948</v>
      </c>
      <c r="FU37" t="s">
        <v>37</v>
      </c>
      <c r="FV37">
        <v>50452</v>
      </c>
      <c r="FW37" t="s">
        <v>37</v>
      </c>
      <c r="FX37">
        <v>71266</v>
      </c>
      <c r="FY37" t="s">
        <v>37</v>
      </c>
      <c r="FZ37">
        <v>107062</v>
      </c>
      <c r="GA37" t="s">
        <v>37</v>
      </c>
      <c r="GB37">
        <v>126637</v>
      </c>
      <c r="GC37" t="s">
        <v>37</v>
      </c>
      <c r="GE37" t="s">
        <v>37</v>
      </c>
      <c r="GG37" t="s">
        <v>37</v>
      </c>
      <c r="GI37" t="s">
        <v>37</v>
      </c>
      <c r="GJ37">
        <v>110134</v>
      </c>
      <c r="GK37" t="s">
        <v>37</v>
      </c>
      <c r="GL37">
        <v>79995</v>
      </c>
      <c r="GM37" t="s">
        <v>37</v>
      </c>
      <c r="GO37" t="s">
        <v>37</v>
      </c>
      <c r="GP37">
        <v>61243</v>
      </c>
      <c r="GQ37" t="s">
        <v>37</v>
      </c>
      <c r="GR37">
        <v>93724</v>
      </c>
      <c r="GS37" t="s">
        <v>37</v>
      </c>
      <c r="GT37">
        <v>23081</v>
      </c>
      <c r="GU37" t="s">
        <v>37</v>
      </c>
      <c r="GV37">
        <v>39875</v>
      </c>
      <c r="GW37" t="s">
        <v>37</v>
      </c>
      <c r="GX37">
        <v>73833</v>
      </c>
      <c r="GY37" t="s">
        <v>37</v>
      </c>
      <c r="GZ37">
        <v>78109</v>
      </c>
      <c r="HA37" t="s">
        <v>37</v>
      </c>
      <c r="HC37" t="s">
        <v>37</v>
      </c>
      <c r="HE37" t="s">
        <v>37</v>
      </c>
      <c r="HF37">
        <v>7658419</v>
      </c>
      <c r="HG37" t="s">
        <v>37</v>
      </c>
      <c r="HI37" t="s">
        <v>37</v>
      </c>
      <c r="HJ37">
        <v>7658419</v>
      </c>
      <c r="HK37" t="s">
        <v>37</v>
      </c>
    </row>
    <row r="38" spans="1:219">
      <c r="A38">
        <v>1650</v>
      </c>
      <c r="B38" t="s">
        <v>71</v>
      </c>
      <c r="C38" t="s">
        <v>37</v>
      </c>
      <c r="D38">
        <v>137</v>
      </c>
      <c r="E38" t="s">
        <v>37</v>
      </c>
      <c r="F38">
        <v>1959</v>
      </c>
      <c r="G38" t="s">
        <v>37</v>
      </c>
      <c r="H38">
        <v>834</v>
      </c>
      <c r="I38" t="s">
        <v>37</v>
      </c>
      <c r="K38" s="48" t="s">
        <v>37</v>
      </c>
      <c r="L38" s="51">
        <v>2977</v>
      </c>
      <c r="M38" s="48" t="s">
        <v>37</v>
      </c>
      <c r="N38" s="50">
        <v>410</v>
      </c>
      <c r="O38" s="48" t="s">
        <v>37</v>
      </c>
      <c r="P38" s="50"/>
      <c r="Q38" s="48" t="s">
        <v>37</v>
      </c>
      <c r="R38" s="50"/>
      <c r="S38" s="48" t="s">
        <v>37</v>
      </c>
      <c r="T38">
        <v>525</v>
      </c>
      <c r="U38" t="s">
        <v>37</v>
      </c>
      <c r="W38" t="s">
        <v>37</v>
      </c>
      <c r="Y38" t="s">
        <v>37</v>
      </c>
      <c r="Z38">
        <v>1368</v>
      </c>
      <c r="AA38" t="s">
        <v>37</v>
      </c>
      <c r="AB38">
        <v>687</v>
      </c>
      <c r="AC38" t="s">
        <v>37</v>
      </c>
      <c r="AD38">
        <v>2410</v>
      </c>
      <c r="AE38" t="s">
        <v>37</v>
      </c>
      <c r="AF38">
        <v>687</v>
      </c>
      <c r="AG38" t="s">
        <v>37</v>
      </c>
      <c r="AH38">
        <v>718</v>
      </c>
      <c r="AI38" t="s">
        <v>37</v>
      </c>
      <c r="AK38" t="s">
        <v>37</v>
      </c>
      <c r="AL38">
        <v>5538</v>
      </c>
      <c r="AM38" t="s">
        <v>37</v>
      </c>
      <c r="AO38" t="s">
        <v>37</v>
      </c>
      <c r="AP38">
        <v>3272</v>
      </c>
      <c r="AQ38" t="s">
        <v>37</v>
      </c>
      <c r="AR38">
        <v>1603</v>
      </c>
      <c r="AS38" t="s">
        <v>37</v>
      </c>
      <c r="AT38">
        <v>12018</v>
      </c>
      <c r="AU38" t="s">
        <v>37</v>
      </c>
      <c r="AV38">
        <v>3033</v>
      </c>
      <c r="AW38" t="s">
        <v>37</v>
      </c>
      <c r="AX38">
        <v>2339</v>
      </c>
      <c r="AY38" t="s">
        <v>37</v>
      </c>
      <c r="AZ38">
        <v>1263</v>
      </c>
      <c r="BA38" t="s">
        <v>37</v>
      </c>
      <c r="BB38">
        <v>153</v>
      </c>
      <c r="BC38" t="s">
        <v>37</v>
      </c>
      <c r="BD38">
        <v>1565</v>
      </c>
      <c r="BE38" t="s">
        <v>37</v>
      </c>
      <c r="BG38" t="s">
        <v>37</v>
      </c>
      <c r="BI38" t="s">
        <v>37</v>
      </c>
      <c r="BJ38">
        <v>458</v>
      </c>
      <c r="BK38" t="s">
        <v>37</v>
      </c>
      <c r="BL38">
        <v>2017</v>
      </c>
      <c r="BM38" t="s">
        <v>37</v>
      </c>
      <c r="BO38" t="s">
        <v>37</v>
      </c>
      <c r="BP38">
        <v>767</v>
      </c>
      <c r="BQ38" t="s">
        <v>37</v>
      </c>
      <c r="BR38">
        <v>1034</v>
      </c>
      <c r="BS38" t="s">
        <v>37</v>
      </c>
      <c r="BT38">
        <v>665</v>
      </c>
      <c r="BU38" t="s">
        <v>37</v>
      </c>
      <c r="BW38" t="s">
        <v>37</v>
      </c>
      <c r="BX38">
        <v>4455</v>
      </c>
      <c r="BY38" t="s">
        <v>37</v>
      </c>
      <c r="BZ38">
        <v>4596</v>
      </c>
      <c r="CA38" t="s">
        <v>37</v>
      </c>
      <c r="CC38" t="s">
        <v>37</v>
      </c>
      <c r="CD38">
        <v>1799</v>
      </c>
      <c r="CE38" t="s">
        <v>37</v>
      </c>
      <c r="CF38">
        <v>7546</v>
      </c>
      <c r="CG38" t="s">
        <v>37</v>
      </c>
      <c r="CH38">
        <v>6385</v>
      </c>
      <c r="CI38" t="s">
        <v>37</v>
      </c>
      <c r="CJ38">
        <v>24</v>
      </c>
      <c r="CK38" t="s">
        <v>37</v>
      </c>
      <c r="CL38">
        <v>6158</v>
      </c>
      <c r="CM38" t="s">
        <v>37</v>
      </c>
      <c r="CN38">
        <v>922</v>
      </c>
      <c r="CO38" t="s">
        <v>37</v>
      </c>
      <c r="CP38">
        <v>1536</v>
      </c>
      <c r="CQ38" t="s">
        <v>37</v>
      </c>
      <c r="CR38">
        <v>3521</v>
      </c>
      <c r="CS38" t="s">
        <v>37</v>
      </c>
      <c r="CT38">
        <v>20763</v>
      </c>
      <c r="CU38" t="s">
        <v>37</v>
      </c>
      <c r="CV38">
        <v>4017</v>
      </c>
      <c r="CW38" t="s">
        <v>37</v>
      </c>
      <c r="CX38">
        <v>119</v>
      </c>
      <c r="CY38" t="s">
        <v>37</v>
      </c>
      <c r="CZ38">
        <v>450</v>
      </c>
      <c r="DA38" t="s">
        <v>37</v>
      </c>
      <c r="DC38" t="s">
        <v>37</v>
      </c>
      <c r="DD38">
        <v>2080</v>
      </c>
      <c r="DE38" t="s">
        <v>37</v>
      </c>
      <c r="DF38">
        <v>648</v>
      </c>
      <c r="DG38" t="s">
        <v>37</v>
      </c>
      <c r="DH38">
        <v>4952</v>
      </c>
      <c r="DI38" t="s">
        <v>37</v>
      </c>
      <c r="DJ38">
        <v>150</v>
      </c>
      <c r="DK38" t="s">
        <v>37</v>
      </c>
      <c r="DL38">
        <v>9715</v>
      </c>
      <c r="DM38" t="s">
        <v>37</v>
      </c>
      <c r="DN38">
        <v>7877</v>
      </c>
      <c r="DO38" t="s">
        <v>37</v>
      </c>
      <c r="DP38">
        <v>10630</v>
      </c>
      <c r="DQ38" t="s">
        <v>37</v>
      </c>
      <c r="DR38">
        <v>424</v>
      </c>
      <c r="DS38" t="s">
        <v>37</v>
      </c>
      <c r="DT38">
        <v>2486</v>
      </c>
      <c r="DU38" t="s">
        <v>37</v>
      </c>
      <c r="DV38">
        <v>9683</v>
      </c>
      <c r="DW38" t="s">
        <v>37</v>
      </c>
      <c r="DX38">
        <v>9108</v>
      </c>
      <c r="DY38" t="s">
        <v>37</v>
      </c>
      <c r="DZ38">
        <v>493</v>
      </c>
      <c r="EA38" t="s">
        <v>37</v>
      </c>
      <c r="EB38">
        <v>1620</v>
      </c>
      <c r="EC38" t="s">
        <v>37</v>
      </c>
      <c r="ED38">
        <v>3581</v>
      </c>
      <c r="EE38" t="s">
        <v>37</v>
      </c>
      <c r="EG38" t="s">
        <v>37</v>
      </c>
      <c r="EI38" t="s">
        <v>37</v>
      </c>
      <c r="EJ38">
        <v>4040</v>
      </c>
      <c r="EK38" t="s">
        <v>37</v>
      </c>
      <c r="EL38">
        <v>340</v>
      </c>
      <c r="EM38" t="s">
        <v>37</v>
      </c>
      <c r="EN38">
        <v>9150</v>
      </c>
      <c r="EO38" t="s">
        <v>37</v>
      </c>
      <c r="EQ38" t="s">
        <v>37</v>
      </c>
      <c r="ER38">
        <v>863</v>
      </c>
      <c r="ES38" t="s">
        <v>37</v>
      </c>
      <c r="ET38">
        <v>4320</v>
      </c>
      <c r="EU38" t="s">
        <v>37</v>
      </c>
      <c r="EV38">
        <v>5030</v>
      </c>
      <c r="EW38" t="s">
        <v>37</v>
      </c>
      <c r="EY38" t="s">
        <v>37</v>
      </c>
      <c r="EZ38">
        <v>1999</v>
      </c>
      <c r="FA38" t="s">
        <v>37</v>
      </c>
      <c r="FB38">
        <v>234</v>
      </c>
      <c r="FC38" t="s">
        <v>37</v>
      </c>
      <c r="FD38">
        <v>11600</v>
      </c>
      <c r="FE38" t="s">
        <v>37</v>
      </c>
      <c r="FG38" t="s">
        <v>37</v>
      </c>
      <c r="FH38">
        <v>3128</v>
      </c>
      <c r="FI38" t="s">
        <v>37</v>
      </c>
      <c r="FJ38">
        <v>1907</v>
      </c>
      <c r="FK38" t="s">
        <v>37</v>
      </c>
      <c r="FL38">
        <v>6131</v>
      </c>
      <c r="FM38" t="s">
        <v>37</v>
      </c>
      <c r="FN38">
        <v>1781</v>
      </c>
      <c r="FO38" t="s">
        <v>37</v>
      </c>
      <c r="FP38">
        <v>1243</v>
      </c>
      <c r="FQ38" t="s">
        <v>37</v>
      </c>
      <c r="FS38" t="s">
        <v>37</v>
      </c>
      <c r="FU38" t="s">
        <v>37</v>
      </c>
      <c r="FV38">
        <v>788</v>
      </c>
      <c r="FW38" t="s">
        <v>37</v>
      </c>
      <c r="FX38">
        <v>1074</v>
      </c>
      <c r="FY38" t="s">
        <v>37</v>
      </c>
      <c r="FZ38">
        <v>4296</v>
      </c>
      <c r="GA38" t="s">
        <v>37</v>
      </c>
      <c r="GC38" t="s">
        <v>37</v>
      </c>
      <c r="GE38" t="s">
        <v>37</v>
      </c>
      <c r="GG38" t="s">
        <v>37</v>
      </c>
      <c r="GI38" t="s">
        <v>37</v>
      </c>
      <c r="GJ38">
        <v>5959</v>
      </c>
      <c r="GK38" t="s">
        <v>37</v>
      </c>
      <c r="GL38">
        <v>1752</v>
      </c>
      <c r="GM38" t="s">
        <v>37</v>
      </c>
      <c r="GO38" t="s">
        <v>37</v>
      </c>
      <c r="GP38">
        <v>286</v>
      </c>
      <c r="GQ38" t="s">
        <v>37</v>
      </c>
      <c r="GR38">
        <v>7368</v>
      </c>
      <c r="GS38" t="s">
        <v>37</v>
      </c>
      <c r="GT38">
        <v>648</v>
      </c>
      <c r="GU38" t="s">
        <v>37</v>
      </c>
      <c r="GV38">
        <v>1859</v>
      </c>
      <c r="GW38" t="s">
        <v>37</v>
      </c>
      <c r="GX38">
        <v>10025</v>
      </c>
      <c r="GY38" t="s">
        <v>37</v>
      </c>
      <c r="GZ38">
        <v>1688</v>
      </c>
      <c r="HA38" t="s">
        <v>37</v>
      </c>
      <c r="HC38" t="s">
        <v>37</v>
      </c>
      <c r="HE38" t="s">
        <v>37</v>
      </c>
      <c r="HF38">
        <v>261684</v>
      </c>
      <c r="HG38" t="s">
        <v>37</v>
      </c>
      <c r="HI38" t="s">
        <v>37</v>
      </c>
      <c r="HJ38">
        <v>261684</v>
      </c>
      <c r="HK38" t="s">
        <v>37</v>
      </c>
    </row>
    <row r="39" spans="1:219">
      <c r="A39">
        <v>1660</v>
      </c>
      <c r="B39" t="s">
        <v>72</v>
      </c>
      <c r="C39" t="s">
        <v>37</v>
      </c>
      <c r="D39">
        <v>4170</v>
      </c>
      <c r="E39" t="s">
        <v>37</v>
      </c>
      <c r="F39">
        <v>10071</v>
      </c>
      <c r="G39" t="s">
        <v>37</v>
      </c>
      <c r="H39">
        <v>25422</v>
      </c>
      <c r="I39" t="s">
        <v>37</v>
      </c>
      <c r="K39" s="48" t="s">
        <v>37</v>
      </c>
      <c r="L39" s="51">
        <v>28845</v>
      </c>
      <c r="M39" s="48" t="s">
        <v>37</v>
      </c>
      <c r="N39" s="51">
        <v>8908</v>
      </c>
      <c r="O39" s="48" t="s">
        <v>37</v>
      </c>
      <c r="P39" s="51">
        <v>10678</v>
      </c>
      <c r="Q39" s="48" t="s">
        <v>37</v>
      </c>
      <c r="R39" s="51">
        <v>6664</v>
      </c>
      <c r="S39" s="48" t="s">
        <v>37</v>
      </c>
      <c r="T39">
        <v>14790</v>
      </c>
      <c r="U39" t="s">
        <v>37</v>
      </c>
      <c r="W39" t="s">
        <v>37</v>
      </c>
      <c r="Y39" t="s">
        <v>37</v>
      </c>
      <c r="Z39">
        <v>28963</v>
      </c>
      <c r="AA39" t="s">
        <v>37</v>
      </c>
      <c r="AB39">
        <v>4771</v>
      </c>
      <c r="AC39" t="s">
        <v>37</v>
      </c>
      <c r="AD39">
        <v>13979</v>
      </c>
      <c r="AE39" t="s">
        <v>37</v>
      </c>
      <c r="AF39">
        <v>1672</v>
      </c>
      <c r="AG39" t="s">
        <v>37</v>
      </c>
      <c r="AH39">
        <v>27080</v>
      </c>
      <c r="AI39" t="s">
        <v>37</v>
      </c>
      <c r="AK39" t="s">
        <v>37</v>
      </c>
      <c r="AL39">
        <v>24112</v>
      </c>
      <c r="AM39" t="s">
        <v>37</v>
      </c>
      <c r="AO39" t="s">
        <v>37</v>
      </c>
      <c r="AP39">
        <v>58212</v>
      </c>
      <c r="AQ39" t="s">
        <v>37</v>
      </c>
      <c r="AR39">
        <v>10663</v>
      </c>
      <c r="AS39" t="s">
        <v>37</v>
      </c>
      <c r="AT39">
        <v>286955</v>
      </c>
      <c r="AU39" t="s">
        <v>37</v>
      </c>
      <c r="AV39">
        <v>14390</v>
      </c>
      <c r="AW39" t="s">
        <v>37</v>
      </c>
      <c r="AX39">
        <v>19534</v>
      </c>
      <c r="AY39" t="s">
        <v>37</v>
      </c>
      <c r="AZ39">
        <v>9752</v>
      </c>
      <c r="BA39" t="s">
        <v>37</v>
      </c>
      <c r="BB39">
        <v>3196</v>
      </c>
      <c r="BC39" t="s">
        <v>37</v>
      </c>
      <c r="BD39">
        <v>122458</v>
      </c>
      <c r="BE39" t="s">
        <v>37</v>
      </c>
      <c r="BF39">
        <v>27298</v>
      </c>
      <c r="BG39" t="s">
        <v>37</v>
      </c>
      <c r="BI39" t="s">
        <v>37</v>
      </c>
      <c r="BJ39">
        <v>15756</v>
      </c>
      <c r="BK39" t="s">
        <v>37</v>
      </c>
      <c r="BL39">
        <v>65156</v>
      </c>
      <c r="BM39" t="s">
        <v>37</v>
      </c>
      <c r="BO39" t="s">
        <v>37</v>
      </c>
      <c r="BP39">
        <v>2454</v>
      </c>
      <c r="BQ39" t="s">
        <v>37</v>
      </c>
      <c r="BR39">
        <v>17481</v>
      </c>
      <c r="BS39" t="s">
        <v>37</v>
      </c>
      <c r="BT39">
        <v>1628</v>
      </c>
      <c r="BU39" t="s">
        <v>37</v>
      </c>
      <c r="BW39" t="s">
        <v>37</v>
      </c>
      <c r="BX39">
        <v>150670</v>
      </c>
      <c r="BY39" t="s">
        <v>37</v>
      </c>
      <c r="BZ39">
        <v>6289</v>
      </c>
      <c r="CA39" t="s">
        <v>37</v>
      </c>
      <c r="CC39" t="s">
        <v>37</v>
      </c>
      <c r="CD39">
        <v>12236</v>
      </c>
      <c r="CE39" t="s">
        <v>37</v>
      </c>
      <c r="CF39">
        <v>21957</v>
      </c>
      <c r="CG39" t="s">
        <v>37</v>
      </c>
      <c r="CH39">
        <v>22446</v>
      </c>
      <c r="CI39" t="s">
        <v>37</v>
      </c>
      <c r="CJ39">
        <v>3478</v>
      </c>
      <c r="CK39" t="s">
        <v>37</v>
      </c>
      <c r="CL39">
        <v>18795</v>
      </c>
      <c r="CM39" t="s">
        <v>37</v>
      </c>
      <c r="CO39" t="s">
        <v>37</v>
      </c>
      <c r="CP39">
        <v>7471</v>
      </c>
      <c r="CQ39" t="s">
        <v>37</v>
      </c>
      <c r="CR39">
        <v>28990</v>
      </c>
      <c r="CS39" t="s">
        <v>37</v>
      </c>
      <c r="CT39">
        <v>188422</v>
      </c>
      <c r="CU39" t="s">
        <v>37</v>
      </c>
      <c r="CV39">
        <v>66074</v>
      </c>
      <c r="CW39" t="s">
        <v>37</v>
      </c>
      <c r="CX39">
        <v>6034</v>
      </c>
      <c r="CY39" t="s">
        <v>37</v>
      </c>
      <c r="CZ39">
        <v>11703</v>
      </c>
      <c r="DA39" t="s">
        <v>37</v>
      </c>
      <c r="DC39" t="s">
        <v>37</v>
      </c>
      <c r="DD39">
        <v>3564</v>
      </c>
      <c r="DE39" t="s">
        <v>37</v>
      </c>
      <c r="DF39">
        <v>5995</v>
      </c>
      <c r="DG39" t="s">
        <v>37</v>
      </c>
      <c r="DH39">
        <v>42076</v>
      </c>
      <c r="DI39" t="s">
        <v>37</v>
      </c>
      <c r="DJ39">
        <v>14136</v>
      </c>
      <c r="DK39" t="s">
        <v>37</v>
      </c>
      <c r="DL39">
        <v>10209</v>
      </c>
      <c r="DM39" t="s">
        <v>37</v>
      </c>
      <c r="DN39">
        <v>60618</v>
      </c>
      <c r="DO39" t="s">
        <v>37</v>
      </c>
      <c r="DP39">
        <v>7162</v>
      </c>
      <c r="DQ39" t="s">
        <v>37</v>
      </c>
      <c r="DR39">
        <v>1906</v>
      </c>
      <c r="DS39" t="s">
        <v>37</v>
      </c>
      <c r="DT39">
        <v>16601</v>
      </c>
      <c r="DU39" t="s">
        <v>37</v>
      </c>
      <c r="DV39">
        <v>114697</v>
      </c>
      <c r="DW39" t="s">
        <v>37</v>
      </c>
      <c r="DX39">
        <v>23636</v>
      </c>
      <c r="DY39" t="s">
        <v>37</v>
      </c>
      <c r="DZ39">
        <v>12324</v>
      </c>
      <c r="EA39" t="s">
        <v>37</v>
      </c>
      <c r="EB39">
        <v>430</v>
      </c>
      <c r="EC39" t="s">
        <v>37</v>
      </c>
      <c r="ED39">
        <v>125116</v>
      </c>
      <c r="EE39" t="s">
        <v>37</v>
      </c>
      <c r="EF39">
        <v>1947</v>
      </c>
      <c r="EG39" t="s">
        <v>37</v>
      </c>
      <c r="EI39" t="s">
        <v>37</v>
      </c>
      <c r="EJ39">
        <v>1836</v>
      </c>
      <c r="EK39" t="s">
        <v>37</v>
      </c>
      <c r="EL39">
        <v>3827</v>
      </c>
      <c r="EM39" t="s">
        <v>37</v>
      </c>
      <c r="EO39" t="s">
        <v>37</v>
      </c>
      <c r="EQ39" t="s">
        <v>37</v>
      </c>
      <c r="ER39">
        <v>12935</v>
      </c>
      <c r="ES39" t="s">
        <v>37</v>
      </c>
      <c r="ET39">
        <v>19113</v>
      </c>
      <c r="EU39" t="s">
        <v>37</v>
      </c>
      <c r="EV39">
        <v>21305</v>
      </c>
      <c r="EW39" t="s">
        <v>37</v>
      </c>
      <c r="EY39" t="s">
        <v>37</v>
      </c>
      <c r="EZ39">
        <v>5644</v>
      </c>
      <c r="FA39" t="s">
        <v>37</v>
      </c>
      <c r="FB39">
        <v>7883</v>
      </c>
      <c r="FC39" t="s">
        <v>37</v>
      </c>
      <c r="FD39">
        <v>96460</v>
      </c>
      <c r="FE39" t="s">
        <v>37</v>
      </c>
      <c r="FG39" t="s">
        <v>37</v>
      </c>
      <c r="FH39">
        <v>31407</v>
      </c>
      <c r="FI39" t="s">
        <v>37</v>
      </c>
      <c r="FJ39">
        <v>8771</v>
      </c>
      <c r="FK39" t="s">
        <v>37</v>
      </c>
      <c r="FL39">
        <v>33581</v>
      </c>
      <c r="FM39" t="s">
        <v>37</v>
      </c>
      <c r="FN39">
        <v>10752</v>
      </c>
      <c r="FO39" t="s">
        <v>37</v>
      </c>
      <c r="FP39">
        <v>6900</v>
      </c>
      <c r="FQ39" t="s">
        <v>37</v>
      </c>
      <c r="FR39">
        <v>6930</v>
      </c>
      <c r="FS39" t="s">
        <v>37</v>
      </c>
      <c r="FT39">
        <v>7065</v>
      </c>
      <c r="FU39" t="s">
        <v>37</v>
      </c>
      <c r="FV39">
        <v>6322</v>
      </c>
      <c r="FW39" t="s">
        <v>37</v>
      </c>
      <c r="FX39">
        <v>14618</v>
      </c>
      <c r="FY39" t="s">
        <v>37</v>
      </c>
      <c r="FZ39">
        <v>13896</v>
      </c>
      <c r="GA39" t="s">
        <v>37</v>
      </c>
      <c r="GC39" t="s">
        <v>37</v>
      </c>
      <c r="GE39" t="s">
        <v>37</v>
      </c>
      <c r="GG39" t="s">
        <v>37</v>
      </c>
      <c r="GI39" t="s">
        <v>37</v>
      </c>
      <c r="GJ39">
        <v>50801</v>
      </c>
      <c r="GK39" t="s">
        <v>37</v>
      </c>
      <c r="GL39">
        <v>167125</v>
      </c>
      <c r="GM39" t="s">
        <v>37</v>
      </c>
      <c r="GO39" t="s">
        <v>37</v>
      </c>
      <c r="GP39">
        <v>23360</v>
      </c>
      <c r="GQ39" t="s">
        <v>37</v>
      </c>
      <c r="GR39">
        <v>57699</v>
      </c>
      <c r="GS39" t="s">
        <v>37</v>
      </c>
      <c r="GT39">
        <v>13496</v>
      </c>
      <c r="GU39" t="s">
        <v>37</v>
      </c>
      <c r="GV39">
        <v>26246</v>
      </c>
      <c r="GW39" t="s">
        <v>37</v>
      </c>
      <c r="GX39">
        <v>221941</v>
      </c>
      <c r="GY39" t="s">
        <v>37</v>
      </c>
      <c r="GZ39">
        <v>16943</v>
      </c>
      <c r="HA39" t="s">
        <v>37</v>
      </c>
      <c r="HC39" t="s">
        <v>37</v>
      </c>
      <c r="HE39" t="s">
        <v>37</v>
      </c>
      <c r="HF39">
        <v>2736896</v>
      </c>
      <c r="HG39" t="s">
        <v>37</v>
      </c>
      <c r="HI39" t="s">
        <v>37</v>
      </c>
      <c r="HJ39">
        <v>2736896</v>
      </c>
      <c r="HK39" t="s">
        <v>37</v>
      </c>
    </row>
    <row r="40" spans="1:219">
      <c r="A40">
        <v>1700</v>
      </c>
      <c r="B40" t="s">
        <v>73</v>
      </c>
      <c r="C40" t="s">
        <v>37</v>
      </c>
      <c r="E40" t="s">
        <v>37</v>
      </c>
      <c r="G40" t="s">
        <v>37</v>
      </c>
      <c r="I40" t="s">
        <v>37</v>
      </c>
      <c r="K40" s="48" t="s">
        <v>37</v>
      </c>
      <c r="L40" s="50"/>
      <c r="M40" s="48" t="s">
        <v>37</v>
      </c>
      <c r="N40" s="50"/>
      <c r="O40" s="48" t="s">
        <v>37</v>
      </c>
      <c r="P40" s="50"/>
      <c r="Q40" s="48" t="s">
        <v>37</v>
      </c>
      <c r="R40" s="50"/>
      <c r="S40" s="48" t="s">
        <v>37</v>
      </c>
      <c r="U40" t="s">
        <v>37</v>
      </c>
      <c r="W40" t="s">
        <v>37</v>
      </c>
      <c r="Y40" t="s">
        <v>37</v>
      </c>
      <c r="AA40" t="s">
        <v>37</v>
      </c>
      <c r="AC40" t="s">
        <v>37</v>
      </c>
      <c r="AE40" t="s">
        <v>37</v>
      </c>
      <c r="AG40" t="s">
        <v>37</v>
      </c>
      <c r="AI40" t="s">
        <v>37</v>
      </c>
      <c r="AK40" t="s">
        <v>37</v>
      </c>
      <c r="AM40" t="s">
        <v>37</v>
      </c>
      <c r="AO40" t="s">
        <v>37</v>
      </c>
      <c r="AQ40" t="s">
        <v>37</v>
      </c>
      <c r="AS40" t="s">
        <v>37</v>
      </c>
      <c r="AU40" t="s">
        <v>37</v>
      </c>
      <c r="AW40" t="s">
        <v>37</v>
      </c>
      <c r="AY40" t="s">
        <v>37</v>
      </c>
      <c r="BA40" t="s">
        <v>37</v>
      </c>
      <c r="BC40" t="s">
        <v>37</v>
      </c>
      <c r="BE40" t="s">
        <v>37</v>
      </c>
      <c r="BG40" t="s">
        <v>37</v>
      </c>
      <c r="BI40" t="s">
        <v>37</v>
      </c>
      <c r="BK40" t="s">
        <v>37</v>
      </c>
      <c r="BM40" t="s">
        <v>37</v>
      </c>
      <c r="BO40" t="s">
        <v>37</v>
      </c>
      <c r="BQ40" t="s">
        <v>37</v>
      </c>
      <c r="BS40" t="s">
        <v>37</v>
      </c>
      <c r="BU40" t="s">
        <v>37</v>
      </c>
      <c r="BW40" t="s">
        <v>37</v>
      </c>
      <c r="BY40" t="s">
        <v>37</v>
      </c>
      <c r="CA40" t="s">
        <v>37</v>
      </c>
      <c r="CC40" t="s">
        <v>37</v>
      </c>
      <c r="CE40" t="s">
        <v>37</v>
      </c>
      <c r="CG40" t="s">
        <v>37</v>
      </c>
      <c r="CI40" t="s">
        <v>37</v>
      </c>
      <c r="CK40" t="s">
        <v>37</v>
      </c>
      <c r="CM40" t="s">
        <v>37</v>
      </c>
      <c r="CO40" t="s">
        <v>37</v>
      </c>
      <c r="CQ40" t="s">
        <v>37</v>
      </c>
      <c r="CS40" t="s">
        <v>37</v>
      </c>
      <c r="CU40" t="s">
        <v>37</v>
      </c>
      <c r="CW40" t="s">
        <v>37</v>
      </c>
      <c r="CY40" t="s">
        <v>37</v>
      </c>
      <c r="DA40" t="s">
        <v>37</v>
      </c>
      <c r="DC40" t="s">
        <v>37</v>
      </c>
      <c r="DE40" t="s">
        <v>37</v>
      </c>
      <c r="DG40" t="s">
        <v>37</v>
      </c>
      <c r="DI40" t="s">
        <v>37</v>
      </c>
      <c r="DK40" t="s">
        <v>37</v>
      </c>
      <c r="DM40" t="s">
        <v>37</v>
      </c>
      <c r="DO40" t="s">
        <v>37</v>
      </c>
      <c r="DQ40" t="s">
        <v>37</v>
      </c>
      <c r="DS40" t="s">
        <v>37</v>
      </c>
      <c r="DU40" t="s">
        <v>37</v>
      </c>
      <c r="DW40" t="s">
        <v>37</v>
      </c>
      <c r="DY40" t="s">
        <v>37</v>
      </c>
      <c r="EA40" t="s">
        <v>37</v>
      </c>
      <c r="EC40" t="s">
        <v>37</v>
      </c>
      <c r="EE40" t="s">
        <v>37</v>
      </c>
      <c r="EG40" t="s">
        <v>37</v>
      </c>
      <c r="EI40" t="s">
        <v>37</v>
      </c>
      <c r="EK40" t="s">
        <v>37</v>
      </c>
      <c r="EM40" t="s">
        <v>37</v>
      </c>
      <c r="EO40" t="s">
        <v>37</v>
      </c>
      <c r="EQ40" t="s">
        <v>37</v>
      </c>
      <c r="ES40" t="s">
        <v>37</v>
      </c>
      <c r="EU40" t="s">
        <v>37</v>
      </c>
      <c r="EW40" t="s">
        <v>37</v>
      </c>
      <c r="EY40" t="s">
        <v>37</v>
      </c>
      <c r="FA40" t="s">
        <v>37</v>
      </c>
      <c r="FC40" t="s">
        <v>37</v>
      </c>
      <c r="FE40" t="s">
        <v>37</v>
      </c>
      <c r="FG40" t="s">
        <v>37</v>
      </c>
      <c r="FI40" t="s">
        <v>37</v>
      </c>
      <c r="FK40" t="s">
        <v>37</v>
      </c>
      <c r="FM40" t="s">
        <v>37</v>
      </c>
      <c r="FO40" t="s">
        <v>37</v>
      </c>
      <c r="FQ40" t="s">
        <v>37</v>
      </c>
      <c r="FS40" t="s">
        <v>37</v>
      </c>
      <c r="FU40" t="s">
        <v>37</v>
      </c>
      <c r="FW40" t="s">
        <v>37</v>
      </c>
      <c r="FY40" t="s">
        <v>37</v>
      </c>
      <c r="GA40" t="s">
        <v>37</v>
      </c>
      <c r="GC40" t="s">
        <v>37</v>
      </c>
      <c r="GE40" t="s">
        <v>37</v>
      </c>
      <c r="GG40" t="s">
        <v>37</v>
      </c>
      <c r="GI40" t="s">
        <v>37</v>
      </c>
      <c r="GK40" t="s">
        <v>37</v>
      </c>
      <c r="GM40" t="s">
        <v>37</v>
      </c>
      <c r="GO40" t="s">
        <v>37</v>
      </c>
      <c r="GQ40" t="s">
        <v>37</v>
      </c>
      <c r="GS40" t="s">
        <v>37</v>
      </c>
      <c r="GU40" t="s">
        <v>37</v>
      </c>
      <c r="GW40" t="s">
        <v>37</v>
      </c>
      <c r="GY40" t="s">
        <v>37</v>
      </c>
      <c r="HA40" t="s">
        <v>37</v>
      </c>
      <c r="HC40" t="s">
        <v>37</v>
      </c>
      <c r="HE40" t="s">
        <v>37</v>
      </c>
      <c r="HG40" t="s">
        <v>37</v>
      </c>
      <c r="HI40" t="s">
        <v>37</v>
      </c>
      <c r="HK40" t="s">
        <v>37</v>
      </c>
    </row>
    <row r="41" spans="1:219">
      <c r="A41">
        <v>1710</v>
      </c>
      <c r="B41" t="s">
        <v>74</v>
      </c>
      <c r="C41" t="s">
        <v>37</v>
      </c>
      <c r="D41">
        <v>380923</v>
      </c>
      <c r="E41" t="s">
        <v>37</v>
      </c>
      <c r="F41">
        <v>799643</v>
      </c>
      <c r="G41" t="s">
        <v>37</v>
      </c>
      <c r="H41">
        <v>56234</v>
      </c>
      <c r="I41" t="s">
        <v>37</v>
      </c>
      <c r="K41" s="48" t="s">
        <v>37</v>
      </c>
      <c r="L41" s="51">
        <v>700203</v>
      </c>
      <c r="M41" s="48" t="s">
        <v>37</v>
      </c>
      <c r="N41" s="51">
        <v>156233</v>
      </c>
      <c r="O41" s="48" t="s">
        <v>37</v>
      </c>
      <c r="P41" s="51">
        <v>107447</v>
      </c>
      <c r="Q41" s="48" t="s">
        <v>37</v>
      </c>
      <c r="R41" s="51">
        <v>214246</v>
      </c>
      <c r="S41" s="48" t="s">
        <v>37</v>
      </c>
      <c r="T41">
        <v>629657</v>
      </c>
      <c r="U41" t="s">
        <v>37</v>
      </c>
      <c r="W41" t="s">
        <v>37</v>
      </c>
      <c r="Y41" t="s">
        <v>37</v>
      </c>
      <c r="Z41">
        <v>98026</v>
      </c>
      <c r="AA41" t="s">
        <v>37</v>
      </c>
      <c r="AB41">
        <v>29797</v>
      </c>
      <c r="AC41" t="s">
        <v>37</v>
      </c>
      <c r="AD41">
        <v>57140</v>
      </c>
      <c r="AE41" t="s">
        <v>37</v>
      </c>
      <c r="AF41">
        <v>41315</v>
      </c>
      <c r="AG41" t="s">
        <v>37</v>
      </c>
      <c r="AH41">
        <v>90107</v>
      </c>
      <c r="AI41" t="s">
        <v>37</v>
      </c>
      <c r="AK41" t="s">
        <v>37</v>
      </c>
      <c r="AM41" t="s">
        <v>37</v>
      </c>
      <c r="AO41" t="s">
        <v>37</v>
      </c>
      <c r="AP41">
        <v>588838</v>
      </c>
      <c r="AQ41" t="s">
        <v>37</v>
      </c>
      <c r="AS41" t="s">
        <v>37</v>
      </c>
      <c r="AT41">
        <v>1522350</v>
      </c>
      <c r="AU41" t="s">
        <v>37</v>
      </c>
      <c r="AV41">
        <v>446424</v>
      </c>
      <c r="AW41" t="s">
        <v>37</v>
      </c>
      <c r="AX41">
        <v>160539</v>
      </c>
      <c r="AY41" t="s">
        <v>37</v>
      </c>
      <c r="BA41" t="s">
        <v>37</v>
      </c>
      <c r="BB41">
        <v>25868</v>
      </c>
      <c r="BC41" t="s">
        <v>37</v>
      </c>
      <c r="BD41">
        <v>147973</v>
      </c>
      <c r="BE41" t="s">
        <v>37</v>
      </c>
      <c r="BF41">
        <v>93575</v>
      </c>
      <c r="BG41" t="s">
        <v>37</v>
      </c>
      <c r="BI41" t="s">
        <v>37</v>
      </c>
      <c r="BJ41">
        <v>167504</v>
      </c>
      <c r="BK41" t="s">
        <v>37</v>
      </c>
      <c r="BM41" t="s">
        <v>37</v>
      </c>
      <c r="BO41" t="s">
        <v>37</v>
      </c>
      <c r="BP41">
        <v>68378</v>
      </c>
      <c r="BQ41" t="s">
        <v>37</v>
      </c>
      <c r="BR41">
        <v>111443</v>
      </c>
      <c r="BS41" t="s">
        <v>37</v>
      </c>
      <c r="BT41">
        <v>61497</v>
      </c>
      <c r="BU41" t="s">
        <v>37</v>
      </c>
      <c r="BW41" t="s">
        <v>37</v>
      </c>
      <c r="BX41">
        <v>306881</v>
      </c>
      <c r="BY41" t="s">
        <v>37</v>
      </c>
      <c r="BZ41">
        <v>33979</v>
      </c>
      <c r="CA41" t="s">
        <v>37</v>
      </c>
      <c r="CC41" t="s">
        <v>37</v>
      </c>
      <c r="CE41" t="s">
        <v>37</v>
      </c>
      <c r="CF41">
        <v>90771</v>
      </c>
      <c r="CG41" t="s">
        <v>37</v>
      </c>
      <c r="CH41">
        <v>85299</v>
      </c>
      <c r="CI41" t="s">
        <v>37</v>
      </c>
      <c r="CJ41">
        <v>9910</v>
      </c>
      <c r="CK41" t="s">
        <v>37</v>
      </c>
      <c r="CL41">
        <v>54968</v>
      </c>
      <c r="CM41" t="s">
        <v>37</v>
      </c>
      <c r="CN41">
        <v>39610</v>
      </c>
      <c r="CO41" t="s">
        <v>37</v>
      </c>
      <c r="CP41">
        <v>98288</v>
      </c>
      <c r="CQ41" t="s">
        <v>37</v>
      </c>
      <c r="CR41">
        <v>338404</v>
      </c>
      <c r="CS41" t="s">
        <v>37</v>
      </c>
      <c r="CT41">
        <v>1472719</v>
      </c>
      <c r="CU41" t="s">
        <v>37</v>
      </c>
      <c r="CV41">
        <v>351482</v>
      </c>
      <c r="CW41" t="s">
        <v>37</v>
      </c>
      <c r="CX41">
        <v>68973</v>
      </c>
      <c r="CY41" t="s">
        <v>37</v>
      </c>
      <c r="DA41" t="s">
        <v>37</v>
      </c>
      <c r="DC41" t="s">
        <v>37</v>
      </c>
      <c r="DE41" t="s">
        <v>37</v>
      </c>
      <c r="DF41">
        <v>34358</v>
      </c>
      <c r="DG41" t="s">
        <v>37</v>
      </c>
      <c r="DH41">
        <v>710214</v>
      </c>
      <c r="DI41" t="s">
        <v>37</v>
      </c>
      <c r="DJ41">
        <v>55913</v>
      </c>
      <c r="DK41" t="s">
        <v>37</v>
      </c>
      <c r="DL41">
        <v>205922</v>
      </c>
      <c r="DM41" t="s">
        <v>37</v>
      </c>
      <c r="DN41">
        <v>307732</v>
      </c>
      <c r="DO41" t="s">
        <v>37</v>
      </c>
      <c r="DP41">
        <v>13011</v>
      </c>
      <c r="DQ41" t="s">
        <v>37</v>
      </c>
      <c r="DR41">
        <v>209188</v>
      </c>
      <c r="DS41" t="s">
        <v>37</v>
      </c>
      <c r="DT41">
        <v>72706</v>
      </c>
      <c r="DU41" t="s">
        <v>37</v>
      </c>
      <c r="DV41">
        <v>601218</v>
      </c>
      <c r="DW41" t="s">
        <v>37</v>
      </c>
      <c r="DX41">
        <v>165423</v>
      </c>
      <c r="DY41" t="s">
        <v>37</v>
      </c>
      <c r="EA41" t="s">
        <v>37</v>
      </c>
      <c r="EC41" t="s">
        <v>37</v>
      </c>
      <c r="ED41">
        <v>394217</v>
      </c>
      <c r="EE41" t="s">
        <v>37</v>
      </c>
      <c r="EF41">
        <v>41924</v>
      </c>
      <c r="EG41" t="s">
        <v>37</v>
      </c>
      <c r="EI41" t="s">
        <v>37</v>
      </c>
      <c r="EJ41">
        <v>56996</v>
      </c>
      <c r="EK41" t="s">
        <v>37</v>
      </c>
      <c r="EL41">
        <v>63691</v>
      </c>
      <c r="EM41" t="s">
        <v>37</v>
      </c>
      <c r="EN41">
        <v>9444</v>
      </c>
      <c r="EO41" t="s">
        <v>37</v>
      </c>
      <c r="EQ41" t="s">
        <v>37</v>
      </c>
      <c r="ER41">
        <v>163408</v>
      </c>
      <c r="ES41" t="s">
        <v>37</v>
      </c>
      <c r="ET41">
        <v>259715</v>
      </c>
      <c r="EU41" t="s">
        <v>37</v>
      </c>
      <c r="EV41">
        <v>336641</v>
      </c>
      <c r="EW41" t="s">
        <v>37</v>
      </c>
      <c r="EY41" t="s">
        <v>37</v>
      </c>
      <c r="EZ41">
        <v>85290</v>
      </c>
      <c r="FA41" t="s">
        <v>37</v>
      </c>
      <c r="FB41">
        <v>24571</v>
      </c>
      <c r="FC41" t="s">
        <v>37</v>
      </c>
      <c r="FD41">
        <v>189793</v>
      </c>
      <c r="FE41" t="s">
        <v>37</v>
      </c>
      <c r="FG41" t="s">
        <v>37</v>
      </c>
      <c r="FH41">
        <v>1138826</v>
      </c>
      <c r="FI41" t="s">
        <v>37</v>
      </c>
      <c r="FJ41">
        <v>319461</v>
      </c>
      <c r="FK41" t="s">
        <v>37</v>
      </c>
      <c r="FL41">
        <v>15761</v>
      </c>
      <c r="FM41" t="s">
        <v>37</v>
      </c>
      <c r="FN41">
        <v>153568</v>
      </c>
      <c r="FO41" t="s">
        <v>37</v>
      </c>
      <c r="FP41">
        <v>162837</v>
      </c>
      <c r="FQ41" t="s">
        <v>37</v>
      </c>
      <c r="FR41">
        <v>352363</v>
      </c>
      <c r="FS41" t="s">
        <v>37</v>
      </c>
      <c r="FT41">
        <v>103203</v>
      </c>
      <c r="FU41" t="s">
        <v>37</v>
      </c>
      <c r="FV41">
        <v>161129</v>
      </c>
      <c r="FW41" t="s">
        <v>37</v>
      </c>
      <c r="FX41">
        <v>539544</v>
      </c>
      <c r="FY41" t="s">
        <v>37</v>
      </c>
      <c r="FZ41">
        <v>325492</v>
      </c>
      <c r="GA41" t="s">
        <v>37</v>
      </c>
      <c r="GB41">
        <v>185560</v>
      </c>
      <c r="GC41" t="s">
        <v>37</v>
      </c>
      <c r="GE41" t="s">
        <v>37</v>
      </c>
      <c r="GG41" t="s">
        <v>37</v>
      </c>
      <c r="GI41" t="s">
        <v>37</v>
      </c>
      <c r="GJ41">
        <v>165548</v>
      </c>
      <c r="GK41" t="s">
        <v>37</v>
      </c>
      <c r="GL41">
        <v>122774</v>
      </c>
      <c r="GM41" t="s">
        <v>37</v>
      </c>
      <c r="GO41" t="s">
        <v>37</v>
      </c>
      <c r="GP41">
        <v>244711</v>
      </c>
      <c r="GQ41" t="s">
        <v>37</v>
      </c>
      <c r="GR41">
        <v>158075</v>
      </c>
      <c r="GS41" t="s">
        <v>37</v>
      </c>
      <c r="GT41">
        <v>21311</v>
      </c>
      <c r="GU41" t="s">
        <v>37</v>
      </c>
      <c r="GV41">
        <v>156102</v>
      </c>
      <c r="GW41" t="s">
        <v>37</v>
      </c>
      <c r="GX41">
        <v>124577</v>
      </c>
      <c r="GY41" t="s">
        <v>37</v>
      </c>
      <c r="GZ41">
        <v>251927</v>
      </c>
      <c r="HA41" t="s">
        <v>37</v>
      </c>
      <c r="HC41" t="s">
        <v>37</v>
      </c>
      <c r="HE41" t="s">
        <v>37</v>
      </c>
      <c r="HF41">
        <v>18410788</v>
      </c>
      <c r="HG41" t="s">
        <v>37</v>
      </c>
      <c r="HI41" t="s">
        <v>37</v>
      </c>
      <c r="HJ41">
        <v>18410788</v>
      </c>
      <c r="HK41" t="s">
        <v>37</v>
      </c>
    </row>
    <row r="42" spans="1:219">
      <c r="A42">
        <v>1720</v>
      </c>
      <c r="B42" t="s">
        <v>75</v>
      </c>
      <c r="C42" t="s">
        <v>37</v>
      </c>
      <c r="D42">
        <v>54809</v>
      </c>
      <c r="E42" t="s">
        <v>37</v>
      </c>
      <c r="F42">
        <v>21105</v>
      </c>
      <c r="G42" t="s">
        <v>37</v>
      </c>
      <c r="I42" t="s">
        <v>37</v>
      </c>
      <c r="K42" s="48" t="s">
        <v>37</v>
      </c>
      <c r="L42" s="51">
        <v>226616</v>
      </c>
      <c r="M42" s="48" t="s">
        <v>37</v>
      </c>
      <c r="N42" s="51">
        <v>9050</v>
      </c>
      <c r="O42" s="48" t="s">
        <v>37</v>
      </c>
      <c r="P42" s="51">
        <v>38584</v>
      </c>
      <c r="Q42" s="48" t="s">
        <v>37</v>
      </c>
      <c r="R42" s="51">
        <v>3733</v>
      </c>
      <c r="S42" s="48" t="s">
        <v>37</v>
      </c>
      <c r="T42">
        <v>10530</v>
      </c>
      <c r="U42" t="s">
        <v>37</v>
      </c>
      <c r="W42" t="s">
        <v>37</v>
      </c>
      <c r="Y42" t="s">
        <v>37</v>
      </c>
      <c r="AA42" t="s">
        <v>37</v>
      </c>
      <c r="AC42" t="s">
        <v>37</v>
      </c>
      <c r="AE42" t="s">
        <v>37</v>
      </c>
      <c r="AF42">
        <v>8442</v>
      </c>
      <c r="AG42" t="s">
        <v>37</v>
      </c>
      <c r="AH42">
        <v>1892</v>
      </c>
      <c r="AI42" t="s">
        <v>37</v>
      </c>
      <c r="AK42" t="s">
        <v>37</v>
      </c>
      <c r="AM42" t="s">
        <v>37</v>
      </c>
      <c r="AO42" t="s">
        <v>37</v>
      </c>
      <c r="AP42">
        <v>110612</v>
      </c>
      <c r="AQ42" t="s">
        <v>37</v>
      </c>
      <c r="AS42" t="s">
        <v>37</v>
      </c>
      <c r="AT42">
        <v>228887</v>
      </c>
      <c r="AU42" t="s">
        <v>37</v>
      </c>
      <c r="AV42">
        <v>37075</v>
      </c>
      <c r="AW42" t="s">
        <v>37</v>
      </c>
      <c r="AX42">
        <v>22427</v>
      </c>
      <c r="AY42" t="s">
        <v>37</v>
      </c>
      <c r="BA42" t="s">
        <v>37</v>
      </c>
      <c r="BB42">
        <v>2501</v>
      </c>
      <c r="BC42" t="s">
        <v>37</v>
      </c>
      <c r="BD42">
        <v>1310</v>
      </c>
      <c r="BE42" t="s">
        <v>37</v>
      </c>
      <c r="BF42">
        <v>113570</v>
      </c>
      <c r="BG42" t="s">
        <v>37</v>
      </c>
      <c r="BI42" t="s">
        <v>37</v>
      </c>
      <c r="BJ42">
        <v>4638</v>
      </c>
      <c r="BK42" t="s">
        <v>37</v>
      </c>
      <c r="BM42" t="s">
        <v>37</v>
      </c>
      <c r="BO42" t="s">
        <v>37</v>
      </c>
      <c r="BP42">
        <v>10</v>
      </c>
      <c r="BQ42" t="s">
        <v>37</v>
      </c>
      <c r="BS42" t="s">
        <v>37</v>
      </c>
      <c r="BU42" t="s">
        <v>37</v>
      </c>
      <c r="BW42" t="s">
        <v>37</v>
      </c>
      <c r="BY42" t="s">
        <v>37</v>
      </c>
      <c r="CA42" t="s">
        <v>37</v>
      </c>
      <c r="CB42">
        <v>549</v>
      </c>
      <c r="CC42" t="s">
        <v>37</v>
      </c>
      <c r="CE42" t="s">
        <v>37</v>
      </c>
      <c r="CF42">
        <v>1442</v>
      </c>
      <c r="CG42" t="s">
        <v>37</v>
      </c>
      <c r="CI42" t="s">
        <v>37</v>
      </c>
      <c r="CK42" t="s">
        <v>37</v>
      </c>
      <c r="CM42" t="s">
        <v>37</v>
      </c>
      <c r="CO42" t="s">
        <v>37</v>
      </c>
      <c r="CP42">
        <v>279062</v>
      </c>
      <c r="CQ42" t="s">
        <v>37</v>
      </c>
      <c r="CR42">
        <v>15273</v>
      </c>
      <c r="CS42" t="s">
        <v>37</v>
      </c>
      <c r="CT42">
        <v>22623</v>
      </c>
      <c r="CU42" t="s">
        <v>37</v>
      </c>
      <c r="CV42">
        <v>13972</v>
      </c>
      <c r="CW42" t="s">
        <v>37</v>
      </c>
      <c r="CX42">
        <v>10386</v>
      </c>
      <c r="CY42" t="s">
        <v>37</v>
      </c>
      <c r="DA42" t="s">
        <v>37</v>
      </c>
      <c r="DC42" t="s">
        <v>37</v>
      </c>
      <c r="DD42">
        <v>1944</v>
      </c>
      <c r="DE42" t="s">
        <v>37</v>
      </c>
      <c r="DG42" t="s">
        <v>37</v>
      </c>
      <c r="DH42">
        <v>629173</v>
      </c>
      <c r="DI42" t="s">
        <v>37</v>
      </c>
      <c r="DJ42">
        <v>17593</v>
      </c>
      <c r="DK42" t="s">
        <v>37</v>
      </c>
      <c r="DL42">
        <v>49506</v>
      </c>
      <c r="DM42" t="s">
        <v>37</v>
      </c>
      <c r="DN42">
        <v>1309254</v>
      </c>
      <c r="DO42" t="s">
        <v>37</v>
      </c>
      <c r="DP42">
        <v>396066</v>
      </c>
      <c r="DQ42" t="s">
        <v>37</v>
      </c>
      <c r="DR42">
        <v>123568</v>
      </c>
      <c r="DS42" t="s">
        <v>37</v>
      </c>
      <c r="DU42" t="s">
        <v>37</v>
      </c>
      <c r="DW42" t="s">
        <v>37</v>
      </c>
      <c r="DX42">
        <v>2863</v>
      </c>
      <c r="DY42" t="s">
        <v>37</v>
      </c>
      <c r="EA42" t="s">
        <v>37</v>
      </c>
      <c r="EC42" t="s">
        <v>37</v>
      </c>
      <c r="ED42">
        <v>42789</v>
      </c>
      <c r="EE42" t="s">
        <v>37</v>
      </c>
      <c r="EF42">
        <v>1712</v>
      </c>
      <c r="EG42" t="s">
        <v>37</v>
      </c>
      <c r="EI42" t="s">
        <v>37</v>
      </c>
      <c r="EK42" t="s">
        <v>37</v>
      </c>
      <c r="EM42" t="s">
        <v>37</v>
      </c>
      <c r="EN42">
        <v>43405</v>
      </c>
      <c r="EO42" t="s">
        <v>37</v>
      </c>
      <c r="EP42">
        <v>29304</v>
      </c>
      <c r="EQ42" t="s">
        <v>37</v>
      </c>
      <c r="ES42" t="s">
        <v>37</v>
      </c>
      <c r="ET42">
        <v>39059</v>
      </c>
      <c r="EU42" t="s">
        <v>37</v>
      </c>
      <c r="EV42">
        <v>1029363</v>
      </c>
      <c r="EW42" t="s">
        <v>37</v>
      </c>
      <c r="EY42" t="s">
        <v>37</v>
      </c>
      <c r="FA42" t="s">
        <v>37</v>
      </c>
      <c r="FB42">
        <v>137260</v>
      </c>
      <c r="FC42" t="s">
        <v>37</v>
      </c>
      <c r="FD42">
        <v>1119</v>
      </c>
      <c r="FE42" t="s">
        <v>37</v>
      </c>
      <c r="FG42" t="s">
        <v>37</v>
      </c>
      <c r="FH42">
        <v>198</v>
      </c>
      <c r="FI42" t="s">
        <v>37</v>
      </c>
      <c r="FJ42">
        <v>704820</v>
      </c>
      <c r="FK42" t="s">
        <v>37</v>
      </c>
      <c r="FL42">
        <v>290263</v>
      </c>
      <c r="FM42" t="s">
        <v>37</v>
      </c>
      <c r="FN42">
        <v>22759</v>
      </c>
      <c r="FO42" t="s">
        <v>37</v>
      </c>
      <c r="FP42">
        <v>18295</v>
      </c>
      <c r="FQ42" t="s">
        <v>37</v>
      </c>
      <c r="FR42">
        <v>6489</v>
      </c>
      <c r="FS42" t="s">
        <v>37</v>
      </c>
      <c r="FT42">
        <v>20526</v>
      </c>
      <c r="FU42" t="s">
        <v>37</v>
      </c>
      <c r="FV42">
        <v>6290</v>
      </c>
      <c r="FW42" t="s">
        <v>37</v>
      </c>
      <c r="FX42">
        <v>40815</v>
      </c>
      <c r="FY42" t="s">
        <v>37</v>
      </c>
      <c r="FZ42">
        <v>472477</v>
      </c>
      <c r="GA42" t="s">
        <v>37</v>
      </c>
      <c r="GB42">
        <v>22276</v>
      </c>
      <c r="GC42" t="s">
        <v>37</v>
      </c>
      <c r="GE42" t="s">
        <v>37</v>
      </c>
      <c r="GG42" t="s">
        <v>37</v>
      </c>
      <c r="GI42" t="s">
        <v>37</v>
      </c>
      <c r="GJ42">
        <v>1137</v>
      </c>
      <c r="GK42" t="s">
        <v>37</v>
      </c>
      <c r="GL42">
        <v>5431</v>
      </c>
      <c r="GM42" t="s">
        <v>37</v>
      </c>
      <c r="GO42" t="s">
        <v>37</v>
      </c>
      <c r="GP42">
        <v>292651</v>
      </c>
      <c r="GQ42" t="s">
        <v>37</v>
      </c>
      <c r="GS42" t="s">
        <v>37</v>
      </c>
      <c r="GT42">
        <v>43210</v>
      </c>
      <c r="GU42" t="s">
        <v>37</v>
      </c>
      <c r="GV42">
        <v>19474</v>
      </c>
      <c r="GW42" t="s">
        <v>37</v>
      </c>
      <c r="GX42">
        <v>807</v>
      </c>
      <c r="GY42" t="s">
        <v>37</v>
      </c>
      <c r="HA42" t="s">
        <v>37</v>
      </c>
      <c r="HC42" t="s">
        <v>37</v>
      </c>
      <c r="HE42" t="s">
        <v>37</v>
      </c>
      <c r="HF42">
        <v>7060994</v>
      </c>
      <c r="HG42" t="s">
        <v>37</v>
      </c>
      <c r="HI42" t="s">
        <v>37</v>
      </c>
      <c r="HJ42">
        <v>7060994</v>
      </c>
      <c r="HK42" t="s">
        <v>37</v>
      </c>
    </row>
    <row r="43" spans="1:219">
      <c r="A43">
        <v>1730</v>
      </c>
      <c r="B43" t="s">
        <v>76</v>
      </c>
      <c r="C43" t="s">
        <v>37</v>
      </c>
      <c r="D43">
        <v>256402</v>
      </c>
      <c r="E43" t="s">
        <v>37</v>
      </c>
      <c r="F43">
        <v>509151</v>
      </c>
      <c r="G43" t="s">
        <v>37</v>
      </c>
      <c r="H43">
        <v>4616</v>
      </c>
      <c r="I43" t="s">
        <v>37</v>
      </c>
      <c r="K43" s="48" t="s">
        <v>37</v>
      </c>
      <c r="L43" s="51">
        <v>1160731</v>
      </c>
      <c r="M43" s="48" t="s">
        <v>37</v>
      </c>
      <c r="N43" s="51">
        <v>139673</v>
      </c>
      <c r="O43" s="48" t="s">
        <v>37</v>
      </c>
      <c r="P43" s="51">
        <v>8181</v>
      </c>
      <c r="Q43" s="48" t="s">
        <v>37</v>
      </c>
      <c r="R43" s="51">
        <v>33612</v>
      </c>
      <c r="S43" s="48" t="s">
        <v>37</v>
      </c>
      <c r="T43">
        <v>194997</v>
      </c>
      <c r="U43" t="s">
        <v>37</v>
      </c>
      <c r="W43" t="s">
        <v>37</v>
      </c>
      <c r="Y43" t="s">
        <v>37</v>
      </c>
      <c r="AA43" t="s">
        <v>37</v>
      </c>
      <c r="AC43" t="s">
        <v>37</v>
      </c>
      <c r="AD43">
        <v>6498</v>
      </c>
      <c r="AE43" t="s">
        <v>37</v>
      </c>
      <c r="AF43">
        <v>38834</v>
      </c>
      <c r="AG43" t="s">
        <v>37</v>
      </c>
      <c r="AH43">
        <v>2782</v>
      </c>
      <c r="AI43" t="s">
        <v>37</v>
      </c>
      <c r="AJ43">
        <v>21107</v>
      </c>
      <c r="AK43" t="s">
        <v>37</v>
      </c>
      <c r="AL43">
        <v>188871</v>
      </c>
      <c r="AM43" t="s">
        <v>37</v>
      </c>
      <c r="AN43">
        <v>131286</v>
      </c>
      <c r="AO43" t="s">
        <v>37</v>
      </c>
      <c r="AP43">
        <v>640</v>
      </c>
      <c r="AQ43" t="s">
        <v>37</v>
      </c>
      <c r="AR43">
        <v>15877</v>
      </c>
      <c r="AS43" t="s">
        <v>37</v>
      </c>
      <c r="AT43">
        <v>53843</v>
      </c>
      <c r="AU43" t="s">
        <v>37</v>
      </c>
      <c r="AV43">
        <v>318128</v>
      </c>
      <c r="AW43" t="s">
        <v>37</v>
      </c>
      <c r="AX43">
        <v>10855</v>
      </c>
      <c r="AY43" t="s">
        <v>37</v>
      </c>
      <c r="BA43" t="s">
        <v>37</v>
      </c>
      <c r="BC43" t="s">
        <v>37</v>
      </c>
      <c r="BD43">
        <v>93743</v>
      </c>
      <c r="BE43" t="s">
        <v>37</v>
      </c>
      <c r="BF43">
        <v>133436</v>
      </c>
      <c r="BG43" t="s">
        <v>37</v>
      </c>
      <c r="BH43">
        <v>23564</v>
      </c>
      <c r="BI43" t="s">
        <v>37</v>
      </c>
      <c r="BK43" t="s">
        <v>37</v>
      </c>
      <c r="BM43" t="s">
        <v>37</v>
      </c>
      <c r="BO43" t="s">
        <v>37</v>
      </c>
      <c r="BP43">
        <v>2242</v>
      </c>
      <c r="BQ43" t="s">
        <v>37</v>
      </c>
      <c r="BS43" t="s">
        <v>37</v>
      </c>
      <c r="BT43">
        <v>1995</v>
      </c>
      <c r="BU43" t="s">
        <v>37</v>
      </c>
      <c r="BV43">
        <v>28207</v>
      </c>
      <c r="BW43" t="s">
        <v>37</v>
      </c>
      <c r="BX43">
        <v>14549</v>
      </c>
      <c r="BY43" t="s">
        <v>37</v>
      </c>
      <c r="BZ43">
        <v>1245</v>
      </c>
      <c r="CA43" t="s">
        <v>37</v>
      </c>
      <c r="CC43" t="s">
        <v>37</v>
      </c>
      <c r="CE43" t="s">
        <v>37</v>
      </c>
      <c r="CF43">
        <v>491</v>
      </c>
      <c r="CG43" t="s">
        <v>37</v>
      </c>
      <c r="CI43" t="s">
        <v>37</v>
      </c>
      <c r="CJ43">
        <v>17060</v>
      </c>
      <c r="CK43" t="s">
        <v>37</v>
      </c>
      <c r="CL43">
        <v>104735</v>
      </c>
      <c r="CM43" t="s">
        <v>37</v>
      </c>
      <c r="CN43">
        <v>6454</v>
      </c>
      <c r="CO43" t="s">
        <v>37</v>
      </c>
      <c r="CP43">
        <v>167611</v>
      </c>
      <c r="CQ43" t="s">
        <v>37</v>
      </c>
      <c r="CR43">
        <v>6576</v>
      </c>
      <c r="CS43" t="s">
        <v>37</v>
      </c>
      <c r="CT43">
        <v>277552</v>
      </c>
      <c r="CU43" t="s">
        <v>37</v>
      </c>
      <c r="CV43">
        <v>18113</v>
      </c>
      <c r="CW43" t="s">
        <v>37</v>
      </c>
      <c r="CX43">
        <v>2184</v>
      </c>
      <c r="CY43" t="s">
        <v>37</v>
      </c>
      <c r="DA43" t="s">
        <v>37</v>
      </c>
      <c r="DC43" t="s">
        <v>37</v>
      </c>
      <c r="DD43">
        <v>125004</v>
      </c>
      <c r="DE43" t="s">
        <v>37</v>
      </c>
      <c r="DF43">
        <v>391</v>
      </c>
      <c r="DG43" t="s">
        <v>37</v>
      </c>
      <c r="DH43">
        <v>26372</v>
      </c>
      <c r="DI43" t="s">
        <v>37</v>
      </c>
      <c r="DJ43">
        <v>7027</v>
      </c>
      <c r="DK43" t="s">
        <v>37</v>
      </c>
      <c r="DL43">
        <v>167866</v>
      </c>
      <c r="DM43" t="s">
        <v>37</v>
      </c>
      <c r="DN43">
        <v>618829</v>
      </c>
      <c r="DO43" t="s">
        <v>37</v>
      </c>
      <c r="DP43">
        <v>4176</v>
      </c>
      <c r="DQ43" t="s">
        <v>37</v>
      </c>
      <c r="DR43">
        <v>250609</v>
      </c>
      <c r="DS43" t="s">
        <v>37</v>
      </c>
      <c r="DT43">
        <v>2814</v>
      </c>
      <c r="DU43" t="s">
        <v>37</v>
      </c>
      <c r="DW43" t="s">
        <v>37</v>
      </c>
      <c r="DX43">
        <v>2427</v>
      </c>
      <c r="DY43" t="s">
        <v>37</v>
      </c>
      <c r="EA43" t="s">
        <v>37</v>
      </c>
      <c r="EB43">
        <v>13005</v>
      </c>
      <c r="EC43" t="s">
        <v>37</v>
      </c>
      <c r="EE43" t="s">
        <v>37</v>
      </c>
      <c r="EF43">
        <v>420</v>
      </c>
      <c r="EG43" t="s">
        <v>37</v>
      </c>
      <c r="EI43" t="s">
        <v>37</v>
      </c>
      <c r="EK43" t="s">
        <v>37</v>
      </c>
      <c r="EM43" t="s">
        <v>37</v>
      </c>
      <c r="EN43">
        <v>22669</v>
      </c>
      <c r="EO43" t="s">
        <v>37</v>
      </c>
      <c r="EP43">
        <v>11274</v>
      </c>
      <c r="EQ43" t="s">
        <v>37</v>
      </c>
      <c r="ER43">
        <v>110409</v>
      </c>
      <c r="ES43" t="s">
        <v>37</v>
      </c>
      <c r="ET43">
        <v>12398</v>
      </c>
      <c r="EU43" t="s">
        <v>37</v>
      </c>
      <c r="EV43">
        <v>20149</v>
      </c>
      <c r="EW43" t="s">
        <v>37</v>
      </c>
      <c r="EY43" t="s">
        <v>37</v>
      </c>
      <c r="FA43" t="s">
        <v>37</v>
      </c>
      <c r="FB43">
        <v>283605</v>
      </c>
      <c r="FC43" t="s">
        <v>37</v>
      </c>
      <c r="FD43">
        <v>323615</v>
      </c>
      <c r="FE43" t="s">
        <v>37</v>
      </c>
      <c r="FG43" t="s">
        <v>37</v>
      </c>
      <c r="FH43">
        <v>560613</v>
      </c>
      <c r="FI43" t="s">
        <v>37</v>
      </c>
      <c r="FJ43">
        <v>53439</v>
      </c>
      <c r="FK43" t="s">
        <v>37</v>
      </c>
      <c r="FL43">
        <v>4028</v>
      </c>
      <c r="FM43" t="s">
        <v>37</v>
      </c>
      <c r="FN43">
        <v>41772</v>
      </c>
      <c r="FO43" t="s">
        <v>37</v>
      </c>
      <c r="FP43">
        <v>1708</v>
      </c>
      <c r="FQ43" t="s">
        <v>37</v>
      </c>
      <c r="FR43">
        <v>205193</v>
      </c>
      <c r="FS43" t="s">
        <v>37</v>
      </c>
      <c r="FT43">
        <v>6469</v>
      </c>
      <c r="FU43" t="s">
        <v>37</v>
      </c>
      <c r="FW43" t="s">
        <v>37</v>
      </c>
      <c r="FX43">
        <v>60338</v>
      </c>
      <c r="FY43" t="s">
        <v>37</v>
      </c>
      <c r="FZ43">
        <v>79818</v>
      </c>
      <c r="GA43" t="s">
        <v>37</v>
      </c>
      <c r="GB43">
        <v>91099</v>
      </c>
      <c r="GC43" t="s">
        <v>37</v>
      </c>
      <c r="GE43" t="s">
        <v>37</v>
      </c>
      <c r="GF43">
        <v>231</v>
      </c>
      <c r="GG43" t="s">
        <v>37</v>
      </c>
      <c r="GI43" t="s">
        <v>37</v>
      </c>
      <c r="GJ43">
        <v>119345</v>
      </c>
      <c r="GK43" t="s">
        <v>37</v>
      </c>
      <c r="GL43">
        <v>248365</v>
      </c>
      <c r="GM43" t="s">
        <v>37</v>
      </c>
      <c r="GO43" t="s">
        <v>37</v>
      </c>
      <c r="GP43">
        <v>12678</v>
      </c>
      <c r="GQ43" t="s">
        <v>37</v>
      </c>
      <c r="GR43">
        <v>175411</v>
      </c>
      <c r="GS43" t="s">
        <v>37</v>
      </c>
      <c r="GT43">
        <v>111553</v>
      </c>
      <c r="GU43" t="s">
        <v>37</v>
      </c>
      <c r="GW43" t="s">
        <v>37</v>
      </c>
      <c r="GX43">
        <v>4893</v>
      </c>
      <c r="GY43" t="s">
        <v>37</v>
      </c>
      <c r="GZ43">
        <v>9982</v>
      </c>
      <c r="HA43" t="s">
        <v>37</v>
      </c>
      <c r="HC43" t="s">
        <v>37</v>
      </c>
      <c r="HE43" t="s">
        <v>37</v>
      </c>
      <c r="HF43">
        <v>7785835</v>
      </c>
      <c r="HG43" t="s">
        <v>37</v>
      </c>
      <c r="HI43" t="s">
        <v>37</v>
      </c>
      <c r="HJ43">
        <v>7785835</v>
      </c>
      <c r="HK43" t="s">
        <v>37</v>
      </c>
    </row>
    <row r="44" spans="1:219">
      <c r="A44">
        <v>1740</v>
      </c>
      <c r="B44" t="s">
        <v>77</v>
      </c>
      <c r="C44" t="s">
        <v>37</v>
      </c>
      <c r="E44" t="s">
        <v>37</v>
      </c>
      <c r="F44">
        <v>1241725</v>
      </c>
      <c r="G44" t="s">
        <v>37</v>
      </c>
      <c r="H44">
        <v>486</v>
      </c>
      <c r="I44" t="s">
        <v>37</v>
      </c>
      <c r="K44" s="48" t="s">
        <v>37</v>
      </c>
      <c r="L44" s="51">
        <v>346995</v>
      </c>
      <c r="M44" s="48" t="s">
        <v>37</v>
      </c>
      <c r="N44" s="51">
        <v>180356</v>
      </c>
      <c r="O44" s="48" t="s">
        <v>37</v>
      </c>
      <c r="P44" s="51">
        <v>51582</v>
      </c>
      <c r="Q44" s="48" t="s">
        <v>37</v>
      </c>
      <c r="R44" s="50"/>
      <c r="S44" s="48" t="s">
        <v>37</v>
      </c>
      <c r="T44">
        <v>1111058</v>
      </c>
      <c r="U44" t="s">
        <v>37</v>
      </c>
      <c r="W44" t="s">
        <v>37</v>
      </c>
      <c r="Y44" t="s">
        <v>37</v>
      </c>
      <c r="Z44">
        <v>66471</v>
      </c>
      <c r="AA44" t="s">
        <v>37</v>
      </c>
      <c r="AC44" t="s">
        <v>37</v>
      </c>
      <c r="AD44">
        <v>12765</v>
      </c>
      <c r="AE44" t="s">
        <v>37</v>
      </c>
      <c r="AG44" t="s">
        <v>37</v>
      </c>
      <c r="AH44">
        <v>33748</v>
      </c>
      <c r="AI44" t="s">
        <v>37</v>
      </c>
      <c r="AJ44">
        <v>58181</v>
      </c>
      <c r="AK44" t="s">
        <v>37</v>
      </c>
      <c r="AM44" t="s">
        <v>37</v>
      </c>
      <c r="AO44" t="s">
        <v>37</v>
      </c>
      <c r="AP44">
        <v>161000</v>
      </c>
      <c r="AQ44" t="s">
        <v>37</v>
      </c>
      <c r="AR44">
        <v>28299</v>
      </c>
      <c r="AS44" t="s">
        <v>37</v>
      </c>
      <c r="AT44">
        <v>1599955</v>
      </c>
      <c r="AU44" t="s">
        <v>37</v>
      </c>
      <c r="AV44">
        <v>883516</v>
      </c>
      <c r="AW44" t="s">
        <v>37</v>
      </c>
      <c r="AX44">
        <v>328914</v>
      </c>
      <c r="AY44" t="s">
        <v>37</v>
      </c>
      <c r="BA44" t="s">
        <v>37</v>
      </c>
      <c r="BB44">
        <v>6146</v>
      </c>
      <c r="BC44" t="s">
        <v>37</v>
      </c>
      <c r="BD44">
        <v>70159</v>
      </c>
      <c r="BE44" t="s">
        <v>37</v>
      </c>
      <c r="BG44" t="s">
        <v>37</v>
      </c>
      <c r="BI44" t="s">
        <v>37</v>
      </c>
      <c r="BK44" t="s">
        <v>37</v>
      </c>
      <c r="BM44" t="s">
        <v>37</v>
      </c>
      <c r="BO44" t="s">
        <v>37</v>
      </c>
      <c r="BQ44" t="s">
        <v>37</v>
      </c>
      <c r="BS44" t="s">
        <v>37</v>
      </c>
      <c r="BT44">
        <v>350</v>
      </c>
      <c r="BU44" t="s">
        <v>37</v>
      </c>
      <c r="BW44" t="s">
        <v>37</v>
      </c>
      <c r="BX44">
        <v>353160</v>
      </c>
      <c r="BY44" t="s">
        <v>37</v>
      </c>
      <c r="BZ44">
        <v>26748</v>
      </c>
      <c r="CA44" t="s">
        <v>37</v>
      </c>
      <c r="CC44" t="s">
        <v>37</v>
      </c>
      <c r="CE44" t="s">
        <v>37</v>
      </c>
      <c r="CF44">
        <v>64659</v>
      </c>
      <c r="CG44" t="s">
        <v>37</v>
      </c>
      <c r="CI44" t="s">
        <v>37</v>
      </c>
      <c r="CJ44">
        <v>68945</v>
      </c>
      <c r="CK44" t="s">
        <v>37</v>
      </c>
      <c r="CL44">
        <v>16039</v>
      </c>
      <c r="CM44" t="s">
        <v>37</v>
      </c>
      <c r="CN44">
        <v>11112</v>
      </c>
      <c r="CO44" t="s">
        <v>37</v>
      </c>
      <c r="CP44">
        <v>445</v>
      </c>
      <c r="CQ44" t="s">
        <v>37</v>
      </c>
      <c r="CR44">
        <v>25713</v>
      </c>
      <c r="CS44" t="s">
        <v>37</v>
      </c>
      <c r="CT44">
        <v>162716</v>
      </c>
      <c r="CU44" t="s">
        <v>37</v>
      </c>
      <c r="CV44">
        <v>141104</v>
      </c>
      <c r="CW44" t="s">
        <v>37</v>
      </c>
      <c r="CX44">
        <v>10376</v>
      </c>
      <c r="CY44" t="s">
        <v>37</v>
      </c>
      <c r="DA44" t="s">
        <v>37</v>
      </c>
      <c r="DC44" t="s">
        <v>37</v>
      </c>
      <c r="DD44">
        <v>158758</v>
      </c>
      <c r="DE44" t="s">
        <v>37</v>
      </c>
      <c r="DG44" t="s">
        <v>37</v>
      </c>
      <c r="DH44">
        <v>2141</v>
      </c>
      <c r="DI44" t="s">
        <v>37</v>
      </c>
      <c r="DJ44">
        <v>13075</v>
      </c>
      <c r="DK44" t="s">
        <v>37</v>
      </c>
      <c r="DM44" t="s">
        <v>37</v>
      </c>
      <c r="DN44">
        <v>55369</v>
      </c>
      <c r="DO44" t="s">
        <v>37</v>
      </c>
      <c r="DP44">
        <v>52846</v>
      </c>
      <c r="DQ44" t="s">
        <v>37</v>
      </c>
      <c r="DS44" t="s">
        <v>37</v>
      </c>
      <c r="DT44">
        <v>262</v>
      </c>
      <c r="DU44" t="s">
        <v>37</v>
      </c>
      <c r="DV44">
        <v>884307</v>
      </c>
      <c r="DW44" t="s">
        <v>37</v>
      </c>
      <c r="DX44">
        <v>1963</v>
      </c>
      <c r="DY44" t="s">
        <v>37</v>
      </c>
      <c r="EA44" t="s">
        <v>37</v>
      </c>
      <c r="EB44">
        <v>73043</v>
      </c>
      <c r="EC44" t="s">
        <v>37</v>
      </c>
      <c r="ED44">
        <v>1665183</v>
      </c>
      <c r="EE44" t="s">
        <v>37</v>
      </c>
      <c r="EF44">
        <v>2517</v>
      </c>
      <c r="EG44" t="s">
        <v>37</v>
      </c>
      <c r="EI44" t="s">
        <v>37</v>
      </c>
      <c r="EJ44">
        <v>41428</v>
      </c>
      <c r="EK44" t="s">
        <v>37</v>
      </c>
      <c r="EL44">
        <v>2549</v>
      </c>
      <c r="EM44" t="s">
        <v>37</v>
      </c>
      <c r="EN44">
        <v>8089</v>
      </c>
      <c r="EO44" t="s">
        <v>37</v>
      </c>
      <c r="EQ44" t="s">
        <v>37</v>
      </c>
      <c r="ER44">
        <v>62095</v>
      </c>
      <c r="ES44" t="s">
        <v>37</v>
      </c>
      <c r="ET44">
        <v>186270</v>
      </c>
      <c r="EU44" t="s">
        <v>37</v>
      </c>
      <c r="EV44">
        <v>96511</v>
      </c>
      <c r="EW44" t="s">
        <v>37</v>
      </c>
      <c r="EY44" t="s">
        <v>37</v>
      </c>
      <c r="EZ44">
        <v>1309</v>
      </c>
      <c r="FA44" t="s">
        <v>37</v>
      </c>
      <c r="FC44" t="s">
        <v>37</v>
      </c>
      <c r="FD44">
        <v>21777</v>
      </c>
      <c r="FE44" t="s">
        <v>37</v>
      </c>
      <c r="FG44" t="s">
        <v>37</v>
      </c>
      <c r="FH44">
        <v>937186</v>
      </c>
      <c r="FI44" t="s">
        <v>37</v>
      </c>
      <c r="FJ44">
        <v>1557</v>
      </c>
      <c r="FK44" t="s">
        <v>37</v>
      </c>
      <c r="FL44">
        <v>3065346</v>
      </c>
      <c r="FM44" t="s">
        <v>37</v>
      </c>
      <c r="FN44">
        <v>153720</v>
      </c>
      <c r="FO44" t="s">
        <v>37</v>
      </c>
      <c r="FP44">
        <v>96344</v>
      </c>
      <c r="FQ44" t="s">
        <v>37</v>
      </c>
      <c r="FR44">
        <v>390416</v>
      </c>
      <c r="FS44" t="s">
        <v>37</v>
      </c>
      <c r="FT44">
        <v>120300</v>
      </c>
      <c r="FU44" t="s">
        <v>37</v>
      </c>
      <c r="FV44">
        <v>90964</v>
      </c>
      <c r="FW44" t="s">
        <v>37</v>
      </c>
      <c r="FX44">
        <v>377276</v>
      </c>
      <c r="FY44" t="s">
        <v>37</v>
      </c>
      <c r="FZ44">
        <v>293691</v>
      </c>
      <c r="GA44" t="s">
        <v>37</v>
      </c>
      <c r="GB44">
        <v>18731</v>
      </c>
      <c r="GC44" t="s">
        <v>37</v>
      </c>
      <c r="GE44" t="s">
        <v>37</v>
      </c>
      <c r="GF44">
        <v>9647</v>
      </c>
      <c r="GG44" t="s">
        <v>37</v>
      </c>
      <c r="GI44" t="s">
        <v>37</v>
      </c>
      <c r="GJ44">
        <v>61195</v>
      </c>
      <c r="GK44" t="s">
        <v>37</v>
      </c>
      <c r="GL44">
        <v>65077</v>
      </c>
      <c r="GM44" t="s">
        <v>37</v>
      </c>
      <c r="GO44" t="s">
        <v>37</v>
      </c>
      <c r="GP44">
        <v>51744</v>
      </c>
      <c r="GQ44" t="s">
        <v>37</v>
      </c>
      <c r="GR44">
        <v>77164</v>
      </c>
      <c r="GS44" t="s">
        <v>37</v>
      </c>
      <c r="GT44">
        <v>46119</v>
      </c>
      <c r="GU44" t="s">
        <v>37</v>
      </c>
      <c r="GV44">
        <v>237128</v>
      </c>
      <c r="GW44" t="s">
        <v>37</v>
      </c>
      <c r="GX44">
        <v>6316</v>
      </c>
      <c r="GY44" t="s">
        <v>37</v>
      </c>
      <c r="GZ44">
        <v>191211</v>
      </c>
      <c r="HA44" t="s">
        <v>37</v>
      </c>
      <c r="HC44" t="s">
        <v>37</v>
      </c>
      <c r="HE44" t="s">
        <v>37</v>
      </c>
      <c r="HF44">
        <v>16683347</v>
      </c>
      <c r="HG44" t="s">
        <v>37</v>
      </c>
      <c r="HI44" t="s">
        <v>37</v>
      </c>
      <c r="HJ44">
        <v>16683347</v>
      </c>
      <c r="HK44" t="s">
        <v>37</v>
      </c>
    </row>
    <row r="45" spans="1:219">
      <c r="A45">
        <v>1790</v>
      </c>
      <c r="B45" t="s">
        <v>78</v>
      </c>
      <c r="C45" t="s">
        <v>37</v>
      </c>
      <c r="D45">
        <v>274541</v>
      </c>
      <c r="E45" t="s">
        <v>37</v>
      </c>
      <c r="F45">
        <v>2384416</v>
      </c>
      <c r="G45" t="s">
        <v>37</v>
      </c>
      <c r="H45">
        <v>167916</v>
      </c>
      <c r="I45" t="s">
        <v>37</v>
      </c>
      <c r="K45" s="48" t="s">
        <v>37</v>
      </c>
      <c r="L45" s="51">
        <v>783691</v>
      </c>
      <c r="M45" s="48" t="s">
        <v>37</v>
      </c>
      <c r="N45" s="51">
        <v>657967</v>
      </c>
      <c r="O45" s="48" t="s">
        <v>37</v>
      </c>
      <c r="P45" s="51">
        <v>417239</v>
      </c>
      <c r="Q45" s="48" t="s">
        <v>37</v>
      </c>
      <c r="R45" s="51">
        <v>648494</v>
      </c>
      <c r="S45" s="48" t="s">
        <v>37</v>
      </c>
      <c r="T45">
        <v>1083532</v>
      </c>
      <c r="U45" t="s">
        <v>37</v>
      </c>
      <c r="V45">
        <v>7174</v>
      </c>
      <c r="W45" t="s">
        <v>37</v>
      </c>
      <c r="Y45" t="s">
        <v>37</v>
      </c>
      <c r="Z45">
        <v>150316</v>
      </c>
      <c r="AA45" t="s">
        <v>37</v>
      </c>
      <c r="AB45">
        <v>71099</v>
      </c>
      <c r="AC45" t="s">
        <v>37</v>
      </c>
      <c r="AD45">
        <v>158173</v>
      </c>
      <c r="AE45" t="s">
        <v>37</v>
      </c>
      <c r="AF45">
        <v>161077</v>
      </c>
      <c r="AG45" t="s">
        <v>37</v>
      </c>
      <c r="AH45">
        <v>303987</v>
      </c>
      <c r="AI45" t="s">
        <v>37</v>
      </c>
      <c r="AJ45">
        <v>2163</v>
      </c>
      <c r="AK45" t="s">
        <v>37</v>
      </c>
      <c r="AM45" t="s">
        <v>37</v>
      </c>
      <c r="AN45">
        <v>111</v>
      </c>
      <c r="AO45" t="s">
        <v>37</v>
      </c>
      <c r="AP45">
        <v>2867929</v>
      </c>
      <c r="AQ45" t="s">
        <v>37</v>
      </c>
      <c r="AR45">
        <v>245864</v>
      </c>
      <c r="AS45" t="s">
        <v>37</v>
      </c>
      <c r="AT45">
        <v>4620878</v>
      </c>
      <c r="AU45" t="s">
        <v>37</v>
      </c>
      <c r="AV45">
        <v>841765</v>
      </c>
      <c r="AW45" t="s">
        <v>37</v>
      </c>
      <c r="AX45">
        <v>963951</v>
      </c>
      <c r="AY45" t="s">
        <v>37</v>
      </c>
      <c r="AZ45">
        <v>2485583</v>
      </c>
      <c r="BA45" t="s">
        <v>37</v>
      </c>
      <c r="BB45">
        <v>60815</v>
      </c>
      <c r="BC45" t="s">
        <v>37</v>
      </c>
      <c r="BD45">
        <v>530867</v>
      </c>
      <c r="BE45" t="s">
        <v>37</v>
      </c>
      <c r="BF45">
        <v>57148</v>
      </c>
      <c r="BG45" t="s">
        <v>37</v>
      </c>
      <c r="BH45">
        <v>7137</v>
      </c>
      <c r="BI45" t="s">
        <v>37</v>
      </c>
      <c r="BJ45">
        <v>714386</v>
      </c>
      <c r="BK45" t="s">
        <v>37</v>
      </c>
      <c r="BL45">
        <v>1936739</v>
      </c>
      <c r="BM45" t="s">
        <v>37</v>
      </c>
      <c r="BO45" t="s">
        <v>37</v>
      </c>
      <c r="BP45">
        <v>171566</v>
      </c>
      <c r="BQ45" t="s">
        <v>37</v>
      </c>
      <c r="BR45">
        <v>203924</v>
      </c>
      <c r="BS45" t="s">
        <v>37</v>
      </c>
      <c r="BT45">
        <v>310975</v>
      </c>
      <c r="BU45" t="s">
        <v>37</v>
      </c>
      <c r="BV45">
        <v>23845</v>
      </c>
      <c r="BW45" t="s">
        <v>37</v>
      </c>
      <c r="BX45">
        <v>1449698</v>
      </c>
      <c r="BY45" t="s">
        <v>37</v>
      </c>
      <c r="BZ45">
        <v>270535</v>
      </c>
      <c r="CA45" t="s">
        <v>37</v>
      </c>
      <c r="CB45">
        <v>43652</v>
      </c>
      <c r="CC45" t="s">
        <v>37</v>
      </c>
      <c r="CD45">
        <v>1134290</v>
      </c>
      <c r="CE45" t="s">
        <v>37</v>
      </c>
      <c r="CF45">
        <v>288034</v>
      </c>
      <c r="CG45" t="s">
        <v>37</v>
      </c>
      <c r="CH45">
        <v>2206041</v>
      </c>
      <c r="CI45" t="s">
        <v>37</v>
      </c>
      <c r="CJ45">
        <v>181662</v>
      </c>
      <c r="CK45" t="s">
        <v>37</v>
      </c>
      <c r="CL45">
        <v>509743</v>
      </c>
      <c r="CM45" t="s">
        <v>37</v>
      </c>
      <c r="CN45">
        <v>106777</v>
      </c>
      <c r="CO45" t="s">
        <v>37</v>
      </c>
      <c r="CP45">
        <v>15090</v>
      </c>
      <c r="CQ45" t="s">
        <v>37</v>
      </c>
      <c r="CR45">
        <v>1109345</v>
      </c>
      <c r="CS45" t="s">
        <v>37</v>
      </c>
      <c r="CT45">
        <v>14938652</v>
      </c>
      <c r="CU45" t="s">
        <v>37</v>
      </c>
      <c r="CV45">
        <v>2086170</v>
      </c>
      <c r="CW45" t="s">
        <v>37</v>
      </c>
      <c r="CX45">
        <v>174515</v>
      </c>
      <c r="CY45" t="s">
        <v>37</v>
      </c>
      <c r="CZ45">
        <v>510241</v>
      </c>
      <c r="DA45" t="s">
        <v>37</v>
      </c>
      <c r="DB45">
        <v>113673</v>
      </c>
      <c r="DC45" t="s">
        <v>37</v>
      </c>
      <c r="DD45">
        <v>700795</v>
      </c>
      <c r="DE45" t="s">
        <v>37</v>
      </c>
      <c r="DF45">
        <v>61536</v>
      </c>
      <c r="DG45" t="s">
        <v>37</v>
      </c>
      <c r="DH45">
        <v>5414834</v>
      </c>
      <c r="DI45" t="s">
        <v>37</v>
      </c>
      <c r="DJ45">
        <v>117856</v>
      </c>
      <c r="DK45" t="s">
        <v>37</v>
      </c>
      <c r="DL45">
        <v>1123061</v>
      </c>
      <c r="DM45" t="s">
        <v>37</v>
      </c>
      <c r="DN45">
        <v>1761</v>
      </c>
      <c r="DO45" t="s">
        <v>37</v>
      </c>
      <c r="DP45">
        <v>395462</v>
      </c>
      <c r="DQ45" t="s">
        <v>37</v>
      </c>
      <c r="DR45">
        <v>53626</v>
      </c>
      <c r="DS45" t="s">
        <v>37</v>
      </c>
      <c r="DT45">
        <v>184128</v>
      </c>
      <c r="DU45" t="s">
        <v>37</v>
      </c>
      <c r="DV45">
        <v>3590996</v>
      </c>
      <c r="DW45" t="s">
        <v>37</v>
      </c>
      <c r="DX45">
        <v>1607261</v>
      </c>
      <c r="DY45" t="s">
        <v>37</v>
      </c>
      <c r="DZ45">
        <v>956641</v>
      </c>
      <c r="EA45" t="s">
        <v>37</v>
      </c>
      <c r="EB45">
        <v>729275</v>
      </c>
      <c r="EC45" t="s">
        <v>37</v>
      </c>
      <c r="ED45">
        <v>4274675</v>
      </c>
      <c r="EE45" t="s">
        <v>37</v>
      </c>
      <c r="EF45">
        <v>79473</v>
      </c>
      <c r="EG45" t="s">
        <v>37</v>
      </c>
      <c r="EI45" t="s">
        <v>37</v>
      </c>
      <c r="EJ45">
        <v>239985</v>
      </c>
      <c r="EK45" t="s">
        <v>37</v>
      </c>
      <c r="EL45">
        <v>118335</v>
      </c>
      <c r="EM45" t="s">
        <v>37</v>
      </c>
      <c r="EN45">
        <v>31826</v>
      </c>
      <c r="EO45" t="s">
        <v>37</v>
      </c>
      <c r="EP45">
        <v>117076</v>
      </c>
      <c r="EQ45" t="s">
        <v>37</v>
      </c>
      <c r="ER45">
        <v>343939</v>
      </c>
      <c r="ES45" t="s">
        <v>37</v>
      </c>
      <c r="ET45">
        <v>503629</v>
      </c>
      <c r="EU45" t="s">
        <v>37</v>
      </c>
      <c r="EV45">
        <v>794856</v>
      </c>
      <c r="EW45" t="s">
        <v>37</v>
      </c>
      <c r="EY45" t="s">
        <v>37</v>
      </c>
      <c r="EZ45">
        <v>526801</v>
      </c>
      <c r="FA45" t="s">
        <v>37</v>
      </c>
      <c r="FB45">
        <v>490522</v>
      </c>
      <c r="FC45" t="s">
        <v>37</v>
      </c>
      <c r="FD45">
        <v>256965</v>
      </c>
      <c r="FE45" t="s">
        <v>37</v>
      </c>
      <c r="FF45">
        <v>28697</v>
      </c>
      <c r="FG45" t="s">
        <v>37</v>
      </c>
      <c r="FH45">
        <v>1783443</v>
      </c>
      <c r="FI45" t="s">
        <v>37</v>
      </c>
      <c r="FJ45">
        <v>2337707</v>
      </c>
      <c r="FK45" t="s">
        <v>37</v>
      </c>
      <c r="FL45">
        <v>4204176</v>
      </c>
      <c r="FM45" t="s">
        <v>37</v>
      </c>
      <c r="FN45">
        <v>381580</v>
      </c>
      <c r="FO45" t="s">
        <v>37</v>
      </c>
      <c r="FP45">
        <v>728556</v>
      </c>
      <c r="FQ45" t="s">
        <v>37</v>
      </c>
      <c r="FR45">
        <v>1565510</v>
      </c>
      <c r="FS45" t="s">
        <v>37</v>
      </c>
      <c r="FT45">
        <v>475228</v>
      </c>
      <c r="FU45" t="s">
        <v>37</v>
      </c>
      <c r="FV45">
        <v>493432</v>
      </c>
      <c r="FW45" t="s">
        <v>37</v>
      </c>
      <c r="FX45">
        <v>1164826</v>
      </c>
      <c r="FY45" t="s">
        <v>37</v>
      </c>
      <c r="FZ45">
        <v>592774</v>
      </c>
      <c r="GA45" t="s">
        <v>37</v>
      </c>
      <c r="GB45">
        <v>690193</v>
      </c>
      <c r="GC45" t="s">
        <v>37</v>
      </c>
      <c r="GD45">
        <v>53806</v>
      </c>
      <c r="GE45" t="s">
        <v>37</v>
      </c>
      <c r="GG45" t="s">
        <v>37</v>
      </c>
      <c r="GH45">
        <v>215400</v>
      </c>
      <c r="GI45" t="s">
        <v>37</v>
      </c>
      <c r="GJ45">
        <v>772672</v>
      </c>
      <c r="GK45" t="s">
        <v>37</v>
      </c>
      <c r="GL45">
        <v>618226</v>
      </c>
      <c r="GM45" t="s">
        <v>37</v>
      </c>
      <c r="GO45" t="s">
        <v>37</v>
      </c>
      <c r="GP45">
        <v>7578</v>
      </c>
      <c r="GQ45" t="s">
        <v>37</v>
      </c>
      <c r="GR45">
        <v>552384</v>
      </c>
      <c r="GS45" t="s">
        <v>37</v>
      </c>
      <c r="GT45">
        <v>771660</v>
      </c>
      <c r="GU45" t="s">
        <v>37</v>
      </c>
      <c r="GV45">
        <v>638031</v>
      </c>
      <c r="GW45" t="s">
        <v>37</v>
      </c>
      <c r="GX45">
        <v>2927230</v>
      </c>
      <c r="GY45" t="s">
        <v>37</v>
      </c>
      <c r="GZ45">
        <v>947352</v>
      </c>
      <c r="HA45" t="s">
        <v>37</v>
      </c>
      <c r="HC45" t="s">
        <v>37</v>
      </c>
      <c r="HE45" t="s">
        <v>37</v>
      </c>
      <c r="HF45">
        <v>93119161</v>
      </c>
      <c r="HG45" t="s">
        <v>37</v>
      </c>
      <c r="HI45" t="s">
        <v>37</v>
      </c>
      <c r="HJ45">
        <v>93119161</v>
      </c>
      <c r="HK45" t="s">
        <v>37</v>
      </c>
    </row>
    <row r="46" spans="1:219">
      <c r="A46">
        <v>1900</v>
      </c>
      <c r="B46" t="s">
        <v>79</v>
      </c>
      <c r="C46" t="s">
        <v>37</v>
      </c>
      <c r="E46" t="s">
        <v>37</v>
      </c>
      <c r="G46" t="s">
        <v>37</v>
      </c>
      <c r="I46" t="s">
        <v>37</v>
      </c>
      <c r="K46" s="48" t="s">
        <v>37</v>
      </c>
      <c r="L46" s="50"/>
      <c r="M46" s="48" t="s">
        <v>37</v>
      </c>
      <c r="N46" s="50"/>
      <c r="O46" s="48" t="s">
        <v>37</v>
      </c>
      <c r="P46" s="50"/>
      <c r="Q46" s="48" t="s">
        <v>37</v>
      </c>
      <c r="R46" s="50"/>
      <c r="S46" s="48" t="s">
        <v>37</v>
      </c>
      <c r="U46" t="s">
        <v>37</v>
      </c>
      <c r="W46" t="s">
        <v>37</v>
      </c>
      <c r="Y46" t="s">
        <v>37</v>
      </c>
      <c r="AA46" t="s">
        <v>37</v>
      </c>
      <c r="AC46" t="s">
        <v>37</v>
      </c>
      <c r="AE46" t="s">
        <v>37</v>
      </c>
      <c r="AG46" t="s">
        <v>37</v>
      </c>
      <c r="AI46" t="s">
        <v>37</v>
      </c>
      <c r="AK46" t="s">
        <v>37</v>
      </c>
      <c r="AM46" t="s">
        <v>37</v>
      </c>
      <c r="AO46" t="s">
        <v>37</v>
      </c>
      <c r="AQ46" t="s">
        <v>37</v>
      </c>
      <c r="AS46" t="s">
        <v>37</v>
      </c>
      <c r="AU46" t="s">
        <v>37</v>
      </c>
      <c r="AW46" t="s">
        <v>37</v>
      </c>
      <c r="AY46" t="s">
        <v>37</v>
      </c>
      <c r="BA46" t="s">
        <v>37</v>
      </c>
      <c r="BC46" t="s">
        <v>37</v>
      </c>
      <c r="BE46" t="s">
        <v>37</v>
      </c>
      <c r="BG46" t="s">
        <v>37</v>
      </c>
      <c r="BI46" t="s">
        <v>37</v>
      </c>
      <c r="BK46" t="s">
        <v>37</v>
      </c>
      <c r="BM46" t="s">
        <v>37</v>
      </c>
      <c r="BO46" t="s">
        <v>37</v>
      </c>
      <c r="BQ46" t="s">
        <v>37</v>
      </c>
      <c r="BS46" t="s">
        <v>37</v>
      </c>
      <c r="BU46" t="s">
        <v>37</v>
      </c>
      <c r="BW46" t="s">
        <v>37</v>
      </c>
      <c r="BY46" t="s">
        <v>37</v>
      </c>
      <c r="CA46" t="s">
        <v>37</v>
      </c>
      <c r="CC46" t="s">
        <v>37</v>
      </c>
      <c r="CE46" t="s">
        <v>37</v>
      </c>
      <c r="CG46" t="s">
        <v>37</v>
      </c>
      <c r="CI46" t="s">
        <v>37</v>
      </c>
      <c r="CK46" t="s">
        <v>37</v>
      </c>
      <c r="CM46" t="s">
        <v>37</v>
      </c>
      <c r="CO46" t="s">
        <v>37</v>
      </c>
      <c r="CQ46" t="s">
        <v>37</v>
      </c>
      <c r="CS46" t="s">
        <v>37</v>
      </c>
      <c r="CU46" t="s">
        <v>37</v>
      </c>
      <c r="CW46" t="s">
        <v>37</v>
      </c>
      <c r="CY46" t="s">
        <v>37</v>
      </c>
      <c r="DA46" t="s">
        <v>37</v>
      </c>
      <c r="DC46" t="s">
        <v>37</v>
      </c>
      <c r="DE46" t="s">
        <v>37</v>
      </c>
      <c r="DG46" t="s">
        <v>37</v>
      </c>
      <c r="DI46" t="s">
        <v>37</v>
      </c>
      <c r="DK46" t="s">
        <v>37</v>
      </c>
      <c r="DM46" t="s">
        <v>37</v>
      </c>
      <c r="DO46" t="s">
        <v>37</v>
      </c>
      <c r="DQ46" t="s">
        <v>37</v>
      </c>
      <c r="DS46" t="s">
        <v>37</v>
      </c>
      <c r="DU46" t="s">
        <v>37</v>
      </c>
      <c r="DW46" t="s">
        <v>37</v>
      </c>
      <c r="DY46" t="s">
        <v>37</v>
      </c>
      <c r="EA46" t="s">
        <v>37</v>
      </c>
      <c r="EC46" t="s">
        <v>37</v>
      </c>
      <c r="EE46" t="s">
        <v>37</v>
      </c>
      <c r="EG46" t="s">
        <v>37</v>
      </c>
      <c r="EI46" t="s">
        <v>37</v>
      </c>
      <c r="EK46" t="s">
        <v>37</v>
      </c>
      <c r="EM46" t="s">
        <v>37</v>
      </c>
      <c r="EO46" t="s">
        <v>37</v>
      </c>
      <c r="EQ46" t="s">
        <v>37</v>
      </c>
      <c r="ES46" t="s">
        <v>37</v>
      </c>
      <c r="EU46" t="s">
        <v>37</v>
      </c>
      <c r="EW46" t="s">
        <v>37</v>
      </c>
      <c r="EY46" t="s">
        <v>37</v>
      </c>
      <c r="FA46" t="s">
        <v>37</v>
      </c>
      <c r="FC46" t="s">
        <v>37</v>
      </c>
      <c r="FE46" t="s">
        <v>37</v>
      </c>
      <c r="FG46" t="s">
        <v>37</v>
      </c>
      <c r="FI46" t="s">
        <v>37</v>
      </c>
      <c r="FK46" t="s">
        <v>37</v>
      </c>
      <c r="FM46" t="s">
        <v>37</v>
      </c>
      <c r="FO46" t="s">
        <v>37</v>
      </c>
      <c r="FQ46" t="s">
        <v>37</v>
      </c>
      <c r="FS46" t="s">
        <v>37</v>
      </c>
      <c r="FU46" t="s">
        <v>37</v>
      </c>
      <c r="FW46" t="s">
        <v>37</v>
      </c>
      <c r="FY46" t="s">
        <v>37</v>
      </c>
      <c r="GA46" t="s">
        <v>37</v>
      </c>
      <c r="GC46" t="s">
        <v>37</v>
      </c>
      <c r="GE46" t="s">
        <v>37</v>
      </c>
      <c r="GG46" t="s">
        <v>37</v>
      </c>
      <c r="GI46" t="s">
        <v>37</v>
      </c>
      <c r="GK46" t="s">
        <v>37</v>
      </c>
      <c r="GM46" t="s">
        <v>37</v>
      </c>
      <c r="GO46" t="s">
        <v>37</v>
      </c>
      <c r="GQ46" t="s">
        <v>37</v>
      </c>
      <c r="GS46" t="s">
        <v>37</v>
      </c>
      <c r="GU46" t="s">
        <v>37</v>
      </c>
      <c r="GW46" t="s">
        <v>37</v>
      </c>
      <c r="GY46" t="s">
        <v>37</v>
      </c>
      <c r="HA46" t="s">
        <v>37</v>
      </c>
      <c r="HC46" t="s">
        <v>37</v>
      </c>
      <c r="HE46" t="s">
        <v>37</v>
      </c>
      <c r="HG46" t="s">
        <v>37</v>
      </c>
      <c r="HI46" t="s">
        <v>37</v>
      </c>
      <c r="HK46" t="s">
        <v>37</v>
      </c>
    </row>
    <row r="47" spans="1:219">
      <c r="A47">
        <v>1910</v>
      </c>
      <c r="B47" t="s">
        <v>80</v>
      </c>
      <c r="C47" t="s">
        <v>37</v>
      </c>
      <c r="E47" t="s">
        <v>37</v>
      </c>
      <c r="F47">
        <v>39477</v>
      </c>
      <c r="G47" t="s">
        <v>37</v>
      </c>
      <c r="H47">
        <v>5515</v>
      </c>
      <c r="I47" t="s">
        <v>37</v>
      </c>
      <c r="K47" s="48" t="s">
        <v>37</v>
      </c>
      <c r="L47" s="51">
        <v>10850</v>
      </c>
      <c r="M47" s="48" t="s">
        <v>37</v>
      </c>
      <c r="N47" s="51">
        <v>5098</v>
      </c>
      <c r="O47" s="48" t="s">
        <v>37</v>
      </c>
      <c r="P47" s="50"/>
      <c r="Q47" s="48" t="s">
        <v>37</v>
      </c>
      <c r="R47" s="50"/>
      <c r="S47" s="48" t="s">
        <v>37</v>
      </c>
      <c r="T47">
        <v>37893</v>
      </c>
      <c r="U47" t="s">
        <v>37</v>
      </c>
      <c r="W47" t="s">
        <v>37</v>
      </c>
      <c r="Y47" t="s">
        <v>37</v>
      </c>
      <c r="Z47">
        <v>540</v>
      </c>
      <c r="AA47" t="s">
        <v>37</v>
      </c>
      <c r="AB47">
        <v>3690</v>
      </c>
      <c r="AC47" t="s">
        <v>37</v>
      </c>
      <c r="AE47" t="s">
        <v>37</v>
      </c>
      <c r="AG47" t="s">
        <v>37</v>
      </c>
      <c r="AH47">
        <v>1130</v>
      </c>
      <c r="AI47" t="s">
        <v>37</v>
      </c>
      <c r="AK47" t="s">
        <v>37</v>
      </c>
      <c r="AL47">
        <v>1555</v>
      </c>
      <c r="AM47" t="s">
        <v>37</v>
      </c>
      <c r="AN47">
        <v>18392</v>
      </c>
      <c r="AO47" t="s">
        <v>37</v>
      </c>
      <c r="AP47">
        <v>302338</v>
      </c>
      <c r="AQ47" t="s">
        <v>37</v>
      </c>
      <c r="AS47" t="s">
        <v>37</v>
      </c>
      <c r="AT47">
        <v>411122</v>
      </c>
      <c r="AU47" t="s">
        <v>37</v>
      </c>
      <c r="AV47">
        <v>6735</v>
      </c>
      <c r="AW47" t="s">
        <v>37</v>
      </c>
      <c r="AX47">
        <v>22796</v>
      </c>
      <c r="AY47" t="s">
        <v>37</v>
      </c>
      <c r="AZ47">
        <v>4086</v>
      </c>
      <c r="BA47" t="s">
        <v>37</v>
      </c>
      <c r="BB47">
        <v>20409</v>
      </c>
      <c r="BC47" t="s">
        <v>37</v>
      </c>
      <c r="BD47">
        <v>14936</v>
      </c>
      <c r="BE47" t="s">
        <v>37</v>
      </c>
      <c r="BF47">
        <v>825</v>
      </c>
      <c r="BG47" t="s">
        <v>37</v>
      </c>
      <c r="BI47" t="s">
        <v>37</v>
      </c>
      <c r="BK47" t="s">
        <v>37</v>
      </c>
      <c r="BL47">
        <v>7661</v>
      </c>
      <c r="BM47" t="s">
        <v>37</v>
      </c>
      <c r="BO47" t="s">
        <v>37</v>
      </c>
      <c r="BQ47" t="s">
        <v>37</v>
      </c>
      <c r="BR47">
        <v>3000</v>
      </c>
      <c r="BS47" t="s">
        <v>37</v>
      </c>
      <c r="BT47">
        <v>150</v>
      </c>
      <c r="BU47" t="s">
        <v>37</v>
      </c>
      <c r="BW47" t="s">
        <v>37</v>
      </c>
      <c r="BX47">
        <v>12265</v>
      </c>
      <c r="BY47" t="s">
        <v>37</v>
      </c>
      <c r="BZ47">
        <v>12515</v>
      </c>
      <c r="CA47" t="s">
        <v>37</v>
      </c>
      <c r="CC47" t="s">
        <v>37</v>
      </c>
      <c r="CD47">
        <v>800</v>
      </c>
      <c r="CE47" t="s">
        <v>37</v>
      </c>
      <c r="CF47">
        <v>2358</v>
      </c>
      <c r="CG47" t="s">
        <v>37</v>
      </c>
      <c r="CH47">
        <v>43709</v>
      </c>
      <c r="CI47" t="s">
        <v>37</v>
      </c>
      <c r="CK47" t="s">
        <v>37</v>
      </c>
      <c r="CL47">
        <v>16326</v>
      </c>
      <c r="CM47" t="s">
        <v>37</v>
      </c>
      <c r="CO47" t="s">
        <v>37</v>
      </c>
      <c r="CP47">
        <v>560</v>
      </c>
      <c r="CQ47" t="s">
        <v>37</v>
      </c>
      <c r="CR47">
        <v>35970</v>
      </c>
      <c r="CS47" t="s">
        <v>37</v>
      </c>
      <c r="CT47">
        <v>33981</v>
      </c>
      <c r="CU47" t="s">
        <v>37</v>
      </c>
      <c r="CV47">
        <v>14770</v>
      </c>
      <c r="CW47" t="s">
        <v>37</v>
      </c>
      <c r="CY47" t="s">
        <v>37</v>
      </c>
      <c r="DA47" t="s">
        <v>37</v>
      </c>
      <c r="DC47" t="s">
        <v>37</v>
      </c>
      <c r="DD47">
        <v>760</v>
      </c>
      <c r="DE47" t="s">
        <v>37</v>
      </c>
      <c r="DF47">
        <v>8412</v>
      </c>
      <c r="DG47" t="s">
        <v>37</v>
      </c>
      <c r="DH47">
        <v>109152</v>
      </c>
      <c r="DI47" t="s">
        <v>37</v>
      </c>
      <c r="DK47" t="s">
        <v>37</v>
      </c>
      <c r="DL47">
        <v>25933</v>
      </c>
      <c r="DM47" t="s">
        <v>37</v>
      </c>
      <c r="DN47">
        <v>46588</v>
      </c>
      <c r="DO47" t="s">
        <v>37</v>
      </c>
      <c r="DQ47" t="s">
        <v>37</v>
      </c>
      <c r="DR47">
        <v>683</v>
      </c>
      <c r="DS47" t="s">
        <v>37</v>
      </c>
      <c r="DU47" t="s">
        <v>37</v>
      </c>
      <c r="DV47">
        <v>225915</v>
      </c>
      <c r="DW47" t="s">
        <v>37</v>
      </c>
      <c r="DY47" t="s">
        <v>37</v>
      </c>
      <c r="DZ47">
        <v>50098</v>
      </c>
      <c r="EA47" t="s">
        <v>37</v>
      </c>
      <c r="EB47">
        <v>17870</v>
      </c>
      <c r="EC47" t="s">
        <v>37</v>
      </c>
      <c r="ED47">
        <v>55418</v>
      </c>
      <c r="EE47" t="s">
        <v>37</v>
      </c>
      <c r="EF47">
        <v>11519</v>
      </c>
      <c r="EG47" t="s">
        <v>37</v>
      </c>
      <c r="EH47">
        <v>2700</v>
      </c>
      <c r="EI47" t="s">
        <v>37</v>
      </c>
      <c r="EJ47">
        <v>14942</v>
      </c>
      <c r="EK47" t="s">
        <v>37</v>
      </c>
      <c r="EL47">
        <v>19660</v>
      </c>
      <c r="EM47" t="s">
        <v>37</v>
      </c>
      <c r="EN47">
        <v>3616</v>
      </c>
      <c r="EO47" t="s">
        <v>37</v>
      </c>
      <c r="EP47">
        <v>1550</v>
      </c>
      <c r="EQ47" t="s">
        <v>37</v>
      </c>
      <c r="ER47">
        <v>5341</v>
      </c>
      <c r="ES47" t="s">
        <v>37</v>
      </c>
      <c r="ET47">
        <v>5854</v>
      </c>
      <c r="EU47" t="s">
        <v>37</v>
      </c>
      <c r="EV47">
        <v>15836</v>
      </c>
      <c r="EW47" t="s">
        <v>37</v>
      </c>
      <c r="EY47" t="s">
        <v>37</v>
      </c>
      <c r="EZ47">
        <v>20041</v>
      </c>
      <c r="FA47" t="s">
        <v>37</v>
      </c>
      <c r="FB47">
        <v>51510</v>
      </c>
      <c r="FC47" t="s">
        <v>37</v>
      </c>
      <c r="FD47">
        <v>20553</v>
      </c>
      <c r="FE47" t="s">
        <v>37</v>
      </c>
      <c r="FG47" t="s">
        <v>37</v>
      </c>
      <c r="FH47">
        <v>34581</v>
      </c>
      <c r="FI47" t="s">
        <v>37</v>
      </c>
      <c r="FJ47">
        <v>44289</v>
      </c>
      <c r="FK47" t="s">
        <v>37</v>
      </c>
      <c r="FL47">
        <v>138410</v>
      </c>
      <c r="FM47" t="s">
        <v>37</v>
      </c>
      <c r="FO47" t="s">
        <v>37</v>
      </c>
      <c r="FQ47" t="s">
        <v>37</v>
      </c>
      <c r="FR47">
        <v>4000</v>
      </c>
      <c r="FS47" t="s">
        <v>37</v>
      </c>
      <c r="FU47" t="s">
        <v>37</v>
      </c>
      <c r="FV47">
        <v>3022</v>
      </c>
      <c r="FW47" t="s">
        <v>37</v>
      </c>
      <c r="FX47">
        <v>18175</v>
      </c>
      <c r="FY47" t="s">
        <v>37</v>
      </c>
      <c r="FZ47">
        <v>86090</v>
      </c>
      <c r="GA47" t="s">
        <v>37</v>
      </c>
      <c r="GB47">
        <v>52928</v>
      </c>
      <c r="GC47" t="s">
        <v>37</v>
      </c>
      <c r="GE47" t="s">
        <v>37</v>
      </c>
      <c r="GG47" t="s">
        <v>37</v>
      </c>
      <c r="GI47" t="s">
        <v>37</v>
      </c>
      <c r="GJ47">
        <v>35725</v>
      </c>
      <c r="GK47" t="s">
        <v>37</v>
      </c>
      <c r="GL47">
        <v>60065</v>
      </c>
      <c r="GM47" t="s">
        <v>37</v>
      </c>
      <c r="GO47" t="s">
        <v>37</v>
      </c>
      <c r="GP47">
        <v>4581</v>
      </c>
      <c r="GQ47" t="s">
        <v>37</v>
      </c>
      <c r="GR47">
        <v>140</v>
      </c>
      <c r="GS47" t="s">
        <v>37</v>
      </c>
      <c r="GT47">
        <v>1400</v>
      </c>
      <c r="GU47" t="s">
        <v>37</v>
      </c>
      <c r="GV47">
        <v>25390</v>
      </c>
      <c r="GW47" t="s">
        <v>37</v>
      </c>
      <c r="GX47">
        <v>49843</v>
      </c>
      <c r="GY47" t="s">
        <v>37</v>
      </c>
      <c r="GZ47">
        <v>28610</v>
      </c>
      <c r="HA47" t="s">
        <v>37</v>
      </c>
      <c r="HC47" t="s">
        <v>37</v>
      </c>
      <c r="HE47" t="s">
        <v>37</v>
      </c>
      <c r="HF47">
        <v>2392652</v>
      </c>
      <c r="HG47" t="s">
        <v>37</v>
      </c>
      <c r="HI47" t="s">
        <v>37</v>
      </c>
      <c r="HJ47">
        <v>2392652</v>
      </c>
      <c r="HK47" t="s">
        <v>37</v>
      </c>
    </row>
    <row r="48" spans="1:219">
      <c r="A48">
        <v>1920</v>
      </c>
      <c r="B48" t="s">
        <v>81</v>
      </c>
      <c r="C48" t="s">
        <v>37</v>
      </c>
      <c r="D48">
        <v>10351</v>
      </c>
      <c r="E48" t="s">
        <v>37</v>
      </c>
      <c r="F48">
        <v>430471</v>
      </c>
      <c r="G48" t="s">
        <v>37</v>
      </c>
      <c r="H48">
        <v>5483</v>
      </c>
      <c r="I48" t="s">
        <v>37</v>
      </c>
      <c r="J48">
        <v>300000</v>
      </c>
      <c r="K48" s="48" t="s">
        <v>37</v>
      </c>
      <c r="L48" s="51">
        <v>123801</v>
      </c>
      <c r="M48" s="48" t="s">
        <v>37</v>
      </c>
      <c r="N48" s="51">
        <v>187152</v>
      </c>
      <c r="O48" s="48" t="s">
        <v>37</v>
      </c>
      <c r="P48" s="50"/>
      <c r="Q48" s="48" t="s">
        <v>37</v>
      </c>
      <c r="R48" s="51">
        <v>27106</v>
      </c>
      <c r="S48" s="48" t="s">
        <v>37</v>
      </c>
      <c r="T48">
        <v>114319</v>
      </c>
      <c r="U48" t="s">
        <v>37</v>
      </c>
      <c r="V48">
        <v>8178</v>
      </c>
      <c r="W48" t="s">
        <v>37</v>
      </c>
      <c r="Y48" t="s">
        <v>37</v>
      </c>
      <c r="Z48">
        <v>11725</v>
      </c>
      <c r="AA48" t="s">
        <v>37</v>
      </c>
      <c r="AB48">
        <v>86618</v>
      </c>
      <c r="AC48" t="s">
        <v>37</v>
      </c>
      <c r="AE48" t="s">
        <v>37</v>
      </c>
      <c r="AF48">
        <v>536</v>
      </c>
      <c r="AG48" t="s">
        <v>37</v>
      </c>
      <c r="AH48">
        <v>21130</v>
      </c>
      <c r="AI48" t="s">
        <v>37</v>
      </c>
      <c r="AK48" t="s">
        <v>37</v>
      </c>
      <c r="AL48">
        <v>18622</v>
      </c>
      <c r="AM48" t="s">
        <v>37</v>
      </c>
      <c r="AO48" t="s">
        <v>37</v>
      </c>
      <c r="AP48">
        <v>492671</v>
      </c>
      <c r="AQ48" t="s">
        <v>37</v>
      </c>
      <c r="AR48">
        <v>1200</v>
      </c>
      <c r="AS48" t="s">
        <v>37</v>
      </c>
      <c r="AT48">
        <v>586189</v>
      </c>
      <c r="AU48" t="s">
        <v>37</v>
      </c>
      <c r="AV48">
        <v>21535</v>
      </c>
      <c r="AW48" t="s">
        <v>37</v>
      </c>
      <c r="AX48">
        <v>44768</v>
      </c>
      <c r="AY48" t="s">
        <v>37</v>
      </c>
      <c r="BA48" t="s">
        <v>37</v>
      </c>
      <c r="BC48" t="s">
        <v>37</v>
      </c>
      <c r="BD48">
        <v>49394</v>
      </c>
      <c r="BE48" t="s">
        <v>37</v>
      </c>
      <c r="BF48">
        <v>16342</v>
      </c>
      <c r="BG48" t="s">
        <v>37</v>
      </c>
      <c r="BI48" t="s">
        <v>37</v>
      </c>
      <c r="BK48" t="s">
        <v>37</v>
      </c>
      <c r="BL48">
        <v>739569</v>
      </c>
      <c r="BM48" t="s">
        <v>37</v>
      </c>
      <c r="BO48" t="s">
        <v>37</v>
      </c>
      <c r="BP48">
        <v>4227</v>
      </c>
      <c r="BQ48" t="s">
        <v>37</v>
      </c>
      <c r="BR48">
        <v>13714</v>
      </c>
      <c r="BS48" t="s">
        <v>37</v>
      </c>
      <c r="BT48">
        <v>13586</v>
      </c>
      <c r="BU48" t="s">
        <v>37</v>
      </c>
      <c r="BV48">
        <v>14750</v>
      </c>
      <c r="BW48" t="s">
        <v>37</v>
      </c>
      <c r="BX48">
        <v>117372</v>
      </c>
      <c r="BY48" t="s">
        <v>37</v>
      </c>
      <c r="CA48" t="s">
        <v>37</v>
      </c>
      <c r="CC48" t="s">
        <v>37</v>
      </c>
      <c r="CE48" t="s">
        <v>37</v>
      </c>
      <c r="CF48">
        <v>57941</v>
      </c>
      <c r="CG48" t="s">
        <v>37</v>
      </c>
      <c r="CH48">
        <v>400167</v>
      </c>
      <c r="CI48" t="s">
        <v>37</v>
      </c>
      <c r="CK48" t="s">
        <v>37</v>
      </c>
      <c r="CL48">
        <v>4537</v>
      </c>
      <c r="CM48" t="s">
        <v>37</v>
      </c>
      <c r="CN48">
        <v>2250</v>
      </c>
      <c r="CO48" t="s">
        <v>37</v>
      </c>
      <c r="CQ48" t="s">
        <v>37</v>
      </c>
      <c r="CR48">
        <v>289173</v>
      </c>
      <c r="CS48" t="s">
        <v>37</v>
      </c>
      <c r="CT48">
        <v>5957518</v>
      </c>
      <c r="CU48" t="s">
        <v>37</v>
      </c>
      <c r="CV48">
        <v>1150</v>
      </c>
      <c r="CW48" t="s">
        <v>37</v>
      </c>
      <c r="CY48" t="s">
        <v>37</v>
      </c>
      <c r="CZ48">
        <v>26666</v>
      </c>
      <c r="DA48" t="s">
        <v>37</v>
      </c>
      <c r="DC48" t="s">
        <v>37</v>
      </c>
      <c r="DD48">
        <v>51858</v>
      </c>
      <c r="DE48" t="s">
        <v>37</v>
      </c>
      <c r="DF48">
        <v>14485</v>
      </c>
      <c r="DG48" t="s">
        <v>37</v>
      </c>
      <c r="DH48">
        <v>233344</v>
      </c>
      <c r="DI48" t="s">
        <v>37</v>
      </c>
      <c r="DK48" t="s">
        <v>37</v>
      </c>
      <c r="DL48">
        <v>147765</v>
      </c>
      <c r="DM48" t="s">
        <v>37</v>
      </c>
      <c r="DN48">
        <v>1268855</v>
      </c>
      <c r="DO48" t="s">
        <v>37</v>
      </c>
      <c r="DP48">
        <v>13127</v>
      </c>
      <c r="DQ48" t="s">
        <v>37</v>
      </c>
      <c r="DR48">
        <v>11908</v>
      </c>
      <c r="DS48" t="s">
        <v>37</v>
      </c>
      <c r="DT48">
        <v>24855</v>
      </c>
      <c r="DU48" t="s">
        <v>37</v>
      </c>
      <c r="DW48" t="s">
        <v>37</v>
      </c>
      <c r="DX48">
        <v>3000</v>
      </c>
      <c r="DY48" t="s">
        <v>37</v>
      </c>
      <c r="EA48" t="s">
        <v>37</v>
      </c>
      <c r="EB48">
        <v>648726</v>
      </c>
      <c r="EC48" t="s">
        <v>37</v>
      </c>
      <c r="ED48">
        <v>144917</v>
      </c>
      <c r="EE48" t="s">
        <v>37</v>
      </c>
      <c r="EF48">
        <v>1387</v>
      </c>
      <c r="EG48" t="s">
        <v>37</v>
      </c>
      <c r="EH48">
        <v>250</v>
      </c>
      <c r="EI48" t="s">
        <v>37</v>
      </c>
      <c r="EJ48">
        <v>82306</v>
      </c>
      <c r="EK48" t="s">
        <v>37</v>
      </c>
      <c r="EL48">
        <v>3891</v>
      </c>
      <c r="EM48" t="s">
        <v>37</v>
      </c>
      <c r="EN48">
        <v>8209</v>
      </c>
      <c r="EO48" t="s">
        <v>37</v>
      </c>
      <c r="EP48">
        <v>25969</v>
      </c>
      <c r="EQ48" t="s">
        <v>37</v>
      </c>
      <c r="ER48">
        <v>181435</v>
      </c>
      <c r="ES48" t="s">
        <v>37</v>
      </c>
      <c r="ET48">
        <v>106848</v>
      </c>
      <c r="EU48" t="s">
        <v>37</v>
      </c>
      <c r="EV48">
        <v>312479</v>
      </c>
      <c r="EW48" t="s">
        <v>37</v>
      </c>
      <c r="EY48" t="s">
        <v>37</v>
      </c>
      <c r="EZ48">
        <v>5500</v>
      </c>
      <c r="FA48" t="s">
        <v>37</v>
      </c>
      <c r="FB48">
        <v>9255</v>
      </c>
      <c r="FC48" t="s">
        <v>37</v>
      </c>
      <c r="FD48">
        <v>16806</v>
      </c>
      <c r="FE48" t="s">
        <v>37</v>
      </c>
      <c r="FG48" t="s">
        <v>37</v>
      </c>
      <c r="FH48">
        <v>205995</v>
      </c>
      <c r="FI48" t="s">
        <v>37</v>
      </c>
      <c r="FJ48">
        <v>12379</v>
      </c>
      <c r="FK48" t="s">
        <v>37</v>
      </c>
      <c r="FL48">
        <v>80191</v>
      </c>
      <c r="FM48" t="s">
        <v>37</v>
      </c>
      <c r="FO48" t="s">
        <v>37</v>
      </c>
      <c r="FP48">
        <v>92854</v>
      </c>
      <c r="FQ48" t="s">
        <v>37</v>
      </c>
      <c r="FR48">
        <v>14168</v>
      </c>
      <c r="FS48" t="s">
        <v>37</v>
      </c>
      <c r="FT48">
        <v>26039</v>
      </c>
      <c r="FU48" t="s">
        <v>37</v>
      </c>
      <c r="FV48">
        <v>2374512</v>
      </c>
      <c r="FW48" t="s">
        <v>37</v>
      </c>
      <c r="FX48">
        <v>5748</v>
      </c>
      <c r="FY48" t="s">
        <v>37</v>
      </c>
      <c r="FZ48">
        <v>202887</v>
      </c>
      <c r="GA48" t="s">
        <v>37</v>
      </c>
      <c r="GB48">
        <v>269579</v>
      </c>
      <c r="GC48" t="s">
        <v>37</v>
      </c>
      <c r="GD48">
        <v>33832</v>
      </c>
      <c r="GE48" t="s">
        <v>37</v>
      </c>
      <c r="GG48" t="s">
        <v>37</v>
      </c>
      <c r="GI48" t="s">
        <v>37</v>
      </c>
      <c r="GJ48">
        <v>85609</v>
      </c>
      <c r="GK48" t="s">
        <v>37</v>
      </c>
      <c r="GL48">
        <v>13080</v>
      </c>
      <c r="GM48" t="s">
        <v>37</v>
      </c>
      <c r="GO48" t="s">
        <v>37</v>
      </c>
      <c r="GP48">
        <v>9636</v>
      </c>
      <c r="GQ48" t="s">
        <v>37</v>
      </c>
      <c r="GR48">
        <v>2050</v>
      </c>
      <c r="GS48" t="s">
        <v>37</v>
      </c>
      <c r="GT48">
        <v>23131</v>
      </c>
      <c r="GU48" t="s">
        <v>37</v>
      </c>
      <c r="GV48">
        <v>2200</v>
      </c>
      <c r="GW48" t="s">
        <v>37</v>
      </c>
      <c r="GX48">
        <v>38076</v>
      </c>
      <c r="GY48" t="s">
        <v>37</v>
      </c>
      <c r="GZ48">
        <v>113516</v>
      </c>
      <c r="HA48" t="s">
        <v>37</v>
      </c>
      <c r="HC48" t="s">
        <v>37</v>
      </c>
      <c r="HE48" t="s">
        <v>37</v>
      </c>
      <c r="HF48">
        <v>17122868</v>
      </c>
      <c r="HG48" t="s">
        <v>37</v>
      </c>
      <c r="HI48" t="s">
        <v>37</v>
      </c>
      <c r="HJ48">
        <v>17122868</v>
      </c>
      <c r="HK48" t="s">
        <v>37</v>
      </c>
    </row>
    <row r="49" spans="1:219">
      <c r="C49" t="s">
        <v>37</v>
      </c>
      <c r="D49" t="s">
        <v>38</v>
      </c>
      <c r="E49" t="s">
        <v>37</v>
      </c>
      <c r="F49" t="s">
        <v>39</v>
      </c>
      <c r="G49" t="s">
        <v>37</v>
      </c>
      <c r="H49" t="s">
        <v>40</v>
      </c>
      <c r="I49" t="s">
        <v>37</v>
      </c>
      <c r="J49" t="s">
        <v>41</v>
      </c>
      <c r="K49" s="48" t="s">
        <v>37</v>
      </c>
      <c r="L49" s="49" t="s">
        <v>303</v>
      </c>
      <c r="M49" s="48" t="s">
        <v>37</v>
      </c>
      <c r="N49" s="49" t="s">
        <v>304</v>
      </c>
      <c r="O49" s="48" t="s">
        <v>37</v>
      </c>
      <c r="P49" s="49" t="s">
        <v>305</v>
      </c>
      <c r="Q49" s="48" t="s">
        <v>37</v>
      </c>
      <c r="R49" s="49" t="s">
        <v>306</v>
      </c>
      <c r="S49" s="48" t="s">
        <v>37</v>
      </c>
      <c r="T49" t="s">
        <v>307</v>
      </c>
      <c r="U49" t="s">
        <v>37</v>
      </c>
      <c r="V49" t="s">
        <v>308</v>
      </c>
      <c r="W49" t="s">
        <v>37</v>
      </c>
      <c r="X49" t="s">
        <v>309</v>
      </c>
      <c r="Y49" t="s">
        <v>37</v>
      </c>
      <c r="Z49" t="s">
        <v>310</v>
      </c>
      <c r="AA49" t="s">
        <v>37</v>
      </c>
      <c r="AB49" t="s">
        <v>311</v>
      </c>
      <c r="AC49" t="s">
        <v>37</v>
      </c>
      <c r="AD49" t="s">
        <v>312</v>
      </c>
      <c r="AE49" t="s">
        <v>37</v>
      </c>
      <c r="AF49" t="s">
        <v>313</v>
      </c>
      <c r="AG49" t="s">
        <v>37</v>
      </c>
      <c r="AH49" t="s">
        <v>314</v>
      </c>
      <c r="AI49" t="s">
        <v>37</v>
      </c>
      <c r="AJ49" t="s">
        <v>315</v>
      </c>
      <c r="AK49" t="s">
        <v>37</v>
      </c>
      <c r="AL49" t="s">
        <v>316</v>
      </c>
      <c r="AM49" t="s">
        <v>37</v>
      </c>
      <c r="AN49" t="s">
        <v>317</v>
      </c>
      <c r="AO49" t="s">
        <v>37</v>
      </c>
      <c r="AP49" t="s">
        <v>318</v>
      </c>
      <c r="AQ49" t="s">
        <v>37</v>
      </c>
      <c r="AR49" t="s">
        <v>319</v>
      </c>
      <c r="AS49" t="s">
        <v>37</v>
      </c>
      <c r="AT49" t="s">
        <v>320</v>
      </c>
      <c r="AU49" t="s">
        <v>37</v>
      </c>
      <c r="AV49" t="s">
        <v>321</v>
      </c>
      <c r="AW49" t="s">
        <v>37</v>
      </c>
      <c r="AX49" t="s">
        <v>322</v>
      </c>
      <c r="AY49" t="s">
        <v>37</v>
      </c>
      <c r="AZ49" t="s">
        <v>323</v>
      </c>
      <c r="BA49" t="s">
        <v>37</v>
      </c>
      <c r="BB49" t="s">
        <v>324</v>
      </c>
      <c r="BC49" t="s">
        <v>37</v>
      </c>
      <c r="BD49" t="s">
        <v>325</v>
      </c>
      <c r="BE49" t="s">
        <v>37</v>
      </c>
      <c r="BF49" t="s">
        <v>326</v>
      </c>
      <c r="BG49" t="s">
        <v>37</v>
      </c>
      <c r="BH49" t="s">
        <v>327</v>
      </c>
      <c r="BI49" t="s">
        <v>37</v>
      </c>
      <c r="BJ49" t="s">
        <v>328</v>
      </c>
      <c r="BK49" t="s">
        <v>37</v>
      </c>
      <c r="BL49" t="s">
        <v>329</v>
      </c>
      <c r="BM49" t="s">
        <v>37</v>
      </c>
      <c r="BN49" t="s">
        <v>330</v>
      </c>
      <c r="BO49" t="s">
        <v>37</v>
      </c>
      <c r="BP49" t="s">
        <v>331</v>
      </c>
      <c r="BQ49" t="s">
        <v>37</v>
      </c>
      <c r="BR49" t="s">
        <v>332</v>
      </c>
      <c r="BS49" t="s">
        <v>37</v>
      </c>
      <c r="BT49" t="s">
        <v>333</v>
      </c>
      <c r="BU49" t="s">
        <v>37</v>
      </c>
      <c r="BV49" t="s">
        <v>334</v>
      </c>
      <c r="BW49" t="s">
        <v>37</v>
      </c>
      <c r="BX49" t="s">
        <v>335</v>
      </c>
      <c r="BY49" t="s">
        <v>37</v>
      </c>
      <c r="BZ49" t="s">
        <v>336</v>
      </c>
      <c r="CA49" t="s">
        <v>37</v>
      </c>
      <c r="CB49" t="s">
        <v>337</v>
      </c>
      <c r="CC49" t="s">
        <v>37</v>
      </c>
      <c r="CD49" t="s">
        <v>338</v>
      </c>
      <c r="CE49" t="s">
        <v>37</v>
      </c>
      <c r="CF49" t="s">
        <v>339</v>
      </c>
      <c r="CG49" t="s">
        <v>37</v>
      </c>
      <c r="CH49" t="s">
        <v>340</v>
      </c>
      <c r="CI49" t="s">
        <v>37</v>
      </c>
      <c r="CJ49" t="s">
        <v>341</v>
      </c>
      <c r="CK49" t="s">
        <v>37</v>
      </c>
      <c r="CL49" t="s">
        <v>342</v>
      </c>
      <c r="CM49" t="s">
        <v>37</v>
      </c>
      <c r="CN49" t="s">
        <v>343</v>
      </c>
      <c r="CO49" t="s">
        <v>37</v>
      </c>
      <c r="CP49" t="s">
        <v>344</v>
      </c>
      <c r="CQ49" t="s">
        <v>37</v>
      </c>
      <c r="CR49" t="s">
        <v>345</v>
      </c>
      <c r="CS49" t="s">
        <v>37</v>
      </c>
      <c r="CT49" t="s">
        <v>346</v>
      </c>
      <c r="CU49" t="s">
        <v>37</v>
      </c>
      <c r="CV49" t="s">
        <v>347</v>
      </c>
      <c r="CW49" t="s">
        <v>37</v>
      </c>
      <c r="CX49" t="s">
        <v>348</v>
      </c>
      <c r="CY49" t="s">
        <v>37</v>
      </c>
      <c r="CZ49" t="s">
        <v>349</v>
      </c>
      <c r="DA49" t="s">
        <v>37</v>
      </c>
      <c r="DB49" t="s">
        <v>350</v>
      </c>
      <c r="DC49" t="s">
        <v>37</v>
      </c>
      <c r="DD49" t="s">
        <v>351</v>
      </c>
      <c r="DE49" t="s">
        <v>37</v>
      </c>
      <c r="DF49" t="s">
        <v>352</v>
      </c>
      <c r="DG49" t="s">
        <v>37</v>
      </c>
      <c r="DH49" t="s">
        <v>353</v>
      </c>
      <c r="DI49" t="s">
        <v>37</v>
      </c>
      <c r="DJ49" t="s">
        <v>354</v>
      </c>
      <c r="DK49" t="s">
        <v>37</v>
      </c>
      <c r="DL49" t="s">
        <v>355</v>
      </c>
      <c r="DM49" t="s">
        <v>37</v>
      </c>
      <c r="DN49" t="s">
        <v>356</v>
      </c>
      <c r="DO49" t="s">
        <v>37</v>
      </c>
      <c r="DP49" t="s">
        <v>357</v>
      </c>
      <c r="DQ49" t="s">
        <v>37</v>
      </c>
      <c r="DR49" t="s">
        <v>358</v>
      </c>
      <c r="DS49" t="s">
        <v>37</v>
      </c>
      <c r="DT49" t="s">
        <v>359</v>
      </c>
      <c r="DU49" t="s">
        <v>37</v>
      </c>
      <c r="DV49" t="s">
        <v>360</v>
      </c>
      <c r="DW49" t="s">
        <v>37</v>
      </c>
      <c r="DX49" t="s">
        <v>361</v>
      </c>
      <c r="DY49" t="s">
        <v>37</v>
      </c>
      <c r="DZ49" t="s">
        <v>362</v>
      </c>
      <c r="EA49" t="s">
        <v>37</v>
      </c>
      <c r="EB49" t="s">
        <v>363</v>
      </c>
      <c r="EC49" t="s">
        <v>37</v>
      </c>
      <c r="ED49" t="s">
        <v>364</v>
      </c>
      <c r="EE49" t="s">
        <v>37</v>
      </c>
      <c r="EF49" t="s">
        <v>365</v>
      </c>
      <c r="EG49" t="s">
        <v>37</v>
      </c>
      <c r="EH49" t="s">
        <v>366</v>
      </c>
      <c r="EI49" t="s">
        <v>37</v>
      </c>
      <c r="EJ49" t="s">
        <v>367</v>
      </c>
      <c r="EK49" t="s">
        <v>37</v>
      </c>
      <c r="EL49" t="s">
        <v>368</v>
      </c>
      <c r="EM49" t="s">
        <v>37</v>
      </c>
      <c r="EN49" t="s">
        <v>369</v>
      </c>
      <c r="EO49" t="s">
        <v>37</v>
      </c>
      <c r="EP49" t="s">
        <v>370</v>
      </c>
      <c r="EQ49" t="s">
        <v>37</v>
      </c>
      <c r="ER49" t="s">
        <v>371</v>
      </c>
      <c r="ES49" t="s">
        <v>37</v>
      </c>
      <c r="ET49" t="s">
        <v>372</v>
      </c>
      <c r="EU49" t="s">
        <v>37</v>
      </c>
      <c r="EV49" t="s">
        <v>373</v>
      </c>
      <c r="EW49" t="s">
        <v>37</v>
      </c>
      <c r="EX49" t="s">
        <v>374</v>
      </c>
      <c r="EY49" t="s">
        <v>37</v>
      </c>
      <c r="EZ49" t="s">
        <v>375</v>
      </c>
      <c r="FA49" t="s">
        <v>37</v>
      </c>
      <c r="FB49" t="s">
        <v>376</v>
      </c>
      <c r="FC49" t="s">
        <v>37</v>
      </c>
      <c r="FD49" t="s">
        <v>377</v>
      </c>
      <c r="FE49" t="s">
        <v>37</v>
      </c>
      <c r="FF49" t="s">
        <v>378</v>
      </c>
      <c r="FG49" t="s">
        <v>37</v>
      </c>
      <c r="FH49" t="s">
        <v>379</v>
      </c>
      <c r="FI49" t="s">
        <v>37</v>
      </c>
      <c r="FJ49" t="s">
        <v>380</v>
      </c>
      <c r="FK49" t="s">
        <v>37</v>
      </c>
      <c r="FL49" t="s">
        <v>381</v>
      </c>
      <c r="FM49" t="s">
        <v>37</v>
      </c>
      <c r="FN49" t="s">
        <v>382</v>
      </c>
      <c r="FO49" t="s">
        <v>37</v>
      </c>
      <c r="FP49" t="s">
        <v>383</v>
      </c>
      <c r="FQ49" t="s">
        <v>37</v>
      </c>
      <c r="FR49" t="s">
        <v>384</v>
      </c>
      <c r="FS49" t="s">
        <v>37</v>
      </c>
      <c r="FT49" t="s">
        <v>385</v>
      </c>
      <c r="FU49" t="s">
        <v>37</v>
      </c>
      <c r="FV49" t="s">
        <v>386</v>
      </c>
      <c r="FW49" t="s">
        <v>37</v>
      </c>
      <c r="FX49" t="s">
        <v>387</v>
      </c>
      <c r="FY49" t="s">
        <v>37</v>
      </c>
      <c r="FZ49" t="s">
        <v>388</v>
      </c>
      <c r="GA49" t="s">
        <v>37</v>
      </c>
      <c r="GB49" t="s">
        <v>389</v>
      </c>
      <c r="GC49" t="s">
        <v>37</v>
      </c>
      <c r="GD49" t="s">
        <v>390</v>
      </c>
      <c r="GE49" t="s">
        <v>37</v>
      </c>
      <c r="GF49" t="s">
        <v>391</v>
      </c>
      <c r="GG49" t="s">
        <v>37</v>
      </c>
      <c r="GH49" t="s">
        <v>392</v>
      </c>
      <c r="GI49" t="s">
        <v>37</v>
      </c>
      <c r="GJ49" t="s">
        <v>393</v>
      </c>
      <c r="GK49" t="s">
        <v>37</v>
      </c>
      <c r="GL49" t="s">
        <v>394</v>
      </c>
      <c r="GM49" t="s">
        <v>37</v>
      </c>
      <c r="GN49" t="s">
        <v>395</v>
      </c>
      <c r="GO49" t="s">
        <v>37</v>
      </c>
      <c r="GP49" t="s">
        <v>396</v>
      </c>
      <c r="GQ49" t="s">
        <v>37</v>
      </c>
      <c r="GR49" t="s">
        <v>397</v>
      </c>
      <c r="GS49" t="s">
        <v>37</v>
      </c>
      <c r="GT49" t="s">
        <v>398</v>
      </c>
      <c r="GU49" t="s">
        <v>37</v>
      </c>
      <c r="GV49" t="s">
        <v>399</v>
      </c>
      <c r="GW49" t="s">
        <v>37</v>
      </c>
      <c r="GX49" t="s">
        <v>400</v>
      </c>
      <c r="GY49" t="s">
        <v>37</v>
      </c>
      <c r="GZ49" t="s">
        <v>401</v>
      </c>
      <c r="HA49" t="s">
        <v>37</v>
      </c>
      <c r="HB49" t="s">
        <v>29</v>
      </c>
      <c r="HC49" t="s">
        <v>37</v>
      </c>
      <c r="HD49" t="s">
        <v>402</v>
      </c>
      <c r="HE49" t="s">
        <v>37</v>
      </c>
      <c r="HF49" t="s">
        <v>403</v>
      </c>
      <c r="HG49" t="s">
        <v>37</v>
      </c>
      <c r="HH49" t="s">
        <v>404</v>
      </c>
      <c r="HI49" t="s">
        <v>37</v>
      </c>
      <c r="HJ49" t="s">
        <v>405</v>
      </c>
      <c r="HK49" t="s">
        <v>37</v>
      </c>
    </row>
    <row r="50" spans="1:219">
      <c r="C50" t="s">
        <v>37</v>
      </c>
      <c r="E50" t="s">
        <v>37</v>
      </c>
      <c r="G50" t="s">
        <v>37</v>
      </c>
      <c r="I50" t="s">
        <v>37</v>
      </c>
      <c r="K50" s="48" t="s">
        <v>37</v>
      </c>
      <c r="L50" s="49"/>
      <c r="M50" s="48" t="s">
        <v>37</v>
      </c>
      <c r="N50" s="49"/>
      <c r="O50" s="48" t="s">
        <v>37</v>
      </c>
      <c r="P50" s="49"/>
      <c r="Q50" s="48" t="s">
        <v>37</v>
      </c>
      <c r="R50" s="49"/>
      <c r="S50" s="48" t="s">
        <v>37</v>
      </c>
      <c r="U50" t="s">
        <v>37</v>
      </c>
      <c r="W50" t="s">
        <v>37</v>
      </c>
      <c r="Y50" t="s">
        <v>37</v>
      </c>
      <c r="AA50" t="s">
        <v>37</v>
      </c>
      <c r="AC50" t="s">
        <v>37</v>
      </c>
      <c r="AE50" t="s">
        <v>37</v>
      </c>
      <c r="AG50" t="s">
        <v>37</v>
      </c>
      <c r="AI50" t="s">
        <v>37</v>
      </c>
      <c r="AK50" t="s">
        <v>37</v>
      </c>
      <c r="AM50" t="s">
        <v>37</v>
      </c>
      <c r="AO50" t="s">
        <v>37</v>
      </c>
      <c r="AQ50" t="s">
        <v>37</v>
      </c>
      <c r="AS50" t="s">
        <v>37</v>
      </c>
      <c r="AU50" t="s">
        <v>37</v>
      </c>
      <c r="AW50" t="s">
        <v>37</v>
      </c>
      <c r="AY50" t="s">
        <v>37</v>
      </c>
      <c r="BA50" t="s">
        <v>37</v>
      </c>
      <c r="BC50" t="s">
        <v>37</v>
      </c>
      <c r="BE50" t="s">
        <v>37</v>
      </c>
      <c r="BG50" t="s">
        <v>37</v>
      </c>
      <c r="BI50" t="s">
        <v>37</v>
      </c>
      <c r="BK50" t="s">
        <v>37</v>
      </c>
      <c r="BM50" t="s">
        <v>37</v>
      </c>
      <c r="BO50" t="s">
        <v>37</v>
      </c>
      <c r="BQ50" t="s">
        <v>37</v>
      </c>
      <c r="BS50" t="s">
        <v>37</v>
      </c>
      <c r="BU50" t="s">
        <v>37</v>
      </c>
      <c r="BW50" t="s">
        <v>37</v>
      </c>
      <c r="BY50" t="s">
        <v>37</v>
      </c>
      <c r="CA50" t="s">
        <v>37</v>
      </c>
      <c r="CC50" t="s">
        <v>37</v>
      </c>
      <c r="CE50" t="s">
        <v>37</v>
      </c>
      <c r="CG50" t="s">
        <v>37</v>
      </c>
      <c r="CI50" t="s">
        <v>37</v>
      </c>
      <c r="CK50" t="s">
        <v>37</v>
      </c>
      <c r="CM50" t="s">
        <v>37</v>
      </c>
      <c r="CO50" t="s">
        <v>37</v>
      </c>
      <c r="CQ50" t="s">
        <v>37</v>
      </c>
      <c r="CS50" t="s">
        <v>37</v>
      </c>
      <c r="CU50" t="s">
        <v>37</v>
      </c>
      <c r="CW50" t="s">
        <v>37</v>
      </c>
      <c r="CY50" t="s">
        <v>37</v>
      </c>
      <c r="DA50" t="s">
        <v>37</v>
      </c>
      <c r="DC50" t="s">
        <v>37</v>
      </c>
      <c r="DE50" t="s">
        <v>37</v>
      </c>
      <c r="DG50" t="s">
        <v>37</v>
      </c>
      <c r="DI50" t="s">
        <v>37</v>
      </c>
      <c r="DK50" t="s">
        <v>37</v>
      </c>
      <c r="DM50" t="s">
        <v>37</v>
      </c>
      <c r="DO50" t="s">
        <v>37</v>
      </c>
      <c r="DQ50" t="s">
        <v>37</v>
      </c>
      <c r="DS50" t="s">
        <v>37</v>
      </c>
      <c r="DU50" t="s">
        <v>37</v>
      </c>
      <c r="DW50" t="s">
        <v>37</v>
      </c>
      <c r="DY50" t="s">
        <v>37</v>
      </c>
      <c r="EA50" t="s">
        <v>37</v>
      </c>
      <c r="EC50" t="s">
        <v>37</v>
      </c>
      <c r="EE50" t="s">
        <v>37</v>
      </c>
      <c r="EG50" t="s">
        <v>37</v>
      </c>
      <c r="EI50" t="s">
        <v>37</v>
      </c>
      <c r="EK50" t="s">
        <v>37</v>
      </c>
      <c r="EM50" t="s">
        <v>37</v>
      </c>
      <c r="EO50" t="s">
        <v>37</v>
      </c>
      <c r="EQ50" t="s">
        <v>37</v>
      </c>
      <c r="ES50" t="s">
        <v>37</v>
      </c>
      <c r="EU50" t="s">
        <v>37</v>
      </c>
      <c r="EW50" t="s">
        <v>37</v>
      </c>
      <c r="EY50" t="s">
        <v>37</v>
      </c>
      <c r="FA50" t="s">
        <v>37</v>
      </c>
      <c r="FC50" t="s">
        <v>37</v>
      </c>
      <c r="FE50" t="s">
        <v>37</v>
      </c>
      <c r="FG50" t="s">
        <v>37</v>
      </c>
      <c r="FI50" t="s">
        <v>37</v>
      </c>
      <c r="FK50" t="s">
        <v>37</v>
      </c>
      <c r="FM50" t="s">
        <v>37</v>
      </c>
      <c r="FO50" t="s">
        <v>37</v>
      </c>
      <c r="FQ50" t="s">
        <v>37</v>
      </c>
      <c r="FS50" t="s">
        <v>37</v>
      </c>
      <c r="FU50" t="s">
        <v>37</v>
      </c>
      <c r="FW50" t="s">
        <v>37</v>
      </c>
      <c r="FY50" t="s">
        <v>37</v>
      </c>
      <c r="GA50" t="s">
        <v>37</v>
      </c>
      <c r="GC50" t="s">
        <v>37</v>
      </c>
      <c r="GE50" t="s">
        <v>37</v>
      </c>
      <c r="GG50" t="s">
        <v>37</v>
      </c>
      <c r="GI50" t="s">
        <v>37</v>
      </c>
      <c r="GK50" t="s">
        <v>37</v>
      </c>
      <c r="GM50" t="s">
        <v>37</v>
      </c>
      <c r="GO50" t="s">
        <v>37</v>
      </c>
      <c r="GQ50" t="s">
        <v>37</v>
      </c>
      <c r="GS50" t="s">
        <v>37</v>
      </c>
      <c r="GU50" t="s">
        <v>37</v>
      </c>
      <c r="GW50" t="s">
        <v>37</v>
      </c>
      <c r="GY50" t="s">
        <v>37</v>
      </c>
      <c r="HA50" t="s">
        <v>37</v>
      </c>
      <c r="HC50" t="s">
        <v>37</v>
      </c>
      <c r="HE50" t="s">
        <v>37</v>
      </c>
      <c r="HG50" t="s">
        <v>37</v>
      </c>
      <c r="HI50" t="s">
        <v>37</v>
      </c>
      <c r="HK50" t="s">
        <v>37</v>
      </c>
    </row>
    <row r="51" spans="1:219">
      <c r="A51">
        <v>1930</v>
      </c>
      <c r="B51" t="s">
        <v>82</v>
      </c>
      <c r="C51" t="s">
        <v>37</v>
      </c>
      <c r="D51">
        <v>238093</v>
      </c>
      <c r="E51" t="s">
        <v>37</v>
      </c>
      <c r="F51">
        <v>783662</v>
      </c>
      <c r="G51" t="s">
        <v>37</v>
      </c>
      <c r="H51">
        <v>123308</v>
      </c>
      <c r="I51" t="s">
        <v>37</v>
      </c>
      <c r="K51" s="48" t="s">
        <v>37</v>
      </c>
      <c r="L51" s="51">
        <v>250322</v>
      </c>
      <c r="M51" s="48" t="s">
        <v>37</v>
      </c>
      <c r="N51" s="51">
        <v>339304</v>
      </c>
      <c r="O51" s="48" t="s">
        <v>37</v>
      </c>
      <c r="P51" s="51">
        <v>348809</v>
      </c>
      <c r="Q51" s="48" t="s">
        <v>37</v>
      </c>
      <c r="R51" s="51">
        <v>197903</v>
      </c>
      <c r="S51" s="48" t="s">
        <v>37</v>
      </c>
      <c r="T51">
        <v>1024193</v>
      </c>
      <c r="U51" t="s">
        <v>37</v>
      </c>
      <c r="W51" t="s">
        <v>37</v>
      </c>
      <c r="Y51" t="s">
        <v>37</v>
      </c>
      <c r="Z51">
        <v>118057</v>
      </c>
      <c r="AA51" t="s">
        <v>37</v>
      </c>
      <c r="AB51">
        <v>233135</v>
      </c>
      <c r="AC51" t="s">
        <v>37</v>
      </c>
      <c r="AD51">
        <v>35406</v>
      </c>
      <c r="AE51" t="s">
        <v>37</v>
      </c>
      <c r="AF51">
        <v>89694</v>
      </c>
      <c r="AG51" t="s">
        <v>37</v>
      </c>
      <c r="AH51">
        <v>274088</v>
      </c>
      <c r="AI51" t="s">
        <v>37</v>
      </c>
      <c r="AK51" t="s">
        <v>37</v>
      </c>
      <c r="AL51">
        <v>589615</v>
      </c>
      <c r="AM51" t="s">
        <v>37</v>
      </c>
      <c r="AO51" t="s">
        <v>37</v>
      </c>
      <c r="AP51">
        <v>1853575</v>
      </c>
      <c r="AQ51" t="s">
        <v>37</v>
      </c>
      <c r="AR51">
        <v>393959</v>
      </c>
      <c r="AS51" t="s">
        <v>37</v>
      </c>
      <c r="AT51">
        <v>2350405</v>
      </c>
      <c r="AU51" t="s">
        <v>37</v>
      </c>
      <c r="AV51">
        <v>808773</v>
      </c>
      <c r="AW51" t="s">
        <v>37</v>
      </c>
      <c r="AX51">
        <v>678057</v>
      </c>
      <c r="AY51" t="s">
        <v>37</v>
      </c>
      <c r="AZ51">
        <v>418531</v>
      </c>
      <c r="BA51" t="s">
        <v>37</v>
      </c>
      <c r="BB51">
        <v>48749</v>
      </c>
      <c r="BC51" t="s">
        <v>37</v>
      </c>
      <c r="BD51">
        <v>528029</v>
      </c>
      <c r="BE51" t="s">
        <v>37</v>
      </c>
      <c r="BF51">
        <v>47717</v>
      </c>
      <c r="BG51" t="s">
        <v>37</v>
      </c>
      <c r="BI51" t="s">
        <v>37</v>
      </c>
      <c r="BJ51">
        <v>590638</v>
      </c>
      <c r="BK51" t="s">
        <v>37</v>
      </c>
      <c r="BL51">
        <v>698851</v>
      </c>
      <c r="BM51" t="s">
        <v>37</v>
      </c>
      <c r="BO51" t="s">
        <v>37</v>
      </c>
      <c r="BP51">
        <v>93836</v>
      </c>
      <c r="BQ51" t="s">
        <v>37</v>
      </c>
      <c r="BR51">
        <v>145610</v>
      </c>
      <c r="BS51" t="s">
        <v>37</v>
      </c>
      <c r="BT51">
        <v>72044</v>
      </c>
      <c r="BU51" t="s">
        <v>37</v>
      </c>
      <c r="BW51" t="s">
        <v>37</v>
      </c>
      <c r="BX51">
        <v>396232</v>
      </c>
      <c r="BY51" t="s">
        <v>37</v>
      </c>
      <c r="BZ51">
        <v>514672</v>
      </c>
      <c r="CA51" t="s">
        <v>37</v>
      </c>
      <c r="CC51" t="s">
        <v>37</v>
      </c>
      <c r="CD51">
        <v>204151</v>
      </c>
      <c r="CE51" t="s">
        <v>37</v>
      </c>
      <c r="CF51">
        <v>513930</v>
      </c>
      <c r="CG51" t="s">
        <v>37</v>
      </c>
      <c r="CH51">
        <v>1453990</v>
      </c>
      <c r="CI51" t="s">
        <v>37</v>
      </c>
      <c r="CJ51">
        <v>550350</v>
      </c>
      <c r="CK51" t="s">
        <v>37</v>
      </c>
      <c r="CL51">
        <v>294671</v>
      </c>
      <c r="CM51" t="s">
        <v>37</v>
      </c>
      <c r="CN51">
        <v>86627</v>
      </c>
      <c r="CO51" t="s">
        <v>37</v>
      </c>
      <c r="CP51">
        <v>1740184</v>
      </c>
      <c r="CQ51" t="s">
        <v>37</v>
      </c>
      <c r="CR51">
        <v>1333471</v>
      </c>
      <c r="CS51" t="s">
        <v>37</v>
      </c>
      <c r="CT51">
        <v>3496993</v>
      </c>
      <c r="CU51" t="s">
        <v>37</v>
      </c>
      <c r="CV51">
        <v>191334</v>
      </c>
      <c r="CW51" t="s">
        <v>37</v>
      </c>
      <c r="CX51">
        <v>128742</v>
      </c>
      <c r="CY51" t="s">
        <v>37</v>
      </c>
      <c r="CZ51">
        <v>16760</v>
      </c>
      <c r="DA51" t="s">
        <v>37</v>
      </c>
      <c r="DC51" t="s">
        <v>37</v>
      </c>
      <c r="DD51">
        <v>170077</v>
      </c>
      <c r="DE51" t="s">
        <v>37</v>
      </c>
      <c r="DF51">
        <v>70043</v>
      </c>
      <c r="DG51" t="s">
        <v>37</v>
      </c>
      <c r="DH51">
        <v>4472998</v>
      </c>
      <c r="DI51" t="s">
        <v>37</v>
      </c>
      <c r="DJ51">
        <v>499539</v>
      </c>
      <c r="DK51" t="s">
        <v>37</v>
      </c>
      <c r="DL51">
        <v>451070</v>
      </c>
      <c r="DM51" t="s">
        <v>37</v>
      </c>
      <c r="DN51">
        <v>567769</v>
      </c>
      <c r="DO51" t="s">
        <v>37</v>
      </c>
      <c r="DP51">
        <v>540947</v>
      </c>
      <c r="DQ51" t="s">
        <v>37</v>
      </c>
      <c r="DR51">
        <v>794363</v>
      </c>
      <c r="DS51" t="s">
        <v>37</v>
      </c>
      <c r="DT51">
        <v>300706</v>
      </c>
      <c r="DU51" t="s">
        <v>37</v>
      </c>
      <c r="DV51">
        <v>360538</v>
      </c>
      <c r="DW51" t="s">
        <v>37</v>
      </c>
      <c r="DX51">
        <v>429272</v>
      </c>
      <c r="DY51" t="s">
        <v>37</v>
      </c>
      <c r="DZ51">
        <v>253791</v>
      </c>
      <c r="EA51" t="s">
        <v>37</v>
      </c>
      <c r="EB51">
        <v>193043</v>
      </c>
      <c r="EC51" t="s">
        <v>37</v>
      </c>
      <c r="ED51">
        <v>417085</v>
      </c>
      <c r="EE51" t="s">
        <v>37</v>
      </c>
      <c r="EF51">
        <v>12552</v>
      </c>
      <c r="EG51" t="s">
        <v>37</v>
      </c>
      <c r="EI51" t="s">
        <v>37</v>
      </c>
      <c r="EJ51">
        <v>1312128</v>
      </c>
      <c r="EK51" t="s">
        <v>37</v>
      </c>
      <c r="EL51">
        <v>1509980</v>
      </c>
      <c r="EM51" t="s">
        <v>37</v>
      </c>
      <c r="EN51">
        <v>106564</v>
      </c>
      <c r="EO51" t="s">
        <v>37</v>
      </c>
      <c r="EQ51" t="s">
        <v>37</v>
      </c>
      <c r="ER51">
        <v>171</v>
      </c>
      <c r="ES51" t="s">
        <v>37</v>
      </c>
      <c r="ET51">
        <v>554201</v>
      </c>
      <c r="EU51" t="s">
        <v>37</v>
      </c>
      <c r="EV51">
        <v>1594002</v>
      </c>
      <c r="EW51" t="s">
        <v>37</v>
      </c>
      <c r="EY51" t="s">
        <v>37</v>
      </c>
      <c r="EZ51">
        <v>911362</v>
      </c>
      <c r="FA51" t="s">
        <v>37</v>
      </c>
      <c r="FB51">
        <v>114493</v>
      </c>
      <c r="FC51" t="s">
        <v>37</v>
      </c>
      <c r="FD51">
        <v>704507</v>
      </c>
      <c r="FE51" t="s">
        <v>37</v>
      </c>
      <c r="FG51" t="s">
        <v>37</v>
      </c>
      <c r="FH51">
        <v>1443111</v>
      </c>
      <c r="FI51" t="s">
        <v>37</v>
      </c>
      <c r="FJ51">
        <v>100898</v>
      </c>
      <c r="FK51" t="s">
        <v>37</v>
      </c>
      <c r="FL51">
        <v>8227</v>
      </c>
      <c r="FM51" t="s">
        <v>37</v>
      </c>
      <c r="FN51">
        <v>87864</v>
      </c>
      <c r="FO51" t="s">
        <v>37</v>
      </c>
      <c r="FP51">
        <v>589137</v>
      </c>
      <c r="FQ51" t="s">
        <v>37</v>
      </c>
      <c r="FR51">
        <v>374281</v>
      </c>
      <c r="FS51" t="s">
        <v>37</v>
      </c>
      <c r="FT51">
        <v>256458</v>
      </c>
      <c r="FU51" t="s">
        <v>37</v>
      </c>
      <c r="FV51">
        <v>199092</v>
      </c>
      <c r="FW51" t="s">
        <v>37</v>
      </c>
      <c r="FX51">
        <v>268419</v>
      </c>
      <c r="FY51" t="s">
        <v>37</v>
      </c>
      <c r="FZ51">
        <v>637906</v>
      </c>
      <c r="GA51" t="s">
        <v>37</v>
      </c>
      <c r="GB51">
        <v>3879610</v>
      </c>
      <c r="GC51" t="s">
        <v>37</v>
      </c>
      <c r="GE51" t="s">
        <v>37</v>
      </c>
      <c r="GG51" t="s">
        <v>37</v>
      </c>
      <c r="GI51" t="s">
        <v>37</v>
      </c>
      <c r="GJ51">
        <v>398887</v>
      </c>
      <c r="GK51" t="s">
        <v>37</v>
      </c>
      <c r="GL51">
        <v>667104</v>
      </c>
      <c r="GM51" t="s">
        <v>37</v>
      </c>
      <c r="GO51" t="s">
        <v>37</v>
      </c>
      <c r="GP51">
        <v>330357</v>
      </c>
      <c r="GQ51" t="s">
        <v>37</v>
      </c>
      <c r="GR51">
        <v>1948021</v>
      </c>
      <c r="GS51" t="s">
        <v>37</v>
      </c>
      <c r="GT51">
        <v>471917</v>
      </c>
      <c r="GU51" t="s">
        <v>37</v>
      </c>
      <c r="GV51">
        <v>295421</v>
      </c>
      <c r="GW51" t="s">
        <v>37</v>
      </c>
      <c r="GX51">
        <v>447408</v>
      </c>
      <c r="GY51" t="s">
        <v>37</v>
      </c>
      <c r="GZ51">
        <v>298026</v>
      </c>
      <c r="HA51" t="s">
        <v>37</v>
      </c>
      <c r="HC51" t="s">
        <v>37</v>
      </c>
      <c r="HE51" t="s">
        <v>37</v>
      </c>
      <c r="HF51">
        <v>53339815</v>
      </c>
      <c r="HG51" t="s">
        <v>37</v>
      </c>
      <c r="HI51" t="s">
        <v>37</v>
      </c>
      <c r="HJ51">
        <v>53339815</v>
      </c>
      <c r="HK51" t="s">
        <v>37</v>
      </c>
    </row>
    <row r="52" spans="1:219">
      <c r="A52">
        <v>1931</v>
      </c>
      <c r="B52" t="s">
        <v>83</v>
      </c>
      <c r="C52" t="s">
        <v>37</v>
      </c>
      <c r="E52" t="s">
        <v>37</v>
      </c>
      <c r="G52" t="s">
        <v>37</v>
      </c>
      <c r="H52">
        <v>51175</v>
      </c>
      <c r="I52" t="s">
        <v>37</v>
      </c>
      <c r="K52" s="48" t="s">
        <v>37</v>
      </c>
      <c r="L52" s="50"/>
      <c r="M52" s="48" t="s">
        <v>37</v>
      </c>
      <c r="N52" s="50"/>
      <c r="O52" s="48" t="s">
        <v>37</v>
      </c>
      <c r="P52" s="50"/>
      <c r="Q52" s="48" t="s">
        <v>37</v>
      </c>
      <c r="R52" s="50"/>
      <c r="S52" s="48" t="s">
        <v>37</v>
      </c>
      <c r="U52" t="s">
        <v>37</v>
      </c>
      <c r="W52" t="s">
        <v>37</v>
      </c>
      <c r="Y52" t="s">
        <v>37</v>
      </c>
      <c r="AA52" t="s">
        <v>37</v>
      </c>
      <c r="AC52" t="s">
        <v>37</v>
      </c>
      <c r="AE52" t="s">
        <v>37</v>
      </c>
      <c r="AG52" t="s">
        <v>37</v>
      </c>
      <c r="AI52" t="s">
        <v>37</v>
      </c>
      <c r="AK52" t="s">
        <v>37</v>
      </c>
      <c r="AM52" t="s">
        <v>37</v>
      </c>
      <c r="AO52" t="s">
        <v>37</v>
      </c>
      <c r="AQ52" t="s">
        <v>37</v>
      </c>
      <c r="AS52" t="s">
        <v>37</v>
      </c>
      <c r="AU52" t="s">
        <v>37</v>
      </c>
      <c r="AW52" t="s">
        <v>37</v>
      </c>
      <c r="AY52" t="s">
        <v>37</v>
      </c>
      <c r="BA52" t="s">
        <v>37</v>
      </c>
      <c r="BC52" t="s">
        <v>37</v>
      </c>
      <c r="BE52" t="s">
        <v>37</v>
      </c>
      <c r="BG52" t="s">
        <v>37</v>
      </c>
      <c r="BI52" t="s">
        <v>37</v>
      </c>
      <c r="BK52" t="s">
        <v>37</v>
      </c>
      <c r="BM52" t="s">
        <v>37</v>
      </c>
      <c r="BO52" t="s">
        <v>37</v>
      </c>
      <c r="BQ52" t="s">
        <v>37</v>
      </c>
      <c r="BS52" t="s">
        <v>37</v>
      </c>
      <c r="BU52" t="s">
        <v>37</v>
      </c>
      <c r="BW52" t="s">
        <v>37</v>
      </c>
      <c r="BY52" t="s">
        <v>37</v>
      </c>
      <c r="CA52" t="s">
        <v>37</v>
      </c>
      <c r="CC52" t="s">
        <v>37</v>
      </c>
      <c r="CE52" t="s">
        <v>37</v>
      </c>
      <c r="CG52" t="s">
        <v>37</v>
      </c>
      <c r="CI52" t="s">
        <v>37</v>
      </c>
      <c r="CK52" t="s">
        <v>37</v>
      </c>
      <c r="CM52" t="s">
        <v>37</v>
      </c>
      <c r="CO52" t="s">
        <v>37</v>
      </c>
      <c r="CQ52" t="s">
        <v>37</v>
      </c>
      <c r="CS52" t="s">
        <v>37</v>
      </c>
      <c r="CT52">
        <v>29570</v>
      </c>
      <c r="CU52" t="s">
        <v>37</v>
      </c>
      <c r="CW52" t="s">
        <v>37</v>
      </c>
      <c r="CY52" t="s">
        <v>37</v>
      </c>
      <c r="DA52" t="s">
        <v>37</v>
      </c>
      <c r="DC52" t="s">
        <v>37</v>
      </c>
      <c r="DE52" t="s">
        <v>37</v>
      </c>
      <c r="DG52" t="s">
        <v>37</v>
      </c>
      <c r="DI52" t="s">
        <v>37</v>
      </c>
      <c r="DK52" t="s">
        <v>37</v>
      </c>
      <c r="DM52" t="s">
        <v>37</v>
      </c>
      <c r="DO52" t="s">
        <v>37</v>
      </c>
      <c r="DP52">
        <v>56951</v>
      </c>
      <c r="DQ52" t="s">
        <v>37</v>
      </c>
      <c r="DS52" t="s">
        <v>37</v>
      </c>
      <c r="DU52" t="s">
        <v>37</v>
      </c>
      <c r="DW52" t="s">
        <v>37</v>
      </c>
      <c r="DY52" t="s">
        <v>37</v>
      </c>
      <c r="EA52" t="s">
        <v>37</v>
      </c>
      <c r="EC52" t="s">
        <v>37</v>
      </c>
      <c r="EE52" t="s">
        <v>37</v>
      </c>
      <c r="EG52" t="s">
        <v>37</v>
      </c>
      <c r="EI52" t="s">
        <v>37</v>
      </c>
      <c r="EK52" t="s">
        <v>37</v>
      </c>
      <c r="EM52" t="s">
        <v>37</v>
      </c>
      <c r="EO52" t="s">
        <v>37</v>
      </c>
      <c r="EQ52" t="s">
        <v>37</v>
      </c>
      <c r="ES52" t="s">
        <v>37</v>
      </c>
      <c r="EU52" t="s">
        <v>37</v>
      </c>
      <c r="EW52" t="s">
        <v>37</v>
      </c>
      <c r="EY52" t="s">
        <v>37</v>
      </c>
      <c r="FA52" t="s">
        <v>37</v>
      </c>
      <c r="FC52" t="s">
        <v>37</v>
      </c>
      <c r="FE52" t="s">
        <v>37</v>
      </c>
      <c r="FG52" t="s">
        <v>37</v>
      </c>
      <c r="FI52" t="s">
        <v>37</v>
      </c>
      <c r="FK52" t="s">
        <v>37</v>
      </c>
      <c r="FM52" t="s">
        <v>37</v>
      </c>
      <c r="FO52" t="s">
        <v>37</v>
      </c>
      <c r="FQ52" t="s">
        <v>37</v>
      </c>
      <c r="FS52" t="s">
        <v>37</v>
      </c>
      <c r="FU52" t="s">
        <v>37</v>
      </c>
      <c r="FW52" t="s">
        <v>37</v>
      </c>
      <c r="FY52" t="s">
        <v>37</v>
      </c>
      <c r="GA52" t="s">
        <v>37</v>
      </c>
      <c r="GC52" t="s">
        <v>37</v>
      </c>
      <c r="GE52" t="s">
        <v>37</v>
      </c>
      <c r="GG52" t="s">
        <v>37</v>
      </c>
      <c r="GI52" t="s">
        <v>37</v>
      </c>
      <c r="GK52" t="s">
        <v>37</v>
      </c>
      <c r="GM52" t="s">
        <v>37</v>
      </c>
      <c r="GO52" t="s">
        <v>37</v>
      </c>
      <c r="GQ52" t="s">
        <v>37</v>
      </c>
      <c r="GS52" t="s">
        <v>37</v>
      </c>
      <c r="GU52" t="s">
        <v>37</v>
      </c>
      <c r="GW52" t="s">
        <v>37</v>
      </c>
      <c r="GY52" t="s">
        <v>37</v>
      </c>
      <c r="HA52" t="s">
        <v>37</v>
      </c>
      <c r="HC52" t="s">
        <v>37</v>
      </c>
      <c r="HE52" t="s">
        <v>37</v>
      </c>
      <c r="HF52">
        <v>137696</v>
      </c>
      <c r="HG52" t="s">
        <v>37</v>
      </c>
      <c r="HI52" t="s">
        <v>37</v>
      </c>
      <c r="HJ52">
        <v>137696</v>
      </c>
      <c r="HK52" t="s">
        <v>37</v>
      </c>
    </row>
    <row r="53" spans="1:219">
      <c r="A53">
        <v>1950</v>
      </c>
      <c r="B53" t="s">
        <v>84</v>
      </c>
      <c r="C53" t="s">
        <v>37</v>
      </c>
      <c r="D53">
        <v>47505</v>
      </c>
      <c r="E53" t="s">
        <v>37</v>
      </c>
      <c r="F53">
        <v>62260</v>
      </c>
      <c r="G53" t="s">
        <v>37</v>
      </c>
      <c r="I53" t="s">
        <v>37</v>
      </c>
      <c r="K53" s="48" t="s">
        <v>37</v>
      </c>
      <c r="L53" s="51">
        <v>21081</v>
      </c>
      <c r="M53" s="48" t="s">
        <v>37</v>
      </c>
      <c r="N53" s="50"/>
      <c r="O53" s="48" t="s">
        <v>37</v>
      </c>
      <c r="P53" s="50"/>
      <c r="Q53" s="48" t="s">
        <v>37</v>
      </c>
      <c r="R53" s="50"/>
      <c r="S53" s="48" t="s">
        <v>37</v>
      </c>
      <c r="T53">
        <v>42532</v>
      </c>
      <c r="U53" t="s">
        <v>37</v>
      </c>
      <c r="W53" t="s">
        <v>37</v>
      </c>
      <c r="X53">
        <v>4056</v>
      </c>
      <c r="Y53" t="s">
        <v>37</v>
      </c>
      <c r="AA53" t="s">
        <v>37</v>
      </c>
      <c r="AB53">
        <v>2818</v>
      </c>
      <c r="AC53" t="s">
        <v>37</v>
      </c>
      <c r="AE53" t="s">
        <v>37</v>
      </c>
      <c r="AG53" t="s">
        <v>37</v>
      </c>
      <c r="AI53" t="s">
        <v>37</v>
      </c>
      <c r="AK53" t="s">
        <v>37</v>
      </c>
      <c r="AL53">
        <v>8567</v>
      </c>
      <c r="AM53" t="s">
        <v>37</v>
      </c>
      <c r="AO53" t="s">
        <v>37</v>
      </c>
      <c r="AQ53" t="s">
        <v>37</v>
      </c>
      <c r="AR53">
        <v>47560</v>
      </c>
      <c r="AS53" t="s">
        <v>37</v>
      </c>
      <c r="AT53">
        <v>921293</v>
      </c>
      <c r="AU53" t="s">
        <v>37</v>
      </c>
      <c r="AV53">
        <v>20732</v>
      </c>
      <c r="AW53" t="s">
        <v>37</v>
      </c>
      <c r="AX53">
        <v>711</v>
      </c>
      <c r="AY53" t="s">
        <v>37</v>
      </c>
      <c r="AZ53">
        <v>3383</v>
      </c>
      <c r="BA53" t="s">
        <v>37</v>
      </c>
      <c r="BC53" t="s">
        <v>37</v>
      </c>
      <c r="BD53">
        <v>18061</v>
      </c>
      <c r="BE53" t="s">
        <v>37</v>
      </c>
      <c r="BG53" t="s">
        <v>37</v>
      </c>
      <c r="BI53" t="s">
        <v>37</v>
      </c>
      <c r="BK53" t="s">
        <v>37</v>
      </c>
      <c r="BM53" t="s">
        <v>37</v>
      </c>
      <c r="BO53" t="s">
        <v>37</v>
      </c>
      <c r="BP53">
        <v>549</v>
      </c>
      <c r="BQ53" t="s">
        <v>37</v>
      </c>
      <c r="BR53">
        <v>11146</v>
      </c>
      <c r="BS53" t="s">
        <v>37</v>
      </c>
      <c r="BT53">
        <v>5722</v>
      </c>
      <c r="BU53" t="s">
        <v>37</v>
      </c>
      <c r="BW53" t="s">
        <v>37</v>
      </c>
      <c r="BY53" t="s">
        <v>37</v>
      </c>
      <c r="BZ53">
        <v>67201</v>
      </c>
      <c r="CA53" t="s">
        <v>37</v>
      </c>
      <c r="CC53" t="s">
        <v>37</v>
      </c>
      <c r="CE53" t="s">
        <v>37</v>
      </c>
      <c r="CF53">
        <v>25032</v>
      </c>
      <c r="CG53" t="s">
        <v>37</v>
      </c>
      <c r="CH53">
        <v>2256</v>
      </c>
      <c r="CI53" t="s">
        <v>37</v>
      </c>
      <c r="CK53" t="s">
        <v>37</v>
      </c>
      <c r="CL53">
        <v>340</v>
      </c>
      <c r="CM53" t="s">
        <v>37</v>
      </c>
      <c r="CO53" t="s">
        <v>37</v>
      </c>
      <c r="CQ53" t="s">
        <v>37</v>
      </c>
      <c r="CR53">
        <v>1715</v>
      </c>
      <c r="CS53" t="s">
        <v>37</v>
      </c>
      <c r="CU53" t="s">
        <v>37</v>
      </c>
      <c r="CW53" t="s">
        <v>37</v>
      </c>
      <c r="CX53">
        <v>2452</v>
      </c>
      <c r="CY53" t="s">
        <v>37</v>
      </c>
      <c r="DA53" t="s">
        <v>37</v>
      </c>
      <c r="DC53" t="s">
        <v>37</v>
      </c>
      <c r="DD53">
        <v>17886</v>
      </c>
      <c r="DE53" t="s">
        <v>37</v>
      </c>
      <c r="DF53">
        <v>52780</v>
      </c>
      <c r="DG53" t="s">
        <v>37</v>
      </c>
      <c r="DH53">
        <v>68530</v>
      </c>
      <c r="DI53" t="s">
        <v>37</v>
      </c>
      <c r="DJ53">
        <v>2500</v>
      </c>
      <c r="DK53" t="s">
        <v>37</v>
      </c>
      <c r="DM53" t="s">
        <v>37</v>
      </c>
      <c r="DO53" t="s">
        <v>37</v>
      </c>
      <c r="DP53">
        <v>39572</v>
      </c>
      <c r="DQ53" t="s">
        <v>37</v>
      </c>
      <c r="DR53">
        <v>5359</v>
      </c>
      <c r="DS53" t="s">
        <v>37</v>
      </c>
      <c r="DT53">
        <v>135</v>
      </c>
      <c r="DU53" t="s">
        <v>37</v>
      </c>
      <c r="DV53">
        <v>12858</v>
      </c>
      <c r="DW53" t="s">
        <v>37</v>
      </c>
      <c r="DX53">
        <v>13675</v>
      </c>
      <c r="DY53" t="s">
        <v>37</v>
      </c>
      <c r="EA53" t="s">
        <v>37</v>
      </c>
      <c r="EC53" t="s">
        <v>37</v>
      </c>
      <c r="ED53">
        <v>-4752</v>
      </c>
      <c r="EE53" t="s">
        <v>37</v>
      </c>
      <c r="EF53">
        <v>18046</v>
      </c>
      <c r="EG53" t="s">
        <v>37</v>
      </c>
      <c r="EH53">
        <v>60</v>
      </c>
      <c r="EI53" t="s">
        <v>37</v>
      </c>
      <c r="EJ53">
        <v>1107</v>
      </c>
      <c r="EK53" t="s">
        <v>37</v>
      </c>
      <c r="EL53">
        <v>27202</v>
      </c>
      <c r="EM53" t="s">
        <v>37</v>
      </c>
      <c r="EN53">
        <v>848</v>
      </c>
      <c r="EO53" t="s">
        <v>37</v>
      </c>
      <c r="EQ53" t="s">
        <v>37</v>
      </c>
      <c r="ER53">
        <v>1807</v>
      </c>
      <c r="ES53" t="s">
        <v>37</v>
      </c>
      <c r="ET53">
        <v>2683</v>
      </c>
      <c r="EU53" t="s">
        <v>37</v>
      </c>
      <c r="EV53">
        <v>40326</v>
      </c>
      <c r="EW53" t="s">
        <v>37</v>
      </c>
      <c r="EY53" t="s">
        <v>37</v>
      </c>
      <c r="FA53" t="s">
        <v>37</v>
      </c>
      <c r="FB53">
        <v>98077</v>
      </c>
      <c r="FC53" t="s">
        <v>37</v>
      </c>
      <c r="FE53" t="s">
        <v>37</v>
      </c>
      <c r="FG53" t="s">
        <v>37</v>
      </c>
      <c r="FI53" t="s">
        <v>37</v>
      </c>
      <c r="FJ53">
        <v>-131013</v>
      </c>
      <c r="FK53" t="s">
        <v>37</v>
      </c>
      <c r="FL53">
        <v>573614</v>
      </c>
      <c r="FM53" t="s">
        <v>37</v>
      </c>
      <c r="FO53" t="s">
        <v>37</v>
      </c>
      <c r="FP53">
        <v>1022</v>
      </c>
      <c r="FQ53" t="s">
        <v>37</v>
      </c>
      <c r="FS53" t="s">
        <v>37</v>
      </c>
      <c r="FU53" t="s">
        <v>37</v>
      </c>
      <c r="FW53" t="s">
        <v>37</v>
      </c>
      <c r="FX53">
        <v>65</v>
      </c>
      <c r="FY53" t="s">
        <v>37</v>
      </c>
      <c r="FZ53">
        <v>1829</v>
      </c>
      <c r="GA53" t="s">
        <v>37</v>
      </c>
      <c r="GB53">
        <v>40018</v>
      </c>
      <c r="GC53" t="s">
        <v>37</v>
      </c>
      <c r="GE53" t="s">
        <v>37</v>
      </c>
      <c r="GG53" t="s">
        <v>37</v>
      </c>
      <c r="GI53" t="s">
        <v>37</v>
      </c>
      <c r="GJ53">
        <v>44311</v>
      </c>
      <c r="GK53" t="s">
        <v>37</v>
      </c>
      <c r="GL53">
        <v>92730</v>
      </c>
      <c r="GM53" t="s">
        <v>37</v>
      </c>
      <c r="GO53" t="s">
        <v>37</v>
      </c>
      <c r="GP53">
        <v>1140</v>
      </c>
      <c r="GQ53" t="s">
        <v>37</v>
      </c>
      <c r="GR53">
        <v>3475</v>
      </c>
      <c r="GS53" t="s">
        <v>37</v>
      </c>
      <c r="GU53" t="s">
        <v>37</v>
      </c>
      <c r="GW53" t="s">
        <v>37</v>
      </c>
      <c r="GY53" t="s">
        <v>37</v>
      </c>
      <c r="GZ53">
        <v>522</v>
      </c>
      <c r="HA53" t="s">
        <v>37</v>
      </c>
      <c r="HC53" t="s">
        <v>37</v>
      </c>
      <c r="HE53" t="s">
        <v>37</v>
      </c>
      <c r="HF53">
        <v>2343384</v>
      </c>
      <c r="HG53" t="s">
        <v>37</v>
      </c>
      <c r="HI53" t="s">
        <v>37</v>
      </c>
      <c r="HJ53">
        <v>2343384</v>
      </c>
      <c r="HK53" t="s">
        <v>37</v>
      </c>
    </row>
    <row r="54" spans="1:219">
      <c r="A54">
        <v>1990</v>
      </c>
      <c r="B54" t="s">
        <v>85</v>
      </c>
      <c r="C54" t="s">
        <v>37</v>
      </c>
      <c r="E54" t="s">
        <v>37</v>
      </c>
      <c r="G54" t="s">
        <v>37</v>
      </c>
      <c r="I54" t="s">
        <v>37</v>
      </c>
      <c r="K54" s="48" t="s">
        <v>37</v>
      </c>
      <c r="L54" s="50"/>
      <c r="M54" s="48" t="s">
        <v>37</v>
      </c>
      <c r="N54" s="50"/>
      <c r="O54" s="48" t="s">
        <v>37</v>
      </c>
      <c r="P54" s="50"/>
      <c r="Q54" s="48" t="s">
        <v>37</v>
      </c>
      <c r="R54" s="50"/>
      <c r="S54" s="48" t="s">
        <v>37</v>
      </c>
      <c r="U54" t="s">
        <v>37</v>
      </c>
      <c r="W54" t="s">
        <v>37</v>
      </c>
      <c r="Y54" t="s">
        <v>37</v>
      </c>
      <c r="AA54" t="s">
        <v>37</v>
      </c>
      <c r="AC54" t="s">
        <v>37</v>
      </c>
      <c r="AE54" t="s">
        <v>37</v>
      </c>
      <c r="AG54" t="s">
        <v>37</v>
      </c>
      <c r="AI54" t="s">
        <v>37</v>
      </c>
      <c r="AK54" t="s">
        <v>37</v>
      </c>
      <c r="AM54" t="s">
        <v>37</v>
      </c>
      <c r="AO54" t="s">
        <v>37</v>
      </c>
      <c r="AQ54" t="s">
        <v>37</v>
      </c>
      <c r="AS54" t="s">
        <v>37</v>
      </c>
      <c r="AU54" t="s">
        <v>37</v>
      </c>
      <c r="AW54" t="s">
        <v>37</v>
      </c>
      <c r="AY54" t="s">
        <v>37</v>
      </c>
      <c r="BA54" t="s">
        <v>37</v>
      </c>
      <c r="BC54" t="s">
        <v>37</v>
      </c>
      <c r="BE54" t="s">
        <v>37</v>
      </c>
      <c r="BG54" t="s">
        <v>37</v>
      </c>
      <c r="BI54" t="s">
        <v>37</v>
      </c>
      <c r="BK54" t="s">
        <v>37</v>
      </c>
      <c r="BM54" t="s">
        <v>37</v>
      </c>
      <c r="BO54" t="s">
        <v>37</v>
      </c>
      <c r="BQ54" t="s">
        <v>37</v>
      </c>
      <c r="BS54" t="s">
        <v>37</v>
      </c>
      <c r="BU54" t="s">
        <v>37</v>
      </c>
      <c r="BW54" t="s">
        <v>37</v>
      </c>
      <c r="BY54" t="s">
        <v>37</v>
      </c>
      <c r="CA54" t="s">
        <v>37</v>
      </c>
      <c r="CC54" t="s">
        <v>37</v>
      </c>
      <c r="CE54" t="s">
        <v>37</v>
      </c>
      <c r="CG54" t="s">
        <v>37</v>
      </c>
      <c r="CI54" t="s">
        <v>37</v>
      </c>
      <c r="CK54" t="s">
        <v>37</v>
      </c>
      <c r="CM54" t="s">
        <v>37</v>
      </c>
      <c r="CO54" t="s">
        <v>37</v>
      </c>
      <c r="CQ54" t="s">
        <v>37</v>
      </c>
      <c r="CS54" t="s">
        <v>37</v>
      </c>
      <c r="CU54" t="s">
        <v>37</v>
      </c>
      <c r="CW54" t="s">
        <v>37</v>
      </c>
      <c r="CY54" t="s">
        <v>37</v>
      </c>
      <c r="DA54" t="s">
        <v>37</v>
      </c>
      <c r="DC54" t="s">
        <v>37</v>
      </c>
      <c r="DE54" t="s">
        <v>37</v>
      </c>
      <c r="DG54" t="s">
        <v>37</v>
      </c>
      <c r="DI54" t="s">
        <v>37</v>
      </c>
      <c r="DK54" t="s">
        <v>37</v>
      </c>
      <c r="DM54" t="s">
        <v>37</v>
      </c>
      <c r="DO54" t="s">
        <v>37</v>
      </c>
      <c r="DQ54" t="s">
        <v>37</v>
      </c>
      <c r="DS54" t="s">
        <v>37</v>
      </c>
      <c r="DU54" t="s">
        <v>37</v>
      </c>
      <c r="DW54" t="s">
        <v>37</v>
      </c>
      <c r="DY54" t="s">
        <v>37</v>
      </c>
      <c r="EA54" t="s">
        <v>37</v>
      </c>
      <c r="EC54" t="s">
        <v>37</v>
      </c>
      <c r="EE54" t="s">
        <v>37</v>
      </c>
      <c r="EG54" t="s">
        <v>37</v>
      </c>
      <c r="EI54" t="s">
        <v>37</v>
      </c>
      <c r="EK54" t="s">
        <v>37</v>
      </c>
      <c r="EM54" t="s">
        <v>37</v>
      </c>
      <c r="EO54" t="s">
        <v>37</v>
      </c>
      <c r="EQ54" t="s">
        <v>37</v>
      </c>
      <c r="ES54" t="s">
        <v>37</v>
      </c>
      <c r="EU54" t="s">
        <v>37</v>
      </c>
      <c r="EW54" t="s">
        <v>37</v>
      </c>
      <c r="EY54" t="s">
        <v>37</v>
      </c>
      <c r="FA54" t="s">
        <v>37</v>
      </c>
      <c r="FC54" t="s">
        <v>37</v>
      </c>
      <c r="FE54" t="s">
        <v>37</v>
      </c>
      <c r="FG54" t="s">
        <v>37</v>
      </c>
      <c r="FI54" t="s">
        <v>37</v>
      </c>
      <c r="FK54" t="s">
        <v>37</v>
      </c>
      <c r="FM54" t="s">
        <v>37</v>
      </c>
      <c r="FO54" t="s">
        <v>37</v>
      </c>
      <c r="FQ54" t="s">
        <v>37</v>
      </c>
      <c r="FS54" t="s">
        <v>37</v>
      </c>
      <c r="FU54" t="s">
        <v>37</v>
      </c>
      <c r="FW54" t="s">
        <v>37</v>
      </c>
      <c r="FY54" t="s">
        <v>37</v>
      </c>
      <c r="GA54" t="s">
        <v>37</v>
      </c>
      <c r="GC54" t="s">
        <v>37</v>
      </c>
      <c r="GE54" t="s">
        <v>37</v>
      </c>
      <c r="GG54" t="s">
        <v>37</v>
      </c>
      <c r="GI54" t="s">
        <v>37</v>
      </c>
      <c r="GK54" t="s">
        <v>37</v>
      </c>
      <c r="GM54" t="s">
        <v>37</v>
      </c>
      <c r="GO54" t="s">
        <v>37</v>
      </c>
      <c r="GQ54" t="s">
        <v>37</v>
      </c>
      <c r="GS54" t="s">
        <v>37</v>
      </c>
      <c r="GU54" t="s">
        <v>37</v>
      </c>
      <c r="GW54" t="s">
        <v>37</v>
      </c>
      <c r="GY54" t="s">
        <v>37</v>
      </c>
      <c r="HA54" t="s">
        <v>37</v>
      </c>
      <c r="HC54" t="s">
        <v>37</v>
      </c>
      <c r="HE54" t="s">
        <v>37</v>
      </c>
      <c r="HG54" t="s">
        <v>37</v>
      </c>
      <c r="HI54" t="s">
        <v>37</v>
      </c>
      <c r="HK54" t="s">
        <v>37</v>
      </c>
    </row>
    <row r="55" spans="1:219">
      <c r="A55">
        <v>1992</v>
      </c>
      <c r="B55" t="s">
        <v>86</v>
      </c>
      <c r="C55" t="s">
        <v>37</v>
      </c>
      <c r="E55" t="s">
        <v>37</v>
      </c>
      <c r="G55" t="s">
        <v>37</v>
      </c>
      <c r="I55" t="s">
        <v>37</v>
      </c>
      <c r="K55" s="48" t="s">
        <v>37</v>
      </c>
      <c r="L55" s="51">
        <v>34546</v>
      </c>
      <c r="M55" s="48" t="s">
        <v>37</v>
      </c>
      <c r="N55" s="50"/>
      <c r="O55" s="48" t="s">
        <v>37</v>
      </c>
      <c r="P55" s="50"/>
      <c r="Q55" s="48" t="s">
        <v>37</v>
      </c>
      <c r="R55" s="50"/>
      <c r="S55" s="48" t="s">
        <v>37</v>
      </c>
      <c r="U55" t="s">
        <v>37</v>
      </c>
      <c r="V55">
        <v>9932</v>
      </c>
      <c r="W55" t="s">
        <v>37</v>
      </c>
      <c r="Y55" t="s">
        <v>37</v>
      </c>
      <c r="AA55" t="s">
        <v>37</v>
      </c>
      <c r="AC55" t="s">
        <v>37</v>
      </c>
      <c r="AE55" t="s">
        <v>37</v>
      </c>
      <c r="AG55" t="s">
        <v>37</v>
      </c>
      <c r="AI55" t="s">
        <v>37</v>
      </c>
      <c r="AK55" t="s">
        <v>37</v>
      </c>
      <c r="AM55" t="s">
        <v>37</v>
      </c>
      <c r="AO55" t="s">
        <v>37</v>
      </c>
      <c r="AQ55" t="s">
        <v>37</v>
      </c>
      <c r="AS55" t="s">
        <v>37</v>
      </c>
      <c r="AT55">
        <v>422227</v>
      </c>
      <c r="AU55" t="s">
        <v>37</v>
      </c>
      <c r="AW55" t="s">
        <v>37</v>
      </c>
      <c r="AY55" t="s">
        <v>37</v>
      </c>
      <c r="BA55" t="s">
        <v>37</v>
      </c>
      <c r="BC55" t="s">
        <v>37</v>
      </c>
      <c r="BE55" t="s">
        <v>37</v>
      </c>
      <c r="BG55" t="s">
        <v>37</v>
      </c>
      <c r="BI55" t="s">
        <v>37</v>
      </c>
      <c r="BK55" t="s">
        <v>37</v>
      </c>
      <c r="BM55" t="s">
        <v>37</v>
      </c>
      <c r="BO55" t="s">
        <v>37</v>
      </c>
      <c r="BQ55" t="s">
        <v>37</v>
      </c>
      <c r="BS55" t="s">
        <v>37</v>
      </c>
      <c r="BU55" t="s">
        <v>37</v>
      </c>
      <c r="BW55" t="s">
        <v>37</v>
      </c>
      <c r="BY55" t="s">
        <v>37</v>
      </c>
      <c r="CA55" t="s">
        <v>37</v>
      </c>
      <c r="CC55" t="s">
        <v>37</v>
      </c>
      <c r="CE55" t="s">
        <v>37</v>
      </c>
      <c r="CG55" t="s">
        <v>37</v>
      </c>
      <c r="CI55" t="s">
        <v>37</v>
      </c>
      <c r="CK55" t="s">
        <v>37</v>
      </c>
      <c r="CM55" t="s">
        <v>37</v>
      </c>
      <c r="CO55" t="s">
        <v>37</v>
      </c>
      <c r="CQ55" t="s">
        <v>37</v>
      </c>
      <c r="CS55" t="s">
        <v>37</v>
      </c>
      <c r="CT55">
        <v>8047</v>
      </c>
      <c r="CU55" t="s">
        <v>37</v>
      </c>
      <c r="CW55" t="s">
        <v>37</v>
      </c>
      <c r="CY55" t="s">
        <v>37</v>
      </c>
      <c r="DA55" t="s">
        <v>37</v>
      </c>
      <c r="DC55" t="s">
        <v>37</v>
      </c>
      <c r="DE55" t="s">
        <v>37</v>
      </c>
      <c r="DG55" t="s">
        <v>37</v>
      </c>
      <c r="DI55" t="s">
        <v>37</v>
      </c>
      <c r="DK55" t="s">
        <v>37</v>
      </c>
      <c r="DM55" t="s">
        <v>37</v>
      </c>
      <c r="DO55" t="s">
        <v>37</v>
      </c>
      <c r="DQ55" t="s">
        <v>37</v>
      </c>
      <c r="DS55" t="s">
        <v>37</v>
      </c>
      <c r="DU55" t="s">
        <v>37</v>
      </c>
      <c r="DW55" t="s">
        <v>37</v>
      </c>
      <c r="DY55" t="s">
        <v>37</v>
      </c>
      <c r="EA55" t="s">
        <v>37</v>
      </c>
      <c r="EB55">
        <v>4565</v>
      </c>
      <c r="EC55" t="s">
        <v>37</v>
      </c>
      <c r="EE55" t="s">
        <v>37</v>
      </c>
      <c r="EG55" t="s">
        <v>37</v>
      </c>
      <c r="EI55" t="s">
        <v>37</v>
      </c>
      <c r="EK55" t="s">
        <v>37</v>
      </c>
      <c r="EM55" t="s">
        <v>37</v>
      </c>
      <c r="EO55" t="s">
        <v>37</v>
      </c>
      <c r="EQ55" t="s">
        <v>37</v>
      </c>
      <c r="ES55" t="s">
        <v>37</v>
      </c>
      <c r="EU55" t="s">
        <v>37</v>
      </c>
      <c r="EW55" t="s">
        <v>37</v>
      </c>
      <c r="EY55" t="s">
        <v>37</v>
      </c>
      <c r="FA55" t="s">
        <v>37</v>
      </c>
      <c r="FC55" t="s">
        <v>37</v>
      </c>
      <c r="FE55" t="s">
        <v>37</v>
      </c>
      <c r="FG55" t="s">
        <v>37</v>
      </c>
      <c r="FI55" t="s">
        <v>37</v>
      </c>
      <c r="FK55" t="s">
        <v>37</v>
      </c>
      <c r="FM55" t="s">
        <v>37</v>
      </c>
      <c r="FO55" t="s">
        <v>37</v>
      </c>
      <c r="FQ55" t="s">
        <v>37</v>
      </c>
      <c r="FS55" t="s">
        <v>37</v>
      </c>
      <c r="FU55" t="s">
        <v>37</v>
      </c>
      <c r="FW55" t="s">
        <v>37</v>
      </c>
      <c r="FY55" t="s">
        <v>37</v>
      </c>
      <c r="GA55" t="s">
        <v>37</v>
      </c>
      <c r="GC55" t="s">
        <v>37</v>
      </c>
      <c r="GE55" t="s">
        <v>37</v>
      </c>
      <c r="GG55" t="s">
        <v>37</v>
      </c>
      <c r="GI55" t="s">
        <v>37</v>
      </c>
      <c r="GK55" t="s">
        <v>37</v>
      </c>
      <c r="GL55">
        <v>37</v>
      </c>
      <c r="GM55" t="s">
        <v>37</v>
      </c>
      <c r="GO55" t="s">
        <v>37</v>
      </c>
      <c r="GQ55" t="s">
        <v>37</v>
      </c>
      <c r="GS55" t="s">
        <v>37</v>
      </c>
      <c r="GU55" t="s">
        <v>37</v>
      </c>
      <c r="GV55">
        <v>17139</v>
      </c>
      <c r="GW55" t="s">
        <v>37</v>
      </c>
      <c r="GY55" t="s">
        <v>37</v>
      </c>
      <c r="HA55" t="s">
        <v>37</v>
      </c>
      <c r="HC55" t="s">
        <v>37</v>
      </c>
      <c r="HE55" t="s">
        <v>37</v>
      </c>
      <c r="HF55">
        <v>496493</v>
      </c>
      <c r="HG55" t="s">
        <v>37</v>
      </c>
      <c r="HI55" t="s">
        <v>37</v>
      </c>
      <c r="HJ55">
        <v>496493</v>
      </c>
      <c r="HK55" t="s">
        <v>37</v>
      </c>
    </row>
    <row r="56" spans="1:219">
      <c r="A56">
        <v>1993</v>
      </c>
      <c r="B56" t="s">
        <v>87</v>
      </c>
      <c r="C56" t="s">
        <v>37</v>
      </c>
      <c r="D56">
        <v>40028</v>
      </c>
      <c r="E56" t="s">
        <v>37</v>
      </c>
      <c r="F56">
        <v>4960</v>
      </c>
      <c r="G56" t="s">
        <v>37</v>
      </c>
      <c r="I56" t="s">
        <v>37</v>
      </c>
      <c r="K56" s="48" t="s">
        <v>37</v>
      </c>
      <c r="L56" s="51">
        <v>6657</v>
      </c>
      <c r="M56" s="48" t="s">
        <v>37</v>
      </c>
      <c r="N56" s="50"/>
      <c r="O56" s="48" t="s">
        <v>37</v>
      </c>
      <c r="P56" s="51">
        <v>2150</v>
      </c>
      <c r="Q56" s="48" t="s">
        <v>37</v>
      </c>
      <c r="R56" s="50"/>
      <c r="S56" s="48" t="s">
        <v>37</v>
      </c>
      <c r="T56">
        <v>9720</v>
      </c>
      <c r="U56" t="s">
        <v>37</v>
      </c>
      <c r="W56" t="s">
        <v>37</v>
      </c>
      <c r="Y56" t="s">
        <v>37</v>
      </c>
      <c r="Z56">
        <v>326</v>
      </c>
      <c r="AA56" t="s">
        <v>37</v>
      </c>
      <c r="AC56" t="s">
        <v>37</v>
      </c>
      <c r="AE56" t="s">
        <v>37</v>
      </c>
      <c r="AG56" t="s">
        <v>37</v>
      </c>
      <c r="AI56" t="s">
        <v>37</v>
      </c>
      <c r="AK56" t="s">
        <v>37</v>
      </c>
      <c r="AL56">
        <v>34855</v>
      </c>
      <c r="AM56" t="s">
        <v>37</v>
      </c>
      <c r="AO56" t="s">
        <v>37</v>
      </c>
      <c r="AP56">
        <v>102357</v>
      </c>
      <c r="AQ56" t="s">
        <v>37</v>
      </c>
      <c r="AS56" t="s">
        <v>37</v>
      </c>
      <c r="AT56">
        <v>609444</v>
      </c>
      <c r="AU56" t="s">
        <v>37</v>
      </c>
      <c r="AV56">
        <v>1020</v>
      </c>
      <c r="AW56" t="s">
        <v>37</v>
      </c>
      <c r="AY56" t="s">
        <v>37</v>
      </c>
      <c r="BA56" t="s">
        <v>37</v>
      </c>
      <c r="BC56" t="s">
        <v>37</v>
      </c>
      <c r="BD56">
        <v>16017</v>
      </c>
      <c r="BE56" t="s">
        <v>37</v>
      </c>
      <c r="BG56" t="s">
        <v>37</v>
      </c>
      <c r="BI56" t="s">
        <v>37</v>
      </c>
      <c r="BK56" t="s">
        <v>37</v>
      </c>
      <c r="BM56" t="s">
        <v>37</v>
      </c>
      <c r="BO56" t="s">
        <v>37</v>
      </c>
      <c r="BP56">
        <v>23908</v>
      </c>
      <c r="BQ56" t="s">
        <v>37</v>
      </c>
      <c r="BR56">
        <v>15490</v>
      </c>
      <c r="BS56" t="s">
        <v>37</v>
      </c>
      <c r="BU56" t="s">
        <v>37</v>
      </c>
      <c r="BW56" t="s">
        <v>37</v>
      </c>
      <c r="BX56">
        <v>103196</v>
      </c>
      <c r="BY56" t="s">
        <v>37</v>
      </c>
      <c r="BZ56">
        <v>50386</v>
      </c>
      <c r="CA56" t="s">
        <v>37</v>
      </c>
      <c r="CC56" t="s">
        <v>37</v>
      </c>
      <c r="CE56" t="s">
        <v>37</v>
      </c>
      <c r="CG56" t="s">
        <v>37</v>
      </c>
      <c r="CH56">
        <v>10517</v>
      </c>
      <c r="CI56" t="s">
        <v>37</v>
      </c>
      <c r="CK56" t="s">
        <v>37</v>
      </c>
      <c r="CM56" t="s">
        <v>37</v>
      </c>
      <c r="CO56" t="s">
        <v>37</v>
      </c>
      <c r="CQ56" t="s">
        <v>37</v>
      </c>
      <c r="CR56">
        <v>17222</v>
      </c>
      <c r="CS56" t="s">
        <v>37</v>
      </c>
      <c r="CT56">
        <v>88248</v>
      </c>
      <c r="CU56" t="s">
        <v>37</v>
      </c>
      <c r="CV56">
        <v>32120</v>
      </c>
      <c r="CW56" t="s">
        <v>37</v>
      </c>
      <c r="CX56">
        <v>3412</v>
      </c>
      <c r="CY56" t="s">
        <v>37</v>
      </c>
      <c r="DA56" t="s">
        <v>37</v>
      </c>
      <c r="DC56" t="s">
        <v>37</v>
      </c>
      <c r="DD56">
        <v>920</v>
      </c>
      <c r="DE56" t="s">
        <v>37</v>
      </c>
      <c r="DF56">
        <v>1508</v>
      </c>
      <c r="DG56" t="s">
        <v>37</v>
      </c>
      <c r="DH56">
        <v>66724</v>
      </c>
      <c r="DI56" t="s">
        <v>37</v>
      </c>
      <c r="DJ56">
        <v>8155</v>
      </c>
      <c r="DK56" t="s">
        <v>37</v>
      </c>
      <c r="DM56" t="s">
        <v>37</v>
      </c>
      <c r="DN56">
        <v>45600</v>
      </c>
      <c r="DO56" t="s">
        <v>37</v>
      </c>
      <c r="DQ56" t="s">
        <v>37</v>
      </c>
      <c r="DR56">
        <v>55899</v>
      </c>
      <c r="DS56" t="s">
        <v>37</v>
      </c>
      <c r="DU56" t="s">
        <v>37</v>
      </c>
      <c r="DV56">
        <v>269811</v>
      </c>
      <c r="DW56" t="s">
        <v>37</v>
      </c>
      <c r="DX56">
        <v>5593</v>
      </c>
      <c r="DY56" t="s">
        <v>37</v>
      </c>
      <c r="EA56" t="s">
        <v>37</v>
      </c>
      <c r="EB56">
        <v>24296</v>
      </c>
      <c r="EC56" t="s">
        <v>37</v>
      </c>
      <c r="EE56" t="s">
        <v>37</v>
      </c>
      <c r="EF56">
        <v>73876</v>
      </c>
      <c r="EG56" t="s">
        <v>37</v>
      </c>
      <c r="EH56">
        <v>11003</v>
      </c>
      <c r="EI56" t="s">
        <v>37</v>
      </c>
      <c r="EK56" t="s">
        <v>37</v>
      </c>
      <c r="EM56" t="s">
        <v>37</v>
      </c>
      <c r="EN56">
        <v>126631</v>
      </c>
      <c r="EO56" t="s">
        <v>37</v>
      </c>
      <c r="EQ56" t="s">
        <v>37</v>
      </c>
      <c r="ER56">
        <v>22594</v>
      </c>
      <c r="ES56" t="s">
        <v>37</v>
      </c>
      <c r="ET56">
        <v>25261</v>
      </c>
      <c r="EU56" t="s">
        <v>37</v>
      </c>
      <c r="EV56">
        <v>40336</v>
      </c>
      <c r="EW56" t="s">
        <v>37</v>
      </c>
      <c r="EY56" t="s">
        <v>37</v>
      </c>
      <c r="EZ56">
        <v>1009</v>
      </c>
      <c r="FA56" t="s">
        <v>37</v>
      </c>
      <c r="FC56" t="s">
        <v>37</v>
      </c>
      <c r="FD56">
        <v>806867</v>
      </c>
      <c r="FE56" t="s">
        <v>37</v>
      </c>
      <c r="FG56" t="s">
        <v>37</v>
      </c>
      <c r="FI56" t="s">
        <v>37</v>
      </c>
      <c r="FJ56">
        <v>109350</v>
      </c>
      <c r="FK56" t="s">
        <v>37</v>
      </c>
      <c r="FL56">
        <v>7108</v>
      </c>
      <c r="FM56" t="s">
        <v>37</v>
      </c>
      <c r="FO56" t="s">
        <v>37</v>
      </c>
      <c r="FP56">
        <v>12796</v>
      </c>
      <c r="FQ56" t="s">
        <v>37</v>
      </c>
      <c r="FS56" t="s">
        <v>37</v>
      </c>
      <c r="FT56">
        <v>23866</v>
      </c>
      <c r="FU56" t="s">
        <v>37</v>
      </c>
      <c r="FW56" t="s">
        <v>37</v>
      </c>
      <c r="FX56">
        <v>52248</v>
      </c>
      <c r="FY56" t="s">
        <v>37</v>
      </c>
      <c r="FZ56">
        <v>4207</v>
      </c>
      <c r="GA56" t="s">
        <v>37</v>
      </c>
      <c r="GB56">
        <v>23014</v>
      </c>
      <c r="GC56" t="s">
        <v>37</v>
      </c>
      <c r="GE56" t="s">
        <v>37</v>
      </c>
      <c r="GG56" t="s">
        <v>37</v>
      </c>
      <c r="GI56" t="s">
        <v>37</v>
      </c>
      <c r="GJ56">
        <v>28539</v>
      </c>
      <c r="GK56" t="s">
        <v>37</v>
      </c>
      <c r="GL56">
        <v>316</v>
      </c>
      <c r="GM56" t="s">
        <v>37</v>
      </c>
      <c r="GO56" t="s">
        <v>37</v>
      </c>
      <c r="GP56">
        <v>294231</v>
      </c>
      <c r="GQ56" t="s">
        <v>37</v>
      </c>
      <c r="GS56" t="s">
        <v>37</v>
      </c>
      <c r="GU56" t="s">
        <v>37</v>
      </c>
      <c r="GW56" t="s">
        <v>37</v>
      </c>
      <c r="GX56">
        <v>24663</v>
      </c>
      <c r="GY56" t="s">
        <v>37</v>
      </c>
      <c r="GZ56">
        <v>62115</v>
      </c>
      <c r="HA56" t="s">
        <v>37</v>
      </c>
      <c r="HC56" t="s">
        <v>37</v>
      </c>
      <c r="HE56" t="s">
        <v>37</v>
      </c>
      <c r="HF56">
        <v>3400569</v>
      </c>
      <c r="HG56" t="s">
        <v>37</v>
      </c>
      <c r="HI56" t="s">
        <v>37</v>
      </c>
      <c r="HJ56">
        <v>3400569</v>
      </c>
      <c r="HK56" t="s">
        <v>37</v>
      </c>
    </row>
    <row r="57" spans="1:219">
      <c r="A57">
        <v>1994</v>
      </c>
      <c r="B57" t="s">
        <v>88</v>
      </c>
      <c r="C57" t="s">
        <v>37</v>
      </c>
      <c r="E57" t="s">
        <v>37</v>
      </c>
      <c r="G57" t="s">
        <v>37</v>
      </c>
      <c r="I57" t="s">
        <v>37</v>
      </c>
      <c r="K57" s="48" t="s">
        <v>37</v>
      </c>
      <c r="L57" s="50"/>
      <c r="M57" s="48" t="s">
        <v>37</v>
      </c>
      <c r="N57" s="50"/>
      <c r="O57" s="48" t="s">
        <v>37</v>
      </c>
      <c r="P57" s="50"/>
      <c r="Q57" s="48" t="s">
        <v>37</v>
      </c>
      <c r="R57" s="50"/>
      <c r="S57" s="48" t="s">
        <v>37</v>
      </c>
      <c r="U57" t="s">
        <v>37</v>
      </c>
      <c r="W57" t="s">
        <v>37</v>
      </c>
      <c r="Y57" t="s">
        <v>37</v>
      </c>
      <c r="AA57" t="s">
        <v>37</v>
      </c>
      <c r="AC57" t="s">
        <v>37</v>
      </c>
      <c r="AE57" t="s">
        <v>37</v>
      </c>
      <c r="AG57" t="s">
        <v>37</v>
      </c>
      <c r="AI57" t="s">
        <v>37</v>
      </c>
      <c r="AK57" t="s">
        <v>37</v>
      </c>
      <c r="AM57" t="s">
        <v>37</v>
      </c>
      <c r="AO57" t="s">
        <v>37</v>
      </c>
      <c r="AP57">
        <v>4130</v>
      </c>
      <c r="AQ57" t="s">
        <v>37</v>
      </c>
      <c r="AS57" t="s">
        <v>37</v>
      </c>
      <c r="AU57" t="s">
        <v>37</v>
      </c>
      <c r="AW57" t="s">
        <v>37</v>
      </c>
      <c r="AY57" t="s">
        <v>37</v>
      </c>
      <c r="AZ57">
        <v>99089</v>
      </c>
      <c r="BA57" t="s">
        <v>37</v>
      </c>
      <c r="BC57" t="s">
        <v>37</v>
      </c>
      <c r="BE57" t="s">
        <v>37</v>
      </c>
      <c r="BG57" t="s">
        <v>37</v>
      </c>
      <c r="BI57" t="s">
        <v>37</v>
      </c>
      <c r="BK57" t="s">
        <v>37</v>
      </c>
      <c r="BM57" t="s">
        <v>37</v>
      </c>
      <c r="BO57" t="s">
        <v>37</v>
      </c>
      <c r="BQ57" t="s">
        <v>37</v>
      </c>
      <c r="BS57" t="s">
        <v>37</v>
      </c>
      <c r="BU57" t="s">
        <v>37</v>
      </c>
      <c r="BW57" t="s">
        <v>37</v>
      </c>
      <c r="BY57" t="s">
        <v>37</v>
      </c>
      <c r="CA57" t="s">
        <v>37</v>
      </c>
      <c r="CC57" t="s">
        <v>37</v>
      </c>
      <c r="CE57" t="s">
        <v>37</v>
      </c>
      <c r="CG57" t="s">
        <v>37</v>
      </c>
      <c r="CH57">
        <v>271790</v>
      </c>
      <c r="CI57" t="s">
        <v>37</v>
      </c>
      <c r="CK57" t="s">
        <v>37</v>
      </c>
      <c r="CM57" t="s">
        <v>37</v>
      </c>
      <c r="CO57" t="s">
        <v>37</v>
      </c>
      <c r="CQ57" t="s">
        <v>37</v>
      </c>
      <c r="CS57" t="s">
        <v>37</v>
      </c>
      <c r="CU57" t="s">
        <v>37</v>
      </c>
      <c r="CW57" t="s">
        <v>37</v>
      </c>
      <c r="CY57" t="s">
        <v>37</v>
      </c>
      <c r="DA57" t="s">
        <v>37</v>
      </c>
      <c r="DC57" t="s">
        <v>37</v>
      </c>
      <c r="DE57" t="s">
        <v>37</v>
      </c>
      <c r="DF57">
        <v>128105</v>
      </c>
      <c r="DG57" t="s">
        <v>37</v>
      </c>
      <c r="DH57">
        <v>53091</v>
      </c>
      <c r="DI57" t="s">
        <v>37</v>
      </c>
      <c r="DK57" t="s">
        <v>37</v>
      </c>
      <c r="DL57">
        <v>150000</v>
      </c>
      <c r="DM57" t="s">
        <v>37</v>
      </c>
      <c r="DO57" t="s">
        <v>37</v>
      </c>
      <c r="DQ57" t="s">
        <v>37</v>
      </c>
      <c r="DR57">
        <v>40</v>
      </c>
      <c r="DS57" t="s">
        <v>37</v>
      </c>
      <c r="DU57" t="s">
        <v>37</v>
      </c>
      <c r="DW57" t="s">
        <v>37</v>
      </c>
      <c r="DY57" t="s">
        <v>37</v>
      </c>
      <c r="EA57" t="s">
        <v>37</v>
      </c>
      <c r="EC57" t="s">
        <v>37</v>
      </c>
      <c r="EE57" t="s">
        <v>37</v>
      </c>
      <c r="EG57" t="s">
        <v>37</v>
      </c>
      <c r="EI57" t="s">
        <v>37</v>
      </c>
      <c r="EK57" t="s">
        <v>37</v>
      </c>
      <c r="EM57" t="s">
        <v>37</v>
      </c>
      <c r="EO57" t="s">
        <v>37</v>
      </c>
      <c r="EQ57" t="s">
        <v>37</v>
      </c>
      <c r="ES57" t="s">
        <v>37</v>
      </c>
      <c r="EU57" t="s">
        <v>37</v>
      </c>
      <c r="EW57" t="s">
        <v>37</v>
      </c>
      <c r="EY57" t="s">
        <v>37</v>
      </c>
      <c r="FA57" t="s">
        <v>37</v>
      </c>
      <c r="FC57" t="s">
        <v>37</v>
      </c>
      <c r="FE57" t="s">
        <v>37</v>
      </c>
      <c r="FG57" t="s">
        <v>37</v>
      </c>
      <c r="FI57" t="s">
        <v>37</v>
      </c>
      <c r="FK57" t="s">
        <v>37</v>
      </c>
      <c r="FM57" t="s">
        <v>37</v>
      </c>
      <c r="FO57" t="s">
        <v>37</v>
      </c>
      <c r="FQ57" t="s">
        <v>37</v>
      </c>
      <c r="FS57" t="s">
        <v>37</v>
      </c>
      <c r="FU57" t="s">
        <v>37</v>
      </c>
      <c r="FW57" t="s">
        <v>37</v>
      </c>
      <c r="FY57" t="s">
        <v>37</v>
      </c>
      <c r="GA57" t="s">
        <v>37</v>
      </c>
      <c r="GC57" t="s">
        <v>37</v>
      </c>
      <c r="GE57" t="s">
        <v>37</v>
      </c>
      <c r="GG57" t="s">
        <v>37</v>
      </c>
      <c r="GI57" t="s">
        <v>37</v>
      </c>
      <c r="GK57" t="s">
        <v>37</v>
      </c>
      <c r="GL57">
        <v>83782</v>
      </c>
      <c r="GM57" t="s">
        <v>37</v>
      </c>
      <c r="GO57" t="s">
        <v>37</v>
      </c>
      <c r="GQ57" t="s">
        <v>37</v>
      </c>
      <c r="GS57" t="s">
        <v>37</v>
      </c>
      <c r="GU57" t="s">
        <v>37</v>
      </c>
      <c r="GW57" t="s">
        <v>37</v>
      </c>
      <c r="GX57">
        <v>799051</v>
      </c>
      <c r="GY57" t="s">
        <v>37</v>
      </c>
      <c r="HA57" t="s">
        <v>37</v>
      </c>
      <c r="HC57" t="s">
        <v>37</v>
      </c>
      <c r="HE57" t="s">
        <v>37</v>
      </c>
      <c r="HF57">
        <v>1589078</v>
      </c>
      <c r="HG57" t="s">
        <v>37</v>
      </c>
      <c r="HI57" t="s">
        <v>37</v>
      </c>
      <c r="HJ57">
        <v>1589078</v>
      </c>
      <c r="HK57" t="s">
        <v>37</v>
      </c>
    </row>
    <row r="58" spans="1:219">
      <c r="A58">
        <v>1999</v>
      </c>
      <c r="B58" t="s">
        <v>89</v>
      </c>
      <c r="C58" t="s">
        <v>37</v>
      </c>
      <c r="D58">
        <v>122035</v>
      </c>
      <c r="E58" t="s">
        <v>37</v>
      </c>
      <c r="F58">
        <v>469459</v>
      </c>
      <c r="G58" t="s">
        <v>37</v>
      </c>
      <c r="H58">
        <v>145772</v>
      </c>
      <c r="I58" t="s">
        <v>37</v>
      </c>
      <c r="J58">
        <v>21532</v>
      </c>
      <c r="K58" s="48" t="s">
        <v>37</v>
      </c>
      <c r="L58" s="51">
        <v>122757</v>
      </c>
      <c r="M58" s="48" t="s">
        <v>37</v>
      </c>
      <c r="N58" s="51">
        <v>167828</v>
      </c>
      <c r="O58" s="48" t="s">
        <v>37</v>
      </c>
      <c r="P58" s="51">
        <v>178729</v>
      </c>
      <c r="Q58" s="48" t="s">
        <v>37</v>
      </c>
      <c r="R58" s="51">
        <v>231764</v>
      </c>
      <c r="S58" s="48" t="s">
        <v>37</v>
      </c>
      <c r="T58">
        <v>294441</v>
      </c>
      <c r="U58" t="s">
        <v>37</v>
      </c>
      <c r="V58">
        <v>85590</v>
      </c>
      <c r="W58" t="s">
        <v>37</v>
      </c>
      <c r="X58">
        <v>224824</v>
      </c>
      <c r="Y58" t="s">
        <v>37</v>
      </c>
      <c r="Z58">
        <v>48399</v>
      </c>
      <c r="AA58" t="s">
        <v>37</v>
      </c>
      <c r="AB58">
        <v>28544</v>
      </c>
      <c r="AC58" t="s">
        <v>37</v>
      </c>
      <c r="AD58">
        <v>56311</v>
      </c>
      <c r="AE58" t="s">
        <v>37</v>
      </c>
      <c r="AF58">
        <v>350217</v>
      </c>
      <c r="AG58" t="s">
        <v>37</v>
      </c>
      <c r="AH58">
        <v>74260</v>
      </c>
      <c r="AI58" t="s">
        <v>37</v>
      </c>
      <c r="AJ58">
        <v>5213</v>
      </c>
      <c r="AK58" t="s">
        <v>37</v>
      </c>
      <c r="AL58">
        <v>4116544</v>
      </c>
      <c r="AM58" t="s">
        <v>37</v>
      </c>
      <c r="AN58">
        <v>451165</v>
      </c>
      <c r="AO58" t="s">
        <v>37</v>
      </c>
      <c r="AP58">
        <v>2094179</v>
      </c>
      <c r="AQ58" t="s">
        <v>37</v>
      </c>
      <c r="AR58">
        <v>93015</v>
      </c>
      <c r="AS58" t="s">
        <v>37</v>
      </c>
      <c r="AT58">
        <v>8579224</v>
      </c>
      <c r="AU58" t="s">
        <v>37</v>
      </c>
      <c r="AV58">
        <v>327087</v>
      </c>
      <c r="AW58" t="s">
        <v>37</v>
      </c>
      <c r="AX58">
        <v>534728</v>
      </c>
      <c r="AY58" t="s">
        <v>37</v>
      </c>
      <c r="AZ58">
        <v>627432</v>
      </c>
      <c r="BA58" t="s">
        <v>37</v>
      </c>
      <c r="BB58">
        <v>351644</v>
      </c>
      <c r="BC58" t="s">
        <v>37</v>
      </c>
      <c r="BD58">
        <v>155508</v>
      </c>
      <c r="BE58" t="s">
        <v>37</v>
      </c>
      <c r="BF58">
        <v>113636</v>
      </c>
      <c r="BG58" t="s">
        <v>37</v>
      </c>
      <c r="BH58">
        <v>48590</v>
      </c>
      <c r="BI58" t="s">
        <v>37</v>
      </c>
      <c r="BJ58">
        <v>642474</v>
      </c>
      <c r="BK58" t="s">
        <v>37</v>
      </c>
      <c r="BL58">
        <v>7213033</v>
      </c>
      <c r="BM58" t="s">
        <v>37</v>
      </c>
      <c r="BN58">
        <v>27</v>
      </c>
      <c r="BO58" t="s">
        <v>37</v>
      </c>
      <c r="BP58">
        <v>350</v>
      </c>
      <c r="BQ58" t="s">
        <v>37</v>
      </c>
      <c r="BR58">
        <v>1990</v>
      </c>
      <c r="BS58" t="s">
        <v>37</v>
      </c>
      <c r="BT58">
        <v>84227</v>
      </c>
      <c r="BU58" t="s">
        <v>37</v>
      </c>
      <c r="BW58" t="s">
        <v>37</v>
      </c>
      <c r="BX58">
        <v>4263449</v>
      </c>
      <c r="BY58" t="s">
        <v>37</v>
      </c>
      <c r="BZ58">
        <v>10818</v>
      </c>
      <c r="CA58" t="s">
        <v>37</v>
      </c>
      <c r="CB58">
        <v>210</v>
      </c>
      <c r="CC58" t="s">
        <v>37</v>
      </c>
      <c r="CD58">
        <v>108138</v>
      </c>
      <c r="CE58" t="s">
        <v>37</v>
      </c>
      <c r="CF58">
        <v>421925</v>
      </c>
      <c r="CG58" t="s">
        <v>37</v>
      </c>
      <c r="CH58">
        <v>785497</v>
      </c>
      <c r="CI58" t="s">
        <v>37</v>
      </c>
      <c r="CJ58">
        <v>475219</v>
      </c>
      <c r="CK58" t="s">
        <v>37</v>
      </c>
      <c r="CL58">
        <v>110565</v>
      </c>
      <c r="CM58" t="s">
        <v>37</v>
      </c>
      <c r="CN58">
        <v>55986</v>
      </c>
      <c r="CO58" t="s">
        <v>37</v>
      </c>
      <c r="CP58">
        <v>497992</v>
      </c>
      <c r="CQ58" t="s">
        <v>37</v>
      </c>
      <c r="CR58">
        <v>409361</v>
      </c>
      <c r="CS58" t="s">
        <v>37</v>
      </c>
      <c r="CT58">
        <v>2481594</v>
      </c>
      <c r="CU58" t="s">
        <v>37</v>
      </c>
      <c r="CV58">
        <v>156617</v>
      </c>
      <c r="CW58" t="s">
        <v>37</v>
      </c>
      <c r="CX58">
        <v>60474</v>
      </c>
      <c r="CY58" t="s">
        <v>37</v>
      </c>
      <c r="CZ58">
        <v>7074</v>
      </c>
      <c r="DA58" t="s">
        <v>37</v>
      </c>
      <c r="DC58" t="s">
        <v>37</v>
      </c>
      <c r="DD58">
        <v>92322</v>
      </c>
      <c r="DE58" t="s">
        <v>37</v>
      </c>
      <c r="DF58">
        <v>100019</v>
      </c>
      <c r="DG58" t="s">
        <v>37</v>
      </c>
      <c r="DH58">
        <v>2396192</v>
      </c>
      <c r="DI58" t="s">
        <v>37</v>
      </c>
      <c r="DJ58">
        <v>76560</v>
      </c>
      <c r="DK58" t="s">
        <v>37</v>
      </c>
      <c r="DL58">
        <v>1176409</v>
      </c>
      <c r="DM58" t="s">
        <v>37</v>
      </c>
      <c r="DN58">
        <v>531063</v>
      </c>
      <c r="DO58" t="s">
        <v>37</v>
      </c>
      <c r="DP58">
        <v>382188</v>
      </c>
      <c r="DQ58" t="s">
        <v>37</v>
      </c>
      <c r="DR58">
        <v>132842</v>
      </c>
      <c r="DS58" t="s">
        <v>37</v>
      </c>
      <c r="DT58">
        <v>374077</v>
      </c>
      <c r="DU58" t="s">
        <v>37</v>
      </c>
      <c r="DV58">
        <v>757069</v>
      </c>
      <c r="DW58" t="s">
        <v>37</v>
      </c>
      <c r="DX58">
        <v>657938</v>
      </c>
      <c r="DY58" t="s">
        <v>37</v>
      </c>
      <c r="DZ58">
        <v>80009</v>
      </c>
      <c r="EA58" t="s">
        <v>37</v>
      </c>
      <c r="EB58">
        <v>47183</v>
      </c>
      <c r="EC58" t="s">
        <v>37</v>
      </c>
      <c r="ED58">
        <v>214746</v>
      </c>
      <c r="EE58" t="s">
        <v>37</v>
      </c>
      <c r="EF58">
        <v>315631</v>
      </c>
      <c r="EG58" t="s">
        <v>37</v>
      </c>
      <c r="EH58">
        <v>8123</v>
      </c>
      <c r="EI58" t="s">
        <v>37</v>
      </c>
      <c r="EJ58">
        <v>71812</v>
      </c>
      <c r="EK58" t="s">
        <v>37</v>
      </c>
      <c r="EL58">
        <v>16430</v>
      </c>
      <c r="EM58" t="s">
        <v>37</v>
      </c>
      <c r="EN58">
        <v>56788</v>
      </c>
      <c r="EO58" t="s">
        <v>37</v>
      </c>
      <c r="EP58">
        <v>7512</v>
      </c>
      <c r="EQ58" t="s">
        <v>37</v>
      </c>
      <c r="ER58">
        <v>90302</v>
      </c>
      <c r="ES58" t="s">
        <v>37</v>
      </c>
      <c r="ET58">
        <v>1392143</v>
      </c>
      <c r="EU58" t="s">
        <v>37</v>
      </c>
      <c r="EV58">
        <v>431816</v>
      </c>
      <c r="EW58" t="s">
        <v>37</v>
      </c>
      <c r="EY58" t="s">
        <v>37</v>
      </c>
      <c r="EZ58">
        <v>770250</v>
      </c>
      <c r="FA58" t="s">
        <v>37</v>
      </c>
      <c r="FB58">
        <v>25330</v>
      </c>
      <c r="FC58" t="s">
        <v>37</v>
      </c>
      <c r="FD58">
        <v>629660</v>
      </c>
      <c r="FE58" t="s">
        <v>37</v>
      </c>
      <c r="FG58" t="s">
        <v>37</v>
      </c>
      <c r="FH58">
        <v>308367</v>
      </c>
      <c r="FI58" t="s">
        <v>37</v>
      </c>
      <c r="FJ58">
        <v>2476342</v>
      </c>
      <c r="FK58" t="s">
        <v>37</v>
      </c>
      <c r="FL58">
        <v>3011905</v>
      </c>
      <c r="FM58" t="s">
        <v>37</v>
      </c>
      <c r="FN58">
        <v>120400</v>
      </c>
      <c r="FO58" t="s">
        <v>37</v>
      </c>
      <c r="FP58">
        <v>867224</v>
      </c>
      <c r="FQ58" t="s">
        <v>37</v>
      </c>
      <c r="FR58">
        <v>356390</v>
      </c>
      <c r="FS58" t="s">
        <v>37</v>
      </c>
      <c r="FT58">
        <v>237330</v>
      </c>
      <c r="FU58" t="s">
        <v>37</v>
      </c>
      <c r="FV58">
        <v>44749</v>
      </c>
      <c r="FW58" t="s">
        <v>37</v>
      </c>
      <c r="FX58">
        <v>28851</v>
      </c>
      <c r="FY58" t="s">
        <v>37</v>
      </c>
      <c r="FZ58">
        <v>296194</v>
      </c>
      <c r="GA58" t="s">
        <v>37</v>
      </c>
      <c r="GB58">
        <v>573294</v>
      </c>
      <c r="GC58" t="s">
        <v>37</v>
      </c>
      <c r="GD58">
        <v>17585</v>
      </c>
      <c r="GE58" t="s">
        <v>37</v>
      </c>
      <c r="GF58">
        <v>154865</v>
      </c>
      <c r="GG58" t="s">
        <v>37</v>
      </c>
      <c r="GH58">
        <v>25308</v>
      </c>
      <c r="GI58" t="s">
        <v>37</v>
      </c>
      <c r="GJ58">
        <v>543418</v>
      </c>
      <c r="GK58" t="s">
        <v>37</v>
      </c>
      <c r="GL58">
        <v>299589</v>
      </c>
      <c r="GM58" t="s">
        <v>37</v>
      </c>
      <c r="GO58" t="s">
        <v>37</v>
      </c>
      <c r="GP58">
        <v>425001</v>
      </c>
      <c r="GQ58" t="s">
        <v>37</v>
      </c>
      <c r="GR58">
        <v>388582</v>
      </c>
      <c r="GS58" t="s">
        <v>37</v>
      </c>
      <c r="GT58">
        <v>185690</v>
      </c>
      <c r="GU58" t="s">
        <v>37</v>
      </c>
      <c r="GV58">
        <v>202095</v>
      </c>
      <c r="GW58" t="s">
        <v>37</v>
      </c>
      <c r="GX58">
        <v>1958425</v>
      </c>
      <c r="GY58" t="s">
        <v>37</v>
      </c>
      <c r="GZ58">
        <v>4007184</v>
      </c>
      <c r="HA58" t="s">
        <v>37</v>
      </c>
      <c r="HB58">
        <v>12497</v>
      </c>
      <c r="HC58" t="s">
        <v>37</v>
      </c>
      <c r="HE58" t="s">
        <v>37</v>
      </c>
      <c r="HF58">
        <v>65270649</v>
      </c>
      <c r="HG58" t="s">
        <v>37</v>
      </c>
      <c r="HH58">
        <v>12497</v>
      </c>
      <c r="HI58" t="s">
        <v>37</v>
      </c>
      <c r="HJ58">
        <v>65283146</v>
      </c>
      <c r="HK58" t="s">
        <v>37</v>
      </c>
    </row>
    <row r="59" spans="1:219">
      <c r="C59" t="s">
        <v>37</v>
      </c>
      <c r="E59" t="s">
        <v>37</v>
      </c>
      <c r="G59" t="s">
        <v>37</v>
      </c>
      <c r="I59" t="s">
        <v>37</v>
      </c>
      <c r="K59" s="48" t="s">
        <v>37</v>
      </c>
      <c r="L59" s="51"/>
      <c r="M59" s="48" t="s">
        <v>37</v>
      </c>
      <c r="N59" s="51"/>
      <c r="O59" s="48" t="s">
        <v>37</v>
      </c>
      <c r="P59" s="51"/>
      <c r="Q59" s="48" t="s">
        <v>37</v>
      </c>
      <c r="R59" s="51"/>
      <c r="S59" s="48" t="s">
        <v>37</v>
      </c>
      <c r="U59" t="s">
        <v>37</v>
      </c>
      <c r="W59" t="s">
        <v>37</v>
      </c>
      <c r="Y59" t="s">
        <v>37</v>
      </c>
      <c r="AA59" t="s">
        <v>37</v>
      </c>
      <c r="AC59" t="s">
        <v>37</v>
      </c>
      <c r="AE59" t="s">
        <v>37</v>
      </c>
      <c r="AG59" t="s">
        <v>37</v>
      </c>
      <c r="AI59" t="s">
        <v>37</v>
      </c>
      <c r="AK59" t="s">
        <v>37</v>
      </c>
      <c r="AM59" t="s">
        <v>37</v>
      </c>
      <c r="AO59" t="s">
        <v>37</v>
      </c>
      <c r="AQ59" t="s">
        <v>37</v>
      </c>
      <c r="AS59" t="s">
        <v>37</v>
      </c>
      <c r="AU59" t="s">
        <v>37</v>
      </c>
      <c r="AW59" t="s">
        <v>37</v>
      </c>
      <c r="AY59" t="s">
        <v>37</v>
      </c>
      <c r="BA59" t="s">
        <v>37</v>
      </c>
      <c r="BC59" t="s">
        <v>37</v>
      </c>
      <c r="BE59" t="s">
        <v>37</v>
      </c>
      <c r="BG59" t="s">
        <v>37</v>
      </c>
      <c r="BI59" t="s">
        <v>37</v>
      </c>
      <c r="BK59" t="s">
        <v>37</v>
      </c>
      <c r="BM59" t="s">
        <v>37</v>
      </c>
      <c r="BO59" t="s">
        <v>37</v>
      </c>
      <c r="BQ59" t="s">
        <v>37</v>
      </c>
      <c r="BS59" t="s">
        <v>37</v>
      </c>
      <c r="BU59" t="s">
        <v>37</v>
      </c>
      <c r="BW59" t="s">
        <v>37</v>
      </c>
      <c r="BY59" t="s">
        <v>37</v>
      </c>
      <c r="CA59" t="s">
        <v>37</v>
      </c>
      <c r="CC59" t="s">
        <v>37</v>
      </c>
      <c r="CE59" t="s">
        <v>37</v>
      </c>
      <c r="CG59" t="s">
        <v>37</v>
      </c>
      <c r="CI59" t="s">
        <v>37</v>
      </c>
      <c r="CK59" t="s">
        <v>37</v>
      </c>
      <c r="CM59" t="s">
        <v>37</v>
      </c>
      <c r="CO59" t="s">
        <v>37</v>
      </c>
      <c r="CQ59" t="s">
        <v>37</v>
      </c>
      <c r="CS59" t="s">
        <v>37</v>
      </c>
      <c r="CU59" t="s">
        <v>37</v>
      </c>
      <c r="CW59" t="s">
        <v>37</v>
      </c>
      <c r="CY59" t="s">
        <v>37</v>
      </c>
      <c r="DA59" t="s">
        <v>37</v>
      </c>
      <c r="DC59" t="s">
        <v>37</v>
      </c>
      <c r="DE59" t="s">
        <v>37</v>
      </c>
      <c r="DG59" t="s">
        <v>37</v>
      </c>
      <c r="DI59" t="s">
        <v>37</v>
      </c>
      <c r="DK59" t="s">
        <v>37</v>
      </c>
      <c r="DM59" t="s">
        <v>37</v>
      </c>
      <c r="DO59" t="s">
        <v>37</v>
      </c>
      <c r="DQ59" t="s">
        <v>37</v>
      </c>
      <c r="DS59" t="s">
        <v>37</v>
      </c>
      <c r="DU59" t="s">
        <v>37</v>
      </c>
      <c r="DW59" t="s">
        <v>37</v>
      </c>
      <c r="DY59" t="s">
        <v>37</v>
      </c>
      <c r="EA59" t="s">
        <v>37</v>
      </c>
      <c r="EC59" t="s">
        <v>37</v>
      </c>
      <c r="EE59" t="s">
        <v>37</v>
      </c>
      <c r="EG59" t="s">
        <v>37</v>
      </c>
      <c r="EI59" t="s">
        <v>37</v>
      </c>
      <c r="EK59" t="s">
        <v>37</v>
      </c>
      <c r="EM59" t="s">
        <v>37</v>
      </c>
      <c r="EO59" t="s">
        <v>37</v>
      </c>
      <c r="EQ59" t="s">
        <v>37</v>
      </c>
      <c r="ES59" t="s">
        <v>37</v>
      </c>
      <c r="EU59" t="s">
        <v>37</v>
      </c>
      <c r="EW59" t="s">
        <v>37</v>
      </c>
      <c r="EY59" t="s">
        <v>37</v>
      </c>
      <c r="FA59" t="s">
        <v>37</v>
      </c>
      <c r="FC59" t="s">
        <v>37</v>
      </c>
      <c r="FE59" t="s">
        <v>37</v>
      </c>
      <c r="FG59" t="s">
        <v>37</v>
      </c>
      <c r="FI59" t="s">
        <v>37</v>
      </c>
      <c r="FK59" t="s">
        <v>37</v>
      </c>
      <c r="FM59" t="s">
        <v>37</v>
      </c>
      <c r="FO59" t="s">
        <v>37</v>
      </c>
      <c r="FQ59" t="s">
        <v>37</v>
      </c>
      <c r="FS59" t="s">
        <v>37</v>
      </c>
      <c r="FU59" t="s">
        <v>37</v>
      </c>
      <c r="FW59" t="s">
        <v>37</v>
      </c>
      <c r="FY59" t="s">
        <v>37</v>
      </c>
      <c r="GA59" t="s">
        <v>37</v>
      </c>
      <c r="GC59" t="s">
        <v>37</v>
      </c>
      <c r="GE59" t="s">
        <v>37</v>
      </c>
      <c r="GG59" t="s">
        <v>37</v>
      </c>
      <c r="GI59" t="s">
        <v>37</v>
      </c>
      <c r="GK59" t="s">
        <v>37</v>
      </c>
      <c r="GM59" t="s">
        <v>37</v>
      </c>
      <c r="GO59" t="s">
        <v>37</v>
      </c>
      <c r="GQ59" t="s">
        <v>37</v>
      </c>
      <c r="GS59" t="s">
        <v>37</v>
      </c>
      <c r="GU59" t="s">
        <v>37</v>
      </c>
      <c r="GW59" t="s">
        <v>37</v>
      </c>
      <c r="GY59" t="s">
        <v>37</v>
      </c>
      <c r="HA59" t="s">
        <v>37</v>
      </c>
      <c r="HC59" t="s">
        <v>37</v>
      </c>
      <c r="HE59" t="s">
        <v>37</v>
      </c>
      <c r="HG59" t="s">
        <v>37</v>
      </c>
      <c r="HI59" t="s">
        <v>37</v>
      </c>
      <c r="HK59" t="s">
        <v>37</v>
      </c>
    </row>
    <row r="60" spans="1:219">
      <c r="A60" t="s">
        <v>90</v>
      </c>
      <c r="B60" t="s">
        <v>91</v>
      </c>
      <c r="C60" t="s">
        <v>37</v>
      </c>
      <c r="D60">
        <v>10474641</v>
      </c>
      <c r="E60" t="s">
        <v>37</v>
      </c>
      <c r="F60">
        <v>75661599</v>
      </c>
      <c r="G60" t="s">
        <v>37</v>
      </c>
      <c r="H60">
        <v>5502685</v>
      </c>
      <c r="I60" t="s">
        <v>37</v>
      </c>
      <c r="J60">
        <v>785170</v>
      </c>
      <c r="K60" s="48" t="s">
        <v>37</v>
      </c>
      <c r="L60" s="51">
        <v>26158685</v>
      </c>
      <c r="M60" s="48" t="s">
        <v>37</v>
      </c>
      <c r="N60" s="51">
        <v>11420331</v>
      </c>
      <c r="O60" s="48" t="s">
        <v>37</v>
      </c>
      <c r="P60" s="51">
        <v>8057991</v>
      </c>
      <c r="Q60" s="48" t="s">
        <v>37</v>
      </c>
      <c r="R60" s="51">
        <v>16516037</v>
      </c>
      <c r="S60" s="48" t="s">
        <v>37</v>
      </c>
      <c r="T60">
        <v>46945356</v>
      </c>
      <c r="U60" t="s">
        <v>37</v>
      </c>
      <c r="V60">
        <v>1048008</v>
      </c>
      <c r="W60" t="s">
        <v>37</v>
      </c>
      <c r="X60">
        <v>3912004</v>
      </c>
      <c r="Y60" t="s">
        <v>37</v>
      </c>
      <c r="Z60">
        <v>4360542</v>
      </c>
      <c r="AA60" t="s">
        <v>37</v>
      </c>
      <c r="AB60">
        <v>3468720</v>
      </c>
      <c r="AC60" t="s">
        <v>37</v>
      </c>
      <c r="AD60">
        <v>2421466</v>
      </c>
      <c r="AE60" t="s">
        <v>37</v>
      </c>
      <c r="AF60">
        <v>2838378</v>
      </c>
      <c r="AG60" t="s">
        <v>37</v>
      </c>
      <c r="AH60">
        <v>6462076</v>
      </c>
      <c r="AI60" t="s">
        <v>37</v>
      </c>
      <c r="AJ60">
        <v>1391022</v>
      </c>
      <c r="AK60" t="s">
        <v>37</v>
      </c>
      <c r="AL60">
        <v>167660076</v>
      </c>
      <c r="AM60" t="s">
        <v>37</v>
      </c>
      <c r="AN60">
        <v>3830293</v>
      </c>
      <c r="AO60" t="s">
        <v>37</v>
      </c>
      <c r="AP60">
        <v>117077320</v>
      </c>
      <c r="AQ60" t="s">
        <v>37</v>
      </c>
      <c r="AR60">
        <v>9658216</v>
      </c>
      <c r="AS60" t="s">
        <v>37</v>
      </c>
      <c r="AT60">
        <v>304200778</v>
      </c>
      <c r="AU60" t="s">
        <v>37</v>
      </c>
      <c r="AV60">
        <v>36848750</v>
      </c>
      <c r="AW60" t="s">
        <v>37</v>
      </c>
      <c r="AX60">
        <v>21483318</v>
      </c>
      <c r="AY60" t="s">
        <v>37</v>
      </c>
      <c r="AZ60">
        <v>22562213</v>
      </c>
      <c r="BA60" t="s">
        <v>37</v>
      </c>
      <c r="BB60">
        <v>4797970</v>
      </c>
      <c r="BC60" t="s">
        <v>37</v>
      </c>
      <c r="BD60">
        <v>6091951</v>
      </c>
      <c r="BE60" t="s">
        <v>37</v>
      </c>
      <c r="BF60">
        <v>3020208</v>
      </c>
      <c r="BG60" t="s">
        <v>37</v>
      </c>
      <c r="BH60">
        <v>1057120</v>
      </c>
      <c r="BI60" t="s">
        <v>37</v>
      </c>
      <c r="BJ60">
        <v>22777632</v>
      </c>
      <c r="BK60" t="s">
        <v>37</v>
      </c>
      <c r="BL60">
        <v>48006157</v>
      </c>
      <c r="BM60" t="s">
        <v>37</v>
      </c>
      <c r="BN60">
        <v>1288126</v>
      </c>
      <c r="BO60" t="s">
        <v>37</v>
      </c>
      <c r="BP60">
        <v>1475151</v>
      </c>
      <c r="BQ60" t="s">
        <v>37</v>
      </c>
      <c r="BR60">
        <v>5500274</v>
      </c>
      <c r="BS60" t="s">
        <v>37</v>
      </c>
      <c r="BT60">
        <v>2821595</v>
      </c>
      <c r="BU60" t="s">
        <v>37</v>
      </c>
      <c r="BV60">
        <v>1020889</v>
      </c>
      <c r="BW60" t="s">
        <v>37</v>
      </c>
      <c r="BX60">
        <v>66852600</v>
      </c>
      <c r="BY60" t="s">
        <v>37</v>
      </c>
      <c r="BZ60">
        <v>11659001</v>
      </c>
      <c r="CA60" t="s">
        <v>37</v>
      </c>
      <c r="CB60">
        <v>3102555</v>
      </c>
      <c r="CC60" t="s">
        <v>37</v>
      </c>
      <c r="CD60">
        <v>13202724</v>
      </c>
      <c r="CE60" t="s">
        <v>37</v>
      </c>
      <c r="CF60">
        <v>23787612</v>
      </c>
      <c r="CG60" t="s">
        <v>37</v>
      </c>
      <c r="CH60">
        <v>57963523</v>
      </c>
      <c r="CI60" t="s">
        <v>37</v>
      </c>
      <c r="CJ60">
        <v>3909437</v>
      </c>
      <c r="CK60" t="s">
        <v>37</v>
      </c>
      <c r="CL60">
        <v>8377086</v>
      </c>
      <c r="CM60" t="s">
        <v>37</v>
      </c>
      <c r="CN60">
        <v>3550207</v>
      </c>
      <c r="CO60" t="s">
        <v>37</v>
      </c>
      <c r="CP60">
        <v>6202083</v>
      </c>
      <c r="CQ60" t="s">
        <v>37</v>
      </c>
      <c r="CR60">
        <v>60407211</v>
      </c>
      <c r="CS60" t="s">
        <v>37</v>
      </c>
      <c r="CT60">
        <v>293011400</v>
      </c>
      <c r="CU60" t="s">
        <v>37</v>
      </c>
      <c r="CV60">
        <v>41531915</v>
      </c>
      <c r="CW60" t="s">
        <v>37</v>
      </c>
      <c r="CX60">
        <v>3740863</v>
      </c>
      <c r="CY60" t="s">
        <v>37</v>
      </c>
      <c r="CZ60">
        <v>8409659</v>
      </c>
      <c r="DA60" t="s">
        <v>37</v>
      </c>
      <c r="DB60">
        <v>1378253</v>
      </c>
      <c r="DC60" t="s">
        <v>37</v>
      </c>
      <c r="DD60">
        <v>6828453</v>
      </c>
      <c r="DE60" t="s">
        <v>37</v>
      </c>
      <c r="DF60">
        <v>3886532</v>
      </c>
      <c r="DG60" t="s">
        <v>37</v>
      </c>
      <c r="DH60">
        <v>224692294</v>
      </c>
      <c r="DI60" t="s">
        <v>37</v>
      </c>
      <c r="DJ60">
        <v>11536376</v>
      </c>
      <c r="DK60" t="s">
        <v>37</v>
      </c>
      <c r="DL60">
        <v>38941008</v>
      </c>
      <c r="DM60" t="s">
        <v>37</v>
      </c>
      <c r="DN60">
        <v>38511004</v>
      </c>
      <c r="DO60" t="s">
        <v>37</v>
      </c>
      <c r="DP60">
        <v>16370908</v>
      </c>
      <c r="DQ60" t="s">
        <v>37</v>
      </c>
      <c r="DR60">
        <v>10039675</v>
      </c>
      <c r="DS60" t="s">
        <v>37</v>
      </c>
      <c r="DT60">
        <v>6492865</v>
      </c>
      <c r="DU60" t="s">
        <v>37</v>
      </c>
      <c r="DV60">
        <v>107075233</v>
      </c>
      <c r="DW60" t="s">
        <v>37</v>
      </c>
      <c r="DX60">
        <v>36319674</v>
      </c>
      <c r="DY60" t="s">
        <v>37</v>
      </c>
      <c r="DZ60">
        <v>10840478</v>
      </c>
      <c r="EA60" t="s">
        <v>37</v>
      </c>
      <c r="EB60">
        <v>9404195</v>
      </c>
      <c r="EC60" t="s">
        <v>37</v>
      </c>
      <c r="ED60">
        <v>89793837</v>
      </c>
      <c r="EE60" t="s">
        <v>37</v>
      </c>
      <c r="EF60">
        <v>5833670</v>
      </c>
      <c r="EG60" t="s">
        <v>37</v>
      </c>
      <c r="EH60">
        <v>1531529</v>
      </c>
      <c r="EI60" t="s">
        <v>37</v>
      </c>
      <c r="EJ60">
        <v>6317183</v>
      </c>
      <c r="EK60" t="s">
        <v>37</v>
      </c>
      <c r="EL60">
        <v>4786613</v>
      </c>
      <c r="EM60" t="s">
        <v>37</v>
      </c>
      <c r="EN60">
        <v>2001480</v>
      </c>
      <c r="EO60" t="s">
        <v>37</v>
      </c>
      <c r="EP60">
        <v>1448684</v>
      </c>
      <c r="EQ60" t="s">
        <v>37</v>
      </c>
      <c r="ER60">
        <v>11531082</v>
      </c>
      <c r="ES60" t="s">
        <v>37</v>
      </c>
      <c r="ET60">
        <v>30550055</v>
      </c>
      <c r="EU60" t="s">
        <v>37</v>
      </c>
      <c r="EV60">
        <v>64446185</v>
      </c>
      <c r="EW60" t="s">
        <v>37</v>
      </c>
      <c r="EY60" t="s">
        <v>37</v>
      </c>
      <c r="EZ60">
        <v>14383960</v>
      </c>
      <c r="FA60" t="s">
        <v>37</v>
      </c>
      <c r="FB60">
        <v>15193588</v>
      </c>
      <c r="FC60" t="s">
        <v>37</v>
      </c>
      <c r="FD60">
        <v>32502472</v>
      </c>
      <c r="FE60" t="s">
        <v>37</v>
      </c>
      <c r="FF60">
        <v>790614</v>
      </c>
      <c r="FG60" t="s">
        <v>37</v>
      </c>
      <c r="FH60">
        <v>60458160</v>
      </c>
      <c r="FI60" t="s">
        <v>37</v>
      </c>
      <c r="FJ60">
        <v>180798308</v>
      </c>
      <c r="FK60" t="s">
        <v>37</v>
      </c>
      <c r="FL60">
        <v>119871947</v>
      </c>
      <c r="FM60" t="s">
        <v>37</v>
      </c>
      <c r="FN60">
        <v>6829519</v>
      </c>
      <c r="FO60" t="s">
        <v>37</v>
      </c>
      <c r="FP60">
        <v>19400431</v>
      </c>
      <c r="FQ60" t="s">
        <v>37</v>
      </c>
      <c r="FR60">
        <v>28565808</v>
      </c>
      <c r="FS60" t="s">
        <v>37</v>
      </c>
      <c r="FT60">
        <v>14467865</v>
      </c>
      <c r="FU60" t="s">
        <v>37</v>
      </c>
      <c r="FV60">
        <v>10515764</v>
      </c>
      <c r="FW60" t="s">
        <v>37</v>
      </c>
      <c r="FX60">
        <v>41123819</v>
      </c>
      <c r="FY60" t="s">
        <v>37</v>
      </c>
      <c r="FZ60">
        <v>42279041</v>
      </c>
      <c r="GA60" t="s">
        <v>37</v>
      </c>
      <c r="GB60">
        <v>43813963</v>
      </c>
      <c r="GC60" t="s">
        <v>37</v>
      </c>
      <c r="GD60">
        <v>1739823</v>
      </c>
      <c r="GE60" t="s">
        <v>37</v>
      </c>
      <c r="GF60">
        <v>2726629</v>
      </c>
      <c r="GG60" t="s">
        <v>37</v>
      </c>
      <c r="GH60">
        <v>2547914</v>
      </c>
      <c r="GI60" t="s">
        <v>37</v>
      </c>
      <c r="GJ60">
        <v>24679918</v>
      </c>
      <c r="GK60" t="s">
        <v>37</v>
      </c>
      <c r="GL60">
        <v>24159026</v>
      </c>
      <c r="GM60" t="s">
        <v>37</v>
      </c>
      <c r="GO60" t="s">
        <v>37</v>
      </c>
      <c r="GP60">
        <v>11814396</v>
      </c>
      <c r="GQ60" t="s">
        <v>37</v>
      </c>
      <c r="GR60">
        <v>14634768</v>
      </c>
      <c r="GS60" t="s">
        <v>37</v>
      </c>
      <c r="GT60">
        <v>18653530</v>
      </c>
      <c r="GU60" t="s">
        <v>37</v>
      </c>
      <c r="GV60">
        <v>45558771</v>
      </c>
      <c r="GW60" t="s">
        <v>37</v>
      </c>
      <c r="GX60">
        <v>74465021</v>
      </c>
      <c r="GY60" t="s">
        <v>37</v>
      </c>
      <c r="GZ60">
        <v>48297579</v>
      </c>
      <c r="HA60" t="s">
        <v>37</v>
      </c>
      <c r="HB60">
        <v>12497</v>
      </c>
      <c r="HC60" t="s">
        <v>37</v>
      </c>
      <c r="HE60" t="s">
        <v>37</v>
      </c>
      <c r="HF60">
        <v>3255140524</v>
      </c>
      <c r="HG60" t="s">
        <v>37</v>
      </c>
      <c r="HH60">
        <v>12497</v>
      </c>
      <c r="HI60" t="s">
        <v>37</v>
      </c>
      <c r="HJ60">
        <v>3255153021</v>
      </c>
      <c r="HK60" t="s">
        <v>37</v>
      </c>
    </row>
    <row r="61" spans="1:219">
      <c r="C61" t="s">
        <v>37</v>
      </c>
      <c r="E61" t="s">
        <v>37</v>
      </c>
      <c r="G61" t="s">
        <v>37</v>
      </c>
      <c r="I61" t="s">
        <v>37</v>
      </c>
      <c r="K61" s="48" t="s">
        <v>37</v>
      </c>
      <c r="L61" s="51"/>
      <c r="M61" s="48" t="s">
        <v>37</v>
      </c>
      <c r="N61" s="51"/>
      <c r="O61" s="48" t="s">
        <v>37</v>
      </c>
      <c r="P61" s="51"/>
      <c r="Q61" s="48" t="s">
        <v>37</v>
      </c>
      <c r="R61" s="51"/>
      <c r="S61" s="48" t="s">
        <v>37</v>
      </c>
      <c r="U61" t="s">
        <v>37</v>
      </c>
      <c r="W61" t="s">
        <v>37</v>
      </c>
      <c r="Y61" t="s">
        <v>37</v>
      </c>
      <c r="AA61" t="s">
        <v>37</v>
      </c>
      <c r="AC61" t="s">
        <v>37</v>
      </c>
      <c r="AE61" t="s">
        <v>37</v>
      </c>
      <c r="AG61" t="s">
        <v>37</v>
      </c>
      <c r="AI61" t="s">
        <v>37</v>
      </c>
      <c r="AK61" t="s">
        <v>37</v>
      </c>
      <c r="AM61" t="s">
        <v>37</v>
      </c>
      <c r="AO61" t="s">
        <v>37</v>
      </c>
      <c r="AQ61" t="s">
        <v>37</v>
      </c>
      <c r="AS61" t="s">
        <v>37</v>
      </c>
      <c r="AU61" t="s">
        <v>37</v>
      </c>
      <c r="AW61" t="s">
        <v>37</v>
      </c>
      <c r="AY61" t="s">
        <v>37</v>
      </c>
      <c r="BA61" t="s">
        <v>37</v>
      </c>
      <c r="BC61" t="s">
        <v>37</v>
      </c>
      <c r="BE61" t="s">
        <v>37</v>
      </c>
      <c r="BG61" t="s">
        <v>37</v>
      </c>
      <c r="BI61" t="s">
        <v>37</v>
      </c>
      <c r="BK61" t="s">
        <v>37</v>
      </c>
      <c r="BM61" t="s">
        <v>37</v>
      </c>
      <c r="BO61" t="s">
        <v>37</v>
      </c>
      <c r="BQ61" t="s">
        <v>37</v>
      </c>
      <c r="BS61" t="s">
        <v>37</v>
      </c>
      <c r="BU61" t="s">
        <v>37</v>
      </c>
      <c r="BW61" t="s">
        <v>37</v>
      </c>
      <c r="BY61" t="s">
        <v>37</v>
      </c>
      <c r="CA61" t="s">
        <v>37</v>
      </c>
      <c r="CC61" t="s">
        <v>37</v>
      </c>
      <c r="CE61" t="s">
        <v>37</v>
      </c>
      <c r="CG61" t="s">
        <v>37</v>
      </c>
      <c r="CI61" t="s">
        <v>37</v>
      </c>
      <c r="CK61" t="s">
        <v>37</v>
      </c>
      <c r="CM61" t="s">
        <v>37</v>
      </c>
      <c r="CO61" t="s">
        <v>37</v>
      </c>
      <c r="CQ61" t="s">
        <v>37</v>
      </c>
      <c r="CS61" t="s">
        <v>37</v>
      </c>
      <c r="CU61" t="s">
        <v>37</v>
      </c>
      <c r="CW61" t="s">
        <v>37</v>
      </c>
      <c r="CY61" t="s">
        <v>37</v>
      </c>
      <c r="DA61" t="s">
        <v>37</v>
      </c>
      <c r="DC61" t="s">
        <v>37</v>
      </c>
      <c r="DE61" t="s">
        <v>37</v>
      </c>
      <c r="DG61" t="s">
        <v>37</v>
      </c>
      <c r="DI61" t="s">
        <v>37</v>
      </c>
      <c r="DK61" t="s">
        <v>37</v>
      </c>
      <c r="DM61" t="s">
        <v>37</v>
      </c>
      <c r="DO61" t="s">
        <v>37</v>
      </c>
      <c r="DQ61" t="s">
        <v>37</v>
      </c>
      <c r="DS61" t="s">
        <v>37</v>
      </c>
      <c r="DU61" t="s">
        <v>37</v>
      </c>
      <c r="DW61" t="s">
        <v>37</v>
      </c>
      <c r="DY61" t="s">
        <v>37</v>
      </c>
      <c r="EA61" t="s">
        <v>37</v>
      </c>
      <c r="EC61" t="s">
        <v>37</v>
      </c>
      <c r="EE61" t="s">
        <v>37</v>
      </c>
      <c r="EG61" t="s">
        <v>37</v>
      </c>
      <c r="EI61" t="s">
        <v>37</v>
      </c>
      <c r="EK61" t="s">
        <v>37</v>
      </c>
      <c r="EM61" t="s">
        <v>37</v>
      </c>
      <c r="EO61" t="s">
        <v>37</v>
      </c>
      <c r="EQ61" t="s">
        <v>37</v>
      </c>
      <c r="ES61" t="s">
        <v>37</v>
      </c>
      <c r="EU61" t="s">
        <v>37</v>
      </c>
      <c r="EW61" t="s">
        <v>37</v>
      </c>
      <c r="EY61" t="s">
        <v>37</v>
      </c>
      <c r="FA61" t="s">
        <v>37</v>
      </c>
      <c r="FC61" t="s">
        <v>37</v>
      </c>
      <c r="FE61" t="s">
        <v>37</v>
      </c>
      <c r="FG61" t="s">
        <v>37</v>
      </c>
      <c r="FI61" t="s">
        <v>37</v>
      </c>
      <c r="FK61" t="s">
        <v>37</v>
      </c>
      <c r="FM61" t="s">
        <v>37</v>
      </c>
      <c r="FO61" t="s">
        <v>37</v>
      </c>
      <c r="FQ61" t="s">
        <v>37</v>
      </c>
      <c r="FS61" t="s">
        <v>37</v>
      </c>
      <c r="FU61" t="s">
        <v>37</v>
      </c>
      <c r="FW61" t="s">
        <v>37</v>
      </c>
      <c r="FY61" t="s">
        <v>37</v>
      </c>
      <c r="GA61" t="s">
        <v>37</v>
      </c>
      <c r="GC61" t="s">
        <v>37</v>
      </c>
      <c r="GE61" t="s">
        <v>37</v>
      </c>
      <c r="GG61" t="s">
        <v>37</v>
      </c>
      <c r="GI61" t="s">
        <v>37</v>
      </c>
      <c r="GK61" t="s">
        <v>37</v>
      </c>
      <c r="GM61" t="s">
        <v>37</v>
      </c>
      <c r="GO61" t="s">
        <v>37</v>
      </c>
      <c r="GQ61" t="s">
        <v>37</v>
      </c>
      <c r="GS61" t="s">
        <v>37</v>
      </c>
      <c r="GU61" t="s">
        <v>37</v>
      </c>
      <c r="GW61" t="s">
        <v>37</v>
      </c>
      <c r="GY61" t="s">
        <v>37</v>
      </c>
      <c r="HA61" t="s">
        <v>37</v>
      </c>
      <c r="HC61" t="s">
        <v>37</v>
      </c>
      <c r="HE61" t="s">
        <v>37</v>
      </c>
      <c r="HG61" t="s">
        <v>37</v>
      </c>
      <c r="HI61" t="s">
        <v>37</v>
      </c>
      <c r="HK61" t="s">
        <v>37</v>
      </c>
    </row>
    <row r="62" spans="1:219">
      <c r="A62">
        <v>2000</v>
      </c>
      <c r="B62" t="s">
        <v>92</v>
      </c>
      <c r="C62" t="s">
        <v>37</v>
      </c>
      <c r="E62" t="s">
        <v>37</v>
      </c>
      <c r="G62" t="s">
        <v>37</v>
      </c>
      <c r="I62" t="s">
        <v>37</v>
      </c>
      <c r="K62" s="48" t="s">
        <v>37</v>
      </c>
      <c r="L62" s="50"/>
      <c r="M62" s="48" t="s">
        <v>37</v>
      </c>
      <c r="N62" s="50"/>
      <c r="O62" s="48" t="s">
        <v>37</v>
      </c>
      <c r="P62" s="50"/>
      <c r="Q62" s="48" t="s">
        <v>37</v>
      </c>
      <c r="R62" s="50"/>
      <c r="S62" s="48" t="s">
        <v>37</v>
      </c>
      <c r="U62" t="s">
        <v>37</v>
      </c>
      <c r="W62" t="s">
        <v>37</v>
      </c>
      <c r="Y62" t="s">
        <v>37</v>
      </c>
      <c r="AA62" t="s">
        <v>37</v>
      </c>
      <c r="AC62" t="s">
        <v>37</v>
      </c>
      <c r="AE62" t="s">
        <v>37</v>
      </c>
      <c r="AG62" t="s">
        <v>37</v>
      </c>
      <c r="AI62" t="s">
        <v>37</v>
      </c>
      <c r="AK62" t="s">
        <v>37</v>
      </c>
      <c r="AM62" t="s">
        <v>37</v>
      </c>
      <c r="AO62" t="s">
        <v>37</v>
      </c>
      <c r="AQ62" t="s">
        <v>37</v>
      </c>
      <c r="AS62" t="s">
        <v>37</v>
      </c>
      <c r="AU62" t="s">
        <v>37</v>
      </c>
      <c r="AW62" t="s">
        <v>37</v>
      </c>
      <c r="AY62" t="s">
        <v>37</v>
      </c>
      <c r="BA62" t="s">
        <v>37</v>
      </c>
      <c r="BC62" t="s">
        <v>37</v>
      </c>
      <c r="BE62" t="s">
        <v>37</v>
      </c>
      <c r="BG62" t="s">
        <v>37</v>
      </c>
      <c r="BI62" t="s">
        <v>37</v>
      </c>
      <c r="BK62" t="s">
        <v>37</v>
      </c>
      <c r="BM62" t="s">
        <v>37</v>
      </c>
      <c r="BO62" t="s">
        <v>37</v>
      </c>
      <c r="BQ62" t="s">
        <v>37</v>
      </c>
      <c r="BS62" t="s">
        <v>37</v>
      </c>
      <c r="BU62" t="s">
        <v>37</v>
      </c>
      <c r="BW62" t="s">
        <v>37</v>
      </c>
      <c r="BY62" t="s">
        <v>37</v>
      </c>
      <c r="CA62" t="s">
        <v>37</v>
      </c>
      <c r="CC62" t="s">
        <v>37</v>
      </c>
      <c r="CE62" t="s">
        <v>37</v>
      </c>
      <c r="CG62" t="s">
        <v>37</v>
      </c>
      <c r="CI62" t="s">
        <v>37</v>
      </c>
      <c r="CK62" t="s">
        <v>37</v>
      </c>
      <c r="CM62" t="s">
        <v>37</v>
      </c>
      <c r="CO62" t="s">
        <v>37</v>
      </c>
      <c r="CQ62" t="s">
        <v>37</v>
      </c>
      <c r="CS62" t="s">
        <v>37</v>
      </c>
      <c r="CU62" t="s">
        <v>37</v>
      </c>
      <c r="CW62" t="s">
        <v>37</v>
      </c>
      <c r="CY62" t="s">
        <v>37</v>
      </c>
      <c r="DA62" t="s">
        <v>37</v>
      </c>
      <c r="DC62" t="s">
        <v>37</v>
      </c>
      <c r="DE62" t="s">
        <v>37</v>
      </c>
      <c r="DG62" t="s">
        <v>37</v>
      </c>
      <c r="DI62" t="s">
        <v>37</v>
      </c>
      <c r="DK62" t="s">
        <v>37</v>
      </c>
      <c r="DM62" t="s">
        <v>37</v>
      </c>
      <c r="DO62" t="s">
        <v>37</v>
      </c>
      <c r="DQ62" t="s">
        <v>37</v>
      </c>
      <c r="DS62" t="s">
        <v>37</v>
      </c>
      <c r="DU62" t="s">
        <v>37</v>
      </c>
      <c r="DW62" t="s">
        <v>37</v>
      </c>
      <c r="DY62" t="s">
        <v>37</v>
      </c>
      <c r="EA62" t="s">
        <v>37</v>
      </c>
      <c r="EC62" t="s">
        <v>37</v>
      </c>
      <c r="EE62" t="s">
        <v>37</v>
      </c>
      <c r="EG62" t="s">
        <v>37</v>
      </c>
      <c r="EI62" t="s">
        <v>37</v>
      </c>
      <c r="EK62" t="s">
        <v>37</v>
      </c>
      <c r="EM62" t="s">
        <v>37</v>
      </c>
      <c r="EO62" t="s">
        <v>37</v>
      </c>
      <c r="EQ62" t="s">
        <v>37</v>
      </c>
      <c r="ES62" t="s">
        <v>37</v>
      </c>
      <c r="EU62" t="s">
        <v>37</v>
      </c>
      <c r="EW62" t="s">
        <v>37</v>
      </c>
      <c r="EY62" t="s">
        <v>37</v>
      </c>
      <c r="FA62" t="s">
        <v>37</v>
      </c>
      <c r="FC62" t="s">
        <v>37</v>
      </c>
      <c r="FE62" t="s">
        <v>37</v>
      </c>
      <c r="FG62" t="s">
        <v>37</v>
      </c>
      <c r="FI62" t="s">
        <v>37</v>
      </c>
      <c r="FK62" t="s">
        <v>37</v>
      </c>
      <c r="FM62" t="s">
        <v>37</v>
      </c>
      <c r="FO62" t="s">
        <v>37</v>
      </c>
      <c r="FQ62" t="s">
        <v>37</v>
      </c>
      <c r="FS62" t="s">
        <v>37</v>
      </c>
      <c r="FU62" t="s">
        <v>37</v>
      </c>
      <c r="FW62" t="s">
        <v>37</v>
      </c>
      <c r="FY62" t="s">
        <v>37</v>
      </c>
      <c r="GA62" t="s">
        <v>37</v>
      </c>
      <c r="GC62" t="s">
        <v>37</v>
      </c>
      <c r="GE62" t="s">
        <v>37</v>
      </c>
      <c r="GG62" t="s">
        <v>37</v>
      </c>
      <c r="GI62" t="s">
        <v>37</v>
      </c>
      <c r="GK62" t="s">
        <v>37</v>
      </c>
      <c r="GM62" t="s">
        <v>37</v>
      </c>
      <c r="GO62" t="s">
        <v>37</v>
      </c>
      <c r="GQ62" t="s">
        <v>37</v>
      </c>
      <c r="GS62" t="s">
        <v>37</v>
      </c>
      <c r="GU62" t="s">
        <v>37</v>
      </c>
      <c r="GW62" t="s">
        <v>37</v>
      </c>
      <c r="GY62" t="s">
        <v>37</v>
      </c>
      <c r="HA62" t="s">
        <v>37</v>
      </c>
      <c r="HC62" t="s">
        <v>37</v>
      </c>
      <c r="HE62" t="s">
        <v>37</v>
      </c>
      <c r="HG62" t="s">
        <v>37</v>
      </c>
      <c r="HI62" t="s">
        <v>37</v>
      </c>
      <c r="HK62" t="s">
        <v>37</v>
      </c>
    </row>
    <row r="63" spans="1:219">
      <c r="A63">
        <v>2100</v>
      </c>
      <c r="B63" t="s">
        <v>93</v>
      </c>
      <c r="C63" t="s">
        <v>37</v>
      </c>
      <c r="E63" t="s">
        <v>37</v>
      </c>
      <c r="F63">
        <v>964440</v>
      </c>
      <c r="G63" t="s">
        <v>37</v>
      </c>
      <c r="I63" t="s">
        <v>37</v>
      </c>
      <c r="K63" s="48" t="s">
        <v>37</v>
      </c>
      <c r="L63" s="50"/>
      <c r="M63" s="48" t="s">
        <v>37</v>
      </c>
      <c r="N63" s="50"/>
      <c r="O63" s="48" t="s">
        <v>37</v>
      </c>
      <c r="P63" s="50"/>
      <c r="Q63" s="48" t="s">
        <v>37</v>
      </c>
      <c r="R63" s="50"/>
      <c r="S63" s="48" t="s">
        <v>37</v>
      </c>
      <c r="T63">
        <v>77771</v>
      </c>
      <c r="U63" t="s">
        <v>37</v>
      </c>
      <c r="W63" t="s">
        <v>37</v>
      </c>
      <c r="Y63" t="s">
        <v>37</v>
      </c>
      <c r="Z63">
        <v>22619</v>
      </c>
      <c r="AA63" t="s">
        <v>37</v>
      </c>
      <c r="AB63">
        <v>37338</v>
      </c>
      <c r="AC63" t="s">
        <v>37</v>
      </c>
      <c r="AD63">
        <v>58067</v>
      </c>
      <c r="AE63" t="s">
        <v>37</v>
      </c>
      <c r="AG63" t="s">
        <v>37</v>
      </c>
      <c r="AH63">
        <v>52650</v>
      </c>
      <c r="AI63" t="s">
        <v>37</v>
      </c>
      <c r="AK63" t="s">
        <v>37</v>
      </c>
      <c r="AM63" t="s">
        <v>37</v>
      </c>
      <c r="AO63" t="s">
        <v>37</v>
      </c>
      <c r="AP63">
        <v>56180</v>
      </c>
      <c r="AQ63" t="s">
        <v>37</v>
      </c>
      <c r="AS63" t="s">
        <v>37</v>
      </c>
      <c r="AT63">
        <v>123510</v>
      </c>
      <c r="AU63" t="s">
        <v>37</v>
      </c>
      <c r="AV63">
        <v>4099</v>
      </c>
      <c r="AW63" t="s">
        <v>37</v>
      </c>
      <c r="AX63">
        <v>1803083</v>
      </c>
      <c r="AY63" t="s">
        <v>37</v>
      </c>
      <c r="AZ63">
        <v>201369</v>
      </c>
      <c r="BA63" t="s">
        <v>37</v>
      </c>
      <c r="BC63" t="s">
        <v>37</v>
      </c>
      <c r="BE63" t="s">
        <v>37</v>
      </c>
      <c r="BG63" t="s">
        <v>37</v>
      </c>
      <c r="BI63" t="s">
        <v>37</v>
      </c>
      <c r="BJ63">
        <v>49449</v>
      </c>
      <c r="BK63" t="s">
        <v>37</v>
      </c>
      <c r="BM63" t="s">
        <v>37</v>
      </c>
      <c r="BN63">
        <v>2213625</v>
      </c>
      <c r="BO63" t="s">
        <v>37</v>
      </c>
      <c r="BP63">
        <v>823890</v>
      </c>
      <c r="BQ63" t="s">
        <v>37</v>
      </c>
      <c r="BR63">
        <v>1366477</v>
      </c>
      <c r="BS63" t="s">
        <v>37</v>
      </c>
      <c r="BT63">
        <v>588894</v>
      </c>
      <c r="BU63" t="s">
        <v>37</v>
      </c>
      <c r="BV63">
        <v>218419</v>
      </c>
      <c r="BW63" t="s">
        <v>37</v>
      </c>
      <c r="BX63">
        <v>1032712</v>
      </c>
      <c r="BY63" t="s">
        <v>37</v>
      </c>
      <c r="BZ63">
        <v>30000</v>
      </c>
      <c r="CA63" t="s">
        <v>37</v>
      </c>
      <c r="CC63" t="s">
        <v>37</v>
      </c>
      <c r="CD63">
        <v>93179</v>
      </c>
      <c r="CE63" t="s">
        <v>37</v>
      </c>
      <c r="CF63">
        <v>26147</v>
      </c>
      <c r="CG63" t="s">
        <v>37</v>
      </c>
      <c r="CH63">
        <v>39442</v>
      </c>
      <c r="CI63" t="s">
        <v>37</v>
      </c>
      <c r="CK63" t="s">
        <v>37</v>
      </c>
      <c r="CL63">
        <v>129222</v>
      </c>
      <c r="CM63" t="s">
        <v>37</v>
      </c>
      <c r="CO63" t="s">
        <v>37</v>
      </c>
      <c r="CP63">
        <v>1816</v>
      </c>
      <c r="CQ63" t="s">
        <v>37</v>
      </c>
      <c r="CR63">
        <v>2808</v>
      </c>
      <c r="CS63" t="s">
        <v>37</v>
      </c>
      <c r="CT63">
        <v>4329237</v>
      </c>
      <c r="CU63" t="s">
        <v>37</v>
      </c>
      <c r="CW63" t="s">
        <v>37</v>
      </c>
      <c r="CX63">
        <v>7494</v>
      </c>
      <c r="CY63" t="s">
        <v>37</v>
      </c>
      <c r="DA63" t="s">
        <v>37</v>
      </c>
      <c r="DB63">
        <v>502407</v>
      </c>
      <c r="DC63" t="s">
        <v>37</v>
      </c>
      <c r="DD63">
        <v>60084</v>
      </c>
      <c r="DE63" t="s">
        <v>37</v>
      </c>
      <c r="DG63" t="s">
        <v>37</v>
      </c>
      <c r="DH63">
        <v>1043570</v>
      </c>
      <c r="DI63" t="s">
        <v>37</v>
      </c>
      <c r="DJ63">
        <v>3191079</v>
      </c>
      <c r="DK63" t="s">
        <v>37</v>
      </c>
      <c r="DM63" t="s">
        <v>37</v>
      </c>
      <c r="DN63">
        <v>571822</v>
      </c>
      <c r="DO63" t="s">
        <v>37</v>
      </c>
      <c r="DQ63" t="s">
        <v>37</v>
      </c>
      <c r="DS63" t="s">
        <v>37</v>
      </c>
      <c r="DT63">
        <v>393332</v>
      </c>
      <c r="DU63" t="s">
        <v>37</v>
      </c>
      <c r="DW63" t="s">
        <v>37</v>
      </c>
      <c r="DX63">
        <v>33542</v>
      </c>
      <c r="DY63" t="s">
        <v>37</v>
      </c>
      <c r="DZ63">
        <v>81374</v>
      </c>
      <c r="EA63" t="s">
        <v>37</v>
      </c>
      <c r="EC63" t="s">
        <v>37</v>
      </c>
      <c r="EE63" t="s">
        <v>37</v>
      </c>
      <c r="EG63" t="s">
        <v>37</v>
      </c>
      <c r="EH63">
        <v>147988</v>
      </c>
      <c r="EI63" t="s">
        <v>37</v>
      </c>
      <c r="EJ63">
        <v>133499</v>
      </c>
      <c r="EK63" t="s">
        <v>37</v>
      </c>
      <c r="EL63">
        <v>63012</v>
      </c>
      <c r="EM63" t="s">
        <v>37</v>
      </c>
      <c r="EN63">
        <v>371960</v>
      </c>
      <c r="EO63" t="s">
        <v>37</v>
      </c>
      <c r="EP63">
        <v>151762</v>
      </c>
      <c r="EQ63" t="s">
        <v>37</v>
      </c>
      <c r="ER63">
        <v>195526</v>
      </c>
      <c r="ES63" t="s">
        <v>37</v>
      </c>
      <c r="EU63" t="s">
        <v>37</v>
      </c>
      <c r="EV63">
        <v>323976</v>
      </c>
      <c r="EW63" t="s">
        <v>37</v>
      </c>
      <c r="EY63" t="s">
        <v>37</v>
      </c>
      <c r="EZ63">
        <v>800000</v>
      </c>
      <c r="FA63" t="s">
        <v>37</v>
      </c>
      <c r="FB63">
        <v>64101</v>
      </c>
      <c r="FC63" t="s">
        <v>37</v>
      </c>
      <c r="FD63">
        <v>79843</v>
      </c>
      <c r="FE63" t="s">
        <v>37</v>
      </c>
      <c r="FG63" t="s">
        <v>37</v>
      </c>
      <c r="FH63">
        <v>11578</v>
      </c>
      <c r="FI63" t="s">
        <v>37</v>
      </c>
      <c r="FK63" t="s">
        <v>37</v>
      </c>
      <c r="FM63" t="s">
        <v>37</v>
      </c>
      <c r="FO63" t="s">
        <v>37</v>
      </c>
      <c r="FQ63" t="s">
        <v>37</v>
      </c>
      <c r="FS63" t="s">
        <v>37</v>
      </c>
      <c r="FT63">
        <v>61003</v>
      </c>
      <c r="FU63" t="s">
        <v>37</v>
      </c>
      <c r="FV63">
        <v>146432</v>
      </c>
      <c r="FW63" t="s">
        <v>37</v>
      </c>
      <c r="FX63">
        <v>281112</v>
      </c>
      <c r="FY63" t="s">
        <v>37</v>
      </c>
      <c r="FZ63">
        <v>640668</v>
      </c>
      <c r="GA63" t="s">
        <v>37</v>
      </c>
      <c r="GB63">
        <v>332265</v>
      </c>
      <c r="GC63" t="s">
        <v>37</v>
      </c>
      <c r="GE63" t="s">
        <v>37</v>
      </c>
      <c r="GG63" t="s">
        <v>37</v>
      </c>
      <c r="GI63" t="s">
        <v>37</v>
      </c>
      <c r="GJ63">
        <v>196966</v>
      </c>
      <c r="GK63" t="s">
        <v>37</v>
      </c>
      <c r="GL63">
        <v>10942</v>
      </c>
      <c r="GM63" t="s">
        <v>37</v>
      </c>
      <c r="GO63" t="s">
        <v>37</v>
      </c>
      <c r="GQ63" t="s">
        <v>37</v>
      </c>
      <c r="GS63" t="s">
        <v>37</v>
      </c>
      <c r="GT63">
        <v>73719</v>
      </c>
      <c r="GU63" t="s">
        <v>37</v>
      </c>
      <c r="GW63" t="s">
        <v>37</v>
      </c>
      <c r="GX63">
        <v>274549</v>
      </c>
      <c r="GY63" t="s">
        <v>37</v>
      </c>
      <c r="GZ63">
        <v>20193</v>
      </c>
      <c r="HA63" t="s">
        <v>37</v>
      </c>
      <c r="HB63">
        <v>2527750</v>
      </c>
      <c r="HC63" t="s">
        <v>37</v>
      </c>
      <c r="HD63">
        <v>4375941</v>
      </c>
      <c r="HE63" t="s">
        <v>37</v>
      </c>
      <c r="HF63">
        <v>24612241</v>
      </c>
      <c r="HG63" t="s">
        <v>37</v>
      </c>
      <c r="HH63">
        <v>6903691</v>
      </c>
      <c r="HI63" t="s">
        <v>37</v>
      </c>
      <c r="HJ63">
        <v>31515932</v>
      </c>
      <c r="HK63" t="s">
        <v>37</v>
      </c>
    </row>
    <row r="64" spans="1:219">
      <c r="A64">
        <v>2200</v>
      </c>
      <c r="B64" t="s">
        <v>94</v>
      </c>
      <c r="C64" t="s">
        <v>37</v>
      </c>
      <c r="E64" t="s">
        <v>37</v>
      </c>
      <c r="G64" t="s">
        <v>37</v>
      </c>
      <c r="I64" t="s">
        <v>37</v>
      </c>
      <c r="K64" s="48" t="s">
        <v>37</v>
      </c>
      <c r="L64" s="50"/>
      <c r="M64" s="48" t="s">
        <v>37</v>
      </c>
      <c r="N64" s="50"/>
      <c r="O64" s="48" t="s">
        <v>37</v>
      </c>
      <c r="P64" s="50"/>
      <c r="Q64" s="48" t="s">
        <v>37</v>
      </c>
      <c r="R64" s="50"/>
      <c r="S64" s="48" t="s">
        <v>37</v>
      </c>
      <c r="U64" t="s">
        <v>37</v>
      </c>
      <c r="W64" t="s">
        <v>37</v>
      </c>
      <c r="Y64" t="s">
        <v>37</v>
      </c>
      <c r="AA64" t="s">
        <v>37</v>
      </c>
      <c r="AC64" t="s">
        <v>37</v>
      </c>
      <c r="AE64" t="s">
        <v>37</v>
      </c>
      <c r="AG64" t="s">
        <v>37</v>
      </c>
      <c r="AI64" t="s">
        <v>37</v>
      </c>
      <c r="AK64" t="s">
        <v>37</v>
      </c>
      <c r="AM64" t="s">
        <v>37</v>
      </c>
      <c r="AO64" t="s">
        <v>37</v>
      </c>
      <c r="AQ64" t="s">
        <v>37</v>
      </c>
      <c r="AS64" t="s">
        <v>37</v>
      </c>
      <c r="AU64" t="s">
        <v>37</v>
      </c>
      <c r="AW64" t="s">
        <v>37</v>
      </c>
      <c r="AX64">
        <v>360617</v>
      </c>
      <c r="AY64" t="s">
        <v>37</v>
      </c>
      <c r="BA64" t="s">
        <v>37</v>
      </c>
      <c r="BC64" t="s">
        <v>37</v>
      </c>
      <c r="BE64" t="s">
        <v>37</v>
      </c>
      <c r="BG64" t="s">
        <v>37</v>
      </c>
      <c r="BI64" t="s">
        <v>37</v>
      </c>
      <c r="BK64" t="s">
        <v>37</v>
      </c>
      <c r="BM64" t="s">
        <v>37</v>
      </c>
      <c r="BO64" t="s">
        <v>37</v>
      </c>
      <c r="BQ64" t="s">
        <v>37</v>
      </c>
      <c r="BS64" t="s">
        <v>37</v>
      </c>
      <c r="BU64" t="s">
        <v>37</v>
      </c>
      <c r="BW64" t="s">
        <v>37</v>
      </c>
      <c r="BY64" t="s">
        <v>37</v>
      </c>
      <c r="CA64" t="s">
        <v>37</v>
      </c>
      <c r="CC64" t="s">
        <v>37</v>
      </c>
      <c r="CD64">
        <v>1200</v>
      </c>
      <c r="CE64" t="s">
        <v>37</v>
      </c>
      <c r="CG64" t="s">
        <v>37</v>
      </c>
      <c r="CI64" t="s">
        <v>37</v>
      </c>
      <c r="CK64" t="s">
        <v>37</v>
      </c>
      <c r="CM64" t="s">
        <v>37</v>
      </c>
      <c r="CO64" t="s">
        <v>37</v>
      </c>
      <c r="CQ64" t="s">
        <v>37</v>
      </c>
      <c r="CS64" t="s">
        <v>37</v>
      </c>
      <c r="CU64" t="s">
        <v>37</v>
      </c>
      <c r="CW64" t="s">
        <v>37</v>
      </c>
      <c r="CY64" t="s">
        <v>37</v>
      </c>
      <c r="DA64" t="s">
        <v>37</v>
      </c>
      <c r="DC64" t="s">
        <v>37</v>
      </c>
      <c r="DE64" t="s">
        <v>37</v>
      </c>
      <c r="DG64" t="s">
        <v>37</v>
      </c>
      <c r="DI64" t="s">
        <v>37</v>
      </c>
      <c r="DK64" t="s">
        <v>37</v>
      </c>
      <c r="DM64" t="s">
        <v>37</v>
      </c>
      <c r="DO64" t="s">
        <v>37</v>
      </c>
      <c r="DQ64" t="s">
        <v>37</v>
      </c>
      <c r="DS64" t="s">
        <v>37</v>
      </c>
      <c r="DU64" t="s">
        <v>37</v>
      </c>
      <c r="DW64" t="s">
        <v>37</v>
      </c>
      <c r="DY64" t="s">
        <v>37</v>
      </c>
      <c r="EA64" t="s">
        <v>37</v>
      </c>
      <c r="EC64" t="s">
        <v>37</v>
      </c>
      <c r="EE64" t="s">
        <v>37</v>
      </c>
      <c r="EG64" t="s">
        <v>37</v>
      </c>
      <c r="EI64" t="s">
        <v>37</v>
      </c>
      <c r="EK64" t="s">
        <v>37</v>
      </c>
      <c r="EM64" t="s">
        <v>37</v>
      </c>
      <c r="EO64" t="s">
        <v>37</v>
      </c>
      <c r="EQ64" t="s">
        <v>37</v>
      </c>
      <c r="ES64" t="s">
        <v>37</v>
      </c>
      <c r="EU64" t="s">
        <v>37</v>
      </c>
      <c r="EW64" t="s">
        <v>37</v>
      </c>
      <c r="EY64" t="s">
        <v>37</v>
      </c>
      <c r="FA64" t="s">
        <v>37</v>
      </c>
      <c r="FC64" t="s">
        <v>37</v>
      </c>
      <c r="FE64" t="s">
        <v>37</v>
      </c>
      <c r="FG64" t="s">
        <v>37</v>
      </c>
      <c r="FI64" t="s">
        <v>37</v>
      </c>
      <c r="FK64" t="s">
        <v>37</v>
      </c>
      <c r="FM64" t="s">
        <v>37</v>
      </c>
      <c r="FO64" t="s">
        <v>37</v>
      </c>
      <c r="FQ64" t="s">
        <v>37</v>
      </c>
      <c r="FS64" t="s">
        <v>37</v>
      </c>
      <c r="FU64" t="s">
        <v>37</v>
      </c>
      <c r="FW64" t="s">
        <v>37</v>
      </c>
      <c r="FY64" t="s">
        <v>37</v>
      </c>
      <c r="GA64" t="s">
        <v>37</v>
      </c>
      <c r="GC64" t="s">
        <v>37</v>
      </c>
      <c r="GE64" t="s">
        <v>37</v>
      </c>
      <c r="GG64" t="s">
        <v>37</v>
      </c>
      <c r="GI64" t="s">
        <v>37</v>
      </c>
      <c r="GK64" t="s">
        <v>37</v>
      </c>
      <c r="GM64" t="s">
        <v>37</v>
      </c>
      <c r="GO64" t="s">
        <v>37</v>
      </c>
      <c r="GQ64" t="s">
        <v>37</v>
      </c>
      <c r="GS64" t="s">
        <v>37</v>
      </c>
      <c r="GU64" t="s">
        <v>37</v>
      </c>
      <c r="GW64" t="s">
        <v>37</v>
      </c>
      <c r="GY64" t="s">
        <v>37</v>
      </c>
      <c r="HA64" t="s">
        <v>37</v>
      </c>
      <c r="HC64" t="s">
        <v>37</v>
      </c>
      <c r="HE64" t="s">
        <v>37</v>
      </c>
      <c r="HF64">
        <v>361817</v>
      </c>
      <c r="HG64" t="s">
        <v>37</v>
      </c>
      <c r="HI64" t="s">
        <v>37</v>
      </c>
      <c r="HJ64">
        <v>361817</v>
      </c>
      <c r="HK64" t="s">
        <v>37</v>
      </c>
    </row>
    <row r="65" spans="1:219">
      <c r="A65">
        <v>2300</v>
      </c>
      <c r="B65" t="s">
        <v>95</v>
      </c>
      <c r="C65" t="s">
        <v>37</v>
      </c>
      <c r="D65">
        <v>182004</v>
      </c>
      <c r="E65" t="s">
        <v>37</v>
      </c>
      <c r="G65" t="s">
        <v>37</v>
      </c>
      <c r="I65" t="s">
        <v>37</v>
      </c>
      <c r="K65" s="48" t="s">
        <v>37</v>
      </c>
      <c r="L65" s="50"/>
      <c r="M65" s="48" t="s">
        <v>37</v>
      </c>
      <c r="N65" s="50"/>
      <c r="O65" s="48" t="s">
        <v>37</v>
      </c>
      <c r="P65" s="50"/>
      <c r="Q65" s="48" t="s">
        <v>37</v>
      </c>
      <c r="R65" s="50"/>
      <c r="S65" s="48" t="s">
        <v>37</v>
      </c>
      <c r="U65" t="s">
        <v>37</v>
      </c>
      <c r="W65" t="s">
        <v>37</v>
      </c>
      <c r="Y65" t="s">
        <v>37</v>
      </c>
      <c r="Z65">
        <v>107536</v>
      </c>
      <c r="AA65" t="s">
        <v>37</v>
      </c>
      <c r="AC65" t="s">
        <v>37</v>
      </c>
      <c r="AD65">
        <v>122094</v>
      </c>
      <c r="AE65" t="s">
        <v>37</v>
      </c>
      <c r="AF65">
        <v>20214</v>
      </c>
      <c r="AG65" t="s">
        <v>37</v>
      </c>
      <c r="AI65" t="s">
        <v>37</v>
      </c>
      <c r="AK65" t="s">
        <v>37</v>
      </c>
      <c r="AM65" t="s">
        <v>37</v>
      </c>
      <c r="AO65" t="s">
        <v>37</v>
      </c>
      <c r="AQ65" t="s">
        <v>37</v>
      </c>
      <c r="AR65">
        <v>183963</v>
      </c>
      <c r="AS65" t="s">
        <v>37</v>
      </c>
      <c r="AU65" t="s">
        <v>37</v>
      </c>
      <c r="AV65">
        <v>9862</v>
      </c>
      <c r="AW65" t="s">
        <v>37</v>
      </c>
      <c r="AX65">
        <v>129315</v>
      </c>
      <c r="AY65" t="s">
        <v>37</v>
      </c>
      <c r="AZ65">
        <v>104676</v>
      </c>
      <c r="BA65" t="s">
        <v>37</v>
      </c>
      <c r="BC65" t="s">
        <v>37</v>
      </c>
      <c r="BD65">
        <v>46464</v>
      </c>
      <c r="BE65" t="s">
        <v>37</v>
      </c>
      <c r="BF65">
        <v>33766</v>
      </c>
      <c r="BG65" t="s">
        <v>37</v>
      </c>
      <c r="BI65" t="s">
        <v>37</v>
      </c>
      <c r="BK65" t="s">
        <v>37</v>
      </c>
      <c r="BM65" t="s">
        <v>37</v>
      </c>
      <c r="BO65" t="s">
        <v>37</v>
      </c>
      <c r="BQ65" t="s">
        <v>37</v>
      </c>
      <c r="BS65" t="s">
        <v>37</v>
      </c>
      <c r="BT65">
        <v>107812</v>
      </c>
      <c r="BU65" t="s">
        <v>37</v>
      </c>
      <c r="BW65" t="s">
        <v>37</v>
      </c>
      <c r="BX65">
        <v>98200</v>
      </c>
      <c r="BY65" t="s">
        <v>37</v>
      </c>
      <c r="BZ65">
        <v>93344</v>
      </c>
      <c r="CA65" t="s">
        <v>37</v>
      </c>
      <c r="CC65" t="s">
        <v>37</v>
      </c>
      <c r="CE65" t="s">
        <v>37</v>
      </c>
      <c r="CF65">
        <v>94042</v>
      </c>
      <c r="CG65" t="s">
        <v>37</v>
      </c>
      <c r="CH65">
        <v>189533</v>
      </c>
      <c r="CI65" t="s">
        <v>37</v>
      </c>
      <c r="CJ65">
        <v>22453</v>
      </c>
      <c r="CK65" t="s">
        <v>37</v>
      </c>
      <c r="CL65">
        <v>25000</v>
      </c>
      <c r="CM65" t="s">
        <v>37</v>
      </c>
      <c r="CN65">
        <v>43267</v>
      </c>
      <c r="CO65" t="s">
        <v>37</v>
      </c>
      <c r="CQ65" t="s">
        <v>37</v>
      </c>
      <c r="CS65" t="s">
        <v>37</v>
      </c>
      <c r="CU65" t="s">
        <v>37</v>
      </c>
      <c r="CW65" t="s">
        <v>37</v>
      </c>
      <c r="CX65">
        <v>34706</v>
      </c>
      <c r="CY65" t="s">
        <v>37</v>
      </c>
      <c r="DA65" t="s">
        <v>37</v>
      </c>
      <c r="DC65" t="s">
        <v>37</v>
      </c>
      <c r="DE65" t="s">
        <v>37</v>
      </c>
      <c r="DG65" t="s">
        <v>37</v>
      </c>
      <c r="DI65" t="s">
        <v>37</v>
      </c>
      <c r="DJ65">
        <v>112841</v>
      </c>
      <c r="DK65" t="s">
        <v>37</v>
      </c>
      <c r="DM65" t="s">
        <v>37</v>
      </c>
      <c r="DO65" t="s">
        <v>37</v>
      </c>
      <c r="DQ65" t="s">
        <v>37</v>
      </c>
      <c r="DR65">
        <v>91758</v>
      </c>
      <c r="DS65" t="s">
        <v>37</v>
      </c>
      <c r="DU65" t="s">
        <v>37</v>
      </c>
      <c r="DV65">
        <v>151695</v>
      </c>
      <c r="DW65" t="s">
        <v>37</v>
      </c>
      <c r="DY65" t="s">
        <v>37</v>
      </c>
      <c r="DZ65">
        <v>270559</v>
      </c>
      <c r="EA65" t="s">
        <v>37</v>
      </c>
      <c r="EC65" t="s">
        <v>37</v>
      </c>
      <c r="EE65" t="s">
        <v>37</v>
      </c>
      <c r="EG65" t="s">
        <v>37</v>
      </c>
      <c r="EI65" t="s">
        <v>37</v>
      </c>
      <c r="EK65" t="s">
        <v>37</v>
      </c>
      <c r="EM65" t="s">
        <v>37</v>
      </c>
      <c r="EO65" t="s">
        <v>37</v>
      </c>
      <c r="EQ65" t="s">
        <v>37</v>
      </c>
      <c r="ER65">
        <v>66665</v>
      </c>
      <c r="ES65" t="s">
        <v>37</v>
      </c>
      <c r="ET65">
        <v>51800</v>
      </c>
      <c r="EU65" t="s">
        <v>37</v>
      </c>
      <c r="EW65" t="s">
        <v>37</v>
      </c>
      <c r="EY65" t="s">
        <v>37</v>
      </c>
      <c r="FA65" t="s">
        <v>37</v>
      </c>
      <c r="FC65" t="s">
        <v>37</v>
      </c>
      <c r="FE65" t="s">
        <v>37</v>
      </c>
      <c r="FG65" t="s">
        <v>37</v>
      </c>
      <c r="FH65">
        <v>272969</v>
      </c>
      <c r="FI65" t="s">
        <v>37</v>
      </c>
      <c r="FK65" t="s">
        <v>37</v>
      </c>
      <c r="FM65" t="s">
        <v>37</v>
      </c>
      <c r="FO65" t="s">
        <v>37</v>
      </c>
      <c r="FP65">
        <v>571818</v>
      </c>
      <c r="FQ65" t="s">
        <v>37</v>
      </c>
      <c r="FS65" t="s">
        <v>37</v>
      </c>
      <c r="FU65" t="s">
        <v>37</v>
      </c>
      <c r="FV65">
        <v>72450</v>
      </c>
      <c r="FW65" t="s">
        <v>37</v>
      </c>
      <c r="FX65">
        <v>1344213</v>
      </c>
      <c r="FY65" t="s">
        <v>37</v>
      </c>
      <c r="GA65" t="s">
        <v>37</v>
      </c>
      <c r="GB65">
        <v>582103</v>
      </c>
      <c r="GC65" t="s">
        <v>37</v>
      </c>
      <c r="GE65" t="s">
        <v>37</v>
      </c>
      <c r="GG65" t="s">
        <v>37</v>
      </c>
      <c r="GI65" t="s">
        <v>37</v>
      </c>
      <c r="GJ65">
        <v>116313</v>
      </c>
      <c r="GK65" t="s">
        <v>37</v>
      </c>
      <c r="GL65">
        <v>100584</v>
      </c>
      <c r="GM65" t="s">
        <v>37</v>
      </c>
      <c r="GO65" t="s">
        <v>37</v>
      </c>
      <c r="GP65">
        <v>162552</v>
      </c>
      <c r="GQ65" t="s">
        <v>37</v>
      </c>
      <c r="GR65">
        <v>187908</v>
      </c>
      <c r="GS65" t="s">
        <v>37</v>
      </c>
      <c r="GT65">
        <v>33750</v>
      </c>
      <c r="GU65" t="s">
        <v>37</v>
      </c>
      <c r="GW65" t="s">
        <v>37</v>
      </c>
      <c r="GX65">
        <v>58103</v>
      </c>
      <c r="GY65" t="s">
        <v>37</v>
      </c>
      <c r="GZ65">
        <v>25750</v>
      </c>
      <c r="HA65" t="s">
        <v>37</v>
      </c>
      <c r="HC65" t="s">
        <v>37</v>
      </c>
      <c r="HE65" t="s">
        <v>37</v>
      </c>
      <c r="HF65">
        <v>5922082</v>
      </c>
      <c r="HG65" t="s">
        <v>37</v>
      </c>
      <c r="HI65" t="s">
        <v>37</v>
      </c>
      <c r="HJ65">
        <v>5922082</v>
      </c>
      <c r="HK65" t="s">
        <v>37</v>
      </c>
    </row>
    <row r="66" spans="1:219">
      <c r="A66">
        <v>2310</v>
      </c>
      <c r="B66" t="s">
        <v>96</v>
      </c>
      <c r="C66" t="s">
        <v>37</v>
      </c>
      <c r="E66" t="s">
        <v>37</v>
      </c>
      <c r="G66" t="s">
        <v>37</v>
      </c>
      <c r="I66" t="s">
        <v>37</v>
      </c>
      <c r="K66" s="48" t="s">
        <v>37</v>
      </c>
      <c r="L66" s="50"/>
      <c r="M66" s="48" t="s">
        <v>37</v>
      </c>
      <c r="N66" s="50"/>
      <c r="O66" s="48" t="s">
        <v>37</v>
      </c>
      <c r="P66" s="50"/>
      <c r="Q66" s="48" t="s">
        <v>37</v>
      </c>
      <c r="R66" s="50"/>
      <c r="S66" s="48" t="s">
        <v>37</v>
      </c>
      <c r="U66" t="s">
        <v>37</v>
      </c>
      <c r="W66" t="s">
        <v>37</v>
      </c>
      <c r="Y66" t="s">
        <v>37</v>
      </c>
      <c r="AA66" t="s">
        <v>37</v>
      </c>
      <c r="AC66" t="s">
        <v>37</v>
      </c>
      <c r="AE66" t="s">
        <v>37</v>
      </c>
      <c r="AG66" t="s">
        <v>37</v>
      </c>
      <c r="AI66" t="s">
        <v>37</v>
      </c>
      <c r="AK66" t="s">
        <v>37</v>
      </c>
      <c r="AM66" t="s">
        <v>37</v>
      </c>
      <c r="AO66" t="s">
        <v>37</v>
      </c>
      <c r="AQ66" t="s">
        <v>37</v>
      </c>
      <c r="AS66" t="s">
        <v>37</v>
      </c>
      <c r="AU66" t="s">
        <v>37</v>
      </c>
      <c r="AW66" t="s">
        <v>37</v>
      </c>
      <c r="AY66" t="s">
        <v>37</v>
      </c>
      <c r="BA66" t="s">
        <v>37</v>
      </c>
      <c r="BC66" t="s">
        <v>37</v>
      </c>
      <c r="BD66">
        <v>465192</v>
      </c>
      <c r="BE66" t="s">
        <v>37</v>
      </c>
      <c r="BG66" t="s">
        <v>37</v>
      </c>
      <c r="BI66" t="s">
        <v>37</v>
      </c>
      <c r="BK66" t="s">
        <v>37</v>
      </c>
      <c r="BM66" t="s">
        <v>37</v>
      </c>
      <c r="BO66" t="s">
        <v>37</v>
      </c>
      <c r="BQ66" t="s">
        <v>37</v>
      </c>
      <c r="BS66" t="s">
        <v>37</v>
      </c>
      <c r="BU66" t="s">
        <v>37</v>
      </c>
      <c r="BW66" t="s">
        <v>37</v>
      </c>
      <c r="BY66" t="s">
        <v>37</v>
      </c>
      <c r="CA66" t="s">
        <v>37</v>
      </c>
      <c r="CC66" t="s">
        <v>37</v>
      </c>
      <c r="CE66" t="s">
        <v>37</v>
      </c>
      <c r="CG66" t="s">
        <v>37</v>
      </c>
      <c r="CH66">
        <v>984917</v>
      </c>
      <c r="CI66" t="s">
        <v>37</v>
      </c>
      <c r="CK66" t="s">
        <v>37</v>
      </c>
      <c r="CM66" t="s">
        <v>37</v>
      </c>
      <c r="CO66" t="s">
        <v>37</v>
      </c>
      <c r="CQ66" t="s">
        <v>37</v>
      </c>
      <c r="CS66" t="s">
        <v>37</v>
      </c>
      <c r="CU66" t="s">
        <v>37</v>
      </c>
      <c r="CW66" t="s">
        <v>37</v>
      </c>
      <c r="CY66" t="s">
        <v>37</v>
      </c>
      <c r="DA66" t="s">
        <v>37</v>
      </c>
      <c r="DC66" t="s">
        <v>37</v>
      </c>
      <c r="DE66" t="s">
        <v>37</v>
      </c>
      <c r="DG66" t="s">
        <v>37</v>
      </c>
      <c r="DI66" t="s">
        <v>37</v>
      </c>
      <c r="DK66" t="s">
        <v>37</v>
      </c>
      <c r="DM66" t="s">
        <v>37</v>
      </c>
      <c r="DO66" t="s">
        <v>37</v>
      </c>
      <c r="DQ66" t="s">
        <v>37</v>
      </c>
      <c r="DS66" t="s">
        <v>37</v>
      </c>
      <c r="DU66" t="s">
        <v>37</v>
      </c>
      <c r="DW66" t="s">
        <v>37</v>
      </c>
      <c r="DY66" t="s">
        <v>37</v>
      </c>
      <c r="EA66" t="s">
        <v>37</v>
      </c>
      <c r="EC66" t="s">
        <v>37</v>
      </c>
      <c r="EE66" t="s">
        <v>37</v>
      </c>
      <c r="EG66" t="s">
        <v>37</v>
      </c>
      <c r="EI66" t="s">
        <v>37</v>
      </c>
      <c r="EK66" t="s">
        <v>37</v>
      </c>
      <c r="EM66" t="s">
        <v>37</v>
      </c>
      <c r="EO66" t="s">
        <v>37</v>
      </c>
      <c r="EQ66" t="s">
        <v>37</v>
      </c>
      <c r="ES66" t="s">
        <v>37</v>
      </c>
      <c r="EU66" t="s">
        <v>37</v>
      </c>
      <c r="EV66">
        <v>135415</v>
      </c>
      <c r="EW66" t="s">
        <v>37</v>
      </c>
      <c r="EY66" t="s">
        <v>37</v>
      </c>
      <c r="FA66" t="s">
        <v>37</v>
      </c>
      <c r="FC66" t="s">
        <v>37</v>
      </c>
      <c r="FE66" t="s">
        <v>37</v>
      </c>
      <c r="FG66" t="s">
        <v>37</v>
      </c>
      <c r="FI66" t="s">
        <v>37</v>
      </c>
      <c r="FK66" t="s">
        <v>37</v>
      </c>
      <c r="FM66" t="s">
        <v>37</v>
      </c>
      <c r="FO66" t="s">
        <v>37</v>
      </c>
      <c r="FQ66" t="s">
        <v>37</v>
      </c>
      <c r="FR66">
        <v>18243</v>
      </c>
      <c r="FS66" t="s">
        <v>37</v>
      </c>
      <c r="FU66" t="s">
        <v>37</v>
      </c>
      <c r="FV66">
        <v>89899</v>
      </c>
      <c r="FW66" t="s">
        <v>37</v>
      </c>
      <c r="FY66" t="s">
        <v>37</v>
      </c>
      <c r="GA66" t="s">
        <v>37</v>
      </c>
      <c r="GC66" t="s">
        <v>37</v>
      </c>
      <c r="GE66" t="s">
        <v>37</v>
      </c>
      <c r="GG66" t="s">
        <v>37</v>
      </c>
      <c r="GI66" t="s">
        <v>37</v>
      </c>
      <c r="GK66" t="s">
        <v>37</v>
      </c>
      <c r="GM66" t="s">
        <v>37</v>
      </c>
      <c r="GO66" t="s">
        <v>37</v>
      </c>
      <c r="GQ66" t="s">
        <v>37</v>
      </c>
      <c r="GS66" t="s">
        <v>37</v>
      </c>
      <c r="GU66" t="s">
        <v>37</v>
      </c>
      <c r="GW66" t="s">
        <v>37</v>
      </c>
      <c r="GY66" t="s">
        <v>37</v>
      </c>
      <c r="GZ66">
        <v>37178</v>
      </c>
      <c r="HA66" t="s">
        <v>37</v>
      </c>
      <c r="HC66" t="s">
        <v>37</v>
      </c>
      <c r="HE66" t="s">
        <v>37</v>
      </c>
      <c r="HF66">
        <v>1730844</v>
      </c>
      <c r="HG66" t="s">
        <v>37</v>
      </c>
      <c r="HI66" t="s">
        <v>37</v>
      </c>
      <c r="HJ66">
        <v>1730844</v>
      </c>
      <c r="HK66" t="s">
        <v>37</v>
      </c>
    </row>
    <row r="67" spans="1:219">
      <c r="C67" t="s">
        <v>37</v>
      </c>
      <c r="E67" t="s">
        <v>37</v>
      </c>
      <c r="G67" t="s">
        <v>37</v>
      </c>
      <c r="I67" t="s">
        <v>37</v>
      </c>
      <c r="K67" s="48" t="s">
        <v>37</v>
      </c>
      <c r="L67" s="50"/>
      <c r="M67" s="48" t="s">
        <v>37</v>
      </c>
      <c r="N67" s="50"/>
      <c r="O67" s="48" t="s">
        <v>37</v>
      </c>
      <c r="P67" s="50"/>
      <c r="Q67" s="48" t="s">
        <v>37</v>
      </c>
      <c r="R67" s="50"/>
      <c r="S67" s="48" t="s">
        <v>37</v>
      </c>
      <c r="U67" t="s">
        <v>37</v>
      </c>
      <c r="W67" t="s">
        <v>37</v>
      </c>
      <c r="Y67" t="s">
        <v>37</v>
      </c>
      <c r="AA67" t="s">
        <v>37</v>
      </c>
      <c r="AC67" t="s">
        <v>37</v>
      </c>
      <c r="AE67" t="s">
        <v>37</v>
      </c>
      <c r="AG67" t="s">
        <v>37</v>
      </c>
      <c r="AI67" t="s">
        <v>37</v>
      </c>
      <c r="AK67" t="s">
        <v>37</v>
      </c>
      <c r="AM67" t="s">
        <v>37</v>
      </c>
      <c r="AO67" t="s">
        <v>37</v>
      </c>
      <c r="AQ67" t="s">
        <v>37</v>
      </c>
      <c r="AS67" t="s">
        <v>37</v>
      </c>
      <c r="AU67" t="s">
        <v>37</v>
      </c>
      <c r="AW67" t="s">
        <v>37</v>
      </c>
      <c r="AY67" t="s">
        <v>37</v>
      </c>
      <c r="BA67" t="s">
        <v>37</v>
      </c>
      <c r="BC67" t="s">
        <v>37</v>
      </c>
      <c r="BE67" t="s">
        <v>37</v>
      </c>
      <c r="BG67" t="s">
        <v>37</v>
      </c>
      <c r="BI67" t="s">
        <v>37</v>
      </c>
      <c r="BK67" t="s">
        <v>37</v>
      </c>
      <c r="BM67" t="s">
        <v>37</v>
      </c>
      <c r="BO67" t="s">
        <v>37</v>
      </c>
      <c r="BQ67" t="s">
        <v>37</v>
      </c>
      <c r="BS67" t="s">
        <v>37</v>
      </c>
      <c r="BU67" t="s">
        <v>37</v>
      </c>
      <c r="BW67" t="s">
        <v>37</v>
      </c>
      <c r="BY67" t="s">
        <v>37</v>
      </c>
      <c r="CA67" t="s">
        <v>37</v>
      </c>
      <c r="CC67" t="s">
        <v>37</v>
      </c>
      <c r="CE67" t="s">
        <v>37</v>
      </c>
      <c r="CG67" t="s">
        <v>37</v>
      </c>
      <c r="CI67" t="s">
        <v>37</v>
      </c>
      <c r="CK67" t="s">
        <v>37</v>
      </c>
      <c r="CM67" t="s">
        <v>37</v>
      </c>
      <c r="CO67" t="s">
        <v>37</v>
      </c>
      <c r="CQ67" t="s">
        <v>37</v>
      </c>
      <c r="CS67" t="s">
        <v>37</v>
      </c>
      <c r="CU67" t="s">
        <v>37</v>
      </c>
      <c r="CW67" t="s">
        <v>37</v>
      </c>
      <c r="CY67" t="s">
        <v>37</v>
      </c>
      <c r="DA67" t="s">
        <v>37</v>
      </c>
      <c r="DC67" t="s">
        <v>37</v>
      </c>
      <c r="DE67" t="s">
        <v>37</v>
      </c>
      <c r="DG67" t="s">
        <v>37</v>
      </c>
      <c r="DI67" t="s">
        <v>37</v>
      </c>
      <c r="DK67" t="s">
        <v>37</v>
      </c>
      <c r="DM67" t="s">
        <v>37</v>
      </c>
      <c r="DO67" t="s">
        <v>37</v>
      </c>
      <c r="DQ67" t="s">
        <v>37</v>
      </c>
      <c r="DS67" t="s">
        <v>37</v>
      </c>
      <c r="DU67" t="s">
        <v>37</v>
      </c>
      <c r="DW67" t="s">
        <v>37</v>
      </c>
      <c r="DY67" t="s">
        <v>37</v>
      </c>
      <c r="EA67" t="s">
        <v>37</v>
      </c>
      <c r="EC67" t="s">
        <v>37</v>
      </c>
      <c r="EE67" t="s">
        <v>37</v>
      </c>
      <c r="EG67" t="s">
        <v>37</v>
      </c>
      <c r="EI67" t="s">
        <v>37</v>
      </c>
      <c r="EK67" t="s">
        <v>37</v>
      </c>
      <c r="EM67" t="s">
        <v>37</v>
      </c>
      <c r="EO67" t="s">
        <v>37</v>
      </c>
      <c r="EQ67" t="s">
        <v>37</v>
      </c>
      <c r="ES67" t="s">
        <v>37</v>
      </c>
      <c r="EU67" t="s">
        <v>37</v>
      </c>
      <c r="EW67" t="s">
        <v>37</v>
      </c>
      <c r="EY67" t="s">
        <v>37</v>
      </c>
      <c r="FA67" t="s">
        <v>37</v>
      </c>
      <c r="FC67" t="s">
        <v>37</v>
      </c>
      <c r="FE67" t="s">
        <v>37</v>
      </c>
      <c r="FG67" t="s">
        <v>37</v>
      </c>
      <c r="FI67" t="s">
        <v>37</v>
      </c>
      <c r="FK67" t="s">
        <v>37</v>
      </c>
      <c r="FM67" t="s">
        <v>37</v>
      </c>
      <c r="FO67" t="s">
        <v>37</v>
      </c>
      <c r="FQ67" t="s">
        <v>37</v>
      </c>
      <c r="FS67" t="s">
        <v>37</v>
      </c>
      <c r="FU67" t="s">
        <v>37</v>
      </c>
      <c r="FW67" t="s">
        <v>37</v>
      </c>
      <c r="FY67" t="s">
        <v>37</v>
      </c>
      <c r="GA67" t="s">
        <v>37</v>
      </c>
      <c r="GC67" t="s">
        <v>37</v>
      </c>
      <c r="GE67" t="s">
        <v>37</v>
      </c>
      <c r="GG67" t="s">
        <v>37</v>
      </c>
      <c r="GI67" t="s">
        <v>37</v>
      </c>
      <c r="GK67" t="s">
        <v>37</v>
      </c>
      <c r="GM67" t="s">
        <v>37</v>
      </c>
      <c r="GO67" t="s">
        <v>37</v>
      </c>
      <c r="GQ67" t="s">
        <v>37</v>
      </c>
      <c r="GS67" t="s">
        <v>37</v>
      </c>
      <c r="GU67" t="s">
        <v>37</v>
      </c>
      <c r="GW67" t="s">
        <v>37</v>
      </c>
      <c r="GY67" t="s">
        <v>37</v>
      </c>
      <c r="HA67" t="s">
        <v>37</v>
      </c>
      <c r="HC67" t="s">
        <v>37</v>
      </c>
      <c r="HE67" t="s">
        <v>37</v>
      </c>
      <c r="HG67" t="s">
        <v>37</v>
      </c>
      <c r="HI67" t="s">
        <v>37</v>
      </c>
      <c r="HK67" t="s">
        <v>37</v>
      </c>
    </row>
    <row r="68" spans="1:219">
      <c r="A68" t="s">
        <v>90</v>
      </c>
      <c r="B68" t="s">
        <v>97</v>
      </c>
      <c r="C68" t="s">
        <v>37</v>
      </c>
      <c r="D68">
        <v>182004</v>
      </c>
      <c r="E68" t="s">
        <v>37</v>
      </c>
      <c r="F68">
        <v>964440</v>
      </c>
      <c r="G68" t="s">
        <v>37</v>
      </c>
      <c r="I68" t="s">
        <v>37</v>
      </c>
      <c r="K68" s="48" t="s">
        <v>37</v>
      </c>
      <c r="L68" s="50"/>
      <c r="M68" s="48" t="s">
        <v>37</v>
      </c>
      <c r="N68" s="50"/>
      <c r="O68" s="48" t="s">
        <v>37</v>
      </c>
      <c r="P68" s="50"/>
      <c r="Q68" s="48" t="s">
        <v>37</v>
      </c>
      <c r="R68" s="50"/>
      <c r="S68" s="48" t="s">
        <v>37</v>
      </c>
      <c r="T68">
        <v>77771</v>
      </c>
      <c r="U68" t="s">
        <v>37</v>
      </c>
      <c r="W68" t="s">
        <v>37</v>
      </c>
      <c r="Y68" t="s">
        <v>37</v>
      </c>
      <c r="Z68">
        <v>130155</v>
      </c>
      <c r="AA68" t="s">
        <v>37</v>
      </c>
      <c r="AB68">
        <v>37338</v>
      </c>
      <c r="AC68" t="s">
        <v>37</v>
      </c>
      <c r="AD68">
        <v>180161</v>
      </c>
      <c r="AE68" t="s">
        <v>37</v>
      </c>
      <c r="AF68">
        <v>20214</v>
      </c>
      <c r="AG68" t="s">
        <v>37</v>
      </c>
      <c r="AH68">
        <v>52650</v>
      </c>
      <c r="AI68" t="s">
        <v>37</v>
      </c>
      <c r="AK68" t="s">
        <v>37</v>
      </c>
      <c r="AM68" t="s">
        <v>37</v>
      </c>
      <c r="AO68" t="s">
        <v>37</v>
      </c>
      <c r="AP68">
        <v>56180</v>
      </c>
      <c r="AQ68" t="s">
        <v>37</v>
      </c>
      <c r="AR68">
        <v>183963</v>
      </c>
      <c r="AS68" t="s">
        <v>37</v>
      </c>
      <c r="AT68">
        <v>123510</v>
      </c>
      <c r="AU68" t="s">
        <v>37</v>
      </c>
      <c r="AV68">
        <v>13961</v>
      </c>
      <c r="AW68" t="s">
        <v>37</v>
      </c>
      <c r="AX68">
        <v>2293015</v>
      </c>
      <c r="AY68" t="s">
        <v>37</v>
      </c>
      <c r="AZ68">
        <v>306045</v>
      </c>
      <c r="BA68" t="s">
        <v>37</v>
      </c>
      <c r="BC68" t="s">
        <v>37</v>
      </c>
      <c r="BD68">
        <v>511656</v>
      </c>
      <c r="BE68" t="s">
        <v>37</v>
      </c>
      <c r="BF68">
        <v>33766</v>
      </c>
      <c r="BG68" t="s">
        <v>37</v>
      </c>
      <c r="BI68" t="s">
        <v>37</v>
      </c>
      <c r="BJ68">
        <v>49449</v>
      </c>
      <c r="BK68" t="s">
        <v>37</v>
      </c>
      <c r="BM68" t="s">
        <v>37</v>
      </c>
      <c r="BN68">
        <v>2213625</v>
      </c>
      <c r="BO68" t="s">
        <v>37</v>
      </c>
      <c r="BP68">
        <v>823890</v>
      </c>
      <c r="BQ68" t="s">
        <v>37</v>
      </c>
      <c r="BR68">
        <v>1366477</v>
      </c>
      <c r="BS68" t="s">
        <v>37</v>
      </c>
      <c r="BT68">
        <v>696706</v>
      </c>
      <c r="BU68" t="s">
        <v>37</v>
      </c>
      <c r="BV68">
        <v>218419</v>
      </c>
      <c r="BW68" t="s">
        <v>37</v>
      </c>
      <c r="BX68">
        <v>1130912</v>
      </c>
      <c r="BY68" t="s">
        <v>37</v>
      </c>
      <c r="BZ68">
        <v>123344</v>
      </c>
      <c r="CA68" t="s">
        <v>37</v>
      </c>
      <c r="CC68" t="s">
        <v>37</v>
      </c>
      <c r="CD68">
        <v>94379</v>
      </c>
      <c r="CE68" t="s">
        <v>37</v>
      </c>
      <c r="CF68">
        <v>120189</v>
      </c>
      <c r="CG68" t="s">
        <v>37</v>
      </c>
      <c r="CH68">
        <v>1213892</v>
      </c>
      <c r="CI68" t="s">
        <v>37</v>
      </c>
      <c r="CJ68">
        <v>22453</v>
      </c>
      <c r="CK68" t="s">
        <v>37</v>
      </c>
      <c r="CL68">
        <v>154222</v>
      </c>
      <c r="CM68" t="s">
        <v>37</v>
      </c>
      <c r="CN68">
        <v>43267</v>
      </c>
      <c r="CO68" t="s">
        <v>37</v>
      </c>
      <c r="CP68">
        <v>1816</v>
      </c>
      <c r="CQ68" t="s">
        <v>37</v>
      </c>
      <c r="CR68">
        <v>2808</v>
      </c>
      <c r="CS68" t="s">
        <v>37</v>
      </c>
      <c r="CT68">
        <v>4329237</v>
      </c>
      <c r="CU68" t="s">
        <v>37</v>
      </c>
      <c r="CW68" t="s">
        <v>37</v>
      </c>
      <c r="CX68">
        <v>42200</v>
      </c>
      <c r="CY68" t="s">
        <v>37</v>
      </c>
      <c r="DA68" t="s">
        <v>37</v>
      </c>
      <c r="DB68">
        <v>502407</v>
      </c>
      <c r="DC68" t="s">
        <v>37</v>
      </c>
      <c r="DD68">
        <v>60084</v>
      </c>
      <c r="DE68" t="s">
        <v>37</v>
      </c>
      <c r="DG68" t="s">
        <v>37</v>
      </c>
      <c r="DH68">
        <v>1043570</v>
      </c>
      <c r="DI68" t="s">
        <v>37</v>
      </c>
      <c r="DJ68">
        <v>3303920</v>
      </c>
      <c r="DK68" t="s">
        <v>37</v>
      </c>
      <c r="DM68" t="s">
        <v>37</v>
      </c>
      <c r="DN68">
        <v>571822</v>
      </c>
      <c r="DO68" t="s">
        <v>37</v>
      </c>
      <c r="DQ68" t="s">
        <v>37</v>
      </c>
      <c r="DR68">
        <v>91758</v>
      </c>
      <c r="DS68" t="s">
        <v>37</v>
      </c>
      <c r="DT68">
        <v>393332</v>
      </c>
      <c r="DU68" t="s">
        <v>37</v>
      </c>
      <c r="DV68">
        <v>151695</v>
      </c>
      <c r="DW68" t="s">
        <v>37</v>
      </c>
      <c r="DX68">
        <v>33542</v>
      </c>
      <c r="DY68" t="s">
        <v>37</v>
      </c>
      <c r="DZ68">
        <v>351933</v>
      </c>
      <c r="EA68" t="s">
        <v>37</v>
      </c>
      <c r="EC68" t="s">
        <v>37</v>
      </c>
      <c r="EE68" t="s">
        <v>37</v>
      </c>
      <c r="EG68" t="s">
        <v>37</v>
      </c>
      <c r="EH68">
        <v>147988</v>
      </c>
      <c r="EI68" t="s">
        <v>37</v>
      </c>
      <c r="EJ68">
        <v>133499</v>
      </c>
      <c r="EK68" t="s">
        <v>37</v>
      </c>
      <c r="EL68">
        <v>63012</v>
      </c>
      <c r="EM68" t="s">
        <v>37</v>
      </c>
      <c r="EN68">
        <v>371960</v>
      </c>
      <c r="EO68" t="s">
        <v>37</v>
      </c>
      <c r="EP68">
        <v>151762</v>
      </c>
      <c r="EQ68" t="s">
        <v>37</v>
      </c>
      <c r="ER68">
        <v>262191</v>
      </c>
      <c r="ES68" t="s">
        <v>37</v>
      </c>
      <c r="ET68">
        <v>51800</v>
      </c>
      <c r="EU68" t="s">
        <v>37</v>
      </c>
      <c r="EV68">
        <v>459391</v>
      </c>
      <c r="EW68" t="s">
        <v>37</v>
      </c>
      <c r="EY68" t="s">
        <v>37</v>
      </c>
      <c r="EZ68">
        <v>800000</v>
      </c>
      <c r="FA68" t="s">
        <v>37</v>
      </c>
      <c r="FB68">
        <v>64101</v>
      </c>
      <c r="FC68" t="s">
        <v>37</v>
      </c>
      <c r="FD68">
        <v>79843</v>
      </c>
      <c r="FE68" t="s">
        <v>37</v>
      </c>
      <c r="FG68" t="s">
        <v>37</v>
      </c>
      <c r="FH68">
        <v>284547</v>
      </c>
      <c r="FI68" t="s">
        <v>37</v>
      </c>
      <c r="FK68" t="s">
        <v>37</v>
      </c>
      <c r="FM68" t="s">
        <v>37</v>
      </c>
      <c r="FO68" t="s">
        <v>37</v>
      </c>
      <c r="FP68">
        <v>571818</v>
      </c>
      <c r="FQ68" t="s">
        <v>37</v>
      </c>
      <c r="FR68">
        <v>18243</v>
      </c>
      <c r="FS68" t="s">
        <v>37</v>
      </c>
      <c r="FT68">
        <v>61003</v>
      </c>
      <c r="FU68" t="s">
        <v>37</v>
      </c>
      <c r="FV68">
        <v>308781</v>
      </c>
      <c r="FW68" t="s">
        <v>37</v>
      </c>
      <c r="FX68">
        <v>1625325</v>
      </c>
      <c r="FY68" t="s">
        <v>37</v>
      </c>
      <c r="FZ68">
        <v>640668</v>
      </c>
      <c r="GA68" t="s">
        <v>37</v>
      </c>
      <c r="GB68">
        <v>914368</v>
      </c>
      <c r="GC68" t="s">
        <v>37</v>
      </c>
      <c r="GE68" t="s">
        <v>37</v>
      </c>
      <c r="GG68" t="s">
        <v>37</v>
      </c>
      <c r="GI68" t="s">
        <v>37</v>
      </c>
      <c r="GJ68">
        <v>313279</v>
      </c>
      <c r="GK68" t="s">
        <v>37</v>
      </c>
      <c r="GL68">
        <v>111526</v>
      </c>
      <c r="GM68" t="s">
        <v>37</v>
      </c>
      <c r="GO68" t="s">
        <v>37</v>
      </c>
      <c r="GP68">
        <v>162552</v>
      </c>
      <c r="GQ68" t="s">
        <v>37</v>
      </c>
      <c r="GR68">
        <v>187908</v>
      </c>
      <c r="GS68" t="s">
        <v>37</v>
      </c>
      <c r="GT68">
        <v>107469</v>
      </c>
      <c r="GU68" t="s">
        <v>37</v>
      </c>
      <c r="GW68" t="s">
        <v>37</v>
      </c>
      <c r="GX68">
        <v>332652</v>
      </c>
      <c r="GY68" t="s">
        <v>37</v>
      </c>
      <c r="GZ68">
        <v>83121</v>
      </c>
      <c r="HA68" t="s">
        <v>37</v>
      </c>
      <c r="HB68">
        <v>2527750</v>
      </c>
      <c r="HC68" t="s">
        <v>37</v>
      </c>
      <c r="HD68">
        <v>4375941</v>
      </c>
      <c r="HE68" t="s">
        <v>37</v>
      </c>
      <c r="HF68">
        <v>32626984</v>
      </c>
      <c r="HG68" t="s">
        <v>37</v>
      </c>
      <c r="HH68">
        <v>6903691</v>
      </c>
      <c r="HI68" t="s">
        <v>37</v>
      </c>
      <c r="HJ68">
        <v>39530675</v>
      </c>
      <c r="HK68" t="s">
        <v>37</v>
      </c>
    </row>
    <row r="69" spans="1:219">
      <c r="C69" t="s">
        <v>37</v>
      </c>
      <c r="E69" t="s">
        <v>37</v>
      </c>
      <c r="G69" t="s">
        <v>37</v>
      </c>
      <c r="I69" t="s">
        <v>37</v>
      </c>
      <c r="K69" s="48" t="s">
        <v>37</v>
      </c>
      <c r="L69" s="50"/>
      <c r="M69" s="48" t="s">
        <v>37</v>
      </c>
      <c r="N69" s="50"/>
      <c r="O69" s="48" t="s">
        <v>37</v>
      </c>
      <c r="P69" s="50"/>
      <c r="Q69" s="48" t="s">
        <v>37</v>
      </c>
      <c r="R69" s="50"/>
      <c r="S69" s="48" t="s">
        <v>37</v>
      </c>
      <c r="U69" t="s">
        <v>37</v>
      </c>
      <c r="W69" t="s">
        <v>37</v>
      </c>
      <c r="Y69" t="s">
        <v>37</v>
      </c>
      <c r="AA69" t="s">
        <v>37</v>
      </c>
      <c r="AC69" t="s">
        <v>37</v>
      </c>
      <c r="AE69" t="s">
        <v>37</v>
      </c>
      <c r="AG69" t="s">
        <v>37</v>
      </c>
      <c r="AI69" t="s">
        <v>37</v>
      </c>
      <c r="AK69" t="s">
        <v>37</v>
      </c>
      <c r="AM69" t="s">
        <v>37</v>
      </c>
      <c r="AO69" t="s">
        <v>37</v>
      </c>
      <c r="AQ69" t="s">
        <v>37</v>
      </c>
      <c r="AS69" t="s">
        <v>37</v>
      </c>
      <c r="AU69" t="s">
        <v>37</v>
      </c>
      <c r="AW69" t="s">
        <v>37</v>
      </c>
      <c r="AY69" t="s">
        <v>37</v>
      </c>
      <c r="BA69" t="s">
        <v>37</v>
      </c>
      <c r="BC69" t="s">
        <v>37</v>
      </c>
      <c r="BE69" t="s">
        <v>37</v>
      </c>
      <c r="BG69" t="s">
        <v>37</v>
      </c>
      <c r="BI69" t="s">
        <v>37</v>
      </c>
      <c r="BK69" t="s">
        <v>37</v>
      </c>
      <c r="BM69" t="s">
        <v>37</v>
      </c>
      <c r="BO69" t="s">
        <v>37</v>
      </c>
      <c r="BQ69" t="s">
        <v>37</v>
      </c>
      <c r="BS69" t="s">
        <v>37</v>
      </c>
      <c r="BU69" t="s">
        <v>37</v>
      </c>
      <c r="BW69" t="s">
        <v>37</v>
      </c>
      <c r="BY69" t="s">
        <v>37</v>
      </c>
      <c r="CA69" t="s">
        <v>37</v>
      </c>
      <c r="CC69" t="s">
        <v>37</v>
      </c>
      <c r="CE69" t="s">
        <v>37</v>
      </c>
      <c r="CG69" t="s">
        <v>37</v>
      </c>
      <c r="CI69" t="s">
        <v>37</v>
      </c>
      <c r="CK69" t="s">
        <v>37</v>
      </c>
      <c r="CM69" t="s">
        <v>37</v>
      </c>
      <c r="CO69" t="s">
        <v>37</v>
      </c>
      <c r="CQ69" t="s">
        <v>37</v>
      </c>
      <c r="CS69" t="s">
        <v>37</v>
      </c>
      <c r="CU69" t="s">
        <v>37</v>
      </c>
      <c r="CW69" t="s">
        <v>37</v>
      </c>
      <c r="CY69" t="s">
        <v>37</v>
      </c>
      <c r="DA69" t="s">
        <v>37</v>
      </c>
      <c r="DC69" t="s">
        <v>37</v>
      </c>
      <c r="DE69" t="s">
        <v>37</v>
      </c>
      <c r="DG69" t="s">
        <v>37</v>
      </c>
      <c r="DI69" t="s">
        <v>37</v>
      </c>
      <c r="DK69" t="s">
        <v>37</v>
      </c>
      <c r="DM69" t="s">
        <v>37</v>
      </c>
      <c r="DO69" t="s">
        <v>37</v>
      </c>
      <c r="DQ69" t="s">
        <v>37</v>
      </c>
      <c r="DS69" t="s">
        <v>37</v>
      </c>
      <c r="DU69" t="s">
        <v>37</v>
      </c>
      <c r="DW69" t="s">
        <v>37</v>
      </c>
      <c r="DY69" t="s">
        <v>37</v>
      </c>
      <c r="EA69" t="s">
        <v>37</v>
      </c>
      <c r="EC69" t="s">
        <v>37</v>
      </c>
      <c r="EE69" t="s">
        <v>37</v>
      </c>
      <c r="EG69" t="s">
        <v>37</v>
      </c>
      <c r="EI69" t="s">
        <v>37</v>
      </c>
      <c r="EK69" t="s">
        <v>37</v>
      </c>
      <c r="EM69" t="s">
        <v>37</v>
      </c>
      <c r="EO69" t="s">
        <v>37</v>
      </c>
      <c r="EQ69" t="s">
        <v>37</v>
      </c>
      <c r="ES69" t="s">
        <v>37</v>
      </c>
      <c r="EU69" t="s">
        <v>37</v>
      </c>
      <c r="EW69" t="s">
        <v>37</v>
      </c>
      <c r="EY69" t="s">
        <v>37</v>
      </c>
      <c r="FA69" t="s">
        <v>37</v>
      </c>
      <c r="FC69" t="s">
        <v>37</v>
      </c>
      <c r="FE69" t="s">
        <v>37</v>
      </c>
      <c r="FG69" t="s">
        <v>37</v>
      </c>
      <c r="FI69" t="s">
        <v>37</v>
      </c>
      <c r="FK69" t="s">
        <v>37</v>
      </c>
      <c r="FM69" t="s">
        <v>37</v>
      </c>
      <c r="FO69" t="s">
        <v>37</v>
      </c>
      <c r="FQ69" t="s">
        <v>37</v>
      </c>
      <c r="FS69" t="s">
        <v>37</v>
      </c>
      <c r="FU69" t="s">
        <v>37</v>
      </c>
      <c r="FW69" t="s">
        <v>37</v>
      </c>
      <c r="FY69" t="s">
        <v>37</v>
      </c>
      <c r="GA69" t="s">
        <v>37</v>
      </c>
      <c r="GC69" t="s">
        <v>37</v>
      </c>
      <c r="GE69" t="s">
        <v>37</v>
      </c>
      <c r="GG69" t="s">
        <v>37</v>
      </c>
      <c r="GI69" t="s">
        <v>37</v>
      </c>
      <c r="GK69" t="s">
        <v>37</v>
      </c>
      <c r="GM69" t="s">
        <v>37</v>
      </c>
      <c r="GO69" t="s">
        <v>37</v>
      </c>
      <c r="GQ69" t="s">
        <v>37</v>
      </c>
      <c r="GS69" t="s">
        <v>37</v>
      </c>
      <c r="GU69" t="s">
        <v>37</v>
      </c>
      <c r="GW69" t="s">
        <v>37</v>
      </c>
      <c r="GY69" t="s">
        <v>37</v>
      </c>
      <c r="HA69" t="s">
        <v>37</v>
      </c>
      <c r="HC69" t="s">
        <v>37</v>
      </c>
      <c r="HE69" t="s">
        <v>37</v>
      </c>
      <c r="HG69" t="s">
        <v>37</v>
      </c>
      <c r="HI69" t="s">
        <v>37</v>
      </c>
      <c r="HK69" t="s">
        <v>37</v>
      </c>
    </row>
    <row r="70" spans="1:219">
      <c r="A70">
        <v>3000</v>
      </c>
      <c r="B70" t="s">
        <v>98</v>
      </c>
      <c r="C70" t="s">
        <v>37</v>
      </c>
      <c r="E70" t="s">
        <v>37</v>
      </c>
      <c r="G70" t="s">
        <v>37</v>
      </c>
      <c r="I70" t="s">
        <v>37</v>
      </c>
      <c r="K70" s="48" t="s">
        <v>37</v>
      </c>
      <c r="L70" s="50"/>
      <c r="M70" s="48" t="s">
        <v>37</v>
      </c>
      <c r="N70" s="50"/>
      <c r="O70" s="48" t="s">
        <v>37</v>
      </c>
      <c r="P70" s="50"/>
      <c r="Q70" s="48" t="s">
        <v>37</v>
      </c>
      <c r="R70" s="50"/>
      <c r="S70" s="48" t="s">
        <v>37</v>
      </c>
      <c r="U70" t="s">
        <v>37</v>
      </c>
      <c r="W70" t="s">
        <v>37</v>
      </c>
      <c r="Y70" t="s">
        <v>37</v>
      </c>
      <c r="AA70" t="s">
        <v>37</v>
      </c>
      <c r="AC70" t="s">
        <v>37</v>
      </c>
      <c r="AE70" t="s">
        <v>37</v>
      </c>
      <c r="AG70" t="s">
        <v>37</v>
      </c>
      <c r="AI70" t="s">
        <v>37</v>
      </c>
      <c r="AK70" t="s">
        <v>37</v>
      </c>
      <c r="AM70" t="s">
        <v>37</v>
      </c>
      <c r="AO70" t="s">
        <v>37</v>
      </c>
      <c r="AQ70" t="s">
        <v>37</v>
      </c>
      <c r="AS70" t="s">
        <v>37</v>
      </c>
      <c r="AU70" t="s">
        <v>37</v>
      </c>
      <c r="AW70" t="s">
        <v>37</v>
      </c>
      <c r="AY70" t="s">
        <v>37</v>
      </c>
      <c r="BA70" t="s">
        <v>37</v>
      </c>
      <c r="BC70" t="s">
        <v>37</v>
      </c>
      <c r="BE70" t="s">
        <v>37</v>
      </c>
      <c r="BG70" t="s">
        <v>37</v>
      </c>
      <c r="BI70" t="s">
        <v>37</v>
      </c>
      <c r="BK70" t="s">
        <v>37</v>
      </c>
      <c r="BM70" t="s">
        <v>37</v>
      </c>
      <c r="BO70" t="s">
        <v>37</v>
      </c>
      <c r="BQ70" t="s">
        <v>37</v>
      </c>
      <c r="BS70" t="s">
        <v>37</v>
      </c>
      <c r="BU70" t="s">
        <v>37</v>
      </c>
      <c r="BW70" t="s">
        <v>37</v>
      </c>
      <c r="BY70" t="s">
        <v>37</v>
      </c>
      <c r="CA70" t="s">
        <v>37</v>
      </c>
      <c r="CC70" t="s">
        <v>37</v>
      </c>
      <c r="CE70" t="s">
        <v>37</v>
      </c>
      <c r="CG70" t="s">
        <v>37</v>
      </c>
      <c r="CI70" t="s">
        <v>37</v>
      </c>
      <c r="CK70" t="s">
        <v>37</v>
      </c>
      <c r="CM70" t="s">
        <v>37</v>
      </c>
      <c r="CO70" t="s">
        <v>37</v>
      </c>
      <c r="CQ70" t="s">
        <v>37</v>
      </c>
      <c r="CS70" t="s">
        <v>37</v>
      </c>
      <c r="CU70" t="s">
        <v>37</v>
      </c>
      <c r="CW70" t="s">
        <v>37</v>
      </c>
      <c r="CY70" t="s">
        <v>37</v>
      </c>
      <c r="DA70" t="s">
        <v>37</v>
      </c>
      <c r="DC70" t="s">
        <v>37</v>
      </c>
      <c r="DE70" t="s">
        <v>37</v>
      </c>
      <c r="DG70" t="s">
        <v>37</v>
      </c>
      <c r="DI70" t="s">
        <v>37</v>
      </c>
      <c r="DK70" t="s">
        <v>37</v>
      </c>
      <c r="DM70" t="s">
        <v>37</v>
      </c>
      <c r="DO70" t="s">
        <v>37</v>
      </c>
      <c r="DQ70" t="s">
        <v>37</v>
      </c>
      <c r="DS70" t="s">
        <v>37</v>
      </c>
      <c r="DU70" t="s">
        <v>37</v>
      </c>
      <c r="DW70" t="s">
        <v>37</v>
      </c>
      <c r="DY70" t="s">
        <v>37</v>
      </c>
      <c r="EA70" t="s">
        <v>37</v>
      </c>
      <c r="EC70" t="s">
        <v>37</v>
      </c>
      <c r="EE70" t="s">
        <v>37</v>
      </c>
      <c r="EG70" t="s">
        <v>37</v>
      </c>
      <c r="EI70" t="s">
        <v>37</v>
      </c>
      <c r="EK70" t="s">
        <v>37</v>
      </c>
      <c r="EM70" t="s">
        <v>37</v>
      </c>
      <c r="EO70" t="s">
        <v>37</v>
      </c>
      <c r="EQ70" t="s">
        <v>37</v>
      </c>
      <c r="ES70" t="s">
        <v>37</v>
      </c>
      <c r="EU70" t="s">
        <v>37</v>
      </c>
      <c r="EW70" t="s">
        <v>37</v>
      </c>
      <c r="EY70" t="s">
        <v>37</v>
      </c>
      <c r="FA70" t="s">
        <v>37</v>
      </c>
      <c r="FC70" t="s">
        <v>37</v>
      </c>
      <c r="FE70" t="s">
        <v>37</v>
      </c>
      <c r="FG70" t="s">
        <v>37</v>
      </c>
      <c r="FI70" t="s">
        <v>37</v>
      </c>
      <c r="FK70" t="s">
        <v>37</v>
      </c>
      <c r="FM70" t="s">
        <v>37</v>
      </c>
      <c r="FO70" t="s">
        <v>37</v>
      </c>
      <c r="FQ70" t="s">
        <v>37</v>
      </c>
      <c r="FS70" t="s">
        <v>37</v>
      </c>
      <c r="FU70" t="s">
        <v>37</v>
      </c>
      <c r="FW70" t="s">
        <v>37</v>
      </c>
      <c r="FY70" t="s">
        <v>37</v>
      </c>
      <c r="GA70" t="s">
        <v>37</v>
      </c>
      <c r="GC70" t="s">
        <v>37</v>
      </c>
      <c r="GE70" t="s">
        <v>37</v>
      </c>
      <c r="GG70" t="s">
        <v>37</v>
      </c>
      <c r="GI70" t="s">
        <v>37</v>
      </c>
      <c r="GK70" t="s">
        <v>37</v>
      </c>
      <c r="GM70" t="s">
        <v>37</v>
      </c>
      <c r="GO70" t="s">
        <v>37</v>
      </c>
      <c r="GQ70" t="s">
        <v>37</v>
      </c>
      <c r="GS70" t="s">
        <v>37</v>
      </c>
      <c r="GU70" t="s">
        <v>37</v>
      </c>
      <c r="GW70" t="s">
        <v>37</v>
      </c>
      <c r="GY70" t="s">
        <v>37</v>
      </c>
      <c r="HA70" t="s">
        <v>37</v>
      </c>
      <c r="HC70" t="s">
        <v>37</v>
      </c>
      <c r="HE70" t="s">
        <v>37</v>
      </c>
      <c r="HG70" t="s">
        <v>37</v>
      </c>
      <c r="HI70" t="s">
        <v>37</v>
      </c>
      <c r="HK70" t="s">
        <v>37</v>
      </c>
    </row>
    <row r="71" spans="1:219">
      <c r="A71">
        <v>3100</v>
      </c>
      <c r="B71" t="s">
        <v>99</v>
      </c>
      <c r="C71" t="s">
        <v>37</v>
      </c>
      <c r="E71" t="s">
        <v>37</v>
      </c>
      <c r="G71" t="s">
        <v>37</v>
      </c>
      <c r="I71" t="s">
        <v>37</v>
      </c>
      <c r="K71" s="48" t="s">
        <v>37</v>
      </c>
      <c r="L71" s="50"/>
      <c r="M71" s="48" t="s">
        <v>37</v>
      </c>
      <c r="N71" s="50"/>
      <c r="O71" s="48" t="s">
        <v>37</v>
      </c>
      <c r="P71" s="50"/>
      <c r="Q71" s="48" t="s">
        <v>37</v>
      </c>
      <c r="R71" s="50"/>
      <c r="S71" s="48" t="s">
        <v>37</v>
      </c>
      <c r="U71" t="s">
        <v>37</v>
      </c>
      <c r="W71" t="s">
        <v>37</v>
      </c>
      <c r="Y71" t="s">
        <v>37</v>
      </c>
      <c r="AA71" t="s">
        <v>37</v>
      </c>
      <c r="AC71" t="s">
        <v>37</v>
      </c>
      <c r="AE71" t="s">
        <v>37</v>
      </c>
      <c r="AG71" t="s">
        <v>37</v>
      </c>
      <c r="AI71" t="s">
        <v>37</v>
      </c>
      <c r="AK71" t="s">
        <v>37</v>
      </c>
      <c r="AM71" t="s">
        <v>37</v>
      </c>
      <c r="AO71" t="s">
        <v>37</v>
      </c>
      <c r="AQ71" t="s">
        <v>37</v>
      </c>
      <c r="AS71" t="s">
        <v>37</v>
      </c>
      <c r="AU71" t="s">
        <v>37</v>
      </c>
      <c r="AW71" t="s">
        <v>37</v>
      </c>
      <c r="AY71" t="s">
        <v>37</v>
      </c>
      <c r="BA71" t="s">
        <v>37</v>
      </c>
      <c r="BC71" t="s">
        <v>37</v>
      </c>
      <c r="BE71" t="s">
        <v>37</v>
      </c>
      <c r="BG71" t="s">
        <v>37</v>
      </c>
      <c r="BI71" t="s">
        <v>37</v>
      </c>
      <c r="BK71" t="s">
        <v>37</v>
      </c>
      <c r="BM71" t="s">
        <v>37</v>
      </c>
      <c r="BO71" t="s">
        <v>37</v>
      </c>
      <c r="BQ71" t="s">
        <v>37</v>
      </c>
      <c r="BS71" t="s">
        <v>37</v>
      </c>
      <c r="BU71" t="s">
        <v>37</v>
      </c>
      <c r="BW71" t="s">
        <v>37</v>
      </c>
      <c r="BY71" t="s">
        <v>37</v>
      </c>
      <c r="CA71" t="s">
        <v>37</v>
      </c>
      <c r="CC71" t="s">
        <v>37</v>
      </c>
      <c r="CE71" t="s">
        <v>37</v>
      </c>
      <c r="CG71" t="s">
        <v>37</v>
      </c>
      <c r="CI71" t="s">
        <v>37</v>
      </c>
      <c r="CK71" t="s">
        <v>37</v>
      </c>
      <c r="CM71" t="s">
        <v>37</v>
      </c>
      <c r="CO71" t="s">
        <v>37</v>
      </c>
      <c r="CQ71" t="s">
        <v>37</v>
      </c>
      <c r="CS71" t="s">
        <v>37</v>
      </c>
      <c r="CU71" t="s">
        <v>37</v>
      </c>
      <c r="CW71" t="s">
        <v>37</v>
      </c>
      <c r="CY71" t="s">
        <v>37</v>
      </c>
      <c r="DA71" t="s">
        <v>37</v>
      </c>
      <c r="DC71" t="s">
        <v>37</v>
      </c>
      <c r="DE71" t="s">
        <v>37</v>
      </c>
      <c r="DG71" t="s">
        <v>37</v>
      </c>
      <c r="DI71" t="s">
        <v>37</v>
      </c>
      <c r="DK71" t="s">
        <v>37</v>
      </c>
      <c r="DM71" t="s">
        <v>37</v>
      </c>
      <c r="DO71" t="s">
        <v>37</v>
      </c>
      <c r="DQ71" t="s">
        <v>37</v>
      </c>
      <c r="DS71" t="s">
        <v>37</v>
      </c>
      <c r="DU71" t="s">
        <v>37</v>
      </c>
      <c r="DW71" t="s">
        <v>37</v>
      </c>
      <c r="DY71" t="s">
        <v>37</v>
      </c>
      <c r="EA71" t="s">
        <v>37</v>
      </c>
      <c r="EC71" t="s">
        <v>37</v>
      </c>
      <c r="EE71" t="s">
        <v>37</v>
      </c>
      <c r="EG71" t="s">
        <v>37</v>
      </c>
      <c r="EI71" t="s">
        <v>37</v>
      </c>
      <c r="EK71" t="s">
        <v>37</v>
      </c>
      <c r="EM71" t="s">
        <v>37</v>
      </c>
      <c r="EO71" t="s">
        <v>37</v>
      </c>
      <c r="EQ71" t="s">
        <v>37</v>
      </c>
      <c r="ES71" t="s">
        <v>37</v>
      </c>
      <c r="EU71" t="s">
        <v>37</v>
      </c>
      <c r="EW71" t="s">
        <v>37</v>
      </c>
      <c r="EY71" t="s">
        <v>37</v>
      </c>
      <c r="FA71" t="s">
        <v>37</v>
      </c>
      <c r="FC71" t="s">
        <v>37</v>
      </c>
      <c r="FE71" t="s">
        <v>37</v>
      </c>
      <c r="FG71" t="s">
        <v>37</v>
      </c>
      <c r="FI71" t="s">
        <v>37</v>
      </c>
      <c r="FK71" t="s">
        <v>37</v>
      </c>
      <c r="FM71" t="s">
        <v>37</v>
      </c>
      <c r="FO71" t="s">
        <v>37</v>
      </c>
      <c r="FQ71" t="s">
        <v>37</v>
      </c>
      <c r="FS71" t="s">
        <v>37</v>
      </c>
      <c r="FU71" t="s">
        <v>37</v>
      </c>
      <c r="FW71" t="s">
        <v>37</v>
      </c>
      <c r="FY71" t="s">
        <v>37</v>
      </c>
      <c r="GA71" t="s">
        <v>37</v>
      </c>
      <c r="GC71" t="s">
        <v>37</v>
      </c>
      <c r="GE71" t="s">
        <v>37</v>
      </c>
      <c r="GG71" t="s">
        <v>37</v>
      </c>
      <c r="GI71" t="s">
        <v>37</v>
      </c>
      <c r="GK71" t="s">
        <v>37</v>
      </c>
      <c r="GM71" t="s">
        <v>37</v>
      </c>
      <c r="GO71" t="s">
        <v>37</v>
      </c>
      <c r="GQ71" t="s">
        <v>37</v>
      </c>
      <c r="GS71" t="s">
        <v>37</v>
      </c>
      <c r="GU71" t="s">
        <v>37</v>
      </c>
      <c r="GW71" t="s">
        <v>37</v>
      </c>
      <c r="GY71" t="s">
        <v>37</v>
      </c>
      <c r="HA71" t="s">
        <v>37</v>
      </c>
      <c r="HC71" t="s">
        <v>37</v>
      </c>
      <c r="HE71" t="s">
        <v>37</v>
      </c>
      <c r="HG71" t="s">
        <v>37</v>
      </c>
      <c r="HI71" t="s">
        <v>37</v>
      </c>
      <c r="HK71" t="s">
        <v>37</v>
      </c>
    </row>
    <row r="72" spans="1:219">
      <c r="A72">
        <v>3110</v>
      </c>
      <c r="B72" t="s">
        <v>100</v>
      </c>
      <c r="C72" t="s">
        <v>37</v>
      </c>
      <c r="E72" t="s">
        <v>37</v>
      </c>
      <c r="G72" t="s">
        <v>37</v>
      </c>
      <c r="I72" t="s">
        <v>37</v>
      </c>
      <c r="K72" s="48" t="s">
        <v>37</v>
      </c>
      <c r="L72" s="50"/>
      <c r="M72" s="48" t="s">
        <v>37</v>
      </c>
      <c r="N72" s="50"/>
      <c r="O72" s="48" t="s">
        <v>37</v>
      </c>
      <c r="P72" s="50"/>
      <c r="Q72" s="48" t="s">
        <v>37</v>
      </c>
      <c r="R72" s="50"/>
      <c r="S72" s="48" t="s">
        <v>37</v>
      </c>
      <c r="U72" t="s">
        <v>37</v>
      </c>
      <c r="W72" t="s">
        <v>37</v>
      </c>
      <c r="Y72" t="s">
        <v>37</v>
      </c>
      <c r="AA72" t="s">
        <v>37</v>
      </c>
      <c r="AC72" t="s">
        <v>37</v>
      </c>
      <c r="AE72" t="s">
        <v>37</v>
      </c>
      <c r="AG72" t="s">
        <v>37</v>
      </c>
      <c r="AI72" t="s">
        <v>37</v>
      </c>
      <c r="AK72" t="s">
        <v>37</v>
      </c>
      <c r="AM72" t="s">
        <v>37</v>
      </c>
      <c r="AO72" t="s">
        <v>37</v>
      </c>
      <c r="AQ72" t="s">
        <v>37</v>
      </c>
      <c r="AS72" t="s">
        <v>37</v>
      </c>
      <c r="AU72" t="s">
        <v>37</v>
      </c>
      <c r="AW72" t="s">
        <v>37</v>
      </c>
      <c r="AY72" t="s">
        <v>37</v>
      </c>
      <c r="BA72" t="s">
        <v>37</v>
      </c>
      <c r="BC72" t="s">
        <v>37</v>
      </c>
      <c r="BE72" t="s">
        <v>37</v>
      </c>
      <c r="BG72" t="s">
        <v>37</v>
      </c>
      <c r="BI72" t="s">
        <v>37</v>
      </c>
      <c r="BK72" t="s">
        <v>37</v>
      </c>
      <c r="BM72" t="s">
        <v>37</v>
      </c>
      <c r="BO72" t="s">
        <v>37</v>
      </c>
      <c r="BQ72" t="s">
        <v>37</v>
      </c>
      <c r="BS72" t="s">
        <v>37</v>
      </c>
      <c r="BU72" t="s">
        <v>37</v>
      </c>
      <c r="BW72" t="s">
        <v>37</v>
      </c>
      <c r="BY72" t="s">
        <v>37</v>
      </c>
      <c r="CA72" t="s">
        <v>37</v>
      </c>
      <c r="CC72" t="s">
        <v>37</v>
      </c>
      <c r="CE72" t="s">
        <v>37</v>
      </c>
      <c r="CG72" t="s">
        <v>37</v>
      </c>
      <c r="CI72" t="s">
        <v>37</v>
      </c>
      <c r="CK72" t="s">
        <v>37</v>
      </c>
      <c r="CM72" t="s">
        <v>37</v>
      </c>
      <c r="CO72" t="s">
        <v>37</v>
      </c>
      <c r="CQ72" t="s">
        <v>37</v>
      </c>
      <c r="CS72" t="s">
        <v>37</v>
      </c>
      <c r="CU72" t="s">
        <v>37</v>
      </c>
      <c r="CW72" t="s">
        <v>37</v>
      </c>
      <c r="CY72" t="s">
        <v>37</v>
      </c>
      <c r="DA72" t="s">
        <v>37</v>
      </c>
      <c r="DC72" t="s">
        <v>37</v>
      </c>
      <c r="DE72" t="s">
        <v>37</v>
      </c>
      <c r="DG72" t="s">
        <v>37</v>
      </c>
      <c r="DI72" t="s">
        <v>37</v>
      </c>
      <c r="DK72" t="s">
        <v>37</v>
      </c>
      <c r="DM72" t="s">
        <v>37</v>
      </c>
      <c r="DO72" t="s">
        <v>37</v>
      </c>
      <c r="DQ72" t="s">
        <v>37</v>
      </c>
      <c r="DS72" t="s">
        <v>37</v>
      </c>
      <c r="DU72" t="s">
        <v>37</v>
      </c>
      <c r="DW72" t="s">
        <v>37</v>
      </c>
      <c r="DY72" t="s">
        <v>37</v>
      </c>
      <c r="EA72" t="s">
        <v>37</v>
      </c>
      <c r="EC72" t="s">
        <v>37</v>
      </c>
      <c r="EE72" t="s">
        <v>37</v>
      </c>
      <c r="EG72" t="s">
        <v>37</v>
      </c>
      <c r="EI72" t="s">
        <v>37</v>
      </c>
      <c r="EK72" t="s">
        <v>37</v>
      </c>
      <c r="EM72" t="s">
        <v>37</v>
      </c>
      <c r="EO72" t="s">
        <v>37</v>
      </c>
      <c r="EQ72" t="s">
        <v>37</v>
      </c>
      <c r="ES72" t="s">
        <v>37</v>
      </c>
      <c r="EU72" t="s">
        <v>37</v>
      </c>
      <c r="EW72" t="s">
        <v>37</v>
      </c>
      <c r="EY72" t="s">
        <v>37</v>
      </c>
      <c r="FA72" t="s">
        <v>37</v>
      </c>
      <c r="FC72" t="s">
        <v>37</v>
      </c>
      <c r="FE72" t="s">
        <v>37</v>
      </c>
      <c r="FG72" t="s">
        <v>37</v>
      </c>
      <c r="FI72" t="s">
        <v>37</v>
      </c>
      <c r="FK72" t="s">
        <v>37</v>
      </c>
      <c r="FM72" t="s">
        <v>37</v>
      </c>
      <c r="FO72" t="s">
        <v>37</v>
      </c>
      <c r="FQ72" t="s">
        <v>37</v>
      </c>
      <c r="FS72" t="s">
        <v>37</v>
      </c>
      <c r="FU72" t="s">
        <v>37</v>
      </c>
      <c r="FW72" t="s">
        <v>37</v>
      </c>
      <c r="FY72" t="s">
        <v>37</v>
      </c>
      <c r="GA72" t="s">
        <v>37</v>
      </c>
      <c r="GC72" t="s">
        <v>37</v>
      </c>
      <c r="GE72" t="s">
        <v>37</v>
      </c>
      <c r="GG72" t="s">
        <v>37</v>
      </c>
      <c r="GI72" t="s">
        <v>37</v>
      </c>
      <c r="GK72" t="s">
        <v>37</v>
      </c>
      <c r="GM72" t="s">
        <v>37</v>
      </c>
      <c r="GO72" t="s">
        <v>37</v>
      </c>
      <c r="GQ72" t="s">
        <v>37</v>
      </c>
      <c r="GS72" t="s">
        <v>37</v>
      </c>
      <c r="GU72" t="s">
        <v>37</v>
      </c>
      <c r="GW72" t="s">
        <v>37</v>
      </c>
      <c r="GY72" t="s">
        <v>37</v>
      </c>
      <c r="HA72" t="s">
        <v>37</v>
      </c>
      <c r="HC72" t="s">
        <v>37</v>
      </c>
      <c r="HE72" t="s">
        <v>37</v>
      </c>
      <c r="HG72" t="s">
        <v>37</v>
      </c>
      <c r="HI72" t="s">
        <v>37</v>
      </c>
      <c r="HK72" t="s">
        <v>37</v>
      </c>
    </row>
    <row r="73" spans="1:219">
      <c r="A73">
        <v>3112</v>
      </c>
      <c r="B73" t="s">
        <v>101</v>
      </c>
      <c r="C73" t="s">
        <v>37</v>
      </c>
      <c r="E73" t="s">
        <v>37</v>
      </c>
      <c r="G73" t="s">
        <v>37</v>
      </c>
      <c r="I73" t="s">
        <v>37</v>
      </c>
      <c r="K73" s="48" t="s">
        <v>37</v>
      </c>
      <c r="L73" s="50"/>
      <c r="M73" s="48" t="s">
        <v>37</v>
      </c>
      <c r="N73" s="50"/>
      <c r="O73" s="48" t="s">
        <v>37</v>
      </c>
      <c r="P73" s="50"/>
      <c r="Q73" s="48" t="s">
        <v>37</v>
      </c>
      <c r="R73" s="50"/>
      <c r="S73" s="48" t="s">
        <v>37</v>
      </c>
      <c r="U73" t="s">
        <v>37</v>
      </c>
      <c r="W73" t="s">
        <v>37</v>
      </c>
      <c r="Y73" t="s">
        <v>37</v>
      </c>
      <c r="AA73" t="s">
        <v>37</v>
      </c>
      <c r="AC73" t="s">
        <v>37</v>
      </c>
      <c r="AE73" t="s">
        <v>37</v>
      </c>
      <c r="AG73" t="s">
        <v>37</v>
      </c>
      <c r="AI73" t="s">
        <v>37</v>
      </c>
      <c r="AK73" t="s">
        <v>37</v>
      </c>
      <c r="AM73" t="s">
        <v>37</v>
      </c>
      <c r="AO73" t="s">
        <v>37</v>
      </c>
      <c r="AQ73" t="s">
        <v>37</v>
      </c>
      <c r="AS73" t="s">
        <v>37</v>
      </c>
      <c r="AU73" t="s">
        <v>37</v>
      </c>
      <c r="AV73">
        <v>38919</v>
      </c>
      <c r="AW73" t="s">
        <v>37</v>
      </c>
      <c r="AY73" t="s">
        <v>37</v>
      </c>
      <c r="BA73" t="s">
        <v>37</v>
      </c>
      <c r="BC73" t="s">
        <v>37</v>
      </c>
      <c r="BE73" t="s">
        <v>37</v>
      </c>
      <c r="BG73" t="s">
        <v>37</v>
      </c>
      <c r="BI73" t="s">
        <v>37</v>
      </c>
      <c r="BK73" t="s">
        <v>37</v>
      </c>
      <c r="BM73" t="s">
        <v>37</v>
      </c>
      <c r="BO73" t="s">
        <v>37</v>
      </c>
      <c r="BQ73" t="s">
        <v>37</v>
      </c>
      <c r="BS73" t="s">
        <v>37</v>
      </c>
      <c r="BU73" t="s">
        <v>37</v>
      </c>
      <c r="BW73" t="s">
        <v>37</v>
      </c>
      <c r="BY73" t="s">
        <v>37</v>
      </c>
      <c r="CA73" t="s">
        <v>37</v>
      </c>
      <c r="CC73" t="s">
        <v>37</v>
      </c>
      <c r="CE73" t="s">
        <v>37</v>
      </c>
      <c r="CG73" t="s">
        <v>37</v>
      </c>
      <c r="CI73" t="s">
        <v>37</v>
      </c>
      <c r="CK73" t="s">
        <v>37</v>
      </c>
      <c r="CM73" t="s">
        <v>37</v>
      </c>
      <c r="CO73" t="s">
        <v>37</v>
      </c>
      <c r="CQ73" t="s">
        <v>37</v>
      </c>
      <c r="CS73" t="s">
        <v>37</v>
      </c>
      <c r="CU73" t="s">
        <v>37</v>
      </c>
      <c r="CW73" t="s">
        <v>37</v>
      </c>
      <c r="CY73" t="s">
        <v>37</v>
      </c>
      <c r="DA73" t="s">
        <v>37</v>
      </c>
      <c r="DC73" t="s">
        <v>37</v>
      </c>
      <c r="DE73" t="s">
        <v>37</v>
      </c>
      <c r="DG73" t="s">
        <v>37</v>
      </c>
      <c r="DI73" t="s">
        <v>37</v>
      </c>
      <c r="DK73" t="s">
        <v>37</v>
      </c>
      <c r="DL73">
        <v>46307</v>
      </c>
      <c r="DM73" t="s">
        <v>37</v>
      </c>
      <c r="DO73" t="s">
        <v>37</v>
      </c>
      <c r="DQ73" t="s">
        <v>37</v>
      </c>
      <c r="DS73" t="s">
        <v>37</v>
      </c>
      <c r="DT73">
        <v>1721</v>
      </c>
      <c r="DU73" t="s">
        <v>37</v>
      </c>
      <c r="DW73" t="s">
        <v>37</v>
      </c>
      <c r="DY73" t="s">
        <v>37</v>
      </c>
      <c r="EA73" t="s">
        <v>37</v>
      </c>
      <c r="EC73" t="s">
        <v>37</v>
      </c>
      <c r="EE73" t="s">
        <v>37</v>
      </c>
      <c r="EG73" t="s">
        <v>37</v>
      </c>
      <c r="EI73" t="s">
        <v>37</v>
      </c>
      <c r="EK73" t="s">
        <v>37</v>
      </c>
      <c r="EM73" t="s">
        <v>37</v>
      </c>
      <c r="EO73" t="s">
        <v>37</v>
      </c>
      <c r="EQ73" t="s">
        <v>37</v>
      </c>
      <c r="ES73" t="s">
        <v>37</v>
      </c>
      <c r="EU73" t="s">
        <v>37</v>
      </c>
      <c r="EV73">
        <v>69721</v>
      </c>
      <c r="EW73" t="s">
        <v>37</v>
      </c>
      <c r="EY73" t="s">
        <v>37</v>
      </c>
      <c r="FA73" t="s">
        <v>37</v>
      </c>
      <c r="FC73" t="s">
        <v>37</v>
      </c>
      <c r="FE73" t="s">
        <v>37</v>
      </c>
      <c r="FG73" t="s">
        <v>37</v>
      </c>
      <c r="FI73" t="s">
        <v>37</v>
      </c>
      <c r="FK73" t="s">
        <v>37</v>
      </c>
      <c r="FM73" t="s">
        <v>37</v>
      </c>
      <c r="FO73" t="s">
        <v>37</v>
      </c>
      <c r="FQ73" t="s">
        <v>37</v>
      </c>
      <c r="FS73" t="s">
        <v>37</v>
      </c>
      <c r="FU73" t="s">
        <v>37</v>
      </c>
      <c r="FW73" t="s">
        <v>37</v>
      </c>
      <c r="FY73" t="s">
        <v>37</v>
      </c>
      <c r="GA73" t="s">
        <v>37</v>
      </c>
      <c r="GC73" t="s">
        <v>37</v>
      </c>
      <c r="GE73" t="s">
        <v>37</v>
      </c>
      <c r="GG73" t="s">
        <v>37</v>
      </c>
      <c r="GI73" t="s">
        <v>37</v>
      </c>
      <c r="GK73" t="s">
        <v>37</v>
      </c>
      <c r="GM73" t="s">
        <v>37</v>
      </c>
      <c r="GO73" t="s">
        <v>37</v>
      </c>
      <c r="GQ73" t="s">
        <v>37</v>
      </c>
      <c r="GS73" t="s">
        <v>37</v>
      </c>
      <c r="GU73" t="s">
        <v>37</v>
      </c>
      <c r="GW73" t="s">
        <v>37</v>
      </c>
      <c r="GY73" t="s">
        <v>37</v>
      </c>
      <c r="HA73" t="s">
        <v>37</v>
      </c>
      <c r="HC73" t="s">
        <v>37</v>
      </c>
      <c r="HE73" t="s">
        <v>37</v>
      </c>
      <c r="HF73">
        <v>156668</v>
      </c>
      <c r="HG73" t="s">
        <v>37</v>
      </c>
      <c r="HI73" t="s">
        <v>37</v>
      </c>
      <c r="HJ73">
        <v>156668</v>
      </c>
      <c r="HK73" t="s">
        <v>37</v>
      </c>
    </row>
    <row r="74" spans="1:219">
      <c r="A74">
        <v>3113</v>
      </c>
      <c r="B74" t="s">
        <v>102</v>
      </c>
      <c r="C74" t="s">
        <v>37</v>
      </c>
      <c r="D74">
        <v>40261</v>
      </c>
      <c r="E74" t="s">
        <v>37</v>
      </c>
      <c r="F74">
        <v>52274</v>
      </c>
      <c r="G74" t="s">
        <v>37</v>
      </c>
      <c r="I74" t="s">
        <v>37</v>
      </c>
      <c r="K74" s="48" t="s">
        <v>37</v>
      </c>
      <c r="L74" s="50"/>
      <c r="M74" s="48" t="s">
        <v>37</v>
      </c>
      <c r="N74" s="51">
        <v>10147</v>
      </c>
      <c r="O74" s="48" t="s">
        <v>37</v>
      </c>
      <c r="P74" s="51">
        <v>14552</v>
      </c>
      <c r="Q74" s="48" t="s">
        <v>37</v>
      </c>
      <c r="R74" s="51">
        <v>5597</v>
      </c>
      <c r="S74" s="48" t="s">
        <v>37</v>
      </c>
      <c r="T74">
        <v>10106</v>
      </c>
      <c r="U74" t="s">
        <v>37</v>
      </c>
      <c r="W74" t="s">
        <v>37</v>
      </c>
      <c r="Y74" t="s">
        <v>37</v>
      </c>
      <c r="AA74" t="s">
        <v>37</v>
      </c>
      <c r="AC74" t="s">
        <v>37</v>
      </c>
      <c r="AE74" t="s">
        <v>37</v>
      </c>
      <c r="AG74" t="s">
        <v>37</v>
      </c>
      <c r="AI74" t="s">
        <v>37</v>
      </c>
      <c r="AJ74">
        <v>7906</v>
      </c>
      <c r="AK74" t="s">
        <v>37</v>
      </c>
      <c r="AM74" t="s">
        <v>37</v>
      </c>
      <c r="AO74" t="s">
        <v>37</v>
      </c>
      <c r="AQ74" t="s">
        <v>37</v>
      </c>
      <c r="AS74" t="s">
        <v>37</v>
      </c>
      <c r="AU74" t="s">
        <v>37</v>
      </c>
      <c r="AV74">
        <v>18139</v>
      </c>
      <c r="AW74" t="s">
        <v>37</v>
      </c>
      <c r="AX74">
        <v>4730</v>
      </c>
      <c r="AY74" t="s">
        <v>37</v>
      </c>
      <c r="AZ74">
        <v>35428</v>
      </c>
      <c r="BA74" t="s">
        <v>37</v>
      </c>
      <c r="BC74" t="s">
        <v>37</v>
      </c>
      <c r="BE74" t="s">
        <v>37</v>
      </c>
      <c r="BG74" t="s">
        <v>37</v>
      </c>
      <c r="BH74">
        <v>10192</v>
      </c>
      <c r="BI74" t="s">
        <v>37</v>
      </c>
      <c r="BK74" t="s">
        <v>37</v>
      </c>
      <c r="BL74">
        <v>17217</v>
      </c>
      <c r="BM74" t="s">
        <v>37</v>
      </c>
      <c r="BO74" t="s">
        <v>37</v>
      </c>
      <c r="BQ74" t="s">
        <v>37</v>
      </c>
      <c r="BS74" t="s">
        <v>37</v>
      </c>
      <c r="BU74" t="s">
        <v>37</v>
      </c>
      <c r="BW74" t="s">
        <v>37</v>
      </c>
      <c r="BY74" t="s">
        <v>37</v>
      </c>
      <c r="CA74" t="s">
        <v>37</v>
      </c>
      <c r="CC74" t="s">
        <v>37</v>
      </c>
      <c r="CD74">
        <v>20498</v>
      </c>
      <c r="CE74" t="s">
        <v>37</v>
      </c>
      <c r="CF74">
        <v>6959</v>
      </c>
      <c r="CG74" t="s">
        <v>37</v>
      </c>
      <c r="CI74" t="s">
        <v>37</v>
      </c>
      <c r="CK74" t="s">
        <v>37</v>
      </c>
      <c r="CM74" t="s">
        <v>37</v>
      </c>
      <c r="CO74" t="s">
        <v>37</v>
      </c>
      <c r="CP74">
        <v>12214</v>
      </c>
      <c r="CQ74" t="s">
        <v>37</v>
      </c>
      <c r="CR74">
        <v>11732</v>
      </c>
      <c r="CS74" t="s">
        <v>37</v>
      </c>
      <c r="CU74" t="s">
        <v>37</v>
      </c>
      <c r="CW74" t="s">
        <v>37</v>
      </c>
      <c r="CY74" t="s">
        <v>37</v>
      </c>
      <c r="DA74" t="s">
        <v>37</v>
      </c>
      <c r="DC74" t="s">
        <v>37</v>
      </c>
      <c r="DE74" t="s">
        <v>37</v>
      </c>
      <c r="DF74">
        <v>10039</v>
      </c>
      <c r="DG74" t="s">
        <v>37</v>
      </c>
      <c r="DH74">
        <v>37832</v>
      </c>
      <c r="DI74" t="s">
        <v>37</v>
      </c>
      <c r="DK74" t="s">
        <v>37</v>
      </c>
      <c r="DM74" t="s">
        <v>37</v>
      </c>
      <c r="DN74">
        <v>12085</v>
      </c>
      <c r="DO74" t="s">
        <v>37</v>
      </c>
      <c r="DQ74" t="s">
        <v>37</v>
      </c>
      <c r="DS74" t="s">
        <v>37</v>
      </c>
      <c r="DU74" t="s">
        <v>37</v>
      </c>
      <c r="DW74" t="s">
        <v>37</v>
      </c>
      <c r="DY74" t="s">
        <v>37</v>
      </c>
      <c r="EA74" t="s">
        <v>37</v>
      </c>
      <c r="EC74" t="s">
        <v>37</v>
      </c>
      <c r="EE74" t="s">
        <v>37</v>
      </c>
      <c r="EG74" t="s">
        <v>37</v>
      </c>
      <c r="EI74" t="s">
        <v>37</v>
      </c>
      <c r="EK74" t="s">
        <v>37</v>
      </c>
      <c r="EM74" t="s">
        <v>37</v>
      </c>
      <c r="EO74" t="s">
        <v>37</v>
      </c>
      <c r="EP74">
        <v>11837</v>
      </c>
      <c r="EQ74" t="s">
        <v>37</v>
      </c>
      <c r="ER74">
        <v>12447</v>
      </c>
      <c r="ES74" t="s">
        <v>37</v>
      </c>
      <c r="EU74" t="s">
        <v>37</v>
      </c>
      <c r="EV74">
        <v>12355</v>
      </c>
      <c r="EW74" t="s">
        <v>37</v>
      </c>
      <c r="EY74" t="s">
        <v>37</v>
      </c>
      <c r="EZ74">
        <v>9755</v>
      </c>
      <c r="FA74" t="s">
        <v>37</v>
      </c>
      <c r="FC74" t="s">
        <v>37</v>
      </c>
      <c r="FE74" t="s">
        <v>37</v>
      </c>
      <c r="FG74" t="s">
        <v>37</v>
      </c>
      <c r="FI74" t="s">
        <v>37</v>
      </c>
      <c r="FK74" t="s">
        <v>37</v>
      </c>
      <c r="FM74" t="s">
        <v>37</v>
      </c>
      <c r="FO74" t="s">
        <v>37</v>
      </c>
      <c r="FQ74" t="s">
        <v>37</v>
      </c>
      <c r="FS74" t="s">
        <v>37</v>
      </c>
      <c r="FU74" t="s">
        <v>37</v>
      </c>
      <c r="FW74" t="s">
        <v>37</v>
      </c>
      <c r="FY74" t="s">
        <v>37</v>
      </c>
      <c r="GA74" t="s">
        <v>37</v>
      </c>
      <c r="GC74" t="s">
        <v>37</v>
      </c>
      <c r="GE74" t="s">
        <v>37</v>
      </c>
      <c r="GG74" t="s">
        <v>37</v>
      </c>
      <c r="GI74" t="s">
        <v>37</v>
      </c>
      <c r="GJ74">
        <v>21552</v>
      </c>
      <c r="GK74" t="s">
        <v>37</v>
      </c>
      <c r="GM74" t="s">
        <v>37</v>
      </c>
      <c r="GO74" t="s">
        <v>37</v>
      </c>
      <c r="GP74">
        <v>12099</v>
      </c>
      <c r="GQ74" t="s">
        <v>37</v>
      </c>
      <c r="GS74" t="s">
        <v>37</v>
      </c>
      <c r="GT74">
        <v>10125</v>
      </c>
      <c r="GU74" t="s">
        <v>37</v>
      </c>
      <c r="GW74" t="s">
        <v>37</v>
      </c>
      <c r="GY74" t="s">
        <v>37</v>
      </c>
      <c r="GZ74">
        <v>11116</v>
      </c>
      <c r="HA74" t="s">
        <v>37</v>
      </c>
      <c r="HC74" t="s">
        <v>37</v>
      </c>
      <c r="HE74" t="s">
        <v>37</v>
      </c>
      <c r="HF74">
        <v>439194</v>
      </c>
      <c r="HG74" t="s">
        <v>37</v>
      </c>
      <c r="HI74" t="s">
        <v>37</v>
      </c>
      <c r="HJ74">
        <v>439194</v>
      </c>
      <c r="HK74" t="s">
        <v>37</v>
      </c>
    </row>
    <row r="75" spans="1:219">
      <c r="A75">
        <v>3117</v>
      </c>
      <c r="B75" t="s">
        <v>103</v>
      </c>
      <c r="C75" t="s">
        <v>37</v>
      </c>
      <c r="E75" t="s">
        <v>37</v>
      </c>
      <c r="F75">
        <v>14229</v>
      </c>
      <c r="G75" t="s">
        <v>37</v>
      </c>
      <c r="H75">
        <v>921</v>
      </c>
      <c r="I75" t="s">
        <v>37</v>
      </c>
      <c r="K75" s="48" t="s">
        <v>37</v>
      </c>
      <c r="L75" s="50"/>
      <c r="M75" s="48" t="s">
        <v>37</v>
      </c>
      <c r="N75" s="50"/>
      <c r="O75" s="48" t="s">
        <v>37</v>
      </c>
      <c r="P75" s="50"/>
      <c r="Q75" s="48" t="s">
        <v>37</v>
      </c>
      <c r="R75" s="51">
        <v>1107</v>
      </c>
      <c r="S75" s="48" t="s">
        <v>37</v>
      </c>
      <c r="U75" t="s">
        <v>37</v>
      </c>
      <c r="W75" t="s">
        <v>37</v>
      </c>
      <c r="Y75" t="s">
        <v>37</v>
      </c>
      <c r="Z75">
        <v>982</v>
      </c>
      <c r="AA75" t="s">
        <v>37</v>
      </c>
      <c r="AB75">
        <v>533</v>
      </c>
      <c r="AC75" t="s">
        <v>37</v>
      </c>
      <c r="AD75">
        <v>516</v>
      </c>
      <c r="AE75" t="s">
        <v>37</v>
      </c>
      <c r="AF75">
        <v>593</v>
      </c>
      <c r="AG75" t="s">
        <v>37</v>
      </c>
      <c r="AI75" t="s">
        <v>37</v>
      </c>
      <c r="AK75" t="s">
        <v>37</v>
      </c>
      <c r="AM75" t="s">
        <v>37</v>
      </c>
      <c r="AO75" t="s">
        <v>37</v>
      </c>
      <c r="AP75">
        <v>15061</v>
      </c>
      <c r="AQ75" t="s">
        <v>37</v>
      </c>
      <c r="AR75">
        <v>815</v>
      </c>
      <c r="AS75" t="s">
        <v>37</v>
      </c>
      <c r="AU75" t="s">
        <v>37</v>
      </c>
      <c r="AV75">
        <v>5192</v>
      </c>
      <c r="AW75" t="s">
        <v>37</v>
      </c>
      <c r="AX75">
        <v>3415</v>
      </c>
      <c r="AY75" t="s">
        <v>37</v>
      </c>
      <c r="AZ75">
        <v>1498</v>
      </c>
      <c r="BA75" t="s">
        <v>37</v>
      </c>
      <c r="BC75" t="s">
        <v>37</v>
      </c>
      <c r="BE75" t="s">
        <v>37</v>
      </c>
      <c r="BF75">
        <v>843</v>
      </c>
      <c r="BG75" t="s">
        <v>37</v>
      </c>
      <c r="BI75" t="s">
        <v>37</v>
      </c>
      <c r="BK75" t="s">
        <v>37</v>
      </c>
      <c r="BM75" t="s">
        <v>37</v>
      </c>
      <c r="BO75" t="s">
        <v>37</v>
      </c>
      <c r="BQ75" t="s">
        <v>37</v>
      </c>
      <c r="BS75" t="s">
        <v>37</v>
      </c>
      <c r="BT75">
        <v>1011</v>
      </c>
      <c r="BU75" t="s">
        <v>37</v>
      </c>
      <c r="BW75" t="s">
        <v>37</v>
      </c>
      <c r="BX75">
        <v>11316</v>
      </c>
      <c r="BY75" t="s">
        <v>37</v>
      </c>
      <c r="BZ75">
        <v>302</v>
      </c>
      <c r="CA75" t="s">
        <v>37</v>
      </c>
      <c r="CC75" t="s">
        <v>37</v>
      </c>
      <c r="CE75" t="s">
        <v>37</v>
      </c>
      <c r="CG75" t="s">
        <v>37</v>
      </c>
      <c r="CH75">
        <v>9240</v>
      </c>
      <c r="CI75" t="s">
        <v>37</v>
      </c>
      <c r="CJ75">
        <v>719</v>
      </c>
      <c r="CK75" t="s">
        <v>37</v>
      </c>
      <c r="CM75" t="s">
        <v>37</v>
      </c>
      <c r="CO75" t="s">
        <v>37</v>
      </c>
      <c r="CP75">
        <v>963</v>
      </c>
      <c r="CQ75" t="s">
        <v>37</v>
      </c>
      <c r="CS75" t="s">
        <v>37</v>
      </c>
      <c r="CT75">
        <v>34171</v>
      </c>
      <c r="CU75" t="s">
        <v>37</v>
      </c>
      <c r="CV75">
        <v>4936</v>
      </c>
      <c r="CW75" t="s">
        <v>37</v>
      </c>
      <c r="CX75">
        <v>832</v>
      </c>
      <c r="CY75" t="s">
        <v>37</v>
      </c>
      <c r="DA75" t="s">
        <v>37</v>
      </c>
      <c r="DC75" t="s">
        <v>37</v>
      </c>
      <c r="DD75">
        <v>1538</v>
      </c>
      <c r="DE75" t="s">
        <v>37</v>
      </c>
      <c r="DF75">
        <v>840</v>
      </c>
      <c r="DG75" t="s">
        <v>37</v>
      </c>
      <c r="DH75">
        <v>16440</v>
      </c>
      <c r="DI75" t="s">
        <v>37</v>
      </c>
      <c r="DJ75">
        <v>1776</v>
      </c>
      <c r="DK75" t="s">
        <v>37</v>
      </c>
      <c r="DL75">
        <v>5955</v>
      </c>
      <c r="DM75" t="s">
        <v>37</v>
      </c>
      <c r="DN75">
        <v>1298</v>
      </c>
      <c r="DO75" t="s">
        <v>37</v>
      </c>
      <c r="DQ75" t="s">
        <v>37</v>
      </c>
      <c r="DR75">
        <v>2024</v>
      </c>
      <c r="DS75" t="s">
        <v>37</v>
      </c>
      <c r="DT75">
        <v>39815</v>
      </c>
      <c r="DU75" t="s">
        <v>37</v>
      </c>
      <c r="DV75">
        <v>11654</v>
      </c>
      <c r="DW75" t="s">
        <v>37</v>
      </c>
      <c r="DY75" t="s">
        <v>37</v>
      </c>
      <c r="EA75" t="s">
        <v>37</v>
      </c>
      <c r="EB75">
        <v>2053</v>
      </c>
      <c r="EC75" t="s">
        <v>37</v>
      </c>
      <c r="EE75" t="s">
        <v>37</v>
      </c>
      <c r="EF75">
        <v>383</v>
      </c>
      <c r="EG75" t="s">
        <v>37</v>
      </c>
      <c r="EI75" t="s">
        <v>37</v>
      </c>
      <c r="EJ75">
        <v>1825</v>
      </c>
      <c r="EK75" t="s">
        <v>37</v>
      </c>
      <c r="EL75">
        <v>1044</v>
      </c>
      <c r="EM75" t="s">
        <v>37</v>
      </c>
      <c r="EN75">
        <v>528</v>
      </c>
      <c r="EO75" t="s">
        <v>37</v>
      </c>
      <c r="EQ75" t="s">
        <v>37</v>
      </c>
      <c r="ES75" t="s">
        <v>37</v>
      </c>
      <c r="EU75" t="s">
        <v>37</v>
      </c>
      <c r="EW75" t="s">
        <v>37</v>
      </c>
      <c r="EY75" t="s">
        <v>37</v>
      </c>
      <c r="EZ75">
        <v>2046</v>
      </c>
      <c r="FA75" t="s">
        <v>37</v>
      </c>
      <c r="FB75">
        <v>1575</v>
      </c>
      <c r="FC75" t="s">
        <v>37</v>
      </c>
      <c r="FE75" t="s">
        <v>37</v>
      </c>
      <c r="FG75" t="s">
        <v>37</v>
      </c>
      <c r="FI75" t="s">
        <v>37</v>
      </c>
      <c r="FK75" t="s">
        <v>37</v>
      </c>
      <c r="FL75">
        <v>9288</v>
      </c>
      <c r="FM75" t="s">
        <v>37</v>
      </c>
      <c r="FN75">
        <v>1381</v>
      </c>
      <c r="FO75" t="s">
        <v>37</v>
      </c>
      <c r="FP75">
        <v>1183</v>
      </c>
      <c r="FQ75" t="s">
        <v>37</v>
      </c>
      <c r="FR75">
        <v>4889</v>
      </c>
      <c r="FS75" t="s">
        <v>37</v>
      </c>
      <c r="FT75">
        <v>1778</v>
      </c>
      <c r="FU75" t="s">
        <v>37</v>
      </c>
      <c r="FW75" t="s">
        <v>37</v>
      </c>
      <c r="FY75" t="s">
        <v>37</v>
      </c>
      <c r="FZ75">
        <v>2588</v>
      </c>
      <c r="GA75" t="s">
        <v>37</v>
      </c>
      <c r="GC75" t="s">
        <v>37</v>
      </c>
      <c r="GE75" t="s">
        <v>37</v>
      </c>
      <c r="GG75" t="s">
        <v>37</v>
      </c>
      <c r="GI75" t="s">
        <v>37</v>
      </c>
      <c r="GK75" t="s">
        <v>37</v>
      </c>
      <c r="GM75" t="s">
        <v>37</v>
      </c>
      <c r="GO75" t="s">
        <v>37</v>
      </c>
      <c r="GP75">
        <v>1550</v>
      </c>
      <c r="GQ75" t="s">
        <v>37</v>
      </c>
      <c r="GR75">
        <v>1067</v>
      </c>
      <c r="GS75" t="s">
        <v>37</v>
      </c>
      <c r="GT75">
        <v>2869</v>
      </c>
      <c r="GU75" t="s">
        <v>37</v>
      </c>
      <c r="GV75">
        <v>3503</v>
      </c>
      <c r="GW75" t="s">
        <v>37</v>
      </c>
      <c r="GY75" t="s">
        <v>37</v>
      </c>
      <c r="GZ75">
        <v>4137</v>
      </c>
      <c r="HA75" t="s">
        <v>37</v>
      </c>
      <c r="HB75">
        <v>1176</v>
      </c>
      <c r="HC75" t="s">
        <v>37</v>
      </c>
      <c r="HE75" t="s">
        <v>37</v>
      </c>
      <c r="HF75">
        <v>234222</v>
      </c>
      <c r="HG75" t="s">
        <v>37</v>
      </c>
      <c r="HH75">
        <v>1176</v>
      </c>
      <c r="HI75" t="s">
        <v>37</v>
      </c>
      <c r="HJ75">
        <v>235398</v>
      </c>
      <c r="HK75" t="s">
        <v>37</v>
      </c>
    </row>
    <row r="76" spans="1:219">
      <c r="A76">
        <v>3118</v>
      </c>
      <c r="B76" t="s">
        <v>104</v>
      </c>
      <c r="C76" t="s">
        <v>37</v>
      </c>
      <c r="D76">
        <v>39117</v>
      </c>
      <c r="E76" t="s">
        <v>37</v>
      </c>
      <c r="F76">
        <v>295744</v>
      </c>
      <c r="G76" t="s">
        <v>37</v>
      </c>
      <c r="H76">
        <v>35842</v>
      </c>
      <c r="I76" t="s">
        <v>37</v>
      </c>
      <c r="K76" s="48" t="s">
        <v>37</v>
      </c>
      <c r="L76" s="51">
        <v>79630</v>
      </c>
      <c r="M76" s="48" t="s">
        <v>37</v>
      </c>
      <c r="N76" s="51">
        <v>79630</v>
      </c>
      <c r="O76" s="48" t="s">
        <v>37</v>
      </c>
      <c r="P76" s="51">
        <v>39597</v>
      </c>
      <c r="Q76" s="48" t="s">
        <v>37</v>
      </c>
      <c r="R76" s="51">
        <v>39815</v>
      </c>
      <c r="S76" s="48" t="s">
        <v>37</v>
      </c>
      <c r="T76">
        <v>159259</v>
      </c>
      <c r="U76" t="s">
        <v>37</v>
      </c>
      <c r="W76" t="s">
        <v>37</v>
      </c>
      <c r="Y76" t="s">
        <v>37</v>
      </c>
      <c r="Z76">
        <v>39815</v>
      </c>
      <c r="AA76" t="s">
        <v>37</v>
      </c>
      <c r="AC76" t="s">
        <v>37</v>
      </c>
      <c r="AE76" t="s">
        <v>37</v>
      </c>
      <c r="AG76" t="s">
        <v>37</v>
      </c>
      <c r="AH76">
        <v>62622</v>
      </c>
      <c r="AI76" t="s">
        <v>37</v>
      </c>
      <c r="AK76" t="s">
        <v>37</v>
      </c>
      <c r="AL76">
        <v>287280</v>
      </c>
      <c r="AM76" t="s">
        <v>37</v>
      </c>
      <c r="AO76" t="s">
        <v>37</v>
      </c>
      <c r="AP76">
        <v>398148</v>
      </c>
      <c r="AQ76" t="s">
        <v>37</v>
      </c>
      <c r="AR76">
        <v>32557</v>
      </c>
      <c r="AS76" t="s">
        <v>37</v>
      </c>
      <c r="AT76">
        <v>361807</v>
      </c>
      <c r="AU76" t="s">
        <v>37</v>
      </c>
      <c r="AV76">
        <v>79630</v>
      </c>
      <c r="AW76" t="s">
        <v>37</v>
      </c>
      <c r="AX76">
        <v>79630</v>
      </c>
      <c r="AY76" t="s">
        <v>37</v>
      </c>
      <c r="AZ76">
        <v>153694</v>
      </c>
      <c r="BA76" t="s">
        <v>37</v>
      </c>
      <c r="BC76" t="s">
        <v>37</v>
      </c>
      <c r="BD76">
        <v>25751</v>
      </c>
      <c r="BE76" t="s">
        <v>37</v>
      </c>
      <c r="BF76">
        <v>39535</v>
      </c>
      <c r="BG76" t="s">
        <v>37</v>
      </c>
      <c r="BI76" t="s">
        <v>37</v>
      </c>
      <c r="BJ76">
        <v>111013</v>
      </c>
      <c r="BK76" t="s">
        <v>37</v>
      </c>
      <c r="BL76">
        <v>77231</v>
      </c>
      <c r="BM76" t="s">
        <v>37</v>
      </c>
      <c r="BO76" t="s">
        <v>37</v>
      </c>
      <c r="BP76">
        <v>33996</v>
      </c>
      <c r="BQ76" t="s">
        <v>37</v>
      </c>
      <c r="BR76">
        <v>39815</v>
      </c>
      <c r="BS76" t="s">
        <v>37</v>
      </c>
      <c r="BT76">
        <v>39815</v>
      </c>
      <c r="BU76" t="s">
        <v>37</v>
      </c>
      <c r="BW76" t="s">
        <v>37</v>
      </c>
      <c r="BX76">
        <v>238889</v>
      </c>
      <c r="BY76" t="s">
        <v>37</v>
      </c>
      <c r="BZ76">
        <v>39815</v>
      </c>
      <c r="CA76" t="s">
        <v>37</v>
      </c>
      <c r="CC76" t="s">
        <v>37</v>
      </c>
      <c r="CD76">
        <v>39815</v>
      </c>
      <c r="CE76" t="s">
        <v>37</v>
      </c>
      <c r="CG76" t="s">
        <v>37</v>
      </c>
      <c r="CH76">
        <v>259562</v>
      </c>
      <c r="CI76" t="s">
        <v>37</v>
      </c>
      <c r="CK76" t="s">
        <v>37</v>
      </c>
      <c r="CL76">
        <v>78169</v>
      </c>
      <c r="CM76" t="s">
        <v>37</v>
      </c>
      <c r="CO76" t="s">
        <v>37</v>
      </c>
      <c r="CP76">
        <v>39815</v>
      </c>
      <c r="CQ76" t="s">
        <v>37</v>
      </c>
      <c r="CR76">
        <v>67701</v>
      </c>
      <c r="CS76" t="s">
        <v>37</v>
      </c>
      <c r="CT76">
        <v>796296</v>
      </c>
      <c r="CU76" t="s">
        <v>37</v>
      </c>
      <c r="CV76">
        <v>119444</v>
      </c>
      <c r="CW76" t="s">
        <v>37</v>
      </c>
      <c r="CX76">
        <v>39815</v>
      </c>
      <c r="CY76" t="s">
        <v>37</v>
      </c>
      <c r="CZ76">
        <v>39815</v>
      </c>
      <c r="DA76" t="s">
        <v>37</v>
      </c>
      <c r="DC76" t="s">
        <v>37</v>
      </c>
      <c r="DD76">
        <v>79630</v>
      </c>
      <c r="DE76" t="s">
        <v>37</v>
      </c>
      <c r="DF76">
        <v>27194</v>
      </c>
      <c r="DG76" t="s">
        <v>37</v>
      </c>
      <c r="DH76">
        <v>398148</v>
      </c>
      <c r="DI76" t="s">
        <v>37</v>
      </c>
      <c r="DJ76">
        <v>39815</v>
      </c>
      <c r="DK76" t="s">
        <v>37</v>
      </c>
      <c r="DL76">
        <v>79630</v>
      </c>
      <c r="DM76" t="s">
        <v>37</v>
      </c>
      <c r="DN76">
        <v>159259</v>
      </c>
      <c r="DO76" t="s">
        <v>37</v>
      </c>
      <c r="DP76">
        <v>119444</v>
      </c>
      <c r="DQ76" t="s">
        <v>37</v>
      </c>
      <c r="DR76">
        <v>39815</v>
      </c>
      <c r="DS76" t="s">
        <v>37</v>
      </c>
      <c r="DU76" t="s">
        <v>37</v>
      </c>
      <c r="DV76">
        <v>278704</v>
      </c>
      <c r="DW76" t="s">
        <v>37</v>
      </c>
      <c r="DX76">
        <v>159259</v>
      </c>
      <c r="DY76" t="s">
        <v>37</v>
      </c>
      <c r="EA76" t="s">
        <v>37</v>
      </c>
      <c r="EB76">
        <v>33576</v>
      </c>
      <c r="EC76" t="s">
        <v>37</v>
      </c>
      <c r="ED76">
        <v>154767</v>
      </c>
      <c r="EE76" t="s">
        <v>37</v>
      </c>
      <c r="EG76" t="s">
        <v>37</v>
      </c>
      <c r="EI76" t="s">
        <v>37</v>
      </c>
      <c r="EJ76">
        <v>37113</v>
      </c>
      <c r="EK76" t="s">
        <v>37</v>
      </c>
      <c r="EL76">
        <v>39815</v>
      </c>
      <c r="EM76" t="s">
        <v>37</v>
      </c>
      <c r="EO76" t="s">
        <v>37</v>
      </c>
      <c r="EQ76" t="s">
        <v>37</v>
      </c>
      <c r="ER76">
        <v>39815</v>
      </c>
      <c r="ES76" t="s">
        <v>37</v>
      </c>
      <c r="ET76">
        <v>39815</v>
      </c>
      <c r="EU76" t="s">
        <v>37</v>
      </c>
      <c r="EV76">
        <v>159259</v>
      </c>
      <c r="EW76" t="s">
        <v>37</v>
      </c>
      <c r="EY76" t="s">
        <v>37</v>
      </c>
      <c r="EZ76">
        <v>39101</v>
      </c>
      <c r="FA76" t="s">
        <v>37</v>
      </c>
      <c r="FB76">
        <v>104011</v>
      </c>
      <c r="FC76" t="s">
        <v>37</v>
      </c>
      <c r="FD76">
        <v>110744</v>
      </c>
      <c r="FE76" t="s">
        <v>37</v>
      </c>
      <c r="FG76" t="s">
        <v>37</v>
      </c>
      <c r="FH76">
        <v>199486</v>
      </c>
      <c r="FI76" t="s">
        <v>37</v>
      </c>
      <c r="FJ76">
        <v>318518</v>
      </c>
      <c r="FK76" t="s">
        <v>37</v>
      </c>
      <c r="FL76">
        <v>207312</v>
      </c>
      <c r="FM76" t="s">
        <v>37</v>
      </c>
      <c r="FN76">
        <v>39815</v>
      </c>
      <c r="FO76" t="s">
        <v>37</v>
      </c>
      <c r="FP76">
        <v>79630</v>
      </c>
      <c r="FQ76" t="s">
        <v>37</v>
      </c>
      <c r="FR76">
        <v>34391</v>
      </c>
      <c r="FS76" t="s">
        <v>37</v>
      </c>
      <c r="FT76">
        <v>39815</v>
      </c>
      <c r="FU76" t="s">
        <v>37</v>
      </c>
      <c r="FV76">
        <v>39815</v>
      </c>
      <c r="FW76" t="s">
        <v>37</v>
      </c>
      <c r="FX76">
        <v>79630</v>
      </c>
      <c r="FY76" t="s">
        <v>37</v>
      </c>
      <c r="FZ76">
        <v>119444</v>
      </c>
      <c r="GA76" t="s">
        <v>37</v>
      </c>
      <c r="GB76">
        <v>139883</v>
      </c>
      <c r="GC76" t="s">
        <v>37</v>
      </c>
      <c r="GE76" t="s">
        <v>37</v>
      </c>
      <c r="GG76" t="s">
        <v>37</v>
      </c>
      <c r="GI76" t="s">
        <v>37</v>
      </c>
      <c r="GJ76">
        <v>77387</v>
      </c>
      <c r="GK76" t="s">
        <v>37</v>
      </c>
      <c r="GL76">
        <v>119444</v>
      </c>
      <c r="GM76" t="s">
        <v>37</v>
      </c>
      <c r="GO76" t="s">
        <v>37</v>
      </c>
      <c r="GP76">
        <v>79630</v>
      </c>
      <c r="GQ76" t="s">
        <v>37</v>
      </c>
      <c r="GR76">
        <v>159259</v>
      </c>
      <c r="GS76" t="s">
        <v>37</v>
      </c>
      <c r="GT76">
        <v>39815</v>
      </c>
      <c r="GU76" t="s">
        <v>37</v>
      </c>
      <c r="GV76">
        <v>119444</v>
      </c>
      <c r="GW76" t="s">
        <v>37</v>
      </c>
      <c r="GX76">
        <v>159861</v>
      </c>
      <c r="GY76" t="s">
        <v>37</v>
      </c>
      <c r="GZ76">
        <v>119444</v>
      </c>
      <c r="HA76" t="s">
        <v>37</v>
      </c>
      <c r="HB76">
        <v>119444</v>
      </c>
      <c r="HC76" t="s">
        <v>37</v>
      </c>
      <c r="HE76" t="s">
        <v>37</v>
      </c>
      <c r="HF76">
        <v>8701046</v>
      </c>
      <c r="HG76" t="s">
        <v>37</v>
      </c>
      <c r="HH76">
        <v>119444</v>
      </c>
      <c r="HI76" t="s">
        <v>37</v>
      </c>
      <c r="HJ76">
        <v>8820490</v>
      </c>
      <c r="HK76" t="s">
        <v>37</v>
      </c>
    </row>
    <row r="77" spans="1:219">
      <c r="A77">
        <v>3120</v>
      </c>
      <c r="B77" t="s">
        <v>105</v>
      </c>
      <c r="C77" t="s">
        <v>37</v>
      </c>
      <c r="E77" t="s">
        <v>37</v>
      </c>
      <c r="G77" t="s">
        <v>37</v>
      </c>
      <c r="I77" t="s">
        <v>37</v>
      </c>
      <c r="K77" s="48" t="s">
        <v>37</v>
      </c>
      <c r="L77" s="50"/>
      <c r="M77" s="48" t="s">
        <v>37</v>
      </c>
      <c r="N77" s="50"/>
      <c r="O77" s="48" t="s">
        <v>37</v>
      </c>
      <c r="P77" s="50"/>
      <c r="Q77" s="48" t="s">
        <v>37</v>
      </c>
      <c r="R77" s="50"/>
      <c r="S77" s="48" t="s">
        <v>37</v>
      </c>
      <c r="U77" t="s">
        <v>37</v>
      </c>
      <c r="W77" t="s">
        <v>37</v>
      </c>
      <c r="Y77" t="s">
        <v>37</v>
      </c>
      <c r="AA77" t="s">
        <v>37</v>
      </c>
      <c r="AC77" t="s">
        <v>37</v>
      </c>
      <c r="AE77" t="s">
        <v>37</v>
      </c>
      <c r="AG77" t="s">
        <v>37</v>
      </c>
      <c r="AI77" t="s">
        <v>37</v>
      </c>
      <c r="AK77" t="s">
        <v>37</v>
      </c>
      <c r="AM77" t="s">
        <v>37</v>
      </c>
      <c r="AO77" t="s">
        <v>37</v>
      </c>
      <c r="AQ77" t="s">
        <v>37</v>
      </c>
      <c r="AS77" t="s">
        <v>37</v>
      </c>
      <c r="AU77" t="s">
        <v>37</v>
      </c>
      <c r="AW77" t="s">
        <v>37</v>
      </c>
      <c r="AY77" t="s">
        <v>37</v>
      </c>
      <c r="BA77" t="s">
        <v>37</v>
      </c>
      <c r="BC77" t="s">
        <v>37</v>
      </c>
      <c r="BE77" t="s">
        <v>37</v>
      </c>
      <c r="BG77" t="s">
        <v>37</v>
      </c>
      <c r="BI77" t="s">
        <v>37</v>
      </c>
      <c r="BK77" t="s">
        <v>37</v>
      </c>
      <c r="BM77" t="s">
        <v>37</v>
      </c>
      <c r="BO77" t="s">
        <v>37</v>
      </c>
      <c r="BQ77" t="s">
        <v>37</v>
      </c>
      <c r="BS77" t="s">
        <v>37</v>
      </c>
      <c r="BU77" t="s">
        <v>37</v>
      </c>
      <c r="BW77" t="s">
        <v>37</v>
      </c>
      <c r="BY77" t="s">
        <v>37</v>
      </c>
      <c r="CA77" t="s">
        <v>37</v>
      </c>
      <c r="CC77" t="s">
        <v>37</v>
      </c>
      <c r="CE77" t="s">
        <v>37</v>
      </c>
      <c r="CG77" t="s">
        <v>37</v>
      </c>
      <c r="CI77" t="s">
        <v>37</v>
      </c>
      <c r="CK77" t="s">
        <v>37</v>
      </c>
      <c r="CM77" t="s">
        <v>37</v>
      </c>
      <c r="CO77" t="s">
        <v>37</v>
      </c>
      <c r="CQ77" t="s">
        <v>37</v>
      </c>
      <c r="CS77" t="s">
        <v>37</v>
      </c>
      <c r="CU77" t="s">
        <v>37</v>
      </c>
      <c r="CW77" t="s">
        <v>37</v>
      </c>
      <c r="CY77" t="s">
        <v>37</v>
      </c>
      <c r="DA77" t="s">
        <v>37</v>
      </c>
      <c r="DC77" t="s">
        <v>37</v>
      </c>
      <c r="DE77" t="s">
        <v>37</v>
      </c>
      <c r="DG77" t="s">
        <v>37</v>
      </c>
      <c r="DI77" t="s">
        <v>37</v>
      </c>
      <c r="DK77" t="s">
        <v>37</v>
      </c>
      <c r="DM77" t="s">
        <v>37</v>
      </c>
      <c r="DO77" t="s">
        <v>37</v>
      </c>
      <c r="DQ77" t="s">
        <v>37</v>
      </c>
      <c r="DS77" t="s">
        <v>37</v>
      </c>
      <c r="DU77" t="s">
        <v>37</v>
      </c>
      <c r="DW77" t="s">
        <v>37</v>
      </c>
      <c r="DY77" t="s">
        <v>37</v>
      </c>
      <c r="EA77" t="s">
        <v>37</v>
      </c>
      <c r="EC77" t="s">
        <v>37</v>
      </c>
      <c r="EE77" t="s">
        <v>37</v>
      </c>
      <c r="EG77" t="s">
        <v>37</v>
      </c>
      <c r="EI77" t="s">
        <v>37</v>
      </c>
      <c r="EK77" t="s">
        <v>37</v>
      </c>
      <c r="EM77" t="s">
        <v>37</v>
      </c>
      <c r="EO77" t="s">
        <v>37</v>
      </c>
      <c r="EQ77" t="s">
        <v>37</v>
      </c>
      <c r="ES77" t="s">
        <v>37</v>
      </c>
      <c r="EU77" t="s">
        <v>37</v>
      </c>
      <c r="EW77" t="s">
        <v>37</v>
      </c>
      <c r="EY77" t="s">
        <v>37</v>
      </c>
      <c r="FA77" t="s">
        <v>37</v>
      </c>
      <c r="FC77" t="s">
        <v>37</v>
      </c>
      <c r="FE77" t="s">
        <v>37</v>
      </c>
      <c r="FG77" t="s">
        <v>37</v>
      </c>
      <c r="FI77" t="s">
        <v>37</v>
      </c>
      <c r="FK77" t="s">
        <v>37</v>
      </c>
      <c r="FM77" t="s">
        <v>37</v>
      </c>
      <c r="FO77" t="s">
        <v>37</v>
      </c>
      <c r="FQ77" t="s">
        <v>37</v>
      </c>
      <c r="FS77" t="s">
        <v>37</v>
      </c>
      <c r="FU77" t="s">
        <v>37</v>
      </c>
      <c r="FW77" t="s">
        <v>37</v>
      </c>
      <c r="FY77" t="s">
        <v>37</v>
      </c>
      <c r="GA77" t="s">
        <v>37</v>
      </c>
      <c r="GC77" t="s">
        <v>37</v>
      </c>
      <c r="GE77" t="s">
        <v>37</v>
      </c>
      <c r="GG77" t="s">
        <v>37</v>
      </c>
      <c r="GI77" t="s">
        <v>37</v>
      </c>
      <c r="GK77" t="s">
        <v>37</v>
      </c>
      <c r="GM77" t="s">
        <v>37</v>
      </c>
      <c r="GO77" t="s">
        <v>37</v>
      </c>
      <c r="GQ77" t="s">
        <v>37</v>
      </c>
      <c r="GS77" t="s">
        <v>37</v>
      </c>
      <c r="GU77" t="s">
        <v>37</v>
      </c>
      <c r="GW77" t="s">
        <v>37</v>
      </c>
      <c r="GY77" t="s">
        <v>37</v>
      </c>
      <c r="HA77" t="s">
        <v>37</v>
      </c>
      <c r="HC77" t="s">
        <v>37</v>
      </c>
      <c r="HE77" t="s">
        <v>37</v>
      </c>
      <c r="HG77" t="s">
        <v>37</v>
      </c>
      <c r="HI77" t="s">
        <v>37</v>
      </c>
      <c r="HK77" t="s">
        <v>37</v>
      </c>
    </row>
    <row r="78" spans="1:219">
      <c r="A78">
        <v>3121</v>
      </c>
      <c r="B78" t="s">
        <v>106</v>
      </c>
      <c r="C78" t="s">
        <v>37</v>
      </c>
      <c r="E78" t="s">
        <v>37</v>
      </c>
      <c r="G78" t="s">
        <v>37</v>
      </c>
      <c r="I78" t="s">
        <v>37</v>
      </c>
      <c r="K78" s="48" t="s">
        <v>37</v>
      </c>
      <c r="L78" s="50"/>
      <c r="M78" s="48" t="s">
        <v>37</v>
      </c>
      <c r="N78" s="50"/>
      <c r="O78" s="48" t="s">
        <v>37</v>
      </c>
      <c r="P78" s="50"/>
      <c r="Q78" s="48" t="s">
        <v>37</v>
      </c>
      <c r="R78" s="50"/>
      <c r="S78" s="48" t="s">
        <v>37</v>
      </c>
      <c r="U78" t="s">
        <v>37</v>
      </c>
      <c r="W78" t="s">
        <v>37</v>
      </c>
      <c r="Y78" t="s">
        <v>37</v>
      </c>
      <c r="AA78" t="s">
        <v>37</v>
      </c>
      <c r="AC78" t="s">
        <v>37</v>
      </c>
      <c r="AE78" t="s">
        <v>37</v>
      </c>
      <c r="AF78">
        <v>4457</v>
      </c>
      <c r="AG78" t="s">
        <v>37</v>
      </c>
      <c r="AI78" t="s">
        <v>37</v>
      </c>
      <c r="AK78" t="s">
        <v>37</v>
      </c>
      <c r="AM78" t="s">
        <v>37</v>
      </c>
      <c r="AO78" t="s">
        <v>37</v>
      </c>
      <c r="AQ78" t="s">
        <v>37</v>
      </c>
      <c r="AS78" t="s">
        <v>37</v>
      </c>
      <c r="AU78" t="s">
        <v>37</v>
      </c>
      <c r="AW78" t="s">
        <v>37</v>
      </c>
      <c r="AY78" t="s">
        <v>37</v>
      </c>
      <c r="BA78" t="s">
        <v>37</v>
      </c>
      <c r="BC78" t="s">
        <v>37</v>
      </c>
      <c r="BE78" t="s">
        <v>37</v>
      </c>
      <c r="BG78" t="s">
        <v>37</v>
      </c>
      <c r="BI78" t="s">
        <v>37</v>
      </c>
      <c r="BK78" t="s">
        <v>37</v>
      </c>
      <c r="BL78">
        <v>191095</v>
      </c>
      <c r="BM78" t="s">
        <v>37</v>
      </c>
      <c r="BO78" t="s">
        <v>37</v>
      </c>
      <c r="BQ78" t="s">
        <v>37</v>
      </c>
      <c r="BR78">
        <v>9580</v>
      </c>
      <c r="BS78" t="s">
        <v>37</v>
      </c>
      <c r="BU78" t="s">
        <v>37</v>
      </c>
      <c r="BW78" t="s">
        <v>37</v>
      </c>
      <c r="BY78" t="s">
        <v>37</v>
      </c>
      <c r="CA78" t="s">
        <v>37</v>
      </c>
      <c r="CC78" t="s">
        <v>37</v>
      </c>
      <c r="CE78" t="s">
        <v>37</v>
      </c>
      <c r="CG78" t="s">
        <v>37</v>
      </c>
      <c r="CI78" t="s">
        <v>37</v>
      </c>
      <c r="CK78" t="s">
        <v>37</v>
      </c>
      <c r="CM78" t="s">
        <v>37</v>
      </c>
      <c r="CO78" t="s">
        <v>37</v>
      </c>
      <c r="CQ78" t="s">
        <v>37</v>
      </c>
      <c r="CS78" t="s">
        <v>37</v>
      </c>
      <c r="CU78" t="s">
        <v>37</v>
      </c>
      <c r="CW78" t="s">
        <v>37</v>
      </c>
      <c r="CY78" t="s">
        <v>37</v>
      </c>
      <c r="DA78" t="s">
        <v>37</v>
      </c>
      <c r="DC78" t="s">
        <v>37</v>
      </c>
      <c r="DE78" t="s">
        <v>37</v>
      </c>
      <c r="DG78" t="s">
        <v>37</v>
      </c>
      <c r="DI78" t="s">
        <v>37</v>
      </c>
      <c r="DK78" t="s">
        <v>37</v>
      </c>
      <c r="DM78" t="s">
        <v>37</v>
      </c>
      <c r="DO78" t="s">
        <v>37</v>
      </c>
      <c r="DQ78" t="s">
        <v>37</v>
      </c>
      <c r="DS78" t="s">
        <v>37</v>
      </c>
      <c r="DU78" t="s">
        <v>37</v>
      </c>
      <c r="DW78" t="s">
        <v>37</v>
      </c>
      <c r="DY78" t="s">
        <v>37</v>
      </c>
      <c r="EA78" t="s">
        <v>37</v>
      </c>
      <c r="EC78" t="s">
        <v>37</v>
      </c>
      <c r="EE78" t="s">
        <v>37</v>
      </c>
      <c r="EG78" t="s">
        <v>37</v>
      </c>
      <c r="EI78" t="s">
        <v>37</v>
      </c>
      <c r="EK78" t="s">
        <v>37</v>
      </c>
      <c r="EM78" t="s">
        <v>37</v>
      </c>
      <c r="EO78" t="s">
        <v>37</v>
      </c>
      <c r="EQ78" t="s">
        <v>37</v>
      </c>
      <c r="ES78" t="s">
        <v>37</v>
      </c>
      <c r="EU78" t="s">
        <v>37</v>
      </c>
      <c r="EW78" t="s">
        <v>37</v>
      </c>
      <c r="EY78" t="s">
        <v>37</v>
      </c>
      <c r="FA78" t="s">
        <v>37</v>
      </c>
      <c r="FC78" t="s">
        <v>37</v>
      </c>
      <c r="FE78" t="s">
        <v>37</v>
      </c>
      <c r="FG78" t="s">
        <v>37</v>
      </c>
      <c r="FI78" t="s">
        <v>37</v>
      </c>
      <c r="FK78" t="s">
        <v>37</v>
      </c>
      <c r="FM78" t="s">
        <v>37</v>
      </c>
      <c r="FO78" t="s">
        <v>37</v>
      </c>
      <c r="FQ78" t="s">
        <v>37</v>
      </c>
      <c r="FS78" t="s">
        <v>37</v>
      </c>
      <c r="FU78" t="s">
        <v>37</v>
      </c>
      <c r="FW78" t="s">
        <v>37</v>
      </c>
      <c r="FY78" t="s">
        <v>37</v>
      </c>
      <c r="FZ78">
        <v>22616</v>
      </c>
      <c r="GA78" t="s">
        <v>37</v>
      </c>
      <c r="GC78" t="s">
        <v>37</v>
      </c>
      <c r="GE78" t="s">
        <v>37</v>
      </c>
      <c r="GG78" t="s">
        <v>37</v>
      </c>
      <c r="GI78" t="s">
        <v>37</v>
      </c>
      <c r="GK78" t="s">
        <v>37</v>
      </c>
      <c r="GM78" t="s">
        <v>37</v>
      </c>
      <c r="GO78" t="s">
        <v>37</v>
      </c>
      <c r="GQ78" t="s">
        <v>37</v>
      </c>
      <c r="GS78" t="s">
        <v>37</v>
      </c>
      <c r="GU78" t="s">
        <v>37</v>
      </c>
      <c r="GW78" t="s">
        <v>37</v>
      </c>
      <c r="GY78" t="s">
        <v>37</v>
      </c>
      <c r="HA78" t="s">
        <v>37</v>
      </c>
      <c r="HC78" t="s">
        <v>37</v>
      </c>
      <c r="HE78" t="s">
        <v>37</v>
      </c>
      <c r="HF78">
        <v>227748</v>
      </c>
      <c r="HG78" t="s">
        <v>37</v>
      </c>
      <c r="HI78" t="s">
        <v>37</v>
      </c>
      <c r="HJ78">
        <v>227748</v>
      </c>
      <c r="HK78" t="s">
        <v>37</v>
      </c>
    </row>
    <row r="79" spans="1:219">
      <c r="A79">
        <v>3122</v>
      </c>
      <c r="B79" t="s">
        <v>107</v>
      </c>
      <c r="C79" t="s">
        <v>37</v>
      </c>
      <c r="E79" t="s">
        <v>37</v>
      </c>
      <c r="G79" t="s">
        <v>37</v>
      </c>
      <c r="I79" t="s">
        <v>37</v>
      </c>
      <c r="K79" s="48" t="s">
        <v>37</v>
      </c>
      <c r="L79" s="50"/>
      <c r="M79" s="48" t="s">
        <v>37</v>
      </c>
      <c r="N79" s="50"/>
      <c r="O79" s="48" t="s">
        <v>37</v>
      </c>
      <c r="P79" s="50"/>
      <c r="Q79" s="48" t="s">
        <v>37</v>
      </c>
      <c r="R79" s="50"/>
      <c r="S79" s="48" t="s">
        <v>37</v>
      </c>
      <c r="U79" t="s">
        <v>37</v>
      </c>
      <c r="W79" t="s">
        <v>37</v>
      </c>
      <c r="Y79" t="s">
        <v>37</v>
      </c>
      <c r="AA79" t="s">
        <v>37</v>
      </c>
      <c r="AC79" t="s">
        <v>37</v>
      </c>
      <c r="AE79" t="s">
        <v>37</v>
      </c>
      <c r="AG79" t="s">
        <v>37</v>
      </c>
      <c r="AI79" t="s">
        <v>37</v>
      </c>
      <c r="AK79" t="s">
        <v>37</v>
      </c>
      <c r="AM79" t="s">
        <v>37</v>
      </c>
      <c r="AO79" t="s">
        <v>37</v>
      </c>
      <c r="AQ79" t="s">
        <v>37</v>
      </c>
      <c r="AS79" t="s">
        <v>37</v>
      </c>
      <c r="AU79" t="s">
        <v>37</v>
      </c>
      <c r="AW79" t="s">
        <v>37</v>
      </c>
      <c r="AY79" t="s">
        <v>37</v>
      </c>
      <c r="BA79" t="s">
        <v>37</v>
      </c>
      <c r="BC79" t="s">
        <v>37</v>
      </c>
      <c r="BE79" t="s">
        <v>37</v>
      </c>
      <c r="BG79" t="s">
        <v>37</v>
      </c>
      <c r="BI79" t="s">
        <v>37</v>
      </c>
      <c r="BK79" t="s">
        <v>37</v>
      </c>
      <c r="BM79" t="s">
        <v>37</v>
      </c>
      <c r="BO79" t="s">
        <v>37</v>
      </c>
      <c r="BQ79" t="s">
        <v>37</v>
      </c>
      <c r="BS79" t="s">
        <v>37</v>
      </c>
      <c r="BU79" t="s">
        <v>37</v>
      </c>
      <c r="BW79" t="s">
        <v>37</v>
      </c>
      <c r="BY79" t="s">
        <v>37</v>
      </c>
      <c r="CA79" t="s">
        <v>37</v>
      </c>
      <c r="CC79" t="s">
        <v>37</v>
      </c>
      <c r="CE79" t="s">
        <v>37</v>
      </c>
      <c r="CG79" t="s">
        <v>37</v>
      </c>
      <c r="CI79" t="s">
        <v>37</v>
      </c>
      <c r="CK79" t="s">
        <v>37</v>
      </c>
      <c r="CM79" t="s">
        <v>37</v>
      </c>
      <c r="CO79" t="s">
        <v>37</v>
      </c>
      <c r="CQ79" t="s">
        <v>37</v>
      </c>
      <c r="CS79" t="s">
        <v>37</v>
      </c>
      <c r="CU79" t="s">
        <v>37</v>
      </c>
      <c r="CW79" t="s">
        <v>37</v>
      </c>
      <c r="CY79" t="s">
        <v>37</v>
      </c>
      <c r="DA79" t="s">
        <v>37</v>
      </c>
      <c r="DC79" t="s">
        <v>37</v>
      </c>
      <c r="DE79" t="s">
        <v>37</v>
      </c>
      <c r="DG79" t="s">
        <v>37</v>
      </c>
      <c r="DI79" t="s">
        <v>37</v>
      </c>
      <c r="DK79" t="s">
        <v>37</v>
      </c>
      <c r="DM79" t="s">
        <v>37</v>
      </c>
      <c r="DO79" t="s">
        <v>37</v>
      </c>
      <c r="DQ79" t="s">
        <v>37</v>
      </c>
      <c r="DS79" t="s">
        <v>37</v>
      </c>
      <c r="DU79" t="s">
        <v>37</v>
      </c>
      <c r="DW79" t="s">
        <v>37</v>
      </c>
      <c r="DY79" t="s">
        <v>37</v>
      </c>
      <c r="EA79" t="s">
        <v>37</v>
      </c>
      <c r="EC79" t="s">
        <v>37</v>
      </c>
      <c r="EE79" t="s">
        <v>37</v>
      </c>
      <c r="EG79" t="s">
        <v>37</v>
      </c>
      <c r="EI79" t="s">
        <v>37</v>
      </c>
      <c r="EK79" t="s">
        <v>37</v>
      </c>
      <c r="EM79" t="s">
        <v>37</v>
      </c>
      <c r="EO79" t="s">
        <v>37</v>
      </c>
      <c r="EQ79" t="s">
        <v>37</v>
      </c>
      <c r="ES79" t="s">
        <v>37</v>
      </c>
      <c r="EU79" t="s">
        <v>37</v>
      </c>
      <c r="EW79" t="s">
        <v>37</v>
      </c>
      <c r="EY79" t="s">
        <v>37</v>
      </c>
      <c r="FA79" t="s">
        <v>37</v>
      </c>
      <c r="FC79" t="s">
        <v>37</v>
      </c>
      <c r="FE79" t="s">
        <v>37</v>
      </c>
      <c r="FG79" t="s">
        <v>37</v>
      </c>
      <c r="FI79" t="s">
        <v>37</v>
      </c>
      <c r="FK79" t="s">
        <v>37</v>
      </c>
      <c r="FL79">
        <v>523508</v>
      </c>
      <c r="FM79" t="s">
        <v>37</v>
      </c>
      <c r="FO79" t="s">
        <v>37</v>
      </c>
      <c r="FQ79" t="s">
        <v>37</v>
      </c>
      <c r="FS79" t="s">
        <v>37</v>
      </c>
      <c r="FU79" t="s">
        <v>37</v>
      </c>
      <c r="FW79" t="s">
        <v>37</v>
      </c>
      <c r="FY79" t="s">
        <v>37</v>
      </c>
      <c r="GA79" t="s">
        <v>37</v>
      </c>
      <c r="GB79">
        <v>2301</v>
      </c>
      <c r="GC79" t="s">
        <v>37</v>
      </c>
      <c r="GE79" t="s">
        <v>37</v>
      </c>
      <c r="GG79" t="s">
        <v>37</v>
      </c>
      <c r="GI79" t="s">
        <v>37</v>
      </c>
      <c r="GK79" t="s">
        <v>37</v>
      </c>
      <c r="GM79" t="s">
        <v>37</v>
      </c>
      <c r="GO79" t="s">
        <v>37</v>
      </c>
      <c r="GQ79" t="s">
        <v>37</v>
      </c>
      <c r="GS79" t="s">
        <v>37</v>
      </c>
      <c r="GU79" t="s">
        <v>37</v>
      </c>
      <c r="GW79" t="s">
        <v>37</v>
      </c>
      <c r="GY79" t="s">
        <v>37</v>
      </c>
      <c r="HA79" t="s">
        <v>37</v>
      </c>
      <c r="HC79" t="s">
        <v>37</v>
      </c>
      <c r="HE79" t="s">
        <v>37</v>
      </c>
      <c r="HF79">
        <v>525809</v>
      </c>
      <c r="HG79" t="s">
        <v>37</v>
      </c>
      <c r="HI79" t="s">
        <v>37</v>
      </c>
      <c r="HJ79">
        <v>525809</v>
      </c>
      <c r="HK79" t="s">
        <v>37</v>
      </c>
    </row>
    <row r="80" spans="1:219">
      <c r="A80">
        <v>3123</v>
      </c>
      <c r="B80" t="s">
        <v>108</v>
      </c>
      <c r="C80" t="s">
        <v>37</v>
      </c>
      <c r="E80" t="s">
        <v>37</v>
      </c>
      <c r="G80" t="s">
        <v>37</v>
      </c>
      <c r="I80" t="s">
        <v>37</v>
      </c>
      <c r="K80" s="48" t="s">
        <v>37</v>
      </c>
      <c r="L80" s="50"/>
      <c r="M80" s="48" t="s">
        <v>37</v>
      </c>
      <c r="N80" s="50"/>
      <c r="O80" s="48" t="s">
        <v>37</v>
      </c>
      <c r="P80" s="50"/>
      <c r="Q80" s="48" t="s">
        <v>37</v>
      </c>
      <c r="R80" s="50"/>
      <c r="S80" s="48" t="s">
        <v>37</v>
      </c>
      <c r="U80" t="s">
        <v>37</v>
      </c>
      <c r="V80">
        <v>100000</v>
      </c>
      <c r="W80" t="s">
        <v>37</v>
      </c>
      <c r="Y80" t="s">
        <v>37</v>
      </c>
      <c r="AA80" t="s">
        <v>37</v>
      </c>
      <c r="AC80" t="s">
        <v>37</v>
      </c>
      <c r="AE80" t="s">
        <v>37</v>
      </c>
      <c r="AG80" t="s">
        <v>37</v>
      </c>
      <c r="AI80" t="s">
        <v>37</v>
      </c>
      <c r="AK80" t="s">
        <v>37</v>
      </c>
      <c r="AM80" t="s">
        <v>37</v>
      </c>
      <c r="AO80" t="s">
        <v>37</v>
      </c>
      <c r="AQ80" t="s">
        <v>37</v>
      </c>
      <c r="AS80" t="s">
        <v>37</v>
      </c>
      <c r="AU80" t="s">
        <v>37</v>
      </c>
      <c r="AW80" t="s">
        <v>37</v>
      </c>
      <c r="AY80" t="s">
        <v>37</v>
      </c>
      <c r="BA80" t="s">
        <v>37</v>
      </c>
      <c r="BC80" t="s">
        <v>37</v>
      </c>
      <c r="BE80" t="s">
        <v>37</v>
      </c>
      <c r="BG80" t="s">
        <v>37</v>
      </c>
      <c r="BI80" t="s">
        <v>37</v>
      </c>
      <c r="BK80" t="s">
        <v>37</v>
      </c>
      <c r="BM80" t="s">
        <v>37</v>
      </c>
      <c r="BO80" t="s">
        <v>37</v>
      </c>
      <c r="BQ80" t="s">
        <v>37</v>
      </c>
      <c r="BR80">
        <v>25781</v>
      </c>
      <c r="BS80" t="s">
        <v>37</v>
      </c>
      <c r="BU80" t="s">
        <v>37</v>
      </c>
      <c r="BW80" t="s">
        <v>37</v>
      </c>
      <c r="BY80" t="s">
        <v>37</v>
      </c>
      <c r="CA80" t="s">
        <v>37</v>
      </c>
      <c r="CC80" t="s">
        <v>37</v>
      </c>
      <c r="CE80" t="s">
        <v>37</v>
      </c>
      <c r="CG80" t="s">
        <v>37</v>
      </c>
      <c r="CI80" t="s">
        <v>37</v>
      </c>
      <c r="CK80" t="s">
        <v>37</v>
      </c>
      <c r="CM80" t="s">
        <v>37</v>
      </c>
      <c r="CO80" t="s">
        <v>37</v>
      </c>
      <c r="CQ80" t="s">
        <v>37</v>
      </c>
      <c r="CS80" t="s">
        <v>37</v>
      </c>
      <c r="CU80" t="s">
        <v>37</v>
      </c>
      <c r="CW80" t="s">
        <v>37</v>
      </c>
      <c r="CY80" t="s">
        <v>37</v>
      </c>
      <c r="DA80" t="s">
        <v>37</v>
      </c>
      <c r="DC80" t="s">
        <v>37</v>
      </c>
      <c r="DE80" t="s">
        <v>37</v>
      </c>
      <c r="DG80" t="s">
        <v>37</v>
      </c>
      <c r="DI80" t="s">
        <v>37</v>
      </c>
      <c r="DK80" t="s">
        <v>37</v>
      </c>
      <c r="DM80" t="s">
        <v>37</v>
      </c>
      <c r="DO80" t="s">
        <v>37</v>
      </c>
      <c r="DQ80" t="s">
        <v>37</v>
      </c>
      <c r="DS80" t="s">
        <v>37</v>
      </c>
      <c r="DU80" t="s">
        <v>37</v>
      </c>
      <c r="DW80" t="s">
        <v>37</v>
      </c>
      <c r="DY80" t="s">
        <v>37</v>
      </c>
      <c r="EA80" t="s">
        <v>37</v>
      </c>
      <c r="EC80" t="s">
        <v>37</v>
      </c>
      <c r="EE80" t="s">
        <v>37</v>
      </c>
      <c r="EG80" t="s">
        <v>37</v>
      </c>
      <c r="EI80" t="s">
        <v>37</v>
      </c>
      <c r="EK80" t="s">
        <v>37</v>
      </c>
      <c r="EM80" t="s">
        <v>37</v>
      </c>
      <c r="EO80" t="s">
        <v>37</v>
      </c>
      <c r="EQ80" t="s">
        <v>37</v>
      </c>
      <c r="ES80" t="s">
        <v>37</v>
      </c>
      <c r="EU80" t="s">
        <v>37</v>
      </c>
      <c r="EW80" t="s">
        <v>37</v>
      </c>
      <c r="EY80" t="s">
        <v>37</v>
      </c>
      <c r="FA80" t="s">
        <v>37</v>
      </c>
      <c r="FC80" t="s">
        <v>37</v>
      </c>
      <c r="FE80" t="s">
        <v>37</v>
      </c>
      <c r="FG80" t="s">
        <v>37</v>
      </c>
      <c r="FI80" t="s">
        <v>37</v>
      </c>
      <c r="FK80" t="s">
        <v>37</v>
      </c>
      <c r="FM80" t="s">
        <v>37</v>
      </c>
      <c r="FO80" t="s">
        <v>37</v>
      </c>
      <c r="FQ80" t="s">
        <v>37</v>
      </c>
      <c r="FS80" t="s">
        <v>37</v>
      </c>
      <c r="FU80" t="s">
        <v>37</v>
      </c>
      <c r="FW80" t="s">
        <v>37</v>
      </c>
      <c r="FY80" t="s">
        <v>37</v>
      </c>
      <c r="GA80" t="s">
        <v>37</v>
      </c>
      <c r="GB80">
        <v>73827</v>
      </c>
      <c r="GC80" t="s">
        <v>37</v>
      </c>
      <c r="GE80" t="s">
        <v>37</v>
      </c>
      <c r="GG80" t="s">
        <v>37</v>
      </c>
      <c r="GI80" t="s">
        <v>37</v>
      </c>
      <c r="GK80" t="s">
        <v>37</v>
      </c>
      <c r="GM80" t="s">
        <v>37</v>
      </c>
      <c r="GO80" t="s">
        <v>37</v>
      </c>
      <c r="GQ80" t="s">
        <v>37</v>
      </c>
      <c r="GS80" t="s">
        <v>37</v>
      </c>
      <c r="GU80" t="s">
        <v>37</v>
      </c>
      <c r="GW80" t="s">
        <v>37</v>
      </c>
      <c r="GY80" t="s">
        <v>37</v>
      </c>
      <c r="HA80" t="s">
        <v>37</v>
      </c>
      <c r="HC80" t="s">
        <v>37</v>
      </c>
      <c r="HE80" t="s">
        <v>37</v>
      </c>
      <c r="HF80">
        <v>199608</v>
      </c>
      <c r="HG80" t="s">
        <v>37</v>
      </c>
      <c r="HI80" t="s">
        <v>37</v>
      </c>
      <c r="HJ80">
        <v>199608</v>
      </c>
      <c r="HK80" t="s">
        <v>37</v>
      </c>
    </row>
    <row r="81" spans="1:219">
      <c r="A81">
        <v>3124</v>
      </c>
      <c r="B81" t="s">
        <v>109</v>
      </c>
      <c r="C81" t="s">
        <v>37</v>
      </c>
      <c r="E81" t="s">
        <v>37</v>
      </c>
      <c r="G81" t="s">
        <v>37</v>
      </c>
      <c r="I81" t="s">
        <v>37</v>
      </c>
      <c r="K81" s="48" t="s">
        <v>37</v>
      </c>
      <c r="L81" s="50"/>
      <c r="M81" s="48" t="s">
        <v>37</v>
      </c>
      <c r="N81" s="50"/>
      <c r="O81" s="48" t="s">
        <v>37</v>
      </c>
      <c r="P81" s="50"/>
      <c r="Q81" s="48" t="s">
        <v>37</v>
      </c>
      <c r="R81" s="50"/>
      <c r="S81" s="48" t="s">
        <v>37</v>
      </c>
      <c r="U81" t="s">
        <v>37</v>
      </c>
      <c r="W81" t="s">
        <v>37</v>
      </c>
      <c r="Y81" t="s">
        <v>37</v>
      </c>
      <c r="AA81" t="s">
        <v>37</v>
      </c>
      <c r="AC81" t="s">
        <v>37</v>
      </c>
      <c r="AE81" t="s">
        <v>37</v>
      </c>
      <c r="AG81" t="s">
        <v>37</v>
      </c>
      <c r="AI81" t="s">
        <v>37</v>
      </c>
      <c r="AK81" t="s">
        <v>37</v>
      </c>
      <c r="AM81" t="s">
        <v>37</v>
      </c>
      <c r="AO81" t="s">
        <v>37</v>
      </c>
      <c r="AQ81" t="s">
        <v>37</v>
      </c>
      <c r="AR81">
        <v>226</v>
      </c>
      <c r="AS81" t="s">
        <v>37</v>
      </c>
      <c r="AU81" t="s">
        <v>37</v>
      </c>
      <c r="AW81" t="s">
        <v>37</v>
      </c>
      <c r="AY81" t="s">
        <v>37</v>
      </c>
      <c r="BA81" t="s">
        <v>37</v>
      </c>
      <c r="BC81" t="s">
        <v>37</v>
      </c>
      <c r="BE81" t="s">
        <v>37</v>
      </c>
      <c r="BG81" t="s">
        <v>37</v>
      </c>
      <c r="BI81" t="s">
        <v>37</v>
      </c>
      <c r="BK81" t="s">
        <v>37</v>
      </c>
      <c r="BM81" t="s">
        <v>37</v>
      </c>
      <c r="BO81" t="s">
        <v>37</v>
      </c>
      <c r="BQ81" t="s">
        <v>37</v>
      </c>
      <c r="BS81" t="s">
        <v>37</v>
      </c>
      <c r="BU81" t="s">
        <v>37</v>
      </c>
      <c r="BW81" t="s">
        <v>37</v>
      </c>
      <c r="BY81" t="s">
        <v>37</v>
      </c>
      <c r="CA81" t="s">
        <v>37</v>
      </c>
      <c r="CC81" t="s">
        <v>37</v>
      </c>
      <c r="CE81" t="s">
        <v>37</v>
      </c>
      <c r="CG81" t="s">
        <v>37</v>
      </c>
      <c r="CI81" t="s">
        <v>37</v>
      </c>
      <c r="CK81" t="s">
        <v>37</v>
      </c>
      <c r="CM81" t="s">
        <v>37</v>
      </c>
      <c r="CO81" t="s">
        <v>37</v>
      </c>
      <c r="CQ81" t="s">
        <v>37</v>
      </c>
      <c r="CS81" t="s">
        <v>37</v>
      </c>
      <c r="CU81" t="s">
        <v>37</v>
      </c>
      <c r="CW81" t="s">
        <v>37</v>
      </c>
      <c r="CY81" t="s">
        <v>37</v>
      </c>
      <c r="DA81" t="s">
        <v>37</v>
      </c>
      <c r="DC81" t="s">
        <v>37</v>
      </c>
      <c r="DE81" t="s">
        <v>37</v>
      </c>
      <c r="DG81" t="s">
        <v>37</v>
      </c>
      <c r="DI81" t="s">
        <v>37</v>
      </c>
      <c r="DK81" t="s">
        <v>37</v>
      </c>
      <c r="DM81" t="s">
        <v>37</v>
      </c>
      <c r="DO81" t="s">
        <v>37</v>
      </c>
      <c r="DQ81" t="s">
        <v>37</v>
      </c>
      <c r="DS81" t="s">
        <v>37</v>
      </c>
      <c r="DU81" t="s">
        <v>37</v>
      </c>
      <c r="DW81" t="s">
        <v>37</v>
      </c>
      <c r="DY81" t="s">
        <v>37</v>
      </c>
      <c r="EA81" t="s">
        <v>37</v>
      </c>
      <c r="EC81" t="s">
        <v>37</v>
      </c>
      <c r="EE81" t="s">
        <v>37</v>
      </c>
      <c r="EG81" t="s">
        <v>37</v>
      </c>
      <c r="EI81" t="s">
        <v>37</v>
      </c>
      <c r="EK81" t="s">
        <v>37</v>
      </c>
      <c r="EM81" t="s">
        <v>37</v>
      </c>
      <c r="EO81" t="s">
        <v>37</v>
      </c>
      <c r="EQ81" t="s">
        <v>37</v>
      </c>
      <c r="ES81" t="s">
        <v>37</v>
      </c>
      <c r="EU81" t="s">
        <v>37</v>
      </c>
      <c r="EW81" t="s">
        <v>37</v>
      </c>
      <c r="EY81" t="s">
        <v>37</v>
      </c>
      <c r="FA81" t="s">
        <v>37</v>
      </c>
      <c r="FC81" t="s">
        <v>37</v>
      </c>
      <c r="FE81" t="s">
        <v>37</v>
      </c>
      <c r="FG81" t="s">
        <v>37</v>
      </c>
      <c r="FI81" t="s">
        <v>37</v>
      </c>
      <c r="FK81" t="s">
        <v>37</v>
      </c>
      <c r="FM81" t="s">
        <v>37</v>
      </c>
      <c r="FO81" t="s">
        <v>37</v>
      </c>
      <c r="FQ81" t="s">
        <v>37</v>
      </c>
      <c r="FS81" t="s">
        <v>37</v>
      </c>
      <c r="FU81" t="s">
        <v>37</v>
      </c>
      <c r="FW81" t="s">
        <v>37</v>
      </c>
      <c r="FY81" t="s">
        <v>37</v>
      </c>
      <c r="GA81" t="s">
        <v>37</v>
      </c>
      <c r="GC81" t="s">
        <v>37</v>
      </c>
      <c r="GE81" t="s">
        <v>37</v>
      </c>
      <c r="GG81" t="s">
        <v>37</v>
      </c>
      <c r="GI81" t="s">
        <v>37</v>
      </c>
      <c r="GK81" t="s">
        <v>37</v>
      </c>
      <c r="GM81" t="s">
        <v>37</v>
      </c>
      <c r="GO81" t="s">
        <v>37</v>
      </c>
      <c r="GQ81" t="s">
        <v>37</v>
      </c>
      <c r="GS81" t="s">
        <v>37</v>
      </c>
      <c r="GU81" t="s">
        <v>37</v>
      </c>
      <c r="GW81" t="s">
        <v>37</v>
      </c>
      <c r="GY81" t="s">
        <v>37</v>
      </c>
      <c r="HA81" t="s">
        <v>37</v>
      </c>
      <c r="HC81" t="s">
        <v>37</v>
      </c>
      <c r="HE81" t="s">
        <v>37</v>
      </c>
      <c r="HF81">
        <v>226</v>
      </c>
      <c r="HG81" t="s">
        <v>37</v>
      </c>
      <c r="HI81" t="s">
        <v>37</v>
      </c>
      <c r="HJ81">
        <v>226</v>
      </c>
      <c r="HK81" t="s">
        <v>37</v>
      </c>
    </row>
    <row r="82" spans="1:219">
      <c r="A82">
        <v>3125</v>
      </c>
      <c r="B82" t="s">
        <v>110</v>
      </c>
      <c r="C82" t="s">
        <v>37</v>
      </c>
      <c r="E82" t="s">
        <v>37</v>
      </c>
      <c r="F82">
        <v>244281</v>
      </c>
      <c r="G82" t="s">
        <v>37</v>
      </c>
      <c r="H82">
        <v>6149</v>
      </c>
      <c r="I82" t="s">
        <v>37</v>
      </c>
      <c r="K82" s="48" t="s">
        <v>37</v>
      </c>
      <c r="L82" s="51">
        <v>93599</v>
      </c>
      <c r="M82" s="48" t="s">
        <v>37</v>
      </c>
      <c r="N82" s="50"/>
      <c r="O82" s="48" t="s">
        <v>37</v>
      </c>
      <c r="P82" s="51">
        <v>39507</v>
      </c>
      <c r="Q82" s="48" t="s">
        <v>37</v>
      </c>
      <c r="R82" s="51">
        <v>32362</v>
      </c>
      <c r="S82" s="48" t="s">
        <v>37</v>
      </c>
      <c r="T82">
        <v>120924</v>
      </c>
      <c r="U82" t="s">
        <v>37</v>
      </c>
      <c r="W82" t="s">
        <v>37</v>
      </c>
      <c r="X82">
        <v>62667</v>
      </c>
      <c r="Y82" t="s">
        <v>37</v>
      </c>
      <c r="Z82">
        <v>36514</v>
      </c>
      <c r="AA82" t="s">
        <v>37</v>
      </c>
      <c r="AB82">
        <v>10573</v>
      </c>
      <c r="AC82" t="s">
        <v>37</v>
      </c>
      <c r="AD82">
        <v>29412</v>
      </c>
      <c r="AE82" t="s">
        <v>37</v>
      </c>
      <c r="AF82">
        <v>24584</v>
      </c>
      <c r="AG82" t="s">
        <v>37</v>
      </c>
      <c r="AH82">
        <v>19336</v>
      </c>
      <c r="AI82" t="s">
        <v>37</v>
      </c>
      <c r="AJ82">
        <v>39202</v>
      </c>
      <c r="AK82" t="s">
        <v>37</v>
      </c>
      <c r="AM82" t="s">
        <v>37</v>
      </c>
      <c r="AO82" t="s">
        <v>37</v>
      </c>
      <c r="AP82">
        <v>332932</v>
      </c>
      <c r="AQ82" t="s">
        <v>37</v>
      </c>
      <c r="AR82">
        <v>37866</v>
      </c>
      <c r="AS82" t="s">
        <v>37</v>
      </c>
      <c r="AT82">
        <v>374106</v>
      </c>
      <c r="AU82" t="s">
        <v>37</v>
      </c>
      <c r="AV82">
        <v>81121</v>
      </c>
      <c r="AW82" t="s">
        <v>37</v>
      </c>
      <c r="AX82">
        <v>72691</v>
      </c>
      <c r="AY82" t="s">
        <v>37</v>
      </c>
      <c r="AZ82">
        <v>105199</v>
      </c>
      <c r="BA82" t="s">
        <v>37</v>
      </c>
      <c r="BC82" t="s">
        <v>37</v>
      </c>
      <c r="BD82">
        <v>20976</v>
      </c>
      <c r="BE82" t="s">
        <v>37</v>
      </c>
      <c r="BF82">
        <v>24022</v>
      </c>
      <c r="BG82" t="s">
        <v>37</v>
      </c>
      <c r="BI82" t="s">
        <v>37</v>
      </c>
      <c r="BJ82">
        <v>86042</v>
      </c>
      <c r="BK82" t="s">
        <v>37</v>
      </c>
      <c r="BL82">
        <v>101159</v>
      </c>
      <c r="BM82" t="s">
        <v>37</v>
      </c>
      <c r="BO82" t="s">
        <v>37</v>
      </c>
      <c r="BP82">
        <v>5699</v>
      </c>
      <c r="BQ82" t="s">
        <v>37</v>
      </c>
      <c r="BR82">
        <v>36749</v>
      </c>
      <c r="BS82" t="s">
        <v>37</v>
      </c>
      <c r="BT82">
        <v>30698</v>
      </c>
      <c r="BU82" t="s">
        <v>37</v>
      </c>
      <c r="BV82">
        <v>38327</v>
      </c>
      <c r="BW82" t="s">
        <v>37</v>
      </c>
      <c r="BX82">
        <v>162886</v>
      </c>
      <c r="BY82" t="s">
        <v>37</v>
      </c>
      <c r="BZ82">
        <v>33412</v>
      </c>
      <c r="CA82" t="s">
        <v>37</v>
      </c>
      <c r="CB82">
        <v>45791</v>
      </c>
      <c r="CC82" t="s">
        <v>37</v>
      </c>
      <c r="CD82">
        <v>46288</v>
      </c>
      <c r="CE82" t="s">
        <v>37</v>
      </c>
      <c r="CF82">
        <v>71845</v>
      </c>
      <c r="CG82" t="s">
        <v>37</v>
      </c>
      <c r="CH82">
        <v>164296</v>
      </c>
      <c r="CI82" t="s">
        <v>37</v>
      </c>
      <c r="CJ82">
        <v>31527</v>
      </c>
      <c r="CK82" t="s">
        <v>37</v>
      </c>
      <c r="CL82">
        <v>46490</v>
      </c>
      <c r="CM82" t="s">
        <v>37</v>
      </c>
      <c r="CN82">
        <v>38170</v>
      </c>
      <c r="CO82" t="s">
        <v>37</v>
      </c>
      <c r="CQ82" t="s">
        <v>37</v>
      </c>
      <c r="CR82">
        <v>109889</v>
      </c>
      <c r="CS82" t="s">
        <v>37</v>
      </c>
      <c r="CU82" t="s">
        <v>37</v>
      </c>
      <c r="CW82" t="s">
        <v>37</v>
      </c>
      <c r="CX82">
        <v>33269</v>
      </c>
      <c r="CY82" t="s">
        <v>37</v>
      </c>
      <c r="CZ82">
        <v>22885</v>
      </c>
      <c r="DA82" t="s">
        <v>37</v>
      </c>
      <c r="DB82">
        <v>234989</v>
      </c>
      <c r="DC82" t="s">
        <v>37</v>
      </c>
      <c r="DD82">
        <v>47124</v>
      </c>
      <c r="DE82" t="s">
        <v>37</v>
      </c>
      <c r="DF82">
        <v>63678</v>
      </c>
      <c r="DG82" t="s">
        <v>37</v>
      </c>
      <c r="DH82">
        <v>284940</v>
      </c>
      <c r="DI82" t="s">
        <v>37</v>
      </c>
      <c r="DJ82">
        <v>42183</v>
      </c>
      <c r="DK82" t="s">
        <v>37</v>
      </c>
      <c r="DL82">
        <v>78388</v>
      </c>
      <c r="DM82" t="s">
        <v>37</v>
      </c>
      <c r="DO82" t="s">
        <v>37</v>
      </c>
      <c r="DQ82" t="s">
        <v>37</v>
      </c>
      <c r="DS82" t="s">
        <v>37</v>
      </c>
      <c r="DU82" t="s">
        <v>37</v>
      </c>
      <c r="DW82" t="s">
        <v>37</v>
      </c>
      <c r="DY82" t="s">
        <v>37</v>
      </c>
      <c r="EA82" t="s">
        <v>37</v>
      </c>
      <c r="EC82" t="s">
        <v>37</v>
      </c>
      <c r="EE82" t="s">
        <v>37</v>
      </c>
      <c r="EG82" t="s">
        <v>37</v>
      </c>
      <c r="EI82" t="s">
        <v>37</v>
      </c>
      <c r="EK82" t="s">
        <v>37</v>
      </c>
      <c r="EM82" t="s">
        <v>37</v>
      </c>
      <c r="EO82" t="s">
        <v>37</v>
      </c>
      <c r="EQ82" t="s">
        <v>37</v>
      </c>
      <c r="ES82" t="s">
        <v>37</v>
      </c>
      <c r="EU82" t="s">
        <v>37</v>
      </c>
      <c r="EW82" t="s">
        <v>37</v>
      </c>
      <c r="EY82" t="s">
        <v>37</v>
      </c>
      <c r="FA82" t="s">
        <v>37</v>
      </c>
      <c r="FC82" t="s">
        <v>37</v>
      </c>
      <c r="FE82" t="s">
        <v>37</v>
      </c>
      <c r="FG82" t="s">
        <v>37</v>
      </c>
      <c r="FI82" t="s">
        <v>37</v>
      </c>
      <c r="FK82" t="s">
        <v>37</v>
      </c>
      <c r="FM82" t="s">
        <v>37</v>
      </c>
      <c r="FO82" t="s">
        <v>37</v>
      </c>
      <c r="FQ82" t="s">
        <v>37</v>
      </c>
      <c r="FS82" t="s">
        <v>37</v>
      </c>
      <c r="FT82">
        <v>16131</v>
      </c>
      <c r="FU82" t="s">
        <v>37</v>
      </c>
      <c r="FW82" t="s">
        <v>37</v>
      </c>
      <c r="FY82" t="s">
        <v>37</v>
      </c>
      <c r="GA82" t="s">
        <v>37</v>
      </c>
      <c r="GC82" t="s">
        <v>37</v>
      </c>
      <c r="GE82" t="s">
        <v>37</v>
      </c>
      <c r="GG82" t="s">
        <v>37</v>
      </c>
      <c r="GI82" t="s">
        <v>37</v>
      </c>
      <c r="GK82" t="s">
        <v>37</v>
      </c>
      <c r="GM82" t="s">
        <v>37</v>
      </c>
      <c r="GO82" t="s">
        <v>37</v>
      </c>
      <c r="GQ82" t="s">
        <v>37</v>
      </c>
      <c r="GS82" t="s">
        <v>37</v>
      </c>
      <c r="GU82" t="s">
        <v>37</v>
      </c>
      <c r="GW82" t="s">
        <v>37</v>
      </c>
      <c r="GY82" t="s">
        <v>37</v>
      </c>
      <c r="HA82" t="s">
        <v>37</v>
      </c>
      <c r="HC82" t="s">
        <v>37</v>
      </c>
      <c r="HE82" t="s">
        <v>37</v>
      </c>
      <c r="HF82">
        <v>3680878</v>
      </c>
      <c r="HG82" t="s">
        <v>37</v>
      </c>
      <c r="HI82" t="s">
        <v>37</v>
      </c>
      <c r="HJ82">
        <v>3680878</v>
      </c>
      <c r="HK82" t="s">
        <v>37</v>
      </c>
    </row>
    <row r="83" spans="1:219">
      <c r="A83">
        <v>3126</v>
      </c>
      <c r="B83" t="s">
        <v>111</v>
      </c>
      <c r="C83" t="s">
        <v>37</v>
      </c>
      <c r="D83">
        <v>12754</v>
      </c>
      <c r="E83" t="s">
        <v>37</v>
      </c>
      <c r="F83">
        <v>9472</v>
      </c>
      <c r="G83" t="s">
        <v>37</v>
      </c>
      <c r="I83" t="s">
        <v>37</v>
      </c>
      <c r="K83" s="48" t="s">
        <v>37</v>
      </c>
      <c r="L83" s="51">
        <v>35500</v>
      </c>
      <c r="M83" s="48" t="s">
        <v>37</v>
      </c>
      <c r="N83" s="51">
        <v>17116</v>
      </c>
      <c r="O83" s="48" t="s">
        <v>37</v>
      </c>
      <c r="P83" s="51">
        <v>12374</v>
      </c>
      <c r="Q83" s="48" t="s">
        <v>37</v>
      </c>
      <c r="R83" s="51">
        <v>12799</v>
      </c>
      <c r="S83" s="48" t="s">
        <v>37</v>
      </c>
      <c r="T83">
        <v>56087</v>
      </c>
      <c r="U83" t="s">
        <v>37</v>
      </c>
      <c r="W83" t="s">
        <v>37</v>
      </c>
      <c r="Y83" t="s">
        <v>37</v>
      </c>
      <c r="Z83">
        <v>6985</v>
      </c>
      <c r="AA83" t="s">
        <v>37</v>
      </c>
      <c r="AC83" t="s">
        <v>37</v>
      </c>
      <c r="AE83" t="s">
        <v>37</v>
      </c>
      <c r="AF83">
        <v>2511</v>
      </c>
      <c r="AG83" t="s">
        <v>37</v>
      </c>
      <c r="AH83">
        <v>11782</v>
      </c>
      <c r="AI83" t="s">
        <v>37</v>
      </c>
      <c r="AK83" t="s">
        <v>37</v>
      </c>
      <c r="AL83">
        <v>65272</v>
      </c>
      <c r="AM83" t="s">
        <v>37</v>
      </c>
      <c r="AO83" t="s">
        <v>37</v>
      </c>
      <c r="AP83">
        <v>118313</v>
      </c>
      <c r="AQ83" t="s">
        <v>37</v>
      </c>
      <c r="AR83">
        <v>6494</v>
      </c>
      <c r="AS83" t="s">
        <v>37</v>
      </c>
      <c r="AT83">
        <v>136305</v>
      </c>
      <c r="AU83" t="s">
        <v>37</v>
      </c>
      <c r="AV83">
        <v>37020</v>
      </c>
      <c r="AW83" t="s">
        <v>37</v>
      </c>
      <c r="AX83">
        <v>27326</v>
      </c>
      <c r="AY83" t="s">
        <v>37</v>
      </c>
      <c r="AZ83">
        <v>24507</v>
      </c>
      <c r="BA83" t="s">
        <v>37</v>
      </c>
      <c r="BB83">
        <v>4506</v>
      </c>
      <c r="BC83" t="s">
        <v>37</v>
      </c>
      <c r="BD83">
        <v>7041</v>
      </c>
      <c r="BE83" t="s">
        <v>37</v>
      </c>
      <c r="BF83">
        <v>4980</v>
      </c>
      <c r="BG83" t="s">
        <v>37</v>
      </c>
      <c r="BI83" t="s">
        <v>37</v>
      </c>
      <c r="BJ83">
        <v>28066</v>
      </c>
      <c r="BK83" t="s">
        <v>37</v>
      </c>
      <c r="BL83">
        <v>31188</v>
      </c>
      <c r="BM83" t="s">
        <v>37</v>
      </c>
      <c r="BO83" t="s">
        <v>37</v>
      </c>
      <c r="BP83">
        <v>3720</v>
      </c>
      <c r="BQ83" t="s">
        <v>37</v>
      </c>
      <c r="BR83">
        <v>6147</v>
      </c>
      <c r="BS83" t="s">
        <v>37</v>
      </c>
      <c r="BU83" t="s">
        <v>37</v>
      </c>
      <c r="BW83" t="s">
        <v>37</v>
      </c>
      <c r="BX83">
        <v>9772</v>
      </c>
      <c r="BY83" t="s">
        <v>37</v>
      </c>
      <c r="BZ83">
        <v>10084</v>
      </c>
      <c r="CA83" t="s">
        <v>37</v>
      </c>
      <c r="CC83" t="s">
        <v>37</v>
      </c>
      <c r="CD83">
        <v>18900</v>
      </c>
      <c r="CE83" t="s">
        <v>37</v>
      </c>
      <c r="CG83" t="s">
        <v>37</v>
      </c>
      <c r="CH83">
        <v>68135</v>
      </c>
      <c r="CI83" t="s">
        <v>37</v>
      </c>
      <c r="CJ83">
        <v>5440</v>
      </c>
      <c r="CK83" t="s">
        <v>37</v>
      </c>
      <c r="CL83">
        <v>17555</v>
      </c>
      <c r="CM83" t="s">
        <v>37</v>
      </c>
      <c r="CN83">
        <v>4552</v>
      </c>
      <c r="CO83" t="s">
        <v>37</v>
      </c>
      <c r="CP83">
        <v>8077</v>
      </c>
      <c r="CQ83" t="s">
        <v>37</v>
      </c>
      <c r="CR83">
        <v>23212</v>
      </c>
      <c r="CS83" t="s">
        <v>37</v>
      </c>
      <c r="CT83">
        <v>301844</v>
      </c>
      <c r="CU83" t="s">
        <v>37</v>
      </c>
      <c r="CV83">
        <v>20935</v>
      </c>
      <c r="CW83" t="s">
        <v>37</v>
      </c>
      <c r="CX83">
        <v>5416</v>
      </c>
      <c r="CY83" t="s">
        <v>37</v>
      </c>
      <c r="CZ83">
        <v>7529</v>
      </c>
      <c r="DA83" t="s">
        <v>37</v>
      </c>
      <c r="DC83" t="s">
        <v>37</v>
      </c>
      <c r="DD83">
        <v>20757</v>
      </c>
      <c r="DE83" t="s">
        <v>37</v>
      </c>
      <c r="DG83" t="s">
        <v>37</v>
      </c>
      <c r="DH83">
        <v>155897</v>
      </c>
      <c r="DI83" t="s">
        <v>37</v>
      </c>
      <c r="DK83" t="s">
        <v>37</v>
      </c>
      <c r="DL83">
        <v>47166</v>
      </c>
      <c r="DM83" t="s">
        <v>37</v>
      </c>
      <c r="DN83">
        <v>50631</v>
      </c>
      <c r="DO83" t="s">
        <v>37</v>
      </c>
      <c r="DP83">
        <v>16764</v>
      </c>
      <c r="DQ83" t="s">
        <v>37</v>
      </c>
      <c r="DS83" t="s">
        <v>37</v>
      </c>
      <c r="DT83">
        <v>11286</v>
      </c>
      <c r="DU83" t="s">
        <v>37</v>
      </c>
      <c r="DV83">
        <v>90099</v>
      </c>
      <c r="DW83" t="s">
        <v>37</v>
      </c>
      <c r="DX83">
        <v>30908</v>
      </c>
      <c r="DY83" t="s">
        <v>37</v>
      </c>
      <c r="DZ83">
        <v>9666</v>
      </c>
      <c r="EA83" t="s">
        <v>37</v>
      </c>
      <c r="EB83">
        <v>18554</v>
      </c>
      <c r="EC83" t="s">
        <v>37</v>
      </c>
      <c r="ED83">
        <v>69629</v>
      </c>
      <c r="EE83" t="s">
        <v>37</v>
      </c>
      <c r="EG83" t="s">
        <v>37</v>
      </c>
      <c r="EI83" t="s">
        <v>37</v>
      </c>
      <c r="EJ83">
        <v>11765</v>
      </c>
      <c r="EK83" t="s">
        <v>37</v>
      </c>
      <c r="EL83">
        <v>8735</v>
      </c>
      <c r="EM83" t="s">
        <v>37</v>
      </c>
      <c r="EN83">
        <v>3777</v>
      </c>
      <c r="EO83" t="s">
        <v>37</v>
      </c>
      <c r="EQ83" t="s">
        <v>37</v>
      </c>
      <c r="ER83">
        <v>22750</v>
      </c>
      <c r="ES83" t="s">
        <v>37</v>
      </c>
      <c r="ET83">
        <v>32098</v>
      </c>
      <c r="EU83" t="s">
        <v>37</v>
      </c>
      <c r="EV83">
        <v>49064</v>
      </c>
      <c r="EW83" t="s">
        <v>37</v>
      </c>
      <c r="EY83" t="s">
        <v>37</v>
      </c>
      <c r="FA83" t="s">
        <v>37</v>
      </c>
      <c r="FB83">
        <v>18786</v>
      </c>
      <c r="FC83" t="s">
        <v>37</v>
      </c>
      <c r="FD83">
        <v>31189</v>
      </c>
      <c r="FE83" t="s">
        <v>37</v>
      </c>
      <c r="FG83" t="s">
        <v>37</v>
      </c>
      <c r="FH83">
        <v>75881</v>
      </c>
      <c r="FI83" t="s">
        <v>37</v>
      </c>
      <c r="FJ83">
        <v>177501</v>
      </c>
      <c r="FK83" t="s">
        <v>37</v>
      </c>
      <c r="FL83">
        <v>96569</v>
      </c>
      <c r="FM83" t="s">
        <v>37</v>
      </c>
      <c r="FN83">
        <v>10169</v>
      </c>
      <c r="FO83" t="s">
        <v>37</v>
      </c>
      <c r="FP83">
        <v>21229</v>
      </c>
      <c r="FQ83" t="s">
        <v>37</v>
      </c>
      <c r="FR83">
        <v>30844</v>
      </c>
      <c r="FS83" t="s">
        <v>37</v>
      </c>
      <c r="FT83">
        <v>14155</v>
      </c>
      <c r="FU83" t="s">
        <v>37</v>
      </c>
      <c r="FV83">
        <v>11697</v>
      </c>
      <c r="FW83" t="s">
        <v>37</v>
      </c>
      <c r="FX83">
        <v>30813</v>
      </c>
      <c r="FY83" t="s">
        <v>37</v>
      </c>
      <c r="FZ83">
        <v>43448</v>
      </c>
      <c r="GA83" t="s">
        <v>37</v>
      </c>
      <c r="GB83">
        <v>35848</v>
      </c>
      <c r="GC83" t="s">
        <v>37</v>
      </c>
      <c r="GE83" t="s">
        <v>37</v>
      </c>
      <c r="GG83" t="s">
        <v>37</v>
      </c>
      <c r="GI83" t="s">
        <v>37</v>
      </c>
      <c r="GJ83">
        <v>40824</v>
      </c>
      <c r="GK83" t="s">
        <v>37</v>
      </c>
      <c r="GL83">
        <v>35691</v>
      </c>
      <c r="GM83" t="s">
        <v>37</v>
      </c>
      <c r="GO83" t="s">
        <v>37</v>
      </c>
      <c r="GP83">
        <v>21889</v>
      </c>
      <c r="GQ83" t="s">
        <v>37</v>
      </c>
      <c r="GR83">
        <v>10322</v>
      </c>
      <c r="GS83" t="s">
        <v>37</v>
      </c>
      <c r="GT83">
        <v>22264</v>
      </c>
      <c r="GU83" t="s">
        <v>37</v>
      </c>
      <c r="GV83">
        <v>24808</v>
      </c>
      <c r="GW83" t="s">
        <v>37</v>
      </c>
      <c r="GX83">
        <v>74494</v>
      </c>
      <c r="GY83" t="s">
        <v>37</v>
      </c>
      <c r="GZ83">
        <v>33167</v>
      </c>
      <c r="HA83" t="s">
        <v>37</v>
      </c>
      <c r="HC83" t="s">
        <v>37</v>
      </c>
      <c r="HE83" t="s">
        <v>37</v>
      </c>
      <c r="HF83">
        <v>2690850</v>
      </c>
      <c r="HG83" t="s">
        <v>37</v>
      </c>
      <c r="HI83" t="s">
        <v>37</v>
      </c>
      <c r="HJ83">
        <v>2690850</v>
      </c>
      <c r="HK83" t="s">
        <v>37</v>
      </c>
    </row>
    <row r="84" spans="1:219">
      <c r="A84">
        <v>3127</v>
      </c>
      <c r="B84" t="s">
        <v>112</v>
      </c>
      <c r="C84" t="s">
        <v>37</v>
      </c>
      <c r="E84" t="s">
        <v>37</v>
      </c>
      <c r="F84">
        <v>37422</v>
      </c>
      <c r="G84" t="s">
        <v>37</v>
      </c>
      <c r="I84" t="s">
        <v>37</v>
      </c>
      <c r="K84" s="48" t="s">
        <v>37</v>
      </c>
      <c r="L84" s="51">
        <v>37532</v>
      </c>
      <c r="M84" s="48" t="s">
        <v>37</v>
      </c>
      <c r="N84" s="51">
        <v>17687</v>
      </c>
      <c r="O84" s="48" t="s">
        <v>37</v>
      </c>
      <c r="P84" s="50"/>
      <c r="Q84" s="48" t="s">
        <v>37</v>
      </c>
      <c r="R84" s="51">
        <v>12851</v>
      </c>
      <c r="S84" s="48" t="s">
        <v>37</v>
      </c>
      <c r="T84">
        <v>35619</v>
      </c>
      <c r="U84" t="s">
        <v>37</v>
      </c>
      <c r="W84" t="s">
        <v>37</v>
      </c>
      <c r="Y84" t="s">
        <v>37</v>
      </c>
      <c r="Z84">
        <v>6814</v>
      </c>
      <c r="AA84" t="s">
        <v>37</v>
      </c>
      <c r="AC84" t="s">
        <v>37</v>
      </c>
      <c r="AD84">
        <v>3894</v>
      </c>
      <c r="AE84" t="s">
        <v>37</v>
      </c>
      <c r="AG84" t="s">
        <v>37</v>
      </c>
      <c r="AH84">
        <v>11792</v>
      </c>
      <c r="AI84" t="s">
        <v>37</v>
      </c>
      <c r="AK84" t="s">
        <v>37</v>
      </c>
      <c r="AL84">
        <v>8535</v>
      </c>
      <c r="AM84" t="s">
        <v>37</v>
      </c>
      <c r="AO84" t="s">
        <v>37</v>
      </c>
      <c r="AP84">
        <v>119566</v>
      </c>
      <c r="AQ84" t="s">
        <v>37</v>
      </c>
      <c r="AR84">
        <v>8125</v>
      </c>
      <c r="AS84" t="s">
        <v>37</v>
      </c>
      <c r="AT84">
        <v>190363</v>
      </c>
      <c r="AU84" t="s">
        <v>37</v>
      </c>
      <c r="AV84">
        <v>41018</v>
      </c>
      <c r="AW84" t="s">
        <v>37</v>
      </c>
      <c r="AX84">
        <v>26980</v>
      </c>
      <c r="AY84" t="s">
        <v>37</v>
      </c>
      <c r="AZ84">
        <v>35216</v>
      </c>
      <c r="BA84" t="s">
        <v>37</v>
      </c>
      <c r="BB84">
        <v>678</v>
      </c>
      <c r="BC84" t="s">
        <v>37</v>
      </c>
      <c r="BE84" t="s">
        <v>37</v>
      </c>
      <c r="BF84">
        <v>5565</v>
      </c>
      <c r="BG84" t="s">
        <v>37</v>
      </c>
      <c r="BI84" t="s">
        <v>37</v>
      </c>
      <c r="BK84" t="s">
        <v>37</v>
      </c>
      <c r="BL84">
        <v>5392</v>
      </c>
      <c r="BM84" t="s">
        <v>37</v>
      </c>
      <c r="BO84" t="s">
        <v>37</v>
      </c>
      <c r="BP84">
        <v>3391</v>
      </c>
      <c r="BQ84" t="s">
        <v>37</v>
      </c>
      <c r="BR84">
        <v>17320</v>
      </c>
      <c r="BS84" t="s">
        <v>37</v>
      </c>
      <c r="BT84">
        <v>7090</v>
      </c>
      <c r="BU84" t="s">
        <v>37</v>
      </c>
      <c r="BW84" t="s">
        <v>37</v>
      </c>
      <c r="BX84">
        <v>56314</v>
      </c>
      <c r="BY84" t="s">
        <v>37</v>
      </c>
      <c r="BZ84">
        <v>1324</v>
      </c>
      <c r="CA84" t="s">
        <v>37</v>
      </c>
      <c r="CC84" t="s">
        <v>37</v>
      </c>
      <c r="CD84">
        <v>18334</v>
      </c>
      <c r="CE84" t="s">
        <v>37</v>
      </c>
      <c r="CG84" t="s">
        <v>37</v>
      </c>
      <c r="CH84">
        <v>61327</v>
      </c>
      <c r="CI84" t="s">
        <v>37</v>
      </c>
      <c r="CJ84">
        <v>5285</v>
      </c>
      <c r="CK84" t="s">
        <v>37</v>
      </c>
      <c r="CM84" t="s">
        <v>37</v>
      </c>
      <c r="CN84">
        <v>245</v>
      </c>
      <c r="CO84" t="s">
        <v>37</v>
      </c>
      <c r="CP84">
        <v>6633</v>
      </c>
      <c r="CQ84" t="s">
        <v>37</v>
      </c>
      <c r="CR84">
        <v>44574</v>
      </c>
      <c r="CS84" t="s">
        <v>37</v>
      </c>
      <c r="CT84">
        <v>284016</v>
      </c>
      <c r="CU84" t="s">
        <v>37</v>
      </c>
      <c r="CV84">
        <v>42142</v>
      </c>
      <c r="CW84" t="s">
        <v>37</v>
      </c>
      <c r="CX84">
        <v>5215</v>
      </c>
      <c r="CY84" t="s">
        <v>37</v>
      </c>
      <c r="DA84" t="s">
        <v>37</v>
      </c>
      <c r="DC84" t="s">
        <v>37</v>
      </c>
      <c r="DD84">
        <v>12385</v>
      </c>
      <c r="DE84" t="s">
        <v>37</v>
      </c>
      <c r="DF84">
        <v>5939</v>
      </c>
      <c r="DG84" t="s">
        <v>37</v>
      </c>
      <c r="DH84">
        <v>861</v>
      </c>
      <c r="DI84" t="s">
        <v>37</v>
      </c>
      <c r="DJ84">
        <v>14439</v>
      </c>
      <c r="DK84" t="s">
        <v>37</v>
      </c>
      <c r="DL84">
        <v>45682</v>
      </c>
      <c r="DM84" t="s">
        <v>37</v>
      </c>
      <c r="DN84">
        <v>43560</v>
      </c>
      <c r="DO84" t="s">
        <v>37</v>
      </c>
      <c r="DP84">
        <v>13893</v>
      </c>
      <c r="DQ84" t="s">
        <v>37</v>
      </c>
      <c r="DR84">
        <v>13862</v>
      </c>
      <c r="DS84" t="s">
        <v>37</v>
      </c>
      <c r="DT84">
        <v>12204</v>
      </c>
      <c r="DU84" t="s">
        <v>37</v>
      </c>
      <c r="DV84">
        <v>28555</v>
      </c>
      <c r="DW84" t="s">
        <v>37</v>
      </c>
      <c r="DX84">
        <v>39521</v>
      </c>
      <c r="DY84" t="s">
        <v>37</v>
      </c>
      <c r="DZ84">
        <v>9552</v>
      </c>
      <c r="EA84" t="s">
        <v>37</v>
      </c>
      <c r="EB84">
        <v>15241</v>
      </c>
      <c r="EC84" t="s">
        <v>37</v>
      </c>
      <c r="ED84">
        <v>1231</v>
      </c>
      <c r="EE84" t="s">
        <v>37</v>
      </c>
      <c r="EF84">
        <v>2520</v>
      </c>
      <c r="EG84" t="s">
        <v>37</v>
      </c>
      <c r="EI84" t="s">
        <v>37</v>
      </c>
      <c r="EJ84">
        <v>13536</v>
      </c>
      <c r="EK84" t="s">
        <v>37</v>
      </c>
      <c r="EL84">
        <v>9164</v>
      </c>
      <c r="EM84" t="s">
        <v>37</v>
      </c>
      <c r="EN84">
        <v>3660</v>
      </c>
      <c r="EO84" t="s">
        <v>37</v>
      </c>
      <c r="EQ84" t="s">
        <v>37</v>
      </c>
      <c r="ER84">
        <v>22143</v>
      </c>
      <c r="ES84" t="s">
        <v>37</v>
      </c>
      <c r="ET84">
        <v>26663</v>
      </c>
      <c r="EU84" t="s">
        <v>37</v>
      </c>
      <c r="EV84">
        <v>47210</v>
      </c>
      <c r="EW84" t="s">
        <v>37</v>
      </c>
      <c r="EY84" t="s">
        <v>37</v>
      </c>
      <c r="EZ84">
        <v>14188</v>
      </c>
      <c r="FA84" t="s">
        <v>37</v>
      </c>
      <c r="FB84">
        <v>18418</v>
      </c>
      <c r="FC84" t="s">
        <v>37</v>
      </c>
      <c r="FD84">
        <v>31681</v>
      </c>
      <c r="FE84" t="s">
        <v>37</v>
      </c>
      <c r="FG84" t="s">
        <v>37</v>
      </c>
      <c r="FH84">
        <v>74139</v>
      </c>
      <c r="FI84" t="s">
        <v>37</v>
      </c>
      <c r="FJ84">
        <v>62100</v>
      </c>
      <c r="FK84" t="s">
        <v>37</v>
      </c>
      <c r="FL84">
        <v>29620</v>
      </c>
      <c r="FM84" t="s">
        <v>37</v>
      </c>
      <c r="FN84">
        <v>10121</v>
      </c>
      <c r="FO84" t="s">
        <v>37</v>
      </c>
      <c r="FP84">
        <v>21045</v>
      </c>
      <c r="FQ84" t="s">
        <v>37</v>
      </c>
      <c r="FR84">
        <v>9338</v>
      </c>
      <c r="FS84" t="s">
        <v>37</v>
      </c>
      <c r="FT84">
        <v>13663</v>
      </c>
      <c r="FU84" t="s">
        <v>37</v>
      </c>
      <c r="FV84">
        <v>13436</v>
      </c>
      <c r="FW84" t="s">
        <v>37</v>
      </c>
      <c r="FX84">
        <v>29152</v>
      </c>
      <c r="FY84" t="s">
        <v>37</v>
      </c>
      <c r="FZ84">
        <v>41537</v>
      </c>
      <c r="GA84" t="s">
        <v>37</v>
      </c>
      <c r="GB84">
        <v>33881</v>
      </c>
      <c r="GC84" t="s">
        <v>37</v>
      </c>
      <c r="GE84" t="s">
        <v>37</v>
      </c>
      <c r="GG84" t="s">
        <v>37</v>
      </c>
      <c r="GI84" t="s">
        <v>37</v>
      </c>
      <c r="GJ84">
        <v>36711</v>
      </c>
      <c r="GK84" t="s">
        <v>37</v>
      </c>
      <c r="GL84">
        <v>32253</v>
      </c>
      <c r="GM84" t="s">
        <v>37</v>
      </c>
      <c r="GO84" t="s">
        <v>37</v>
      </c>
      <c r="GP84">
        <v>22145</v>
      </c>
      <c r="GQ84" t="s">
        <v>37</v>
      </c>
      <c r="GR84">
        <v>22427</v>
      </c>
      <c r="GS84" t="s">
        <v>37</v>
      </c>
      <c r="GT84">
        <v>22740</v>
      </c>
      <c r="GU84" t="s">
        <v>37</v>
      </c>
      <c r="GV84">
        <v>22555</v>
      </c>
      <c r="GW84" t="s">
        <v>37</v>
      </c>
      <c r="GX84">
        <v>69844</v>
      </c>
      <c r="GY84" t="s">
        <v>37</v>
      </c>
      <c r="GZ84">
        <v>29823</v>
      </c>
      <c r="HA84" t="s">
        <v>37</v>
      </c>
      <c r="HC84" t="s">
        <v>37</v>
      </c>
      <c r="HE84" t="s">
        <v>37</v>
      </c>
      <c r="HF84">
        <v>2200897</v>
      </c>
      <c r="HG84" t="s">
        <v>37</v>
      </c>
      <c r="HI84" t="s">
        <v>37</v>
      </c>
      <c r="HJ84">
        <v>2200897</v>
      </c>
      <c r="HK84" t="s">
        <v>37</v>
      </c>
    </row>
    <row r="85" spans="1:219">
      <c r="A85">
        <v>3128</v>
      </c>
      <c r="B85" t="s">
        <v>104</v>
      </c>
      <c r="C85" t="s">
        <v>37</v>
      </c>
      <c r="D85">
        <v>7201</v>
      </c>
      <c r="E85" t="s">
        <v>37</v>
      </c>
      <c r="G85" t="s">
        <v>37</v>
      </c>
      <c r="I85" t="s">
        <v>37</v>
      </c>
      <c r="K85" s="48" t="s">
        <v>37</v>
      </c>
      <c r="L85" s="51">
        <v>3233</v>
      </c>
      <c r="M85" s="48" t="s">
        <v>37</v>
      </c>
      <c r="N85" s="50"/>
      <c r="O85" s="48" t="s">
        <v>37</v>
      </c>
      <c r="P85" s="50"/>
      <c r="Q85" s="48" t="s">
        <v>37</v>
      </c>
      <c r="R85" s="50"/>
      <c r="S85" s="48" t="s">
        <v>37</v>
      </c>
      <c r="U85" t="s">
        <v>37</v>
      </c>
      <c r="W85" t="s">
        <v>37</v>
      </c>
      <c r="Y85" t="s">
        <v>37</v>
      </c>
      <c r="AA85" t="s">
        <v>37</v>
      </c>
      <c r="AC85" t="s">
        <v>37</v>
      </c>
      <c r="AE85" t="s">
        <v>37</v>
      </c>
      <c r="AG85" t="s">
        <v>37</v>
      </c>
      <c r="AI85" t="s">
        <v>37</v>
      </c>
      <c r="AK85" t="s">
        <v>37</v>
      </c>
      <c r="AM85" t="s">
        <v>37</v>
      </c>
      <c r="AO85" t="s">
        <v>37</v>
      </c>
      <c r="AP85">
        <v>109208</v>
      </c>
      <c r="AQ85" t="s">
        <v>37</v>
      </c>
      <c r="AR85">
        <v>2900</v>
      </c>
      <c r="AS85" t="s">
        <v>37</v>
      </c>
      <c r="AT85">
        <v>49346</v>
      </c>
      <c r="AU85" t="s">
        <v>37</v>
      </c>
      <c r="AW85" t="s">
        <v>37</v>
      </c>
      <c r="AX85">
        <v>7109</v>
      </c>
      <c r="AY85" t="s">
        <v>37</v>
      </c>
      <c r="BA85" t="s">
        <v>37</v>
      </c>
      <c r="BB85">
        <v>12000</v>
      </c>
      <c r="BC85" t="s">
        <v>37</v>
      </c>
      <c r="BE85" t="s">
        <v>37</v>
      </c>
      <c r="BG85" t="s">
        <v>37</v>
      </c>
      <c r="BI85" t="s">
        <v>37</v>
      </c>
      <c r="BK85" t="s">
        <v>37</v>
      </c>
      <c r="BM85" t="s">
        <v>37</v>
      </c>
      <c r="BO85" t="s">
        <v>37</v>
      </c>
      <c r="BQ85" t="s">
        <v>37</v>
      </c>
      <c r="BS85" t="s">
        <v>37</v>
      </c>
      <c r="BU85" t="s">
        <v>37</v>
      </c>
      <c r="BW85" t="s">
        <v>37</v>
      </c>
      <c r="BY85" t="s">
        <v>37</v>
      </c>
      <c r="CA85" t="s">
        <v>37</v>
      </c>
      <c r="CC85" t="s">
        <v>37</v>
      </c>
      <c r="CE85" t="s">
        <v>37</v>
      </c>
      <c r="CG85" t="s">
        <v>37</v>
      </c>
      <c r="CH85">
        <v>29843</v>
      </c>
      <c r="CI85" t="s">
        <v>37</v>
      </c>
      <c r="CK85" t="s">
        <v>37</v>
      </c>
      <c r="CM85" t="s">
        <v>37</v>
      </c>
      <c r="CO85" t="s">
        <v>37</v>
      </c>
      <c r="CQ85" t="s">
        <v>37</v>
      </c>
      <c r="CS85" t="s">
        <v>37</v>
      </c>
      <c r="CT85">
        <v>7000</v>
      </c>
      <c r="CU85" t="s">
        <v>37</v>
      </c>
      <c r="CW85" t="s">
        <v>37</v>
      </c>
      <c r="CY85" t="s">
        <v>37</v>
      </c>
      <c r="DA85" t="s">
        <v>37</v>
      </c>
      <c r="DC85" t="s">
        <v>37</v>
      </c>
      <c r="DE85" t="s">
        <v>37</v>
      </c>
      <c r="DG85" t="s">
        <v>37</v>
      </c>
      <c r="DH85">
        <v>4512</v>
      </c>
      <c r="DI85" t="s">
        <v>37</v>
      </c>
      <c r="DK85" t="s">
        <v>37</v>
      </c>
      <c r="DM85" t="s">
        <v>37</v>
      </c>
      <c r="DN85">
        <v>7827</v>
      </c>
      <c r="DO85" t="s">
        <v>37</v>
      </c>
      <c r="DQ85" t="s">
        <v>37</v>
      </c>
      <c r="DR85">
        <v>887</v>
      </c>
      <c r="DS85" t="s">
        <v>37</v>
      </c>
      <c r="DU85" t="s">
        <v>37</v>
      </c>
      <c r="DV85">
        <v>22396</v>
      </c>
      <c r="DW85" t="s">
        <v>37</v>
      </c>
      <c r="DY85" t="s">
        <v>37</v>
      </c>
      <c r="EA85" t="s">
        <v>37</v>
      </c>
      <c r="EC85" t="s">
        <v>37</v>
      </c>
      <c r="EE85" t="s">
        <v>37</v>
      </c>
      <c r="EG85" t="s">
        <v>37</v>
      </c>
      <c r="EI85" t="s">
        <v>37</v>
      </c>
      <c r="EK85" t="s">
        <v>37</v>
      </c>
      <c r="EM85" t="s">
        <v>37</v>
      </c>
      <c r="EO85" t="s">
        <v>37</v>
      </c>
      <c r="EQ85" t="s">
        <v>37</v>
      </c>
      <c r="ES85" t="s">
        <v>37</v>
      </c>
      <c r="ET85">
        <v>7938</v>
      </c>
      <c r="EU85" t="s">
        <v>37</v>
      </c>
      <c r="EV85">
        <v>34909</v>
      </c>
      <c r="EW85" t="s">
        <v>37</v>
      </c>
      <c r="EY85" t="s">
        <v>37</v>
      </c>
      <c r="EZ85">
        <v>10214</v>
      </c>
      <c r="FA85" t="s">
        <v>37</v>
      </c>
      <c r="FC85" t="s">
        <v>37</v>
      </c>
      <c r="FE85" t="s">
        <v>37</v>
      </c>
      <c r="FG85" t="s">
        <v>37</v>
      </c>
      <c r="FH85">
        <v>2390</v>
      </c>
      <c r="FI85" t="s">
        <v>37</v>
      </c>
      <c r="FJ85">
        <v>21201</v>
      </c>
      <c r="FK85" t="s">
        <v>37</v>
      </c>
      <c r="FM85" t="s">
        <v>37</v>
      </c>
      <c r="FO85" t="s">
        <v>37</v>
      </c>
      <c r="FQ85" t="s">
        <v>37</v>
      </c>
      <c r="FS85" t="s">
        <v>37</v>
      </c>
      <c r="FT85">
        <v>15800</v>
      </c>
      <c r="FU85" t="s">
        <v>37</v>
      </c>
      <c r="FW85" t="s">
        <v>37</v>
      </c>
      <c r="FY85" t="s">
        <v>37</v>
      </c>
      <c r="GA85" t="s">
        <v>37</v>
      </c>
      <c r="GC85" t="s">
        <v>37</v>
      </c>
      <c r="GE85" t="s">
        <v>37</v>
      </c>
      <c r="GG85" t="s">
        <v>37</v>
      </c>
      <c r="GI85" t="s">
        <v>37</v>
      </c>
      <c r="GK85" t="s">
        <v>37</v>
      </c>
      <c r="GL85">
        <v>14789</v>
      </c>
      <c r="GM85" t="s">
        <v>37</v>
      </c>
      <c r="GO85" t="s">
        <v>37</v>
      </c>
      <c r="GQ85" t="s">
        <v>37</v>
      </c>
      <c r="GR85">
        <v>26208</v>
      </c>
      <c r="GS85" t="s">
        <v>37</v>
      </c>
      <c r="GT85">
        <v>1798</v>
      </c>
      <c r="GU85" t="s">
        <v>37</v>
      </c>
      <c r="GV85">
        <v>3087</v>
      </c>
      <c r="GW85" t="s">
        <v>37</v>
      </c>
      <c r="GX85">
        <v>6099</v>
      </c>
      <c r="GY85" t="s">
        <v>37</v>
      </c>
      <c r="GZ85">
        <v>27800</v>
      </c>
      <c r="HA85" t="s">
        <v>37</v>
      </c>
      <c r="HC85" t="s">
        <v>37</v>
      </c>
      <c r="HE85" t="s">
        <v>37</v>
      </c>
      <c r="HF85">
        <v>435695</v>
      </c>
      <c r="HG85" t="s">
        <v>37</v>
      </c>
      <c r="HI85" t="s">
        <v>37</v>
      </c>
      <c r="HJ85">
        <v>435695</v>
      </c>
      <c r="HK85" t="s">
        <v>37</v>
      </c>
    </row>
    <row r="86" spans="1:219">
      <c r="A86">
        <v>3129</v>
      </c>
      <c r="B86" t="s">
        <v>113</v>
      </c>
      <c r="C86" t="s">
        <v>37</v>
      </c>
      <c r="E86" t="s">
        <v>37</v>
      </c>
      <c r="G86" t="s">
        <v>37</v>
      </c>
      <c r="I86" t="s">
        <v>37</v>
      </c>
      <c r="K86" s="48" t="s">
        <v>37</v>
      </c>
      <c r="L86" s="50"/>
      <c r="M86" s="48" t="s">
        <v>37</v>
      </c>
      <c r="N86" s="50"/>
      <c r="O86" s="48" t="s">
        <v>37</v>
      </c>
      <c r="P86" s="50"/>
      <c r="Q86" s="48" t="s">
        <v>37</v>
      </c>
      <c r="R86" s="50"/>
      <c r="S86" s="48" t="s">
        <v>37</v>
      </c>
      <c r="U86" t="s">
        <v>37</v>
      </c>
      <c r="W86" t="s">
        <v>37</v>
      </c>
      <c r="Y86" t="s">
        <v>37</v>
      </c>
      <c r="AA86" t="s">
        <v>37</v>
      </c>
      <c r="AC86" t="s">
        <v>37</v>
      </c>
      <c r="AE86" t="s">
        <v>37</v>
      </c>
      <c r="AG86" t="s">
        <v>37</v>
      </c>
      <c r="AI86" t="s">
        <v>37</v>
      </c>
      <c r="AK86" t="s">
        <v>37</v>
      </c>
      <c r="AM86" t="s">
        <v>37</v>
      </c>
      <c r="AO86" t="s">
        <v>37</v>
      </c>
      <c r="AQ86" t="s">
        <v>37</v>
      </c>
      <c r="AS86" t="s">
        <v>37</v>
      </c>
      <c r="AU86" t="s">
        <v>37</v>
      </c>
      <c r="AW86" t="s">
        <v>37</v>
      </c>
      <c r="AY86" t="s">
        <v>37</v>
      </c>
      <c r="BA86" t="s">
        <v>37</v>
      </c>
      <c r="BC86" t="s">
        <v>37</v>
      </c>
      <c r="BE86" t="s">
        <v>37</v>
      </c>
      <c r="BG86" t="s">
        <v>37</v>
      </c>
      <c r="BI86" t="s">
        <v>37</v>
      </c>
      <c r="BK86" t="s">
        <v>37</v>
      </c>
      <c r="BM86" t="s">
        <v>37</v>
      </c>
      <c r="BO86" t="s">
        <v>37</v>
      </c>
      <c r="BQ86" t="s">
        <v>37</v>
      </c>
      <c r="BS86" t="s">
        <v>37</v>
      </c>
      <c r="BU86" t="s">
        <v>37</v>
      </c>
      <c r="BW86" t="s">
        <v>37</v>
      </c>
      <c r="BY86" t="s">
        <v>37</v>
      </c>
      <c r="CA86" t="s">
        <v>37</v>
      </c>
      <c r="CC86" t="s">
        <v>37</v>
      </c>
      <c r="CE86" t="s">
        <v>37</v>
      </c>
      <c r="CG86" t="s">
        <v>37</v>
      </c>
      <c r="CI86" t="s">
        <v>37</v>
      </c>
      <c r="CK86" t="s">
        <v>37</v>
      </c>
      <c r="CM86" t="s">
        <v>37</v>
      </c>
      <c r="CO86" t="s">
        <v>37</v>
      </c>
      <c r="CQ86" t="s">
        <v>37</v>
      </c>
      <c r="CS86" t="s">
        <v>37</v>
      </c>
      <c r="CU86" t="s">
        <v>37</v>
      </c>
      <c r="CW86" t="s">
        <v>37</v>
      </c>
      <c r="CY86" t="s">
        <v>37</v>
      </c>
      <c r="DA86" t="s">
        <v>37</v>
      </c>
      <c r="DC86" t="s">
        <v>37</v>
      </c>
      <c r="DE86" t="s">
        <v>37</v>
      </c>
      <c r="DG86" t="s">
        <v>37</v>
      </c>
      <c r="DI86" t="s">
        <v>37</v>
      </c>
      <c r="DK86" t="s">
        <v>37</v>
      </c>
      <c r="DM86" t="s">
        <v>37</v>
      </c>
      <c r="DO86" t="s">
        <v>37</v>
      </c>
      <c r="DQ86" t="s">
        <v>37</v>
      </c>
      <c r="DS86" t="s">
        <v>37</v>
      </c>
      <c r="DU86" t="s">
        <v>37</v>
      </c>
      <c r="DW86" t="s">
        <v>37</v>
      </c>
      <c r="DY86" t="s">
        <v>37</v>
      </c>
      <c r="EA86" t="s">
        <v>37</v>
      </c>
      <c r="EC86" t="s">
        <v>37</v>
      </c>
      <c r="EE86" t="s">
        <v>37</v>
      </c>
      <c r="EG86" t="s">
        <v>37</v>
      </c>
      <c r="EI86" t="s">
        <v>37</v>
      </c>
      <c r="EK86" t="s">
        <v>37</v>
      </c>
      <c r="EM86" t="s">
        <v>37</v>
      </c>
      <c r="EO86" t="s">
        <v>37</v>
      </c>
      <c r="EQ86" t="s">
        <v>37</v>
      </c>
      <c r="ES86" t="s">
        <v>37</v>
      </c>
      <c r="EU86" t="s">
        <v>37</v>
      </c>
      <c r="EW86" t="s">
        <v>37</v>
      </c>
      <c r="EY86" t="s">
        <v>37</v>
      </c>
      <c r="FA86" t="s">
        <v>37</v>
      </c>
      <c r="FC86" t="s">
        <v>37</v>
      </c>
      <c r="FE86" t="s">
        <v>37</v>
      </c>
      <c r="FG86" t="s">
        <v>37</v>
      </c>
      <c r="FI86" t="s">
        <v>37</v>
      </c>
      <c r="FK86" t="s">
        <v>37</v>
      </c>
      <c r="FM86" t="s">
        <v>37</v>
      </c>
      <c r="FO86" t="s">
        <v>37</v>
      </c>
      <c r="FQ86" t="s">
        <v>37</v>
      </c>
      <c r="FS86" t="s">
        <v>37</v>
      </c>
      <c r="FU86" t="s">
        <v>37</v>
      </c>
      <c r="FW86" t="s">
        <v>37</v>
      </c>
      <c r="FY86" t="s">
        <v>37</v>
      </c>
      <c r="GA86" t="s">
        <v>37</v>
      </c>
      <c r="GC86" t="s">
        <v>37</v>
      </c>
      <c r="GE86" t="s">
        <v>37</v>
      </c>
      <c r="GG86" t="s">
        <v>37</v>
      </c>
      <c r="GI86" t="s">
        <v>37</v>
      </c>
      <c r="GK86" t="s">
        <v>37</v>
      </c>
      <c r="GM86" t="s">
        <v>37</v>
      </c>
      <c r="GO86" t="s">
        <v>37</v>
      </c>
      <c r="GQ86" t="s">
        <v>37</v>
      </c>
      <c r="GS86" t="s">
        <v>37</v>
      </c>
      <c r="GU86" t="s">
        <v>37</v>
      </c>
      <c r="GW86" t="s">
        <v>37</v>
      </c>
      <c r="GY86" t="s">
        <v>37</v>
      </c>
      <c r="HA86" t="s">
        <v>37</v>
      </c>
      <c r="HC86" t="s">
        <v>37</v>
      </c>
      <c r="HE86" t="s">
        <v>37</v>
      </c>
      <c r="HG86" t="s">
        <v>37</v>
      </c>
      <c r="HI86" t="s">
        <v>37</v>
      </c>
      <c r="HK86" t="s">
        <v>37</v>
      </c>
    </row>
    <row r="87" spans="1:219">
      <c r="A87">
        <v>3130</v>
      </c>
      <c r="B87" t="s">
        <v>114</v>
      </c>
      <c r="C87" t="s">
        <v>37</v>
      </c>
      <c r="E87" t="s">
        <v>37</v>
      </c>
      <c r="G87" t="s">
        <v>37</v>
      </c>
      <c r="I87" t="s">
        <v>37</v>
      </c>
      <c r="K87" s="48" t="s">
        <v>37</v>
      </c>
      <c r="L87" s="50"/>
      <c r="M87" s="48" t="s">
        <v>37</v>
      </c>
      <c r="N87" s="50"/>
      <c r="O87" s="48" t="s">
        <v>37</v>
      </c>
      <c r="P87" s="50"/>
      <c r="Q87" s="48" t="s">
        <v>37</v>
      </c>
      <c r="R87" s="50"/>
      <c r="S87" s="48" t="s">
        <v>37</v>
      </c>
      <c r="U87" t="s">
        <v>37</v>
      </c>
      <c r="W87" t="s">
        <v>37</v>
      </c>
      <c r="Y87" t="s">
        <v>37</v>
      </c>
      <c r="AA87" t="s">
        <v>37</v>
      </c>
      <c r="AC87" t="s">
        <v>37</v>
      </c>
      <c r="AE87" t="s">
        <v>37</v>
      </c>
      <c r="AG87" t="s">
        <v>37</v>
      </c>
      <c r="AI87" t="s">
        <v>37</v>
      </c>
      <c r="AK87" t="s">
        <v>37</v>
      </c>
      <c r="AM87" t="s">
        <v>37</v>
      </c>
      <c r="AO87" t="s">
        <v>37</v>
      </c>
      <c r="AQ87" t="s">
        <v>37</v>
      </c>
      <c r="AS87" t="s">
        <v>37</v>
      </c>
      <c r="AU87" t="s">
        <v>37</v>
      </c>
      <c r="AW87" t="s">
        <v>37</v>
      </c>
      <c r="AY87" t="s">
        <v>37</v>
      </c>
      <c r="BA87" t="s">
        <v>37</v>
      </c>
      <c r="BC87" t="s">
        <v>37</v>
      </c>
      <c r="BE87" t="s">
        <v>37</v>
      </c>
      <c r="BG87" t="s">
        <v>37</v>
      </c>
      <c r="BI87" t="s">
        <v>37</v>
      </c>
      <c r="BK87" t="s">
        <v>37</v>
      </c>
      <c r="BM87" t="s">
        <v>37</v>
      </c>
      <c r="BO87" t="s">
        <v>37</v>
      </c>
      <c r="BQ87" t="s">
        <v>37</v>
      </c>
      <c r="BS87" t="s">
        <v>37</v>
      </c>
      <c r="BU87" t="s">
        <v>37</v>
      </c>
      <c r="BW87" t="s">
        <v>37</v>
      </c>
      <c r="BY87" t="s">
        <v>37</v>
      </c>
      <c r="CA87" t="s">
        <v>37</v>
      </c>
      <c r="CC87" t="s">
        <v>37</v>
      </c>
      <c r="CE87" t="s">
        <v>37</v>
      </c>
      <c r="CG87" t="s">
        <v>37</v>
      </c>
      <c r="CI87" t="s">
        <v>37</v>
      </c>
      <c r="CK87" t="s">
        <v>37</v>
      </c>
      <c r="CM87" t="s">
        <v>37</v>
      </c>
      <c r="CO87" t="s">
        <v>37</v>
      </c>
      <c r="CQ87" t="s">
        <v>37</v>
      </c>
      <c r="CS87" t="s">
        <v>37</v>
      </c>
      <c r="CU87" t="s">
        <v>37</v>
      </c>
      <c r="CW87" t="s">
        <v>37</v>
      </c>
      <c r="CY87" t="s">
        <v>37</v>
      </c>
      <c r="DA87" t="s">
        <v>37</v>
      </c>
      <c r="DC87" t="s">
        <v>37</v>
      </c>
      <c r="DE87" t="s">
        <v>37</v>
      </c>
      <c r="DG87" t="s">
        <v>37</v>
      </c>
      <c r="DI87" t="s">
        <v>37</v>
      </c>
      <c r="DK87" t="s">
        <v>37</v>
      </c>
      <c r="DM87" t="s">
        <v>37</v>
      </c>
      <c r="DO87" t="s">
        <v>37</v>
      </c>
      <c r="DQ87" t="s">
        <v>37</v>
      </c>
      <c r="DS87" t="s">
        <v>37</v>
      </c>
      <c r="DU87" t="s">
        <v>37</v>
      </c>
      <c r="DW87" t="s">
        <v>37</v>
      </c>
      <c r="DY87" t="s">
        <v>37</v>
      </c>
      <c r="EA87" t="s">
        <v>37</v>
      </c>
      <c r="EC87" t="s">
        <v>37</v>
      </c>
      <c r="EE87" t="s">
        <v>37</v>
      </c>
      <c r="EG87" t="s">
        <v>37</v>
      </c>
      <c r="EI87" t="s">
        <v>37</v>
      </c>
      <c r="EK87" t="s">
        <v>37</v>
      </c>
      <c r="EM87" t="s">
        <v>37</v>
      </c>
      <c r="EO87" t="s">
        <v>37</v>
      </c>
      <c r="EQ87" t="s">
        <v>37</v>
      </c>
      <c r="ES87" t="s">
        <v>37</v>
      </c>
      <c r="EU87" t="s">
        <v>37</v>
      </c>
      <c r="EW87" t="s">
        <v>37</v>
      </c>
      <c r="EY87" t="s">
        <v>37</v>
      </c>
      <c r="FA87" t="s">
        <v>37</v>
      </c>
      <c r="FC87" t="s">
        <v>37</v>
      </c>
      <c r="FE87" t="s">
        <v>37</v>
      </c>
      <c r="FG87" t="s">
        <v>37</v>
      </c>
      <c r="FI87" t="s">
        <v>37</v>
      </c>
      <c r="FK87" t="s">
        <v>37</v>
      </c>
      <c r="FM87" t="s">
        <v>37</v>
      </c>
      <c r="FO87" t="s">
        <v>37</v>
      </c>
      <c r="FQ87" t="s">
        <v>37</v>
      </c>
      <c r="FS87" t="s">
        <v>37</v>
      </c>
      <c r="FU87" t="s">
        <v>37</v>
      </c>
      <c r="FW87" t="s">
        <v>37</v>
      </c>
      <c r="FY87" t="s">
        <v>37</v>
      </c>
      <c r="GA87" t="s">
        <v>37</v>
      </c>
      <c r="GC87" t="s">
        <v>37</v>
      </c>
      <c r="GE87" t="s">
        <v>37</v>
      </c>
      <c r="GG87" t="s">
        <v>37</v>
      </c>
      <c r="GI87" t="s">
        <v>37</v>
      </c>
      <c r="GK87" t="s">
        <v>37</v>
      </c>
      <c r="GM87" t="s">
        <v>37</v>
      </c>
      <c r="GO87" t="s">
        <v>37</v>
      </c>
      <c r="GQ87" t="s">
        <v>37</v>
      </c>
      <c r="GS87" t="s">
        <v>37</v>
      </c>
      <c r="GU87" t="s">
        <v>37</v>
      </c>
      <c r="GW87" t="s">
        <v>37</v>
      </c>
      <c r="GY87" t="s">
        <v>37</v>
      </c>
      <c r="HA87" t="s">
        <v>37</v>
      </c>
      <c r="HC87" t="s">
        <v>37</v>
      </c>
      <c r="HE87" t="s">
        <v>37</v>
      </c>
      <c r="HG87" t="s">
        <v>37</v>
      </c>
      <c r="HI87" t="s">
        <v>37</v>
      </c>
      <c r="HK87" t="s">
        <v>37</v>
      </c>
    </row>
    <row r="88" spans="1:219">
      <c r="A88">
        <v>3131</v>
      </c>
      <c r="B88" t="s">
        <v>115</v>
      </c>
      <c r="C88" t="s">
        <v>37</v>
      </c>
      <c r="D88">
        <v>764</v>
      </c>
      <c r="E88" t="s">
        <v>37</v>
      </c>
      <c r="F88">
        <v>9534</v>
      </c>
      <c r="G88" t="s">
        <v>37</v>
      </c>
      <c r="H88">
        <v>764</v>
      </c>
      <c r="I88" t="s">
        <v>37</v>
      </c>
      <c r="K88" s="48" t="s">
        <v>37</v>
      </c>
      <c r="L88" s="50">
        <v>859</v>
      </c>
      <c r="M88" s="48" t="s">
        <v>37</v>
      </c>
      <c r="N88" s="51">
        <v>5980</v>
      </c>
      <c r="O88" s="48" t="s">
        <v>37</v>
      </c>
      <c r="P88" s="50">
        <v>859</v>
      </c>
      <c r="Q88" s="48" t="s">
        <v>37</v>
      </c>
      <c r="R88" s="50">
        <v>859</v>
      </c>
      <c r="S88" s="48" t="s">
        <v>37</v>
      </c>
      <c r="T88">
        <v>5183</v>
      </c>
      <c r="U88" t="s">
        <v>37</v>
      </c>
      <c r="W88" t="s">
        <v>37</v>
      </c>
      <c r="Y88" t="s">
        <v>37</v>
      </c>
      <c r="Z88">
        <v>764</v>
      </c>
      <c r="AA88" t="s">
        <v>37</v>
      </c>
      <c r="AB88">
        <v>764</v>
      </c>
      <c r="AC88" t="s">
        <v>37</v>
      </c>
      <c r="AD88">
        <v>4146</v>
      </c>
      <c r="AE88" t="s">
        <v>37</v>
      </c>
      <c r="AF88">
        <v>764</v>
      </c>
      <c r="AG88" t="s">
        <v>37</v>
      </c>
      <c r="AH88">
        <v>764</v>
      </c>
      <c r="AI88" t="s">
        <v>37</v>
      </c>
      <c r="AK88" t="s">
        <v>37</v>
      </c>
      <c r="AL88">
        <v>3437</v>
      </c>
      <c r="AM88" t="s">
        <v>37</v>
      </c>
      <c r="AO88" t="s">
        <v>37</v>
      </c>
      <c r="AP88">
        <v>10378</v>
      </c>
      <c r="AQ88" t="s">
        <v>37</v>
      </c>
      <c r="AR88">
        <v>21019</v>
      </c>
      <c r="AS88" t="s">
        <v>37</v>
      </c>
      <c r="AT88">
        <v>22083</v>
      </c>
      <c r="AU88" t="s">
        <v>37</v>
      </c>
      <c r="AV88">
        <v>1719</v>
      </c>
      <c r="AW88" t="s">
        <v>37</v>
      </c>
      <c r="AX88">
        <v>18326</v>
      </c>
      <c r="AY88" t="s">
        <v>37</v>
      </c>
      <c r="AZ88">
        <v>15108</v>
      </c>
      <c r="BA88" t="s">
        <v>37</v>
      </c>
      <c r="BB88">
        <v>764</v>
      </c>
      <c r="BC88" t="s">
        <v>37</v>
      </c>
      <c r="BD88">
        <v>764</v>
      </c>
      <c r="BE88" t="s">
        <v>37</v>
      </c>
      <c r="BF88">
        <v>764</v>
      </c>
      <c r="BG88" t="s">
        <v>37</v>
      </c>
      <c r="BI88" t="s">
        <v>37</v>
      </c>
      <c r="BJ88">
        <v>1719</v>
      </c>
      <c r="BK88" t="s">
        <v>37</v>
      </c>
      <c r="BL88">
        <v>4496</v>
      </c>
      <c r="BM88" t="s">
        <v>37</v>
      </c>
      <c r="BO88" t="s">
        <v>37</v>
      </c>
      <c r="BP88">
        <v>764</v>
      </c>
      <c r="BQ88" t="s">
        <v>37</v>
      </c>
      <c r="BR88">
        <v>4847</v>
      </c>
      <c r="BS88" t="s">
        <v>37</v>
      </c>
      <c r="BT88">
        <v>764</v>
      </c>
      <c r="BU88" t="s">
        <v>37</v>
      </c>
      <c r="BW88" t="s">
        <v>37</v>
      </c>
      <c r="BX88">
        <v>12606</v>
      </c>
      <c r="BY88" t="s">
        <v>37</v>
      </c>
      <c r="BZ88">
        <v>7633</v>
      </c>
      <c r="CA88" t="s">
        <v>37</v>
      </c>
      <c r="CC88" t="s">
        <v>37</v>
      </c>
      <c r="CD88">
        <v>764</v>
      </c>
      <c r="CE88" t="s">
        <v>37</v>
      </c>
      <c r="CF88">
        <v>5525</v>
      </c>
      <c r="CG88" t="s">
        <v>37</v>
      </c>
      <c r="CH88">
        <v>4498</v>
      </c>
      <c r="CI88" t="s">
        <v>37</v>
      </c>
      <c r="CJ88">
        <v>764</v>
      </c>
      <c r="CK88" t="s">
        <v>37</v>
      </c>
      <c r="CL88">
        <v>3099</v>
      </c>
      <c r="CM88" t="s">
        <v>37</v>
      </c>
      <c r="CN88">
        <v>764</v>
      </c>
      <c r="CO88" t="s">
        <v>37</v>
      </c>
      <c r="CP88">
        <v>764</v>
      </c>
      <c r="CQ88" t="s">
        <v>37</v>
      </c>
      <c r="CR88">
        <v>3899</v>
      </c>
      <c r="CS88" t="s">
        <v>37</v>
      </c>
      <c r="CT88">
        <v>160603</v>
      </c>
      <c r="CU88" t="s">
        <v>37</v>
      </c>
      <c r="CV88">
        <v>3280</v>
      </c>
      <c r="CW88" t="s">
        <v>37</v>
      </c>
      <c r="CX88">
        <v>5274</v>
      </c>
      <c r="CY88" t="s">
        <v>37</v>
      </c>
      <c r="CZ88">
        <v>764</v>
      </c>
      <c r="DA88" t="s">
        <v>37</v>
      </c>
      <c r="DC88" t="s">
        <v>37</v>
      </c>
      <c r="DD88">
        <v>5249</v>
      </c>
      <c r="DE88" t="s">
        <v>37</v>
      </c>
      <c r="DF88">
        <v>5070</v>
      </c>
      <c r="DG88" t="s">
        <v>37</v>
      </c>
      <c r="DH88">
        <v>10232</v>
      </c>
      <c r="DI88" t="s">
        <v>37</v>
      </c>
      <c r="DJ88">
        <v>3970</v>
      </c>
      <c r="DK88" t="s">
        <v>37</v>
      </c>
      <c r="DL88">
        <v>15496</v>
      </c>
      <c r="DM88" t="s">
        <v>37</v>
      </c>
      <c r="DN88">
        <v>11339</v>
      </c>
      <c r="DO88" t="s">
        <v>37</v>
      </c>
      <c r="DP88">
        <v>29362</v>
      </c>
      <c r="DQ88" t="s">
        <v>37</v>
      </c>
      <c r="DR88">
        <v>764</v>
      </c>
      <c r="DS88" t="s">
        <v>37</v>
      </c>
      <c r="DT88">
        <v>859</v>
      </c>
      <c r="DU88" t="s">
        <v>37</v>
      </c>
      <c r="DV88">
        <v>98145</v>
      </c>
      <c r="DW88" t="s">
        <v>37</v>
      </c>
      <c r="DX88">
        <v>5257</v>
      </c>
      <c r="DY88" t="s">
        <v>37</v>
      </c>
      <c r="DZ88">
        <v>764</v>
      </c>
      <c r="EA88" t="s">
        <v>37</v>
      </c>
      <c r="EB88">
        <v>10952</v>
      </c>
      <c r="EC88" t="s">
        <v>37</v>
      </c>
      <c r="ED88">
        <v>2578</v>
      </c>
      <c r="EE88" t="s">
        <v>37</v>
      </c>
      <c r="EF88">
        <v>764</v>
      </c>
      <c r="EG88" t="s">
        <v>37</v>
      </c>
      <c r="EI88" t="s">
        <v>37</v>
      </c>
      <c r="EJ88">
        <v>764</v>
      </c>
      <c r="EK88" t="s">
        <v>37</v>
      </c>
      <c r="EM88" t="s">
        <v>37</v>
      </c>
      <c r="EN88">
        <v>764</v>
      </c>
      <c r="EO88" t="s">
        <v>37</v>
      </c>
      <c r="EQ88" t="s">
        <v>37</v>
      </c>
      <c r="ER88">
        <v>859</v>
      </c>
      <c r="ES88" t="s">
        <v>37</v>
      </c>
      <c r="ET88">
        <v>859</v>
      </c>
      <c r="EU88" t="s">
        <v>37</v>
      </c>
      <c r="EV88">
        <v>2731</v>
      </c>
      <c r="EW88" t="s">
        <v>37</v>
      </c>
      <c r="EY88" t="s">
        <v>37</v>
      </c>
      <c r="EZ88">
        <v>764</v>
      </c>
      <c r="FA88" t="s">
        <v>37</v>
      </c>
      <c r="FB88">
        <v>859</v>
      </c>
      <c r="FC88" t="s">
        <v>37</v>
      </c>
      <c r="FD88">
        <v>2578</v>
      </c>
      <c r="FE88" t="s">
        <v>37</v>
      </c>
      <c r="FG88" t="s">
        <v>37</v>
      </c>
      <c r="FH88">
        <v>26157</v>
      </c>
      <c r="FI88" t="s">
        <v>37</v>
      </c>
      <c r="FJ88">
        <v>7734</v>
      </c>
      <c r="FK88" t="s">
        <v>37</v>
      </c>
      <c r="FL88">
        <v>44131</v>
      </c>
      <c r="FM88" t="s">
        <v>37</v>
      </c>
      <c r="FN88">
        <v>765</v>
      </c>
      <c r="FO88" t="s">
        <v>37</v>
      </c>
      <c r="FP88">
        <v>859</v>
      </c>
      <c r="FQ88" t="s">
        <v>37</v>
      </c>
      <c r="FR88">
        <v>1617</v>
      </c>
      <c r="FS88" t="s">
        <v>37</v>
      </c>
      <c r="FT88">
        <v>18575</v>
      </c>
      <c r="FU88" t="s">
        <v>37</v>
      </c>
      <c r="FV88">
        <v>764</v>
      </c>
      <c r="FW88" t="s">
        <v>37</v>
      </c>
      <c r="FX88">
        <v>764</v>
      </c>
      <c r="FY88" t="s">
        <v>37</v>
      </c>
      <c r="FZ88">
        <v>8874</v>
      </c>
      <c r="GA88" t="s">
        <v>37</v>
      </c>
      <c r="GB88">
        <v>5156</v>
      </c>
      <c r="GC88" t="s">
        <v>37</v>
      </c>
      <c r="GE88" t="s">
        <v>37</v>
      </c>
      <c r="GG88" t="s">
        <v>37</v>
      </c>
      <c r="GI88" t="s">
        <v>37</v>
      </c>
      <c r="GJ88">
        <v>26473</v>
      </c>
      <c r="GK88" t="s">
        <v>37</v>
      </c>
      <c r="GL88">
        <v>1719</v>
      </c>
      <c r="GM88" t="s">
        <v>37</v>
      </c>
      <c r="GO88" t="s">
        <v>37</v>
      </c>
      <c r="GP88">
        <v>23967</v>
      </c>
      <c r="GQ88" t="s">
        <v>37</v>
      </c>
      <c r="GR88">
        <v>5329</v>
      </c>
      <c r="GS88" t="s">
        <v>37</v>
      </c>
      <c r="GT88">
        <v>8962</v>
      </c>
      <c r="GU88" t="s">
        <v>37</v>
      </c>
      <c r="GV88">
        <v>764</v>
      </c>
      <c r="GW88" t="s">
        <v>37</v>
      </c>
      <c r="GX88">
        <v>8080</v>
      </c>
      <c r="GY88" t="s">
        <v>37</v>
      </c>
      <c r="GZ88">
        <v>859</v>
      </c>
      <c r="HA88" t="s">
        <v>37</v>
      </c>
      <c r="HC88" t="s">
        <v>37</v>
      </c>
      <c r="HE88" t="s">
        <v>37</v>
      </c>
      <c r="HF88">
        <v>751721</v>
      </c>
      <c r="HG88" t="s">
        <v>37</v>
      </c>
      <c r="HI88" t="s">
        <v>37</v>
      </c>
      <c r="HJ88">
        <v>751721</v>
      </c>
      <c r="HK88" t="s">
        <v>37</v>
      </c>
    </row>
    <row r="89" spans="1:219">
      <c r="A89">
        <v>3132</v>
      </c>
      <c r="B89" t="s">
        <v>116</v>
      </c>
      <c r="C89" t="s">
        <v>37</v>
      </c>
      <c r="D89">
        <v>1184</v>
      </c>
      <c r="E89" t="s">
        <v>37</v>
      </c>
      <c r="G89" t="s">
        <v>37</v>
      </c>
      <c r="I89" t="s">
        <v>37</v>
      </c>
      <c r="K89" s="48" t="s">
        <v>37</v>
      </c>
      <c r="L89" s="50"/>
      <c r="M89" s="48" t="s">
        <v>37</v>
      </c>
      <c r="N89" s="50"/>
      <c r="O89" s="48" t="s">
        <v>37</v>
      </c>
      <c r="P89" s="50"/>
      <c r="Q89" s="48" t="s">
        <v>37</v>
      </c>
      <c r="R89" s="50"/>
      <c r="S89" s="48" t="s">
        <v>37</v>
      </c>
      <c r="U89" t="s">
        <v>37</v>
      </c>
      <c r="W89" t="s">
        <v>37</v>
      </c>
      <c r="Y89" t="s">
        <v>37</v>
      </c>
      <c r="Z89">
        <v>1775</v>
      </c>
      <c r="AA89" t="s">
        <v>37</v>
      </c>
      <c r="AC89" t="s">
        <v>37</v>
      </c>
      <c r="AE89" t="s">
        <v>37</v>
      </c>
      <c r="AG89" t="s">
        <v>37</v>
      </c>
      <c r="AI89" t="s">
        <v>37</v>
      </c>
      <c r="AK89" t="s">
        <v>37</v>
      </c>
      <c r="AL89">
        <v>9468</v>
      </c>
      <c r="AM89" t="s">
        <v>37</v>
      </c>
      <c r="AO89" t="s">
        <v>37</v>
      </c>
      <c r="AP89">
        <v>592</v>
      </c>
      <c r="AQ89" t="s">
        <v>37</v>
      </c>
      <c r="AR89">
        <v>7101</v>
      </c>
      <c r="AS89" t="s">
        <v>37</v>
      </c>
      <c r="AT89">
        <v>8285</v>
      </c>
      <c r="AU89" t="s">
        <v>37</v>
      </c>
      <c r="AV89">
        <v>1184</v>
      </c>
      <c r="AW89" t="s">
        <v>37</v>
      </c>
      <c r="AY89" t="s">
        <v>37</v>
      </c>
      <c r="BA89" t="s">
        <v>37</v>
      </c>
      <c r="BC89" t="s">
        <v>37</v>
      </c>
      <c r="BE89" t="s">
        <v>37</v>
      </c>
      <c r="BG89" t="s">
        <v>37</v>
      </c>
      <c r="BI89" t="s">
        <v>37</v>
      </c>
      <c r="BK89" t="s">
        <v>37</v>
      </c>
      <c r="BM89" t="s">
        <v>37</v>
      </c>
      <c r="BO89" t="s">
        <v>37</v>
      </c>
      <c r="BQ89" t="s">
        <v>37</v>
      </c>
      <c r="BS89" t="s">
        <v>37</v>
      </c>
      <c r="BU89" t="s">
        <v>37</v>
      </c>
      <c r="BW89" t="s">
        <v>37</v>
      </c>
      <c r="BX89">
        <v>2368</v>
      </c>
      <c r="BY89" t="s">
        <v>37</v>
      </c>
      <c r="CA89" t="s">
        <v>37</v>
      </c>
      <c r="CC89" t="s">
        <v>37</v>
      </c>
      <c r="CD89">
        <v>7693</v>
      </c>
      <c r="CE89" t="s">
        <v>37</v>
      </c>
      <c r="CF89">
        <v>4734</v>
      </c>
      <c r="CG89" t="s">
        <v>37</v>
      </c>
      <c r="CH89">
        <v>3551</v>
      </c>
      <c r="CI89" t="s">
        <v>37</v>
      </c>
      <c r="CK89" t="s">
        <v>37</v>
      </c>
      <c r="CM89" t="s">
        <v>37</v>
      </c>
      <c r="CN89">
        <v>592</v>
      </c>
      <c r="CO89" t="s">
        <v>37</v>
      </c>
      <c r="CQ89" t="s">
        <v>37</v>
      </c>
      <c r="CS89" t="s">
        <v>37</v>
      </c>
      <c r="CT89">
        <v>129002</v>
      </c>
      <c r="CU89" t="s">
        <v>37</v>
      </c>
      <c r="CV89">
        <v>592</v>
      </c>
      <c r="CW89" t="s">
        <v>37</v>
      </c>
      <c r="CY89" t="s">
        <v>37</v>
      </c>
      <c r="DA89" t="s">
        <v>37</v>
      </c>
      <c r="DC89" t="s">
        <v>37</v>
      </c>
      <c r="DE89" t="s">
        <v>37</v>
      </c>
      <c r="DG89" t="s">
        <v>37</v>
      </c>
      <c r="DH89">
        <v>17161</v>
      </c>
      <c r="DI89" t="s">
        <v>37</v>
      </c>
      <c r="DK89" t="s">
        <v>37</v>
      </c>
      <c r="DM89" t="s">
        <v>37</v>
      </c>
      <c r="DO89" t="s">
        <v>37</v>
      </c>
      <c r="DP89">
        <v>3551</v>
      </c>
      <c r="DQ89" t="s">
        <v>37</v>
      </c>
      <c r="DS89" t="s">
        <v>37</v>
      </c>
      <c r="DT89">
        <v>1775</v>
      </c>
      <c r="DU89" t="s">
        <v>37</v>
      </c>
      <c r="DV89">
        <v>117160</v>
      </c>
      <c r="DW89" t="s">
        <v>37</v>
      </c>
      <c r="DY89" t="s">
        <v>37</v>
      </c>
      <c r="EA89" t="s">
        <v>37</v>
      </c>
      <c r="EB89">
        <v>1184</v>
      </c>
      <c r="EC89" t="s">
        <v>37</v>
      </c>
      <c r="ED89">
        <v>6509</v>
      </c>
      <c r="EE89" t="s">
        <v>37</v>
      </c>
      <c r="EG89" t="s">
        <v>37</v>
      </c>
      <c r="EI89" t="s">
        <v>37</v>
      </c>
      <c r="EK89" t="s">
        <v>37</v>
      </c>
      <c r="EM89" t="s">
        <v>37</v>
      </c>
      <c r="EO89" t="s">
        <v>37</v>
      </c>
      <c r="EQ89" t="s">
        <v>37</v>
      </c>
      <c r="ER89">
        <v>2367</v>
      </c>
      <c r="ES89" t="s">
        <v>37</v>
      </c>
      <c r="EU89" t="s">
        <v>37</v>
      </c>
      <c r="EV89">
        <v>7693</v>
      </c>
      <c r="EW89" t="s">
        <v>37</v>
      </c>
      <c r="EY89" t="s">
        <v>37</v>
      </c>
      <c r="FA89" t="s">
        <v>37</v>
      </c>
      <c r="FB89">
        <v>7101</v>
      </c>
      <c r="FC89" t="s">
        <v>37</v>
      </c>
      <c r="FE89" t="s">
        <v>37</v>
      </c>
      <c r="FG89" t="s">
        <v>37</v>
      </c>
      <c r="FH89">
        <v>2367</v>
      </c>
      <c r="FI89" t="s">
        <v>37</v>
      </c>
      <c r="FJ89">
        <v>10652</v>
      </c>
      <c r="FK89" t="s">
        <v>37</v>
      </c>
      <c r="FL89">
        <v>2367</v>
      </c>
      <c r="FM89" t="s">
        <v>37</v>
      </c>
      <c r="FO89" t="s">
        <v>37</v>
      </c>
      <c r="FQ89" t="s">
        <v>37</v>
      </c>
      <c r="FS89" t="s">
        <v>37</v>
      </c>
      <c r="FU89" t="s">
        <v>37</v>
      </c>
      <c r="FV89">
        <v>592</v>
      </c>
      <c r="FW89" t="s">
        <v>37</v>
      </c>
      <c r="FX89">
        <v>2367</v>
      </c>
      <c r="FY89" t="s">
        <v>37</v>
      </c>
      <c r="GA89" t="s">
        <v>37</v>
      </c>
      <c r="GB89">
        <v>2959</v>
      </c>
      <c r="GC89" t="s">
        <v>37</v>
      </c>
      <c r="GE89" t="s">
        <v>37</v>
      </c>
      <c r="GG89" t="s">
        <v>37</v>
      </c>
      <c r="GI89" t="s">
        <v>37</v>
      </c>
      <c r="GJ89">
        <v>4734</v>
      </c>
      <c r="GK89" t="s">
        <v>37</v>
      </c>
      <c r="GL89">
        <v>4142</v>
      </c>
      <c r="GM89" t="s">
        <v>37</v>
      </c>
      <c r="GO89" t="s">
        <v>37</v>
      </c>
      <c r="GP89">
        <v>1184</v>
      </c>
      <c r="GQ89" t="s">
        <v>37</v>
      </c>
      <c r="GS89" t="s">
        <v>37</v>
      </c>
      <c r="GT89">
        <v>3551</v>
      </c>
      <c r="GU89" t="s">
        <v>37</v>
      </c>
      <c r="GV89">
        <v>592</v>
      </c>
      <c r="GW89" t="s">
        <v>37</v>
      </c>
      <c r="GY89" t="s">
        <v>37</v>
      </c>
      <c r="GZ89">
        <v>3551</v>
      </c>
      <c r="HA89" t="s">
        <v>37</v>
      </c>
      <c r="HC89" t="s">
        <v>37</v>
      </c>
      <c r="HE89" t="s">
        <v>37</v>
      </c>
      <c r="HF89">
        <v>381680</v>
      </c>
      <c r="HG89" t="s">
        <v>37</v>
      </c>
      <c r="HI89" t="s">
        <v>37</v>
      </c>
      <c r="HJ89">
        <v>381680</v>
      </c>
      <c r="HK89" t="s">
        <v>37</v>
      </c>
    </row>
    <row r="90" spans="1:219">
      <c r="A90">
        <v>3134</v>
      </c>
      <c r="B90" t="s">
        <v>117</v>
      </c>
      <c r="C90" t="s">
        <v>37</v>
      </c>
      <c r="D90">
        <v>325933</v>
      </c>
      <c r="E90" t="s">
        <v>37</v>
      </c>
      <c r="G90" t="s">
        <v>37</v>
      </c>
      <c r="H90">
        <v>271132</v>
      </c>
      <c r="I90" t="s">
        <v>37</v>
      </c>
      <c r="K90" s="48" t="s">
        <v>37</v>
      </c>
      <c r="L90" s="50"/>
      <c r="M90" s="48" t="s">
        <v>37</v>
      </c>
      <c r="N90" s="50"/>
      <c r="O90" s="48" t="s">
        <v>37</v>
      </c>
      <c r="P90" s="50"/>
      <c r="Q90" s="48" t="s">
        <v>37</v>
      </c>
      <c r="R90" s="50"/>
      <c r="S90" s="48" t="s">
        <v>37</v>
      </c>
      <c r="U90" t="s">
        <v>37</v>
      </c>
      <c r="W90" t="s">
        <v>37</v>
      </c>
      <c r="Y90" t="s">
        <v>37</v>
      </c>
      <c r="Z90">
        <v>170</v>
      </c>
      <c r="AA90" t="s">
        <v>37</v>
      </c>
      <c r="AB90">
        <v>128866</v>
      </c>
      <c r="AC90" t="s">
        <v>37</v>
      </c>
      <c r="AD90">
        <v>73025</v>
      </c>
      <c r="AE90" t="s">
        <v>37</v>
      </c>
      <c r="AF90">
        <v>98</v>
      </c>
      <c r="AG90" t="s">
        <v>37</v>
      </c>
      <c r="AI90" t="s">
        <v>37</v>
      </c>
      <c r="AK90" t="s">
        <v>37</v>
      </c>
      <c r="AM90" t="s">
        <v>37</v>
      </c>
      <c r="AO90" t="s">
        <v>37</v>
      </c>
      <c r="AP90">
        <v>782131</v>
      </c>
      <c r="AQ90" t="s">
        <v>37</v>
      </c>
      <c r="AS90" t="s">
        <v>37</v>
      </c>
      <c r="AU90" t="s">
        <v>37</v>
      </c>
      <c r="AW90" t="s">
        <v>37</v>
      </c>
      <c r="AY90" t="s">
        <v>37</v>
      </c>
      <c r="BA90" t="s">
        <v>37</v>
      </c>
      <c r="BB90">
        <v>97835</v>
      </c>
      <c r="BC90" t="s">
        <v>37</v>
      </c>
      <c r="BD90">
        <v>320397</v>
      </c>
      <c r="BE90" t="s">
        <v>37</v>
      </c>
      <c r="BF90">
        <v>159451</v>
      </c>
      <c r="BG90" t="s">
        <v>37</v>
      </c>
      <c r="BI90" t="s">
        <v>37</v>
      </c>
      <c r="BK90" t="s">
        <v>37</v>
      </c>
      <c r="BM90" t="s">
        <v>37</v>
      </c>
      <c r="BO90" t="s">
        <v>37</v>
      </c>
      <c r="BP90">
        <v>139267</v>
      </c>
      <c r="BQ90" t="s">
        <v>37</v>
      </c>
      <c r="BR90">
        <v>529349</v>
      </c>
      <c r="BS90" t="s">
        <v>37</v>
      </c>
      <c r="BT90">
        <v>284952</v>
      </c>
      <c r="BU90" t="s">
        <v>37</v>
      </c>
      <c r="BW90" t="s">
        <v>37</v>
      </c>
      <c r="BY90" t="s">
        <v>37</v>
      </c>
      <c r="CA90" t="s">
        <v>37</v>
      </c>
      <c r="CC90" t="s">
        <v>37</v>
      </c>
      <c r="CE90" t="s">
        <v>37</v>
      </c>
      <c r="CG90" t="s">
        <v>37</v>
      </c>
      <c r="CH90">
        <v>327807</v>
      </c>
      <c r="CI90" t="s">
        <v>37</v>
      </c>
      <c r="CJ90">
        <v>235431</v>
      </c>
      <c r="CK90" t="s">
        <v>37</v>
      </c>
      <c r="CL90">
        <v>156175</v>
      </c>
      <c r="CM90" t="s">
        <v>37</v>
      </c>
      <c r="CN90">
        <v>202747</v>
      </c>
      <c r="CO90" t="s">
        <v>37</v>
      </c>
      <c r="CP90">
        <v>180937</v>
      </c>
      <c r="CQ90" t="s">
        <v>37</v>
      </c>
      <c r="CS90" t="s">
        <v>37</v>
      </c>
      <c r="CU90" t="s">
        <v>37</v>
      </c>
      <c r="CW90" t="s">
        <v>37</v>
      </c>
      <c r="CY90" t="s">
        <v>37</v>
      </c>
      <c r="DA90" t="s">
        <v>37</v>
      </c>
      <c r="DC90" t="s">
        <v>37</v>
      </c>
      <c r="DD90">
        <v>350710</v>
      </c>
      <c r="DE90" t="s">
        <v>37</v>
      </c>
      <c r="DF90">
        <v>128049</v>
      </c>
      <c r="DG90" t="s">
        <v>37</v>
      </c>
      <c r="DI90" t="s">
        <v>37</v>
      </c>
      <c r="DJ90">
        <v>378766</v>
      </c>
      <c r="DK90" t="s">
        <v>37</v>
      </c>
      <c r="DM90" t="s">
        <v>37</v>
      </c>
      <c r="DO90" t="s">
        <v>37</v>
      </c>
      <c r="DP90">
        <v>520638</v>
      </c>
      <c r="DQ90" t="s">
        <v>37</v>
      </c>
      <c r="DR90">
        <v>239179</v>
      </c>
      <c r="DS90" t="s">
        <v>37</v>
      </c>
      <c r="DT90">
        <v>359205</v>
      </c>
      <c r="DU90" t="s">
        <v>37</v>
      </c>
      <c r="DW90" t="s">
        <v>37</v>
      </c>
      <c r="DY90" t="s">
        <v>37</v>
      </c>
      <c r="EA90" t="s">
        <v>37</v>
      </c>
      <c r="EB90">
        <v>493170</v>
      </c>
      <c r="EC90" t="s">
        <v>37</v>
      </c>
      <c r="EE90" t="s">
        <v>37</v>
      </c>
      <c r="EG90" t="s">
        <v>37</v>
      </c>
      <c r="EI90" t="s">
        <v>37</v>
      </c>
      <c r="EK90" t="s">
        <v>37</v>
      </c>
      <c r="EL90">
        <v>387437</v>
      </c>
      <c r="EM90" t="s">
        <v>37</v>
      </c>
      <c r="EN90">
        <v>201557</v>
      </c>
      <c r="EO90" t="s">
        <v>37</v>
      </c>
      <c r="EQ90" t="s">
        <v>37</v>
      </c>
      <c r="ES90" t="s">
        <v>37</v>
      </c>
      <c r="EU90" t="s">
        <v>37</v>
      </c>
      <c r="EW90" t="s">
        <v>37</v>
      </c>
      <c r="EY90" t="s">
        <v>37</v>
      </c>
      <c r="EZ90">
        <v>595408</v>
      </c>
      <c r="FA90" t="s">
        <v>37</v>
      </c>
      <c r="FB90">
        <v>499007</v>
      </c>
      <c r="FC90" t="s">
        <v>37</v>
      </c>
      <c r="FD90">
        <v>1033133</v>
      </c>
      <c r="FE90" t="s">
        <v>37</v>
      </c>
      <c r="FG90" t="s">
        <v>37</v>
      </c>
      <c r="FI90" t="s">
        <v>37</v>
      </c>
      <c r="FK90" t="s">
        <v>37</v>
      </c>
      <c r="FM90" t="s">
        <v>37</v>
      </c>
      <c r="FO90" t="s">
        <v>37</v>
      </c>
      <c r="FQ90" t="s">
        <v>37</v>
      </c>
      <c r="FS90" t="s">
        <v>37</v>
      </c>
      <c r="FU90" t="s">
        <v>37</v>
      </c>
      <c r="FW90" t="s">
        <v>37</v>
      </c>
      <c r="FY90" t="s">
        <v>37</v>
      </c>
      <c r="GA90" t="s">
        <v>37</v>
      </c>
      <c r="GC90" t="s">
        <v>37</v>
      </c>
      <c r="GE90" t="s">
        <v>37</v>
      </c>
      <c r="GG90" t="s">
        <v>37</v>
      </c>
      <c r="GI90" t="s">
        <v>37</v>
      </c>
      <c r="GK90" t="s">
        <v>37</v>
      </c>
      <c r="GM90" t="s">
        <v>37</v>
      </c>
      <c r="GO90" t="s">
        <v>37</v>
      </c>
      <c r="GQ90" t="s">
        <v>37</v>
      </c>
      <c r="GR90">
        <v>806192</v>
      </c>
      <c r="GS90" t="s">
        <v>37</v>
      </c>
      <c r="GU90" t="s">
        <v>37</v>
      </c>
      <c r="GW90" t="s">
        <v>37</v>
      </c>
      <c r="GY90" t="s">
        <v>37</v>
      </c>
      <c r="HA90" t="s">
        <v>37</v>
      </c>
      <c r="HC90" t="s">
        <v>37</v>
      </c>
      <c r="HE90" t="s">
        <v>37</v>
      </c>
      <c r="HF90">
        <v>10208154</v>
      </c>
      <c r="HG90" t="s">
        <v>37</v>
      </c>
      <c r="HI90" t="s">
        <v>37</v>
      </c>
      <c r="HJ90">
        <v>10208154</v>
      </c>
      <c r="HK90" t="s">
        <v>37</v>
      </c>
    </row>
    <row r="91" spans="1:219">
      <c r="A91">
        <v>3135</v>
      </c>
      <c r="B91" t="s">
        <v>118</v>
      </c>
      <c r="C91" t="s">
        <v>37</v>
      </c>
      <c r="E91" t="s">
        <v>37</v>
      </c>
      <c r="G91" t="s">
        <v>37</v>
      </c>
      <c r="I91" t="s">
        <v>37</v>
      </c>
      <c r="K91" s="48" t="s">
        <v>37</v>
      </c>
      <c r="L91" s="50"/>
      <c r="M91" s="48" t="s">
        <v>37</v>
      </c>
      <c r="N91" s="50"/>
      <c r="O91" s="48" t="s">
        <v>37</v>
      </c>
      <c r="P91" s="50"/>
      <c r="Q91" s="48" t="s">
        <v>37</v>
      </c>
      <c r="R91" s="50"/>
      <c r="S91" s="48" t="s">
        <v>37</v>
      </c>
      <c r="U91" t="s">
        <v>37</v>
      </c>
      <c r="W91" t="s">
        <v>37</v>
      </c>
      <c r="Y91" t="s">
        <v>37</v>
      </c>
      <c r="AA91" t="s">
        <v>37</v>
      </c>
      <c r="AC91" t="s">
        <v>37</v>
      </c>
      <c r="AE91" t="s">
        <v>37</v>
      </c>
      <c r="AG91" t="s">
        <v>37</v>
      </c>
      <c r="AI91" t="s">
        <v>37</v>
      </c>
      <c r="AK91" t="s">
        <v>37</v>
      </c>
      <c r="AM91" t="s">
        <v>37</v>
      </c>
      <c r="AO91" t="s">
        <v>37</v>
      </c>
      <c r="AQ91" t="s">
        <v>37</v>
      </c>
      <c r="AS91" t="s">
        <v>37</v>
      </c>
      <c r="AU91" t="s">
        <v>37</v>
      </c>
      <c r="AW91" t="s">
        <v>37</v>
      </c>
      <c r="AY91" t="s">
        <v>37</v>
      </c>
      <c r="BA91" t="s">
        <v>37</v>
      </c>
      <c r="BC91" t="s">
        <v>37</v>
      </c>
      <c r="BE91" t="s">
        <v>37</v>
      </c>
      <c r="BG91" t="s">
        <v>37</v>
      </c>
      <c r="BI91" t="s">
        <v>37</v>
      </c>
      <c r="BK91" t="s">
        <v>37</v>
      </c>
      <c r="BM91" t="s">
        <v>37</v>
      </c>
      <c r="BO91" t="s">
        <v>37</v>
      </c>
      <c r="BQ91" t="s">
        <v>37</v>
      </c>
      <c r="BS91" t="s">
        <v>37</v>
      </c>
      <c r="BU91" t="s">
        <v>37</v>
      </c>
      <c r="BW91" t="s">
        <v>37</v>
      </c>
      <c r="BY91" t="s">
        <v>37</v>
      </c>
      <c r="CA91" t="s">
        <v>37</v>
      </c>
      <c r="CC91" t="s">
        <v>37</v>
      </c>
      <c r="CE91" t="s">
        <v>37</v>
      </c>
      <c r="CG91" t="s">
        <v>37</v>
      </c>
      <c r="CI91" t="s">
        <v>37</v>
      </c>
      <c r="CK91" t="s">
        <v>37</v>
      </c>
      <c r="CM91" t="s">
        <v>37</v>
      </c>
      <c r="CO91" t="s">
        <v>37</v>
      </c>
      <c r="CQ91" t="s">
        <v>37</v>
      </c>
      <c r="CS91" t="s">
        <v>37</v>
      </c>
      <c r="CU91" t="s">
        <v>37</v>
      </c>
      <c r="CW91" t="s">
        <v>37</v>
      </c>
      <c r="CY91" t="s">
        <v>37</v>
      </c>
      <c r="DA91" t="s">
        <v>37</v>
      </c>
      <c r="DC91" t="s">
        <v>37</v>
      </c>
      <c r="DE91" t="s">
        <v>37</v>
      </c>
      <c r="DG91" t="s">
        <v>37</v>
      </c>
      <c r="DI91" t="s">
        <v>37</v>
      </c>
      <c r="DK91" t="s">
        <v>37</v>
      </c>
      <c r="DM91" t="s">
        <v>37</v>
      </c>
      <c r="DO91" t="s">
        <v>37</v>
      </c>
      <c r="DQ91" t="s">
        <v>37</v>
      </c>
      <c r="DS91" t="s">
        <v>37</v>
      </c>
      <c r="DU91" t="s">
        <v>37</v>
      </c>
      <c r="DW91" t="s">
        <v>37</v>
      </c>
      <c r="DY91" t="s">
        <v>37</v>
      </c>
      <c r="EA91" t="s">
        <v>37</v>
      </c>
      <c r="EC91" t="s">
        <v>37</v>
      </c>
      <c r="EE91" t="s">
        <v>37</v>
      </c>
      <c r="EG91" t="s">
        <v>37</v>
      </c>
      <c r="EI91" t="s">
        <v>37</v>
      </c>
      <c r="EK91" t="s">
        <v>37</v>
      </c>
      <c r="EM91" t="s">
        <v>37</v>
      </c>
      <c r="EO91" t="s">
        <v>37</v>
      </c>
      <c r="EQ91" t="s">
        <v>37</v>
      </c>
      <c r="ES91" t="s">
        <v>37</v>
      </c>
      <c r="EU91" t="s">
        <v>37</v>
      </c>
      <c r="EW91" t="s">
        <v>37</v>
      </c>
      <c r="EY91" t="s">
        <v>37</v>
      </c>
      <c r="FA91" t="s">
        <v>37</v>
      </c>
      <c r="FC91" t="s">
        <v>37</v>
      </c>
      <c r="FE91" t="s">
        <v>37</v>
      </c>
      <c r="FG91" t="s">
        <v>37</v>
      </c>
      <c r="FI91" t="s">
        <v>37</v>
      </c>
      <c r="FK91" t="s">
        <v>37</v>
      </c>
      <c r="FM91" t="s">
        <v>37</v>
      </c>
      <c r="FO91" t="s">
        <v>37</v>
      </c>
      <c r="FQ91" t="s">
        <v>37</v>
      </c>
      <c r="FS91" t="s">
        <v>37</v>
      </c>
      <c r="FU91" t="s">
        <v>37</v>
      </c>
      <c r="FW91" t="s">
        <v>37</v>
      </c>
      <c r="FY91" t="s">
        <v>37</v>
      </c>
      <c r="GA91" t="s">
        <v>37</v>
      </c>
      <c r="GC91" t="s">
        <v>37</v>
      </c>
      <c r="GE91" t="s">
        <v>37</v>
      </c>
      <c r="GG91" t="s">
        <v>37</v>
      </c>
      <c r="GI91" t="s">
        <v>37</v>
      </c>
      <c r="GK91" t="s">
        <v>37</v>
      </c>
      <c r="GL91">
        <v>16821</v>
      </c>
      <c r="GM91" t="s">
        <v>37</v>
      </c>
      <c r="GO91" t="s">
        <v>37</v>
      </c>
      <c r="GQ91" t="s">
        <v>37</v>
      </c>
      <c r="GS91" t="s">
        <v>37</v>
      </c>
      <c r="GU91" t="s">
        <v>37</v>
      </c>
      <c r="GW91" t="s">
        <v>37</v>
      </c>
      <c r="GY91" t="s">
        <v>37</v>
      </c>
      <c r="HA91" t="s">
        <v>37</v>
      </c>
      <c r="HC91" t="s">
        <v>37</v>
      </c>
      <c r="HE91" t="s">
        <v>37</v>
      </c>
      <c r="HF91">
        <v>16821</v>
      </c>
      <c r="HG91" t="s">
        <v>37</v>
      </c>
      <c r="HI91" t="s">
        <v>37</v>
      </c>
      <c r="HJ91">
        <v>16821</v>
      </c>
      <c r="HK91" t="s">
        <v>37</v>
      </c>
    </row>
    <row r="92" spans="1:219">
      <c r="A92">
        <v>3140</v>
      </c>
      <c r="B92" t="s">
        <v>119</v>
      </c>
      <c r="C92" t="s">
        <v>37</v>
      </c>
      <c r="E92" t="s">
        <v>37</v>
      </c>
      <c r="G92" t="s">
        <v>37</v>
      </c>
      <c r="I92" t="s">
        <v>37</v>
      </c>
      <c r="K92" s="48" t="s">
        <v>37</v>
      </c>
      <c r="L92" s="50"/>
      <c r="M92" s="48" t="s">
        <v>37</v>
      </c>
      <c r="N92" s="50"/>
      <c r="O92" s="48" t="s">
        <v>37</v>
      </c>
      <c r="P92" s="50"/>
      <c r="Q92" s="48" t="s">
        <v>37</v>
      </c>
      <c r="R92" s="50"/>
      <c r="S92" s="48" t="s">
        <v>37</v>
      </c>
      <c r="U92" t="s">
        <v>37</v>
      </c>
      <c r="W92" t="s">
        <v>37</v>
      </c>
      <c r="Y92" t="s">
        <v>37</v>
      </c>
      <c r="AA92" t="s">
        <v>37</v>
      </c>
      <c r="AC92" t="s">
        <v>37</v>
      </c>
      <c r="AE92" t="s">
        <v>37</v>
      </c>
      <c r="AG92" t="s">
        <v>37</v>
      </c>
      <c r="AI92" t="s">
        <v>37</v>
      </c>
      <c r="AK92" t="s">
        <v>37</v>
      </c>
      <c r="AM92" t="s">
        <v>37</v>
      </c>
      <c r="AO92" t="s">
        <v>37</v>
      </c>
      <c r="AQ92" t="s">
        <v>37</v>
      </c>
      <c r="AS92" t="s">
        <v>37</v>
      </c>
      <c r="AU92" t="s">
        <v>37</v>
      </c>
      <c r="AW92" t="s">
        <v>37</v>
      </c>
      <c r="AY92" t="s">
        <v>37</v>
      </c>
      <c r="BA92" t="s">
        <v>37</v>
      </c>
      <c r="BC92" t="s">
        <v>37</v>
      </c>
      <c r="BE92" t="s">
        <v>37</v>
      </c>
      <c r="BG92" t="s">
        <v>37</v>
      </c>
      <c r="BI92" t="s">
        <v>37</v>
      </c>
      <c r="BK92" t="s">
        <v>37</v>
      </c>
      <c r="BM92" t="s">
        <v>37</v>
      </c>
      <c r="BO92" t="s">
        <v>37</v>
      </c>
      <c r="BQ92" t="s">
        <v>37</v>
      </c>
      <c r="BS92" t="s">
        <v>37</v>
      </c>
      <c r="BU92" t="s">
        <v>37</v>
      </c>
      <c r="BW92" t="s">
        <v>37</v>
      </c>
      <c r="BY92" t="s">
        <v>37</v>
      </c>
      <c r="CA92" t="s">
        <v>37</v>
      </c>
      <c r="CC92" t="s">
        <v>37</v>
      </c>
      <c r="CE92" t="s">
        <v>37</v>
      </c>
      <c r="CG92" t="s">
        <v>37</v>
      </c>
      <c r="CI92" t="s">
        <v>37</v>
      </c>
      <c r="CK92" t="s">
        <v>37</v>
      </c>
      <c r="CM92" t="s">
        <v>37</v>
      </c>
      <c r="CO92" t="s">
        <v>37</v>
      </c>
      <c r="CQ92" t="s">
        <v>37</v>
      </c>
      <c r="CS92" t="s">
        <v>37</v>
      </c>
      <c r="CU92" t="s">
        <v>37</v>
      </c>
      <c r="CW92" t="s">
        <v>37</v>
      </c>
      <c r="CY92" t="s">
        <v>37</v>
      </c>
      <c r="DA92" t="s">
        <v>37</v>
      </c>
      <c r="DC92" t="s">
        <v>37</v>
      </c>
      <c r="DE92" t="s">
        <v>37</v>
      </c>
      <c r="DG92" t="s">
        <v>37</v>
      </c>
      <c r="DI92" t="s">
        <v>37</v>
      </c>
      <c r="DK92" t="s">
        <v>37</v>
      </c>
      <c r="DM92" t="s">
        <v>37</v>
      </c>
      <c r="DO92" t="s">
        <v>37</v>
      </c>
      <c r="DQ92" t="s">
        <v>37</v>
      </c>
      <c r="DS92" t="s">
        <v>37</v>
      </c>
      <c r="DU92" t="s">
        <v>37</v>
      </c>
      <c r="DW92" t="s">
        <v>37</v>
      </c>
      <c r="DY92" t="s">
        <v>37</v>
      </c>
      <c r="EA92" t="s">
        <v>37</v>
      </c>
      <c r="EC92" t="s">
        <v>37</v>
      </c>
      <c r="EE92" t="s">
        <v>37</v>
      </c>
      <c r="EG92" t="s">
        <v>37</v>
      </c>
      <c r="EI92" t="s">
        <v>37</v>
      </c>
      <c r="EK92" t="s">
        <v>37</v>
      </c>
      <c r="EM92" t="s">
        <v>37</v>
      </c>
      <c r="EO92" t="s">
        <v>37</v>
      </c>
      <c r="EQ92" t="s">
        <v>37</v>
      </c>
      <c r="ES92" t="s">
        <v>37</v>
      </c>
      <c r="EU92" t="s">
        <v>37</v>
      </c>
      <c r="EW92" t="s">
        <v>37</v>
      </c>
      <c r="EY92" t="s">
        <v>37</v>
      </c>
      <c r="FA92" t="s">
        <v>37</v>
      </c>
      <c r="FC92" t="s">
        <v>37</v>
      </c>
      <c r="FE92" t="s">
        <v>37</v>
      </c>
      <c r="FG92" t="s">
        <v>37</v>
      </c>
      <c r="FI92" t="s">
        <v>37</v>
      </c>
      <c r="FK92" t="s">
        <v>37</v>
      </c>
      <c r="FM92" t="s">
        <v>37</v>
      </c>
      <c r="FO92" t="s">
        <v>37</v>
      </c>
      <c r="FQ92" t="s">
        <v>37</v>
      </c>
      <c r="FS92" t="s">
        <v>37</v>
      </c>
      <c r="FU92" t="s">
        <v>37</v>
      </c>
      <c r="FW92" t="s">
        <v>37</v>
      </c>
      <c r="FY92" t="s">
        <v>37</v>
      </c>
      <c r="GA92" t="s">
        <v>37</v>
      </c>
      <c r="GC92" t="s">
        <v>37</v>
      </c>
      <c r="GE92" t="s">
        <v>37</v>
      </c>
      <c r="GG92" t="s">
        <v>37</v>
      </c>
      <c r="GI92" t="s">
        <v>37</v>
      </c>
      <c r="GK92" t="s">
        <v>37</v>
      </c>
      <c r="GM92" t="s">
        <v>37</v>
      </c>
      <c r="GO92" t="s">
        <v>37</v>
      </c>
      <c r="GQ92" t="s">
        <v>37</v>
      </c>
      <c r="GS92" t="s">
        <v>37</v>
      </c>
      <c r="GU92" t="s">
        <v>37</v>
      </c>
      <c r="GW92" t="s">
        <v>37</v>
      </c>
      <c r="GY92" t="s">
        <v>37</v>
      </c>
      <c r="HA92" t="s">
        <v>37</v>
      </c>
      <c r="HC92" t="s">
        <v>37</v>
      </c>
      <c r="HE92" t="s">
        <v>37</v>
      </c>
      <c r="HG92" t="s">
        <v>37</v>
      </c>
      <c r="HI92" t="s">
        <v>37</v>
      </c>
      <c r="HK92" t="s">
        <v>37</v>
      </c>
    </row>
    <row r="93" spans="1:219">
      <c r="C93" t="s">
        <v>37</v>
      </c>
      <c r="D93" t="s">
        <v>38</v>
      </c>
      <c r="E93" t="s">
        <v>37</v>
      </c>
      <c r="F93" t="s">
        <v>39</v>
      </c>
      <c r="G93" t="s">
        <v>37</v>
      </c>
      <c r="H93" t="s">
        <v>40</v>
      </c>
      <c r="I93" t="s">
        <v>37</v>
      </c>
      <c r="J93" t="s">
        <v>41</v>
      </c>
      <c r="K93" s="48" t="s">
        <v>37</v>
      </c>
      <c r="L93" s="49" t="s">
        <v>303</v>
      </c>
      <c r="M93" s="48" t="s">
        <v>37</v>
      </c>
      <c r="N93" s="49" t="s">
        <v>304</v>
      </c>
      <c r="O93" s="48" t="s">
        <v>37</v>
      </c>
      <c r="P93" s="49" t="s">
        <v>305</v>
      </c>
      <c r="Q93" s="48" t="s">
        <v>37</v>
      </c>
      <c r="R93" s="49" t="s">
        <v>306</v>
      </c>
      <c r="S93" s="48" t="s">
        <v>37</v>
      </c>
      <c r="T93" t="s">
        <v>307</v>
      </c>
      <c r="U93" t="s">
        <v>37</v>
      </c>
      <c r="V93" t="s">
        <v>308</v>
      </c>
      <c r="W93" t="s">
        <v>37</v>
      </c>
      <c r="X93" t="s">
        <v>309</v>
      </c>
      <c r="Y93" t="s">
        <v>37</v>
      </c>
      <c r="Z93" t="s">
        <v>310</v>
      </c>
      <c r="AA93" t="s">
        <v>37</v>
      </c>
      <c r="AB93" t="s">
        <v>311</v>
      </c>
      <c r="AC93" t="s">
        <v>37</v>
      </c>
      <c r="AD93" t="s">
        <v>312</v>
      </c>
      <c r="AE93" t="s">
        <v>37</v>
      </c>
      <c r="AF93" t="s">
        <v>313</v>
      </c>
      <c r="AG93" t="s">
        <v>37</v>
      </c>
      <c r="AH93" t="s">
        <v>314</v>
      </c>
      <c r="AI93" t="s">
        <v>37</v>
      </c>
      <c r="AJ93" t="s">
        <v>315</v>
      </c>
      <c r="AK93" t="s">
        <v>37</v>
      </c>
      <c r="AL93" t="s">
        <v>316</v>
      </c>
      <c r="AM93" t="s">
        <v>37</v>
      </c>
      <c r="AN93" t="s">
        <v>317</v>
      </c>
      <c r="AO93" t="s">
        <v>37</v>
      </c>
      <c r="AP93" t="s">
        <v>318</v>
      </c>
      <c r="AQ93" t="s">
        <v>37</v>
      </c>
      <c r="AR93" t="s">
        <v>319</v>
      </c>
      <c r="AS93" t="s">
        <v>37</v>
      </c>
      <c r="AT93" t="s">
        <v>320</v>
      </c>
      <c r="AU93" t="s">
        <v>37</v>
      </c>
      <c r="AV93" t="s">
        <v>321</v>
      </c>
      <c r="AW93" t="s">
        <v>37</v>
      </c>
      <c r="AX93" t="s">
        <v>322</v>
      </c>
      <c r="AY93" t="s">
        <v>37</v>
      </c>
      <c r="AZ93" t="s">
        <v>323</v>
      </c>
      <c r="BA93" t="s">
        <v>37</v>
      </c>
      <c r="BB93" t="s">
        <v>324</v>
      </c>
      <c r="BC93" t="s">
        <v>37</v>
      </c>
      <c r="BD93" t="s">
        <v>325</v>
      </c>
      <c r="BE93" t="s">
        <v>37</v>
      </c>
      <c r="BF93" t="s">
        <v>326</v>
      </c>
      <c r="BG93" t="s">
        <v>37</v>
      </c>
      <c r="BH93" t="s">
        <v>327</v>
      </c>
      <c r="BI93" t="s">
        <v>37</v>
      </c>
      <c r="BJ93" t="s">
        <v>328</v>
      </c>
      <c r="BK93" t="s">
        <v>37</v>
      </c>
      <c r="BL93" t="s">
        <v>329</v>
      </c>
      <c r="BM93" t="s">
        <v>37</v>
      </c>
      <c r="BN93" t="s">
        <v>330</v>
      </c>
      <c r="BO93" t="s">
        <v>37</v>
      </c>
      <c r="BP93" t="s">
        <v>331</v>
      </c>
      <c r="BQ93" t="s">
        <v>37</v>
      </c>
      <c r="BR93" t="s">
        <v>332</v>
      </c>
      <c r="BS93" t="s">
        <v>37</v>
      </c>
      <c r="BT93" t="s">
        <v>333</v>
      </c>
      <c r="BU93" t="s">
        <v>37</v>
      </c>
      <c r="BV93" t="s">
        <v>334</v>
      </c>
      <c r="BW93" t="s">
        <v>37</v>
      </c>
      <c r="BX93" t="s">
        <v>335</v>
      </c>
      <c r="BY93" t="s">
        <v>37</v>
      </c>
      <c r="BZ93" t="s">
        <v>336</v>
      </c>
      <c r="CA93" t="s">
        <v>37</v>
      </c>
      <c r="CB93" t="s">
        <v>337</v>
      </c>
      <c r="CC93" t="s">
        <v>37</v>
      </c>
      <c r="CD93" t="s">
        <v>338</v>
      </c>
      <c r="CE93" t="s">
        <v>37</v>
      </c>
      <c r="CF93" t="s">
        <v>339</v>
      </c>
      <c r="CG93" t="s">
        <v>37</v>
      </c>
      <c r="CH93" t="s">
        <v>340</v>
      </c>
      <c r="CI93" t="s">
        <v>37</v>
      </c>
      <c r="CJ93" t="s">
        <v>341</v>
      </c>
      <c r="CK93" t="s">
        <v>37</v>
      </c>
      <c r="CL93" t="s">
        <v>342</v>
      </c>
      <c r="CM93" t="s">
        <v>37</v>
      </c>
      <c r="CN93" t="s">
        <v>343</v>
      </c>
      <c r="CO93" t="s">
        <v>37</v>
      </c>
      <c r="CP93" t="s">
        <v>344</v>
      </c>
      <c r="CQ93" t="s">
        <v>37</v>
      </c>
      <c r="CR93" t="s">
        <v>345</v>
      </c>
      <c r="CS93" t="s">
        <v>37</v>
      </c>
      <c r="CT93" t="s">
        <v>346</v>
      </c>
      <c r="CU93" t="s">
        <v>37</v>
      </c>
      <c r="CV93" t="s">
        <v>347</v>
      </c>
      <c r="CW93" t="s">
        <v>37</v>
      </c>
      <c r="CX93" t="s">
        <v>348</v>
      </c>
      <c r="CY93" t="s">
        <v>37</v>
      </c>
      <c r="CZ93" t="s">
        <v>349</v>
      </c>
      <c r="DA93" t="s">
        <v>37</v>
      </c>
      <c r="DB93" t="s">
        <v>350</v>
      </c>
      <c r="DC93" t="s">
        <v>37</v>
      </c>
      <c r="DD93" t="s">
        <v>351</v>
      </c>
      <c r="DE93" t="s">
        <v>37</v>
      </c>
      <c r="DF93" t="s">
        <v>352</v>
      </c>
      <c r="DG93" t="s">
        <v>37</v>
      </c>
      <c r="DH93" t="s">
        <v>353</v>
      </c>
      <c r="DI93" t="s">
        <v>37</v>
      </c>
      <c r="DJ93" t="s">
        <v>354</v>
      </c>
      <c r="DK93" t="s">
        <v>37</v>
      </c>
      <c r="DL93" t="s">
        <v>355</v>
      </c>
      <c r="DM93" t="s">
        <v>37</v>
      </c>
      <c r="DN93" t="s">
        <v>356</v>
      </c>
      <c r="DO93" t="s">
        <v>37</v>
      </c>
      <c r="DP93" t="s">
        <v>357</v>
      </c>
      <c r="DQ93" t="s">
        <v>37</v>
      </c>
      <c r="DR93" t="s">
        <v>358</v>
      </c>
      <c r="DS93" t="s">
        <v>37</v>
      </c>
      <c r="DT93" t="s">
        <v>359</v>
      </c>
      <c r="DU93" t="s">
        <v>37</v>
      </c>
      <c r="DV93" t="s">
        <v>360</v>
      </c>
      <c r="DW93" t="s">
        <v>37</v>
      </c>
      <c r="DX93" t="s">
        <v>361</v>
      </c>
      <c r="DY93" t="s">
        <v>37</v>
      </c>
      <c r="DZ93" t="s">
        <v>362</v>
      </c>
      <c r="EA93" t="s">
        <v>37</v>
      </c>
      <c r="EB93" t="s">
        <v>363</v>
      </c>
      <c r="EC93" t="s">
        <v>37</v>
      </c>
      <c r="ED93" t="s">
        <v>364</v>
      </c>
      <c r="EE93" t="s">
        <v>37</v>
      </c>
      <c r="EF93" t="s">
        <v>365</v>
      </c>
      <c r="EG93" t="s">
        <v>37</v>
      </c>
      <c r="EH93" t="s">
        <v>366</v>
      </c>
      <c r="EI93" t="s">
        <v>37</v>
      </c>
      <c r="EJ93" t="s">
        <v>367</v>
      </c>
      <c r="EK93" t="s">
        <v>37</v>
      </c>
      <c r="EL93" t="s">
        <v>368</v>
      </c>
      <c r="EM93" t="s">
        <v>37</v>
      </c>
      <c r="EN93" t="s">
        <v>369</v>
      </c>
      <c r="EO93" t="s">
        <v>37</v>
      </c>
      <c r="EP93" t="s">
        <v>370</v>
      </c>
      <c r="EQ93" t="s">
        <v>37</v>
      </c>
      <c r="ER93" t="s">
        <v>371</v>
      </c>
      <c r="ES93" t="s">
        <v>37</v>
      </c>
      <c r="ET93" t="s">
        <v>372</v>
      </c>
      <c r="EU93" t="s">
        <v>37</v>
      </c>
      <c r="EV93" t="s">
        <v>373</v>
      </c>
      <c r="EW93" t="s">
        <v>37</v>
      </c>
      <c r="EX93" t="s">
        <v>374</v>
      </c>
      <c r="EY93" t="s">
        <v>37</v>
      </c>
      <c r="EZ93" t="s">
        <v>375</v>
      </c>
      <c r="FA93" t="s">
        <v>37</v>
      </c>
      <c r="FB93" t="s">
        <v>376</v>
      </c>
      <c r="FC93" t="s">
        <v>37</v>
      </c>
      <c r="FD93" t="s">
        <v>377</v>
      </c>
      <c r="FE93" t="s">
        <v>37</v>
      </c>
      <c r="FF93" t="s">
        <v>378</v>
      </c>
      <c r="FG93" t="s">
        <v>37</v>
      </c>
      <c r="FH93" t="s">
        <v>379</v>
      </c>
      <c r="FI93" t="s">
        <v>37</v>
      </c>
      <c r="FJ93" t="s">
        <v>380</v>
      </c>
      <c r="FK93" t="s">
        <v>37</v>
      </c>
      <c r="FL93" t="s">
        <v>381</v>
      </c>
      <c r="FM93" t="s">
        <v>37</v>
      </c>
      <c r="FN93" t="s">
        <v>382</v>
      </c>
      <c r="FO93" t="s">
        <v>37</v>
      </c>
      <c r="FP93" t="s">
        <v>383</v>
      </c>
      <c r="FQ93" t="s">
        <v>37</v>
      </c>
      <c r="FR93" t="s">
        <v>384</v>
      </c>
      <c r="FS93" t="s">
        <v>37</v>
      </c>
      <c r="FT93" t="s">
        <v>385</v>
      </c>
      <c r="FU93" t="s">
        <v>37</v>
      </c>
      <c r="FV93" t="s">
        <v>386</v>
      </c>
      <c r="FW93" t="s">
        <v>37</v>
      </c>
      <c r="FX93" t="s">
        <v>387</v>
      </c>
      <c r="FY93" t="s">
        <v>37</v>
      </c>
      <c r="FZ93" t="s">
        <v>388</v>
      </c>
      <c r="GA93" t="s">
        <v>37</v>
      </c>
      <c r="GB93" t="s">
        <v>389</v>
      </c>
      <c r="GC93" t="s">
        <v>37</v>
      </c>
      <c r="GD93" t="s">
        <v>390</v>
      </c>
      <c r="GE93" t="s">
        <v>37</v>
      </c>
      <c r="GF93" t="s">
        <v>391</v>
      </c>
      <c r="GG93" t="s">
        <v>37</v>
      </c>
      <c r="GH93" t="s">
        <v>392</v>
      </c>
      <c r="GI93" t="s">
        <v>37</v>
      </c>
      <c r="GJ93" t="s">
        <v>393</v>
      </c>
      <c r="GK93" t="s">
        <v>37</v>
      </c>
      <c r="GL93" t="s">
        <v>394</v>
      </c>
      <c r="GM93" t="s">
        <v>37</v>
      </c>
      <c r="GN93" t="s">
        <v>395</v>
      </c>
      <c r="GO93" t="s">
        <v>37</v>
      </c>
      <c r="GP93" t="s">
        <v>396</v>
      </c>
      <c r="GQ93" t="s">
        <v>37</v>
      </c>
      <c r="GR93" t="s">
        <v>397</v>
      </c>
      <c r="GS93" t="s">
        <v>37</v>
      </c>
      <c r="GT93" t="s">
        <v>398</v>
      </c>
      <c r="GU93" t="s">
        <v>37</v>
      </c>
      <c r="GV93" t="s">
        <v>399</v>
      </c>
      <c r="GW93" t="s">
        <v>37</v>
      </c>
      <c r="GX93" t="s">
        <v>400</v>
      </c>
      <c r="GY93" t="s">
        <v>37</v>
      </c>
      <c r="GZ93" t="s">
        <v>401</v>
      </c>
      <c r="HA93" t="s">
        <v>37</v>
      </c>
      <c r="HB93" t="s">
        <v>29</v>
      </c>
      <c r="HC93" t="s">
        <v>37</v>
      </c>
      <c r="HD93" t="s">
        <v>402</v>
      </c>
      <c r="HE93" t="s">
        <v>37</v>
      </c>
      <c r="HF93" t="s">
        <v>403</v>
      </c>
      <c r="HG93" t="s">
        <v>37</v>
      </c>
      <c r="HH93" t="s">
        <v>404</v>
      </c>
      <c r="HI93" t="s">
        <v>37</v>
      </c>
      <c r="HJ93" t="s">
        <v>405</v>
      </c>
      <c r="HK93" t="s">
        <v>37</v>
      </c>
    </row>
    <row r="94" spans="1:219">
      <c r="C94" t="s">
        <v>37</v>
      </c>
      <c r="E94" t="s">
        <v>37</v>
      </c>
      <c r="G94" t="s">
        <v>37</v>
      </c>
      <c r="I94" t="s">
        <v>37</v>
      </c>
      <c r="K94" s="48" t="s">
        <v>37</v>
      </c>
      <c r="L94" s="50"/>
      <c r="M94" s="48" t="s">
        <v>37</v>
      </c>
      <c r="N94" s="50"/>
      <c r="O94" s="48" t="s">
        <v>37</v>
      </c>
      <c r="P94" s="50"/>
      <c r="Q94" s="48" t="s">
        <v>37</v>
      </c>
      <c r="R94" s="50"/>
      <c r="S94" s="48" t="s">
        <v>37</v>
      </c>
      <c r="U94" t="s">
        <v>37</v>
      </c>
      <c r="W94" t="s">
        <v>37</v>
      </c>
      <c r="Y94" t="s">
        <v>37</v>
      </c>
      <c r="AA94" t="s">
        <v>37</v>
      </c>
      <c r="AC94" t="s">
        <v>37</v>
      </c>
      <c r="AE94" t="s">
        <v>37</v>
      </c>
      <c r="AG94" t="s">
        <v>37</v>
      </c>
      <c r="AI94" t="s">
        <v>37</v>
      </c>
      <c r="AK94" t="s">
        <v>37</v>
      </c>
      <c r="AM94" t="s">
        <v>37</v>
      </c>
      <c r="AO94" t="s">
        <v>37</v>
      </c>
      <c r="AQ94" t="s">
        <v>37</v>
      </c>
      <c r="AS94" t="s">
        <v>37</v>
      </c>
      <c r="AU94" t="s">
        <v>37</v>
      </c>
      <c r="AW94" t="s">
        <v>37</v>
      </c>
      <c r="AY94" t="s">
        <v>37</v>
      </c>
      <c r="BA94" t="s">
        <v>37</v>
      </c>
      <c r="BC94" t="s">
        <v>37</v>
      </c>
      <c r="BE94" t="s">
        <v>37</v>
      </c>
      <c r="BG94" t="s">
        <v>37</v>
      </c>
      <c r="BI94" t="s">
        <v>37</v>
      </c>
      <c r="BK94" t="s">
        <v>37</v>
      </c>
      <c r="BM94" t="s">
        <v>37</v>
      </c>
      <c r="BO94" t="s">
        <v>37</v>
      </c>
      <c r="BQ94" t="s">
        <v>37</v>
      </c>
      <c r="BS94" t="s">
        <v>37</v>
      </c>
      <c r="BU94" t="s">
        <v>37</v>
      </c>
      <c r="BW94" t="s">
        <v>37</v>
      </c>
      <c r="BY94" t="s">
        <v>37</v>
      </c>
      <c r="CA94" t="s">
        <v>37</v>
      </c>
      <c r="CC94" t="s">
        <v>37</v>
      </c>
      <c r="CE94" t="s">
        <v>37</v>
      </c>
      <c r="CG94" t="s">
        <v>37</v>
      </c>
      <c r="CI94" t="s">
        <v>37</v>
      </c>
      <c r="CK94" t="s">
        <v>37</v>
      </c>
      <c r="CM94" t="s">
        <v>37</v>
      </c>
      <c r="CO94" t="s">
        <v>37</v>
      </c>
      <c r="CQ94" t="s">
        <v>37</v>
      </c>
      <c r="CS94" t="s">
        <v>37</v>
      </c>
      <c r="CU94" t="s">
        <v>37</v>
      </c>
      <c r="CW94" t="s">
        <v>37</v>
      </c>
      <c r="CY94" t="s">
        <v>37</v>
      </c>
      <c r="DA94" t="s">
        <v>37</v>
      </c>
      <c r="DC94" t="s">
        <v>37</v>
      </c>
      <c r="DE94" t="s">
        <v>37</v>
      </c>
      <c r="DG94" t="s">
        <v>37</v>
      </c>
      <c r="DI94" t="s">
        <v>37</v>
      </c>
      <c r="DK94" t="s">
        <v>37</v>
      </c>
      <c r="DM94" t="s">
        <v>37</v>
      </c>
      <c r="DO94" t="s">
        <v>37</v>
      </c>
      <c r="DQ94" t="s">
        <v>37</v>
      </c>
      <c r="DS94" t="s">
        <v>37</v>
      </c>
      <c r="DU94" t="s">
        <v>37</v>
      </c>
      <c r="DW94" t="s">
        <v>37</v>
      </c>
      <c r="DY94" t="s">
        <v>37</v>
      </c>
      <c r="EA94" t="s">
        <v>37</v>
      </c>
      <c r="EC94" t="s">
        <v>37</v>
      </c>
      <c r="EE94" t="s">
        <v>37</v>
      </c>
      <c r="EG94" t="s">
        <v>37</v>
      </c>
      <c r="EI94" t="s">
        <v>37</v>
      </c>
      <c r="EK94" t="s">
        <v>37</v>
      </c>
      <c r="EM94" t="s">
        <v>37</v>
      </c>
      <c r="EO94" t="s">
        <v>37</v>
      </c>
      <c r="EQ94" t="s">
        <v>37</v>
      </c>
      <c r="ES94" t="s">
        <v>37</v>
      </c>
      <c r="EU94" t="s">
        <v>37</v>
      </c>
      <c r="EW94" t="s">
        <v>37</v>
      </c>
      <c r="EY94" t="s">
        <v>37</v>
      </c>
      <c r="FA94" t="s">
        <v>37</v>
      </c>
      <c r="FC94" t="s">
        <v>37</v>
      </c>
      <c r="FE94" t="s">
        <v>37</v>
      </c>
      <c r="FG94" t="s">
        <v>37</v>
      </c>
      <c r="FI94" t="s">
        <v>37</v>
      </c>
      <c r="FK94" t="s">
        <v>37</v>
      </c>
      <c r="FM94" t="s">
        <v>37</v>
      </c>
      <c r="FO94" t="s">
        <v>37</v>
      </c>
      <c r="FQ94" t="s">
        <v>37</v>
      </c>
      <c r="FS94" t="s">
        <v>37</v>
      </c>
      <c r="FU94" t="s">
        <v>37</v>
      </c>
      <c r="FW94" t="s">
        <v>37</v>
      </c>
      <c r="FY94" t="s">
        <v>37</v>
      </c>
      <c r="GA94" t="s">
        <v>37</v>
      </c>
      <c r="GC94" t="s">
        <v>37</v>
      </c>
      <c r="GE94" t="s">
        <v>37</v>
      </c>
      <c r="GG94" t="s">
        <v>37</v>
      </c>
      <c r="GI94" t="s">
        <v>37</v>
      </c>
      <c r="GK94" t="s">
        <v>37</v>
      </c>
      <c r="GM94" t="s">
        <v>37</v>
      </c>
      <c r="GO94" t="s">
        <v>37</v>
      </c>
      <c r="GQ94" t="s">
        <v>37</v>
      </c>
      <c r="GS94" t="s">
        <v>37</v>
      </c>
      <c r="GU94" t="s">
        <v>37</v>
      </c>
      <c r="GW94" t="s">
        <v>37</v>
      </c>
      <c r="GY94" t="s">
        <v>37</v>
      </c>
      <c r="HA94" t="s">
        <v>37</v>
      </c>
      <c r="HC94" t="s">
        <v>37</v>
      </c>
      <c r="HE94" t="s">
        <v>37</v>
      </c>
      <c r="HG94" t="s">
        <v>37</v>
      </c>
      <c r="HI94" t="s">
        <v>37</v>
      </c>
      <c r="HK94" t="s">
        <v>37</v>
      </c>
    </row>
    <row r="95" spans="1:219">
      <c r="A95">
        <v>3141</v>
      </c>
      <c r="B95" t="s">
        <v>120</v>
      </c>
      <c r="C95" t="s">
        <v>37</v>
      </c>
      <c r="E95" t="s">
        <v>37</v>
      </c>
      <c r="G95" t="s">
        <v>37</v>
      </c>
      <c r="I95" t="s">
        <v>37</v>
      </c>
      <c r="K95" s="48" t="s">
        <v>37</v>
      </c>
      <c r="L95" s="50"/>
      <c r="M95" s="48" t="s">
        <v>37</v>
      </c>
      <c r="N95" s="50"/>
      <c r="O95" s="48" t="s">
        <v>37</v>
      </c>
      <c r="P95" s="50"/>
      <c r="Q95" s="48" t="s">
        <v>37</v>
      </c>
      <c r="R95" s="50"/>
      <c r="S95" s="48" t="s">
        <v>37</v>
      </c>
      <c r="U95" t="s">
        <v>37</v>
      </c>
      <c r="W95" t="s">
        <v>37</v>
      </c>
      <c r="Y95" t="s">
        <v>37</v>
      </c>
      <c r="AA95" t="s">
        <v>37</v>
      </c>
      <c r="AC95" t="s">
        <v>37</v>
      </c>
      <c r="AE95" t="s">
        <v>37</v>
      </c>
      <c r="AG95" t="s">
        <v>37</v>
      </c>
      <c r="AI95" t="s">
        <v>37</v>
      </c>
      <c r="AK95" t="s">
        <v>37</v>
      </c>
      <c r="AM95" t="s">
        <v>37</v>
      </c>
      <c r="AO95" t="s">
        <v>37</v>
      </c>
      <c r="AQ95" t="s">
        <v>37</v>
      </c>
      <c r="AS95" t="s">
        <v>37</v>
      </c>
      <c r="AU95" t="s">
        <v>37</v>
      </c>
      <c r="AW95" t="s">
        <v>37</v>
      </c>
      <c r="AY95" t="s">
        <v>37</v>
      </c>
      <c r="BA95" t="s">
        <v>37</v>
      </c>
      <c r="BC95" t="s">
        <v>37</v>
      </c>
      <c r="BE95" t="s">
        <v>37</v>
      </c>
      <c r="BG95" t="s">
        <v>37</v>
      </c>
      <c r="BI95" t="s">
        <v>37</v>
      </c>
      <c r="BK95" t="s">
        <v>37</v>
      </c>
      <c r="BM95" t="s">
        <v>37</v>
      </c>
      <c r="BO95" t="s">
        <v>37</v>
      </c>
      <c r="BQ95" t="s">
        <v>37</v>
      </c>
      <c r="BS95" t="s">
        <v>37</v>
      </c>
      <c r="BU95" t="s">
        <v>37</v>
      </c>
      <c r="BW95" t="s">
        <v>37</v>
      </c>
      <c r="BY95" t="s">
        <v>37</v>
      </c>
      <c r="CA95" t="s">
        <v>37</v>
      </c>
      <c r="CC95" t="s">
        <v>37</v>
      </c>
      <c r="CE95" t="s">
        <v>37</v>
      </c>
      <c r="CG95" t="s">
        <v>37</v>
      </c>
      <c r="CI95" t="s">
        <v>37</v>
      </c>
      <c r="CK95" t="s">
        <v>37</v>
      </c>
      <c r="CM95" t="s">
        <v>37</v>
      </c>
      <c r="CO95" t="s">
        <v>37</v>
      </c>
      <c r="CQ95" t="s">
        <v>37</v>
      </c>
      <c r="CS95" t="s">
        <v>37</v>
      </c>
      <c r="CU95" t="s">
        <v>37</v>
      </c>
      <c r="CW95" t="s">
        <v>37</v>
      </c>
      <c r="CY95" t="s">
        <v>37</v>
      </c>
      <c r="DA95" t="s">
        <v>37</v>
      </c>
      <c r="DC95" t="s">
        <v>37</v>
      </c>
      <c r="DE95" t="s">
        <v>37</v>
      </c>
      <c r="DG95" t="s">
        <v>37</v>
      </c>
      <c r="DI95" t="s">
        <v>37</v>
      </c>
      <c r="DK95" t="s">
        <v>37</v>
      </c>
      <c r="DM95" t="s">
        <v>37</v>
      </c>
      <c r="DO95" t="s">
        <v>37</v>
      </c>
      <c r="DQ95" t="s">
        <v>37</v>
      </c>
      <c r="DS95" t="s">
        <v>37</v>
      </c>
      <c r="DU95" t="s">
        <v>37</v>
      </c>
      <c r="DW95" t="s">
        <v>37</v>
      </c>
      <c r="DY95" t="s">
        <v>37</v>
      </c>
      <c r="EA95" t="s">
        <v>37</v>
      </c>
      <c r="EC95" t="s">
        <v>37</v>
      </c>
      <c r="EE95" t="s">
        <v>37</v>
      </c>
      <c r="EG95" t="s">
        <v>37</v>
      </c>
      <c r="EI95" t="s">
        <v>37</v>
      </c>
      <c r="EK95" t="s">
        <v>37</v>
      </c>
      <c r="EM95" t="s">
        <v>37</v>
      </c>
      <c r="EO95" t="s">
        <v>37</v>
      </c>
      <c r="EQ95" t="s">
        <v>37</v>
      </c>
      <c r="ES95" t="s">
        <v>37</v>
      </c>
      <c r="EU95" t="s">
        <v>37</v>
      </c>
      <c r="EW95" t="s">
        <v>37</v>
      </c>
      <c r="EY95" t="s">
        <v>37</v>
      </c>
      <c r="FA95" t="s">
        <v>37</v>
      </c>
      <c r="FC95" t="s">
        <v>37</v>
      </c>
      <c r="FE95" t="s">
        <v>37</v>
      </c>
      <c r="FG95" t="s">
        <v>37</v>
      </c>
      <c r="FI95" t="s">
        <v>37</v>
      </c>
      <c r="FK95" t="s">
        <v>37</v>
      </c>
      <c r="FM95" t="s">
        <v>37</v>
      </c>
      <c r="FO95" t="s">
        <v>37</v>
      </c>
      <c r="FQ95" t="s">
        <v>37</v>
      </c>
      <c r="FS95" t="s">
        <v>37</v>
      </c>
      <c r="FU95" t="s">
        <v>37</v>
      </c>
      <c r="FW95" t="s">
        <v>37</v>
      </c>
      <c r="FY95" t="s">
        <v>37</v>
      </c>
      <c r="GA95" t="s">
        <v>37</v>
      </c>
      <c r="GC95" t="s">
        <v>37</v>
      </c>
      <c r="GE95" t="s">
        <v>37</v>
      </c>
      <c r="GG95" t="s">
        <v>37</v>
      </c>
      <c r="GI95" t="s">
        <v>37</v>
      </c>
      <c r="GK95" t="s">
        <v>37</v>
      </c>
      <c r="GM95" t="s">
        <v>37</v>
      </c>
      <c r="GO95" t="s">
        <v>37</v>
      </c>
      <c r="GQ95" t="s">
        <v>37</v>
      </c>
      <c r="GS95" t="s">
        <v>37</v>
      </c>
      <c r="GU95" t="s">
        <v>37</v>
      </c>
      <c r="GW95" t="s">
        <v>37</v>
      </c>
      <c r="GY95" t="s">
        <v>37</v>
      </c>
      <c r="HA95" t="s">
        <v>37</v>
      </c>
      <c r="HC95" t="s">
        <v>37</v>
      </c>
      <c r="HE95" t="s">
        <v>37</v>
      </c>
      <c r="HG95" t="s">
        <v>37</v>
      </c>
      <c r="HI95" t="s">
        <v>37</v>
      </c>
      <c r="HK95" t="s">
        <v>37</v>
      </c>
    </row>
    <row r="96" spans="1:219">
      <c r="A96">
        <v>3142</v>
      </c>
      <c r="B96" t="s">
        <v>121</v>
      </c>
      <c r="C96" t="s">
        <v>37</v>
      </c>
      <c r="D96">
        <v>3502</v>
      </c>
      <c r="E96" t="s">
        <v>37</v>
      </c>
      <c r="F96">
        <v>14786</v>
      </c>
      <c r="G96" t="s">
        <v>37</v>
      </c>
      <c r="H96">
        <v>1556</v>
      </c>
      <c r="I96" t="s">
        <v>37</v>
      </c>
      <c r="J96">
        <v>17898</v>
      </c>
      <c r="K96" s="48" t="s">
        <v>37</v>
      </c>
      <c r="L96" s="50"/>
      <c r="M96" s="48" t="s">
        <v>37</v>
      </c>
      <c r="N96" s="50"/>
      <c r="O96" s="48" t="s">
        <v>37</v>
      </c>
      <c r="P96" s="50"/>
      <c r="Q96" s="48" t="s">
        <v>37</v>
      </c>
      <c r="R96" s="50"/>
      <c r="S96" s="48" t="s">
        <v>37</v>
      </c>
      <c r="U96" t="s">
        <v>37</v>
      </c>
      <c r="W96" t="s">
        <v>37</v>
      </c>
      <c r="Y96" t="s">
        <v>37</v>
      </c>
      <c r="Z96">
        <v>1556</v>
      </c>
      <c r="AA96" t="s">
        <v>37</v>
      </c>
      <c r="AB96">
        <v>1167</v>
      </c>
      <c r="AC96" t="s">
        <v>37</v>
      </c>
      <c r="AD96">
        <v>778</v>
      </c>
      <c r="AE96" t="s">
        <v>37</v>
      </c>
      <c r="AF96">
        <v>778</v>
      </c>
      <c r="AG96" t="s">
        <v>37</v>
      </c>
      <c r="AH96">
        <v>1556</v>
      </c>
      <c r="AI96" t="s">
        <v>37</v>
      </c>
      <c r="AK96" t="s">
        <v>37</v>
      </c>
      <c r="AL96">
        <v>10895</v>
      </c>
      <c r="AM96" t="s">
        <v>37</v>
      </c>
      <c r="AO96" t="s">
        <v>37</v>
      </c>
      <c r="AP96">
        <v>12840</v>
      </c>
      <c r="AQ96" t="s">
        <v>37</v>
      </c>
      <c r="AR96">
        <v>1556</v>
      </c>
      <c r="AS96" t="s">
        <v>37</v>
      </c>
      <c r="AT96">
        <v>29571</v>
      </c>
      <c r="AU96" t="s">
        <v>37</v>
      </c>
      <c r="AV96">
        <v>7393</v>
      </c>
      <c r="AW96" t="s">
        <v>37</v>
      </c>
      <c r="AX96">
        <v>3502</v>
      </c>
      <c r="AY96" t="s">
        <v>37</v>
      </c>
      <c r="AZ96">
        <v>6225</v>
      </c>
      <c r="BA96" t="s">
        <v>37</v>
      </c>
      <c r="BB96">
        <v>1167</v>
      </c>
      <c r="BC96" t="s">
        <v>37</v>
      </c>
      <c r="BD96">
        <v>1945</v>
      </c>
      <c r="BE96" t="s">
        <v>37</v>
      </c>
      <c r="BF96">
        <v>778</v>
      </c>
      <c r="BG96" t="s">
        <v>37</v>
      </c>
      <c r="BI96" t="s">
        <v>37</v>
      </c>
      <c r="BJ96">
        <v>3891</v>
      </c>
      <c r="BK96" t="s">
        <v>37</v>
      </c>
      <c r="BL96">
        <v>7393</v>
      </c>
      <c r="BM96" t="s">
        <v>37</v>
      </c>
      <c r="BO96" t="s">
        <v>37</v>
      </c>
      <c r="BP96">
        <v>778</v>
      </c>
      <c r="BQ96" t="s">
        <v>37</v>
      </c>
      <c r="BR96">
        <v>2335</v>
      </c>
      <c r="BS96" t="s">
        <v>37</v>
      </c>
      <c r="BU96" t="s">
        <v>37</v>
      </c>
      <c r="BW96" t="s">
        <v>37</v>
      </c>
      <c r="BX96">
        <v>5447</v>
      </c>
      <c r="BY96" t="s">
        <v>37</v>
      </c>
      <c r="BZ96">
        <v>1946</v>
      </c>
      <c r="CA96" t="s">
        <v>37</v>
      </c>
      <c r="CC96" t="s">
        <v>37</v>
      </c>
      <c r="CD96">
        <v>2724</v>
      </c>
      <c r="CE96" t="s">
        <v>37</v>
      </c>
      <c r="CF96">
        <v>2724</v>
      </c>
      <c r="CG96" t="s">
        <v>37</v>
      </c>
      <c r="CH96">
        <v>7393</v>
      </c>
      <c r="CI96" t="s">
        <v>37</v>
      </c>
      <c r="CJ96">
        <v>778</v>
      </c>
      <c r="CK96" t="s">
        <v>37</v>
      </c>
      <c r="CL96">
        <v>3502</v>
      </c>
      <c r="CM96" t="s">
        <v>37</v>
      </c>
      <c r="CN96">
        <v>389</v>
      </c>
      <c r="CO96" t="s">
        <v>37</v>
      </c>
      <c r="CP96">
        <v>1167</v>
      </c>
      <c r="CQ96" t="s">
        <v>37</v>
      </c>
      <c r="CR96">
        <v>6615</v>
      </c>
      <c r="CS96" t="s">
        <v>37</v>
      </c>
      <c r="CT96">
        <v>33462</v>
      </c>
      <c r="CU96" t="s">
        <v>37</v>
      </c>
      <c r="CV96">
        <v>5836</v>
      </c>
      <c r="CW96" t="s">
        <v>37</v>
      </c>
      <c r="CX96">
        <v>1167</v>
      </c>
      <c r="CY96" t="s">
        <v>37</v>
      </c>
      <c r="CZ96">
        <v>1556</v>
      </c>
      <c r="DA96" t="s">
        <v>37</v>
      </c>
      <c r="DC96" t="s">
        <v>37</v>
      </c>
      <c r="DD96">
        <v>2724</v>
      </c>
      <c r="DE96" t="s">
        <v>37</v>
      </c>
      <c r="DF96">
        <v>1167</v>
      </c>
      <c r="DG96" t="s">
        <v>37</v>
      </c>
      <c r="DH96">
        <v>16731</v>
      </c>
      <c r="DI96" t="s">
        <v>37</v>
      </c>
      <c r="DJ96">
        <v>1167</v>
      </c>
      <c r="DK96" t="s">
        <v>37</v>
      </c>
      <c r="DL96">
        <v>7004</v>
      </c>
      <c r="DM96" t="s">
        <v>37</v>
      </c>
      <c r="DN96">
        <v>7004</v>
      </c>
      <c r="DO96" t="s">
        <v>37</v>
      </c>
      <c r="DP96">
        <v>3891</v>
      </c>
      <c r="DQ96" t="s">
        <v>37</v>
      </c>
      <c r="DR96">
        <v>2724</v>
      </c>
      <c r="DS96" t="s">
        <v>37</v>
      </c>
      <c r="DT96">
        <v>2335</v>
      </c>
      <c r="DU96" t="s">
        <v>37</v>
      </c>
      <c r="DV96">
        <v>7393</v>
      </c>
      <c r="DW96" t="s">
        <v>37</v>
      </c>
      <c r="DX96">
        <v>6225</v>
      </c>
      <c r="DY96" t="s">
        <v>37</v>
      </c>
      <c r="DZ96">
        <v>1556</v>
      </c>
      <c r="EA96" t="s">
        <v>37</v>
      </c>
      <c r="EB96">
        <v>1945</v>
      </c>
      <c r="EC96" t="s">
        <v>37</v>
      </c>
      <c r="EE96" t="s">
        <v>37</v>
      </c>
      <c r="EF96">
        <v>778</v>
      </c>
      <c r="EG96" t="s">
        <v>37</v>
      </c>
      <c r="EI96" t="s">
        <v>37</v>
      </c>
      <c r="EJ96">
        <v>1945</v>
      </c>
      <c r="EK96" t="s">
        <v>37</v>
      </c>
      <c r="EL96">
        <v>2335</v>
      </c>
      <c r="EM96" t="s">
        <v>37</v>
      </c>
      <c r="EN96">
        <v>1167</v>
      </c>
      <c r="EO96" t="s">
        <v>37</v>
      </c>
      <c r="EQ96" t="s">
        <v>37</v>
      </c>
      <c r="ER96">
        <v>3502</v>
      </c>
      <c r="ES96" t="s">
        <v>37</v>
      </c>
      <c r="ET96">
        <v>4280</v>
      </c>
      <c r="EU96" t="s">
        <v>37</v>
      </c>
      <c r="EV96">
        <v>7393</v>
      </c>
      <c r="EW96" t="s">
        <v>37</v>
      </c>
      <c r="EY96" t="s">
        <v>37</v>
      </c>
      <c r="EZ96">
        <v>2335</v>
      </c>
      <c r="FA96" t="s">
        <v>37</v>
      </c>
      <c r="FB96">
        <v>2335</v>
      </c>
      <c r="FC96" t="s">
        <v>37</v>
      </c>
      <c r="FD96">
        <v>4669</v>
      </c>
      <c r="FE96" t="s">
        <v>37</v>
      </c>
      <c r="FG96" t="s">
        <v>37</v>
      </c>
      <c r="FH96">
        <v>10116</v>
      </c>
      <c r="FI96" t="s">
        <v>37</v>
      </c>
      <c r="FJ96">
        <v>18677</v>
      </c>
      <c r="FK96" t="s">
        <v>37</v>
      </c>
      <c r="FL96">
        <v>9338</v>
      </c>
      <c r="FM96" t="s">
        <v>37</v>
      </c>
      <c r="FN96">
        <v>1556</v>
      </c>
      <c r="FO96" t="s">
        <v>37</v>
      </c>
      <c r="FP96">
        <v>2724</v>
      </c>
      <c r="FQ96" t="s">
        <v>37</v>
      </c>
      <c r="FR96">
        <v>5058</v>
      </c>
      <c r="FS96" t="s">
        <v>37</v>
      </c>
      <c r="FT96">
        <v>2724</v>
      </c>
      <c r="FU96" t="s">
        <v>37</v>
      </c>
      <c r="FV96">
        <v>1556</v>
      </c>
      <c r="FW96" t="s">
        <v>37</v>
      </c>
      <c r="FX96">
        <v>3502</v>
      </c>
      <c r="FY96" t="s">
        <v>37</v>
      </c>
      <c r="FZ96">
        <v>5836</v>
      </c>
      <c r="GA96" t="s">
        <v>37</v>
      </c>
      <c r="GB96">
        <v>5447</v>
      </c>
      <c r="GC96" t="s">
        <v>37</v>
      </c>
      <c r="GE96" t="s">
        <v>37</v>
      </c>
      <c r="GG96" t="s">
        <v>37</v>
      </c>
      <c r="GI96" t="s">
        <v>37</v>
      </c>
      <c r="GJ96">
        <v>5836</v>
      </c>
      <c r="GK96" t="s">
        <v>37</v>
      </c>
      <c r="GL96">
        <v>4280</v>
      </c>
      <c r="GM96" t="s">
        <v>37</v>
      </c>
      <c r="GO96" t="s">
        <v>37</v>
      </c>
      <c r="GP96">
        <v>3502</v>
      </c>
      <c r="GQ96" t="s">
        <v>37</v>
      </c>
      <c r="GR96">
        <v>4669</v>
      </c>
      <c r="GS96" t="s">
        <v>37</v>
      </c>
      <c r="GT96">
        <v>3113</v>
      </c>
      <c r="GU96" t="s">
        <v>37</v>
      </c>
      <c r="GV96">
        <v>3113</v>
      </c>
      <c r="GW96" t="s">
        <v>37</v>
      </c>
      <c r="GX96">
        <v>8949</v>
      </c>
      <c r="GY96" t="s">
        <v>37</v>
      </c>
      <c r="GZ96">
        <v>3113</v>
      </c>
      <c r="HA96" t="s">
        <v>37</v>
      </c>
      <c r="HC96" t="s">
        <v>37</v>
      </c>
      <c r="HE96" t="s">
        <v>37</v>
      </c>
      <c r="HF96">
        <v>404266</v>
      </c>
      <c r="HG96" t="s">
        <v>37</v>
      </c>
      <c r="HI96" t="s">
        <v>37</v>
      </c>
      <c r="HJ96">
        <v>404266</v>
      </c>
      <c r="HK96" t="s">
        <v>37</v>
      </c>
    </row>
    <row r="97" spans="1:219">
      <c r="A97">
        <v>3150</v>
      </c>
      <c r="B97" t="s">
        <v>122</v>
      </c>
      <c r="C97" t="s">
        <v>37</v>
      </c>
      <c r="E97" t="s">
        <v>37</v>
      </c>
      <c r="G97" t="s">
        <v>37</v>
      </c>
      <c r="I97" t="s">
        <v>37</v>
      </c>
      <c r="K97" s="48" t="s">
        <v>37</v>
      </c>
      <c r="L97" s="50"/>
      <c r="M97" s="48" t="s">
        <v>37</v>
      </c>
      <c r="N97" s="50"/>
      <c r="O97" s="48" t="s">
        <v>37</v>
      </c>
      <c r="P97" s="50"/>
      <c r="Q97" s="48" t="s">
        <v>37</v>
      </c>
      <c r="R97" s="50"/>
      <c r="S97" s="48" t="s">
        <v>37</v>
      </c>
      <c r="U97" t="s">
        <v>37</v>
      </c>
      <c r="W97" t="s">
        <v>37</v>
      </c>
      <c r="Y97" t="s">
        <v>37</v>
      </c>
      <c r="AA97" t="s">
        <v>37</v>
      </c>
      <c r="AC97" t="s">
        <v>37</v>
      </c>
      <c r="AE97" t="s">
        <v>37</v>
      </c>
      <c r="AG97" t="s">
        <v>37</v>
      </c>
      <c r="AI97" t="s">
        <v>37</v>
      </c>
      <c r="AK97" t="s">
        <v>37</v>
      </c>
      <c r="AM97" t="s">
        <v>37</v>
      </c>
      <c r="AO97" t="s">
        <v>37</v>
      </c>
      <c r="AQ97" t="s">
        <v>37</v>
      </c>
      <c r="AS97" t="s">
        <v>37</v>
      </c>
      <c r="AU97" t="s">
        <v>37</v>
      </c>
      <c r="AW97" t="s">
        <v>37</v>
      </c>
      <c r="AY97" t="s">
        <v>37</v>
      </c>
      <c r="BA97" t="s">
        <v>37</v>
      </c>
      <c r="BC97" t="s">
        <v>37</v>
      </c>
      <c r="BE97" t="s">
        <v>37</v>
      </c>
      <c r="BG97" t="s">
        <v>37</v>
      </c>
      <c r="BI97" t="s">
        <v>37</v>
      </c>
      <c r="BK97" t="s">
        <v>37</v>
      </c>
      <c r="BM97" t="s">
        <v>37</v>
      </c>
      <c r="BO97" t="s">
        <v>37</v>
      </c>
      <c r="BQ97" t="s">
        <v>37</v>
      </c>
      <c r="BS97" t="s">
        <v>37</v>
      </c>
      <c r="BU97" t="s">
        <v>37</v>
      </c>
      <c r="BW97" t="s">
        <v>37</v>
      </c>
      <c r="BY97" t="s">
        <v>37</v>
      </c>
      <c r="CA97" t="s">
        <v>37</v>
      </c>
      <c r="CC97" t="s">
        <v>37</v>
      </c>
      <c r="CE97" t="s">
        <v>37</v>
      </c>
      <c r="CG97" t="s">
        <v>37</v>
      </c>
      <c r="CI97" t="s">
        <v>37</v>
      </c>
      <c r="CK97" t="s">
        <v>37</v>
      </c>
      <c r="CM97" t="s">
        <v>37</v>
      </c>
      <c r="CO97" t="s">
        <v>37</v>
      </c>
      <c r="CQ97" t="s">
        <v>37</v>
      </c>
      <c r="CS97" t="s">
        <v>37</v>
      </c>
      <c r="CU97" t="s">
        <v>37</v>
      </c>
      <c r="CW97" t="s">
        <v>37</v>
      </c>
      <c r="CY97" t="s">
        <v>37</v>
      </c>
      <c r="DA97" t="s">
        <v>37</v>
      </c>
      <c r="DC97" t="s">
        <v>37</v>
      </c>
      <c r="DE97" t="s">
        <v>37</v>
      </c>
      <c r="DG97" t="s">
        <v>37</v>
      </c>
      <c r="DI97" t="s">
        <v>37</v>
      </c>
      <c r="DK97" t="s">
        <v>37</v>
      </c>
      <c r="DM97" t="s">
        <v>37</v>
      </c>
      <c r="DO97" t="s">
        <v>37</v>
      </c>
      <c r="DQ97" t="s">
        <v>37</v>
      </c>
      <c r="DS97" t="s">
        <v>37</v>
      </c>
      <c r="DU97" t="s">
        <v>37</v>
      </c>
      <c r="DW97" t="s">
        <v>37</v>
      </c>
      <c r="DY97" t="s">
        <v>37</v>
      </c>
      <c r="EA97" t="s">
        <v>37</v>
      </c>
      <c r="EC97" t="s">
        <v>37</v>
      </c>
      <c r="EE97" t="s">
        <v>37</v>
      </c>
      <c r="EG97" t="s">
        <v>37</v>
      </c>
      <c r="EI97" t="s">
        <v>37</v>
      </c>
      <c r="EK97" t="s">
        <v>37</v>
      </c>
      <c r="EM97" t="s">
        <v>37</v>
      </c>
      <c r="EO97" t="s">
        <v>37</v>
      </c>
      <c r="EQ97" t="s">
        <v>37</v>
      </c>
      <c r="ES97" t="s">
        <v>37</v>
      </c>
      <c r="EU97" t="s">
        <v>37</v>
      </c>
      <c r="EW97" t="s">
        <v>37</v>
      </c>
      <c r="EY97" t="s">
        <v>37</v>
      </c>
      <c r="FA97" t="s">
        <v>37</v>
      </c>
      <c r="FC97" t="s">
        <v>37</v>
      </c>
      <c r="FE97" t="s">
        <v>37</v>
      </c>
      <c r="FG97" t="s">
        <v>37</v>
      </c>
      <c r="FI97" t="s">
        <v>37</v>
      </c>
      <c r="FK97" t="s">
        <v>37</v>
      </c>
      <c r="FM97" t="s">
        <v>37</v>
      </c>
      <c r="FO97" t="s">
        <v>37</v>
      </c>
      <c r="FQ97" t="s">
        <v>37</v>
      </c>
      <c r="FS97" t="s">
        <v>37</v>
      </c>
      <c r="FU97" t="s">
        <v>37</v>
      </c>
      <c r="FW97" t="s">
        <v>37</v>
      </c>
      <c r="FY97" t="s">
        <v>37</v>
      </c>
      <c r="GA97" t="s">
        <v>37</v>
      </c>
      <c r="GC97" t="s">
        <v>37</v>
      </c>
      <c r="GE97" t="s">
        <v>37</v>
      </c>
      <c r="GG97" t="s">
        <v>37</v>
      </c>
      <c r="GI97" t="s">
        <v>37</v>
      </c>
      <c r="GK97" t="s">
        <v>37</v>
      </c>
      <c r="GM97" t="s">
        <v>37</v>
      </c>
      <c r="GO97" t="s">
        <v>37</v>
      </c>
      <c r="GQ97" t="s">
        <v>37</v>
      </c>
      <c r="GS97" t="s">
        <v>37</v>
      </c>
      <c r="GU97" t="s">
        <v>37</v>
      </c>
      <c r="GW97" t="s">
        <v>37</v>
      </c>
      <c r="GY97" t="s">
        <v>37</v>
      </c>
      <c r="HA97" t="s">
        <v>37</v>
      </c>
      <c r="HC97" t="s">
        <v>37</v>
      </c>
      <c r="HE97" t="s">
        <v>37</v>
      </c>
      <c r="HG97" t="s">
        <v>37</v>
      </c>
      <c r="HI97" t="s">
        <v>37</v>
      </c>
      <c r="HK97" t="s">
        <v>37</v>
      </c>
    </row>
    <row r="98" spans="1:219">
      <c r="A98">
        <v>3151</v>
      </c>
      <c r="B98" t="s">
        <v>123</v>
      </c>
      <c r="C98" t="s">
        <v>37</v>
      </c>
      <c r="E98" t="s">
        <v>37</v>
      </c>
      <c r="F98">
        <v>9409</v>
      </c>
      <c r="G98" t="s">
        <v>37</v>
      </c>
      <c r="H98">
        <v>3043</v>
      </c>
      <c r="I98" t="s">
        <v>37</v>
      </c>
      <c r="K98" s="48" t="s">
        <v>37</v>
      </c>
      <c r="L98" s="50"/>
      <c r="M98" s="48" t="s">
        <v>37</v>
      </c>
      <c r="N98" s="50"/>
      <c r="O98" s="48" t="s">
        <v>37</v>
      </c>
      <c r="P98" s="50"/>
      <c r="Q98" s="48" t="s">
        <v>37</v>
      </c>
      <c r="R98" s="50"/>
      <c r="S98" s="48" t="s">
        <v>37</v>
      </c>
      <c r="T98">
        <v>12480</v>
      </c>
      <c r="U98" t="s">
        <v>37</v>
      </c>
      <c r="W98" t="s">
        <v>37</v>
      </c>
      <c r="X98">
        <v>9892</v>
      </c>
      <c r="Y98" t="s">
        <v>37</v>
      </c>
      <c r="AA98" t="s">
        <v>37</v>
      </c>
      <c r="AC98" t="s">
        <v>37</v>
      </c>
      <c r="AE98" t="s">
        <v>37</v>
      </c>
      <c r="AG98" t="s">
        <v>37</v>
      </c>
      <c r="AI98" t="s">
        <v>37</v>
      </c>
      <c r="AK98" t="s">
        <v>37</v>
      </c>
      <c r="AL98">
        <v>9409</v>
      </c>
      <c r="AM98" t="s">
        <v>37</v>
      </c>
      <c r="AO98" t="s">
        <v>37</v>
      </c>
      <c r="AQ98" t="s">
        <v>37</v>
      </c>
      <c r="AR98">
        <v>10340</v>
      </c>
      <c r="AS98" t="s">
        <v>37</v>
      </c>
      <c r="AT98">
        <v>22480</v>
      </c>
      <c r="AU98" t="s">
        <v>37</v>
      </c>
      <c r="AV98">
        <v>13025</v>
      </c>
      <c r="AW98" t="s">
        <v>37</v>
      </c>
      <c r="AY98" t="s">
        <v>37</v>
      </c>
      <c r="BA98" t="s">
        <v>37</v>
      </c>
      <c r="BC98" t="s">
        <v>37</v>
      </c>
      <c r="BE98" t="s">
        <v>37</v>
      </c>
      <c r="BG98" t="s">
        <v>37</v>
      </c>
      <c r="BH98">
        <v>166948</v>
      </c>
      <c r="BI98" t="s">
        <v>37</v>
      </c>
      <c r="BJ98">
        <v>12480</v>
      </c>
      <c r="BK98" t="s">
        <v>37</v>
      </c>
      <c r="BL98">
        <v>12237</v>
      </c>
      <c r="BM98" t="s">
        <v>37</v>
      </c>
      <c r="BO98" t="s">
        <v>37</v>
      </c>
      <c r="BQ98" t="s">
        <v>37</v>
      </c>
      <c r="BS98" t="s">
        <v>37</v>
      </c>
      <c r="BU98" t="s">
        <v>37</v>
      </c>
      <c r="BW98" t="s">
        <v>37</v>
      </c>
      <c r="BX98">
        <v>12480</v>
      </c>
      <c r="BY98" t="s">
        <v>37</v>
      </c>
      <c r="CA98" t="s">
        <v>37</v>
      </c>
      <c r="CC98" t="s">
        <v>37</v>
      </c>
      <c r="CE98" t="s">
        <v>37</v>
      </c>
      <c r="CG98" t="s">
        <v>37</v>
      </c>
      <c r="CH98">
        <v>10712</v>
      </c>
      <c r="CI98" t="s">
        <v>37</v>
      </c>
      <c r="CK98" t="s">
        <v>37</v>
      </c>
      <c r="CM98" t="s">
        <v>37</v>
      </c>
      <c r="CO98" t="s">
        <v>37</v>
      </c>
      <c r="CQ98" t="s">
        <v>37</v>
      </c>
      <c r="CS98" t="s">
        <v>37</v>
      </c>
      <c r="CT98">
        <v>129120</v>
      </c>
      <c r="CU98" t="s">
        <v>37</v>
      </c>
      <c r="CV98">
        <v>9409</v>
      </c>
      <c r="CW98" t="s">
        <v>37</v>
      </c>
      <c r="CY98" t="s">
        <v>37</v>
      </c>
      <c r="DA98" t="s">
        <v>37</v>
      </c>
      <c r="DC98" t="s">
        <v>37</v>
      </c>
      <c r="DE98" t="s">
        <v>37</v>
      </c>
      <c r="DG98" t="s">
        <v>37</v>
      </c>
      <c r="DH98">
        <v>9469</v>
      </c>
      <c r="DI98" t="s">
        <v>37</v>
      </c>
      <c r="DK98" t="s">
        <v>37</v>
      </c>
      <c r="DL98">
        <v>8840</v>
      </c>
      <c r="DM98" t="s">
        <v>37</v>
      </c>
      <c r="DN98">
        <v>18273</v>
      </c>
      <c r="DO98" t="s">
        <v>37</v>
      </c>
      <c r="DP98">
        <v>5425</v>
      </c>
      <c r="DQ98" t="s">
        <v>37</v>
      </c>
      <c r="DS98" t="s">
        <v>37</v>
      </c>
      <c r="DU98" t="s">
        <v>37</v>
      </c>
      <c r="DW98" t="s">
        <v>37</v>
      </c>
      <c r="DX98">
        <v>10819</v>
      </c>
      <c r="DY98" t="s">
        <v>37</v>
      </c>
      <c r="EA98" t="s">
        <v>37</v>
      </c>
      <c r="EC98" t="s">
        <v>37</v>
      </c>
      <c r="EE98" t="s">
        <v>37</v>
      </c>
      <c r="EG98" t="s">
        <v>37</v>
      </c>
      <c r="EH98">
        <v>14703</v>
      </c>
      <c r="EI98" t="s">
        <v>37</v>
      </c>
      <c r="EK98" t="s">
        <v>37</v>
      </c>
      <c r="EM98" t="s">
        <v>37</v>
      </c>
      <c r="EO98" t="s">
        <v>37</v>
      </c>
      <c r="EQ98" t="s">
        <v>37</v>
      </c>
      <c r="ES98" t="s">
        <v>37</v>
      </c>
      <c r="EU98" t="s">
        <v>37</v>
      </c>
      <c r="EV98">
        <v>9409</v>
      </c>
      <c r="EW98" t="s">
        <v>37</v>
      </c>
      <c r="EY98" t="s">
        <v>37</v>
      </c>
      <c r="FA98" t="s">
        <v>37</v>
      </c>
      <c r="FC98" t="s">
        <v>37</v>
      </c>
      <c r="FE98" t="s">
        <v>37</v>
      </c>
      <c r="FG98" t="s">
        <v>37</v>
      </c>
      <c r="FH98">
        <v>1620</v>
      </c>
      <c r="FI98" t="s">
        <v>37</v>
      </c>
      <c r="FJ98">
        <v>12480</v>
      </c>
      <c r="FK98" t="s">
        <v>37</v>
      </c>
      <c r="FM98" t="s">
        <v>37</v>
      </c>
      <c r="FO98" t="s">
        <v>37</v>
      </c>
      <c r="FQ98" t="s">
        <v>37</v>
      </c>
      <c r="FS98" t="s">
        <v>37</v>
      </c>
      <c r="FU98" t="s">
        <v>37</v>
      </c>
      <c r="FW98" t="s">
        <v>37</v>
      </c>
      <c r="FY98" t="s">
        <v>37</v>
      </c>
      <c r="GA98" t="s">
        <v>37</v>
      </c>
      <c r="GB98">
        <v>9717</v>
      </c>
      <c r="GC98" t="s">
        <v>37</v>
      </c>
      <c r="GE98" t="s">
        <v>37</v>
      </c>
      <c r="GG98" t="s">
        <v>37</v>
      </c>
      <c r="GI98" t="s">
        <v>37</v>
      </c>
      <c r="GK98" t="s">
        <v>37</v>
      </c>
      <c r="GL98">
        <v>23230</v>
      </c>
      <c r="GM98" t="s">
        <v>37</v>
      </c>
      <c r="GO98" t="s">
        <v>37</v>
      </c>
      <c r="GP98">
        <v>3071</v>
      </c>
      <c r="GQ98" t="s">
        <v>37</v>
      </c>
      <c r="GS98" t="s">
        <v>37</v>
      </c>
      <c r="GU98" t="s">
        <v>37</v>
      </c>
      <c r="GW98" t="s">
        <v>37</v>
      </c>
      <c r="GX98">
        <v>14164</v>
      </c>
      <c r="GY98" t="s">
        <v>37</v>
      </c>
      <c r="HA98" t="s">
        <v>37</v>
      </c>
      <c r="HC98" t="s">
        <v>37</v>
      </c>
      <c r="HD98">
        <v>111656</v>
      </c>
      <c r="HE98" t="s">
        <v>37</v>
      </c>
      <c r="HF98">
        <v>584684</v>
      </c>
      <c r="HG98" t="s">
        <v>37</v>
      </c>
      <c r="HH98">
        <v>111656</v>
      </c>
      <c r="HI98" t="s">
        <v>37</v>
      </c>
      <c r="HJ98">
        <v>696340</v>
      </c>
      <c r="HK98" t="s">
        <v>37</v>
      </c>
    </row>
    <row r="99" spans="1:219">
      <c r="A99">
        <v>3152</v>
      </c>
      <c r="B99" t="s">
        <v>124</v>
      </c>
      <c r="C99" t="s">
        <v>37</v>
      </c>
      <c r="E99" t="s">
        <v>37</v>
      </c>
      <c r="G99" t="s">
        <v>37</v>
      </c>
      <c r="I99" t="s">
        <v>37</v>
      </c>
      <c r="K99" s="48" t="s">
        <v>37</v>
      </c>
      <c r="L99" s="50"/>
      <c r="M99" s="48" t="s">
        <v>37</v>
      </c>
      <c r="N99" s="50"/>
      <c r="O99" s="48" t="s">
        <v>37</v>
      </c>
      <c r="P99" s="50"/>
      <c r="Q99" s="48" t="s">
        <v>37</v>
      </c>
      <c r="R99" s="50"/>
      <c r="S99" s="48" t="s">
        <v>37</v>
      </c>
      <c r="U99" t="s">
        <v>37</v>
      </c>
      <c r="W99" t="s">
        <v>37</v>
      </c>
      <c r="Y99" t="s">
        <v>37</v>
      </c>
      <c r="AA99" t="s">
        <v>37</v>
      </c>
      <c r="AC99" t="s">
        <v>37</v>
      </c>
      <c r="AE99" t="s">
        <v>37</v>
      </c>
      <c r="AG99" t="s">
        <v>37</v>
      </c>
      <c r="AI99" t="s">
        <v>37</v>
      </c>
      <c r="AK99" t="s">
        <v>37</v>
      </c>
      <c r="AM99" t="s">
        <v>37</v>
      </c>
      <c r="AO99" t="s">
        <v>37</v>
      </c>
      <c r="AQ99" t="s">
        <v>37</v>
      </c>
      <c r="AS99" t="s">
        <v>37</v>
      </c>
      <c r="AU99" t="s">
        <v>37</v>
      </c>
      <c r="AW99" t="s">
        <v>37</v>
      </c>
      <c r="AY99" t="s">
        <v>37</v>
      </c>
      <c r="BA99" t="s">
        <v>37</v>
      </c>
      <c r="BC99" t="s">
        <v>37</v>
      </c>
      <c r="BE99" t="s">
        <v>37</v>
      </c>
      <c r="BG99" t="s">
        <v>37</v>
      </c>
      <c r="BH99">
        <v>50000</v>
      </c>
      <c r="BI99" t="s">
        <v>37</v>
      </c>
      <c r="BK99" t="s">
        <v>37</v>
      </c>
      <c r="BM99" t="s">
        <v>37</v>
      </c>
      <c r="BO99" t="s">
        <v>37</v>
      </c>
      <c r="BQ99" t="s">
        <v>37</v>
      </c>
      <c r="BR99">
        <v>4715</v>
      </c>
      <c r="BS99" t="s">
        <v>37</v>
      </c>
      <c r="BU99" t="s">
        <v>37</v>
      </c>
      <c r="BW99" t="s">
        <v>37</v>
      </c>
      <c r="BY99" t="s">
        <v>37</v>
      </c>
      <c r="CA99" t="s">
        <v>37</v>
      </c>
      <c r="CC99" t="s">
        <v>37</v>
      </c>
      <c r="CE99" t="s">
        <v>37</v>
      </c>
      <c r="CG99" t="s">
        <v>37</v>
      </c>
      <c r="CI99" t="s">
        <v>37</v>
      </c>
      <c r="CK99" t="s">
        <v>37</v>
      </c>
      <c r="CM99" t="s">
        <v>37</v>
      </c>
      <c r="CO99" t="s">
        <v>37</v>
      </c>
      <c r="CQ99" t="s">
        <v>37</v>
      </c>
      <c r="CS99" t="s">
        <v>37</v>
      </c>
      <c r="CU99" t="s">
        <v>37</v>
      </c>
      <c r="CW99" t="s">
        <v>37</v>
      </c>
      <c r="CY99" t="s">
        <v>37</v>
      </c>
      <c r="DA99" t="s">
        <v>37</v>
      </c>
      <c r="DC99" t="s">
        <v>37</v>
      </c>
      <c r="DE99" t="s">
        <v>37</v>
      </c>
      <c r="DG99" t="s">
        <v>37</v>
      </c>
      <c r="DI99" t="s">
        <v>37</v>
      </c>
      <c r="DK99" t="s">
        <v>37</v>
      </c>
      <c r="DM99" t="s">
        <v>37</v>
      </c>
      <c r="DO99" t="s">
        <v>37</v>
      </c>
      <c r="DQ99" t="s">
        <v>37</v>
      </c>
      <c r="DS99" t="s">
        <v>37</v>
      </c>
      <c r="DU99" t="s">
        <v>37</v>
      </c>
      <c r="DW99" t="s">
        <v>37</v>
      </c>
      <c r="DY99" t="s">
        <v>37</v>
      </c>
      <c r="EA99" t="s">
        <v>37</v>
      </c>
      <c r="EC99" t="s">
        <v>37</v>
      </c>
      <c r="EE99" t="s">
        <v>37</v>
      </c>
      <c r="EG99" t="s">
        <v>37</v>
      </c>
      <c r="EI99" t="s">
        <v>37</v>
      </c>
      <c r="EK99" t="s">
        <v>37</v>
      </c>
      <c r="EM99" t="s">
        <v>37</v>
      </c>
      <c r="EO99" t="s">
        <v>37</v>
      </c>
      <c r="EQ99" t="s">
        <v>37</v>
      </c>
      <c r="ES99" t="s">
        <v>37</v>
      </c>
      <c r="EU99" t="s">
        <v>37</v>
      </c>
      <c r="EW99" t="s">
        <v>37</v>
      </c>
      <c r="EY99" t="s">
        <v>37</v>
      </c>
      <c r="FA99" t="s">
        <v>37</v>
      </c>
      <c r="FC99" t="s">
        <v>37</v>
      </c>
      <c r="FE99" t="s">
        <v>37</v>
      </c>
      <c r="FG99" t="s">
        <v>37</v>
      </c>
      <c r="FI99" t="s">
        <v>37</v>
      </c>
      <c r="FK99" t="s">
        <v>37</v>
      </c>
      <c r="FM99" t="s">
        <v>37</v>
      </c>
      <c r="FO99" t="s">
        <v>37</v>
      </c>
      <c r="FQ99" t="s">
        <v>37</v>
      </c>
      <c r="FS99" t="s">
        <v>37</v>
      </c>
      <c r="FU99" t="s">
        <v>37</v>
      </c>
      <c r="FW99" t="s">
        <v>37</v>
      </c>
      <c r="FY99" t="s">
        <v>37</v>
      </c>
      <c r="GA99" t="s">
        <v>37</v>
      </c>
      <c r="GC99" t="s">
        <v>37</v>
      </c>
      <c r="GE99" t="s">
        <v>37</v>
      </c>
      <c r="GG99" t="s">
        <v>37</v>
      </c>
      <c r="GI99" t="s">
        <v>37</v>
      </c>
      <c r="GK99" t="s">
        <v>37</v>
      </c>
      <c r="GM99" t="s">
        <v>37</v>
      </c>
      <c r="GO99" t="s">
        <v>37</v>
      </c>
      <c r="GQ99" t="s">
        <v>37</v>
      </c>
      <c r="GS99" t="s">
        <v>37</v>
      </c>
      <c r="GU99" t="s">
        <v>37</v>
      </c>
      <c r="GW99" t="s">
        <v>37</v>
      </c>
      <c r="GY99" t="s">
        <v>37</v>
      </c>
      <c r="HA99" t="s">
        <v>37</v>
      </c>
      <c r="HC99" t="s">
        <v>37</v>
      </c>
      <c r="HE99" t="s">
        <v>37</v>
      </c>
      <c r="HF99">
        <v>54715</v>
      </c>
      <c r="HG99" t="s">
        <v>37</v>
      </c>
      <c r="HI99" t="s">
        <v>37</v>
      </c>
      <c r="HJ99">
        <v>54715</v>
      </c>
      <c r="HK99" t="s">
        <v>37</v>
      </c>
    </row>
    <row r="100" spans="1:219">
      <c r="A100">
        <v>3153</v>
      </c>
      <c r="B100" t="s">
        <v>125</v>
      </c>
      <c r="C100" t="s">
        <v>37</v>
      </c>
      <c r="E100" t="s">
        <v>37</v>
      </c>
      <c r="G100" t="s">
        <v>37</v>
      </c>
      <c r="I100" t="s">
        <v>37</v>
      </c>
      <c r="K100" s="48" t="s">
        <v>37</v>
      </c>
      <c r="L100" s="50"/>
      <c r="M100" s="48" t="s">
        <v>37</v>
      </c>
      <c r="N100" s="50"/>
      <c r="O100" s="48" t="s">
        <v>37</v>
      </c>
      <c r="P100" s="50"/>
      <c r="Q100" s="48" t="s">
        <v>37</v>
      </c>
      <c r="R100" s="50"/>
      <c r="S100" s="48" t="s">
        <v>37</v>
      </c>
      <c r="U100" t="s">
        <v>37</v>
      </c>
      <c r="W100" t="s">
        <v>37</v>
      </c>
      <c r="Y100" t="s">
        <v>37</v>
      </c>
      <c r="AA100" t="s">
        <v>37</v>
      </c>
      <c r="AC100" t="s">
        <v>37</v>
      </c>
      <c r="AE100" t="s">
        <v>37</v>
      </c>
      <c r="AG100" t="s">
        <v>37</v>
      </c>
      <c r="AI100" t="s">
        <v>37</v>
      </c>
      <c r="AK100" t="s">
        <v>37</v>
      </c>
      <c r="AM100" t="s">
        <v>37</v>
      </c>
      <c r="AO100" t="s">
        <v>37</v>
      </c>
      <c r="AQ100" t="s">
        <v>37</v>
      </c>
      <c r="AS100" t="s">
        <v>37</v>
      </c>
      <c r="AU100" t="s">
        <v>37</v>
      </c>
      <c r="AW100" t="s">
        <v>37</v>
      </c>
      <c r="AY100" t="s">
        <v>37</v>
      </c>
      <c r="BA100" t="s">
        <v>37</v>
      </c>
      <c r="BC100" t="s">
        <v>37</v>
      </c>
      <c r="BE100" t="s">
        <v>37</v>
      </c>
      <c r="BG100" t="s">
        <v>37</v>
      </c>
      <c r="BI100" t="s">
        <v>37</v>
      </c>
      <c r="BK100" t="s">
        <v>37</v>
      </c>
      <c r="BM100" t="s">
        <v>37</v>
      </c>
      <c r="BO100" t="s">
        <v>37</v>
      </c>
      <c r="BQ100" t="s">
        <v>37</v>
      </c>
      <c r="BS100" t="s">
        <v>37</v>
      </c>
      <c r="BU100" t="s">
        <v>37</v>
      </c>
      <c r="BW100" t="s">
        <v>37</v>
      </c>
      <c r="BY100" t="s">
        <v>37</v>
      </c>
      <c r="CA100" t="s">
        <v>37</v>
      </c>
      <c r="CC100" t="s">
        <v>37</v>
      </c>
      <c r="CE100" t="s">
        <v>37</v>
      </c>
      <c r="CG100" t="s">
        <v>37</v>
      </c>
      <c r="CI100" t="s">
        <v>37</v>
      </c>
      <c r="CK100" t="s">
        <v>37</v>
      </c>
      <c r="CM100" t="s">
        <v>37</v>
      </c>
      <c r="CO100" t="s">
        <v>37</v>
      </c>
      <c r="CQ100" t="s">
        <v>37</v>
      </c>
      <c r="CS100" t="s">
        <v>37</v>
      </c>
      <c r="CU100" t="s">
        <v>37</v>
      </c>
      <c r="CW100" t="s">
        <v>37</v>
      </c>
      <c r="CY100" t="s">
        <v>37</v>
      </c>
      <c r="DA100" t="s">
        <v>37</v>
      </c>
      <c r="DC100" t="s">
        <v>37</v>
      </c>
      <c r="DE100" t="s">
        <v>37</v>
      </c>
      <c r="DG100" t="s">
        <v>37</v>
      </c>
      <c r="DI100" t="s">
        <v>37</v>
      </c>
      <c r="DK100" t="s">
        <v>37</v>
      </c>
      <c r="DM100" t="s">
        <v>37</v>
      </c>
      <c r="DO100" t="s">
        <v>37</v>
      </c>
      <c r="DQ100" t="s">
        <v>37</v>
      </c>
      <c r="DS100" t="s">
        <v>37</v>
      </c>
      <c r="DU100" t="s">
        <v>37</v>
      </c>
      <c r="DW100" t="s">
        <v>37</v>
      </c>
      <c r="DY100" t="s">
        <v>37</v>
      </c>
      <c r="EA100" t="s">
        <v>37</v>
      </c>
      <c r="EC100" t="s">
        <v>37</v>
      </c>
      <c r="EE100" t="s">
        <v>37</v>
      </c>
      <c r="EG100" t="s">
        <v>37</v>
      </c>
      <c r="EI100" t="s">
        <v>37</v>
      </c>
      <c r="EK100" t="s">
        <v>37</v>
      </c>
      <c r="EM100" t="s">
        <v>37</v>
      </c>
      <c r="EO100" t="s">
        <v>37</v>
      </c>
      <c r="EQ100" t="s">
        <v>37</v>
      </c>
      <c r="ES100" t="s">
        <v>37</v>
      </c>
      <c r="EU100" t="s">
        <v>37</v>
      </c>
      <c r="EW100" t="s">
        <v>37</v>
      </c>
      <c r="EY100" t="s">
        <v>37</v>
      </c>
      <c r="FA100" t="s">
        <v>37</v>
      </c>
      <c r="FC100" t="s">
        <v>37</v>
      </c>
      <c r="FE100" t="s">
        <v>37</v>
      </c>
      <c r="FG100" t="s">
        <v>37</v>
      </c>
      <c r="FI100" t="s">
        <v>37</v>
      </c>
      <c r="FK100" t="s">
        <v>37</v>
      </c>
      <c r="FM100" t="s">
        <v>37</v>
      </c>
      <c r="FO100" t="s">
        <v>37</v>
      </c>
      <c r="FQ100" t="s">
        <v>37</v>
      </c>
      <c r="FS100" t="s">
        <v>37</v>
      </c>
      <c r="FU100" t="s">
        <v>37</v>
      </c>
      <c r="FW100" t="s">
        <v>37</v>
      </c>
      <c r="FY100" t="s">
        <v>37</v>
      </c>
      <c r="GA100" t="s">
        <v>37</v>
      </c>
      <c r="GC100" t="s">
        <v>37</v>
      </c>
      <c r="GE100" t="s">
        <v>37</v>
      </c>
      <c r="GG100" t="s">
        <v>37</v>
      </c>
      <c r="GI100" t="s">
        <v>37</v>
      </c>
      <c r="GK100" t="s">
        <v>37</v>
      </c>
      <c r="GM100" t="s">
        <v>37</v>
      </c>
      <c r="GO100" t="s">
        <v>37</v>
      </c>
      <c r="GQ100" t="s">
        <v>37</v>
      </c>
      <c r="GS100" t="s">
        <v>37</v>
      </c>
      <c r="GU100" t="s">
        <v>37</v>
      </c>
      <c r="GW100" t="s">
        <v>37</v>
      </c>
      <c r="GY100" t="s">
        <v>37</v>
      </c>
      <c r="HA100" t="s">
        <v>37</v>
      </c>
      <c r="HC100" t="s">
        <v>37</v>
      </c>
      <c r="HE100" t="s">
        <v>37</v>
      </c>
      <c r="HG100" t="s">
        <v>37</v>
      </c>
      <c r="HI100" t="s">
        <v>37</v>
      </c>
      <c r="HK100" t="s">
        <v>37</v>
      </c>
    </row>
    <row r="101" spans="1:219">
      <c r="A101">
        <v>3154</v>
      </c>
      <c r="B101" t="s">
        <v>126</v>
      </c>
      <c r="C101" t="s">
        <v>37</v>
      </c>
      <c r="E101" t="s">
        <v>37</v>
      </c>
      <c r="G101" t="s">
        <v>37</v>
      </c>
      <c r="I101" t="s">
        <v>37</v>
      </c>
      <c r="K101" s="48" t="s">
        <v>37</v>
      </c>
      <c r="L101" s="50"/>
      <c r="M101" s="48" t="s">
        <v>37</v>
      </c>
      <c r="N101" s="50"/>
      <c r="O101" s="48" t="s">
        <v>37</v>
      </c>
      <c r="P101" s="50"/>
      <c r="Q101" s="48" t="s">
        <v>37</v>
      </c>
      <c r="R101" s="50"/>
      <c r="S101" s="48" t="s">
        <v>37</v>
      </c>
      <c r="U101" t="s">
        <v>37</v>
      </c>
      <c r="W101" t="s">
        <v>37</v>
      </c>
      <c r="Y101" t="s">
        <v>37</v>
      </c>
      <c r="AA101" t="s">
        <v>37</v>
      </c>
      <c r="AC101" t="s">
        <v>37</v>
      </c>
      <c r="AE101" t="s">
        <v>37</v>
      </c>
      <c r="AG101" t="s">
        <v>37</v>
      </c>
      <c r="AI101" t="s">
        <v>37</v>
      </c>
      <c r="AK101" t="s">
        <v>37</v>
      </c>
      <c r="AM101" t="s">
        <v>37</v>
      </c>
      <c r="AO101" t="s">
        <v>37</v>
      </c>
      <c r="AQ101" t="s">
        <v>37</v>
      </c>
      <c r="AS101" t="s">
        <v>37</v>
      </c>
      <c r="AU101" t="s">
        <v>37</v>
      </c>
      <c r="AW101" t="s">
        <v>37</v>
      </c>
      <c r="AY101" t="s">
        <v>37</v>
      </c>
      <c r="BA101" t="s">
        <v>37</v>
      </c>
      <c r="BC101" t="s">
        <v>37</v>
      </c>
      <c r="BE101" t="s">
        <v>37</v>
      </c>
      <c r="BG101" t="s">
        <v>37</v>
      </c>
      <c r="BI101" t="s">
        <v>37</v>
      </c>
      <c r="BK101" t="s">
        <v>37</v>
      </c>
      <c r="BM101" t="s">
        <v>37</v>
      </c>
      <c r="BO101" t="s">
        <v>37</v>
      </c>
      <c r="BQ101" t="s">
        <v>37</v>
      </c>
      <c r="BS101" t="s">
        <v>37</v>
      </c>
      <c r="BU101" t="s">
        <v>37</v>
      </c>
      <c r="BW101" t="s">
        <v>37</v>
      </c>
      <c r="BY101" t="s">
        <v>37</v>
      </c>
      <c r="CA101" t="s">
        <v>37</v>
      </c>
      <c r="CC101" t="s">
        <v>37</v>
      </c>
      <c r="CE101" t="s">
        <v>37</v>
      </c>
      <c r="CG101" t="s">
        <v>37</v>
      </c>
      <c r="CI101" t="s">
        <v>37</v>
      </c>
      <c r="CK101" t="s">
        <v>37</v>
      </c>
      <c r="CM101" t="s">
        <v>37</v>
      </c>
      <c r="CO101" t="s">
        <v>37</v>
      </c>
      <c r="CQ101" t="s">
        <v>37</v>
      </c>
      <c r="CS101" t="s">
        <v>37</v>
      </c>
      <c r="CU101" t="s">
        <v>37</v>
      </c>
      <c r="CV101">
        <v>5947</v>
      </c>
      <c r="CW101" t="s">
        <v>37</v>
      </c>
      <c r="CY101" t="s">
        <v>37</v>
      </c>
      <c r="DA101" t="s">
        <v>37</v>
      </c>
      <c r="DC101" t="s">
        <v>37</v>
      </c>
      <c r="DD101">
        <v>8342</v>
      </c>
      <c r="DE101" t="s">
        <v>37</v>
      </c>
      <c r="DG101" t="s">
        <v>37</v>
      </c>
      <c r="DH101">
        <v>47347</v>
      </c>
      <c r="DI101" t="s">
        <v>37</v>
      </c>
      <c r="DK101" t="s">
        <v>37</v>
      </c>
      <c r="DL101">
        <v>28956</v>
      </c>
      <c r="DM101" t="s">
        <v>37</v>
      </c>
      <c r="DN101">
        <v>28318</v>
      </c>
      <c r="DO101" t="s">
        <v>37</v>
      </c>
      <c r="DP101">
        <v>23251</v>
      </c>
      <c r="DQ101" t="s">
        <v>37</v>
      </c>
      <c r="DS101" t="s">
        <v>37</v>
      </c>
      <c r="DU101" t="s">
        <v>37</v>
      </c>
      <c r="DV101">
        <v>64352</v>
      </c>
      <c r="DW101" t="s">
        <v>37</v>
      </c>
      <c r="DX101">
        <v>29384</v>
      </c>
      <c r="DY101" t="s">
        <v>37</v>
      </c>
      <c r="DZ101">
        <v>10606</v>
      </c>
      <c r="EA101" t="s">
        <v>37</v>
      </c>
      <c r="EC101" t="s">
        <v>37</v>
      </c>
      <c r="ED101">
        <v>20332</v>
      </c>
      <c r="EE101" t="s">
        <v>37</v>
      </c>
      <c r="EF101">
        <v>10893</v>
      </c>
      <c r="EG101" t="s">
        <v>37</v>
      </c>
      <c r="EH101">
        <v>19413</v>
      </c>
      <c r="EI101" t="s">
        <v>37</v>
      </c>
      <c r="EK101" t="s">
        <v>37</v>
      </c>
      <c r="EM101" t="s">
        <v>37</v>
      </c>
      <c r="EO101" t="s">
        <v>37</v>
      </c>
      <c r="EQ101" t="s">
        <v>37</v>
      </c>
      <c r="ER101">
        <v>15163</v>
      </c>
      <c r="ES101" t="s">
        <v>37</v>
      </c>
      <c r="ET101">
        <v>28500</v>
      </c>
      <c r="EU101" t="s">
        <v>37</v>
      </c>
      <c r="EV101">
        <v>29701</v>
      </c>
      <c r="EW101" t="s">
        <v>37</v>
      </c>
      <c r="EY101" t="s">
        <v>37</v>
      </c>
      <c r="FA101" t="s">
        <v>37</v>
      </c>
      <c r="FC101" t="s">
        <v>37</v>
      </c>
      <c r="FE101" t="s">
        <v>37</v>
      </c>
      <c r="FG101" t="s">
        <v>37</v>
      </c>
      <c r="FH101">
        <v>87592</v>
      </c>
      <c r="FI101" t="s">
        <v>37</v>
      </c>
      <c r="FJ101">
        <v>197676</v>
      </c>
      <c r="FK101" t="s">
        <v>37</v>
      </c>
      <c r="FL101">
        <v>36169</v>
      </c>
      <c r="FM101" t="s">
        <v>37</v>
      </c>
      <c r="FN101">
        <v>13511</v>
      </c>
      <c r="FO101" t="s">
        <v>37</v>
      </c>
      <c r="FQ101" t="s">
        <v>37</v>
      </c>
      <c r="FS101" t="s">
        <v>37</v>
      </c>
      <c r="FU101" t="s">
        <v>37</v>
      </c>
      <c r="FW101" t="s">
        <v>37</v>
      </c>
      <c r="FY101" t="s">
        <v>37</v>
      </c>
      <c r="GA101" t="s">
        <v>37</v>
      </c>
      <c r="GB101">
        <v>90551</v>
      </c>
      <c r="GC101" t="s">
        <v>37</v>
      </c>
      <c r="GE101" t="s">
        <v>37</v>
      </c>
      <c r="GG101" t="s">
        <v>37</v>
      </c>
      <c r="GI101" t="s">
        <v>37</v>
      </c>
      <c r="GK101" t="s">
        <v>37</v>
      </c>
      <c r="GL101">
        <v>177115</v>
      </c>
      <c r="GM101" t="s">
        <v>37</v>
      </c>
      <c r="GO101" t="s">
        <v>37</v>
      </c>
      <c r="GP101">
        <v>9301</v>
      </c>
      <c r="GQ101" t="s">
        <v>37</v>
      </c>
      <c r="GR101">
        <v>23688</v>
      </c>
      <c r="GS101" t="s">
        <v>37</v>
      </c>
      <c r="GU101" t="s">
        <v>37</v>
      </c>
      <c r="GV101">
        <v>43070</v>
      </c>
      <c r="GW101" t="s">
        <v>37</v>
      </c>
      <c r="GX101">
        <v>32978</v>
      </c>
      <c r="GY101" t="s">
        <v>37</v>
      </c>
      <c r="HA101" t="s">
        <v>37</v>
      </c>
      <c r="HC101" t="s">
        <v>37</v>
      </c>
      <c r="HE101" t="s">
        <v>37</v>
      </c>
      <c r="HF101">
        <v>1082156</v>
      </c>
      <c r="HG101" t="s">
        <v>37</v>
      </c>
      <c r="HI101" t="s">
        <v>37</v>
      </c>
      <c r="HJ101">
        <v>1082156</v>
      </c>
      <c r="HK101" t="s">
        <v>37</v>
      </c>
    </row>
    <row r="102" spans="1:219">
      <c r="A102">
        <v>3160</v>
      </c>
      <c r="B102" t="s">
        <v>127</v>
      </c>
      <c r="C102" t="s">
        <v>37</v>
      </c>
      <c r="D102">
        <v>244234</v>
      </c>
      <c r="E102" t="s">
        <v>37</v>
      </c>
      <c r="F102">
        <v>1563886</v>
      </c>
      <c r="G102" t="s">
        <v>37</v>
      </c>
      <c r="H102">
        <v>196696</v>
      </c>
      <c r="I102" t="s">
        <v>37</v>
      </c>
      <c r="K102" s="48" t="s">
        <v>37</v>
      </c>
      <c r="L102" s="51">
        <v>398537</v>
      </c>
      <c r="M102" s="48" t="s">
        <v>37</v>
      </c>
      <c r="N102" s="51">
        <v>210353</v>
      </c>
      <c r="O102" s="48" t="s">
        <v>37</v>
      </c>
      <c r="P102" s="51">
        <v>253620</v>
      </c>
      <c r="Q102" s="48" t="s">
        <v>37</v>
      </c>
      <c r="R102" s="51">
        <v>205152</v>
      </c>
      <c r="S102" s="48" t="s">
        <v>37</v>
      </c>
      <c r="T102">
        <v>707555</v>
      </c>
      <c r="U102" t="s">
        <v>37</v>
      </c>
      <c r="W102" t="s">
        <v>37</v>
      </c>
      <c r="Y102" t="s">
        <v>37</v>
      </c>
      <c r="Z102">
        <v>116421</v>
      </c>
      <c r="AA102" t="s">
        <v>37</v>
      </c>
      <c r="AB102">
        <v>85868</v>
      </c>
      <c r="AC102" t="s">
        <v>37</v>
      </c>
      <c r="AD102">
        <v>47547</v>
      </c>
      <c r="AE102" t="s">
        <v>37</v>
      </c>
      <c r="AF102">
        <v>64935</v>
      </c>
      <c r="AG102" t="s">
        <v>37</v>
      </c>
      <c r="AH102">
        <v>180061</v>
      </c>
      <c r="AI102" t="s">
        <v>37</v>
      </c>
      <c r="AK102" t="s">
        <v>37</v>
      </c>
      <c r="AL102">
        <v>1087572</v>
      </c>
      <c r="AM102" t="s">
        <v>37</v>
      </c>
      <c r="AO102" t="s">
        <v>37</v>
      </c>
      <c r="AP102">
        <v>1810347</v>
      </c>
      <c r="AQ102" t="s">
        <v>37</v>
      </c>
      <c r="AR102">
        <v>171735</v>
      </c>
      <c r="AS102" t="s">
        <v>37</v>
      </c>
      <c r="AT102">
        <v>2275337</v>
      </c>
      <c r="AU102" t="s">
        <v>37</v>
      </c>
      <c r="AV102">
        <v>498475</v>
      </c>
      <c r="AW102" t="s">
        <v>37</v>
      </c>
      <c r="AX102">
        <v>459586</v>
      </c>
      <c r="AY102" t="s">
        <v>37</v>
      </c>
      <c r="AZ102">
        <v>684660</v>
      </c>
      <c r="BA102" t="s">
        <v>37</v>
      </c>
      <c r="BB102">
        <v>137915</v>
      </c>
      <c r="BC102" t="s">
        <v>37</v>
      </c>
      <c r="BD102">
        <v>205818</v>
      </c>
      <c r="BE102" t="s">
        <v>37</v>
      </c>
      <c r="BF102">
        <v>102939</v>
      </c>
      <c r="BG102" t="s">
        <v>37</v>
      </c>
      <c r="BI102" t="s">
        <v>37</v>
      </c>
      <c r="BJ102">
        <v>809278</v>
      </c>
      <c r="BK102" t="s">
        <v>37</v>
      </c>
      <c r="BL102">
        <v>998716</v>
      </c>
      <c r="BM102" t="s">
        <v>37</v>
      </c>
      <c r="BO102" t="s">
        <v>37</v>
      </c>
      <c r="BP102">
        <v>105517</v>
      </c>
      <c r="BQ102" t="s">
        <v>37</v>
      </c>
      <c r="BR102">
        <v>186851</v>
      </c>
      <c r="BS102" t="s">
        <v>37</v>
      </c>
      <c r="BT102">
        <v>101905</v>
      </c>
      <c r="BU102" t="s">
        <v>37</v>
      </c>
      <c r="BW102" t="s">
        <v>37</v>
      </c>
      <c r="BX102">
        <v>1127768</v>
      </c>
      <c r="BY102" t="s">
        <v>37</v>
      </c>
      <c r="BZ102">
        <v>330053</v>
      </c>
      <c r="CA102" t="s">
        <v>37</v>
      </c>
      <c r="CC102" t="s">
        <v>37</v>
      </c>
      <c r="CD102">
        <v>357016</v>
      </c>
      <c r="CE102" t="s">
        <v>37</v>
      </c>
      <c r="CF102">
        <v>448655</v>
      </c>
      <c r="CG102" t="s">
        <v>37</v>
      </c>
      <c r="CH102">
        <v>718997</v>
      </c>
      <c r="CI102" t="s">
        <v>37</v>
      </c>
      <c r="CJ102">
        <v>91170</v>
      </c>
      <c r="CK102" t="s">
        <v>37</v>
      </c>
      <c r="CL102">
        <v>266639</v>
      </c>
      <c r="CM102" t="s">
        <v>37</v>
      </c>
      <c r="CN102">
        <v>74529</v>
      </c>
      <c r="CO102" t="s">
        <v>37</v>
      </c>
      <c r="CP102">
        <v>63470</v>
      </c>
      <c r="CQ102" t="s">
        <v>37</v>
      </c>
      <c r="CR102">
        <v>736036</v>
      </c>
      <c r="CS102" t="s">
        <v>37</v>
      </c>
      <c r="CT102">
        <v>2791205</v>
      </c>
      <c r="CU102" t="s">
        <v>37</v>
      </c>
      <c r="CV102">
        <v>478773</v>
      </c>
      <c r="CW102" t="s">
        <v>37</v>
      </c>
      <c r="CX102">
        <v>67279</v>
      </c>
      <c r="CY102" t="s">
        <v>37</v>
      </c>
      <c r="CZ102">
        <v>72931</v>
      </c>
      <c r="DA102" t="s">
        <v>37</v>
      </c>
      <c r="DC102" t="s">
        <v>37</v>
      </c>
      <c r="DD102">
        <v>213566</v>
      </c>
      <c r="DE102" t="s">
        <v>37</v>
      </c>
      <c r="DF102">
        <v>135688</v>
      </c>
      <c r="DG102" t="s">
        <v>37</v>
      </c>
      <c r="DH102">
        <v>2231248</v>
      </c>
      <c r="DI102" t="s">
        <v>37</v>
      </c>
      <c r="DJ102">
        <v>269668</v>
      </c>
      <c r="DK102" t="s">
        <v>37</v>
      </c>
      <c r="DL102">
        <v>737256</v>
      </c>
      <c r="DM102" t="s">
        <v>37</v>
      </c>
      <c r="DN102">
        <v>703539</v>
      </c>
      <c r="DO102" t="s">
        <v>37</v>
      </c>
      <c r="DP102">
        <v>385075</v>
      </c>
      <c r="DQ102" t="s">
        <v>37</v>
      </c>
      <c r="DR102">
        <v>209326</v>
      </c>
      <c r="DS102" t="s">
        <v>37</v>
      </c>
      <c r="DT102">
        <v>315331</v>
      </c>
      <c r="DU102" t="s">
        <v>37</v>
      </c>
      <c r="DV102">
        <v>1422282</v>
      </c>
      <c r="DW102" t="s">
        <v>37</v>
      </c>
      <c r="DX102">
        <v>543975</v>
      </c>
      <c r="DY102" t="s">
        <v>37</v>
      </c>
      <c r="DZ102">
        <v>170655</v>
      </c>
      <c r="EA102" t="s">
        <v>37</v>
      </c>
      <c r="EB102">
        <v>279043</v>
      </c>
      <c r="EC102" t="s">
        <v>37</v>
      </c>
      <c r="ED102">
        <v>697769</v>
      </c>
      <c r="EE102" t="s">
        <v>37</v>
      </c>
      <c r="EF102">
        <v>113595</v>
      </c>
      <c r="EG102" t="s">
        <v>37</v>
      </c>
      <c r="EI102" t="s">
        <v>37</v>
      </c>
      <c r="EJ102">
        <v>218556</v>
      </c>
      <c r="EK102" t="s">
        <v>37</v>
      </c>
      <c r="EL102">
        <v>110705</v>
      </c>
      <c r="EM102" t="s">
        <v>37</v>
      </c>
      <c r="EN102">
        <v>135223</v>
      </c>
      <c r="EO102" t="s">
        <v>37</v>
      </c>
      <c r="EQ102" t="s">
        <v>37</v>
      </c>
      <c r="ER102">
        <v>460288</v>
      </c>
      <c r="ES102" t="s">
        <v>37</v>
      </c>
      <c r="ET102">
        <v>446574</v>
      </c>
      <c r="EU102" t="s">
        <v>37</v>
      </c>
      <c r="EV102">
        <v>775524</v>
      </c>
      <c r="EW102" t="s">
        <v>37</v>
      </c>
      <c r="EY102" t="s">
        <v>37</v>
      </c>
      <c r="EZ102">
        <v>427172</v>
      </c>
      <c r="FA102" t="s">
        <v>37</v>
      </c>
      <c r="FB102">
        <v>356152</v>
      </c>
      <c r="FC102" t="s">
        <v>37</v>
      </c>
      <c r="FD102">
        <v>473442</v>
      </c>
      <c r="FE102" t="s">
        <v>37</v>
      </c>
      <c r="FG102" t="s">
        <v>37</v>
      </c>
      <c r="FH102">
        <v>1003486</v>
      </c>
      <c r="FI102" t="s">
        <v>37</v>
      </c>
      <c r="FJ102">
        <v>1492491</v>
      </c>
      <c r="FK102" t="s">
        <v>37</v>
      </c>
      <c r="FL102">
        <v>798812</v>
      </c>
      <c r="FM102" t="s">
        <v>37</v>
      </c>
      <c r="FN102">
        <v>230140</v>
      </c>
      <c r="FO102" t="s">
        <v>37</v>
      </c>
      <c r="FP102">
        <v>227450</v>
      </c>
      <c r="FQ102" t="s">
        <v>37</v>
      </c>
      <c r="FR102">
        <v>407943</v>
      </c>
      <c r="FS102" t="s">
        <v>37</v>
      </c>
      <c r="FT102">
        <v>188067</v>
      </c>
      <c r="FU102" t="s">
        <v>37</v>
      </c>
      <c r="FV102">
        <v>154246</v>
      </c>
      <c r="FW102" t="s">
        <v>37</v>
      </c>
      <c r="FX102">
        <v>267577</v>
      </c>
      <c r="FY102" t="s">
        <v>37</v>
      </c>
      <c r="FZ102">
        <v>403192</v>
      </c>
      <c r="GA102" t="s">
        <v>37</v>
      </c>
      <c r="GB102">
        <v>521944</v>
      </c>
      <c r="GC102" t="s">
        <v>37</v>
      </c>
      <c r="GE102" t="s">
        <v>37</v>
      </c>
      <c r="GG102" t="s">
        <v>37</v>
      </c>
      <c r="GI102" t="s">
        <v>37</v>
      </c>
      <c r="GJ102">
        <v>830852</v>
      </c>
      <c r="GK102" t="s">
        <v>37</v>
      </c>
      <c r="GL102">
        <v>289747</v>
      </c>
      <c r="GM102" t="s">
        <v>37</v>
      </c>
      <c r="GO102" t="s">
        <v>37</v>
      </c>
      <c r="GP102">
        <v>315559</v>
      </c>
      <c r="GQ102" t="s">
        <v>37</v>
      </c>
      <c r="GR102">
        <v>638606</v>
      </c>
      <c r="GS102" t="s">
        <v>37</v>
      </c>
      <c r="GT102">
        <v>425627</v>
      </c>
      <c r="GU102" t="s">
        <v>37</v>
      </c>
      <c r="GV102">
        <v>324683</v>
      </c>
      <c r="GW102" t="s">
        <v>37</v>
      </c>
      <c r="GX102">
        <v>770927</v>
      </c>
      <c r="GY102" t="s">
        <v>37</v>
      </c>
      <c r="GZ102">
        <v>301542</v>
      </c>
      <c r="HA102" t="s">
        <v>37</v>
      </c>
      <c r="HC102" t="s">
        <v>37</v>
      </c>
      <c r="HE102" t="s">
        <v>37</v>
      </c>
      <c r="HF102">
        <v>42960580</v>
      </c>
      <c r="HG102" t="s">
        <v>37</v>
      </c>
      <c r="HI102" t="s">
        <v>37</v>
      </c>
      <c r="HJ102">
        <v>42960580</v>
      </c>
      <c r="HK102" t="s">
        <v>37</v>
      </c>
    </row>
    <row r="103" spans="1:219">
      <c r="A103">
        <v>3161</v>
      </c>
      <c r="B103" t="s">
        <v>128</v>
      </c>
      <c r="C103" t="s">
        <v>37</v>
      </c>
      <c r="D103">
        <v>8709</v>
      </c>
      <c r="E103" t="s">
        <v>37</v>
      </c>
      <c r="G103" t="s">
        <v>37</v>
      </c>
      <c r="H103">
        <v>6791</v>
      </c>
      <c r="I103" t="s">
        <v>37</v>
      </c>
      <c r="K103" s="48" t="s">
        <v>37</v>
      </c>
      <c r="L103" s="50"/>
      <c r="M103" s="48" t="s">
        <v>37</v>
      </c>
      <c r="N103" s="51">
        <v>3949</v>
      </c>
      <c r="O103" s="48" t="s">
        <v>37</v>
      </c>
      <c r="P103" s="50"/>
      <c r="Q103" s="48" t="s">
        <v>37</v>
      </c>
      <c r="R103" s="51">
        <v>4131</v>
      </c>
      <c r="S103" s="48" t="s">
        <v>37</v>
      </c>
      <c r="U103" t="s">
        <v>37</v>
      </c>
      <c r="W103" t="s">
        <v>37</v>
      </c>
      <c r="Y103" t="s">
        <v>37</v>
      </c>
      <c r="Z103">
        <v>3038</v>
      </c>
      <c r="AA103" t="s">
        <v>37</v>
      </c>
      <c r="AC103" t="s">
        <v>37</v>
      </c>
      <c r="AD103">
        <v>4517</v>
      </c>
      <c r="AE103" t="s">
        <v>37</v>
      </c>
      <c r="AF103">
        <v>2953</v>
      </c>
      <c r="AG103" t="s">
        <v>37</v>
      </c>
      <c r="AH103">
        <v>3292</v>
      </c>
      <c r="AI103" t="s">
        <v>37</v>
      </c>
      <c r="AK103" t="s">
        <v>37</v>
      </c>
      <c r="AL103">
        <v>3012</v>
      </c>
      <c r="AM103" t="s">
        <v>37</v>
      </c>
      <c r="AO103" t="s">
        <v>37</v>
      </c>
      <c r="AQ103" t="s">
        <v>37</v>
      </c>
      <c r="AR103">
        <v>9417</v>
      </c>
      <c r="AS103" t="s">
        <v>37</v>
      </c>
      <c r="AT103">
        <v>119922</v>
      </c>
      <c r="AU103" t="s">
        <v>37</v>
      </c>
      <c r="AV103">
        <v>20444</v>
      </c>
      <c r="AW103" t="s">
        <v>37</v>
      </c>
      <c r="AY103" t="s">
        <v>37</v>
      </c>
      <c r="AZ103">
        <v>22068</v>
      </c>
      <c r="BA103" t="s">
        <v>37</v>
      </c>
      <c r="BB103">
        <v>1892</v>
      </c>
      <c r="BC103" t="s">
        <v>37</v>
      </c>
      <c r="BD103">
        <v>5209</v>
      </c>
      <c r="BE103" t="s">
        <v>37</v>
      </c>
      <c r="BF103">
        <v>2195</v>
      </c>
      <c r="BG103" t="s">
        <v>37</v>
      </c>
      <c r="BI103" t="s">
        <v>37</v>
      </c>
      <c r="BJ103">
        <v>2076</v>
      </c>
      <c r="BK103" t="s">
        <v>37</v>
      </c>
      <c r="BM103" t="s">
        <v>37</v>
      </c>
      <c r="BO103" t="s">
        <v>37</v>
      </c>
      <c r="BP103">
        <v>3653</v>
      </c>
      <c r="BQ103" t="s">
        <v>37</v>
      </c>
      <c r="BS103" t="s">
        <v>37</v>
      </c>
      <c r="BU103" t="s">
        <v>37</v>
      </c>
      <c r="BW103" t="s">
        <v>37</v>
      </c>
      <c r="BX103">
        <v>40083</v>
      </c>
      <c r="BY103" t="s">
        <v>37</v>
      </c>
      <c r="BZ103">
        <v>16515</v>
      </c>
      <c r="CA103" t="s">
        <v>37</v>
      </c>
      <c r="CC103" t="s">
        <v>37</v>
      </c>
      <c r="CE103" t="s">
        <v>37</v>
      </c>
      <c r="CG103" t="s">
        <v>37</v>
      </c>
      <c r="CI103" t="s">
        <v>37</v>
      </c>
      <c r="CK103" t="s">
        <v>37</v>
      </c>
      <c r="CM103" t="s">
        <v>37</v>
      </c>
      <c r="CO103" t="s">
        <v>37</v>
      </c>
      <c r="CQ103" t="s">
        <v>37</v>
      </c>
      <c r="CR103">
        <v>34183</v>
      </c>
      <c r="CS103" t="s">
        <v>37</v>
      </c>
      <c r="CU103" t="s">
        <v>37</v>
      </c>
      <c r="CW103" t="s">
        <v>37</v>
      </c>
      <c r="CY103" t="s">
        <v>37</v>
      </c>
      <c r="DA103" t="s">
        <v>37</v>
      </c>
      <c r="DC103" t="s">
        <v>37</v>
      </c>
      <c r="DD103">
        <v>21306</v>
      </c>
      <c r="DE103" t="s">
        <v>37</v>
      </c>
      <c r="DF103">
        <v>3856</v>
      </c>
      <c r="DG103" t="s">
        <v>37</v>
      </c>
      <c r="DH103">
        <v>76865</v>
      </c>
      <c r="DI103" t="s">
        <v>37</v>
      </c>
      <c r="DJ103">
        <v>21847</v>
      </c>
      <c r="DK103" t="s">
        <v>37</v>
      </c>
      <c r="DM103" t="s">
        <v>37</v>
      </c>
      <c r="DN103">
        <v>16135</v>
      </c>
      <c r="DO103" t="s">
        <v>37</v>
      </c>
      <c r="DQ103" t="s">
        <v>37</v>
      </c>
      <c r="DS103" t="s">
        <v>37</v>
      </c>
      <c r="DT103">
        <v>15498</v>
      </c>
      <c r="DU103" t="s">
        <v>37</v>
      </c>
      <c r="DV103">
        <v>6880</v>
      </c>
      <c r="DW103" t="s">
        <v>37</v>
      </c>
      <c r="DX103">
        <v>23602</v>
      </c>
      <c r="DY103" t="s">
        <v>37</v>
      </c>
      <c r="DZ103">
        <v>11141</v>
      </c>
      <c r="EA103" t="s">
        <v>37</v>
      </c>
      <c r="EB103">
        <v>8047</v>
      </c>
      <c r="EC103" t="s">
        <v>37</v>
      </c>
      <c r="ED103">
        <v>11316</v>
      </c>
      <c r="EE103" t="s">
        <v>37</v>
      </c>
      <c r="EG103" t="s">
        <v>37</v>
      </c>
      <c r="EI103" t="s">
        <v>37</v>
      </c>
      <c r="EJ103">
        <v>11529</v>
      </c>
      <c r="EK103" t="s">
        <v>37</v>
      </c>
      <c r="EL103">
        <v>4369</v>
      </c>
      <c r="EM103" t="s">
        <v>37</v>
      </c>
      <c r="EO103" t="s">
        <v>37</v>
      </c>
      <c r="EQ103" t="s">
        <v>37</v>
      </c>
      <c r="ES103" t="s">
        <v>37</v>
      </c>
      <c r="ET103">
        <v>16043</v>
      </c>
      <c r="EU103" t="s">
        <v>37</v>
      </c>
      <c r="EW103" t="s">
        <v>37</v>
      </c>
      <c r="EY103" t="s">
        <v>37</v>
      </c>
      <c r="EZ103">
        <v>29903</v>
      </c>
      <c r="FA103" t="s">
        <v>37</v>
      </c>
      <c r="FB103">
        <v>2515</v>
      </c>
      <c r="FC103" t="s">
        <v>37</v>
      </c>
      <c r="FD103">
        <v>9021</v>
      </c>
      <c r="FE103" t="s">
        <v>37</v>
      </c>
      <c r="FG103" t="s">
        <v>37</v>
      </c>
      <c r="FH103">
        <v>27460</v>
      </c>
      <c r="FI103" t="s">
        <v>37</v>
      </c>
      <c r="FJ103">
        <v>9281</v>
      </c>
      <c r="FK103" t="s">
        <v>37</v>
      </c>
      <c r="FM103" t="s">
        <v>37</v>
      </c>
      <c r="FN103">
        <v>3449</v>
      </c>
      <c r="FO103" t="s">
        <v>37</v>
      </c>
      <c r="FP103">
        <v>7059</v>
      </c>
      <c r="FQ103" t="s">
        <v>37</v>
      </c>
      <c r="FS103" t="s">
        <v>37</v>
      </c>
      <c r="FU103" t="s">
        <v>37</v>
      </c>
      <c r="FV103">
        <v>8030</v>
      </c>
      <c r="FW103" t="s">
        <v>37</v>
      </c>
      <c r="FX103">
        <v>2191</v>
      </c>
      <c r="FY103" t="s">
        <v>37</v>
      </c>
      <c r="FZ103">
        <v>10552</v>
      </c>
      <c r="GA103" t="s">
        <v>37</v>
      </c>
      <c r="GB103">
        <v>4129</v>
      </c>
      <c r="GC103" t="s">
        <v>37</v>
      </c>
      <c r="GE103" t="s">
        <v>37</v>
      </c>
      <c r="GG103" t="s">
        <v>37</v>
      </c>
      <c r="GI103" t="s">
        <v>37</v>
      </c>
      <c r="GJ103">
        <v>34597</v>
      </c>
      <c r="GK103" t="s">
        <v>37</v>
      </c>
      <c r="GL103">
        <v>8481</v>
      </c>
      <c r="GM103" t="s">
        <v>37</v>
      </c>
      <c r="GO103" t="s">
        <v>37</v>
      </c>
      <c r="GQ103" t="s">
        <v>37</v>
      </c>
      <c r="GR103">
        <v>16274</v>
      </c>
      <c r="GS103" t="s">
        <v>37</v>
      </c>
      <c r="GT103">
        <v>9676</v>
      </c>
      <c r="GU103" t="s">
        <v>37</v>
      </c>
      <c r="GV103">
        <v>7220</v>
      </c>
      <c r="GW103" t="s">
        <v>37</v>
      </c>
      <c r="GX103">
        <v>16590</v>
      </c>
      <c r="GY103" t="s">
        <v>37</v>
      </c>
      <c r="GZ103">
        <v>7318</v>
      </c>
      <c r="HA103" t="s">
        <v>37</v>
      </c>
      <c r="HC103" t="s">
        <v>37</v>
      </c>
      <c r="HE103" t="s">
        <v>37</v>
      </c>
      <c r="HF103">
        <v>780229</v>
      </c>
      <c r="HG103" t="s">
        <v>37</v>
      </c>
      <c r="HI103" t="s">
        <v>37</v>
      </c>
      <c r="HJ103">
        <v>780229</v>
      </c>
      <c r="HK103" t="s">
        <v>37</v>
      </c>
    </row>
    <row r="104" spans="1:219">
      <c r="A104">
        <v>3162</v>
      </c>
      <c r="B104" t="s">
        <v>129</v>
      </c>
      <c r="C104" t="s">
        <v>37</v>
      </c>
      <c r="D104">
        <v>19185</v>
      </c>
      <c r="E104" t="s">
        <v>37</v>
      </c>
      <c r="F104">
        <v>110156</v>
      </c>
      <c r="G104" t="s">
        <v>37</v>
      </c>
      <c r="H104">
        <v>14853</v>
      </c>
      <c r="I104" t="s">
        <v>37</v>
      </c>
      <c r="K104" s="48" t="s">
        <v>37</v>
      </c>
      <c r="L104" s="51">
        <v>26611</v>
      </c>
      <c r="M104" s="48" t="s">
        <v>37</v>
      </c>
      <c r="N104" s="51">
        <v>15471</v>
      </c>
      <c r="O104" s="48" t="s">
        <v>37</v>
      </c>
      <c r="P104" s="51">
        <v>19185</v>
      </c>
      <c r="Q104" s="48" t="s">
        <v>37</v>
      </c>
      <c r="R104" s="51">
        <v>13615</v>
      </c>
      <c r="S104" s="48" t="s">
        <v>37</v>
      </c>
      <c r="T104">
        <v>51365</v>
      </c>
      <c r="U104" t="s">
        <v>37</v>
      </c>
      <c r="W104" t="s">
        <v>37</v>
      </c>
      <c r="Y104" t="s">
        <v>37</v>
      </c>
      <c r="Z104">
        <v>9283</v>
      </c>
      <c r="AA104" t="s">
        <v>37</v>
      </c>
      <c r="AB104">
        <v>7426</v>
      </c>
      <c r="AC104" t="s">
        <v>37</v>
      </c>
      <c r="AD104">
        <v>4332</v>
      </c>
      <c r="AE104" t="s">
        <v>37</v>
      </c>
      <c r="AF104">
        <v>4951</v>
      </c>
      <c r="AG104" t="s">
        <v>37</v>
      </c>
      <c r="AH104">
        <v>14234</v>
      </c>
      <c r="AI104" t="s">
        <v>37</v>
      </c>
      <c r="AK104" t="s">
        <v>37</v>
      </c>
      <c r="AL104">
        <v>79213</v>
      </c>
      <c r="AM104" t="s">
        <v>37</v>
      </c>
      <c r="AO104" t="s">
        <v>37</v>
      </c>
      <c r="AP104">
        <v>115726</v>
      </c>
      <c r="AQ104" t="s">
        <v>37</v>
      </c>
      <c r="AR104">
        <v>14235</v>
      </c>
      <c r="AS104" t="s">
        <v>37</v>
      </c>
      <c r="AT104">
        <v>170804</v>
      </c>
      <c r="AU104" t="s">
        <v>37</v>
      </c>
      <c r="AV104">
        <v>31562</v>
      </c>
      <c r="AW104" t="s">
        <v>37</v>
      </c>
      <c r="AX104">
        <v>30943</v>
      </c>
      <c r="AY104" t="s">
        <v>37</v>
      </c>
      <c r="AZ104">
        <v>55697</v>
      </c>
      <c r="BA104" t="s">
        <v>37</v>
      </c>
      <c r="BB104">
        <v>9902</v>
      </c>
      <c r="BC104" t="s">
        <v>37</v>
      </c>
      <c r="BD104">
        <v>16090</v>
      </c>
      <c r="BE104" t="s">
        <v>37</v>
      </c>
      <c r="BF104">
        <v>9283</v>
      </c>
      <c r="BG104" t="s">
        <v>37</v>
      </c>
      <c r="BI104" t="s">
        <v>37</v>
      </c>
      <c r="BJ104">
        <v>54459</v>
      </c>
      <c r="BK104" t="s">
        <v>37</v>
      </c>
      <c r="BL104">
        <v>66218</v>
      </c>
      <c r="BM104" t="s">
        <v>37</v>
      </c>
      <c r="BO104" t="s">
        <v>37</v>
      </c>
      <c r="BP104">
        <v>7426</v>
      </c>
      <c r="BQ104" t="s">
        <v>37</v>
      </c>
      <c r="BR104">
        <v>12996</v>
      </c>
      <c r="BS104" t="s">
        <v>37</v>
      </c>
      <c r="BT104">
        <v>7426</v>
      </c>
      <c r="BU104" t="s">
        <v>37</v>
      </c>
      <c r="BW104" t="s">
        <v>37</v>
      </c>
      <c r="BX104">
        <v>66836</v>
      </c>
      <c r="BY104" t="s">
        <v>37</v>
      </c>
      <c r="BZ104">
        <v>20422</v>
      </c>
      <c r="CA104" t="s">
        <v>37</v>
      </c>
      <c r="CC104" t="s">
        <v>37</v>
      </c>
      <c r="CD104">
        <v>29086</v>
      </c>
      <c r="CE104" t="s">
        <v>37</v>
      </c>
      <c r="CF104">
        <v>26611</v>
      </c>
      <c r="CG104" t="s">
        <v>37</v>
      </c>
      <c r="CH104">
        <v>41463</v>
      </c>
      <c r="CI104" t="s">
        <v>37</v>
      </c>
      <c r="CJ104">
        <v>8045</v>
      </c>
      <c r="CK104" t="s">
        <v>37</v>
      </c>
      <c r="CL104">
        <v>18566</v>
      </c>
      <c r="CM104" t="s">
        <v>37</v>
      </c>
      <c r="CN104">
        <v>6807</v>
      </c>
      <c r="CO104" t="s">
        <v>37</v>
      </c>
      <c r="CP104">
        <v>6189</v>
      </c>
      <c r="CQ104" t="s">
        <v>37</v>
      </c>
      <c r="CR104">
        <v>53840</v>
      </c>
      <c r="CS104" t="s">
        <v>37</v>
      </c>
      <c r="CT104">
        <v>180087</v>
      </c>
      <c r="CU104" t="s">
        <v>37</v>
      </c>
      <c r="CV104">
        <v>32180</v>
      </c>
      <c r="CW104" t="s">
        <v>37</v>
      </c>
      <c r="CX104">
        <v>5570</v>
      </c>
      <c r="CY104" t="s">
        <v>37</v>
      </c>
      <c r="CZ104">
        <v>5570</v>
      </c>
      <c r="DA104" t="s">
        <v>37</v>
      </c>
      <c r="DC104" t="s">
        <v>37</v>
      </c>
      <c r="DD104">
        <v>15471</v>
      </c>
      <c r="DE104" t="s">
        <v>37</v>
      </c>
      <c r="DF104">
        <v>9902</v>
      </c>
      <c r="DG104" t="s">
        <v>37</v>
      </c>
      <c r="DH104">
        <v>173279</v>
      </c>
      <c r="DI104" t="s">
        <v>37</v>
      </c>
      <c r="DJ104">
        <v>23516</v>
      </c>
      <c r="DK104" t="s">
        <v>37</v>
      </c>
      <c r="DL104">
        <v>55697</v>
      </c>
      <c r="DM104" t="s">
        <v>37</v>
      </c>
      <c r="DN104">
        <v>42701</v>
      </c>
      <c r="DO104" t="s">
        <v>37</v>
      </c>
      <c r="DP104">
        <v>30943</v>
      </c>
      <c r="DQ104" t="s">
        <v>37</v>
      </c>
      <c r="DR104">
        <v>17947</v>
      </c>
      <c r="DS104" t="s">
        <v>37</v>
      </c>
      <c r="DT104">
        <v>25992</v>
      </c>
      <c r="DU104" t="s">
        <v>37</v>
      </c>
      <c r="DV104">
        <v>82927</v>
      </c>
      <c r="DW104" t="s">
        <v>37</v>
      </c>
      <c r="DX104">
        <v>42701</v>
      </c>
      <c r="DY104" t="s">
        <v>37</v>
      </c>
      <c r="DZ104">
        <v>11139</v>
      </c>
      <c r="EA104" t="s">
        <v>37</v>
      </c>
      <c r="EB104">
        <v>22898</v>
      </c>
      <c r="EC104" t="s">
        <v>37</v>
      </c>
      <c r="ED104">
        <v>57554</v>
      </c>
      <c r="EE104" t="s">
        <v>37</v>
      </c>
      <c r="EF104">
        <v>9283</v>
      </c>
      <c r="EG104" t="s">
        <v>37</v>
      </c>
      <c r="EI104" t="s">
        <v>37</v>
      </c>
      <c r="EJ104">
        <v>13615</v>
      </c>
      <c r="EK104" t="s">
        <v>37</v>
      </c>
      <c r="EL104">
        <v>9283</v>
      </c>
      <c r="EM104" t="s">
        <v>37</v>
      </c>
      <c r="EN104">
        <v>9902</v>
      </c>
      <c r="EO104" t="s">
        <v>37</v>
      </c>
      <c r="EQ104" t="s">
        <v>37</v>
      </c>
      <c r="ER104">
        <v>34656</v>
      </c>
      <c r="ES104" t="s">
        <v>37</v>
      </c>
      <c r="ET104">
        <v>35275</v>
      </c>
      <c r="EU104" t="s">
        <v>37</v>
      </c>
      <c r="EV104">
        <v>53840</v>
      </c>
      <c r="EW104" t="s">
        <v>37</v>
      </c>
      <c r="EY104" t="s">
        <v>37</v>
      </c>
      <c r="EZ104">
        <v>34656</v>
      </c>
      <c r="FA104" t="s">
        <v>37</v>
      </c>
      <c r="FB104">
        <v>37131</v>
      </c>
      <c r="FC104" t="s">
        <v>37</v>
      </c>
      <c r="FD104">
        <v>40226</v>
      </c>
      <c r="FE104" t="s">
        <v>37</v>
      </c>
      <c r="FG104" t="s">
        <v>37</v>
      </c>
      <c r="FH104">
        <v>63123</v>
      </c>
      <c r="FI104" t="s">
        <v>37</v>
      </c>
      <c r="FJ104">
        <v>107062</v>
      </c>
      <c r="FK104" t="s">
        <v>37</v>
      </c>
      <c r="FL104">
        <v>51365</v>
      </c>
      <c r="FM104" t="s">
        <v>37</v>
      </c>
      <c r="FN104">
        <v>12996</v>
      </c>
      <c r="FO104" t="s">
        <v>37</v>
      </c>
      <c r="FP104">
        <v>16090</v>
      </c>
      <c r="FQ104" t="s">
        <v>37</v>
      </c>
      <c r="FR104">
        <v>27230</v>
      </c>
      <c r="FS104" t="s">
        <v>37</v>
      </c>
      <c r="FT104">
        <v>14234</v>
      </c>
      <c r="FU104" t="s">
        <v>37</v>
      </c>
      <c r="FV104">
        <v>12996</v>
      </c>
      <c r="FW104" t="s">
        <v>37</v>
      </c>
      <c r="FX104">
        <v>19803</v>
      </c>
      <c r="FY104" t="s">
        <v>37</v>
      </c>
      <c r="FZ104">
        <v>25992</v>
      </c>
      <c r="GA104" t="s">
        <v>37</v>
      </c>
      <c r="GB104">
        <v>44558</v>
      </c>
      <c r="GC104" t="s">
        <v>37</v>
      </c>
      <c r="GE104" t="s">
        <v>37</v>
      </c>
      <c r="GG104" t="s">
        <v>37</v>
      </c>
      <c r="GI104" t="s">
        <v>37</v>
      </c>
      <c r="GJ104">
        <v>68693</v>
      </c>
      <c r="GK104" t="s">
        <v>37</v>
      </c>
      <c r="GL104">
        <v>24135</v>
      </c>
      <c r="GM104" t="s">
        <v>37</v>
      </c>
      <c r="GO104" t="s">
        <v>37</v>
      </c>
      <c r="GP104">
        <v>24135</v>
      </c>
      <c r="GQ104" t="s">
        <v>37</v>
      </c>
      <c r="GR104">
        <v>45177</v>
      </c>
      <c r="GS104" t="s">
        <v>37</v>
      </c>
      <c r="GT104">
        <v>28467</v>
      </c>
      <c r="GU104" t="s">
        <v>37</v>
      </c>
      <c r="GV104">
        <v>22279</v>
      </c>
      <c r="GW104" t="s">
        <v>37</v>
      </c>
      <c r="GX104">
        <v>50746</v>
      </c>
      <c r="GY104" t="s">
        <v>37</v>
      </c>
      <c r="GZ104">
        <v>19803</v>
      </c>
      <c r="HA104" t="s">
        <v>37</v>
      </c>
      <c r="HC104" t="s">
        <v>37</v>
      </c>
      <c r="HE104" t="s">
        <v>37</v>
      </c>
      <c r="HF104">
        <v>3063337</v>
      </c>
      <c r="HG104" t="s">
        <v>37</v>
      </c>
      <c r="HI104" t="s">
        <v>37</v>
      </c>
      <c r="HJ104">
        <v>3063337</v>
      </c>
      <c r="HK104" t="s">
        <v>37</v>
      </c>
    </row>
    <row r="105" spans="1:219">
      <c r="A105">
        <v>3163</v>
      </c>
      <c r="B105" t="s">
        <v>130</v>
      </c>
      <c r="C105" t="s">
        <v>37</v>
      </c>
      <c r="E105" t="s">
        <v>37</v>
      </c>
      <c r="G105" t="s">
        <v>37</v>
      </c>
      <c r="H105">
        <v>13135</v>
      </c>
      <c r="I105" t="s">
        <v>37</v>
      </c>
      <c r="K105" s="48" t="s">
        <v>37</v>
      </c>
      <c r="L105" s="50"/>
      <c r="M105" s="48" t="s">
        <v>37</v>
      </c>
      <c r="N105" s="50"/>
      <c r="O105" s="48" t="s">
        <v>37</v>
      </c>
      <c r="P105" s="50"/>
      <c r="Q105" s="48" t="s">
        <v>37</v>
      </c>
      <c r="R105" s="50"/>
      <c r="S105" s="48" t="s">
        <v>37</v>
      </c>
      <c r="U105" t="s">
        <v>37</v>
      </c>
      <c r="W105" t="s">
        <v>37</v>
      </c>
      <c r="Y105" t="s">
        <v>37</v>
      </c>
      <c r="AA105" t="s">
        <v>37</v>
      </c>
      <c r="AB105">
        <v>4440</v>
      </c>
      <c r="AC105" t="s">
        <v>37</v>
      </c>
      <c r="AD105">
        <v>2220</v>
      </c>
      <c r="AE105" t="s">
        <v>37</v>
      </c>
      <c r="AG105" t="s">
        <v>37</v>
      </c>
      <c r="AI105" t="s">
        <v>37</v>
      </c>
      <c r="AK105" t="s">
        <v>37</v>
      </c>
      <c r="AM105" t="s">
        <v>37</v>
      </c>
      <c r="AO105" t="s">
        <v>37</v>
      </c>
      <c r="AP105">
        <v>29600</v>
      </c>
      <c r="AQ105" t="s">
        <v>37</v>
      </c>
      <c r="AS105" t="s">
        <v>37</v>
      </c>
      <c r="AU105" t="s">
        <v>37</v>
      </c>
      <c r="AW105" t="s">
        <v>37</v>
      </c>
      <c r="AY105" t="s">
        <v>37</v>
      </c>
      <c r="BA105" t="s">
        <v>37</v>
      </c>
      <c r="BB105">
        <v>7770</v>
      </c>
      <c r="BC105" t="s">
        <v>37</v>
      </c>
      <c r="BD105">
        <v>7585</v>
      </c>
      <c r="BE105" t="s">
        <v>37</v>
      </c>
      <c r="BF105">
        <v>5550</v>
      </c>
      <c r="BG105" t="s">
        <v>37</v>
      </c>
      <c r="BI105" t="s">
        <v>37</v>
      </c>
      <c r="BK105" t="s">
        <v>37</v>
      </c>
      <c r="BM105" t="s">
        <v>37</v>
      </c>
      <c r="BO105" t="s">
        <v>37</v>
      </c>
      <c r="BP105">
        <v>2960</v>
      </c>
      <c r="BQ105" t="s">
        <v>37</v>
      </c>
      <c r="BR105">
        <v>9065</v>
      </c>
      <c r="BS105" t="s">
        <v>37</v>
      </c>
      <c r="BT105">
        <v>5920</v>
      </c>
      <c r="BU105" t="s">
        <v>37</v>
      </c>
      <c r="BW105" t="s">
        <v>37</v>
      </c>
      <c r="BY105" t="s">
        <v>37</v>
      </c>
      <c r="CA105" t="s">
        <v>37</v>
      </c>
      <c r="CC105" t="s">
        <v>37</v>
      </c>
      <c r="CE105" t="s">
        <v>37</v>
      </c>
      <c r="CG105" t="s">
        <v>37</v>
      </c>
      <c r="CH105">
        <v>13875</v>
      </c>
      <c r="CI105" t="s">
        <v>37</v>
      </c>
      <c r="CK105" t="s">
        <v>37</v>
      </c>
      <c r="CL105">
        <v>555</v>
      </c>
      <c r="CM105" t="s">
        <v>37</v>
      </c>
      <c r="CN105">
        <v>9065</v>
      </c>
      <c r="CO105" t="s">
        <v>37</v>
      </c>
      <c r="CP105">
        <v>5550</v>
      </c>
      <c r="CQ105" t="s">
        <v>37</v>
      </c>
      <c r="CS105" t="s">
        <v>37</v>
      </c>
      <c r="CU105" t="s">
        <v>37</v>
      </c>
      <c r="CW105" t="s">
        <v>37</v>
      </c>
      <c r="CY105" t="s">
        <v>37</v>
      </c>
      <c r="DA105" t="s">
        <v>37</v>
      </c>
      <c r="DC105" t="s">
        <v>37</v>
      </c>
      <c r="DD105">
        <v>11655</v>
      </c>
      <c r="DE105" t="s">
        <v>37</v>
      </c>
      <c r="DG105" t="s">
        <v>37</v>
      </c>
      <c r="DI105" t="s">
        <v>37</v>
      </c>
      <c r="DJ105">
        <v>19610</v>
      </c>
      <c r="DK105" t="s">
        <v>37</v>
      </c>
      <c r="DM105" t="s">
        <v>37</v>
      </c>
      <c r="DO105" t="s">
        <v>37</v>
      </c>
      <c r="DQ105" t="s">
        <v>37</v>
      </c>
      <c r="DR105">
        <v>4070</v>
      </c>
      <c r="DS105" t="s">
        <v>37</v>
      </c>
      <c r="DT105">
        <v>12487</v>
      </c>
      <c r="DU105" t="s">
        <v>37</v>
      </c>
      <c r="DW105" t="s">
        <v>37</v>
      </c>
      <c r="DY105" t="s">
        <v>37</v>
      </c>
      <c r="EA105" t="s">
        <v>37</v>
      </c>
      <c r="EB105">
        <v>1480</v>
      </c>
      <c r="EC105" t="s">
        <v>37</v>
      </c>
      <c r="EE105" t="s">
        <v>37</v>
      </c>
      <c r="EG105" t="s">
        <v>37</v>
      </c>
      <c r="EI105" t="s">
        <v>37</v>
      </c>
      <c r="EK105" t="s">
        <v>37</v>
      </c>
      <c r="EL105">
        <v>5735</v>
      </c>
      <c r="EM105" t="s">
        <v>37</v>
      </c>
      <c r="EN105">
        <v>8880</v>
      </c>
      <c r="EO105" t="s">
        <v>37</v>
      </c>
      <c r="EQ105" t="s">
        <v>37</v>
      </c>
      <c r="ES105" t="s">
        <v>37</v>
      </c>
      <c r="EU105" t="s">
        <v>37</v>
      </c>
      <c r="EW105" t="s">
        <v>37</v>
      </c>
      <c r="EY105" t="s">
        <v>37</v>
      </c>
      <c r="FA105" t="s">
        <v>37</v>
      </c>
      <c r="FB105">
        <v>3885</v>
      </c>
      <c r="FC105" t="s">
        <v>37</v>
      </c>
      <c r="FD105">
        <v>1110</v>
      </c>
      <c r="FE105" t="s">
        <v>37</v>
      </c>
      <c r="FG105" t="s">
        <v>37</v>
      </c>
      <c r="FI105" t="s">
        <v>37</v>
      </c>
      <c r="FK105" t="s">
        <v>37</v>
      </c>
      <c r="FM105" t="s">
        <v>37</v>
      </c>
      <c r="FO105" t="s">
        <v>37</v>
      </c>
      <c r="FQ105" t="s">
        <v>37</v>
      </c>
      <c r="FS105" t="s">
        <v>37</v>
      </c>
      <c r="FU105" t="s">
        <v>37</v>
      </c>
      <c r="FW105" t="s">
        <v>37</v>
      </c>
      <c r="FY105" t="s">
        <v>37</v>
      </c>
      <c r="GA105" t="s">
        <v>37</v>
      </c>
      <c r="GC105" t="s">
        <v>37</v>
      </c>
      <c r="GE105" t="s">
        <v>37</v>
      </c>
      <c r="GG105" t="s">
        <v>37</v>
      </c>
      <c r="GI105" t="s">
        <v>37</v>
      </c>
      <c r="GK105" t="s">
        <v>37</v>
      </c>
      <c r="GM105" t="s">
        <v>37</v>
      </c>
      <c r="GO105" t="s">
        <v>37</v>
      </c>
      <c r="GQ105" t="s">
        <v>37</v>
      </c>
      <c r="GR105">
        <v>23310</v>
      </c>
      <c r="GS105" t="s">
        <v>37</v>
      </c>
      <c r="GU105" t="s">
        <v>37</v>
      </c>
      <c r="GW105" t="s">
        <v>37</v>
      </c>
      <c r="GY105" t="s">
        <v>37</v>
      </c>
      <c r="HA105" t="s">
        <v>37</v>
      </c>
      <c r="HC105" t="s">
        <v>37</v>
      </c>
      <c r="HE105" t="s">
        <v>37</v>
      </c>
      <c r="HF105">
        <v>209512</v>
      </c>
      <c r="HG105" t="s">
        <v>37</v>
      </c>
      <c r="HI105" t="s">
        <v>37</v>
      </c>
      <c r="HJ105">
        <v>209512</v>
      </c>
      <c r="HK105" t="s">
        <v>37</v>
      </c>
    </row>
    <row r="106" spans="1:219">
      <c r="A106">
        <v>3165</v>
      </c>
      <c r="B106" t="s">
        <v>131</v>
      </c>
      <c r="C106" t="s">
        <v>37</v>
      </c>
      <c r="D106">
        <v>2205</v>
      </c>
      <c r="E106" t="s">
        <v>37</v>
      </c>
      <c r="F106">
        <v>6299</v>
      </c>
      <c r="G106" t="s">
        <v>37</v>
      </c>
      <c r="I106" t="s">
        <v>37</v>
      </c>
      <c r="K106" s="48" t="s">
        <v>37</v>
      </c>
      <c r="L106" s="51">
        <v>9149</v>
      </c>
      <c r="M106" s="48" t="s">
        <v>37</v>
      </c>
      <c r="N106" s="51">
        <v>2942</v>
      </c>
      <c r="O106" s="48" t="s">
        <v>37</v>
      </c>
      <c r="P106" s="50"/>
      <c r="Q106" s="48" t="s">
        <v>37</v>
      </c>
      <c r="R106" s="50"/>
      <c r="S106" s="48" t="s">
        <v>37</v>
      </c>
      <c r="T106">
        <v>10247</v>
      </c>
      <c r="U106" t="s">
        <v>37</v>
      </c>
      <c r="W106" t="s">
        <v>37</v>
      </c>
      <c r="Y106" t="s">
        <v>37</v>
      </c>
      <c r="Z106">
        <v>1298</v>
      </c>
      <c r="AA106" t="s">
        <v>37</v>
      </c>
      <c r="AB106">
        <v>1360</v>
      </c>
      <c r="AC106" t="s">
        <v>37</v>
      </c>
      <c r="AD106">
        <v>522</v>
      </c>
      <c r="AE106" t="s">
        <v>37</v>
      </c>
      <c r="AF106">
        <v>1460</v>
      </c>
      <c r="AG106" t="s">
        <v>37</v>
      </c>
      <c r="AH106">
        <v>3534</v>
      </c>
      <c r="AI106" t="s">
        <v>37</v>
      </c>
      <c r="AK106" t="s">
        <v>37</v>
      </c>
      <c r="AL106">
        <v>4701</v>
      </c>
      <c r="AM106" t="s">
        <v>37</v>
      </c>
      <c r="AO106" t="s">
        <v>37</v>
      </c>
      <c r="AQ106" t="s">
        <v>37</v>
      </c>
      <c r="AS106" t="s">
        <v>37</v>
      </c>
      <c r="AT106">
        <v>14173</v>
      </c>
      <c r="AU106" t="s">
        <v>37</v>
      </c>
      <c r="AV106">
        <v>5485</v>
      </c>
      <c r="AW106" t="s">
        <v>37</v>
      </c>
      <c r="AX106">
        <v>1191</v>
      </c>
      <c r="AY106" t="s">
        <v>37</v>
      </c>
      <c r="BA106" t="s">
        <v>37</v>
      </c>
      <c r="BB106">
        <v>1536</v>
      </c>
      <c r="BC106" t="s">
        <v>37</v>
      </c>
      <c r="BE106" t="s">
        <v>37</v>
      </c>
      <c r="BF106">
        <v>1068</v>
      </c>
      <c r="BG106" t="s">
        <v>37</v>
      </c>
      <c r="BI106" t="s">
        <v>37</v>
      </c>
      <c r="BJ106">
        <v>3457</v>
      </c>
      <c r="BK106" t="s">
        <v>37</v>
      </c>
      <c r="BL106">
        <v>5377</v>
      </c>
      <c r="BM106" t="s">
        <v>37</v>
      </c>
      <c r="BO106" t="s">
        <v>37</v>
      </c>
      <c r="BP106">
        <v>1767</v>
      </c>
      <c r="BQ106" t="s">
        <v>37</v>
      </c>
      <c r="BS106" t="s">
        <v>37</v>
      </c>
      <c r="BU106" t="s">
        <v>37</v>
      </c>
      <c r="BW106" t="s">
        <v>37</v>
      </c>
      <c r="BX106">
        <v>9018</v>
      </c>
      <c r="BY106" t="s">
        <v>37</v>
      </c>
      <c r="BZ106">
        <v>1652</v>
      </c>
      <c r="CA106" t="s">
        <v>37</v>
      </c>
      <c r="CC106" t="s">
        <v>37</v>
      </c>
      <c r="CE106" t="s">
        <v>37</v>
      </c>
      <c r="CF106">
        <v>1444</v>
      </c>
      <c r="CG106" t="s">
        <v>37</v>
      </c>
      <c r="CH106">
        <v>3841</v>
      </c>
      <c r="CI106" t="s">
        <v>37</v>
      </c>
      <c r="CK106" t="s">
        <v>37</v>
      </c>
      <c r="CM106" t="s">
        <v>37</v>
      </c>
      <c r="CO106" t="s">
        <v>37</v>
      </c>
      <c r="CQ106" t="s">
        <v>37</v>
      </c>
      <c r="CR106">
        <v>1629</v>
      </c>
      <c r="CS106" t="s">
        <v>37</v>
      </c>
      <c r="CT106">
        <v>10201</v>
      </c>
      <c r="CU106" t="s">
        <v>37</v>
      </c>
      <c r="CV106">
        <v>6007</v>
      </c>
      <c r="CW106" t="s">
        <v>37</v>
      </c>
      <c r="CX106">
        <v>1383</v>
      </c>
      <c r="CY106" t="s">
        <v>37</v>
      </c>
      <c r="CZ106">
        <v>1306</v>
      </c>
      <c r="DA106" t="s">
        <v>37</v>
      </c>
      <c r="DC106" t="s">
        <v>37</v>
      </c>
      <c r="DE106" t="s">
        <v>37</v>
      </c>
      <c r="DF106">
        <v>922</v>
      </c>
      <c r="DG106" t="s">
        <v>37</v>
      </c>
      <c r="DH106">
        <v>9326</v>
      </c>
      <c r="DI106" t="s">
        <v>37</v>
      </c>
      <c r="DJ106">
        <v>1306</v>
      </c>
      <c r="DK106" t="s">
        <v>37</v>
      </c>
      <c r="DL106">
        <v>2171</v>
      </c>
      <c r="DM106" t="s">
        <v>37</v>
      </c>
      <c r="DO106" t="s">
        <v>37</v>
      </c>
      <c r="DQ106" t="s">
        <v>37</v>
      </c>
      <c r="DS106" t="s">
        <v>37</v>
      </c>
      <c r="DT106">
        <v>2197</v>
      </c>
      <c r="DU106" t="s">
        <v>37</v>
      </c>
      <c r="DV106">
        <v>16708</v>
      </c>
      <c r="DW106" t="s">
        <v>37</v>
      </c>
      <c r="DX106">
        <v>1306</v>
      </c>
      <c r="DY106" t="s">
        <v>37</v>
      </c>
      <c r="EA106" t="s">
        <v>37</v>
      </c>
      <c r="EC106" t="s">
        <v>37</v>
      </c>
      <c r="ED106">
        <v>2050</v>
      </c>
      <c r="EE106" t="s">
        <v>37</v>
      </c>
      <c r="EG106" t="s">
        <v>37</v>
      </c>
      <c r="EI106" t="s">
        <v>37</v>
      </c>
      <c r="EJ106">
        <v>1191</v>
      </c>
      <c r="EK106" t="s">
        <v>37</v>
      </c>
      <c r="EM106" t="s">
        <v>37</v>
      </c>
      <c r="EN106">
        <v>1191</v>
      </c>
      <c r="EO106" t="s">
        <v>37</v>
      </c>
      <c r="EQ106" t="s">
        <v>37</v>
      </c>
      <c r="ES106" t="s">
        <v>37</v>
      </c>
      <c r="ET106">
        <v>5427</v>
      </c>
      <c r="EU106" t="s">
        <v>37</v>
      </c>
      <c r="EV106">
        <v>4878</v>
      </c>
      <c r="EW106" t="s">
        <v>37</v>
      </c>
      <c r="EY106" t="s">
        <v>37</v>
      </c>
      <c r="FA106" t="s">
        <v>37</v>
      </c>
      <c r="FB106">
        <v>3687</v>
      </c>
      <c r="FC106" t="s">
        <v>37</v>
      </c>
      <c r="FD106">
        <v>3572</v>
      </c>
      <c r="FE106" t="s">
        <v>37</v>
      </c>
      <c r="FG106" t="s">
        <v>37</v>
      </c>
      <c r="FH106">
        <v>13720</v>
      </c>
      <c r="FI106" t="s">
        <v>37</v>
      </c>
      <c r="FJ106">
        <v>18336</v>
      </c>
      <c r="FK106" t="s">
        <v>37</v>
      </c>
      <c r="FM106" t="s">
        <v>37</v>
      </c>
      <c r="FO106" t="s">
        <v>37</v>
      </c>
      <c r="FP106">
        <v>2842</v>
      </c>
      <c r="FQ106" t="s">
        <v>37</v>
      </c>
      <c r="FR106">
        <v>6791</v>
      </c>
      <c r="FS106" t="s">
        <v>37</v>
      </c>
      <c r="FT106">
        <v>2919</v>
      </c>
      <c r="FU106" t="s">
        <v>37</v>
      </c>
      <c r="FV106">
        <v>1844</v>
      </c>
      <c r="FW106" t="s">
        <v>37</v>
      </c>
      <c r="FX106">
        <v>2957</v>
      </c>
      <c r="FY106" t="s">
        <v>37</v>
      </c>
      <c r="FZ106">
        <v>576</v>
      </c>
      <c r="GA106" t="s">
        <v>37</v>
      </c>
      <c r="GB106">
        <v>2235</v>
      </c>
      <c r="GC106" t="s">
        <v>37</v>
      </c>
      <c r="GE106" t="s">
        <v>37</v>
      </c>
      <c r="GG106" t="s">
        <v>37</v>
      </c>
      <c r="GI106" t="s">
        <v>37</v>
      </c>
      <c r="GJ106">
        <v>3065</v>
      </c>
      <c r="GK106" t="s">
        <v>37</v>
      </c>
      <c r="GM106" t="s">
        <v>37</v>
      </c>
      <c r="GO106" t="s">
        <v>37</v>
      </c>
      <c r="GP106">
        <v>883</v>
      </c>
      <c r="GQ106" t="s">
        <v>37</v>
      </c>
      <c r="GS106" t="s">
        <v>37</v>
      </c>
      <c r="GT106">
        <v>937</v>
      </c>
      <c r="GU106" t="s">
        <v>37</v>
      </c>
      <c r="GV106">
        <v>230</v>
      </c>
      <c r="GW106" t="s">
        <v>37</v>
      </c>
      <c r="GX106">
        <v>5162</v>
      </c>
      <c r="GY106" t="s">
        <v>37</v>
      </c>
      <c r="GZ106">
        <v>873</v>
      </c>
      <c r="HA106" t="s">
        <v>37</v>
      </c>
      <c r="HC106" t="s">
        <v>37</v>
      </c>
      <c r="HE106" t="s">
        <v>37</v>
      </c>
      <c r="HF106">
        <v>233554</v>
      </c>
      <c r="HG106" t="s">
        <v>37</v>
      </c>
      <c r="HI106" t="s">
        <v>37</v>
      </c>
      <c r="HJ106">
        <v>233554</v>
      </c>
      <c r="HK106" t="s">
        <v>37</v>
      </c>
    </row>
    <row r="107" spans="1:219">
      <c r="A107">
        <v>3170</v>
      </c>
      <c r="B107" t="s">
        <v>132</v>
      </c>
      <c r="C107" t="s">
        <v>37</v>
      </c>
      <c r="D107">
        <v>29980</v>
      </c>
      <c r="E107" t="s">
        <v>37</v>
      </c>
      <c r="G107" t="s">
        <v>37</v>
      </c>
      <c r="I107" t="s">
        <v>37</v>
      </c>
      <c r="K107" s="48" t="s">
        <v>37</v>
      </c>
      <c r="L107" s="50"/>
      <c r="M107" s="48" t="s">
        <v>37</v>
      </c>
      <c r="N107" s="50"/>
      <c r="O107" s="48" t="s">
        <v>37</v>
      </c>
      <c r="P107" s="50"/>
      <c r="Q107" s="48" t="s">
        <v>37</v>
      </c>
      <c r="R107" s="50"/>
      <c r="S107" s="48" t="s">
        <v>37</v>
      </c>
      <c r="U107" t="s">
        <v>37</v>
      </c>
      <c r="W107" t="s">
        <v>37</v>
      </c>
      <c r="Y107" t="s">
        <v>37</v>
      </c>
      <c r="Z107">
        <v>7299</v>
      </c>
      <c r="AA107" t="s">
        <v>37</v>
      </c>
      <c r="AB107">
        <v>766</v>
      </c>
      <c r="AC107" t="s">
        <v>37</v>
      </c>
      <c r="AE107" t="s">
        <v>37</v>
      </c>
      <c r="AG107" t="s">
        <v>37</v>
      </c>
      <c r="AI107" t="s">
        <v>37</v>
      </c>
      <c r="AK107" t="s">
        <v>37</v>
      </c>
      <c r="AL107">
        <v>81276</v>
      </c>
      <c r="AM107" t="s">
        <v>37</v>
      </c>
      <c r="AO107" t="s">
        <v>37</v>
      </c>
      <c r="AQ107" t="s">
        <v>37</v>
      </c>
      <c r="AS107" t="s">
        <v>37</v>
      </c>
      <c r="AU107" t="s">
        <v>37</v>
      </c>
      <c r="AW107" t="s">
        <v>37</v>
      </c>
      <c r="AX107">
        <v>427</v>
      </c>
      <c r="AY107" t="s">
        <v>37</v>
      </c>
      <c r="BA107" t="s">
        <v>37</v>
      </c>
      <c r="BC107" t="s">
        <v>37</v>
      </c>
      <c r="BE107" t="s">
        <v>37</v>
      </c>
      <c r="BG107" t="s">
        <v>37</v>
      </c>
      <c r="BI107" t="s">
        <v>37</v>
      </c>
      <c r="BK107" t="s">
        <v>37</v>
      </c>
      <c r="BM107" t="s">
        <v>37</v>
      </c>
      <c r="BO107" t="s">
        <v>37</v>
      </c>
      <c r="BQ107" t="s">
        <v>37</v>
      </c>
      <c r="BS107" t="s">
        <v>37</v>
      </c>
      <c r="BT107">
        <v>6964</v>
      </c>
      <c r="BU107" t="s">
        <v>37</v>
      </c>
      <c r="BW107" t="s">
        <v>37</v>
      </c>
      <c r="BY107" t="s">
        <v>37</v>
      </c>
      <c r="CA107" t="s">
        <v>37</v>
      </c>
      <c r="CC107" t="s">
        <v>37</v>
      </c>
      <c r="CD107">
        <v>7082</v>
      </c>
      <c r="CE107" t="s">
        <v>37</v>
      </c>
      <c r="CG107" t="s">
        <v>37</v>
      </c>
      <c r="CI107" t="s">
        <v>37</v>
      </c>
      <c r="CK107" t="s">
        <v>37</v>
      </c>
      <c r="CL107">
        <v>17226</v>
      </c>
      <c r="CM107" t="s">
        <v>37</v>
      </c>
      <c r="CO107" t="s">
        <v>37</v>
      </c>
      <c r="CQ107" t="s">
        <v>37</v>
      </c>
      <c r="CS107" t="s">
        <v>37</v>
      </c>
      <c r="CT107">
        <v>287837</v>
      </c>
      <c r="CU107" t="s">
        <v>37</v>
      </c>
      <c r="CW107" t="s">
        <v>37</v>
      </c>
      <c r="CY107" t="s">
        <v>37</v>
      </c>
      <c r="DA107" t="s">
        <v>37</v>
      </c>
      <c r="DC107" t="s">
        <v>37</v>
      </c>
      <c r="DD107">
        <v>4850</v>
      </c>
      <c r="DE107" t="s">
        <v>37</v>
      </c>
      <c r="DG107" t="s">
        <v>37</v>
      </c>
      <c r="DI107" t="s">
        <v>37</v>
      </c>
      <c r="DK107" t="s">
        <v>37</v>
      </c>
      <c r="DM107" t="s">
        <v>37</v>
      </c>
      <c r="DN107">
        <v>7712</v>
      </c>
      <c r="DO107" t="s">
        <v>37</v>
      </c>
      <c r="DQ107" t="s">
        <v>37</v>
      </c>
      <c r="DS107" t="s">
        <v>37</v>
      </c>
      <c r="DU107" t="s">
        <v>37</v>
      </c>
      <c r="DW107" t="s">
        <v>37</v>
      </c>
      <c r="DY107" t="s">
        <v>37</v>
      </c>
      <c r="EA107" t="s">
        <v>37</v>
      </c>
      <c r="EC107" t="s">
        <v>37</v>
      </c>
      <c r="EE107" t="s">
        <v>37</v>
      </c>
      <c r="EG107" t="s">
        <v>37</v>
      </c>
      <c r="EI107" t="s">
        <v>37</v>
      </c>
      <c r="EK107" t="s">
        <v>37</v>
      </c>
      <c r="EM107" t="s">
        <v>37</v>
      </c>
      <c r="EO107" t="s">
        <v>37</v>
      </c>
      <c r="EQ107" t="s">
        <v>37</v>
      </c>
      <c r="ES107" t="s">
        <v>37</v>
      </c>
      <c r="EU107" t="s">
        <v>37</v>
      </c>
      <c r="EV107">
        <v>47587</v>
      </c>
      <c r="EW107" t="s">
        <v>37</v>
      </c>
      <c r="EY107" t="s">
        <v>37</v>
      </c>
      <c r="EZ107">
        <v>15153</v>
      </c>
      <c r="FA107" t="s">
        <v>37</v>
      </c>
      <c r="FC107" t="s">
        <v>37</v>
      </c>
      <c r="FE107" t="s">
        <v>37</v>
      </c>
      <c r="FG107" t="s">
        <v>37</v>
      </c>
      <c r="FI107" t="s">
        <v>37</v>
      </c>
      <c r="FK107" t="s">
        <v>37</v>
      </c>
      <c r="FM107" t="s">
        <v>37</v>
      </c>
      <c r="FN107">
        <v>9540</v>
      </c>
      <c r="FO107" t="s">
        <v>37</v>
      </c>
      <c r="FQ107" t="s">
        <v>37</v>
      </c>
      <c r="FR107">
        <v>39670</v>
      </c>
      <c r="FS107" t="s">
        <v>37</v>
      </c>
      <c r="FT107">
        <v>13751</v>
      </c>
      <c r="FU107" t="s">
        <v>37</v>
      </c>
      <c r="FV107">
        <v>13091</v>
      </c>
      <c r="FW107" t="s">
        <v>37</v>
      </c>
      <c r="FX107">
        <v>28808</v>
      </c>
      <c r="FY107" t="s">
        <v>37</v>
      </c>
      <c r="GA107" t="s">
        <v>37</v>
      </c>
      <c r="GC107" t="s">
        <v>37</v>
      </c>
      <c r="GE107" t="s">
        <v>37</v>
      </c>
      <c r="GG107" t="s">
        <v>37</v>
      </c>
      <c r="GI107" t="s">
        <v>37</v>
      </c>
      <c r="GJ107">
        <v>40805</v>
      </c>
      <c r="GK107" t="s">
        <v>37</v>
      </c>
      <c r="GM107" t="s">
        <v>37</v>
      </c>
      <c r="GO107" t="s">
        <v>37</v>
      </c>
      <c r="GQ107" t="s">
        <v>37</v>
      </c>
      <c r="GS107" t="s">
        <v>37</v>
      </c>
      <c r="GU107" t="s">
        <v>37</v>
      </c>
      <c r="GW107" t="s">
        <v>37</v>
      </c>
      <c r="GY107" t="s">
        <v>37</v>
      </c>
      <c r="HA107" t="s">
        <v>37</v>
      </c>
      <c r="HC107" t="s">
        <v>37</v>
      </c>
      <c r="HE107" t="s">
        <v>37</v>
      </c>
      <c r="HF107">
        <v>659824</v>
      </c>
      <c r="HG107" t="s">
        <v>37</v>
      </c>
      <c r="HI107" t="s">
        <v>37</v>
      </c>
      <c r="HJ107">
        <v>659824</v>
      </c>
      <c r="HK107" t="s">
        <v>37</v>
      </c>
    </row>
    <row r="108" spans="1:219">
      <c r="A108">
        <v>3172</v>
      </c>
      <c r="B108" t="s">
        <v>133</v>
      </c>
      <c r="C108" t="s">
        <v>37</v>
      </c>
      <c r="D108">
        <v>261085</v>
      </c>
      <c r="E108" t="s">
        <v>37</v>
      </c>
      <c r="G108" t="s">
        <v>37</v>
      </c>
      <c r="H108">
        <v>53761</v>
      </c>
      <c r="I108" t="s">
        <v>37</v>
      </c>
      <c r="K108" s="48" t="s">
        <v>37</v>
      </c>
      <c r="L108" s="50"/>
      <c r="M108" s="48" t="s">
        <v>37</v>
      </c>
      <c r="N108" s="50"/>
      <c r="O108" s="48" t="s">
        <v>37</v>
      </c>
      <c r="P108" s="50"/>
      <c r="Q108" s="48" t="s">
        <v>37</v>
      </c>
      <c r="R108" s="50"/>
      <c r="S108" s="48" t="s">
        <v>37</v>
      </c>
      <c r="U108" t="s">
        <v>37</v>
      </c>
      <c r="W108" t="s">
        <v>37</v>
      </c>
      <c r="Y108" t="s">
        <v>37</v>
      </c>
      <c r="Z108">
        <v>24883</v>
      </c>
      <c r="AA108" t="s">
        <v>37</v>
      </c>
      <c r="AB108">
        <v>31934</v>
      </c>
      <c r="AC108" t="s">
        <v>37</v>
      </c>
      <c r="AD108">
        <v>11890</v>
      </c>
      <c r="AE108" t="s">
        <v>37</v>
      </c>
      <c r="AF108">
        <v>8483</v>
      </c>
      <c r="AG108" t="s">
        <v>37</v>
      </c>
      <c r="AI108" t="s">
        <v>37</v>
      </c>
      <c r="AK108" t="s">
        <v>37</v>
      </c>
      <c r="AL108">
        <v>108562</v>
      </c>
      <c r="AM108" t="s">
        <v>37</v>
      </c>
      <c r="AO108" t="s">
        <v>37</v>
      </c>
      <c r="AQ108" t="s">
        <v>37</v>
      </c>
      <c r="AS108" t="s">
        <v>37</v>
      </c>
      <c r="AT108">
        <v>420241</v>
      </c>
      <c r="AU108" t="s">
        <v>37</v>
      </c>
      <c r="AV108">
        <v>106211</v>
      </c>
      <c r="AW108" t="s">
        <v>37</v>
      </c>
      <c r="AX108">
        <v>130435</v>
      </c>
      <c r="AY108" t="s">
        <v>37</v>
      </c>
      <c r="BA108" t="s">
        <v>37</v>
      </c>
      <c r="BC108" t="s">
        <v>37</v>
      </c>
      <c r="BE108" t="s">
        <v>37</v>
      </c>
      <c r="BG108" t="s">
        <v>37</v>
      </c>
      <c r="BI108" t="s">
        <v>37</v>
      </c>
      <c r="BJ108">
        <v>72656</v>
      </c>
      <c r="BK108" t="s">
        <v>37</v>
      </c>
      <c r="BM108" t="s">
        <v>37</v>
      </c>
      <c r="BO108" t="s">
        <v>37</v>
      </c>
      <c r="BQ108" t="s">
        <v>37</v>
      </c>
      <c r="BS108" t="s">
        <v>37</v>
      </c>
      <c r="BU108" t="s">
        <v>37</v>
      </c>
      <c r="BW108" t="s">
        <v>37</v>
      </c>
      <c r="BY108" t="s">
        <v>37</v>
      </c>
      <c r="CA108" t="s">
        <v>37</v>
      </c>
      <c r="CC108" t="s">
        <v>37</v>
      </c>
      <c r="CD108">
        <v>215735</v>
      </c>
      <c r="CE108" t="s">
        <v>37</v>
      </c>
      <c r="CF108">
        <v>235300</v>
      </c>
      <c r="CG108" t="s">
        <v>37</v>
      </c>
      <c r="CI108" t="s">
        <v>37</v>
      </c>
      <c r="CJ108">
        <v>69040</v>
      </c>
      <c r="CK108" t="s">
        <v>37</v>
      </c>
      <c r="CL108">
        <v>220644</v>
      </c>
      <c r="CM108" t="s">
        <v>37</v>
      </c>
      <c r="CO108" t="s">
        <v>37</v>
      </c>
      <c r="CQ108" t="s">
        <v>37</v>
      </c>
      <c r="CR108">
        <v>255009</v>
      </c>
      <c r="CS108" t="s">
        <v>37</v>
      </c>
      <c r="CT108">
        <v>810110</v>
      </c>
      <c r="CU108" t="s">
        <v>37</v>
      </c>
      <c r="CV108">
        <v>246323</v>
      </c>
      <c r="CW108" t="s">
        <v>37</v>
      </c>
      <c r="CX108">
        <v>18495</v>
      </c>
      <c r="CY108" t="s">
        <v>37</v>
      </c>
      <c r="CZ108">
        <v>10453</v>
      </c>
      <c r="DA108" t="s">
        <v>37</v>
      </c>
      <c r="DC108" t="s">
        <v>37</v>
      </c>
      <c r="DD108">
        <v>104361</v>
      </c>
      <c r="DE108" t="s">
        <v>37</v>
      </c>
      <c r="DF108">
        <v>5504</v>
      </c>
      <c r="DG108" t="s">
        <v>37</v>
      </c>
      <c r="DI108" t="s">
        <v>37</v>
      </c>
      <c r="DK108" t="s">
        <v>37</v>
      </c>
      <c r="DL108">
        <v>119588</v>
      </c>
      <c r="DM108" t="s">
        <v>37</v>
      </c>
      <c r="DN108">
        <v>48212</v>
      </c>
      <c r="DO108" t="s">
        <v>37</v>
      </c>
      <c r="DP108">
        <v>192359</v>
      </c>
      <c r="DQ108" t="s">
        <v>37</v>
      </c>
      <c r="DS108" t="s">
        <v>37</v>
      </c>
      <c r="DU108" t="s">
        <v>37</v>
      </c>
      <c r="DV108">
        <v>263256</v>
      </c>
      <c r="DW108" t="s">
        <v>37</v>
      </c>
      <c r="DX108">
        <v>3215</v>
      </c>
      <c r="DY108" t="s">
        <v>37</v>
      </c>
      <c r="EA108" t="s">
        <v>37</v>
      </c>
      <c r="EB108">
        <v>101190</v>
      </c>
      <c r="EC108" t="s">
        <v>37</v>
      </c>
      <c r="EE108" t="s">
        <v>37</v>
      </c>
      <c r="EG108" t="s">
        <v>37</v>
      </c>
      <c r="EI108" t="s">
        <v>37</v>
      </c>
      <c r="EJ108">
        <v>38956</v>
      </c>
      <c r="EK108" t="s">
        <v>37</v>
      </c>
      <c r="EL108">
        <v>25072</v>
      </c>
      <c r="EM108" t="s">
        <v>37</v>
      </c>
      <c r="EO108" t="s">
        <v>37</v>
      </c>
      <c r="EQ108" t="s">
        <v>37</v>
      </c>
      <c r="ER108">
        <v>410225</v>
      </c>
      <c r="ES108" t="s">
        <v>37</v>
      </c>
      <c r="ET108">
        <v>22022</v>
      </c>
      <c r="EU108" t="s">
        <v>37</v>
      </c>
      <c r="EV108">
        <v>226055</v>
      </c>
      <c r="EW108" t="s">
        <v>37</v>
      </c>
      <c r="EY108" t="s">
        <v>37</v>
      </c>
      <c r="EZ108">
        <v>122626</v>
      </c>
      <c r="FA108" t="s">
        <v>37</v>
      </c>
      <c r="FB108">
        <v>84306</v>
      </c>
      <c r="FC108" t="s">
        <v>37</v>
      </c>
      <c r="FE108" t="s">
        <v>37</v>
      </c>
      <c r="FG108" t="s">
        <v>37</v>
      </c>
      <c r="FI108" t="s">
        <v>37</v>
      </c>
      <c r="FJ108">
        <v>368790</v>
      </c>
      <c r="FK108" t="s">
        <v>37</v>
      </c>
      <c r="FL108">
        <v>350926</v>
      </c>
      <c r="FM108" t="s">
        <v>37</v>
      </c>
      <c r="FN108">
        <v>32150</v>
      </c>
      <c r="FO108" t="s">
        <v>37</v>
      </c>
      <c r="FP108">
        <v>66469</v>
      </c>
      <c r="FQ108" t="s">
        <v>37</v>
      </c>
      <c r="FS108" t="s">
        <v>37</v>
      </c>
      <c r="FT108">
        <v>81567</v>
      </c>
      <c r="FU108" t="s">
        <v>37</v>
      </c>
      <c r="FV108">
        <v>31822</v>
      </c>
      <c r="FW108" t="s">
        <v>37</v>
      </c>
      <c r="FX108">
        <v>64924</v>
      </c>
      <c r="FY108" t="s">
        <v>37</v>
      </c>
      <c r="FZ108">
        <v>653296</v>
      </c>
      <c r="GA108" t="s">
        <v>37</v>
      </c>
      <c r="GC108" t="s">
        <v>37</v>
      </c>
      <c r="GE108" t="s">
        <v>37</v>
      </c>
      <c r="GG108" t="s">
        <v>37</v>
      </c>
      <c r="GI108" t="s">
        <v>37</v>
      </c>
      <c r="GJ108">
        <v>134700</v>
      </c>
      <c r="GK108" t="s">
        <v>37</v>
      </c>
      <c r="GM108" t="s">
        <v>37</v>
      </c>
      <c r="GO108" t="s">
        <v>37</v>
      </c>
      <c r="GQ108" t="s">
        <v>37</v>
      </c>
      <c r="GR108">
        <v>32240</v>
      </c>
      <c r="GS108" t="s">
        <v>37</v>
      </c>
      <c r="GU108" t="s">
        <v>37</v>
      </c>
      <c r="GW108" t="s">
        <v>37</v>
      </c>
      <c r="GY108" t="s">
        <v>37</v>
      </c>
      <c r="GZ108">
        <v>47748</v>
      </c>
      <c r="HA108" t="s">
        <v>37</v>
      </c>
      <c r="HC108" t="s">
        <v>37</v>
      </c>
      <c r="HE108" t="s">
        <v>37</v>
      </c>
      <c r="HF108">
        <v>6942829</v>
      </c>
      <c r="HG108" t="s">
        <v>37</v>
      </c>
      <c r="HI108" t="s">
        <v>37</v>
      </c>
      <c r="HJ108">
        <v>6942829</v>
      </c>
      <c r="HK108" t="s">
        <v>37</v>
      </c>
    </row>
    <row r="109" spans="1:219">
      <c r="A109">
        <v>3174</v>
      </c>
      <c r="B109" t="s">
        <v>134</v>
      </c>
      <c r="C109" t="s">
        <v>37</v>
      </c>
      <c r="E109" t="s">
        <v>37</v>
      </c>
      <c r="G109" t="s">
        <v>37</v>
      </c>
      <c r="I109" t="s">
        <v>37</v>
      </c>
      <c r="K109" s="48" t="s">
        <v>37</v>
      </c>
      <c r="L109" s="50"/>
      <c r="M109" s="48" t="s">
        <v>37</v>
      </c>
      <c r="N109" s="50"/>
      <c r="O109" s="48" t="s">
        <v>37</v>
      </c>
      <c r="P109" s="50"/>
      <c r="Q109" s="48" t="s">
        <v>37</v>
      </c>
      <c r="R109" s="50"/>
      <c r="S109" s="48" t="s">
        <v>37</v>
      </c>
      <c r="U109" t="s">
        <v>37</v>
      </c>
      <c r="W109" t="s">
        <v>37</v>
      </c>
      <c r="Y109" t="s">
        <v>37</v>
      </c>
      <c r="AA109" t="s">
        <v>37</v>
      </c>
      <c r="AC109" t="s">
        <v>37</v>
      </c>
      <c r="AE109" t="s">
        <v>37</v>
      </c>
      <c r="AG109" t="s">
        <v>37</v>
      </c>
      <c r="AI109" t="s">
        <v>37</v>
      </c>
      <c r="AK109" t="s">
        <v>37</v>
      </c>
      <c r="AM109" t="s">
        <v>37</v>
      </c>
      <c r="AO109" t="s">
        <v>37</v>
      </c>
      <c r="AQ109" t="s">
        <v>37</v>
      </c>
      <c r="AS109" t="s">
        <v>37</v>
      </c>
      <c r="AU109" t="s">
        <v>37</v>
      </c>
      <c r="AW109" t="s">
        <v>37</v>
      </c>
      <c r="AY109" t="s">
        <v>37</v>
      </c>
      <c r="BA109" t="s">
        <v>37</v>
      </c>
      <c r="BC109" t="s">
        <v>37</v>
      </c>
      <c r="BE109" t="s">
        <v>37</v>
      </c>
      <c r="BG109" t="s">
        <v>37</v>
      </c>
      <c r="BI109" t="s">
        <v>37</v>
      </c>
      <c r="BK109" t="s">
        <v>37</v>
      </c>
      <c r="BM109" t="s">
        <v>37</v>
      </c>
      <c r="BO109" t="s">
        <v>37</v>
      </c>
      <c r="BQ109" t="s">
        <v>37</v>
      </c>
      <c r="BS109" t="s">
        <v>37</v>
      </c>
      <c r="BU109" t="s">
        <v>37</v>
      </c>
      <c r="BW109" t="s">
        <v>37</v>
      </c>
      <c r="BY109" t="s">
        <v>37</v>
      </c>
      <c r="CA109" t="s">
        <v>37</v>
      </c>
      <c r="CC109" t="s">
        <v>37</v>
      </c>
      <c r="CE109" t="s">
        <v>37</v>
      </c>
      <c r="CG109" t="s">
        <v>37</v>
      </c>
      <c r="CI109" t="s">
        <v>37</v>
      </c>
      <c r="CK109" t="s">
        <v>37</v>
      </c>
      <c r="CM109" t="s">
        <v>37</v>
      </c>
      <c r="CO109" t="s">
        <v>37</v>
      </c>
      <c r="CQ109" t="s">
        <v>37</v>
      </c>
      <c r="CS109" t="s">
        <v>37</v>
      </c>
      <c r="CU109" t="s">
        <v>37</v>
      </c>
      <c r="CW109" t="s">
        <v>37</v>
      </c>
      <c r="CY109" t="s">
        <v>37</v>
      </c>
      <c r="DA109" t="s">
        <v>37</v>
      </c>
      <c r="DC109" t="s">
        <v>37</v>
      </c>
      <c r="DE109" t="s">
        <v>37</v>
      </c>
      <c r="DG109" t="s">
        <v>37</v>
      </c>
      <c r="DI109" t="s">
        <v>37</v>
      </c>
      <c r="DK109" t="s">
        <v>37</v>
      </c>
      <c r="DM109" t="s">
        <v>37</v>
      </c>
      <c r="DO109" t="s">
        <v>37</v>
      </c>
      <c r="DQ109" t="s">
        <v>37</v>
      </c>
      <c r="DS109" t="s">
        <v>37</v>
      </c>
      <c r="DU109" t="s">
        <v>37</v>
      </c>
      <c r="DW109" t="s">
        <v>37</v>
      </c>
      <c r="DY109" t="s">
        <v>37</v>
      </c>
      <c r="EA109" t="s">
        <v>37</v>
      </c>
      <c r="EC109" t="s">
        <v>37</v>
      </c>
      <c r="EE109" t="s">
        <v>37</v>
      </c>
      <c r="EG109" t="s">
        <v>37</v>
      </c>
      <c r="EI109" t="s">
        <v>37</v>
      </c>
      <c r="EK109" t="s">
        <v>37</v>
      </c>
      <c r="EM109" t="s">
        <v>37</v>
      </c>
      <c r="EO109" t="s">
        <v>37</v>
      </c>
      <c r="EQ109" t="s">
        <v>37</v>
      </c>
      <c r="ES109" t="s">
        <v>37</v>
      </c>
      <c r="EU109" t="s">
        <v>37</v>
      </c>
      <c r="EW109" t="s">
        <v>37</v>
      </c>
      <c r="EY109" t="s">
        <v>37</v>
      </c>
      <c r="FA109" t="s">
        <v>37</v>
      </c>
      <c r="FC109" t="s">
        <v>37</v>
      </c>
      <c r="FE109" t="s">
        <v>37</v>
      </c>
      <c r="FG109" t="s">
        <v>37</v>
      </c>
      <c r="FI109" t="s">
        <v>37</v>
      </c>
      <c r="FK109" t="s">
        <v>37</v>
      </c>
      <c r="FM109" t="s">
        <v>37</v>
      </c>
      <c r="FO109" t="s">
        <v>37</v>
      </c>
      <c r="FQ109" t="s">
        <v>37</v>
      </c>
      <c r="FS109" t="s">
        <v>37</v>
      </c>
      <c r="FU109" t="s">
        <v>37</v>
      </c>
      <c r="FW109" t="s">
        <v>37</v>
      </c>
      <c r="FY109" t="s">
        <v>37</v>
      </c>
      <c r="GA109" t="s">
        <v>37</v>
      </c>
      <c r="GC109" t="s">
        <v>37</v>
      </c>
      <c r="GE109" t="s">
        <v>37</v>
      </c>
      <c r="GG109" t="s">
        <v>37</v>
      </c>
      <c r="GI109" t="s">
        <v>37</v>
      </c>
      <c r="GK109" t="s">
        <v>37</v>
      </c>
      <c r="GM109" t="s">
        <v>37</v>
      </c>
      <c r="GO109" t="s">
        <v>37</v>
      </c>
      <c r="GQ109" t="s">
        <v>37</v>
      </c>
      <c r="GS109" t="s">
        <v>37</v>
      </c>
      <c r="GU109" t="s">
        <v>37</v>
      </c>
      <c r="GW109" t="s">
        <v>37</v>
      </c>
      <c r="GY109" t="s">
        <v>37</v>
      </c>
      <c r="HA109" t="s">
        <v>37</v>
      </c>
      <c r="HC109" t="s">
        <v>37</v>
      </c>
      <c r="HE109" t="s">
        <v>37</v>
      </c>
      <c r="HG109" t="s">
        <v>37</v>
      </c>
      <c r="HI109" t="s">
        <v>37</v>
      </c>
      <c r="HK109" t="s">
        <v>37</v>
      </c>
    </row>
    <row r="110" spans="1:219">
      <c r="A110">
        <v>3180</v>
      </c>
      <c r="B110" t="s">
        <v>135</v>
      </c>
      <c r="C110" t="s">
        <v>37</v>
      </c>
      <c r="D110">
        <v>2667801</v>
      </c>
      <c r="E110" t="s">
        <v>37</v>
      </c>
      <c r="F110">
        <v>16820164</v>
      </c>
      <c r="G110" t="s">
        <v>37</v>
      </c>
      <c r="H110">
        <v>1229404</v>
      </c>
      <c r="I110" t="s">
        <v>37</v>
      </c>
      <c r="K110" s="48" t="s">
        <v>37</v>
      </c>
      <c r="L110" s="51">
        <v>6021648</v>
      </c>
      <c r="M110" s="48" t="s">
        <v>37</v>
      </c>
      <c r="N110" s="51">
        <v>2872461</v>
      </c>
      <c r="O110" s="48" t="s">
        <v>37</v>
      </c>
      <c r="P110" s="51">
        <v>2213535</v>
      </c>
      <c r="Q110" s="48" t="s">
        <v>37</v>
      </c>
      <c r="R110" s="51">
        <v>1555962</v>
      </c>
      <c r="S110" s="48" t="s">
        <v>37</v>
      </c>
      <c r="T110">
        <v>8248525</v>
      </c>
      <c r="U110" t="s">
        <v>37</v>
      </c>
      <c r="W110" t="s">
        <v>37</v>
      </c>
      <c r="Y110" t="s">
        <v>37</v>
      </c>
      <c r="Z110">
        <v>1325202</v>
      </c>
      <c r="AA110" t="s">
        <v>37</v>
      </c>
      <c r="AB110">
        <v>760367</v>
      </c>
      <c r="AC110" t="s">
        <v>37</v>
      </c>
      <c r="AD110">
        <v>751865</v>
      </c>
      <c r="AE110" t="s">
        <v>37</v>
      </c>
      <c r="AF110">
        <v>749259</v>
      </c>
      <c r="AG110" t="s">
        <v>37</v>
      </c>
      <c r="AH110">
        <v>2048883</v>
      </c>
      <c r="AI110" t="s">
        <v>37</v>
      </c>
      <c r="AK110" t="s">
        <v>37</v>
      </c>
      <c r="AL110">
        <v>178357</v>
      </c>
      <c r="AM110" t="s">
        <v>37</v>
      </c>
      <c r="AO110" t="s">
        <v>37</v>
      </c>
      <c r="AP110">
        <v>19326294</v>
      </c>
      <c r="AQ110" t="s">
        <v>37</v>
      </c>
      <c r="AR110">
        <v>963294</v>
      </c>
      <c r="AS110" t="s">
        <v>37</v>
      </c>
      <c r="AT110">
        <v>13710198</v>
      </c>
      <c r="AU110" t="s">
        <v>37</v>
      </c>
      <c r="AV110">
        <v>6256085</v>
      </c>
      <c r="AW110" t="s">
        <v>37</v>
      </c>
      <c r="AX110">
        <v>4233474</v>
      </c>
      <c r="AY110" t="s">
        <v>37</v>
      </c>
      <c r="AZ110">
        <v>5987554</v>
      </c>
      <c r="BA110" t="s">
        <v>37</v>
      </c>
      <c r="BB110">
        <v>694935</v>
      </c>
      <c r="BC110" t="s">
        <v>37</v>
      </c>
      <c r="BD110">
        <v>2508886</v>
      </c>
      <c r="BE110" t="s">
        <v>37</v>
      </c>
      <c r="BF110">
        <v>1052094</v>
      </c>
      <c r="BG110" t="s">
        <v>37</v>
      </c>
      <c r="BI110" t="s">
        <v>37</v>
      </c>
      <c r="BJ110">
        <v>4335110</v>
      </c>
      <c r="BK110" t="s">
        <v>37</v>
      </c>
      <c r="BL110">
        <v>8190645</v>
      </c>
      <c r="BM110" t="s">
        <v>37</v>
      </c>
      <c r="BO110" t="s">
        <v>37</v>
      </c>
      <c r="BP110">
        <v>674005</v>
      </c>
      <c r="BQ110" t="s">
        <v>37</v>
      </c>
      <c r="BR110">
        <v>2755496</v>
      </c>
      <c r="BS110" t="s">
        <v>37</v>
      </c>
      <c r="BT110">
        <v>1227344</v>
      </c>
      <c r="BU110" t="s">
        <v>37</v>
      </c>
      <c r="BW110" t="s">
        <v>37</v>
      </c>
      <c r="BX110">
        <v>13915367</v>
      </c>
      <c r="BY110" t="s">
        <v>37</v>
      </c>
      <c r="BZ110">
        <v>1522279</v>
      </c>
      <c r="CA110" t="s">
        <v>37</v>
      </c>
      <c r="CC110" t="s">
        <v>37</v>
      </c>
      <c r="CD110">
        <v>3064917</v>
      </c>
      <c r="CE110" t="s">
        <v>37</v>
      </c>
      <c r="CF110">
        <v>1844829</v>
      </c>
      <c r="CG110" t="s">
        <v>37</v>
      </c>
      <c r="CH110">
        <v>10168308</v>
      </c>
      <c r="CI110" t="s">
        <v>37</v>
      </c>
      <c r="CJ110">
        <v>948439</v>
      </c>
      <c r="CK110" t="s">
        <v>37</v>
      </c>
      <c r="CL110">
        <v>2972558</v>
      </c>
      <c r="CM110" t="s">
        <v>37</v>
      </c>
      <c r="CN110">
        <v>713011</v>
      </c>
      <c r="CO110" t="s">
        <v>37</v>
      </c>
      <c r="CP110">
        <v>1193797</v>
      </c>
      <c r="CQ110" t="s">
        <v>37</v>
      </c>
      <c r="CR110">
        <v>4765447</v>
      </c>
      <c r="CS110" t="s">
        <v>37</v>
      </c>
      <c r="CT110">
        <v>40910830</v>
      </c>
      <c r="CU110" t="s">
        <v>37</v>
      </c>
      <c r="CV110">
        <v>6397073</v>
      </c>
      <c r="CW110" t="s">
        <v>37</v>
      </c>
      <c r="CX110">
        <v>917117</v>
      </c>
      <c r="CY110" t="s">
        <v>37</v>
      </c>
      <c r="CZ110">
        <v>808608</v>
      </c>
      <c r="DA110" t="s">
        <v>37</v>
      </c>
      <c r="DC110" t="s">
        <v>37</v>
      </c>
      <c r="DD110">
        <v>2123379</v>
      </c>
      <c r="DE110" t="s">
        <v>37</v>
      </c>
      <c r="DF110">
        <v>1068884</v>
      </c>
      <c r="DG110" t="s">
        <v>37</v>
      </c>
      <c r="DH110">
        <v>16778832</v>
      </c>
      <c r="DI110" t="s">
        <v>37</v>
      </c>
      <c r="DJ110">
        <v>1891968</v>
      </c>
      <c r="DK110" t="s">
        <v>37</v>
      </c>
      <c r="DL110">
        <v>7235535</v>
      </c>
      <c r="DM110" t="s">
        <v>37</v>
      </c>
      <c r="DN110">
        <v>8034389</v>
      </c>
      <c r="DO110" t="s">
        <v>37</v>
      </c>
      <c r="DP110">
        <v>4310670</v>
      </c>
      <c r="DQ110" t="s">
        <v>37</v>
      </c>
      <c r="DR110">
        <v>2523008</v>
      </c>
      <c r="DS110" t="s">
        <v>37</v>
      </c>
      <c r="DT110">
        <v>2065863</v>
      </c>
      <c r="DU110" t="s">
        <v>37</v>
      </c>
      <c r="DV110">
        <v>14003403</v>
      </c>
      <c r="DW110" t="s">
        <v>37</v>
      </c>
      <c r="DX110">
        <v>5803376</v>
      </c>
      <c r="DY110" t="s">
        <v>37</v>
      </c>
      <c r="DZ110">
        <v>1546513</v>
      </c>
      <c r="EA110" t="s">
        <v>37</v>
      </c>
      <c r="EB110">
        <v>2787380</v>
      </c>
      <c r="EC110" t="s">
        <v>37</v>
      </c>
      <c r="ED110">
        <v>11113435</v>
      </c>
      <c r="EE110" t="s">
        <v>37</v>
      </c>
      <c r="EF110">
        <v>466391</v>
      </c>
      <c r="EG110" t="s">
        <v>37</v>
      </c>
      <c r="EI110" t="s">
        <v>37</v>
      </c>
      <c r="EJ110">
        <v>2368868</v>
      </c>
      <c r="EK110" t="s">
        <v>37</v>
      </c>
      <c r="EL110">
        <v>1541749</v>
      </c>
      <c r="EM110" t="s">
        <v>37</v>
      </c>
      <c r="EN110">
        <v>703441</v>
      </c>
      <c r="EO110" t="s">
        <v>37</v>
      </c>
      <c r="EQ110" t="s">
        <v>37</v>
      </c>
      <c r="ER110">
        <v>3706086</v>
      </c>
      <c r="ES110" t="s">
        <v>37</v>
      </c>
      <c r="ET110">
        <v>4249525</v>
      </c>
      <c r="EU110" t="s">
        <v>37</v>
      </c>
      <c r="EV110">
        <v>5388670</v>
      </c>
      <c r="EW110" t="s">
        <v>37</v>
      </c>
      <c r="EY110" t="s">
        <v>37</v>
      </c>
      <c r="EZ110">
        <v>2401573</v>
      </c>
      <c r="FA110" t="s">
        <v>37</v>
      </c>
      <c r="FB110">
        <v>3056678</v>
      </c>
      <c r="FC110" t="s">
        <v>37</v>
      </c>
      <c r="FD110">
        <v>4813856</v>
      </c>
      <c r="FE110" t="s">
        <v>37</v>
      </c>
      <c r="FG110" t="s">
        <v>37</v>
      </c>
      <c r="FH110">
        <v>10851436</v>
      </c>
      <c r="FI110" t="s">
        <v>37</v>
      </c>
      <c r="FJ110">
        <v>14531253</v>
      </c>
      <c r="FK110" t="s">
        <v>37</v>
      </c>
      <c r="FL110">
        <v>14867188</v>
      </c>
      <c r="FM110" t="s">
        <v>37</v>
      </c>
      <c r="FN110">
        <v>1544931</v>
      </c>
      <c r="FO110" t="s">
        <v>37</v>
      </c>
      <c r="FP110">
        <v>3434108</v>
      </c>
      <c r="FQ110" t="s">
        <v>37</v>
      </c>
      <c r="FR110">
        <v>6606868</v>
      </c>
      <c r="FS110" t="s">
        <v>37</v>
      </c>
      <c r="FT110">
        <v>2143224</v>
      </c>
      <c r="FU110" t="s">
        <v>37</v>
      </c>
      <c r="FV110">
        <v>2102850</v>
      </c>
      <c r="FW110" t="s">
        <v>37</v>
      </c>
      <c r="FX110">
        <v>3964831</v>
      </c>
      <c r="FY110" t="s">
        <v>37</v>
      </c>
      <c r="FZ110">
        <v>6215221</v>
      </c>
      <c r="GA110" t="s">
        <v>37</v>
      </c>
      <c r="GB110">
        <v>5267805</v>
      </c>
      <c r="GC110" t="s">
        <v>37</v>
      </c>
      <c r="GE110" t="s">
        <v>37</v>
      </c>
      <c r="GG110" t="s">
        <v>37</v>
      </c>
      <c r="GH110">
        <v>29036</v>
      </c>
      <c r="GI110" t="s">
        <v>37</v>
      </c>
      <c r="GJ110">
        <v>6792310</v>
      </c>
      <c r="GK110" t="s">
        <v>37</v>
      </c>
      <c r="GL110">
        <v>6439166</v>
      </c>
      <c r="GM110" t="s">
        <v>37</v>
      </c>
      <c r="GO110" t="s">
        <v>37</v>
      </c>
      <c r="GP110">
        <v>3699609</v>
      </c>
      <c r="GQ110" t="s">
        <v>37</v>
      </c>
      <c r="GR110">
        <v>4348525</v>
      </c>
      <c r="GS110" t="s">
        <v>37</v>
      </c>
      <c r="GT110">
        <v>3802845</v>
      </c>
      <c r="GU110" t="s">
        <v>37</v>
      </c>
      <c r="GV110">
        <v>2370730</v>
      </c>
      <c r="GW110" t="s">
        <v>37</v>
      </c>
      <c r="GX110">
        <v>11255293</v>
      </c>
      <c r="GY110" t="s">
        <v>37</v>
      </c>
      <c r="GZ110">
        <v>4682050</v>
      </c>
      <c r="HA110" t="s">
        <v>37</v>
      </c>
      <c r="HB110">
        <v>1077362</v>
      </c>
      <c r="HC110" t="s">
        <v>37</v>
      </c>
      <c r="HD110">
        <v>551805</v>
      </c>
      <c r="HE110" t="s">
        <v>37</v>
      </c>
      <c r="HF110">
        <v>434434178</v>
      </c>
      <c r="HG110" t="s">
        <v>37</v>
      </c>
      <c r="HH110">
        <v>1629167</v>
      </c>
      <c r="HI110" t="s">
        <v>37</v>
      </c>
      <c r="HJ110">
        <v>436063345</v>
      </c>
      <c r="HK110" t="s">
        <v>37</v>
      </c>
    </row>
    <row r="111" spans="1:219">
      <c r="A111">
        <v>3181</v>
      </c>
      <c r="B111" t="s">
        <v>136</v>
      </c>
      <c r="C111" t="s">
        <v>37</v>
      </c>
      <c r="D111">
        <v>389035</v>
      </c>
      <c r="E111" t="s">
        <v>37</v>
      </c>
      <c r="F111">
        <v>2343349</v>
      </c>
      <c r="G111" t="s">
        <v>37</v>
      </c>
      <c r="H111">
        <v>217993</v>
      </c>
      <c r="I111" t="s">
        <v>37</v>
      </c>
      <c r="J111">
        <v>25908</v>
      </c>
      <c r="K111" s="48" t="s">
        <v>37</v>
      </c>
      <c r="L111" s="51">
        <v>677615</v>
      </c>
      <c r="M111" s="48" t="s">
        <v>37</v>
      </c>
      <c r="N111" s="51">
        <v>331400</v>
      </c>
      <c r="O111" s="48" t="s">
        <v>37</v>
      </c>
      <c r="P111" s="50"/>
      <c r="Q111" s="48" t="s">
        <v>37</v>
      </c>
      <c r="R111" s="51">
        <v>282183</v>
      </c>
      <c r="S111" s="48" t="s">
        <v>37</v>
      </c>
      <c r="T111">
        <v>1231768</v>
      </c>
      <c r="U111" t="s">
        <v>37</v>
      </c>
      <c r="W111" t="s">
        <v>37</v>
      </c>
      <c r="X111">
        <v>43218</v>
      </c>
      <c r="Y111" t="s">
        <v>37</v>
      </c>
      <c r="Z111">
        <v>178251</v>
      </c>
      <c r="AA111" t="s">
        <v>37</v>
      </c>
      <c r="AB111">
        <v>142485</v>
      </c>
      <c r="AC111" t="s">
        <v>37</v>
      </c>
      <c r="AD111">
        <v>107586</v>
      </c>
      <c r="AE111" t="s">
        <v>37</v>
      </c>
      <c r="AF111">
        <v>101173</v>
      </c>
      <c r="AG111" t="s">
        <v>37</v>
      </c>
      <c r="AH111">
        <v>267894</v>
      </c>
      <c r="AI111" t="s">
        <v>37</v>
      </c>
      <c r="AJ111">
        <v>17135</v>
      </c>
      <c r="AK111" t="s">
        <v>37</v>
      </c>
      <c r="AL111">
        <v>1794289</v>
      </c>
      <c r="AM111" t="s">
        <v>37</v>
      </c>
      <c r="AN111">
        <v>43534</v>
      </c>
      <c r="AO111" t="s">
        <v>37</v>
      </c>
      <c r="AP111">
        <v>2593034</v>
      </c>
      <c r="AQ111" t="s">
        <v>37</v>
      </c>
      <c r="AR111">
        <v>242362</v>
      </c>
      <c r="AS111" t="s">
        <v>37</v>
      </c>
      <c r="AT111">
        <v>4450170</v>
      </c>
      <c r="AU111" t="s">
        <v>37</v>
      </c>
      <c r="AV111">
        <v>997731</v>
      </c>
      <c r="AW111" t="s">
        <v>37</v>
      </c>
      <c r="AX111">
        <v>646246</v>
      </c>
      <c r="AY111" t="s">
        <v>37</v>
      </c>
      <c r="AZ111">
        <v>746285</v>
      </c>
      <c r="BA111" t="s">
        <v>37</v>
      </c>
      <c r="BB111">
        <v>117898</v>
      </c>
      <c r="BC111" t="s">
        <v>37</v>
      </c>
      <c r="BD111">
        <v>282478</v>
      </c>
      <c r="BE111" t="s">
        <v>37</v>
      </c>
      <c r="BF111">
        <v>115789</v>
      </c>
      <c r="BG111" t="s">
        <v>37</v>
      </c>
      <c r="BI111" t="s">
        <v>37</v>
      </c>
      <c r="BJ111">
        <v>630896</v>
      </c>
      <c r="BK111" t="s">
        <v>37</v>
      </c>
      <c r="BL111">
        <v>1141025</v>
      </c>
      <c r="BM111" t="s">
        <v>37</v>
      </c>
      <c r="BN111">
        <v>579480</v>
      </c>
      <c r="BO111" t="s">
        <v>37</v>
      </c>
      <c r="BQ111" t="s">
        <v>37</v>
      </c>
      <c r="BR111">
        <v>347688</v>
      </c>
      <c r="BS111" t="s">
        <v>37</v>
      </c>
      <c r="BU111" t="s">
        <v>37</v>
      </c>
      <c r="BW111" t="s">
        <v>37</v>
      </c>
      <c r="BX111">
        <v>1496045</v>
      </c>
      <c r="BY111" t="s">
        <v>37</v>
      </c>
      <c r="BZ111">
        <v>227880</v>
      </c>
      <c r="CA111" t="s">
        <v>37</v>
      </c>
      <c r="CB111">
        <v>30409</v>
      </c>
      <c r="CC111" t="s">
        <v>37</v>
      </c>
      <c r="CD111">
        <v>426222</v>
      </c>
      <c r="CE111" t="s">
        <v>37</v>
      </c>
      <c r="CF111">
        <v>522624</v>
      </c>
      <c r="CG111" t="s">
        <v>37</v>
      </c>
      <c r="CH111">
        <v>1602226</v>
      </c>
      <c r="CI111" t="s">
        <v>37</v>
      </c>
      <c r="CJ111">
        <v>120972</v>
      </c>
      <c r="CK111" t="s">
        <v>37</v>
      </c>
      <c r="CL111">
        <v>396204</v>
      </c>
      <c r="CM111" t="s">
        <v>37</v>
      </c>
      <c r="CN111">
        <v>121825</v>
      </c>
      <c r="CO111" t="s">
        <v>37</v>
      </c>
      <c r="CP111">
        <v>164122</v>
      </c>
      <c r="CQ111" t="s">
        <v>37</v>
      </c>
      <c r="CR111">
        <v>1180146</v>
      </c>
      <c r="CS111" t="s">
        <v>37</v>
      </c>
      <c r="CT111">
        <v>5636628</v>
      </c>
      <c r="CU111" t="s">
        <v>37</v>
      </c>
      <c r="CV111">
        <v>945586</v>
      </c>
      <c r="CW111" t="s">
        <v>37</v>
      </c>
      <c r="CX111">
        <v>122724</v>
      </c>
      <c r="CY111" t="s">
        <v>37</v>
      </c>
      <c r="CZ111">
        <v>163115</v>
      </c>
      <c r="DA111" t="s">
        <v>37</v>
      </c>
      <c r="DC111" t="s">
        <v>37</v>
      </c>
      <c r="DD111">
        <v>279381</v>
      </c>
      <c r="DE111" t="s">
        <v>37</v>
      </c>
      <c r="DF111">
        <v>154576</v>
      </c>
      <c r="DG111" t="s">
        <v>37</v>
      </c>
      <c r="DH111">
        <v>3535524</v>
      </c>
      <c r="DI111" t="s">
        <v>37</v>
      </c>
      <c r="DJ111">
        <v>264884</v>
      </c>
      <c r="DK111" t="s">
        <v>37</v>
      </c>
      <c r="DL111">
        <v>992917</v>
      </c>
      <c r="DM111" t="s">
        <v>37</v>
      </c>
      <c r="DN111">
        <v>1050540</v>
      </c>
      <c r="DO111" t="s">
        <v>37</v>
      </c>
      <c r="DP111">
        <v>559630</v>
      </c>
      <c r="DQ111" t="s">
        <v>37</v>
      </c>
      <c r="DR111">
        <v>315222</v>
      </c>
      <c r="DS111" t="s">
        <v>37</v>
      </c>
      <c r="DT111">
        <v>299591</v>
      </c>
      <c r="DU111" t="s">
        <v>37</v>
      </c>
      <c r="DV111">
        <v>1823591</v>
      </c>
      <c r="DW111" t="s">
        <v>37</v>
      </c>
      <c r="DX111">
        <v>978485</v>
      </c>
      <c r="DY111" t="s">
        <v>37</v>
      </c>
      <c r="DZ111">
        <v>273424</v>
      </c>
      <c r="EA111" t="s">
        <v>37</v>
      </c>
      <c r="EB111">
        <v>341589</v>
      </c>
      <c r="EC111" t="s">
        <v>37</v>
      </c>
      <c r="ED111">
        <v>1866479</v>
      </c>
      <c r="EE111" t="s">
        <v>37</v>
      </c>
      <c r="EF111">
        <v>116527</v>
      </c>
      <c r="EG111" t="s">
        <v>37</v>
      </c>
      <c r="EH111">
        <v>15263</v>
      </c>
      <c r="EI111" t="s">
        <v>37</v>
      </c>
      <c r="EJ111">
        <v>283746</v>
      </c>
      <c r="EK111" t="s">
        <v>37</v>
      </c>
      <c r="EL111">
        <v>204160</v>
      </c>
      <c r="EM111" t="s">
        <v>37</v>
      </c>
      <c r="EN111">
        <v>108388</v>
      </c>
      <c r="EO111" t="s">
        <v>37</v>
      </c>
      <c r="EP111">
        <v>21876</v>
      </c>
      <c r="EQ111" t="s">
        <v>37</v>
      </c>
      <c r="ER111">
        <v>515225</v>
      </c>
      <c r="ES111" t="s">
        <v>37</v>
      </c>
      <c r="ET111">
        <v>634009</v>
      </c>
      <c r="EU111" t="s">
        <v>37</v>
      </c>
      <c r="EV111">
        <v>1177316</v>
      </c>
      <c r="EW111" t="s">
        <v>37</v>
      </c>
      <c r="EY111" t="s">
        <v>37</v>
      </c>
      <c r="EZ111">
        <v>403578</v>
      </c>
      <c r="FA111" t="s">
        <v>37</v>
      </c>
      <c r="FB111">
        <v>433994</v>
      </c>
      <c r="FC111" t="s">
        <v>37</v>
      </c>
      <c r="FD111">
        <v>948740</v>
      </c>
      <c r="FE111" t="s">
        <v>37</v>
      </c>
      <c r="FG111" t="s">
        <v>37</v>
      </c>
      <c r="FH111">
        <v>1482857</v>
      </c>
      <c r="FI111" t="s">
        <v>37</v>
      </c>
      <c r="FJ111">
        <v>3286864</v>
      </c>
      <c r="FK111" t="s">
        <v>37</v>
      </c>
      <c r="FL111">
        <v>2038969</v>
      </c>
      <c r="FM111" t="s">
        <v>37</v>
      </c>
      <c r="FN111">
        <v>210556</v>
      </c>
      <c r="FO111" t="s">
        <v>37</v>
      </c>
      <c r="FP111">
        <v>444552</v>
      </c>
      <c r="FQ111" t="s">
        <v>37</v>
      </c>
      <c r="FR111">
        <v>718298</v>
      </c>
      <c r="FS111" t="s">
        <v>37</v>
      </c>
      <c r="FT111">
        <v>357206</v>
      </c>
      <c r="FU111" t="s">
        <v>37</v>
      </c>
      <c r="FV111">
        <v>251066</v>
      </c>
      <c r="FW111" t="s">
        <v>37</v>
      </c>
      <c r="FX111">
        <v>641145</v>
      </c>
      <c r="FY111" t="s">
        <v>37</v>
      </c>
      <c r="FZ111">
        <v>821761</v>
      </c>
      <c r="GA111" t="s">
        <v>37</v>
      </c>
      <c r="GB111">
        <v>1122771</v>
      </c>
      <c r="GC111" t="s">
        <v>37</v>
      </c>
      <c r="GE111" t="s">
        <v>37</v>
      </c>
      <c r="GF111">
        <v>32124</v>
      </c>
      <c r="GG111" t="s">
        <v>37</v>
      </c>
      <c r="GI111" t="s">
        <v>37</v>
      </c>
      <c r="GJ111">
        <v>881999</v>
      </c>
      <c r="GK111" t="s">
        <v>37</v>
      </c>
      <c r="GL111">
        <v>854428</v>
      </c>
      <c r="GM111" t="s">
        <v>37</v>
      </c>
      <c r="GO111" t="s">
        <v>37</v>
      </c>
      <c r="GP111">
        <v>492719</v>
      </c>
      <c r="GQ111" t="s">
        <v>37</v>
      </c>
      <c r="GR111">
        <v>597083</v>
      </c>
      <c r="GS111" t="s">
        <v>37</v>
      </c>
      <c r="GT111">
        <v>504478</v>
      </c>
      <c r="GU111" t="s">
        <v>37</v>
      </c>
      <c r="GV111">
        <v>602257</v>
      </c>
      <c r="GW111" t="s">
        <v>37</v>
      </c>
      <c r="GX111">
        <v>1520460</v>
      </c>
      <c r="GY111" t="s">
        <v>37</v>
      </c>
      <c r="GZ111">
        <v>646210</v>
      </c>
      <c r="HA111" t="s">
        <v>37</v>
      </c>
      <c r="HC111" t="s">
        <v>37</v>
      </c>
      <c r="HD111">
        <v>41948</v>
      </c>
      <c r="HE111" t="s">
        <v>37</v>
      </c>
      <c r="HF111">
        <v>69349084</v>
      </c>
      <c r="HG111" t="s">
        <v>37</v>
      </c>
      <c r="HH111">
        <v>41948</v>
      </c>
      <c r="HI111" t="s">
        <v>37</v>
      </c>
      <c r="HJ111">
        <v>69391032</v>
      </c>
      <c r="HK111" t="s">
        <v>37</v>
      </c>
    </row>
    <row r="112" spans="1:219">
      <c r="A112">
        <v>3183</v>
      </c>
      <c r="B112" t="s">
        <v>137</v>
      </c>
      <c r="C112" t="s">
        <v>37</v>
      </c>
      <c r="E112" t="s">
        <v>37</v>
      </c>
      <c r="G112" t="s">
        <v>37</v>
      </c>
      <c r="I112" t="s">
        <v>37</v>
      </c>
      <c r="K112" s="48" t="s">
        <v>37</v>
      </c>
      <c r="L112" s="50"/>
      <c r="M112" s="48" t="s">
        <v>37</v>
      </c>
      <c r="N112" s="50"/>
      <c r="O112" s="48" t="s">
        <v>37</v>
      </c>
      <c r="P112" s="50"/>
      <c r="Q112" s="48" t="s">
        <v>37</v>
      </c>
      <c r="R112" s="50"/>
      <c r="S112" s="48" t="s">
        <v>37</v>
      </c>
      <c r="U112" t="s">
        <v>37</v>
      </c>
      <c r="W112" t="s">
        <v>37</v>
      </c>
      <c r="Y112" t="s">
        <v>37</v>
      </c>
      <c r="AA112" t="s">
        <v>37</v>
      </c>
      <c r="AC112" t="s">
        <v>37</v>
      </c>
      <c r="AE112" t="s">
        <v>37</v>
      </c>
      <c r="AG112" t="s">
        <v>37</v>
      </c>
      <c r="AI112" t="s">
        <v>37</v>
      </c>
      <c r="AK112" t="s">
        <v>37</v>
      </c>
      <c r="AM112" t="s">
        <v>37</v>
      </c>
      <c r="AO112" t="s">
        <v>37</v>
      </c>
      <c r="AQ112" t="s">
        <v>37</v>
      </c>
      <c r="AS112" t="s">
        <v>37</v>
      </c>
      <c r="AU112" t="s">
        <v>37</v>
      </c>
      <c r="AW112" t="s">
        <v>37</v>
      </c>
      <c r="AY112" t="s">
        <v>37</v>
      </c>
      <c r="BA112" t="s">
        <v>37</v>
      </c>
      <c r="BC112" t="s">
        <v>37</v>
      </c>
      <c r="BE112" t="s">
        <v>37</v>
      </c>
      <c r="BG112" t="s">
        <v>37</v>
      </c>
      <c r="BI112" t="s">
        <v>37</v>
      </c>
      <c r="BK112" t="s">
        <v>37</v>
      </c>
      <c r="BM112" t="s">
        <v>37</v>
      </c>
      <c r="BO112" t="s">
        <v>37</v>
      </c>
      <c r="BQ112" t="s">
        <v>37</v>
      </c>
      <c r="BS112" t="s">
        <v>37</v>
      </c>
      <c r="BU112" t="s">
        <v>37</v>
      </c>
      <c r="BW112" t="s">
        <v>37</v>
      </c>
      <c r="BY112" t="s">
        <v>37</v>
      </c>
      <c r="CA112" t="s">
        <v>37</v>
      </c>
      <c r="CC112" t="s">
        <v>37</v>
      </c>
      <c r="CE112" t="s">
        <v>37</v>
      </c>
      <c r="CG112" t="s">
        <v>37</v>
      </c>
      <c r="CI112" t="s">
        <v>37</v>
      </c>
      <c r="CK112" t="s">
        <v>37</v>
      </c>
      <c r="CM112" t="s">
        <v>37</v>
      </c>
      <c r="CO112" t="s">
        <v>37</v>
      </c>
      <c r="CQ112" t="s">
        <v>37</v>
      </c>
      <c r="CS112" t="s">
        <v>37</v>
      </c>
      <c r="CU112" t="s">
        <v>37</v>
      </c>
      <c r="CW112" t="s">
        <v>37</v>
      </c>
      <c r="CY112" t="s">
        <v>37</v>
      </c>
      <c r="DA112" t="s">
        <v>37</v>
      </c>
      <c r="DC112" t="s">
        <v>37</v>
      </c>
      <c r="DE112" t="s">
        <v>37</v>
      </c>
      <c r="DG112" t="s">
        <v>37</v>
      </c>
      <c r="DI112" t="s">
        <v>37</v>
      </c>
      <c r="DK112" t="s">
        <v>37</v>
      </c>
      <c r="DM112" t="s">
        <v>37</v>
      </c>
      <c r="DO112" t="s">
        <v>37</v>
      </c>
      <c r="DQ112" t="s">
        <v>37</v>
      </c>
      <c r="DS112" t="s">
        <v>37</v>
      </c>
      <c r="DU112" t="s">
        <v>37</v>
      </c>
      <c r="DW112" t="s">
        <v>37</v>
      </c>
      <c r="DY112" t="s">
        <v>37</v>
      </c>
      <c r="EA112" t="s">
        <v>37</v>
      </c>
      <c r="EC112" t="s">
        <v>37</v>
      </c>
      <c r="EE112" t="s">
        <v>37</v>
      </c>
      <c r="EG112" t="s">
        <v>37</v>
      </c>
      <c r="EI112" t="s">
        <v>37</v>
      </c>
      <c r="EK112" t="s">
        <v>37</v>
      </c>
      <c r="EM112" t="s">
        <v>37</v>
      </c>
      <c r="EO112" t="s">
        <v>37</v>
      </c>
      <c r="EQ112" t="s">
        <v>37</v>
      </c>
      <c r="ES112" t="s">
        <v>37</v>
      </c>
      <c r="EU112" t="s">
        <v>37</v>
      </c>
      <c r="EW112" t="s">
        <v>37</v>
      </c>
      <c r="EY112" t="s">
        <v>37</v>
      </c>
      <c r="FA112" t="s">
        <v>37</v>
      </c>
      <c r="FC112" t="s">
        <v>37</v>
      </c>
      <c r="FE112" t="s">
        <v>37</v>
      </c>
      <c r="FG112" t="s">
        <v>37</v>
      </c>
      <c r="FI112" t="s">
        <v>37</v>
      </c>
      <c r="FK112" t="s">
        <v>37</v>
      </c>
      <c r="FM112" t="s">
        <v>37</v>
      </c>
      <c r="FO112" t="s">
        <v>37</v>
      </c>
      <c r="FQ112" t="s">
        <v>37</v>
      </c>
      <c r="FS112" t="s">
        <v>37</v>
      </c>
      <c r="FU112" t="s">
        <v>37</v>
      </c>
      <c r="FW112" t="s">
        <v>37</v>
      </c>
      <c r="FY112" t="s">
        <v>37</v>
      </c>
      <c r="GA112" t="s">
        <v>37</v>
      </c>
      <c r="GC112" t="s">
        <v>37</v>
      </c>
      <c r="GE112" t="s">
        <v>37</v>
      </c>
      <c r="GG112" t="s">
        <v>37</v>
      </c>
      <c r="GI112" t="s">
        <v>37</v>
      </c>
      <c r="GK112" t="s">
        <v>37</v>
      </c>
      <c r="GM112" t="s">
        <v>37</v>
      </c>
      <c r="GO112" t="s">
        <v>37</v>
      </c>
      <c r="GQ112" t="s">
        <v>37</v>
      </c>
      <c r="GS112" t="s">
        <v>37</v>
      </c>
      <c r="GU112" t="s">
        <v>37</v>
      </c>
      <c r="GW112" t="s">
        <v>37</v>
      </c>
      <c r="GY112" t="s">
        <v>37</v>
      </c>
      <c r="HA112" t="s">
        <v>37</v>
      </c>
      <c r="HC112" t="s">
        <v>37</v>
      </c>
      <c r="HE112" t="s">
        <v>37</v>
      </c>
      <c r="HG112" t="s">
        <v>37</v>
      </c>
      <c r="HI112" t="s">
        <v>37</v>
      </c>
      <c r="HK112" t="s">
        <v>37</v>
      </c>
    </row>
    <row r="113" spans="1:219">
      <c r="A113">
        <v>3183</v>
      </c>
      <c r="B113" t="s">
        <v>137</v>
      </c>
      <c r="C113" t="s">
        <v>37</v>
      </c>
      <c r="E113" t="s">
        <v>37</v>
      </c>
      <c r="G113" t="s">
        <v>37</v>
      </c>
      <c r="I113" t="s">
        <v>37</v>
      </c>
      <c r="K113" s="48" t="s">
        <v>37</v>
      </c>
      <c r="L113" s="50"/>
      <c r="M113" s="48" t="s">
        <v>37</v>
      </c>
      <c r="N113" s="50"/>
      <c r="O113" s="48" t="s">
        <v>37</v>
      </c>
      <c r="P113" s="50"/>
      <c r="Q113" s="48" t="s">
        <v>37</v>
      </c>
      <c r="R113" s="50"/>
      <c r="S113" s="48" t="s">
        <v>37</v>
      </c>
      <c r="U113" t="s">
        <v>37</v>
      </c>
      <c r="W113" t="s">
        <v>37</v>
      </c>
      <c r="Y113" t="s">
        <v>37</v>
      </c>
      <c r="AA113" t="s">
        <v>37</v>
      </c>
      <c r="AC113" t="s">
        <v>37</v>
      </c>
      <c r="AE113" t="s">
        <v>37</v>
      </c>
      <c r="AG113" t="s">
        <v>37</v>
      </c>
      <c r="AI113" t="s">
        <v>37</v>
      </c>
      <c r="AK113" t="s">
        <v>37</v>
      </c>
      <c r="AM113" t="s">
        <v>37</v>
      </c>
      <c r="AO113" t="s">
        <v>37</v>
      </c>
      <c r="AQ113" t="s">
        <v>37</v>
      </c>
      <c r="AS113" t="s">
        <v>37</v>
      </c>
      <c r="AU113" t="s">
        <v>37</v>
      </c>
      <c r="AW113" t="s">
        <v>37</v>
      </c>
      <c r="AY113" t="s">
        <v>37</v>
      </c>
      <c r="BA113" t="s">
        <v>37</v>
      </c>
      <c r="BC113" t="s">
        <v>37</v>
      </c>
      <c r="BE113" t="s">
        <v>37</v>
      </c>
      <c r="BG113" t="s">
        <v>37</v>
      </c>
      <c r="BI113" t="s">
        <v>37</v>
      </c>
      <c r="BK113" t="s">
        <v>37</v>
      </c>
      <c r="BM113" t="s">
        <v>37</v>
      </c>
      <c r="BO113" t="s">
        <v>37</v>
      </c>
      <c r="BQ113" t="s">
        <v>37</v>
      </c>
      <c r="BS113" t="s">
        <v>37</v>
      </c>
      <c r="BU113" t="s">
        <v>37</v>
      </c>
      <c r="BW113" t="s">
        <v>37</v>
      </c>
      <c r="BY113" t="s">
        <v>37</v>
      </c>
      <c r="CA113" t="s">
        <v>37</v>
      </c>
      <c r="CC113" t="s">
        <v>37</v>
      </c>
      <c r="CE113" t="s">
        <v>37</v>
      </c>
      <c r="CG113" t="s">
        <v>37</v>
      </c>
      <c r="CI113" t="s">
        <v>37</v>
      </c>
      <c r="CK113" t="s">
        <v>37</v>
      </c>
      <c r="CM113" t="s">
        <v>37</v>
      </c>
      <c r="CO113" t="s">
        <v>37</v>
      </c>
      <c r="CQ113" t="s">
        <v>37</v>
      </c>
      <c r="CS113" t="s">
        <v>37</v>
      </c>
      <c r="CU113" t="s">
        <v>37</v>
      </c>
      <c r="CW113" t="s">
        <v>37</v>
      </c>
      <c r="CY113" t="s">
        <v>37</v>
      </c>
      <c r="DA113" t="s">
        <v>37</v>
      </c>
      <c r="DC113" t="s">
        <v>37</v>
      </c>
      <c r="DE113" t="s">
        <v>37</v>
      </c>
      <c r="DG113" t="s">
        <v>37</v>
      </c>
      <c r="DI113" t="s">
        <v>37</v>
      </c>
      <c r="DK113" t="s">
        <v>37</v>
      </c>
      <c r="DM113" t="s">
        <v>37</v>
      </c>
      <c r="DO113" t="s">
        <v>37</v>
      </c>
      <c r="DQ113" t="s">
        <v>37</v>
      </c>
      <c r="DS113" t="s">
        <v>37</v>
      </c>
      <c r="DU113" t="s">
        <v>37</v>
      </c>
      <c r="DW113" t="s">
        <v>37</v>
      </c>
      <c r="DY113" t="s">
        <v>37</v>
      </c>
      <c r="EA113" t="s">
        <v>37</v>
      </c>
      <c r="EC113" t="s">
        <v>37</v>
      </c>
      <c r="EE113" t="s">
        <v>37</v>
      </c>
      <c r="EG113" t="s">
        <v>37</v>
      </c>
      <c r="EI113" t="s">
        <v>37</v>
      </c>
      <c r="EK113" t="s">
        <v>37</v>
      </c>
      <c r="EM113" t="s">
        <v>37</v>
      </c>
      <c r="EO113" t="s">
        <v>37</v>
      </c>
      <c r="EQ113" t="s">
        <v>37</v>
      </c>
      <c r="ES113" t="s">
        <v>37</v>
      </c>
      <c r="EU113" t="s">
        <v>37</v>
      </c>
      <c r="EW113" t="s">
        <v>37</v>
      </c>
      <c r="EY113" t="s">
        <v>37</v>
      </c>
      <c r="FA113" t="s">
        <v>37</v>
      </c>
      <c r="FC113" t="s">
        <v>37</v>
      </c>
      <c r="FE113" t="s">
        <v>37</v>
      </c>
      <c r="FG113" t="s">
        <v>37</v>
      </c>
      <c r="FI113" t="s">
        <v>37</v>
      </c>
      <c r="FK113" t="s">
        <v>37</v>
      </c>
      <c r="FM113" t="s">
        <v>37</v>
      </c>
      <c r="FO113" t="s">
        <v>37</v>
      </c>
      <c r="FQ113" t="s">
        <v>37</v>
      </c>
      <c r="FS113" t="s">
        <v>37</v>
      </c>
      <c r="FU113" t="s">
        <v>37</v>
      </c>
      <c r="FW113" t="s">
        <v>37</v>
      </c>
      <c r="FY113" t="s">
        <v>37</v>
      </c>
      <c r="GA113" t="s">
        <v>37</v>
      </c>
      <c r="GC113" t="s">
        <v>37</v>
      </c>
      <c r="GE113" t="s">
        <v>37</v>
      </c>
      <c r="GG113" t="s">
        <v>37</v>
      </c>
      <c r="GI113" t="s">
        <v>37</v>
      </c>
      <c r="GK113" t="s">
        <v>37</v>
      </c>
      <c r="GM113" t="s">
        <v>37</v>
      </c>
      <c r="GO113" t="s">
        <v>37</v>
      </c>
      <c r="GQ113" t="s">
        <v>37</v>
      </c>
      <c r="GS113" t="s">
        <v>37</v>
      </c>
      <c r="GU113" t="s">
        <v>37</v>
      </c>
      <c r="GW113" t="s">
        <v>37</v>
      </c>
      <c r="GY113" t="s">
        <v>37</v>
      </c>
      <c r="HA113" t="s">
        <v>37</v>
      </c>
      <c r="HC113" t="s">
        <v>37</v>
      </c>
      <c r="HE113" t="s">
        <v>37</v>
      </c>
      <c r="HG113" t="s">
        <v>37</v>
      </c>
      <c r="HI113" t="s">
        <v>37</v>
      </c>
      <c r="HK113" t="s">
        <v>37</v>
      </c>
    </row>
    <row r="114" spans="1:219">
      <c r="A114">
        <v>3185</v>
      </c>
      <c r="B114" t="s">
        <v>138</v>
      </c>
      <c r="C114" t="s">
        <v>37</v>
      </c>
      <c r="E114" t="s">
        <v>37</v>
      </c>
      <c r="G114" t="s">
        <v>37</v>
      </c>
      <c r="I114" t="s">
        <v>37</v>
      </c>
      <c r="K114" s="48" t="s">
        <v>37</v>
      </c>
      <c r="L114" s="50"/>
      <c r="M114" s="48" t="s">
        <v>37</v>
      </c>
      <c r="N114" s="50"/>
      <c r="O114" s="48" t="s">
        <v>37</v>
      </c>
      <c r="P114" s="50"/>
      <c r="Q114" s="48" t="s">
        <v>37</v>
      </c>
      <c r="R114" s="50"/>
      <c r="S114" s="48" t="s">
        <v>37</v>
      </c>
      <c r="U114" t="s">
        <v>37</v>
      </c>
      <c r="W114" t="s">
        <v>37</v>
      </c>
      <c r="Y114" t="s">
        <v>37</v>
      </c>
      <c r="AA114" t="s">
        <v>37</v>
      </c>
      <c r="AC114" t="s">
        <v>37</v>
      </c>
      <c r="AE114" t="s">
        <v>37</v>
      </c>
      <c r="AG114" t="s">
        <v>37</v>
      </c>
      <c r="AI114" t="s">
        <v>37</v>
      </c>
      <c r="AK114" t="s">
        <v>37</v>
      </c>
      <c r="AM114" t="s">
        <v>37</v>
      </c>
      <c r="AO114" t="s">
        <v>37</v>
      </c>
      <c r="AQ114" t="s">
        <v>37</v>
      </c>
      <c r="AS114" t="s">
        <v>37</v>
      </c>
      <c r="AU114" t="s">
        <v>37</v>
      </c>
      <c r="AW114" t="s">
        <v>37</v>
      </c>
      <c r="AY114" t="s">
        <v>37</v>
      </c>
      <c r="BA114" t="s">
        <v>37</v>
      </c>
      <c r="BC114" t="s">
        <v>37</v>
      </c>
      <c r="BE114" t="s">
        <v>37</v>
      </c>
      <c r="BG114" t="s">
        <v>37</v>
      </c>
      <c r="BI114" t="s">
        <v>37</v>
      </c>
      <c r="BK114" t="s">
        <v>37</v>
      </c>
      <c r="BM114" t="s">
        <v>37</v>
      </c>
      <c r="BO114" t="s">
        <v>37</v>
      </c>
      <c r="BQ114" t="s">
        <v>37</v>
      </c>
      <c r="BS114" t="s">
        <v>37</v>
      </c>
      <c r="BU114" t="s">
        <v>37</v>
      </c>
      <c r="BW114" t="s">
        <v>37</v>
      </c>
      <c r="BY114" t="s">
        <v>37</v>
      </c>
      <c r="CA114" t="s">
        <v>37</v>
      </c>
      <c r="CC114" t="s">
        <v>37</v>
      </c>
      <c r="CE114" t="s">
        <v>37</v>
      </c>
      <c r="CG114" t="s">
        <v>37</v>
      </c>
      <c r="CI114" t="s">
        <v>37</v>
      </c>
      <c r="CK114" t="s">
        <v>37</v>
      </c>
      <c r="CM114" t="s">
        <v>37</v>
      </c>
      <c r="CO114" t="s">
        <v>37</v>
      </c>
      <c r="CQ114" t="s">
        <v>37</v>
      </c>
      <c r="CS114" t="s">
        <v>37</v>
      </c>
      <c r="CU114" t="s">
        <v>37</v>
      </c>
      <c r="CW114" t="s">
        <v>37</v>
      </c>
      <c r="CY114" t="s">
        <v>37</v>
      </c>
      <c r="DA114" t="s">
        <v>37</v>
      </c>
      <c r="DC114" t="s">
        <v>37</v>
      </c>
      <c r="DE114" t="s">
        <v>37</v>
      </c>
      <c r="DG114" t="s">
        <v>37</v>
      </c>
      <c r="DI114" t="s">
        <v>37</v>
      </c>
      <c r="DK114" t="s">
        <v>37</v>
      </c>
      <c r="DM114" t="s">
        <v>37</v>
      </c>
      <c r="DO114" t="s">
        <v>37</v>
      </c>
      <c r="DQ114" t="s">
        <v>37</v>
      </c>
      <c r="DS114" t="s">
        <v>37</v>
      </c>
      <c r="DU114" t="s">
        <v>37</v>
      </c>
      <c r="DW114" t="s">
        <v>37</v>
      </c>
      <c r="DY114" t="s">
        <v>37</v>
      </c>
      <c r="EA114" t="s">
        <v>37</v>
      </c>
      <c r="EC114" t="s">
        <v>37</v>
      </c>
      <c r="EE114" t="s">
        <v>37</v>
      </c>
      <c r="EG114" t="s">
        <v>37</v>
      </c>
      <c r="EI114" t="s">
        <v>37</v>
      </c>
      <c r="EK114" t="s">
        <v>37</v>
      </c>
      <c r="EM114" t="s">
        <v>37</v>
      </c>
      <c r="EO114" t="s">
        <v>37</v>
      </c>
      <c r="EQ114" t="s">
        <v>37</v>
      </c>
      <c r="ES114" t="s">
        <v>37</v>
      </c>
      <c r="EU114" t="s">
        <v>37</v>
      </c>
      <c r="EW114" t="s">
        <v>37</v>
      </c>
      <c r="EY114" t="s">
        <v>37</v>
      </c>
      <c r="FA114" t="s">
        <v>37</v>
      </c>
      <c r="FC114" t="s">
        <v>37</v>
      </c>
      <c r="FE114" t="s">
        <v>37</v>
      </c>
      <c r="FG114" t="s">
        <v>37</v>
      </c>
      <c r="FI114" t="s">
        <v>37</v>
      </c>
      <c r="FK114" t="s">
        <v>37</v>
      </c>
      <c r="FM114" t="s">
        <v>37</v>
      </c>
      <c r="FO114" t="s">
        <v>37</v>
      </c>
      <c r="FQ114" t="s">
        <v>37</v>
      </c>
      <c r="FS114" t="s">
        <v>37</v>
      </c>
      <c r="FU114" t="s">
        <v>37</v>
      </c>
      <c r="FW114" t="s">
        <v>37</v>
      </c>
      <c r="FY114" t="s">
        <v>37</v>
      </c>
      <c r="GA114" t="s">
        <v>37</v>
      </c>
      <c r="GC114" t="s">
        <v>37</v>
      </c>
      <c r="GE114" t="s">
        <v>37</v>
      </c>
      <c r="GG114" t="s">
        <v>37</v>
      </c>
      <c r="GI114" t="s">
        <v>37</v>
      </c>
      <c r="GK114" t="s">
        <v>37</v>
      </c>
      <c r="GM114" t="s">
        <v>37</v>
      </c>
      <c r="GO114" t="s">
        <v>37</v>
      </c>
      <c r="GQ114" t="s">
        <v>37</v>
      </c>
      <c r="GS114" t="s">
        <v>37</v>
      </c>
      <c r="GU114" t="s">
        <v>37</v>
      </c>
      <c r="GW114" t="s">
        <v>37</v>
      </c>
      <c r="GY114" t="s">
        <v>37</v>
      </c>
      <c r="HA114" t="s">
        <v>37</v>
      </c>
      <c r="HC114" t="s">
        <v>37</v>
      </c>
      <c r="HE114" t="s">
        <v>37</v>
      </c>
      <c r="HG114" t="s">
        <v>37</v>
      </c>
      <c r="HI114" t="s">
        <v>37</v>
      </c>
      <c r="HK114" t="s">
        <v>37</v>
      </c>
    </row>
    <row r="115" spans="1:219">
      <c r="A115">
        <v>3190</v>
      </c>
      <c r="B115" t="s">
        <v>139</v>
      </c>
      <c r="C115" t="s">
        <v>37</v>
      </c>
      <c r="E115" t="s">
        <v>37</v>
      </c>
      <c r="G115" t="s">
        <v>37</v>
      </c>
      <c r="I115" t="s">
        <v>37</v>
      </c>
      <c r="K115" s="48" t="s">
        <v>37</v>
      </c>
      <c r="L115" s="50"/>
      <c r="M115" s="48" t="s">
        <v>37</v>
      </c>
      <c r="N115" s="50"/>
      <c r="O115" s="48" t="s">
        <v>37</v>
      </c>
      <c r="P115" s="50"/>
      <c r="Q115" s="48" t="s">
        <v>37</v>
      </c>
      <c r="R115" s="50"/>
      <c r="S115" s="48" t="s">
        <v>37</v>
      </c>
      <c r="U115" t="s">
        <v>37</v>
      </c>
      <c r="W115" t="s">
        <v>37</v>
      </c>
      <c r="Y115" t="s">
        <v>37</v>
      </c>
      <c r="AA115" t="s">
        <v>37</v>
      </c>
      <c r="AC115" t="s">
        <v>37</v>
      </c>
      <c r="AE115" t="s">
        <v>37</v>
      </c>
      <c r="AG115" t="s">
        <v>37</v>
      </c>
      <c r="AI115" t="s">
        <v>37</v>
      </c>
      <c r="AK115" t="s">
        <v>37</v>
      </c>
      <c r="AM115" t="s">
        <v>37</v>
      </c>
      <c r="AO115" t="s">
        <v>37</v>
      </c>
      <c r="AQ115" t="s">
        <v>37</v>
      </c>
      <c r="AS115" t="s">
        <v>37</v>
      </c>
      <c r="AU115" t="s">
        <v>37</v>
      </c>
      <c r="AW115" t="s">
        <v>37</v>
      </c>
      <c r="AY115" t="s">
        <v>37</v>
      </c>
      <c r="BA115" t="s">
        <v>37</v>
      </c>
      <c r="BC115" t="s">
        <v>37</v>
      </c>
      <c r="BE115" t="s">
        <v>37</v>
      </c>
      <c r="BG115" t="s">
        <v>37</v>
      </c>
      <c r="BI115" t="s">
        <v>37</v>
      </c>
      <c r="BK115" t="s">
        <v>37</v>
      </c>
      <c r="BM115" t="s">
        <v>37</v>
      </c>
      <c r="BO115" t="s">
        <v>37</v>
      </c>
      <c r="BQ115" t="s">
        <v>37</v>
      </c>
      <c r="BS115" t="s">
        <v>37</v>
      </c>
      <c r="BU115" t="s">
        <v>37</v>
      </c>
      <c r="BW115" t="s">
        <v>37</v>
      </c>
      <c r="BY115" t="s">
        <v>37</v>
      </c>
      <c r="CA115" t="s">
        <v>37</v>
      </c>
      <c r="CC115" t="s">
        <v>37</v>
      </c>
      <c r="CE115" t="s">
        <v>37</v>
      </c>
      <c r="CG115" t="s">
        <v>37</v>
      </c>
      <c r="CI115" t="s">
        <v>37</v>
      </c>
      <c r="CK115" t="s">
        <v>37</v>
      </c>
      <c r="CM115" t="s">
        <v>37</v>
      </c>
      <c r="CO115" t="s">
        <v>37</v>
      </c>
      <c r="CQ115" t="s">
        <v>37</v>
      </c>
      <c r="CS115" t="s">
        <v>37</v>
      </c>
      <c r="CU115" t="s">
        <v>37</v>
      </c>
      <c r="CW115" t="s">
        <v>37</v>
      </c>
      <c r="CY115" t="s">
        <v>37</v>
      </c>
      <c r="DA115" t="s">
        <v>37</v>
      </c>
      <c r="DC115" t="s">
        <v>37</v>
      </c>
      <c r="DE115" t="s">
        <v>37</v>
      </c>
      <c r="DG115" t="s">
        <v>37</v>
      </c>
      <c r="DI115" t="s">
        <v>37</v>
      </c>
      <c r="DK115" t="s">
        <v>37</v>
      </c>
      <c r="DM115" t="s">
        <v>37</v>
      </c>
      <c r="DO115" t="s">
        <v>37</v>
      </c>
      <c r="DQ115" t="s">
        <v>37</v>
      </c>
      <c r="DS115" t="s">
        <v>37</v>
      </c>
      <c r="DU115" t="s">
        <v>37</v>
      </c>
      <c r="DW115" t="s">
        <v>37</v>
      </c>
      <c r="DY115" t="s">
        <v>37</v>
      </c>
      <c r="EA115" t="s">
        <v>37</v>
      </c>
      <c r="EC115" t="s">
        <v>37</v>
      </c>
      <c r="EE115" t="s">
        <v>37</v>
      </c>
      <c r="EG115" t="s">
        <v>37</v>
      </c>
      <c r="EI115" t="s">
        <v>37</v>
      </c>
      <c r="EK115" t="s">
        <v>37</v>
      </c>
      <c r="EM115" t="s">
        <v>37</v>
      </c>
      <c r="EO115" t="s">
        <v>37</v>
      </c>
      <c r="EQ115" t="s">
        <v>37</v>
      </c>
      <c r="ES115" t="s">
        <v>37</v>
      </c>
      <c r="EU115" t="s">
        <v>37</v>
      </c>
      <c r="EW115" t="s">
        <v>37</v>
      </c>
      <c r="EY115" t="s">
        <v>37</v>
      </c>
      <c r="FA115" t="s">
        <v>37</v>
      </c>
      <c r="FC115" t="s">
        <v>37</v>
      </c>
      <c r="FE115" t="s">
        <v>37</v>
      </c>
      <c r="FG115" t="s">
        <v>37</v>
      </c>
      <c r="FI115" t="s">
        <v>37</v>
      </c>
      <c r="FK115" t="s">
        <v>37</v>
      </c>
      <c r="FM115" t="s">
        <v>37</v>
      </c>
      <c r="FO115" t="s">
        <v>37</v>
      </c>
      <c r="FQ115" t="s">
        <v>37</v>
      </c>
      <c r="FS115" t="s">
        <v>37</v>
      </c>
      <c r="FU115" t="s">
        <v>37</v>
      </c>
      <c r="FW115" t="s">
        <v>37</v>
      </c>
      <c r="FY115" t="s">
        <v>37</v>
      </c>
      <c r="GA115" t="s">
        <v>37</v>
      </c>
      <c r="GC115" t="s">
        <v>37</v>
      </c>
      <c r="GE115" t="s">
        <v>37</v>
      </c>
      <c r="GG115" t="s">
        <v>37</v>
      </c>
      <c r="GI115" t="s">
        <v>37</v>
      </c>
      <c r="GK115" t="s">
        <v>37</v>
      </c>
      <c r="GM115" t="s">
        <v>37</v>
      </c>
      <c r="GO115" t="s">
        <v>37</v>
      </c>
      <c r="GQ115" t="s">
        <v>37</v>
      </c>
      <c r="GS115" t="s">
        <v>37</v>
      </c>
      <c r="GU115" t="s">
        <v>37</v>
      </c>
      <c r="GW115" t="s">
        <v>37</v>
      </c>
      <c r="GY115" t="s">
        <v>37</v>
      </c>
      <c r="HA115" t="s">
        <v>37</v>
      </c>
      <c r="HC115" t="s">
        <v>37</v>
      </c>
      <c r="HE115" t="s">
        <v>37</v>
      </c>
      <c r="HG115" t="s">
        <v>37</v>
      </c>
      <c r="HI115" t="s">
        <v>37</v>
      </c>
      <c r="HK115" t="s">
        <v>37</v>
      </c>
    </row>
    <row r="116" spans="1:219">
      <c r="A116">
        <v>3191</v>
      </c>
      <c r="B116" t="s">
        <v>140</v>
      </c>
      <c r="C116" t="s">
        <v>37</v>
      </c>
      <c r="E116" t="s">
        <v>37</v>
      </c>
      <c r="F116">
        <v>7278</v>
      </c>
      <c r="G116" t="s">
        <v>37</v>
      </c>
      <c r="I116" t="s">
        <v>37</v>
      </c>
      <c r="K116" s="48" t="s">
        <v>37</v>
      </c>
      <c r="L116" s="50"/>
      <c r="M116" s="48" t="s">
        <v>37</v>
      </c>
      <c r="N116" s="50"/>
      <c r="O116" s="48" t="s">
        <v>37</v>
      </c>
      <c r="P116" s="50"/>
      <c r="Q116" s="48" t="s">
        <v>37</v>
      </c>
      <c r="R116" s="50"/>
      <c r="S116" s="48" t="s">
        <v>37</v>
      </c>
      <c r="U116" t="s">
        <v>37</v>
      </c>
      <c r="W116" t="s">
        <v>37</v>
      </c>
      <c r="Y116" t="s">
        <v>37</v>
      </c>
      <c r="AA116" t="s">
        <v>37</v>
      </c>
      <c r="AC116" t="s">
        <v>37</v>
      </c>
      <c r="AE116" t="s">
        <v>37</v>
      </c>
      <c r="AG116" t="s">
        <v>37</v>
      </c>
      <c r="AI116" t="s">
        <v>37</v>
      </c>
      <c r="AK116" t="s">
        <v>37</v>
      </c>
      <c r="AM116" t="s">
        <v>37</v>
      </c>
      <c r="AO116" t="s">
        <v>37</v>
      </c>
      <c r="AQ116" t="s">
        <v>37</v>
      </c>
      <c r="AS116" t="s">
        <v>37</v>
      </c>
      <c r="AU116" t="s">
        <v>37</v>
      </c>
      <c r="AW116" t="s">
        <v>37</v>
      </c>
      <c r="AY116" t="s">
        <v>37</v>
      </c>
      <c r="BA116" t="s">
        <v>37</v>
      </c>
      <c r="BC116" t="s">
        <v>37</v>
      </c>
      <c r="BE116" t="s">
        <v>37</v>
      </c>
      <c r="BG116" t="s">
        <v>37</v>
      </c>
      <c r="BI116" t="s">
        <v>37</v>
      </c>
      <c r="BK116" t="s">
        <v>37</v>
      </c>
      <c r="BM116" t="s">
        <v>37</v>
      </c>
      <c r="BO116" t="s">
        <v>37</v>
      </c>
      <c r="BQ116" t="s">
        <v>37</v>
      </c>
      <c r="BS116" t="s">
        <v>37</v>
      </c>
      <c r="BU116" t="s">
        <v>37</v>
      </c>
      <c r="BW116" t="s">
        <v>37</v>
      </c>
      <c r="BY116" t="s">
        <v>37</v>
      </c>
      <c r="CA116" t="s">
        <v>37</v>
      </c>
      <c r="CC116" t="s">
        <v>37</v>
      </c>
      <c r="CE116" t="s">
        <v>37</v>
      </c>
      <c r="CG116" t="s">
        <v>37</v>
      </c>
      <c r="CI116" t="s">
        <v>37</v>
      </c>
      <c r="CK116" t="s">
        <v>37</v>
      </c>
      <c r="CM116" t="s">
        <v>37</v>
      </c>
      <c r="CO116" t="s">
        <v>37</v>
      </c>
      <c r="CQ116" t="s">
        <v>37</v>
      </c>
      <c r="CS116" t="s">
        <v>37</v>
      </c>
      <c r="CU116" t="s">
        <v>37</v>
      </c>
      <c r="CW116" t="s">
        <v>37</v>
      </c>
      <c r="CY116" t="s">
        <v>37</v>
      </c>
      <c r="DA116" t="s">
        <v>37</v>
      </c>
      <c r="DC116" t="s">
        <v>37</v>
      </c>
      <c r="DE116" t="s">
        <v>37</v>
      </c>
      <c r="DG116" t="s">
        <v>37</v>
      </c>
      <c r="DI116" t="s">
        <v>37</v>
      </c>
      <c r="DK116" t="s">
        <v>37</v>
      </c>
      <c r="DM116" t="s">
        <v>37</v>
      </c>
      <c r="DO116" t="s">
        <v>37</v>
      </c>
      <c r="DP116">
        <v>10038</v>
      </c>
      <c r="DQ116" t="s">
        <v>37</v>
      </c>
      <c r="DS116" t="s">
        <v>37</v>
      </c>
      <c r="DU116" t="s">
        <v>37</v>
      </c>
      <c r="DW116" t="s">
        <v>37</v>
      </c>
      <c r="DY116" t="s">
        <v>37</v>
      </c>
      <c r="EA116" t="s">
        <v>37</v>
      </c>
      <c r="EC116" t="s">
        <v>37</v>
      </c>
      <c r="EE116" t="s">
        <v>37</v>
      </c>
      <c r="EG116" t="s">
        <v>37</v>
      </c>
      <c r="EI116" t="s">
        <v>37</v>
      </c>
      <c r="EK116" t="s">
        <v>37</v>
      </c>
      <c r="EM116" t="s">
        <v>37</v>
      </c>
      <c r="EO116" t="s">
        <v>37</v>
      </c>
      <c r="EQ116" t="s">
        <v>37</v>
      </c>
      <c r="ES116" t="s">
        <v>37</v>
      </c>
      <c r="EU116" t="s">
        <v>37</v>
      </c>
      <c r="EW116" t="s">
        <v>37</v>
      </c>
      <c r="EY116" t="s">
        <v>37</v>
      </c>
      <c r="FA116" t="s">
        <v>37</v>
      </c>
      <c r="FC116" t="s">
        <v>37</v>
      </c>
      <c r="FE116" t="s">
        <v>37</v>
      </c>
      <c r="FG116" t="s">
        <v>37</v>
      </c>
      <c r="FI116" t="s">
        <v>37</v>
      </c>
      <c r="FK116" t="s">
        <v>37</v>
      </c>
      <c r="FM116" t="s">
        <v>37</v>
      </c>
      <c r="FO116" t="s">
        <v>37</v>
      </c>
      <c r="FQ116" t="s">
        <v>37</v>
      </c>
      <c r="FS116" t="s">
        <v>37</v>
      </c>
      <c r="FU116" t="s">
        <v>37</v>
      </c>
      <c r="FW116" t="s">
        <v>37</v>
      </c>
      <c r="FY116" t="s">
        <v>37</v>
      </c>
      <c r="GA116" t="s">
        <v>37</v>
      </c>
      <c r="GC116" t="s">
        <v>37</v>
      </c>
      <c r="GE116" t="s">
        <v>37</v>
      </c>
      <c r="GG116" t="s">
        <v>37</v>
      </c>
      <c r="GI116" t="s">
        <v>37</v>
      </c>
      <c r="GK116" t="s">
        <v>37</v>
      </c>
      <c r="GM116" t="s">
        <v>37</v>
      </c>
      <c r="GO116" t="s">
        <v>37</v>
      </c>
      <c r="GQ116" t="s">
        <v>37</v>
      </c>
      <c r="GS116" t="s">
        <v>37</v>
      </c>
      <c r="GU116" t="s">
        <v>37</v>
      </c>
      <c r="GW116" t="s">
        <v>37</v>
      </c>
      <c r="GY116" t="s">
        <v>37</v>
      </c>
      <c r="HA116" t="s">
        <v>37</v>
      </c>
      <c r="HC116" t="s">
        <v>37</v>
      </c>
      <c r="HE116" t="s">
        <v>37</v>
      </c>
      <c r="HF116">
        <v>17316</v>
      </c>
      <c r="HG116" t="s">
        <v>37</v>
      </c>
      <c r="HI116" t="s">
        <v>37</v>
      </c>
      <c r="HJ116">
        <v>17316</v>
      </c>
      <c r="HK116" t="s">
        <v>37</v>
      </c>
    </row>
    <row r="117" spans="1:219">
      <c r="A117">
        <v>3192</v>
      </c>
      <c r="B117" t="s">
        <v>141</v>
      </c>
      <c r="C117" t="s">
        <v>37</v>
      </c>
      <c r="E117" t="s">
        <v>37</v>
      </c>
      <c r="G117" t="s">
        <v>37</v>
      </c>
      <c r="I117" t="s">
        <v>37</v>
      </c>
      <c r="K117" s="48" t="s">
        <v>37</v>
      </c>
      <c r="L117" s="50"/>
      <c r="M117" s="48" t="s">
        <v>37</v>
      </c>
      <c r="N117" s="50"/>
      <c r="O117" s="48" t="s">
        <v>37</v>
      </c>
      <c r="P117" s="50"/>
      <c r="Q117" s="48" t="s">
        <v>37</v>
      </c>
      <c r="R117" s="50"/>
      <c r="S117" s="48" t="s">
        <v>37</v>
      </c>
      <c r="U117" t="s">
        <v>37</v>
      </c>
      <c r="W117" t="s">
        <v>37</v>
      </c>
      <c r="Y117" t="s">
        <v>37</v>
      </c>
      <c r="AA117" t="s">
        <v>37</v>
      </c>
      <c r="AC117" t="s">
        <v>37</v>
      </c>
      <c r="AE117" t="s">
        <v>37</v>
      </c>
      <c r="AG117" t="s">
        <v>37</v>
      </c>
      <c r="AI117" t="s">
        <v>37</v>
      </c>
      <c r="AK117" t="s">
        <v>37</v>
      </c>
      <c r="AM117" t="s">
        <v>37</v>
      </c>
      <c r="AO117" t="s">
        <v>37</v>
      </c>
      <c r="AQ117" t="s">
        <v>37</v>
      </c>
      <c r="AS117" t="s">
        <v>37</v>
      </c>
      <c r="AU117" t="s">
        <v>37</v>
      </c>
      <c r="AW117" t="s">
        <v>37</v>
      </c>
      <c r="AY117" t="s">
        <v>37</v>
      </c>
      <c r="BA117" t="s">
        <v>37</v>
      </c>
      <c r="BC117" t="s">
        <v>37</v>
      </c>
      <c r="BE117" t="s">
        <v>37</v>
      </c>
      <c r="BG117" t="s">
        <v>37</v>
      </c>
      <c r="BI117" t="s">
        <v>37</v>
      </c>
      <c r="BK117" t="s">
        <v>37</v>
      </c>
      <c r="BM117" t="s">
        <v>37</v>
      </c>
      <c r="BO117" t="s">
        <v>37</v>
      </c>
      <c r="BQ117" t="s">
        <v>37</v>
      </c>
      <c r="BS117" t="s">
        <v>37</v>
      </c>
      <c r="BU117" t="s">
        <v>37</v>
      </c>
      <c r="BW117" t="s">
        <v>37</v>
      </c>
      <c r="BY117" t="s">
        <v>37</v>
      </c>
      <c r="CA117" t="s">
        <v>37</v>
      </c>
      <c r="CC117" t="s">
        <v>37</v>
      </c>
      <c r="CE117" t="s">
        <v>37</v>
      </c>
      <c r="CG117" t="s">
        <v>37</v>
      </c>
      <c r="CI117" t="s">
        <v>37</v>
      </c>
      <c r="CK117" t="s">
        <v>37</v>
      </c>
      <c r="CM117" t="s">
        <v>37</v>
      </c>
      <c r="CO117" t="s">
        <v>37</v>
      </c>
      <c r="CQ117" t="s">
        <v>37</v>
      </c>
      <c r="CS117" t="s">
        <v>37</v>
      </c>
      <c r="CU117" t="s">
        <v>37</v>
      </c>
      <c r="CW117" t="s">
        <v>37</v>
      </c>
      <c r="CY117" t="s">
        <v>37</v>
      </c>
      <c r="DA117" t="s">
        <v>37</v>
      </c>
      <c r="DC117" t="s">
        <v>37</v>
      </c>
      <c r="DE117" t="s">
        <v>37</v>
      </c>
      <c r="DG117" t="s">
        <v>37</v>
      </c>
      <c r="DI117" t="s">
        <v>37</v>
      </c>
      <c r="DK117" t="s">
        <v>37</v>
      </c>
      <c r="DM117" t="s">
        <v>37</v>
      </c>
      <c r="DO117" t="s">
        <v>37</v>
      </c>
      <c r="DQ117" t="s">
        <v>37</v>
      </c>
      <c r="DS117" t="s">
        <v>37</v>
      </c>
      <c r="DU117" t="s">
        <v>37</v>
      </c>
      <c r="DW117" t="s">
        <v>37</v>
      </c>
      <c r="DY117" t="s">
        <v>37</v>
      </c>
      <c r="EA117" t="s">
        <v>37</v>
      </c>
      <c r="EC117" t="s">
        <v>37</v>
      </c>
      <c r="EE117" t="s">
        <v>37</v>
      </c>
      <c r="EG117" t="s">
        <v>37</v>
      </c>
      <c r="EI117" t="s">
        <v>37</v>
      </c>
      <c r="EK117" t="s">
        <v>37</v>
      </c>
      <c r="EL117">
        <v>746</v>
      </c>
      <c r="EM117" t="s">
        <v>37</v>
      </c>
      <c r="EO117" t="s">
        <v>37</v>
      </c>
      <c r="EQ117" t="s">
        <v>37</v>
      </c>
      <c r="ES117" t="s">
        <v>37</v>
      </c>
      <c r="EU117" t="s">
        <v>37</v>
      </c>
      <c r="EW117" t="s">
        <v>37</v>
      </c>
      <c r="EY117" t="s">
        <v>37</v>
      </c>
      <c r="FA117" t="s">
        <v>37</v>
      </c>
      <c r="FC117" t="s">
        <v>37</v>
      </c>
      <c r="FE117" t="s">
        <v>37</v>
      </c>
      <c r="FG117" t="s">
        <v>37</v>
      </c>
      <c r="FI117" t="s">
        <v>37</v>
      </c>
      <c r="FK117" t="s">
        <v>37</v>
      </c>
      <c r="FM117" t="s">
        <v>37</v>
      </c>
      <c r="FO117" t="s">
        <v>37</v>
      </c>
      <c r="FQ117" t="s">
        <v>37</v>
      </c>
      <c r="FS117" t="s">
        <v>37</v>
      </c>
      <c r="FU117" t="s">
        <v>37</v>
      </c>
      <c r="FW117" t="s">
        <v>37</v>
      </c>
      <c r="FY117" t="s">
        <v>37</v>
      </c>
      <c r="GA117" t="s">
        <v>37</v>
      </c>
      <c r="GC117" t="s">
        <v>37</v>
      </c>
      <c r="GE117" t="s">
        <v>37</v>
      </c>
      <c r="GG117" t="s">
        <v>37</v>
      </c>
      <c r="GI117" t="s">
        <v>37</v>
      </c>
      <c r="GK117" t="s">
        <v>37</v>
      </c>
      <c r="GM117" t="s">
        <v>37</v>
      </c>
      <c r="GO117" t="s">
        <v>37</v>
      </c>
      <c r="GQ117" t="s">
        <v>37</v>
      </c>
      <c r="GS117" t="s">
        <v>37</v>
      </c>
      <c r="GU117" t="s">
        <v>37</v>
      </c>
      <c r="GW117" t="s">
        <v>37</v>
      </c>
      <c r="GY117" t="s">
        <v>37</v>
      </c>
      <c r="HA117" t="s">
        <v>37</v>
      </c>
      <c r="HC117" t="s">
        <v>37</v>
      </c>
      <c r="HE117" t="s">
        <v>37</v>
      </c>
      <c r="HF117">
        <v>746</v>
      </c>
      <c r="HG117" t="s">
        <v>37</v>
      </c>
      <c r="HI117" t="s">
        <v>37</v>
      </c>
      <c r="HJ117">
        <v>746</v>
      </c>
      <c r="HK117" t="s">
        <v>37</v>
      </c>
    </row>
    <row r="118" spans="1:219">
      <c r="A118">
        <v>3193</v>
      </c>
      <c r="B118" t="s">
        <v>142</v>
      </c>
      <c r="C118" t="s">
        <v>37</v>
      </c>
      <c r="D118">
        <v>3374</v>
      </c>
      <c r="E118" t="s">
        <v>37</v>
      </c>
      <c r="F118">
        <v>9137</v>
      </c>
      <c r="G118" t="s">
        <v>37</v>
      </c>
      <c r="I118" t="s">
        <v>37</v>
      </c>
      <c r="K118" s="48" t="s">
        <v>37</v>
      </c>
      <c r="L118" s="51">
        <v>1323</v>
      </c>
      <c r="M118" s="48" t="s">
        <v>37</v>
      </c>
      <c r="N118" s="51">
        <v>1127</v>
      </c>
      <c r="O118" s="48" t="s">
        <v>37</v>
      </c>
      <c r="P118" s="50">
        <v>668</v>
      </c>
      <c r="Q118" s="48" t="s">
        <v>37</v>
      </c>
      <c r="R118" s="50">
        <v>795</v>
      </c>
      <c r="S118" s="48" t="s">
        <v>37</v>
      </c>
      <c r="U118" t="s">
        <v>37</v>
      </c>
      <c r="W118" t="s">
        <v>37</v>
      </c>
      <c r="Y118" t="s">
        <v>37</v>
      </c>
      <c r="Z118">
        <v>986</v>
      </c>
      <c r="AA118" t="s">
        <v>37</v>
      </c>
      <c r="AB118">
        <v>1066</v>
      </c>
      <c r="AC118" t="s">
        <v>37</v>
      </c>
      <c r="AD118">
        <v>468</v>
      </c>
      <c r="AE118" t="s">
        <v>37</v>
      </c>
      <c r="AG118" t="s">
        <v>37</v>
      </c>
      <c r="AH118">
        <v>1641</v>
      </c>
      <c r="AI118" t="s">
        <v>37</v>
      </c>
      <c r="AK118" t="s">
        <v>37</v>
      </c>
      <c r="AM118" t="s">
        <v>37</v>
      </c>
      <c r="AO118" t="s">
        <v>37</v>
      </c>
      <c r="AP118">
        <v>7644</v>
      </c>
      <c r="AQ118" t="s">
        <v>37</v>
      </c>
      <c r="AS118" t="s">
        <v>37</v>
      </c>
      <c r="AT118">
        <v>11931</v>
      </c>
      <c r="AU118" t="s">
        <v>37</v>
      </c>
      <c r="AV118">
        <v>4032</v>
      </c>
      <c r="AW118" t="s">
        <v>37</v>
      </c>
      <c r="AY118" t="s">
        <v>37</v>
      </c>
      <c r="AZ118">
        <v>3109</v>
      </c>
      <c r="BA118" t="s">
        <v>37</v>
      </c>
      <c r="BB118">
        <v>1972</v>
      </c>
      <c r="BC118" t="s">
        <v>37</v>
      </c>
      <c r="BE118" t="s">
        <v>37</v>
      </c>
      <c r="BF118">
        <v>515</v>
      </c>
      <c r="BG118" t="s">
        <v>37</v>
      </c>
      <c r="BI118" t="s">
        <v>37</v>
      </c>
      <c r="BJ118">
        <v>2773</v>
      </c>
      <c r="BK118" t="s">
        <v>37</v>
      </c>
      <c r="BM118" t="s">
        <v>37</v>
      </c>
      <c r="BO118" t="s">
        <v>37</v>
      </c>
      <c r="BP118">
        <v>613</v>
      </c>
      <c r="BQ118" t="s">
        <v>37</v>
      </c>
      <c r="BS118" t="s">
        <v>37</v>
      </c>
      <c r="BT118">
        <v>607</v>
      </c>
      <c r="BU118" t="s">
        <v>37</v>
      </c>
      <c r="BW118" t="s">
        <v>37</v>
      </c>
      <c r="BX118">
        <v>3898</v>
      </c>
      <c r="BY118" t="s">
        <v>37</v>
      </c>
      <c r="CA118" t="s">
        <v>37</v>
      </c>
      <c r="CC118" t="s">
        <v>37</v>
      </c>
      <c r="CE118" t="s">
        <v>37</v>
      </c>
      <c r="CG118" t="s">
        <v>37</v>
      </c>
      <c r="CH118">
        <v>11138</v>
      </c>
      <c r="CI118" t="s">
        <v>37</v>
      </c>
      <c r="CJ118">
        <v>427</v>
      </c>
      <c r="CK118" t="s">
        <v>37</v>
      </c>
      <c r="CM118" t="s">
        <v>37</v>
      </c>
      <c r="CN118">
        <v>573</v>
      </c>
      <c r="CO118" t="s">
        <v>37</v>
      </c>
      <c r="CP118">
        <v>492</v>
      </c>
      <c r="CQ118" t="s">
        <v>37</v>
      </c>
      <c r="CS118" t="s">
        <v>37</v>
      </c>
      <c r="CT118">
        <v>1944</v>
      </c>
      <c r="CU118" t="s">
        <v>37</v>
      </c>
      <c r="CV118">
        <v>16534</v>
      </c>
      <c r="CW118" t="s">
        <v>37</v>
      </c>
      <c r="CX118">
        <v>337</v>
      </c>
      <c r="CY118" t="s">
        <v>37</v>
      </c>
      <c r="DA118" t="s">
        <v>37</v>
      </c>
      <c r="DC118" t="s">
        <v>37</v>
      </c>
      <c r="DE118" t="s">
        <v>37</v>
      </c>
      <c r="DF118">
        <v>1512</v>
      </c>
      <c r="DG118" t="s">
        <v>37</v>
      </c>
      <c r="DH118">
        <v>8957</v>
      </c>
      <c r="DI118" t="s">
        <v>37</v>
      </c>
      <c r="DJ118">
        <v>2712</v>
      </c>
      <c r="DK118" t="s">
        <v>37</v>
      </c>
      <c r="DL118">
        <v>8742</v>
      </c>
      <c r="DM118" t="s">
        <v>37</v>
      </c>
      <c r="DN118">
        <v>136</v>
      </c>
      <c r="DO118" t="s">
        <v>37</v>
      </c>
      <c r="DQ118" t="s">
        <v>37</v>
      </c>
      <c r="DR118">
        <v>710</v>
      </c>
      <c r="DS118" t="s">
        <v>37</v>
      </c>
      <c r="DT118">
        <v>2354</v>
      </c>
      <c r="DU118" t="s">
        <v>37</v>
      </c>
      <c r="DV118">
        <v>6949</v>
      </c>
      <c r="DW118" t="s">
        <v>37</v>
      </c>
      <c r="DY118" t="s">
        <v>37</v>
      </c>
      <c r="DZ118">
        <v>1051</v>
      </c>
      <c r="EA118" t="s">
        <v>37</v>
      </c>
      <c r="EC118" t="s">
        <v>37</v>
      </c>
      <c r="ED118">
        <v>614</v>
      </c>
      <c r="EE118" t="s">
        <v>37</v>
      </c>
      <c r="EG118" t="s">
        <v>37</v>
      </c>
      <c r="EI118" t="s">
        <v>37</v>
      </c>
      <c r="EJ118">
        <v>1242</v>
      </c>
      <c r="EK118" t="s">
        <v>37</v>
      </c>
      <c r="EL118">
        <v>596</v>
      </c>
      <c r="EM118" t="s">
        <v>37</v>
      </c>
      <c r="EN118">
        <v>344</v>
      </c>
      <c r="EO118" t="s">
        <v>37</v>
      </c>
      <c r="EQ118" t="s">
        <v>37</v>
      </c>
      <c r="ES118" t="s">
        <v>37</v>
      </c>
      <c r="ET118">
        <v>6145</v>
      </c>
      <c r="EU118" t="s">
        <v>37</v>
      </c>
      <c r="EV118">
        <v>1505</v>
      </c>
      <c r="EW118" t="s">
        <v>37</v>
      </c>
      <c r="EY118" t="s">
        <v>37</v>
      </c>
      <c r="EZ118">
        <v>1487</v>
      </c>
      <c r="FA118" t="s">
        <v>37</v>
      </c>
      <c r="FB118">
        <v>1227</v>
      </c>
      <c r="FC118" t="s">
        <v>37</v>
      </c>
      <c r="FD118">
        <v>5804</v>
      </c>
      <c r="FE118" t="s">
        <v>37</v>
      </c>
      <c r="FG118" t="s">
        <v>37</v>
      </c>
      <c r="FH118">
        <v>5332</v>
      </c>
      <c r="FI118" t="s">
        <v>37</v>
      </c>
      <c r="FJ118">
        <v>11630</v>
      </c>
      <c r="FK118" t="s">
        <v>37</v>
      </c>
      <c r="FL118">
        <v>15593</v>
      </c>
      <c r="FM118" t="s">
        <v>37</v>
      </c>
      <c r="FN118">
        <v>1130</v>
      </c>
      <c r="FO118" t="s">
        <v>37</v>
      </c>
      <c r="FP118">
        <v>1313</v>
      </c>
      <c r="FQ118" t="s">
        <v>37</v>
      </c>
      <c r="FR118">
        <v>2071</v>
      </c>
      <c r="FS118" t="s">
        <v>37</v>
      </c>
      <c r="FT118">
        <v>734</v>
      </c>
      <c r="FU118" t="s">
        <v>37</v>
      </c>
      <c r="FV118">
        <v>929</v>
      </c>
      <c r="FW118" t="s">
        <v>37</v>
      </c>
      <c r="FX118">
        <v>3026</v>
      </c>
      <c r="FY118" t="s">
        <v>37</v>
      </c>
      <c r="FZ118">
        <v>7653</v>
      </c>
      <c r="GA118" t="s">
        <v>37</v>
      </c>
      <c r="GB118">
        <v>21735</v>
      </c>
      <c r="GC118" t="s">
        <v>37</v>
      </c>
      <c r="GE118" t="s">
        <v>37</v>
      </c>
      <c r="GG118" t="s">
        <v>37</v>
      </c>
      <c r="GI118" t="s">
        <v>37</v>
      </c>
      <c r="GJ118">
        <v>1380</v>
      </c>
      <c r="GK118" t="s">
        <v>37</v>
      </c>
      <c r="GM118" t="s">
        <v>37</v>
      </c>
      <c r="GO118" t="s">
        <v>37</v>
      </c>
      <c r="GQ118" t="s">
        <v>37</v>
      </c>
      <c r="GS118" t="s">
        <v>37</v>
      </c>
      <c r="GU118" t="s">
        <v>37</v>
      </c>
      <c r="GV118">
        <v>1127</v>
      </c>
      <c r="GW118" t="s">
        <v>37</v>
      </c>
      <c r="GX118">
        <v>4610</v>
      </c>
      <c r="GY118" t="s">
        <v>37</v>
      </c>
      <c r="GZ118">
        <v>1334</v>
      </c>
      <c r="HA118" t="s">
        <v>37</v>
      </c>
      <c r="HC118" t="s">
        <v>37</v>
      </c>
      <c r="HE118" t="s">
        <v>37</v>
      </c>
      <c r="HF118">
        <v>220808</v>
      </c>
      <c r="HG118" t="s">
        <v>37</v>
      </c>
      <c r="HI118" t="s">
        <v>37</v>
      </c>
      <c r="HJ118">
        <v>220808</v>
      </c>
      <c r="HK118" t="s">
        <v>37</v>
      </c>
    </row>
    <row r="119" spans="1:219">
      <c r="A119">
        <v>3194</v>
      </c>
      <c r="B119" t="s">
        <v>143</v>
      </c>
      <c r="C119" t="s">
        <v>37</v>
      </c>
      <c r="E119" t="s">
        <v>37</v>
      </c>
      <c r="G119" t="s">
        <v>37</v>
      </c>
      <c r="I119" t="s">
        <v>37</v>
      </c>
      <c r="K119" s="48" t="s">
        <v>37</v>
      </c>
      <c r="L119" s="50"/>
      <c r="M119" s="48" t="s">
        <v>37</v>
      </c>
      <c r="N119" s="50"/>
      <c r="O119" s="48" t="s">
        <v>37</v>
      </c>
      <c r="P119" s="50"/>
      <c r="Q119" s="48" t="s">
        <v>37</v>
      </c>
      <c r="R119" s="50"/>
      <c r="S119" s="48" t="s">
        <v>37</v>
      </c>
      <c r="U119" t="s">
        <v>37</v>
      </c>
      <c r="W119" t="s">
        <v>37</v>
      </c>
      <c r="Y119" t="s">
        <v>37</v>
      </c>
      <c r="AA119" t="s">
        <v>37</v>
      </c>
      <c r="AC119" t="s">
        <v>37</v>
      </c>
      <c r="AE119" t="s">
        <v>37</v>
      </c>
      <c r="AG119" t="s">
        <v>37</v>
      </c>
      <c r="AI119" t="s">
        <v>37</v>
      </c>
      <c r="AK119" t="s">
        <v>37</v>
      </c>
      <c r="AM119" t="s">
        <v>37</v>
      </c>
      <c r="AO119" t="s">
        <v>37</v>
      </c>
      <c r="AQ119" t="s">
        <v>37</v>
      </c>
      <c r="AS119" t="s">
        <v>37</v>
      </c>
      <c r="AU119" t="s">
        <v>37</v>
      </c>
      <c r="AW119" t="s">
        <v>37</v>
      </c>
      <c r="AY119" t="s">
        <v>37</v>
      </c>
      <c r="BA119" t="s">
        <v>37</v>
      </c>
      <c r="BC119" t="s">
        <v>37</v>
      </c>
      <c r="BE119" t="s">
        <v>37</v>
      </c>
      <c r="BG119" t="s">
        <v>37</v>
      </c>
      <c r="BI119" t="s">
        <v>37</v>
      </c>
      <c r="BK119" t="s">
        <v>37</v>
      </c>
      <c r="BM119" t="s">
        <v>37</v>
      </c>
      <c r="BO119" t="s">
        <v>37</v>
      </c>
      <c r="BQ119" t="s">
        <v>37</v>
      </c>
      <c r="BS119" t="s">
        <v>37</v>
      </c>
      <c r="BU119" t="s">
        <v>37</v>
      </c>
      <c r="BW119" t="s">
        <v>37</v>
      </c>
      <c r="BY119" t="s">
        <v>37</v>
      </c>
      <c r="CA119" t="s">
        <v>37</v>
      </c>
      <c r="CC119" t="s">
        <v>37</v>
      </c>
      <c r="CE119" t="s">
        <v>37</v>
      </c>
      <c r="CG119" t="s">
        <v>37</v>
      </c>
      <c r="CI119" t="s">
        <v>37</v>
      </c>
      <c r="CK119" t="s">
        <v>37</v>
      </c>
      <c r="CM119" t="s">
        <v>37</v>
      </c>
      <c r="CO119" t="s">
        <v>37</v>
      </c>
      <c r="CQ119" t="s">
        <v>37</v>
      </c>
      <c r="CS119" t="s">
        <v>37</v>
      </c>
      <c r="CU119" t="s">
        <v>37</v>
      </c>
      <c r="CW119" t="s">
        <v>37</v>
      </c>
      <c r="CY119" t="s">
        <v>37</v>
      </c>
      <c r="DA119" t="s">
        <v>37</v>
      </c>
      <c r="DC119" t="s">
        <v>37</v>
      </c>
      <c r="DE119" t="s">
        <v>37</v>
      </c>
      <c r="DG119" t="s">
        <v>37</v>
      </c>
      <c r="DI119" t="s">
        <v>37</v>
      </c>
      <c r="DK119" t="s">
        <v>37</v>
      </c>
      <c r="DM119" t="s">
        <v>37</v>
      </c>
      <c r="DO119" t="s">
        <v>37</v>
      </c>
      <c r="DQ119" t="s">
        <v>37</v>
      </c>
      <c r="DS119" t="s">
        <v>37</v>
      </c>
      <c r="DU119" t="s">
        <v>37</v>
      </c>
      <c r="DW119" t="s">
        <v>37</v>
      </c>
      <c r="DY119" t="s">
        <v>37</v>
      </c>
      <c r="EA119" t="s">
        <v>37</v>
      </c>
      <c r="EC119" t="s">
        <v>37</v>
      </c>
      <c r="EE119" t="s">
        <v>37</v>
      </c>
      <c r="EG119" t="s">
        <v>37</v>
      </c>
      <c r="EI119" t="s">
        <v>37</v>
      </c>
      <c r="EK119" t="s">
        <v>37</v>
      </c>
      <c r="EM119" t="s">
        <v>37</v>
      </c>
      <c r="EO119" t="s">
        <v>37</v>
      </c>
      <c r="EQ119" t="s">
        <v>37</v>
      </c>
      <c r="ES119" t="s">
        <v>37</v>
      </c>
      <c r="EU119" t="s">
        <v>37</v>
      </c>
      <c r="EW119" t="s">
        <v>37</v>
      </c>
      <c r="EY119" t="s">
        <v>37</v>
      </c>
      <c r="FA119" t="s">
        <v>37</v>
      </c>
      <c r="FC119" t="s">
        <v>37</v>
      </c>
      <c r="FE119" t="s">
        <v>37</v>
      </c>
      <c r="FG119" t="s">
        <v>37</v>
      </c>
      <c r="FI119" t="s">
        <v>37</v>
      </c>
      <c r="FK119" t="s">
        <v>37</v>
      </c>
      <c r="FM119" t="s">
        <v>37</v>
      </c>
      <c r="FO119" t="s">
        <v>37</v>
      </c>
      <c r="FQ119" t="s">
        <v>37</v>
      </c>
      <c r="FS119" t="s">
        <v>37</v>
      </c>
      <c r="FU119" t="s">
        <v>37</v>
      </c>
      <c r="FW119" t="s">
        <v>37</v>
      </c>
      <c r="FY119" t="s">
        <v>37</v>
      </c>
      <c r="GA119" t="s">
        <v>37</v>
      </c>
      <c r="GC119" t="s">
        <v>37</v>
      </c>
      <c r="GE119" t="s">
        <v>37</v>
      </c>
      <c r="GG119" t="s">
        <v>37</v>
      </c>
      <c r="GI119" t="s">
        <v>37</v>
      </c>
      <c r="GK119" t="s">
        <v>37</v>
      </c>
      <c r="GM119" t="s">
        <v>37</v>
      </c>
      <c r="GO119" t="s">
        <v>37</v>
      </c>
      <c r="GQ119" t="s">
        <v>37</v>
      </c>
      <c r="GS119" t="s">
        <v>37</v>
      </c>
      <c r="GU119" t="s">
        <v>37</v>
      </c>
      <c r="GW119" t="s">
        <v>37</v>
      </c>
      <c r="GY119" t="s">
        <v>37</v>
      </c>
      <c r="HA119" t="s">
        <v>37</v>
      </c>
      <c r="HC119" t="s">
        <v>37</v>
      </c>
      <c r="HE119" t="s">
        <v>37</v>
      </c>
      <c r="HG119" t="s">
        <v>37</v>
      </c>
      <c r="HI119" t="s">
        <v>37</v>
      </c>
      <c r="HK119" t="s">
        <v>37</v>
      </c>
    </row>
    <row r="120" spans="1:219">
      <c r="A120">
        <v>3195</v>
      </c>
      <c r="B120" t="s">
        <v>144</v>
      </c>
      <c r="C120" t="s">
        <v>37</v>
      </c>
      <c r="E120" t="s">
        <v>37</v>
      </c>
      <c r="G120" t="s">
        <v>37</v>
      </c>
      <c r="I120" t="s">
        <v>37</v>
      </c>
      <c r="K120" s="48" t="s">
        <v>37</v>
      </c>
      <c r="L120" s="50"/>
      <c r="M120" s="48" t="s">
        <v>37</v>
      </c>
      <c r="N120" s="50"/>
      <c r="O120" s="48" t="s">
        <v>37</v>
      </c>
      <c r="P120" s="50"/>
      <c r="Q120" s="48" t="s">
        <v>37</v>
      </c>
      <c r="R120" s="50"/>
      <c r="S120" s="48" t="s">
        <v>37</v>
      </c>
      <c r="T120">
        <v>7561</v>
      </c>
      <c r="U120" t="s">
        <v>37</v>
      </c>
      <c r="W120" t="s">
        <v>37</v>
      </c>
      <c r="Y120" t="s">
        <v>37</v>
      </c>
      <c r="AA120" t="s">
        <v>37</v>
      </c>
      <c r="AC120" t="s">
        <v>37</v>
      </c>
      <c r="AE120" t="s">
        <v>37</v>
      </c>
      <c r="AG120" t="s">
        <v>37</v>
      </c>
      <c r="AI120" t="s">
        <v>37</v>
      </c>
      <c r="AK120" t="s">
        <v>37</v>
      </c>
      <c r="AM120" t="s">
        <v>37</v>
      </c>
      <c r="AO120" t="s">
        <v>37</v>
      </c>
      <c r="AQ120" t="s">
        <v>37</v>
      </c>
      <c r="AS120" t="s">
        <v>37</v>
      </c>
      <c r="AU120" t="s">
        <v>37</v>
      </c>
      <c r="AW120" t="s">
        <v>37</v>
      </c>
      <c r="AY120" t="s">
        <v>37</v>
      </c>
      <c r="BA120" t="s">
        <v>37</v>
      </c>
      <c r="BC120" t="s">
        <v>37</v>
      </c>
      <c r="BE120" t="s">
        <v>37</v>
      </c>
      <c r="BG120" t="s">
        <v>37</v>
      </c>
      <c r="BI120" t="s">
        <v>37</v>
      </c>
      <c r="BK120" t="s">
        <v>37</v>
      </c>
      <c r="BM120" t="s">
        <v>37</v>
      </c>
      <c r="BO120" t="s">
        <v>37</v>
      </c>
      <c r="BQ120" t="s">
        <v>37</v>
      </c>
      <c r="BS120" t="s">
        <v>37</v>
      </c>
      <c r="BU120" t="s">
        <v>37</v>
      </c>
      <c r="BW120" t="s">
        <v>37</v>
      </c>
      <c r="BY120" t="s">
        <v>37</v>
      </c>
      <c r="CA120" t="s">
        <v>37</v>
      </c>
      <c r="CC120" t="s">
        <v>37</v>
      </c>
      <c r="CE120" t="s">
        <v>37</v>
      </c>
      <c r="CG120" t="s">
        <v>37</v>
      </c>
      <c r="CI120" t="s">
        <v>37</v>
      </c>
      <c r="CK120" t="s">
        <v>37</v>
      </c>
      <c r="CM120" t="s">
        <v>37</v>
      </c>
      <c r="CO120" t="s">
        <v>37</v>
      </c>
      <c r="CQ120" t="s">
        <v>37</v>
      </c>
      <c r="CS120" t="s">
        <v>37</v>
      </c>
      <c r="CU120" t="s">
        <v>37</v>
      </c>
      <c r="CV120">
        <v>28000</v>
      </c>
      <c r="CW120" t="s">
        <v>37</v>
      </c>
      <c r="CY120" t="s">
        <v>37</v>
      </c>
      <c r="DA120" t="s">
        <v>37</v>
      </c>
      <c r="DC120" t="s">
        <v>37</v>
      </c>
      <c r="DE120" t="s">
        <v>37</v>
      </c>
      <c r="DG120" t="s">
        <v>37</v>
      </c>
      <c r="DI120" t="s">
        <v>37</v>
      </c>
      <c r="DK120" t="s">
        <v>37</v>
      </c>
      <c r="DM120" t="s">
        <v>37</v>
      </c>
      <c r="DO120" t="s">
        <v>37</v>
      </c>
      <c r="DP120">
        <v>9300</v>
      </c>
      <c r="DQ120" t="s">
        <v>37</v>
      </c>
      <c r="DR120">
        <v>28000</v>
      </c>
      <c r="DS120" t="s">
        <v>37</v>
      </c>
      <c r="DU120" t="s">
        <v>37</v>
      </c>
      <c r="DV120">
        <v>25415</v>
      </c>
      <c r="DW120" t="s">
        <v>37</v>
      </c>
      <c r="DX120">
        <v>56000</v>
      </c>
      <c r="DY120" t="s">
        <v>37</v>
      </c>
      <c r="EA120" t="s">
        <v>37</v>
      </c>
      <c r="EB120">
        <v>149943</v>
      </c>
      <c r="EC120" t="s">
        <v>37</v>
      </c>
      <c r="ED120">
        <v>27001</v>
      </c>
      <c r="EE120" t="s">
        <v>37</v>
      </c>
      <c r="EG120" t="s">
        <v>37</v>
      </c>
      <c r="EI120" t="s">
        <v>37</v>
      </c>
      <c r="EK120" t="s">
        <v>37</v>
      </c>
      <c r="EM120" t="s">
        <v>37</v>
      </c>
      <c r="EN120">
        <v>21000</v>
      </c>
      <c r="EO120" t="s">
        <v>37</v>
      </c>
      <c r="EQ120" t="s">
        <v>37</v>
      </c>
      <c r="ES120" t="s">
        <v>37</v>
      </c>
      <c r="ET120">
        <v>17792</v>
      </c>
      <c r="EU120" t="s">
        <v>37</v>
      </c>
      <c r="EV120">
        <v>28000</v>
      </c>
      <c r="EW120" t="s">
        <v>37</v>
      </c>
      <c r="EY120" t="s">
        <v>37</v>
      </c>
      <c r="FA120" t="s">
        <v>37</v>
      </c>
      <c r="FC120" t="s">
        <v>37</v>
      </c>
      <c r="FD120">
        <v>28000</v>
      </c>
      <c r="FE120" t="s">
        <v>37</v>
      </c>
      <c r="FG120" t="s">
        <v>37</v>
      </c>
      <c r="FI120" t="s">
        <v>37</v>
      </c>
      <c r="FJ120">
        <v>3745</v>
      </c>
      <c r="FK120" t="s">
        <v>37</v>
      </c>
      <c r="FL120">
        <v>81065</v>
      </c>
      <c r="FM120" t="s">
        <v>37</v>
      </c>
      <c r="FO120" t="s">
        <v>37</v>
      </c>
      <c r="FP120">
        <v>28000</v>
      </c>
      <c r="FQ120" t="s">
        <v>37</v>
      </c>
      <c r="FR120">
        <v>28000</v>
      </c>
      <c r="FS120" t="s">
        <v>37</v>
      </c>
      <c r="FU120" t="s">
        <v>37</v>
      </c>
      <c r="FW120" t="s">
        <v>37</v>
      </c>
      <c r="FY120" t="s">
        <v>37</v>
      </c>
      <c r="FZ120">
        <v>27403</v>
      </c>
      <c r="GA120" t="s">
        <v>37</v>
      </c>
      <c r="GB120">
        <v>24999</v>
      </c>
      <c r="GC120" t="s">
        <v>37</v>
      </c>
      <c r="GE120" t="s">
        <v>37</v>
      </c>
      <c r="GG120" t="s">
        <v>37</v>
      </c>
      <c r="GI120" t="s">
        <v>37</v>
      </c>
      <c r="GJ120">
        <v>28000</v>
      </c>
      <c r="GK120" t="s">
        <v>37</v>
      </c>
      <c r="GL120">
        <v>26718</v>
      </c>
      <c r="GM120" t="s">
        <v>37</v>
      </c>
      <c r="GO120" t="s">
        <v>37</v>
      </c>
      <c r="GP120">
        <v>27538</v>
      </c>
      <c r="GQ120" t="s">
        <v>37</v>
      </c>
      <c r="GS120" t="s">
        <v>37</v>
      </c>
      <c r="GU120" t="s">
        <v>37</v>
      </c>
      <c r="GW120" t="s">
        <v>37</v>
      </c>
      <c r="GX120">
        <v>28000</v>
      </c>
      <c r="GY120" t="s">
        <v>37</v>
      </c>
      <c r="HA120" t="s">
        <v>37</v>
      </c>
      <c r="HC120" t="s">
        <v>37</v>
      </c>
      <c r="HE120" t="s">
        <v>37</v>
      </c>
      <c r="HF120">
        <v>729480</v>
      </c>
      <c r="HG120" t="s">
        <v>37</v>
      </c>
      <c r="HI120" t="s">
        <v>37</v>
      </c>
      <c r="HJ120">
        <v>729480</v>
      </c>
      <c r="HK120" t="s">
        <v>37</v>
      </c>
    </row>
    <row r="121" spans="1:219">
      <c r="A121">
        <v>3196</v>
      </c>
      <c r="B121" t="s">
        <v>145</v>
      </c>
      <c r="C121" t="s">
        <v>37</v>
      </c>
      <c r="E121" t="s">
        <v>37</v>
      </c>
      <c r="G121" t="s">
        <v>37</v>
      </c>
      <c r="I121" t="s">
        <v>37</v>
      </c>
      <c r="K121" s="48" t="s">
        <v>37</v>
      </c>
      <c r="L121" s="50"/>
      <c r="M121" s="48" t="s">
        <v>37</v>
      </c>
      <c r="N121" s="50"/>
      <c r="O121" s="48" t="s">
        <v>37</v>
      </c>
      <c r="P121" s="50"/>
      <c r="Q121" s="48" t="s">
        <v>37</v>
      </c>
      <c r="R121" s="50"/>
      <c r="S121" s="48" t="s">
        <v>37</v>
      </c>
      <c r="U121" t="s">
        <v>37</v>
      </c>
      <c r="W121" t="s">
        <v>37</v>
      </c>
      <c r="Y121" t="s">
        <v>37</v>
      </c>
      <c r="AA121" t="s">
        <v>37</v>
      </c>
      <c r="AC121" t="s">
        <v>37</v>
      </c>
      <c r="AE121" t="s">
        <v>37</v>
      </c>
      <c r="AG121" t="s">
        <v>37</v>
      </c>
      <c r="AI121" t="s">
        <v>37</v>
      </c>
      <c r="AK121" t="s">
        <v>37</v>
      </c>
      <c r="AM121" t="s">
        <v>37</v>
      </c>
      <c r="AO121" t="s">
        <v>37</v>
      </c>
      <c r="AQ121" t="s">
        <v>37</v>
      </c>
      <c r="AS121" t="s">
        <v>37</v>
      </c>
      <c r="AU121" t="s">
        <v>37</v>
      </c>
      <c r="AW121" t="s">
        <v>37</v>
      </c>
      <c r="AY121" t="s">
        <v>37</v>
      </c>
      <c r="BA121" t="s">
        <v>37</v>
      </c>
      <c r="BC121" t="s">
        <v>37</v>
      </c>
      <c r="BE121" t="s">
        <v>37</v>
      </c>
      <c r="BG121" t="s">
        <v>37</v>
      </c>
      <c r="BI121" t="s">
        <v>37</v>
      </c>
      <c r="BK121" t="s">
        <v>37</v>
      </c>
      <c r="BM121" t="s">
        <v>37</v>
      </c>
      <c r="BO121" t="s">
        <v>37</v>
      </c>
      <c r="BQ121" t="s">
        <v>37</v>
      </c>
      <c r="BS121" t="s">
        <v>37</v>
      </c>
      <c r="BU121" t="s">
        <v>37</v>
      </c>
      <c r="BW121" t="s">
        <v>37</v>
      </c>
      <c r="BY121" t="s">
        <v>37</v>
      </c>
      <c r="CA121" t="s">
        <v>37</v>
      </c>
      <c r="CC121" t="s">
        <v>37</v>
      </c>
      <c r="CE121" t="s">
        <v>37</v>
      </c>
      <c r="CG121" t="s">
        <v>37</v>
      </c>
      <c r="CI121" t="s">
        <v>37</v>
      </c>
      <c r="CK121" t="s">
        <v>37</v>
      </c>
      <c r="CM121" t="s">
        <v>37</v>
      </c>
      <c r="CO121" t="s">
        <v>37</v>
      </c>
      <c r="CQ121" t="s">
        <v>37</v>
      </c>
      <c r="CS121" t="s">
        <v>37</v>
      </c>
      <c r="CU121" t="s">
        <v>37</v>
      </c>
      <c r="CW121" t="s">
        <v>37</v>
      </c>
      <c r="CY121" t="s">
        <v>37</v>
      </c>
      <c r="DA121" t="s">
        <v>37</v>
      </c>
      <c r="DC121" t="s">
        <v>37</v>
      </c>
      <c r="DE121" t="s">
        <v>37</v>
      </c>
      <c r="DG121" t="s">
        <v>37</v>
      </c>
      <c r="DI121" t="s">
        <v>37</v>
      </c>
      <c r="DK121" t="s">
        <v>37</v>
      </c>
      <c r="DM121" t="s">
        <v>37</v>
      </c>
      <c r="DO121" t="s">
        <v>37</v>
      </c>
      <c r="DQ121" t="s">
        <v>37</v>
      </c>
      <c r="DS121" t="s">
        <v>37</v>
      </c>
      <c r="DT121">
        <v>454</v>
      </c>
      <c r="DU121" t="s">
        <v>37</v>
      </c>
      <c r="DW121" t="s">
        <v>37</v>
      </c>
      <c r="DY121" t="s">
        <v>37</v>
      </c>
      <c r="EA121" t="s">
        <v>37</v>
      </c>
      <c r="EC121" t="s">
        <v>37</v>
      </c>
      <c r="EE121" t="s">
        <v>37</v>
      </c>
      <c r="EG121" t="s">
        <v>37</v>
      </c>
      <c r="EI121" t="s">
        <v>37</v>
      </c>
      <c r="EK121" t="s">
        <v>37</v>
      </c>
      <c r="EM121" t="s">
        <v>37</v>
      </c>
      <c r="EO121" t="s">
        <v>37</v>
      </c>
      <c r="EQ121" t="s">
        <v>37</v>
      </c>
      <c r="ES121" t="s">
        <v>37</v>
      </c>
      <c r="EU121" t="s">
        <v>37</v>
      </c>
      <c r="EW121" t="s">
        <v>37</v>
      </c>
      <c r="EY121" t="s">
        <v>37</v>
      </c>
      <c r="FA121" t="s">
        <v>37</v>
      </c>
      <c r="FC121" t="s">
        <v>37</v>
      </c>
      <c r="FE121" t="s">
        <v>37</v>
      </c>
      <c r="FG121" t="s">
        <v>37</v>
      </c>
      <c r="FI121" t="s">
        <v>37</v>
      </c>
      <c r="FK121" t="s">
        <v>37</v>
      </c>
      <c r="FM121" t="s">
        <v>37</v>
      </c>
      <c r="FO121" t="s">
        <v>37</v>
      </c>
      <c r="FQ121" t="s">
        <v>37</v>
      </c>
      <c r="FS121" t="s">
        <v>37</v>
      </c>
      <c r="FU121" t="s">
        <v>37</v>
      </c>
      <c r="FW121" t="s">
        <v>37</v>
      </c>
      <c r="FY121" t="s">
        <v>37</v>
      </c>
      <c r="GA121" t="s">
        <v>37</v>
      </c>
      <c r="GC121" t="s">
        <v>37</v>
      </c>
      <c r="GE121" t="s">
        <v>37</v>
      </c>
      <c r="GG121" t="s">
        <v>37</v>
      </c>
      <c r="GI121" t="s">
        <v>37</v>
      </c>
      <c r="GK121" t="s">
        <v>37</v>
      </c>
      <c r="GM121" t="s">
        <v>37</v>
      </c>
      <c r="GO121" t="s">
        <v>37</v>
      </c>
      <c r="GQ121" t="s">
        <v>37</v>
      </c>
      <c r="GS121" t="s">
        <v>37</v>
      </c>
      <c r="GU121" t="s">
        <v>37</v>
      </c>
      <c r="GW121" t="s">
        <v>37</v>
      </c>
      <c r="GY121" t="s">
        <v>37</v>
      </c>
      <c r="HA121" t="s">
        <v>37</v>
      </c>
      <c r="HC121" t="s">
        <v>37</v>
      </c>
      <c r="HE121" t="s">
        <v>37</v>
      </c>
      <c r="HF121">
        <v>454</v>
      </c>
      <c r="HG121" t="s">
        <v>37</v>
      </c>
      <c r="HI121" t="s">
        <v>37</v>
      </c>
      <c r="HJ121">
        <v>454</v>
      </c>
      <c r="HK121" t="s">
        <v>37</v>
      </c>
    </row>
    <row r="122" spans="1:219">
      <c r="A122">
        <v>3198</v>
      </c>
      <c r="B122" t="s">
        <v>146</v>
      </c>
      <c r="C122" t="s">
        <v>37</v>
      </c>
      <c r="E122" t="s">
        <v>37</v>
      </c>
      <c r="F122">
        <v>322</v>
      </c>
      <c r="G122" t="s">
        <v>37</v>
      </c>
      <c r="H122">
        <v>9066</v>
      </c>
      <c r="I122" t="s">
        <v>37</v>
      </c>
      <c r="K122" s="48" t="s">
        <v>37</v>
      </c>
      <c r="L122" s="50"/>
      <c r="M122" s="48" t="s">
        <v>37</v>
      </c>
      <c r="N122" s="50"/>
      <c r="O122" s="48" t="s">
        <v>37</v>
      </c>
      <c r="P122" s="50"/>
      <c r="Q122" s="48" t="s">
        <v>37</v>
      </c>
      <c r="R122" s="50"/>
      <c r="S122" s="48" t="s">
        <v>37</v>
      </c>
      <c r="T122">
        <v>24348</v>
      </c>
      <c r="U122" t="s">
        <v>37</v>
      </c>
      <c r="W122" t="s">
        <v>37</v>
      </c>
      <c r="Y122" t="s">
        <v>37</v>
      </c>
      <c r="AA122" t="s">
        <v>37</v>
      </c>
      <c r="AB122">
        <v>4706</v>
      </c>
      <c r="AC122" t="s">
        <v>37</v>
      </c>
      <c r="AE122" t="s">
        <v>37</v>
      </c>
      <c r="AF122">
        <v>896</v>
      </c>
      <c r="AG122" t="s">
        <v>37</v>
      </c>
      <c r="AI122" t="s">
        <v>37</v>
      </c>
      <c r="AK122" t="s">
        <v>37</v>
      </c>
      <c r="AL122">
        <v>23930</v>
      </c>
      <c r="AM122" t="s">
        <v>37</v>
      </c>
      <c r="AO122" t="s">
        <v>37</v>
      </c>
      <c r="AQ122" t="s">
        <v>37</v>
      </c>
      <c r="AR122">
        <v>17070</v>
      </c>
      <c r="AS122" t="s">
        <v>37</v>
      </c>
      <c r="AU122" t="s">
        <v>37</v>
      </c>
      <c r="AV122">
        <v>19608</v>
      </c>
      <c r="AW122" t="s">
        <v>37</v>
      </c>
      <c r="AY122" t="s">
        <v>37</v>
      </c>
      <c r="BA122" t="s">
        <v>37</v>
      </c>
      <c r="BC122" t="s">
        <v>37</v>
      </c>
      <c r="BE122" t="s">
        <v>37</v>
      </c>
      <c r="BG122" t="s">
        <v>37</v>
      </c>
      <c r="BI122" t="s">
        <v>37</v>
      </c>
      <c r="BJ122">
        <v>26794</v>
      </c>
      <c r="BK122" t="s">
        <v>37</v>
      </c>
      <c r="BL122">
        <v>135516</v>
      </c>
      <c r="BM122" t="s">
        <v>37</v>
      </c>
      <c r="BO122" t="s">
        <v>37</v>
      </c>
      <c r="BP122">
        <v>813</v>
      </c>
      <c r="BQ122" t="s">
        <v>37</v>
      </c>
      <c r="BS122" t="s">
        <v>37</v>
      </c>
      <c r="BU122" t="s">
        <v>37</v>
      </c>
      <c r="BW122" t="s">
        <v>37</v>
      </c>
      <c r="BY122" t="s">
        <v>37</v>
      </c>
      <c r="CA122" t="s">
        <v>37</v>
      </c>
      <c r="CC122" t="s">
        <v>37</v>
      </c>
      <c r="CD122">
        <v>15419</v>
      </c>
      <c r="CE122" t="s">
        <v>37</v>
      </c>
      <c r="CG122" t="s">
        <v>37</v>
      </c>
      <c r="CI122" t="s">
        <v>37</v>
      </c>
      <c r="CK122" t="s">
        <v>37</v>
      </c>
      <c r="CL122">
        <v>20916</v>
      </c>
      <c r="CM122" t="s">
        <v>37</v>
      </c>
      <c r="CO122" t="s">
        <v>37</v>
      </c>
      <c r="CQ122" t="s">
        <v>37</v>
      </c>
      <c r="CR122">
        <v>39380</v>
      </c>
      <c r="CS122" t="s">
        <v>37</v>
      </c>
      <c r="CT122">
        <v>155232</v>
      </c>
      <c r="CU122" t="s">
        <v>37</v>
      </c>
      <c r="CV122">
        <v>36444</v>
      </c>
      <c r="CW122" t="s">
        <v>37</v>
      </c>
      <c r="CY122" t="s">
        <v>37</v>
      </c>
      <c r="DA122" t="s">
        <v>37</v>
      </c>
      <c r="DC122" t="s">
        <v>37</v>
      </c>
      <c r="DD122">
        <v>3591</v>
      </c>
      <c r="DE122" t="s">
        <v>37</v>
      </c>
      <c r="DG122" t="s">
        <v>37</v>
      </c>
      <c r="DI122" t="s">
        <v>37</v>
      </c>
      <c r="DK122" t="s">
        <v>37</v>
      </c>
      <c r="DM122" t="s">
        <v>37</v>
      </c>
      <c r="DO122" t="s">
        <v>37</v>
      </c>
      <c r="DQ122" t="s">
        <v>37</v>
      </c>
      <c r="DS122" t="s">
        <v>37</v>
      </c>
      <c r="DU122" t="s">
        <v>37</v>
      </c>
      <c r="DW122" t="s">
        <v>37</v>
      </c>
      <c r="DY122" t="s">
        <v>37</v>
      </c>
      <c r="EA122" t="s">
        <v>37</v>
      </c>
      <c r="EC122" t="s">
        <v>37</v>
      </c>
      <c r="EE122" t="s">
        <v>37</v>
      </c>
      <c r="EG122" t="s">
        <v>37</v>
      </c>
      <c r="EI122" t="s">
        <v>37</v>
      </c>
      <c r="EK122" t="s">
        <v>37</v>
      </c>
      <c r="EM122" t="s">
        <v>37</v>
      </c>
      <c r="EO122" t="s">
        <v>37</v>
      </c>
      <c r="EQ122" t="s">
        <v>37</v>
      </c>
      <c r="ES122" t="s">
        <v>37</v>
      </c>
      <c r="EU122" t="s">
        <v>37</v>
      </c>
      <c r="EW122" t="s">
        <v>37</v>
      </c>
      <c r="EY122" t="s">
        <v>37</v>
      </c>
      <c r="FA122" t="s">
        <v>37</v>
      </c>
      <c r="FC122" t="s">
        <v>37</v>
      </c>
      <c r="FE122" t="s">
        <v>37</v>
      </c>
      <c r="FG122" t="s">
        <v>37</v>
      </c>
      <c r="FI122" t="s">
        <v>37</v>
      </c>
      <c r="FK122" t="s">
        <v>37</v>
      </c>
      <c r="FL122">
        <v>74500</v>
      </c>
      <c r="FM122" t="s">
        <v>37</v>
      </c>
      <c r="FO122" t="s">
        <v>37</v>
      </c>
      <c r="FQ122" t="s">
        <v>37</v>
      </c>
      <c r="FS122" t="s">
        <v>37</v>
      </c>
      <c r="FU122" t="s">
        <v>37</v>
      </c>
      <c r="FW122" t="s">
        <v>37</v>
      </c>
      <c r="FY122" t="s">
        <v>37</v>
      </c>
      <c r="GA122" t="s">
        <v>37</v>
      </c>
      <c r="GB122">
        <v>32150</v>
      </c>
      <c r="GC122" t="s">
        <v>37</v>
      </c>
      <c r="GE122" t="s">
        <v>37</v>
      </c>
      <c r="GG122" t="s">
        <v>37</v>
      </c>
      <c r="GI122" t="s">
        <v>37</v>
      </c>
      <c r="GK122" t="s">
        <v>37</v>
      </c>
      <c r="GM122" t="s">
        <v>37</v>
      </c>
      <c r="GO122" t="s">
        <v>37</v>
      </c>
      <c r="GQ122" t="s">
        <v>37</v>
      </c>
      <c r="GS122" t="s">
        <v>37</v>
      </c>
      <c r="GU122" t="s">
        <v>37</v>
      </c>
      <c r="GV122">
        <v>8025</v>
      </c>
      <c r="GW122" t="s">
        <v>37</v>
      </c>
      <c r="GY122" t="s">
        <v>37</v>
      </c>
      <c r="HA122" t="s">
        <v>37</v>
      </c>
      <c r="HC122" t="s">
        <v>37</v>
      </c>
      <c r="HE122" t="s">
        <v>37</v>
      </c>
      <c r="HF122">
        <v>648726</v>
      </c>
      <c r="HG122" t="s">
        <v>37</v>
      </c>
      <c r="HI122" t="s">
        <v>37</v>
      </c>
      <c r="HJ122">
        <v>648726</v>
      </c>
      <c r="HK122" t="s">
        <v>37</v>
      </c>
    </row>
    <row r="123" spans="1:219">
      <c r="A123">
        <v>3199</v>
      </c>
      <c r="B123" t="s">
        <v>147</v>
      </c>
      <c r="C123" t="s">
        <v>37</v>
      </c>
      <c r="D123">
        <v>18535</v>
      </c>
      <c r="E123" t="s">
        <v>37</v>
      </c>
      <c r="F123">
        <v>127290</v>
      </c>
      <c r="G123" t="s">
        <v>37</v>
      </c>
      <c r="H123">
        <v>10723</v>
      </c>
      <c r="I123" t="s">
        <v>37</v>
      </c>
      <c r="K123" s="48" t="s">
        <v>37</v>
      </c>
      <c r="L123" s="51">
        <v>60450</v>
      </c>
      <c r="M123" s="48" t="s">
        <v>37</v>
      </c>
      <c r="N123" s="51">
        <v>20576</v>
      </c>
      <c r="O123" s="48" t="s">
        <v>37</v>
      </c>
      <c r="P123" s="51">
        <v>90605</v>
      </c>
      <c r="Q123" s="48" t="s">
        <v>37</v>
      </c>
      <c r="R123" s="51">
        <v>28923</v>
      </c>
      <c r="S123" s="48" t="s">
        <v>37</v>
      </c>
      <c r="T123">
        <v>185817</v>
      </c>
      <c r="U123" t="s">
        <v>37</v>
      </c>
      <c r="V123">
        <v>1796</v>
      </c>
      <c r="W123" t="s">
        <v>37</v>
      </c>
      <c r="Y123" t="s">
        <v>37</v>
      </c>
      <c r="Z123">
        <v>13897</v>
      </c>
      <c r="AA123" t="s">
        <v>37</v>
      </c>
      <c r="AB123">
        <v>7272</v>
      </c>
      <c r="AC123" t="s">
        <v>37</v>
      </c>
      <c r="AD123">
        <v>5573</v>
      </c>
      <c r="AE123" t="s">
        <v>37</v>
      </c>
      <c r="AF123">
        <v>6498</v>
      </c>
      <c r="AG123" t="s">
        <v>37</v>
      </c>
      <c r="AH123">
        <v>76753</v>
      </c>
      <c r="AI123" t="s">
        <v>37</v>
      </c>
      <c r="AK123" t="s">
        <v>37</v>
      </c>
      <c r="AL123">
        <v>42057</v>
      </c>
      <c r="AM123" t="s">
        <v>37</v>
      </c>
      <c r="AO123" t="s">
        <v>37</v>
      </c>
      <c r="AP123">
        <v>473482</v>
      </c>
      <c r="AQ123" t="s">
        <v>37</v>
      </c>
      <c r="AR123">
        <v>8473</v>
      </c>
      <c r="AS123" t="s">
        <v>37</v>
      </c>
      <c r="AT123">
        <v>124290</v>
      </c>
      <c r="AU123" t="s">
        <v>37</v>
      </c>
      <c r="AV123">
        <v>50380</v>
      </c>
      <c r="AW123" t="s">
        <v>37</v>
      </c>
      <c r="AX123">
        <v>6408</v>
      </c>
      <c r="AY123" t="s">
        <v>37</v>
      </c>
      <c r="AZ123">
        <v>48642</v>
      </c>
      <c r="BA123" t="s">
        <v>37</v>
      </c>
      <c r="BB123">
        <v>6767</v>
      </c>
      <c r="BC123" t="s">
        <v>37</v>
      </c>
      <c r="BD123">
        <v>17212</v>
      </c>
      <c r="BE123" t="s">
        <v>37</v>
      </c>
      <c r="BF123">
        <v>7468</v>
      </c>
      <c r="BG123" t="s">
        <v>37</v>
      </c>
      <c r="BI123" t="s">
        <v>37</v>
      </c>
      <c r="BJ123">
        <v>29485</v>
      </c>
      <c r="BK123" t="s">
        <v>37</v>
      </c>
      <c r="BL123">
        <v>199854</v>
      </c>
      <c r="BM123" t="s">
        <v>37</v>
      </c>
      <c r="BO123" t="s">
        <v>37</v>
      </c>
      <c r="BP123">
        <v>6912</v>
      </c>
      <c r="BQ123" t="s">
        <v>37</v>
      </c>
      <c r="BR123">
        <v>25243</v>
      </c>
      <c r="BS123" t="s">
        <v>37</v>
      </c>
      <c r="BT123">
        <v>9766</v>
      </c>
      <c r="BU123" t="s">
        <v>37</v>
      </c>
      <c r="BW123" t="s">
        <v>37</v>
      </c>
      <c r="BX123">
        <v>114095</v>
      </c>
      <c r="BY123" t="s">
        <v>37</v>
      </c>
      <c r="BZ123">
        <v>15324</v>
      </c>
      <c r="CA123" t="s">
        <v>37</v>
      </c>
      <c r="CC123" t="s">
        <v>37</v>
      </c>
      <c r="CD123">
        <v>64778</v>
      </c>
      <c r="CE123" t="s">
        <v>37</v>
      </c>
      <c r="CF123">
        <v>16339</v>
      </c>
      <c r="CG123" t="s">
        <v>37</v>
      </c>
      <c r="CH123">
        <v>235163</v>
      </c>
      <c r="CI123" t="s">
        <v>37</v>
      </c>
      <c r="CJ123">
        <v>6857</v>
      </c>
      <c r="CK123" t="s">
        <v>37</v>
      </c>
      <c r="CL123">
        <v>37258</v>
      </c>
      <c r="CM123" t="s">
        <v>37</v>
      </c>
      <c r="CN123">
        <v>6653</v>
      </c>
      <c r="CO123" t="s">
        <v>37</v>
      </c>
      <c r="CP123">
        <v>10129</v>
      </c>
      <c r="CQ123" t="s">
        <v>37</v>
      </c>
      <c r="CR123">
        <v>34569</v>
      </c>
      <c r="CS123" t="s">
        <v>37</v>
      </c>
      <c r="CT123">
        <v>330452</v>
      </c>
      <c r="CU123" t="s">
        <v>37</v>
      </c>
      <c r="CV123">
        <v>55925</v>
      </c>
      <c r="CW123" t="s">
        <v>37</v>
      </c>
      <c r="CX123">
        <v>6442</v>
      </c>
      <c r="CY123" t="s">
        <v>37</v>
      </c>
      <c r="CZ123">
        <v>5684</v>
      </c>
      <c r="DA123" t="s">
        <v>37</v>
      </c>
      <c r="DC123" t="s">
        <v>37</v>
      </c>
      <c r="DD123">
        <v>17222</v>
      </c>
      <c r="DE123" t="s">
        <v>37</v>
      </c>
      <c r="DF123">
        <v>15708</v>
      </c>
      <c r="DG123" t="s">
        <v>37</v>
      </c>
      <c r="DH123">
        <v>215621</v>
      </c>
      <c r="DI123" t="s">
        <v>37</v>
      </c>
      <c r="DJ123">
        <v>18464</v>
      </c>
      <c r="DK123" t="s">
        <v>37</v>
      </c>
      <c r="DL123">
        <v>186645</v>
      </c>
      <c r="DM123" t="s">
        <v>37</v>
      </c>
      <c r="DN123">
        <v>60001</v>
      </c>
      <c r="DO123" t="s">
        <v>37</v>
      </c>
      <c r="DP123">
        <v>31206</v>
      </c>
      <c r="DQ123" t="s">
        <v>37</v>
      </c>
      <c r="DR123">
        <v>17158</v>
      </c>
      <c r="DS123" t="s">
        <v>37</v>
      </c>
      <c r="DT123">
        <v>22254</v>
      </c>
      <c r="DU123" t="s">
        <v>37</v>
      </c>
      <c r="DV123">
        <v>110393</v>
      </c>
      <c r="DW123" t="s">
        <v>37</v>
      </c>
      <c r="DX123">
        <v>42472</v>
      </c>
      <c r="DY123" t="s">
        <v>37</v>
      </c>
      <c r="DZ123">
        <v>10912</v>
      </c>
      <c r="EA123" t="s">
        <v>37</v>
      </c>
      <c r="EB123">
        <v>112941</v>
      </c>
      <c r="EC123" t="s">
        <v>37</v>
      </c>
      <c r="ED123">
        <v>83622</v>
      </c>
      <c r="EE123" t="s">
        <v>37</v>
      </c>
      <c r="EF123">
        <v>2981</v>
      </c>
      <c r="EG123" t="s">
        <v>37</v>
      </c>
      <c r="EI123" t="s">
        <v>37</v>
      </c>
      <c r="EJ123">
        <v>16250</v>
      </c>
      <c r="EK123" t="s">
        <v>37</v>
      </c>
      <c r="EL123">
        <v>12317</v>
      </c>
      <c r="EM123" t="s">
        <v>37</v>
      </c>
      <c r="EN123">
        <v>9197</v>
      </c>
      <c r="EO123" t="s">
        <v>37</v>
      </c>
      <c r="EQ123" t="s">
        <v>37</v>
      </c>
      <c r="ER123">
        <v>28574</v>
      </c>
      <c r="ES123" t="s">
        <v>37</v>
      </c>
      <c r="ET123">
        <v>34646</v>
      </c>
      <c r="EU123" t="s">
        <v>37</v>
      </c>
      <c r="EV123">
        <v>40120</v>
      </c>
      <c r="EW123" t="s">
        <v>37</v>
      </c>
      <c r="EY123" t="s">
        <v>37</v>
      </c>
      <c r="EZ123">
        <v>135286</v>
      </c>
      <c r="FA123" t="s">
        <v>37</v>
      </c>
      <c r="FB123">
        <v>146703</v>
      </c>
      <c r="FC123" t="s">
        <v>37</v>
      </c>
      <c r="FD123">
        <v>258171</v>
      </c>
      <c r="FE123" t="s">
        <v>37</v>
      </c>
      <c r="FG123" t="s">
        <v>37</v>
      </c>
      <c r="FH123">
        <v>91112</v>
      </c>
      <c r="FI123" t="s">
        <v>37</v>
      </c>
      <c r="FJ123">
        <v>130830</v>
      </c>
      <c r="FK123" t="s">
        <v>37</v>
      </c>
      <c r="FL123">
        <v>121232</v>
      </c>
      <c r="FM123" t="s">
        <v>37</v>
      </c>
      <c r="FN123">
        <v>11218</v>
      </c>
      <c r="FO123" t="s">
        <v>37</v>
      </c>
      <c r="FP123">
        <v>29449</v>
      </c>
      <c r="FQ123" t="s">
        <v>37</v>
      </c>
      <c r="FR123">
        <v>48899</v>
      </c>
      <c r="FS123" t="s">
        <v>37</v>
      </c>
      <c r="FT123">
        <v>88407</v>
      </c>
      <c r="FU123" t="s">
        <v>37</v>
      </c>
      <c r="FV123">
        <v>15328</v>
      </c>
      <c r="FW123" t="s">
        <v>37</v>
      </c>
      <c r="FX123">
        <v>43602</v>
      </c>
      <c r="FY123" t="s">
        <v>37</v>
      </c>
      <c r="FZ123">
        <v>48404</v>
      </c>
      <c r="GA123" t="s">
        <v>37</v>
      </c>
      <c r="GB123">
        <v>49321</v>
      </c>
      <c r="GC123" t="s">
        <v>37</v>
      </c>
      <c r="GE123" t="s">
        <v>37</v>
      </c>
      <c r="GG123" t="s">
        <v>37</v>
      </c>
      <c r="GI123" t="s">
        <v>37</v>
      </c>
      <c r="GJ123">
        <v>59905</v>
      </c>
      <c r="GK123" t="s">
        <v>37</v>
      </c>
      <c r="GL123">
        <v>46114</v>
      </c>
      <c r="GM123" t="s">
        <v>37</v>
      </c>
      <c r="GO123" t="s">
        <v>37</v>
      </c>
      <c r="GP123">
        <v>35059</v>
      </c>
      <c r="GQ123" t="s">
        <v>37</v>
      </c>
      <c r="GR123">
        <v>35012</v>
      </c>
      <c r="GS123" t="s">
        <v>37</v>
      </c>
      <c r="GT123">
        <v>26935</v>
      </c>
      <c r="GU123" t="s">
        <v>37</v>
      </c>
      <c r="GV123">
        <v>3644</v>
      </c>
      <c r="GW123" t="s">
        <v>37</v>
      </c>
      <c r="GX123">
        <v>94907</v>
      </c>
      <c r="GY123" t="s">
        <v>37</v>
      </c>
      <c r="GZ123">
        <v>38921</v>
      </c>
      <c r="HA123" t="s">
        <v>37</v>
      </c>
      <c r="HC123" t="s">
        <v>37</v>
      </c>
      <c r="HE123" t="s">
        <v>37</v>
      </c>
      <c r="HF123">
        <v>5297978</v>
      </c>
      <c r="HG123" t="s">
        <v>37</v>
      </c>
      <c r="HI123" t="s">
        <v>37</v>
      </c>
      <c r="HJ123">
        <v>5297978</v>
      </c>
      <c r="HK123" t="s">
        <v>37</v>
      </c>
    </row>
    <row r="124" spans="1:219">
      <c r="A124">
        <v>3200</v>
      </c>
      <c r="B124" t="s">
        <v>148</v>
      </c>
      <c r="C124" t="s">
        <v>37</v>
      </c>
      <c r="E124" t="s">
        <v>37</v>
      </c>
      <c r="G124" t="s">
        <v>37</v>
      </c>
      <c r="I124" t="s">
        <v>37</v>
      </c>
      <c r="K124" s="48" t="s">
        <v>37</v>
      </c>
      <c r="L124" s="50"/>
      <c r="M124" s="48" t="s">
        <v>37</v>
      </c>
      <c r="N124" s="50"/>
      <c r="O124" s="48" t="s">
        <v>37</v>
      </c>
      <c r="P124" s="50"/>
      <c r="Q124" s="48" t="s">
        <v>37</v>
      </c>
      <c r="R124" s="50"/>
      <c r="S124" s="48" t="s">
        <v>37</v>
      </c>
      <c r="U124" t="s">
        <v>37</v>
      </c>
      <c r="W124" t="s">
        <v>37</v>
      </c>
      <c r="Y124" t="s">
        <v>37</v>
      </c>
      <c r="AA124" t="s">
        <v>37</v>
      </c>
      <c r="AC124" t="s">
        <v>37</v>
      </c>
      <c r="AE124" t="s">
        <v>37</v>
      </c>
      <c r="AG124" t="s">
        <v>37</v>
      </c>
      <c r="AI124" t="s">
        <v>37</v>
      </c>
      <c r="AK124" t="s">
        <v>37</v>
      </c>
      <c r="AM124" t="s">
        <v>37</v>
      </c>
      <c r="AO124" t="s">
        <v>37</v>
      </c>
      <c r="AQ124" t="s">
        <v>37</v>
      </c>
      <c r="AS124" t="s">
        <v>37</v>
      </c>
      <c r="AU124" t="s">
        <v>37</v>
      </c>
      <c r="AW124" t="s">
        <v>37</v>
      </c>
      <c r="AY124" t="s">
        <v>37</v>
      </c>
      <c r="BA124" t="s">
        <v>37</v>
      </c>
      <c r="BC124" t="s">
        <v>37</v>
      </c>
      <c r="BE124" t="s">
        <v>37</v>
      </c>
      <c r="BG124" t="s">
        <v>37</v>
      </c>
      <c r="BI124" t="s">
        <v>37</v>
      </c>
      <c r="BK124" t="s">
        <v>37</v>
      </c>
      <c r="BM124" t="s">
        <v>37</v>
      </c>
      <c r="BO124" t="s">
        <v>37</v>
      </c>
      <c r="BQ124" t="s">
        <v>37</v>
      </c>
      <c r="BS124" t="s">
        <v>37</v>
      </c>
      <c r="BU124" t="s">
        <v>37</v>
      </c>
      <c r="BW124" t="s">
        <v>37</v>
      </c>
      <c r="BY124" t="s">
        <v>37</v>
      </c>
      <c r="CA124" t="s">
        <v>37</v>
      </c>
      <c r="CC124" t="s">
        <v>37</v>
      </c>
      <c r="CE124" t="s">
        <v>37</v>
      </c>
      <c r="CG124" t="s">
        <v>37</v>
      </c>
      <c r="CI124" t="s">
        <v>37</v>
      </c>
      <c r="CK124" t="s">
        <v>37</v>
      </c>
      <c r="CM124" t="s">
        <v>37</v>
      </c>
      <c r="CO124" t="s">
        <v>37</v>
      </c>
      <c r="CQ124" t="s">
        <v>37</v>
      </c>
      <c r="CS124" t="s">
        <v>37</v>
      </c>
      <c r="CU124" t="s">
        <v>37</v>
      </c>
      <c r="CW124" t="s">
        <v>37</v>
      </c>
      <c r="CY124" t="s">
        <v>37</v>
      </c>
      <c r="DA124" t="s">
        <v>37</v>
      </c>
      <c r="DC124" t="s">
        <v>37</v>
      </c>
      <c r="DE124" t="s">
        <v>37</v>
      </c>
      <c r="DG124" t="s">
        <v>37</v>
      </c>
      <c r="DI124" t="s">
        <v>37</v>
      </c>
      <c r="DK124" t="s">
        <v>37</v>
      </c>
      <c r="DM124" t="s">
        <v>37</v>
      </c>
      <c r="DO124" t="s">
        <v>37</v>
      </c>
      <c r="DQ124" t="s">
        <v>37</v>
      </c>
      <c r="DS124" t="s">
        <v>37</v>
      </c>
      <c r="DU124" t="s">
        <v>37</v>
      </c>
      <c r="DW124" t="s">
        <v>37</v>
      </c>
      <c r="DY124" t="s">
        <v>37</v>
      </c>
      <c r="EA124" t="s">
        <v>37</v>
      </c>
      <c r="EC124" t="s">
        <v>37</v>
      </c>
      <c r="EE124" t="s">
        <v>37</v>
      </c>
      <c r="EG124" t="s">
        <v>37</v>
      </c>
      <c r="EI124" t="s">
        <v>37</v>
      </c>
      <c r="EK124" t="s">
        <v>37</v>
      </c>
      <c r="EM124" t="s">
        <v>37</v>
      </c>
      <c r="EO124" t="s">
        <v>37</v>
      </c>
      <c r="EQ124" t="s">
        <v>37</v>
      </c>
      <c r="ES124" t="s">
        <v>37</v>
      </c>
      <c r="EU124" t="s">
        <v>37</v>
      </c>
      <c r="EW124" t="s">
        <v>37</v>
      </c>
      <c r="EY124" t="s">
        <v>37</v>
      </c>
      <c r="FA124" t="s">
        <v>37</v>
      </c>
      <c r="FC124" t="s">
        <v>37</v>
      </c>
      <c r="FE124" t="s">
        <v>37</v>
      </c>
      <c r="FG124" t="s">
        <v>37</v>
      </c>
      <c r="FI124" t="s">
        <v>37</v>
      </c>
      <c r="FK124" t="s">
        <v>37</v>
      </c>
      <c r="FM124" t="s">
        <v>37</v>
      </c>
      <c r="FO124" t="s">
        <v>37</v>
      </c>
      <c r="FQ124" t="s">
        <v>37</v>
      </c>
      <c r="FS124" t="s">
        <v>37</v>
      </c>
      <c r="FU124" t="s">
        <v>37</v>
      </c>
      <c r="FW124" t="s">
        <v>37</v>
      </c>
      <c r="FY124" t="s">
        <v>37</v>
      </c>
      <c r="GA124" t="s">
        <v>37</v>
      </c>
      <c r="GC124" t="s">
        <v>37</v>
      </c>
      <c r="GE124" t="s">
        <v>37</v>
      </c>
      <c r="GG124" t="s">
        <v>37</v>
      </c>
      <c r="GI124" t="s">
        <v>37</v>
      </c>
      <c r="GK124" t="s">
        <v>37</v>
      </c>
      <c r="GM124" t="s">
        <v>37</v>
      </c>
      <c r="GO124" t="s">
        <v>37</v>
      </c>
      <c r="GQ124" t="s">
        <v>37</v>
      </c>
      <c r="GS124" t="s">
        <v>37</v>
      </c>
      <c r="GU124" t="s">
        <v>37</v>
      </c>
      <c r="GW124" t="s">
        <v>37</v>
      </c>
      <c r="GY124" t="s">
        <v>37</v>
      </c>
      <c r="HA124" t="s">
        <v>37</v>
      </c>
      <c r="HC124" t="s">
        <v>37</v>
      </c>
      <c r="HE124" t="s">
        <v>37</v>
      </c>
      <c r="HG124" t="s">
        <v>37</v>
      </c>
      <c r="HI124" t="s">
        <v>37</v>
      </c>
      <c r="HK124" t="s">
        <v>37</v>
      </c>
    </row>
    <row r="125" spans="1:219">
      <c r="A125">
        <v>3220</v>
      </c>
      <c r="B125" t="s">
        <v>149</v>
      </c>
      <c r="C125" t="s">
        <v>37</v>
      </c>
      <c r="E125" t="s">
        <v>37</v>
      </c>
      <c r="G125" t="s">
        <v>37</v>
      </c>
      <c r="I125" t="s">
        <v>37</v>
      </c>
      <c r="K125" s="48" t="s">
        <v>37</v>
      </c>
      <c r="L125" s="50"/>
      <c r="M125" s="48" t="s">
        <v>37</v>
      </c>
      <c r="N125" s="50"/>
      <c r="O125" s="48" t="s">
        <v>37</v>
      </c>
      <c r="P125" s="50"/>
      <c r="Q125" s="48" t="s">
        <v>37</v>
      </c>
      <c r="R125" s="50"/>
      <c r="S125" s="48" t="s">
        <v>37</v>
      </c>
      <c r="U125" t="s">
        <v>37</v>
      </c>
      <c r="W125" t="s">
        <v>37</v>
      </c>
      <c r="Y125" t="s">
        <v>37</v>
      </c>
      <c r="AA125" t="s">
        <v>37</v>
      </c>
      <c r="AC125" t="s">
        <v>37</v>
      </c>
      <c r="AE125" t="s">
        <v>37</v>
      </c>
      <c r="AG125" t="s">
        <v>37</v>
      </c>
      <c r="AI125" t="s">
        <v>37</v>
      </c>
      <c r="AK125" t="s">
        <v>37</v>
      </c>
      <c r="AM125" t="s">
        <v>37</v>
      </c>
      <c r="AO125" t="s">
        <v>37</v>
      </c>
      <c r="AQ125" t="s">
        <v>37</v>
      </c>
      <c r="AS125" t="s">
        <v>37</v>
      </c>
      <c r="AU125" t="s">
        <v>37</v>
      </c>
      <c r="AW125" t="s">
        <v>37</v>
      </c>
      <c r="AY125" t="s">
        <v>37</v>
      </c>
      <c r="BA125" t="s">
        <v>37</v>
      </c>
      <c r="BC125" t="s">
        <v>37</v>
      </c>
      <c r="BE125" t="s">
        <v>37</v>
      </c>
      <c r="BG125" t="s">
        <v>37</v>
      </c>
      <c r="BI125" t="s">
        <v>37</v>
      </c>
      <c r="BK125" t="s">
        <v>37</v>
      </c>
      <c r="BM125" t="s">
        <v>37</v>
      </c>
      <c r="BO125" t="s">
        <v>37</v>
      </c>
      <c r="BQ125" t="s">
        <v>37</v>
      </c>
      <c r="BS125" t="s">
        <v>37</v>
      </c>
      <c r="BU125" t="s">
        <v>37</v>
      </c>
      <c r="BW125" t="s">
        <v>37</v>
      </c>
      <c r="BY125" t="s">
        <v>37</v>
      </c>
      <c r="CA125" t="s">
        <v>37</v>
      </c>
      <c r="CC125" t="s">
        <v>37</v>
      </c>
      <c r="CE125" t="s">
        <v>37</v>
      </c>
      <c r="CG125" t="s">
        <v>37</v>
      </c>
      <c r="CI125" t="s">
        <v>37</v>
      </c>
      <c r="CK125" t="s">
        <v>37</v>
      </c>
      <c r="CM125" t="s">
        <v>37</v>
      </c>
      <c r="CO125" t="s">
        <v>37</v>
      </c>
      <c r="CQ125" t="s">
        <v>37</v>
      </c>
      <c r="CS125" t="s">
        <v>37</v>
      </c>
      <c r="CU125" t="s">
        <v>37</v>
      </c>
      <c r="CW125" t="s">
        <v>37</v>
      </c>
      <c r="CY125" t="s">
        <v>37</v>
      </c>
      <c r="DA125" t="s">
        <v>37</v>
      </c>
      <c r="DC125" t="s">
        <v>37</v>
      </c>
      <c r="DE125" t="s">
        <v>37</v>
      </c>
      <c r="DG125" t="s">
        <v>37</v>
      </c>
      <c r="DI125" t="s">
        <v>37</v>
      </c>
      <c r="DK125" t="s">
        <v>37</v>
      </c>
      <c r="DM125" t="s">
        <v>37</v>
      </c>
      <c r="DO125" t="s">
        <v>37</v>
      </c>
      <c r="DQ125" t="s">
        <v>37</v>
      </c>
      <c r="DS125" t="s">
        <v>37</v>
      </c>
      <c r="DU125" t="s">
        <v>37</v>
      </c>
      <c r="DW125" t="s">
        <v>37</v>
      </c>
      <c r="DY125" t="s">
        <v>37</v>
      </c>
      <c r="EA125" t="s">
        <v>37</v>
      </c>
      <c r="EC125" t="s">
        <v>37</v>
      </c>
      <c r="EE125" t="s">
        <v>37</v>
      </c>
      <c r="EG125" t="s">
        <v>37</v>
      </c>
      <c r="EI125" t="s">
        <v>37</v>
      </c>
      <c r="EK125" t="s">
        <v>37</v>
      </c>
      <c r="EM125" t="s">
        <v>37</v>
      </c>
      <c r="EO125" t="s">
        <v>37</v>
      </c>
      <c r="EQ125" t="s">
        <v>37</v>
      </c>
      <c r="ES125" t="s">
        <v>37</v>
      </c>
      <c r="EU125" t="s">
        <v>37</v>
      </c>
      <c r="EW125" t="s">
        <v>37</v>
      </c>
      <c r="EY125" t="s">
        <v>37</v>
      </c>
      <c r="FA125" t="s">
        <v>37</v>
      </c>
      <c r="FC125" t="s">
        <v>37</v>
      </c>
      <c r="FE125" t="s">
        <v>37</v>
      </c>
      <c r="FG125" t="s">
        <v>37</v>
      </c>
      <c r="FI125" t="s">
        <v>37</v>
      </c>
      <c r="FK125" t="s">
        <v>37</v>
      </c>
      <c r="FM125" t="s">
        <v>37</v>
      </c>
      <c r="FO125" t="s">
        <v>37</v>
      </c>
      <c r="FQ125" t="s">
        <v>37</v>
      </c>
      <c r="FS125" t="s">
        <v>37</v>
      </c>
      <c r="FU125" t="s">
        <v>37</v>
      </c>
      <c r="FW125" t="s">
        <v>37</v>
      </c>
      <c r="FY125" t="s">
        <v>37</v>
      </c>
      <c r="GA125" t="s">
        <v>37</v>
      </c>
      <c r="GC125" t="s">
        <v>37</v>
      </c>
      <c r="GE125" t="s">
        <v>37</v>
      </c>
      <c r="GG125" t="s">
        <v>37</v>
      </c>
      <c r="GI125" t="s">
        <v>37</v>
      </c>
      <c r="GK125" t="s">
        <v>37</v>
      </c>
      <c r="GM125" t="s">
        <v>37</v>
      </c>
      <c r="GO125" t="s">
        <v>37</v>
      </c>
      <c r="GQ125" t="s">
        <v>37</v>
      </c>
      <c r="GS125" t="s">
        <v>37</v>
      </c>
      <c r="GU125" t="s">
        <v>37</v>
      </c>
      <c r="GW125" t="s">
        <v>37</v>
      </c>
      <c r="GY125" t="s">
        <v>37</v>
      </c>
      <c r="HA125" t="s">
        <v>37</v>
      </c>
      <c r="HC125" t="s">
        <v>37</v>
      </c>
      <c r="HE125" t="s">
        <v>37</v>
      </c>
      <c r="HG125" t="s">
        <v>37</v>
      </c>
      <c r="HI125" t="s">
        <v>37</v>
      </c>
      <c r="HK125" t="s">
        <v>37</v>
      </c>
    </row>
    <row r="126" spans="1:219">
      <c r="A126">
        <v>3230</v>
      </c>
      <c r="B126" t="s">
        <v>150</v>
      </c>
      <c r="C126" t="s">
        <v>37</v>
      </c>
      <c r="E126" t="s">
        <v>37</v>
      </c>
      <c r="G126" t="s">
        <v>37</v>
      </c>
      <c r="I126" t="s">
        <v>37</v>
      </c>
      <c r="K126" s="48" t="s">
        <v>37</v>
      </c>
      <c r="L126" s="50"/>
      <c r="M126" s="48" t="s">
        <v>37</v>
      </c>
      <c r="N126" s="50"/>
      <c r="O126" s="48" t="s">
        <v>37</v>
      </c>
      <c r="P126" s="50"/>
      <c r="Q126" s="48" t="s">
        <v>37</v>
      </c>
      <c r="R126" s="50"/>
      <c r="S126" s="48" t="s">
        <v>37</v>
      </c>
      <c r="U126" t="s">
        <v>37</v>
      </c>
      <c r="W126" t="s">
        <v>37</v>
      </c>
      <c r="Y126" t="s">
        <v>37</v>
      </c>
      <c r="AA126" t="s">
        <v>37</v>
      </c>
      <c r="AC126" t="s">
        <v>37</v>
      </c>
      <c r="AE126" t="s">
        <v>37</v>
      </c>
      <c r="AG126" t="s">
        <v>37</v>
      </c>
      <c r="AI126" t="s">
        <v>37</v>
      </c>
      <c r="AK126" t="s">
        <v>37</v>
      </c>
      <c r="AM126" t="s">
        <v>37</v>
      </c>
      <c r="AO126" t="s">
        <v>37</v>
      </c>
      <c r="AQ126" t="s">
        <v>37</v>
      </c>
      <c r="AS126" t="s">
        <v>37</v>
      </c>
      <c r="AU126" t="s">
        <v>37</v>
      </c>
      <c r="AW126" t="s">
        <v>37</v>
      </c>
      <c r="AY126" t="s">
        <v>37</v>
      </c>
      <c r="BA126" t="s">
        <v>37</v>
      </c>
      <c r="BC126" t="s">
        <v>37</v>
      </c>
      <c r="BE126" t="s">
        <v>37</v>
      </c>
      <c r="BG126" t="s">
        <v>37</v>
      </c>
      <c r="BI126" t="s">
        <v>37</v>
      </c>
      <c r="BK126" t="s">
        <v>37</v>
      </c>
      <c r="BM126" t="s">
        <v>37</v>
      </c>
      <c r="BO126" t="s">
        <v>37</v>
      </c>
      <c r="BQ126" t="s">
        <v>37</v>
      </c>
      <c r="BS126" t="s">
        <v>37</v>
      </c>
      <c r="BU126" t="s">
        <v>37</v>
      </c>
      <c r="BW126" t="s">
        <v>37</v>
      </c>
      <c r="BY126" t="s">
        <v>37</v>
      </c>
      <c r="CA126" t="s">
        <v>37</v>
      </c>
      <c r="CC126" t="s">
        <v>37</v>
      </c>
      <c r="CE126" t="s">
        <v>37</v>
      </c>
      <c r="CG126" t="s">
        <v>37</v>
      </c>
      <c r="CI126" t="s">
        <v>37</v>
      </c>
      <c r="CK126" t="s">
        <v>37</v>
      </c>
      <c r="CM126" t="s">
        <v>37</v>
      </c>
      <c r="CO126" t="s">
        <v>37</v>
      </c>
      <c r="CQ126" t="s">
        <v>37</v>
      </c>
      <c r="CS126" t="s">
        <v>37</v>
      </c>
      <c r="CU126" t="s">
        <v>37</v>
      </c>
      <c r="CW126" t="s">
        <v>37</v>
      </c>
      <c r="CY126" t="s">
        <v>37</v>
      </c>
      <c r="DA126" t="s">
        <v>37</v>
      </c>
      <c r="DC126" t="s">
        <v>37</v>
      </c>
      <c r="DE126" t="s">
        <v>37</v>
      </c>
      <c r="DG126" t="s">
        <v>37</v>
      </c>
      <c r="DI126" t="s">
        <v>37</v>
      </c>
      <c r="DK126" t="s">
        <v>37</v>
      </c>
      <c r="DM126" t="s">
        <v>37</v>
      </c>
      <c r="DO126" t="s">
        <v>37</v>
      </c>
      <c r="DQ126" t="s">
        <v>37</v>
      </c>
      <c r="DS126" t="s">
        <v>37</v>
      </c>
      <c r="DU126" t="s">
        <v>37</v>
      </c>
      <c r="DW126" t="s">
        <v>37</v>
      </c>
      <c r="DY126" t="s">
        <v>37</v>
      </c>
      <c r="EA126" t="s">
        <v>37</v>
      </c>
      <c r="EC126" t="s">
        <v>37</v>
      </c>
      <c r="EE126" t="s">
        <v>37</v>
      </c>
      <c r="EG126" t="s">
        <v>37</v>
      </c>
      <c r="EI126" t="s">
        <v>37</v>
      </c>
      <c r="EK126" t="s">
        <v>37</v>
      </c>
      <c r="EM126" t="s">
        <v>37</v>
      </c>
      <c r="EO126" t="s">
        <v>37</v>
      </c>
      <c r="EQ126" t="s">
        <v>37</v>
      </c>
      <c r="ES126" t="s">
        <v>37</v>
      </c>
      <c r="EU126" t="s">
        <v>37</v>
      </c>
      <c r="EW126" t="s">
        <v>37</v>
      </c>
      <c r="EY126" t="s">
        <v>37</v>
      </c>
      <c r="FA126" t="s">
        <v>37</v>
      </c>
      <c r="FC126" t="s">
        <v>37</v>
      </c>
      <c r="FE126" t="s">
        <v>37</v>
      </c>
      <c r="FG126" t="s">
        <v>37</v>
      </c>
      <c r="FI126" t="s">
        <v>37</v>
      </c>
      <c r="FK126" t="s">
        <v>37</v>
      </c>
      <c r="FM126" t="s">
        <v>37</v>
      </c>
      <c r="FO126" t="s">
        <v>37</v>
      </c>
      <c r="FQ126" t="s">
        <v>37</v>
      </c>
      <c r="FS126" t="s">
        <v>37</v>
      </c>
      <c r="FU126" t="s">
        <v>37</v>
      </c>
      <c r="FW126" t="s">
        <v>37</v>
      </c>
      <c r="FY126" t="s">
        <v>37</v>
      </c>
      <c r="GA126" t="s">
        <v>37</v>
      </c>
      <c r="GC126" t="s">
        <v>37</v>
      </c>
      <c r="GE126" t="s">
        <v>37</v>
      </c>
      <c r="GG126" t="s">
        <v>37</v>
      </c>
      <c r="GI126" t="s">
        <v>37</v>
      </c>
      <c r="GK126" t="s">
        <v>37</v>
      </c>
      <c r="GM126" t="s">
        <v>37</v>
      </c>
      <c r="GO126" t="s">
        <v>37</v>
      </c>
      <c r="GQ126" t="s">
        <v>37</v>
      </c>
      <c r="GS126" t="s">
        <v>37</v>
      </c>
      <c r="GU126" t="s">
        <v>37</v>
      </c>
      <c r="GW126" t="s">
        <v>37</v>
      </c>
      <c r="GY126" t="s">
        <v>37</v>
      </c>
      <c r="HA126" t="s">
        <v>37</v>
      </c>
      <c r="HC126" t="s">
        <v>37</v>
      </c>
      <c r="HE126" t="s">
        <v>37</v>
      </c>
      <c r="HG126" t="s">
        <v>37</v>
      </c>
      <c r="HI126" t="s">
        <v>37</v>
      </c>
      <c r="HK126" t="s">
        <v>37</v>
      </c>
    </row>
    <row r="127" spans="1:219">
      <c r="A127">
        <v>3290</v>
      </c>
      <c r="B127" t="s">
        <v>151</v>
      </c>
      <c r="C127" t="s">
        <v>37</v>
      </c>
      <c r="E127" t="s">
        <v>37</v>
      </c>
      <c r="G127" t="s">
        <v>37</v>
      </c>
      <c r="I127" t="s">
        <v>37</v>
      </c>
      <c r="K127" s="48" t="s">
        <v>37</v>
      </c>
      <c r="L127" s="50"/>
      <c r="M127" s="48" t="s">
        <v>37</v>
      </c>
      <c r="N127" s="50"/>
      <c r="O127" s="48" t="s">
        <v>37</v>
      </c>
      <c r="P127" s="50"/>
      <c r="Q127" s="48" t="s">
        <v>37</v>
      </c>
      <c r="R127" s="50"/>
      <c r="S127" s="48" t="s">
        <v>37</v>
      </c>
      <c r="U127" t="s">
        <v>37</v>
      </c>
      <c r="W127" t="s">
        <v>37</v>
      </c>
      <c r="Y127" t="s">
        <v>37</v>
      </c>
      <c r="AA127" t="s">
        <v>37</v>
      </c>
      <c r="AC127" t="s">
        <v>37</v>
      </c>
      <c r="AE127" t="s">
        <v>37</v>
      </c>
      <c r="AG127" t="s">
        <v>37</v>
      </c>
      <c r="AI127" t="s">
        <v>37</v>
      </c>
      <c r="AK127" t="s">
        <v>37</v>
      </c>
      <c r="AM127" t="s">
        <v>37</v>
      </c>
      <c r="AO127" t="s">
        <v>37</v>
      </c>
      <c r="AQ127" t="s">
        <v>37</v>
      </c>
      <c r="AS127" t="s">
        <v>37</v>
      </c>
      <c r="AU127" t="s">
        <v>37</v>
      </c>
      <c r="AW127" t="s">
        <v>37</v>
      </c>
      <c r="AY127" t="s">
        <v>37</v>
      </c>
      <c r="BA127" t="s">
        <v>37</v>
      </c>
      <c r="BC127" t="s">
        <v>37</v>
      </c>
      <c r="BE127" t="s">
        <v>37</v>
      </c>
      <c r="BG127" t="s">
        <v>37</v>
      </c>
      <c r="BI127" t="s">
        <v>37</v>
      </c>
      <c r="BK127" t="s">
        <v>37</v>
      </c>
      <c r="BM127" t="s">
        <v>37</v>
      </c>
      <c r="BO127" t="s">
        <v>37</v>
      </c>
      <c r="BQ127" t="s">
        <v>37</v>
      </c>
      <c r="BS127" t="s">
        <v>37</v>
      </c>
      <c r="BU127" t="s">
        <v>37</v>
      </c>
      <c r="BW127" t="s">
        <v>37</v>
      </c>
      <c r="BY127" t="s">
        <v>37</v>
      </c>
      <c r="CA127" t="s">
        <v>37</v>
      </c>
      <c r="CC127" t="s">
        <v>37</v>
      </c>
      <c r="CE127" t="s">
        <v>37</v>
      </c>
      <c r="CG127" t="s">
        <v>37</v>
      </c>
      <c r="CI127" t="s">
        <v>37</v>
      </c>
      <c r="CK127" t="s">
        <v>37</v>
      </c>
      <c r="CM127" t="s">
        <v>37</v>
      </c>
      <c r="CO127" t="s">
        <v>37</v>
      </c>
      <c r="CQ127" t="s">
        <v>37</v>
      </c>
      <c r="CS127" t="s">
        <v>37</v>
      </c>
      <c r="CU127" t="s">
        <v>37</v>
      </c>
      <c r="CW127" t="s">
        <v>37</v>
      </c>
      <c r="CY127" t="s">
        <v>37</v>
      </c>
      <c r="DA127" t="s">
        <v>37</v>
      </c>
      <c r="DC127" t="s">
        <v>37</v>
      </c>
      <c r="DE127" t="s">
        <v>37</v>
      </c>
      <c r="DG127" t="s">
        <v>37</v>
      </c>
      <c r="DI127" t="s">
        <v>37</v>
      </c>
      <c r="DK127" t="s">
        <v>37</v>
      </c>
      <c r="DM127" t="s">
        <v>37</v>
      </c>
      <c r="DO127" t="s">
        <v>37</v>
      </c>
      <c r="DQ127" t="s">
        <v>37</v>
      </c>
      <c r="DS127" t="s">
        <v>37</v>
      </c>
      <c r="DU127" t="s">
        <v>37</v>
      </c>
      <c r="DW127" t="s">
        <v>37</v>
      </c>
      <c r="DY127" t="s">
        <v>37</v>
      </c>
      <c r="EA127" t="s">
        <v>37</v>
      </c>
      <c r="EC127" t="s">
        <v>37</v>
      </c>
      <c r="EE127" t="s">
        <v>37</v>
      </c>
      <c r="EG127" t="s">
        <v>37</v>
      </c>
      <c r="EI127" t="s">
        <v>37</v>
      </c>
      <c r="EK127" t="s">
        <v>37</v>
      </c>
      <c r="EM127" t="s">
        <v>37</v>
      </c>
      <c r="EO127" t="s">
        <v>37</v>
      </c>
      <c r="EQ127" t="s">
        <v>37</v>
      </c>
      <c r="ES127" t="s">
        <v>37</v>
      </c>
      <c r="EU127" t="s">
        <v>37</v>
      </c>
      <c r="EW127" t="s">
        <v>37</v>
      </c>
      <c r="EY127" t="s">
        <v>37</v>
      </c>
      <c r="FA127" t="s">
        <v>37</v>
      </c>
      <c r="FC127" t="s">
        <v>37</v>
      </c>
      <c r="FE127" t="s">
        <v>37</v>
      </c>
      <c r="FG127" t="s">
        <v>37</v>
      </c>
      <c r="FI127" t="s">
        <v>37</v>
      </c>
      <c r="FK127" t="s">
        <v>37</v>
      </c>
      <c r="FM127" t="s">
        <v>37</v>
      </c>
      <c r="FO127" t="s">
        <v>37</v>
      </c>
      <c r="FQ127" t="s">
        <v>37</v>
      </c>
      <c r="FS127" t="s">
        <v>37</v>
      </c>
      <c r="FU127" t="s">
        <v>37</v>
      </c>
      <c r="FW127" t="s">
        <v>37</v>
      </c>
      <c r="FY127" t="s">
        <v>37</v>
      </c>
      <c r="GA127" t="s">
        <v>37</v>
      </c>
      <c r="GC127" t="s">
        <v>37</v>
      </c>
      <c r="GE127" t="s">
        <v>37</v>
      </c>
      <c r="GG127" t="s">
        <v>37</v>
      </c>
      <c r="GI127" t="s">
        <v>37</v>
      </c>
      <c r="GK127" t="s">
        <v>37</v>
      </c>
      <c r="GM127" t="s">
        <v>37</v>
      </c>
      <c r="GO127" t="s">
        <v>37</v>
      </c>
      <c r="GQ127" t="s">
        <v>37</v>
      </c>
      <c r="GS127" t="s">
        <v>37</v>
      </c>
      <c r="GU127" t="s">
        <v>37</v>
      </c>
      <c r="GW127" t="s">
        <v>37</v>
      </c>
      <c r="GY127" t="s">
        <v>37</v>
      </c>
      <c r="HA127" t="s">
        <v>37</v>
      </c>
      <c r="HC127" t="s">
        <v>37</v>
      </c>
      <c r="HE127" t="s">
        <v>37</v>
      </c>
      <c r="HG127" t="s">
        <v>37</v>
      </c>
      <c r="HI127" t="s">
        <v>37</v>
      </c>
      <c r="HK127" t="s">
        <v>37</v>
      </c>
    </row>
    <row r="128" spans="1:219">
      <c r="A128">
        <v>3299</v>
      </c>
      <c r="B128" t="s">
        <v>152</v>
      </c>
      <c r="C128" t="s">
        <v>37</v>
      </c>
      <c r="E128" t="s">
        <v>37</v>
      </c>
      <c r="G128" t="s">
        <v>37</v>
      </c>
      <c r="I128" t="s">
        <v>37</v>
      </c>
      <c r="K128" s="48" t="s">
        <v>37</v>
      </c>
      <c r="L128" s="50"/>
      <c r="M128" s="48" t="s">
        <v>37</v>
      </c>
      <c r="N128" s="50"/>
      <c r="O128" s="48" t="s">
        <v>37</v>
      </c>
      <c r="P128" s="50"/>
      <c r="Q128" s="48" t="s">
        <v>37</v>
      </c>
      <c r="R128" s="50"/>
      <c r="S128" s="48" t="s">
        <v>37</v>
      </c>
      <c r="U128" t="s">
        <v>37</v>
      </c>
      <c r="W128" t="s">
        <v>37</v>
      </c>
      <c r="Y128" t="s">
        <v>37</v>
      </c>
      <c r="AA128" t="s">
        <v>37</v>
      </c>
      <c r="AC128" t="s">
        <v>37</v>
      </c>
      <c r="AE128" t="s">
        <v>37</v>
      </c>
      <c r="AG128" t="s">
        <v>37</v>
      </c>
      <c r="AI128" t="s">
        <v>37</v>
      </c>
      <c r="AK128" t="s">
        <v>37</v>
      </c>
      <c r="AM128" t="s">
        <v>37</v>
      </c>
      <c r="AO128" t="s">
        <v>37</v>
      </c>
      <c r="AQ128" t="s">
        <v>37</v>
      </c>
      <c r="AS128" t="s">
        <v>37</v>
      </c>
      <c r="AU128" t="s">
        <v>37</v>
      </c>
      <c r="AW128" t="s">
        <v>37</v>
      </c>
      <c r="AY128" t="s">
        <v>37</v>
      </c>
      <c r="BA128" t="s">
        <v>37</v>
      </c>
      <c r="BC128" t="s">
        <v>37</v>
      </c>
      <c r="BE128" t="s">
        <v>37</v>
      </c>
      <c r="BG128" t="s">
        <v>37</v>
      </c>
      <c r="BI128" t="s">
        <v>37</v>
      </c>
      <c r="BK128" t="s">
        <v>37</v>
      </c>
      <c r="BM128" t="s">
        <v>37</v>
      </c>
      <c r="BO128" t="s">
        <v>37</v>
      </c>
      <c r="BQ128" t="s">
        <v>37</v>
      </c>
      <c r="BS128" t="s">
        <v>37</v>
      </c>
      <c r="BU128" t="s">
        <v>37</v>
      </c>
      <c r="BW128" t="s">
        <v>37</v>
      </c>
      <c r="BY128" t="s">
        <v>37</v>
      </c>
      <c r="CA128" t="s">
        <v>37</v>
      </c>
      <c r="CC128" t="s">
        <v>37</v>
      </c>
      <c r="CE128" t="s">
        <v>37</v>
      </c>
      <c r="CG128" t="s">
        <v>37</v>
      </c>
      <c r="CI128" t="s">
        <v>37</v>
      </c>
      <c r="CK128" t="s">
        <v>37</v>
      </c>
      <c r="CM128" t="s">
        <v>37</v>
      </c>
      <c r="CO128" t="s">
        <v>37</v>
      </c>
      <c r="CQ128" t="s">
        <v>37</v>
      </c>
      <c r="CS128" t="s">
        <v>37</v>
      </c>
      <c r="CU128" t="s">
        <v>37</v>
      </c>
      <c r="CW128" t="s">
        <v>37</v>
      </c>
      <c r="CY128" t="s">
        <v>37</v>
      </c>
      <c r="DA128" t="s">
        <v>37</v>
      </c>
      <c r="DC128" t="s">
        <v>37</v>
      </c>
      <c r="DE128" t="s">
        <v>37</v>
      </c>
      <c r="DG128" t="s">
        <v>37</v>
      </c>
      <c r="DI128" t="s">
        <v>37</v>
      </c>
      <c r="DK128" t="s">
        <v>37</v>
      </c>
      <c r="DM128" t="s">
        <v>37</v>
      </c>
      <c r="DO128" t="s">
        <v>37</v>
      </c>
      <c r="DQ128" t="s">
        <v>37</v>
      </c>
      <c r="DS128" t="s">
        <v>37</v>
      </c>
      <c r="DU128" t="s">
        <v>37</v>
      </c>
      <c r="DW128" t="s">
        <v>37</v>
      </c>
      <c r="DY128" t="s">
        <v>37</v>
      </c>
      <c r="EA128" t="s">
        <v>37</v>
      </c>
      <c r="EC128" t="s">
        <v>37</v>
      </c>
      <c r="EE128" t="s">
        <v>37</v>
      </c>
      <c r="EG128" t="s">
        <v>37</v>
      </c>
      <c r="EI128" t="s">
        <v>37</v>
      </c>
      <c r="EK128" t="s">
        <v>37</v>
      </c>
      <c r="EM128" t="s">
        <v>37</v>
      </c>
      <c r="EO128" t="s">
        <v>37</v>
      </c>
      <c r="EQ128" t="s">
        <v>37</v>
      </c>
      <c r="ES128" t="s">
        <v>37</v>
      </c>
      <c r="EU128" t="s">
        <v>37</v>
      </c>
      <c r="EW128" t="s">
        <v>37</v>
      </c>
      <c r="EY128" t="s">
        <v>37</v>
      </c>
      <c r="FA128" t="s">
        <v>37</v>
      </c>
      <c r="FC128" t="s">
        <v>37</v>
      </c>
      <c r="FE128" t="s">
        <v>37</v>
      </c>
      <c r="FG128" t="s">
        <v>37</v>
      </c>
      <c r="FI128" t="s">
        <v>37</v>
      </c>
      <c r="FK128" t="s">
        <v>37</v>
      </c>
      <c r="FM128" t="s">
        <v>37</v>
      </c>
      <c r="FO128" t="s">
        <v>37</v>
      </c>
      <c r="FQ128" t="s">
        <v>37</v>
      </c>
      <c r="FS128" t="s">
        <v>37</v>
      </c>
      <c r="FU128" t="s">
        <v>37</v>
      </c>
      <c r="FW128" t="s">
        <v>37</v>
      </c>
      <c r="FY128" t="s">
        <v>37</v>
      </c>
      <c r="GA128" t="s">
        <v>37</v>
      </c>
      <c r="GC128" t="s">
        <v>37</v>
      </c>
      <c r="GE128" t="s">
        <v>37</v>
      </c>
      <c r="GG128" t="s">
        <v>37</v>
      </c>
      <c r="GI128" t="s">
        <v>37</v>
      </c>
      <c r="GK128" t="s">
        <v>37</v>
      </c>
      <c r="GM128" t="s">
        <v>37</v>
      </c>
      <c r="GO128" t="s">
        <v>37</v>
      </c>
      <c r="GQ128" t="s">
        <v>37</v>
      </c>
      <c r="GS128" t="s">
        <v>37</v>
      </c>
      <c r="GU128" t="s">
        <v>37</v>
      </c>
      <c r="GW128" t="s">
        <v>37</v>
      </c>
      <c r="GY128" t="s">
        <v>37</v>
      </c>
      <c r="HA128" t="s">
        <v>37</v>
      </c>
      <c r="HC128" t="s">
        <v>37</v>
      </c>
      <c r="HE128" t="s">
        <v>37</v>
      </c>
      <c r="HG128" t="s">
        <v>37</v>
      </c>
      <c r="HI128" t="s">
        <v>37</v>
      </c>
      <c r="HK128" t="s">
        <v>37</v>
      </c>
    </row>
    <row r="129" spans="1:219">
      <c r="A129">
        <v>3300</v>
      </c>
      <c r="B129" t="s">
        <v>153</v>
      </c>
      <c r="C129" t="s">
        <v>37</v>
      </c>
      <c r="E129" t="s">
        <v>37</v>
      </c>
      <c r="G129" t="s">
        <v>37</v>
      </c>
      <c r="I129" t="s">
        <v>37</v>
      </c>
      <c r="K129" s="48" t="s">
        <v>37</v>
      </c>
      <c r="L129" s="50"/>
      <c r="M129" s="48" t="s">
        <v>37</v>
      </c>
      <c r="N129" s="50"/>
      <c r="O129" s="48" t="s">
        <v>37</v>
      </c>
      <c r="P129" s="50"/>
      <c r="Q129" s="48" t="s">
        <v>37</v>
      </c>
      <c r="R129" s="50"/>
      <c r="S129" s="48" t="s">
        <v>37</v>
      </c>
      <c r="U129" t="s">
        <v>37</v>
      </c>
      <c r="W129" t="s">
        <v>37</v>
      </c>
      <c r="Y129" t="s">
        <v>37</v>
      </c>
      <c r="AA129" t="s">
        <v>37</v>
      </c>
      <c r="AC129" t="s">
        <v>37</v>
      </c>
      <c r="AE129" t="s">
        <v>37</v>
      </c>
      <c r="AG129" t="s">
        <v>37</v>
      </c>
      <c r="AI129" t="s">
        <v>37</v>
      </c>
      <c r="AK129" t="s">
        <v>37</v>
      </c>
      <c r="AM129" t="s">
        <v>37</v>
      </c>
      <c r="AO129" t="s">
        <v>37</v>
      </c>
      <c r="AQ129" t="s">
        <v>37</v>
      </c>
      <c r="AS129" t="s">
        <v>37</v>
      </c>
      <c r="AU129" t="s">
        <v>37</v>
      </c>
      <c r="AW129" t="s">
        <v>37</v>
      </c>
      <c r="AY129" t="s">
        <v>37</v>
      </c>
      <c r="BA129" t="s">
        <v>37</v>
      </c>
      <c r="BC129" t="s">
        <v>37</v>
      </c>
      <c r="BE129" t="s">
        <v>37</v>
      </c>
      <c r="BG129" t="s">
        <v>37</v>
      </c>
      <c r="BI129" t="s">
        <v>37</v>
      </c>
      <c r="BK129" t="s">
        <v>37</v>
      </c>
      <c r="BM129" t="s">
        <v>37</v>
      </c>
      <c r="BO129" t="s">
        <v>37</v>
      </c>
      <c r="BQ129" t="s">
        <v>37</v>
      </c>
      <c r="BS129" t="s">
        <v>37</v>
      </c>
      <c r="BU129" t="s">
        <v>37</v>
      </c>
      <c r="BW129" t="s">
        <v>37</v>
      </c>
      <c r="BY129" t="s">
        <v>37</v>
      </c>
      <c r="CA129" t="s">
        <v>37</v>
      </c>
      <c r="CC129" t="s">
        <v>37</v>
      </c>
      <c r="CE129" t="s">
        <v>37</v>
      </c>
      <c r="CG129" t="s">
        <v>37</v>
      </c>
      <c r="CI129" t="s">
        <v>37</v>
      </c>
      <c r="CK129" t="s">
        <v>37</v>
      </c>
      <c r="CM129" t="s">
        <v>37</v>
      </c>
      <c r="CO129" t="s">
        <v>37</v>
      </c>
      <c r="CQ129" t="s">
        <v>37</v>
      </c>
      <c r="CS129" t="s">
        <v>37</v>
      </c>
      <c r="CU129" t="s">
        <v>37</v>
      </c>
      <c r="CW129" t="s">
        <v>37</v>
      </c>
      <c r="CY129" t="s">
        <v>37</v>
      </c>
      <c r="DA129" t="s">
        <v>37</v>
      </c>
      <c r="DC129" t="s">
        <v>37</v>
      </c>
      <c r="DE129" t="s">
        <v>37</v>
      </c>
      <c r="DG129" t="s">
        <v>37</v>
      </c>
      <c r="DI129" t="s">
        <v>37</v>
      </c>
      <c r="DK129" t="s">
        <v>37</v>
      </c>
      <c r="DM129" t="s">
        <v>37</v>
      </c>
      <c r="DO129" t="s">
        <v>37</v>
      </c>
      <c r="DQ129" t="s">
        <v>37</v>
      </c>
      <c r="DS129" t="s">
        <v>37</v>
      </c>
      <c r="DU129" t="s">
        <v>37</v>
      </c>
      <c r="DW129" t="s">
        <v>37</v>
      </c>
      <c r="DY129" t="s">
        <v>37</v>
      </c>
      <c r="EA129" t="s">
        <v>37</v>
      </c>
      <c r="EC129" t="s">
        <v>37</v>
      </c>
      <c r="EE129" t="s">
        <v>37</v>
      </c>
      <c r="EG129" t="s">
        <v>37</v>
      </c>
      <c r="EI129" t="s">
        <v>37</v>
      </c>
      <c r="EK129" t="s">
        <v>37</v>
      </c>
      <c r="EM129" t="s">
        <v>37</v>
      </c>
      <c r="EO129" t="s">
        <v>37</v>
      </c>
      <c r="EQ129" t="s">
        <v>37</v>
      </c>
      <c r="ES129" t="s">
        <v>37</v>
      </c>
      <c r="EU129" t="s">
        <v>37</v>
      </c>
      <c r="EW129" t="s">
        <v>37</v>
      </c>
      <c r="EY129" t="s">
        <v>37</v>
      </c>
      <c r="FA129" t="s">
        <v>37</v>
      </c>
      <c r="FC129" t="s">
        <v>37</v>
      </c>
      <c r="FE129" t="s">
        <v>37</v>
      </c>
      <c r="FG129" t="s">
        <v>37</v>
      </c>
      <c r="FI129" t="s">
        <v>37</v>
      </c>
      <c r="FK129" t="s">
        <v>37</v>
      </c>
      <c r="FM129" t="s">
        <v>37</v>
      </c>
      <c r="FO129" t="s">
        <v>37</v>
      </c>
      <c r="FQ129" t="s">
        <v>37</v>
      </c>
      <c r="FS129" t="s">
        <v>37</v>
      </c>
      <c r="FU129" t="s">
        <v>37</v>
      </c>
      <c r="FW129" t="s">
        <v>37</v>
      </c>
      <c r="FY129" t="s">
        <v>37</v>
      </c>
      <c r="GA129" t="s">
        <v>37</v>
      </c>
      <c r="GC129" t="s">
        <v>37</v>
      </c>
      <c r="GE129" t="s">
        <v>37</v>
      </c>
      <c r="GG129" t="s">
        <v>37</v>
      </c>
      <c r="GI129" t="s">
        <v>37</v>
      </c>
      <c r="GK129" t="s">
        <v>37</v>
      </c>
      <c r="GM129" t="s">
        <v>37</v>
      </c>
      <c r="GO129" t="s">
        <v>37</v>
      </c>
      <c r="GQ129" t="s">
        <v>37</v>
      </c>
      <c r="GS129" t="s">
        <v>37</v>
      </c>
      <c r="GU129" t="s">
        <v>37</v>
      </c>
      <c r="GW129" t="s">
        <v>37</v>
      </c>
      <c r="GY129" t="s">
        <v>37</v>
      </c>
      <c r="HA129" t="s">
        <v>37</v>
      </c>
      <c r="HC129" t="s">
        <v>37</v>
      </c>
      <c r="HE129" t="s">
        <v>37</v>
      </c>
      <c r="HG129" t="s">
        <v>37</v>
      </c>
      <c r="HI129" t="s">
        <v>37</v>
      </c>
      <c r="HK129" t="s">
        <v>37</v>
      </c>
    </row>
    <row r="130" spans="1:219">
      <c r="A130">
        <v>3310</v>
      </c>
      <c r="B130" t="s">
        <v>154</v>
      </c>
      <c r="C130" t="s">
        <v>37</v>
      </c>
      <c r="E130" t="s">
        <v>37</v>
      </c>
      <c r="G130" t="s">
        <v>37</v>
      </c>
      <c r="I130" t="s">
        <v>37</v>
      </c>
      <c r="K130" s="48" t="s">
        <v>37</v>
      </c>
      <c r="L130" s="50"/>
      <c r="M130" s="48" t="s">
        <v>37</v>
      </c>
      <c r="N130" s="50"/>
      <c r="O130" s="48" t="s">
        <v>37</v>
      </c>
      <c r="P130" s="50"/>
      <c r="Q130" s="48" t="s">
        <v>37</v>
      </c>
      <c r="R130" s="50"/>
      <c r="S130" s="48" t="s">
        <v>37</v>
      </c>
      <c r="U130" t="s">
        <v>37</v>
      </c>
      <c r="W130" t="s">
        <v>37</v>
      </c>
      <c r="Y130" t="s">
        <v>37</v>
      </c>
      <c r="AA130" t="s">
        <v>37</v>
      </c>
      <c r="AC130" t="s">
        <v>37</v>
      </c>
      <c r="AE130" t="s">
        <v>37</v>
      </c>
      <c r="AG130" t="s">
        <v>37</v>
      </c>
      <c r="AI130" t="s">
        <v>37</v>
      </c>
      <c r="AK130" t="s">
        <v>37</v>
      </c>
      <c r="AM130" t="s">
        <v>37</v>
      </c>
      <c r="AO130" t="s">
        <v>37</v>
      </c>
      <c r="AQ130" t="s">
        <v>37</v>
      </c>
      <c r="AS130" t="s">
        <v>37</v>
      </c>
      <c r="AU130" t="s">
        <v>37</v>
      </c>
      <c r="AW130" t="s">
        <v>37</v>
      </c>
      <c r="AY130" t="s">
        <v>37</v>
      </c>
      <c r="BA130" t="s">
        <v>37</v>
      </c>
      <c r="BC130" t="s">
        <v>37</v>
      </c>
      <c r="BE130" t="s">
        <v>37</v>
      </c>
      <c r="BG130" t="s">
        <v>37</v>
      </c>
      <c r="BI130" t="s">
        <v>37</v>
      </c>
      <c r="BK130" t="s">
        <v>37</v>
      </c>
      <c r="BM130" t="s">
        <v>37</v>
      </c>
      <c r="BO130" t="s">
        <v>37</v>
      </c>
      <c r="BQ130" t="s">
        <v>37</v>
      </c>
      <c r="BS130" t="s">
        <v>37</v>
      </c>
      <c r="BU130" t="s">
        <v>37</v>
      </c>
      <c r="BW130" t="s">
        <v>37</v>
      </c>
      <c r="BY130" t="s">
        <v>37</v>
      </c>
      <c r="CA130" t="s">
        <v>37</v>
      </c>
      <c r="CC130" t="s">
        <v>37</v>
      </c>
      <c r="CE130" t="s">
        <v>37</v>
      </c>
      <c r="CG130" t="s">
        <v>37</v>
      </c>
      <c r="CI130" t="s">
        <v>37</v>
      </c>
      <c r="CK130" t="s">
        <v>37</v>
      </c>
      <c r="CM130" t="s">
        <v>37</v>
      </c>
      <c r="CO130" t="s">
        <v>37</v>
      </c>
      <c r="CQ130" t="s">
        <v>37</v>
      </c>
      <c r="CS130" t="s">
        <v>37</v>
      </c>
      <c r="CU130" t="s">
        <v>37</v>
      </c>
      <c r="CW130" t="s">
        <v>37</v>
      </c>
      <c r="CY130" t="s">
        <v>37</v>
      </c>
      <c r="DA130" t="s">
        <v>37</v>
      </c>
      <c r="DC130" t="s">
        <v>37</v>
      </c>
      <c r="DE130" t="s">
        <v>37</v>
      </c>
      <c r="DG130" t="s">
        <v>37</v>
      </c>
      <c r="DI130" t="s">
        <v>37</v>
      </c>
      <c r="DK130" t="s">
        <v>37</v>
      </c>
      <c r="DM130" t="s">
        <v>37</v>
      </c>
      <c r="DO130" t="s">
        <v>37</v>
      </c>
      <c r="DQ130" t="s">
        <v>37</v>
      </c>
      <c r="DS130" t="s">
        <v>37</v>
      </c>
      <c r="DU130" t="s">
        <v>37</v>
      </c>
      <c r="DW130" t="s">
        <v>37</v>
      </c>
      <c r="DY130" t="s">
        <v>37</v>
      </c>
      <c r="EA130" t="s">
        <v>37</v>
      </c>
      <c r="EC130" t="s">
        <v>37</v>
      </c>
      <c r="EE130" t="s">
        <v>37</v>
      </c>
      <c r="EG130" t="s">
        <v>37</v>
      </c>
      <c r="EI130" t="s">
        <v>37</v>
      </c>
      <c r="EK130" t="s">
        <v>37</v>
      </c>
      <c r="EM130" t="s">
        <v>37</v>
      </c>
      <c r="EO130" t="s">
        <v>37</v>
      </c>
      <c r="EQ130" t="s">
        <v>37</v>
      </c>
      <c r="ES130" t="s">
        <v>37</v>
      </c>
      <c r="EU130" t="s">
        <v>37</v>
      </c>
      <c r="EW130" t="s">
        <v>37</v>
      </c>
      <c r="EY130" t="s">
        <v>37</v>
      </c>
      <c r="FA130" t="s">
        <v>37</v>
      </c>
      <c r="FC130" t="s">
        <v>37</v>
      </c>
      <c r="FE130" t="s">
        <v>37</v>
      </c>
      <c r="FG130" t="s">
        <v>37</v>
      </c>
      <c r="FI130" t="s">
        <v>37</v>
      </c>
      <c r="FK130" t="s">
        <v>37</v>
      </c>
      <c r="FM130" t="s">
        <v>37</v>
      </c>
      <c r="FO130" t="s">
        <v>37</v>
      </c>
      <c r="FQ130" t="s">
        <v>37</v>
      </c>
      <c r="FS130" t="s">
        <v>37</v>
      </c>
      <c r="FU130" t="s">
        <v>37</v>
      </c>
      <c r="FW130" t="s">
        <v>37</v>
      </c>
      <c r="FY130" t="s">
        <v>37</v>
      </c>
      <c r="GA130" t="s">
        <v>37</v>
      </c>
      <c r="GC130" t="s">
        <v>37</v>
      </c>
      <c r="GE130" t="s">
        <v>37</v>
      </c>
      <c r="GG130" t="s">
        <v>37</v>
      </c>
      <c r="GI130" t="s">
        <v>37</v>
      </c>
      <c r="GK130" t="s">
        <v>37</v>
      </c>
      <c r="GM130" t="s">
        <v>37</v>
      </c>
      <c r="GO130" t="s">
        <v>37</v>
      </c>
      <c r="GQ130" t="s">
        <v>37</v>
      </c>
      <c r="GS130" t="s">
        <v>37</v>
      </c>
      <c r="GU130" t="s">
        <v>37</v>
      </c>
      <c r="GW130" t="s">
        <v>37</v>
      </c>
      <c r="GY130" t="s">
        <v>37</v>
      </c>
      <c r="HA130" t="s">
        <v>37</v>
      </c>
      <c r="HC130" t="s">
        <v>37</v>
      </c>
      <c r="HE130" t="s">
        <v>37</v>
      </c>
      <c r="HG130" t="s">
        <v>37</v>
      </c>
      <c r="HI130" t="s">
        <v>37</v>
      </c>
      <c r="HK130" t="s">
        <v>37</v>
      </c>
    </row>
    <row r="131" spans="1:219">
      <c r="A131">
        <v>3311</v>
      </c>
      <c r="B131" t="s">
        <v>155</v>
      </c>
      <c r="C131" t="s">
        <v>37</v>
      </c>
      <c r="D131">
        <v>534325</v>
      </c>
      <c r="E131" t="s">
        <v>37</v>
      </c>
      <c r="F131">
        <v>3950064</v>
      </c>
      <c r="G131" t="s">
        <v>37</v>
      </c>
      <c r="H131">
        <v>315432</v>
      </c>
      <c r="I131" t="s">
        <v>37</v>
      </c>
      <c r="K131" s="48" t="s">
        <v>37</v>
      </c>
      <c r="L131" s="51">
        <v>1551825</v>
      </c>
      <c r="M131" s="48" t="s">
        <v>37</v>
      </c>
      <c r="N131" s="51">
        <v>581412</v>
      </c>
      <c r="O131" s="48" t="s">
        <v>37</v>
      </c>
      <c r="P131" s="51">
        <v>390859</v>
      </c>
      <c r="Q131" s="48" t="s">
        <v>37</v>
      </c>
      <c r="R131" s="51">
        <v>344771</v>
      </c>
      <c r="S131" s="48" t="s">
        <v>37</v>
      </c>
      <c r="T131">
        <v>1960051</v>
      </c>
      <c r="U131" t="s">
        <v>37</v>
      </c>
      <c r="W131" t="s">
        <v>37</v>
      </c>
      <c r="Y131" t="s">
        <v>37</v>
      </c>
      <c r="Z131">
        <v>244592</v>
      </c>
      <c r="AA131" t="s">
        <v>37</v>
      </c>
      <c r="AB131">
        <v>128688</v>
      </c>
      <c r="AC131" t="s">
        <v>37</v>
      </c>
      <c r="AD131">
        <v>166759</v>
      </c>
      <c r="AE131" t="s">
        <v>37</v>
      </c>
      <c r="AF131">
        <v>138281</v>
      </c>
      <c r="AG131" t="s">
        <v>37</v>
      </c>
      <c r="AH131">
        <v>402144</v>
      </c>
      <c r="AI131" t="s">
        <v>37</v>
      </c>
      <c r="AK131" t="s">
        <v>37</v>
      </c>
      <c r="AL131">
        <v>98615</v>
      </c>
      <c r="AM131" t="s">
        <v>37</v>
      </c>
      <c r="AO131" t="s">
        <v>37</v>
      </c>
      <c r="AP131">
        <v>4347561</v>
      </c>
      <c r="AQ131" t="s">
        <v>37</v>
      </c>
      <c r="AR131">
        <v>166699</v>
      </c>
      <c r="AS131" t="s">
        <v>37</v>
      </c>
      <c r="AT131">
        <v>3218943</v>
      </c>
      <c r="AU131" t="s">
        <v>37</v>
      </c>
      <c r="AV131">
        <v>1405890</v>
      </c>
      <c r="AW131" t="s">
        <v>37</v>
      </c>
      <c r="AX131">
        <v>928091</v>
      </c>
      <c r="AY131" t="s">
        <v>37</v>
      </c>
      <c r="AZ131">
        <v>1344964</v>
      </c>
      <c r="BA131" t="s">
        <v>37</v>
      </c>
      <c r="BB131">
        <v>114638</v>
      </c>
      <c r="BC131" t="s">
        <v>37</v>
      </c>
      <c r="BD131">
        <v>538161</v>
      </c>
      <c r="BE131" t="s">
        <v>37</v>
      </c>
      <c r="BF131">
        <v>246732</v>
      </c>
      <c r="BG131" t="s">
        <v>37</v>
      </c>
      <c r="BI131" t="s">
        <v>37</v>
      </c>
      <c r="BJ131">
        <v>978137</v>
      </c>
      <c r="BK131" t="s">
        <v>37</v>
      </c>
      <c r="BL131">
        <v>1640749</v>
      </c>
      <c r="BM131" t="s">
        <v>37</v>
      </c>
      <c r="BO131" t="s">
        <v>37</v>
      </c>
      <c r="BP131">
        <v>147464</v>
      </c>
      <c r="BQ131" t="s">
        <v>37</v>
      </c>
      <c r="BR131">
        <v>688073</v>
      </c>
      <c r="BS131" t="s">
        <v>37</v>
      </c>
      <c r="BT131">
        <v>286206</v>
      </c>
      <c r="BU131" t="s">
        <v>37</v>
      </c>
      <c r="BW131" t="s">
        <v>37</v>
      </c>
      <c r="BX131">
        <v>3309815</v>
      </c>
      <c r="BY131" t="s">
        <v>37</v>
      </c>
      <c r="BZ131">
        <v>308475</v>
      </c>
      <c r="CA131" t="s">
        <v>37</v>
      </c>
      <c r="CC131" t="s">
        <v>37</v>
      </c>
      <c r="CD131">
        <v>758205</v>
      </c>
      <c r="CE131" t="s">
        <v>37</v>
      </c>
      <c r="CF131">
        <v>335990</v>
      </c>
      <c r="CG131" t="s">
        <v>37</v>
      </c>
      <c r="CH131">
        <v>2402631</v>
      </c>
      <c r="CI131" t="s">
        <v>37</v>
      </c>
      <c r="CJ131">
        <v>203244</v>
      </c>
      <c r="CK131" t="s">
        <v>37</v>
      </c>
      <c r="CL131">
        <v>682241</v>
      </c>
      <c r="CM131" t="s">
        <v>37</v>
      </c>
      <c r="CN131">
        <v>155807</v>
      </c>
      <c r="CO131" t="s">
        <v>37</v>
      </c>
      <c r="CP131">
        <v>259133</v>
      </c>
      <c r="CQ131" t="s">
        <v>37</v>
      </c>
      <c r="CR131">
        <v>986803</v>
      </c>
      <c r="CS131" t="s">
        <v>37</v>
      </c>
      <c r="CT131">
        <v>9732726</v>
      </c>
      <c r="CU131" t="s">
        <v>37</v>
      </c>
      <c r="CV131">
        <v>1488600</v>
      </c>
      <c r="CW131" t="s">
        <v>37</v>
      </c>
      <c r="CX131">
        <v>159443</v>
      </c>
      <c r="CY131" t="s">
        <v>37</v>
      </c>
      <c r="CZ131">
        <v>185149</v>
      </c>
      <c r="DA131" t="s">
        <v>37</v>
      </c>
      <c r="DC131" t="s">
        <v>37</v>
      </c>
      <c r="DD131">
        <v>442144</v>
      </c>
      <c r="DE131" t="s">
        <v>37</v>
      </c>
      <c r="DF131">
        <v>183121</v>
      </c>
      <c r="DG131" t="s">
        <v>37</v>
      </c>
      <c r="DH131">
        <v>4486602</v>
      </c>
      <c r="DI131" t="s">
        <v>37</v>
      </c>
      <c r="DJ131">
        <v>513511</v>
      </c>
      <c r="DK131" t="s">
        <v>37</v>
      </c>
      <c r="DL131">
        <v>1616428</v>
      </c>
      <c r="DM131" t="s">
        <v>37</v>
      </c>
      <c r="DN131">
        <v>1973342</v>
      </c>
      <c r="DO131" t="s">
        <v>37</v>
      </c>
      <c r="DP131">
        <v>924409</v>
      </c>
      <c r="DQ131" t="s">
        <v>37</v>
      </c>
      <c r="DR131">
        <v>463133</v>
      </c>
      <c r="DS131" t="s">
        <v>37</v>
      </c>
      <c r="DT131">
        <v>415038</v>
      </c>
      <c r="DU131" t="s">
        <v>37</v>
      </c>
      <c r="DV131">
        <v>3292132</v>
      </c>
      <c r="DW131" t="s">
        <v>37</v>
      </c>
      <c r="DX131">
        <v>1238392</v>
      </c>
      <c r="DY131" t="s">
        <v>37</v>
      </c>
      <c r="DZ131">
        <v>301643</v>
      </c>
      <c r="EA131" t="s">
        <v>37</v>
      </c>
      <c r="EB131">
        <v>659659</v>
      </c>
      <c r="EC131" t="s">
        <v>37</v>
      </c>
      <c r="ED131">
        <v>2196548</v>
      </c>
      <c r="EE131" t="s">
        <v>37</v>
      </c>
      <c r="EF131">
        <v>90759</v>
      </c>
      <c r="EG131" t="s">
        <v>37</v>
      </c>
      <c r="EI131" t="s">
        <v>37</v>
      </c>
      <c r="EJ131">
        <v>523276</v>
      </c>
      <c r="EK131" t="s">
        <v>37</v>
      </c>
      <c r="EL131">
        <v>348191</v>
      </c>
      <c r="EM131" t="s">
        <v>37</v>
      </c>
      <c r="EN131">
        <v>98489</v>
      </c>
      <c r="EO131" t="s">
        <v>37</v>
      </c>
      <c r="EQ131" t="s">
        <v>37</v>
      </c>
      <c r="ER131">
        <v>770590</v>
      </c>
      <c r="ES131" t="s">
        <v>37</v>
      </c>
      <c r="ET131">
        <v>976293</v>
      </c>
      <c r="EU131" t="s">
        <v>37</v>
      </c>
      <c r="EV131">
        <v>1204940</v>
      </c>
      <c r="EW131" t="s">
        <v>37</v>
      </c>
      <c r="EY131" t="s">
        <v>37</v>
      </c>
      <c r="EZ131">
        <v>480762</v>
      </c>
      <c r="FA131" t="s">
        <v>37</v>
      </c>
      <c r="FB131">
        <v>583835</v>
      </c>
      <c r="FC131" t="s">
        <v>37</v>
      </c>
      <c r="FD131">
        <v>1026807</v>
      </c>
      <c r="FE131" t="s">
        <v>37</v>
      </c>
      <c r="FG131" t="s">
        <v>37</v>
      </c>
      <c r="FH131">
        <v>2531769</v>
      </c>
      <c r="FI131" t="s">
        <v>37</v>
      </c>
      <c r="FJ131">
        <v>3286875</v>
      </c>
      <c r="FK131" t="s">
        <v>37</v>
      </c>
      <c r="FL131">
        <v>3355429</v>
      </c>
      <c r="FM131" t="s">
        <v>37</v>
      </c>
      <c r="FN131">
        <v>510099</v>
      </c>
      <c r="FO131" t="s">
        <v>37</v>
      </c>
      <c r="FP131">
        <v>783107</v>
      </c>
      <c r="FQ131" t="s">
        <v>37</v>
      </c>
      <c r="FR131">
        <v>1621363</v>
      </c>
      <c r="FS131" t="s">
        <v>37</v>
      </c>
      <c r="FT131">
        <v>475898</v>
      </c>
      <c r="FU131" t="s">
        <v>37</v>
      </c>
      <c r="FV131">
        <v>381669</v>
      </c>
      <c r="FW131" t="s">
        <v>37</v>
      </c>
      <c r="FX131">
        <v>857775</v>
      </c>
      <c r="FY131" t="s">
        <v>37</v>
      </c>
      <c r="FZ131">
        <v>1377125</v>
      </c>
      <c r="GA131" t="s">
        <v>37</v>
      </c>
      <c r="GB131">
        <v>1034532</v>
      </c>
      <c r="GC131" t="s">
        <v>37</v>
      </c>
      <c r="GE131" t="s">
        <v>37</v>
      </c>
      <c r="GG131" t="s">
        <v>37</v>
      </c>
      <c r="GI131" t="s">
        <v>37</v>
      </c>
      <c r="GJ131">
        <v>1527576</v>
      </c>
      <c r="GK131" t="s">
        <v>37</v>
      </c>
      <c r="GL131">
        <v>1485967</v>
      </c>
      <c r="GM131" t="s">
        <v>37</v>
      </c>
      <c r="GO131" t="s">
        <v>37</v>
      </c>
      <c r="GP131">
        <v>775604</v>
      </c>
      <c r="GQ131" t="s">
        <v>37</v>
      </c>
      <c r="GR131">
        <v>845766</v>
      </c>
      <c r="GS131" t="s">
        <v>37</v>
      </c>
      <c r="GT131">
        <v>838850</v>
      </c>
      <c r="GU131" t="s">
        <v>37</v>
      </c>
      <c r="GV131">
        <v>586561</v>
      </c>
      <c r="GW131" t="s">
        <v>37</v>
      </c>
      <c r="GX131">
        <v>2844555</v>
      </c>
      <c r="GY131" t="s">
        <v>37</v>
      </c>
      <c r="GZ131">
        <v>1391211</v>
      </c>
      <c r="HA131" t="s">
        <v>37</v>
      </c>
      <c r="HC131" t="s">
        <v>37</v>
      </c>
      <c r="HE131" t="s">
        <v>37</v>
      </c>
      <c r="HF131">
        <v>99150163</v>
      </c>
      <c r="HG131" t="s">
        <v>37</v>
      </c>
      <c r="HI131" t="s">
        <v>37</v>
      </c>
      <c r="HJ131">
        <v>99150163</v>
      </c>
      <c r="HK131" t="s">
        <v>37</v>
      </c>
    </row>
    <row r="132" spans="1:219">
      <c r="A132">
        <v>3312</v>
      </c>
      <c r="B132" t="s">
        <v>156</v>
      </c>
      <c r="C132" t="s">
        <v>37</v>
      </c>
      <c r="D132">
        <v>1531509</v>
      </c>
      <c r="E132" t="s">
        <v>37</v>
      </c>
      <c r="F132">
        <v>10531383</v>
      </c>
      <c r="G132" t="s">
        <v>37</v>
      </c>
      <c r="H132">
        <v>777498</v>
      </c>
      <c r="I132" t="s">
        <v>37</v>
      </c>
      <c r="K132" s="48" t="s">
        <v>37</v>
      </c>
      <c r="L132" s="51">
        <v>4120062</v>
      </c>
      <c r="M132" s="48" t="s">
        <v>37</v>
      </c>
      <c r="N132" s="51">
        <v>1562059</v>
      </c>
      <c r="O132" s="48" t="s">
        <v>37</v>
      </c>
      <c r="P132" s="51">
        <v>1263674</v>
      </c>
      <c r="Q132" s="48" t="s">
        <v>37</v>
      </c>
      <c r="R132" s="51">
        <v>963337</v>
      </c>
      <c r="S132" s="48" t="s">
        <v>37</v>
      </c>
      <c r="T132">
        <v>5057370</v>
      </c>
      <c r="U132" t="s">
        <v>37</v>
      </c>
      <c r="W132" t="s">
        <v>37</v>
      </c>
      <c r="Y132" t="s">
        <v>37</v>
      </c>
      <c r="Z132">
        <v>693568</v>
      </c>
      <c r="AA132" t="s">
        <v>37</v>
      </c>
      <c r="AB132">
        <v>403388</v>
      </c>
      <c r="AC132" t="s">
        <v>37</v>
      </c>
      <c r="AD132">
        <v>368945</v>
      </c>
      <c r="AE132" t="s">
        <v>37</v>
      </c>
      <c r="AF132">
        <v>396457</v>
      </c>
      <c r="AG132" t="s">
        <v>37</v>
      </c>
      <c r="AH132">
        <v>1273445</v>
      </c>
      <c r="AI132" t="s">
        <v>37</v>
      </c>
      <c r="AK132" t="s">
        <v>37</v>
      </c>
      <c r="AL132">
        <v>254225</v>
      </c>
      <c r="AM132" t="s">
        <v>37</v>
      </c>
      <c r="AO132" t="s">
        <v>37</v>
      </c>
      <c r="AP132">
        <v>12241228</v>
      </c>
      <c r="AQ132" t="s">
        <v>37</v>
      </c>
      <c r="AR132">
        <v>562533</v>
      </c>
      <c r="AS132" t="s">
        <v>37</v>
      </c>
      <c r="AT132">
        <v>8925765</v>
      </c>
      <c r="AU132" t="s">
        <v>37</v>
      </c>
      <c r="AV132">
        <v>4205612</v>
      </c>
      <c r="AW132" t="s">
        <v>37</v>
      </c>
      <c r="AX132">
        <v>2557001</v>
      </c>
      <c r="AY132" t="s">
        <v>37</v>
      </c>
      <c r="AZ132">
        <v>3867463</v>
      </c>
      <c r="BA132" t="s">
        <v>37</v>
      </c>
      <c r="BB132">
        <v>304607</v>
      </c>
      <c r="BC132" t="s">
        <v>37</v>
      </c>
      <c r="BD132">
        <v>1328812</v>
      </c>
      <c r="BE132" t="s">
        <v>37</v>
      </c>
      <c r="BF132">
        <v>652667</v>
      </c>
      <c r="BG132" t="s">
        <v>37</v>
      </c>
      <c r="BI132" t="s">
        <v>37</v>
      </c>
      <c r="BJ132">
        <v>2731490</v>
      </c>
      <c r="BK132" t="s">
        <v>37</v>
      </c>
      <c r="BL132">
        <v>4975915</v>
      </c>
      <c r="BM132" t="s">
        <v>37</v>
      </c>
      <c r="BO132" t="s">
        <v>37</v>
      </c>
      <c r="BP132">
        <v>375879</v>
      </c>
      <c r="BQ132" t="s">
        <v>37</v>
      </c>
      <c r="BR132">
        <v>1821687</v>
      </c>
      <c r="BS132" t="s">
        <v>37</v>
      </c>
      <c r="BT132">
        <v>782849</v>
      </c>
      <c r="BU132" t="s">
        <v>37</v>
      </c>
      <c r="BW132" t="s">
        <v>37</v>
      </c>
      <c r="BX132">
        <v>9737971</v>
      </c>
      <c r="BY132" t="s">
        <v>37</v>
      </c>
      <c r="BZ132">
        <v>898655</v>
      </c>
      <c r="CA132" t="s">
        <v>37</v>
      </c>
      <c r="CC132" t="s">
        <v>37</v>
      </c>
      <c r="CD132">
        <v>1851343</v>
      </c>
      <c r="CE132" t="s">
        <v>37</v>
      </c>
      <c r="CF132">
        <v>1015338</v>
      </c>
      <c r="CG132" t="s">
        <v>37</v>
      </c>
      <c r="CH132">
        <v>6333822</v>
      </c>
      <c r="CI132" t="s">
        <v>37</v>
      </c>
      <c r="CJ132">
        <v>513524</v>
      </c>
      <c r="CK132" t="s">
        <v>37</v>
      </c>
      <c r="CL132">
        <v>1788543</v>
      </c>
      <c r="CM132" t="s">
        <v>37</v>
      </c>
      <c r="CN132">
        <v>461788</v>
      </c>
      <c r="CO132" t="s">
        <v>37</v>
      </c>
      <c r="CP132">
        <v>542317</v>
      </c>
      <c r="CQ132" t="s">
        <v>37</v>
      </c>
      <c r="CR132">
        <v>3014296</v>
      </c>
      <c r="CS132" t="s">
        <v>37</v>
      </c>
      <c r="CT132">
        <v>27122848</v>
      </c>
      <c r="CU132" t="s">
        <v>37</v>
      </c>
      <c r="CV132">
        <v>3973889</v>
      </c>
      <c r="CW132" t="s">
        <v>37</v>
      </c>
      <c r="CX132">
        <v>477689</v>
      </c>
      <c r="CY132" t="s">
        <v>37</v>
      </c>
      <c r="CZ132">
        <v>530649</v>
      </c>
      <c r="DA132" t="s">
        <v>37</v>
      </c>
      <c r="DC132" t="s">
        <v>37</v>
      </c>
      <c r="DD132">
        <v>1362828</v>
      </c>
      <c r="DE132" t="s">
        <v>37</v>
      </c>
      <c r="DF132">
        <v>616648</v>
      </c>
      <c r="DG132" t="s">
        <v>37</v>
      </c>
      <c r="DH132">
        <v>11410786</v>
      </c>
      <c r="DI132" t="s">
        <v>37</v>
      </c>
      <c r="DJ132">
        <v>1252297</v>
      </c>
      <c r="DK132" t="s">
        <v>37</v>
      </c>
      <c r="DL132">
        <v>4652546</v>
      </c>
      <c r="DM132" t="s">
        <v>37</v>
      </c>
      <c r="DN132">
        <v>5231952</v>
      </c>
      <c r="DO132" t="s">
        <v>37</v>
      </c>
      <c r="DP132">
        <v>2848383</v>
      </c>
      <c r="DQ132" t="s">
        <v>37</v>
      </c>
      <c r="DR132">
        <v>1294031</v>
      </c>
      <c r="DS132" t="s">
        <v>37</v>
      </c>
      <c r="DT132">
        <v>1290581</v>
      </c>
      <c r="DU132" t="s">
        <v>37</v>
      </c>
      <c r="DV132">
        <v>9276852</v>
      </c>
      <c r="DW132" t="s">
        <v>37</v>
      </c>
      <c r="DX132">
        <v>3469163</v>
      </c>
      <c r="DY132" t="s">
        <v>37</v>
      </c>
      <c r="DZ132">
        <v>918396</v>
      </c>
      <c r="EA132" t="s">
        <v>37</v>
      </c>
      <c r="EB132">
        <v>1664670</v>
      </c>
      <c r="EC132" t="s">
        <v>37</v>
      </c>
      <c r="ED132">
        <v>6861561</v>
      </c>
      <c r="EE132" t="s">
        <v>37</v>
      </c>
      <c r="EF132">
        <v>278219</v>
      </c>
      <c r="EG132" t="s">
        <v>37</v>
      </c>
      <c r="EI132" t="s">
        <v>37</v>
      </c>
      <c r="EJ132">
        <v>1359898</v>
      </c>
      <c r="EK132" t="s">
        <v>37</v>
      </c>
      <c r="EL132">
        <v>898551</v>
      </c>
      <c r="EM132" t="s">
        <v>37</v>
      </c>
      <c r="EN132">
        <v>326006</v>
      </c>
      <c r="EO132" t="s">
        <v>37</v>
      </c>
      <c r="EQ132" t="s">
        <v>37</v>
      </c>
      <c r="ER132">
        <v>2364652</v>
      </c>
      <c r="ES132" t="s">
        <v>37</v>
      </c>
      <c r="ET132">
        <v>2656213</v>
      </c>
      <c r="EU132" t="s">
        <v>37</v>
      </c>
      <c r="EV132">
        <v>3294425</v>
      </c>
      <c r="EW132" t="s">
        <v>37</v>
      </c>
      <c r="EY132" t="s">
        <v>37</v>
      </c>
      <c r="EZ132">
        <v>1340634</v>
      </c>
      <c r="FA132" t="s">
        <v>37</v>
      </c>
      <c r="FB132">
        <v>1884687</v>
      </c>
      <c r="FC132" t="s">
        <v>37</v>
      </c>
      <c r="FD132">
        <v>2918860</v>
      </c>
      <c r="FE132" t="s">
        <v>37</v>
      </c>
      <c r="FG132" t="s">
        <v>37</v>
      </c>
      <c r="FH132">
        <v>7196474</v>
      </c>
      <c r="FI132" t="s">
        <v>37</v>
      </c>
      <c r="FJ132">
        <v>9537961</v>
      </c>
      <c r="FK132" t="s">
        <v>37</v>
      </c>
      <c r="FL132">
        <v>10123212</v>
      </c>
      <c r="FM132" t="s">
        <v>37</v>
      </c>
      <c r="FN132">
        <v>953624</v>
      </c>
      <c r="FO132" t="s">
        <v>37</v>
      </c>
      <c r="FP132">
        <v>2075366</v>
      </c>
      <c r="FQ132" t="s">
        <v>37</v>
      </c>
      <c r="FR132">
        <v>4583969</v>
      </c>
      <c r="FS132" t="s">
        <v>37</v>
      </c>
      <c r="FT132">
        <v>1216236</v>
      </c>
      <c r="FU132" t="s">
        <v>37</v>
      </c>
      <c r="FV132">
        <v>1391001</v>
      </c>
      <c r="FW132" t="s">
        <v>37</v>
      </c>
      <c r="FX132">
        <v>2601232</v>
      </c>
      <c r="FY132" t="s">
        <v>37</v>
      </c>
      <c r="FZ132">
        <v>3759790</v>
      </c>
      <c r="GA132" t="s">
        <v>37</v>
      </c>
      <c r="GB132">
        <v>2768434</v>
      </c>
      <c r="GC132" t="s">
        <v>37</v>
      </c>
      <c r="GE132" t="s">
        <v>37</v>
      </c>
      <c r="GG132" t="s">
        <v>37</v>
      </c>
      <c r="GI132" t="s">
        <v>37</v>
      </c>
      <c r="GJ132">
        <v>4477871</v>
      </c>
      <c r="GK132" t="s">
        <v>37</v>
      </c>
      <c r="GL132">
        <v>4302282</v>
      </c>
      <c r="GM132" t="s">
        <v>37</v>
      </c>
      <c r="GO132" t="s">
        <v>37</v>
      </c>
      <c r="GP132">
        <v>2066747</v>
      </c>
      <c r="GQ132" t="s">
        <v>37</v>
      </c>
      <c r="GR132">
        <v>2596421</v>
      </c>
      <c r="GS132" t="s">
        <v>37</v>
      </c>
      <c r="GT132">
        <v>2290327</v>
      </c>
      <c r="GU132" t="s">
        <v>37</v>
      </c>
      <c r="GV132">
        <v>1691377</v>
      </c>
      <c r="GW132" t="s">
        <v>37</v>
      </c>
      <c r="GX132">
        <v>7452896</v>
      </c>
      <c r="GY132" t="s">
        <v>37</v>
      </c>
      <c r="GZ132">
        <v>3533211</v>
      </c>
      <c r="HA132" t="s">
        <v>37</v>
      </c>
      <c r="HC132" t="s">
        <v>37</v>
      </c>
      <c r="HE132" t="s">
        <v>37</v>
      </c>
      <c r="HF132">
        <v>276884370</v>
      </c>
      <c r="HG132" t="s">
        <v>37</v>
      </c>
      <c r="HI132" t="s">
        <v>37</v>
      </c>
      <c r="HJ132">
        <v>276884370</v>
      </c>
      <c r="HK132" t="s">
        <v>37</v>
      </c>
    </row>
    <row r="133" spans="1:219">
      <c r="A133">
        <v>3313</v>
      </c>
      <c r="B133" t="s">
        <v>157</v>
      </c>
      <c r="C133" t="s">
        <v>37</v>
      </c>
      <c r="D133">
        <v>2101670</v>
      </c>
      <c r="E133" t="s">
        <v>37</v>
      </c>
      <c r="F133">
        <v>15256448</v>
      </c>
      <c r="G133" t="s">
        <v>37</v>
      </c>
      <c r="H133">
        <v>971909</v>
      </c>
      <c r="I133" t="s">
        <v>37</v>
      </c>
      <c r="K133" s="48" t="s">
        <v>37</v>
      </c>
      <c r="L133" s="51">
        <v>5535276</v>
      </c>
      <c r="M133" s="48" t="s">
        <v>37</v>
      </c>
      <c r="N133" s="51">
        <v>2278198</v>
      </c>
      <c r="O133" s="48" t="s">
        <v>37</v>
      </c>
      <c r="P133" s="51">
        <v>1554900</v>
      </c>
      <c r="Q133" s="48" t="s">
        <v>37</v>
      </c>
      <c r="R133" s="51">
        <v>1259558</v>
      </c>
      <c r="S133" s="48" t="s">
        <v>37</v>
      </c>
      <c r="T133">
        <v>6583256</v>
      </c>
      <c r="U133" t="s">
        <v>37</v>
      </c>
      <c r="W133" t="s">
        <v>37</v>
      </c>
      <c r="Y133" t="s">
        <v>37</v>
      </c>
      <c r="Z133">
        <v>972513</v>
      </c>
      <c r="AA133" t="s">
        <v>37</v>
      </c>
      <c r="AB133">
        <v>523601</v>
      </c>
      <c r="AC133" t="s">
        <v>37</v>
      </c>
      <c r="AD133">
        <v>518364</v>
      </c>
      <c r="AE133" t="s">
        <v>37</v>
      </c>
      <c r="AF133">
        <v>617713</v>
      </c>
      <c r="AG133" t="s">
        <v>37</v>
      </c>
      <c r="AH133">
        <v>1680577</v>
      </c>
      <c r="AI133" t="s">
        <v>37</v>
      </c>
      <c r="AK133" t="s">
        <v>37</v>
      </c>
      <c r="AL133">
        <v>323743</v>
      </c>
      <c r="AM133" t="s">
        <v>37</v>
      </c>
      <c r="AO133" t="s">
        <v>37</v>
      </c>
      <c r="AP133">
        <v>16789110</v>
      </c>
      <c r="AQ133" t="s">
        <v>37</v>
      </c>
      <c r="AR133">
        <v>832584</v>
      </c>
      <c r="AS133" t="s">
        <v>37</v>
      </c>
      <c r="AT133">
        <v>10843354</v>
      </c>
      <c r="AU133" t="s">
        <v>37</v>
      </c>
      <c r="AV133">
        <v>5412219</v>
      </c>
      <c r="AW133" t="s">
        <v>37</v>
      </c>
      <c r="AX133">
        <v>3759045</v>
      </c>
      <c r="AY133" t="s">
        <v>37</v>
      </c>
      <c r="AZ133">
        <v>5068160</v>
      </c>
      <c r="BA133" t="s">
        <v>37</v>
      </c>
      <c r="BB133">
        <v>439066</v>
      </c>
      <c r="BC133" t="s">
        <v>37</v>
      </c>
      <c r="BD133">
        <v>1909986</v>
      </c>
      <c r="BE133" t="s">
        <v>37</v>
      </c>
      <c r="BF133">
        <v>866141</v>
      </c>
      <c r="BG133" t="s">
        <v>37</v>
      </c>
      <c r="BI133" t="s">
        <v>37</v>
      </c>
      <c r="BJ133">
        <v>3668328</v>
      </c>
      <c r="BK133" t="s">
        <v>37</v>
      </c>
      <c r="BL133">
        <v>6592546</v>
      </c>
      <c r="BM133" t="s">
        <v>37</v>
      </c>
      <c r="BO133" t="s">
        <v>37</v>
      </c>
      <c r="BP133">
        <v>548347</v>
      </c>
      <c r="BQ133" t="s">
        <v>37</v>
      </c>
      <c r="BR133">
        <v>2442946</v>
      </c>
      <c r="BS133" t="s">
        <v>37</v>
      </c>
      <c r="BT133">
        <v>1180308</v>
      </c>
      <c r="BU133" t="s">
        <v>37</v>
      </c>
      <c r="BW133" t="s">
        <v>37</v>
      </c>
      <c r="BX133">
        <v>13708366</v>
      </c>
      <c r="BY133" t="s">
        <v>37</v>
      </c>
      <c r="BZ133">
        <v>1247686</v>
      </c>
      <c r="CA133" t="s">
        <v>37</v>
      </c>
      <c r="CC133" t="s">
        <v>37</v>
      </c>
      <c r="CD133">
        <v>2513045</v>
      </c>
      <c r="CE133" t="s">
        <v>37</v>
      </c>
      <c r="CF133">
        <v>1346764</v>
      </c>
      <c r="CG133" t="s">
        <v>37</v>
      </c>
      <c r="CH133">
        <v>8221208</v>
      </c>
      <c r="CI133" t="s">
        <v>37</v>
      </c>
      <c r="CJ133">
        <v>743393</v>
      </c>
      <c r="CK133" t="s">
        <v>37</v>
      </c>
      <c r="CL133">
        <v>2162070</v>
      </c>
      <c r="CM133" t="s">
        <v>37</v>
      </c>
      <c r="CN133">
        <v>559683</v>
      </c>
      <c r="CO133" t="s">
        <v>37</v>
      </c>
      <c r="CP133">
        <v>900294</v>
      </c>
      <c r="CQ133" t="s">
        <v>37</v>
      </c>
      <c r="CR133">
        <v>3909398</v>
      </c>
      <c r="CS133" t="s">
        <v>37</v>
      </c>
      <c r="CT133">
        <v>35364615</v>
      </c>
      <c r="CU133" t="s">
        <v>37</v>
      </c>
      <c r="CV133">
        <v>5383246</v>
      </c>
      <c r="CW133" t="s">
        <v>37</v>
      </c>
      <c r="CX133">
        <v>697600</v>
      </c>
      <c r="CY133" t="s">
        <v>37</v>
      </c>
      <c r="CZ133">
        <v>716456</v>
      </c>
      <c r="DA133" t="s">
        <v>37</v>
      </c>
      <c r="DC133" t="s">
        <v>37</v>
      </c>
      <c r="DD133">
        <v>1896314</v>
      </c>
      <c r="DE133" t="s">
        <v>37</v>
      </c>
      <c r="DF133">
        <v>818514</v>
      </c>
      <c r="DG133" t="s">
        <v>37</v>
      </c>
      <c r="DH133">
        <v>14604104</v>
      </c>
      <c r="DI133" t="s">
        <v>37</v>
      </c>
      <c r="DJ133">
        <v>1652245</v>
      </c>
      <c r="DK133" t="s">
        <v>37</v>
      </c>
      <c r="DL133">
        <v>6322640</v>
      </c>
      <c r="DM133" t="s">
        <v>37</v>
      </c>
      <c r="DN133">
        <v>6859085</v>
      </c>
      <c r="DO133" t="s">
        <v>37</v>
      </c>
      <c r="DP133">
        <v>3532506</v>
      </c>
      <c r="DQ133" t="s">
        <v>37</v>
      </c>
      <c r="DR133">
        <v>1896765</v>
      </c>
      <c r="DS133" t="s">
        <v>37</v>
      </c>
      <c r="DT133">
        <v>1746622</v>
      </c>
      <c r="DU133" t="s">
        <v>37</v>
      </c>
      <c r="DV133">
        <v>12772996</v>
      </c>
      <c r="DW133" t="s">
        <v>37</v>
      </c>
      <c r="DX133">
        <v>4718776</v>
      </c>
      <c r="DY133" t="s">
        <v>37</v>
      </c>
      <c r="DZ133">
        <v>1214735</v>
      </c>
      <c r="EA133" t="s">
        <v>37</v>
      </c>
      <c r="EB133">
        <v>2363041</v>
      </c>
      <c r="EC133" t="s">
        <v>37</v>
      </c>
      <c r="ED133">
        <v>10099141</v>
      </c>
      <c r="EE133" t="s">
        <v>37</v>
      </c>
      <c r="EF133">
        <v>377532</v>
      </c>
      <c r="EG133" t="s">
        <v>37</v>
      </c>
      <c r="EI133" t="s">
        <v>37</v>
      </c>
      <c r="EJ133">
        <v>2013386</v>
      </c>
      <c r="EK133" t="s">
        <v>37</v>
      </c>
      <c r="EL133">
        <v>1179554</v>
      </c>
      <c r="EM133" t="s">
        <v>37</v>
      </c>
      <c r="EN133">
        <v>479590</v>
      </c>
      <c r="EO133" t="s">
        <v>37</v>
      </c>
      <c r="EQ133" t="s">
        <v>37</v>
      </c>
      <c r="ER133">
        <v>3037696</v>
      </c>
      <c r="ES133" t="s">
        <v>37</v>
      </c>
      <c r="ET133">
        <v>3282079</v>
      </c>
      <c r="EU133" t="s">
        <v>37</v>
      </c>
      <c r="EV133">
        <v>4197601</v>
      </c>
      <c r="EW133" t="s">
        <v>37</v>
      </c>
      <c r="EY133" t="s">
        <v>37</v>
      </c>
      <c r="EZ133">
        <v>1765981</v>
      </c>
      <c r="FA133" t="s">
        <v>37</v>
      </c>
      <c r="FB133">
        <v>2640423</v>
      </c>
      <c r="FC133" t="s">
        <v>37</v>
      </c>
      <c r="FD133">
        <v>3661836</v>
      </c>
      <c r="FE133" t="s">
        <v>37</v>
      </c>
      <c r="FG133" t="s">
        <v>37</v>
      </c>
      <c r="FH133">
        <v>9626459</v>
      </c>
      <c r="FI133" t="s">
        <v>37</v>
      </c>
      <c r="FJ133">
        <v>12750522</v>
      </c>
      <c r="FK133" t="s">
        <v>37</v>
      </c>
      <c r="FL133">
        <v>14839922</v>
      </c>
      <c r="FM133" t="s">
        <v>37</v>
      </c>
      <c r="FN133">
        <v>1285931</v>
      </c>
      <c r="FO133" t="s">
        <v>37</v>
      </c>
      <c r="FP133">
        <v>3023982</v>
      </c>
      <c r="FQ133" t="s">
        <v>37</v>
      </c>
      <c r="FR133">
        <v>6316438</v>
      </c>
      <c r="FS133" t="s">
        <v>37</v>
      </c>
      <c r="FT133">
        <v>1755927</v>
      </c>
      <c r="FU133" t="s">
        <v>37</v>
      </c>
      <c r="FV133">
        <v>1758044</v>
      </c>
      <c r="FW133" t="s">
        <v>37</v>
      </c>
      <c r="FX133">
        <v>3667098</v>
      </c>
      <c r="FY133" t="s">
        <v>37</v>
      </c>
      <c r="FZ133">
        <v>5599199</v>
      </c>
      <c r="GA133" t="s">
        <v>37</v>
      </c>
      <c r="GB133">
        <v>4094140</v>
      </c>
      <c r="GC133" t="s">
        <v>37</v>
      </c>
      <c r="GE133" t="s">
        <v>37</v>
      </c>
      <c r="GG133" t="s">
        <v>37</v>
      </c>
      <c r="GI133" t="s">
        <v>37</v>
      </c>
      <c r="GJ133">
        <v>5489000</v>
      </c>
      <c r="GK133" t="s">
        <v>37</v>
      </c>
      <c r="GL133">
        <v>5432499</v>
      </c>
      <c r="GM133" t="s">
        <v>37</v>
      </c>
      <c r="GO133" t="s">
        <v>37</v>
      </c>
      <c r="GP133">
        <v>2858921</v>
      </c>
      <c r="GQ133" t="s">
        <v>37</v>
      </c>
      <c r="GR133">
        <v>3037220</v>
      </c>
      <c r="GS133" t="s">
        <v>37</v>
      </c>
      <c r="GT133">
        <v>3149625</v>
      </c>
      <c r="GU133" t="s">
        <v>37</v>
      </c>
      <c r="GV133">
        <v>2401305</v>
      </c>
      <c r="GW133" t="s">
        <v>37</v>
      </c>
      <c r="GX133">
        <v>9705200</v>
      </c>
      <c r="GY133" t="s">
        <v>37</v>
      </c>
      <c r="GZ133">
        <v>4948628</v>
      </c>
      <c r="HA133" t="s">
        <v>37</v>
      </c>
      <c r="HC133" t="s">
        <v>37</v>
      </c>
      <c r="HE133" t="s">
        <v>37</v>
      </c>
      <c r="HF133">
        <v>372876912</v>
      </c>
      <c r="HG133" t="s">
        <v>37</v>
      </c>
      <c r="HI133" t="s">
        <v>37</v>
      </c>
      <c r="HJ133">
        <v>372876912</v>
      </c>
      <c r="HK133" t="s">
        <v>37</v>
      </c>
    </row>
    <row r="134" spans="1:219">
      <c r="A134">
        <v>3314</v>
      </c>
      <c r="B134" t="s">
        <v>158</v>
      </c>
      <c r="C134" t="s">
        <v>37</v>
      </c>
      <c r="D134">
        <v>558227</v>
      </c>
      <c r="E134" t="s">
        <v>37</v>
      </c>
      <c r="F134">
        <v>6112541</v>
      </c>
      <c r="G134" t="s">
        <v>37</v>
      </c>
      <c r="H134">
        <v>563789</v>
      </c>
      <c r="I134" t="s">
        <v>37</v>
      </c>
      <c r="K134" s="48" t="s">
        <v>37</v>
      </c>
      <c r="L134" s="51">
        <v>1645710</v>
      </c>
      <c r="M134" s="48" t="s">
        <v>37</v>
      </c>
      <c r="N134" s="51">
        <v>353181</v>
      </c>
      <c r="O134" s="48" t="s">
        <v>37</v>
      </c>
      <c r="P134" s="51">
        <v>291548</v>
      </c>
      <c r="Q134" s="48" t="s">
        <v>37</v>
      </c>
      <c r="R134" s="51">
        <v>379976</v>
      </c>
      <c r="S134" s="48" t="s">
        <v>37</v>
      </c>
      <c r="T134">
        <v>3701433</v>
      </c>
      <c r="U134" t="s">
        <v>37</v>
      </c>
      <c r="V134">
        <v>258004</v>
      </c>
      <c r="W134" t="s">
        <v>37</v>
      </c>
      <c r="Y134" t="s">
        <v>37</v>
      </c>
      <c r="Z134">
        <v>459656</v>
      </c>
      <c r="AA134" t="s">
        <v>37</v>
      </c>
      <c r="AB134">
        <v>173308</v>
      </c>
      <c r="AC134" t="s">
        <v>37</v>
      </c>
      <c r="AD134">
        <v>89621</v>
      </c>
      <c r="AE134" t="s">
        <v>37</v>
      </c>
      <c r="AF134">
        <v>148590</v>
      </c>
      <c r="AG134" t="s">
        <v>37</v>
      </c>
      <c r="AH134">
        <v>357421</v>
      </c>
      <c r="AI134" t="s">
        <v>37</v>
      </c>
      <c r="AK134" t="s">
        <v>37</v>
      </c>
      <c r="AL134">
        <v>100617</v>
      </c>
      <c r="AM134" t="s">
        <v>37</v>
      </c>
      <c r="AO134" t="s">
        <v>37</v>
      </c>
      <c r="AP134">
        <v>8073377</v>
      </c>
      <c r="AQ134" t="s">
        <v>37</v>
      </c>
      <c r="AR134">
        <v>174964</v>
      </c>
      <c r="AS134" t="s">
        <v>37</v>
      </c>
      <c r="AT134">
        <v>5353211</v>
      </c>
      <c r="AU134" t="s">
        <v>37</v>
      </c>
      <c r="AV134">
        <v>2581833</v>
      </c>
      <c r="AW134" t="s">
        <v>37</v>
      </c>
      <c r="AX134">
        <v>1974857</v>
      </c>
      <c r="AY134" t="s">
        <v>37</v>
      </c>
      <c r="AZ134">
        <v>698371</v>
      </c>
      <c r="BA134" t="s">
        <v>37</v>
      </c>
      <c r="BB134">
        <v>274479</v>
      </c>
      <c r="BC134" t="s">
        <v>37</v>
      </c>
      <c r="BD134">
        <v>397721</v>
      </c>
      <c r="BE134" t="s">
        <v>37</v>
      </c>
      <c r="BF134">
        <v>365062</v>
      </c>
      <c r="BG134" t="s">
        <v>37</v>
      </c>
      <c r="BI134" t="s">
        <v>37</v>
      </c>
      <c r="BJ134">
        <v>1704343</v>
      </c>
      <c r="BK134" t="s">
        <v>37</v>
      </c>
      <c r="BL134">
        <v>2164476</v>
      </c>
      <c r="BM134" t="s">
        <v>37</v>
      </c>
      <c r="BO134" t="s">
        <v>37</v>
      </c>
      <c r="BP134">
        <v>381226</v>
      </c>
      <c r="BQ134" t="s">
        <v>37</v>
      </c>
      <c r="BR134">
        <v>1360992</v>
      </c>
      <c r="BS134" t="s">
        <v>37</v>
      </c>
      <c r="BT134">
        <v>275460</v>
      </c>
      <c r="BU134" t="s">
        <v>37</v>
      </c>
      <c r="BW134" t="s">
        <v>37</v>
      </c>
      <c r="BX134">
        <v>4475224</v>
      </c>
      <c r="BY134" t="s">
        <v>37</v>
      </c>
      <c r="BZ134">
        <v>641863</v>
      </c>
      <c r="CA134" t="s">
        <v>37</v>
      </c>
      <c r="CC134" t="s">
        <v>37</v>
      </c>
      <c r="CD134">
        <v>1004308</v>
      </c>
      <c r="CE134" t="s">
        <v>37</v>
      </c>
      <c r="CF134">
        <v>721481</v>
      </c>
      <c r="CG134" t="s">
        <v>37</v>
      </c>
      <c r="CH134">
        <v>3962368</v>
      </c>
      <c r="CI134" t="s">
        <v>37</v>
      </c>
      <c r="CJ134">
        <v>105224</v>
      </c>
      <c r="CK134" t="s">
        <v>37</v>
      </c>
      <c r="CL134">
        <v>758067</v>
      </c>
      <c r="CM134" t="s">
        <v>37</v>
      </c>
      <c r="CN134">
        <v>271207</v>
      </c>
      <c r="CO134" t="s">
        <v>37</v>
      </c>
      <c r="CP134">
        <v>504881</v>
      </c>
      <c r="CQ134" t="s">
        <v>37</v>
      </c>
      <c r="CR134">
        <v>1518459</v>
      </c>
      <c r="CS134" t="s">
        <v>37</v>
      </c>
      <c r="CT134">
        <v>17953403</v>
      </c>
      <c r="CU134" t="s">
        <v>37</v>
      </c>
      <c r="CV134">
        <v>3018064</v>
      </c>
      <c r="CW134" t="s">
        <v>37</v>
      </c>
      <c r="CX134">
        <v>143793</v>
      </c>
      <c r="CY134" t="s">
        <v>37</v>
      </c>
      <c r="CZ134">
        <v>187445</v>
      </c>
      <c r="DA134" t="s">
        <v>37</v>
      </c>
      <c r="DC134" t="s">
        <v>37</v>
      </c>
      <c r="DD134">
        <v>370379</v>
      </c>
      <c r="DE134" t="s">
        <v>37</v>
      </c>
      <c r="DF134">
        <v>196003</v>
      </c>
      <c r="DG134" t="s">
        <v>37</v>
      </c>
      <c r="DH134">
        <v>8275353</v>
      </c>
      <c r="DI134" t="s">
        <v>37</v>
      </c>
      <c r="DJ134">
        <v>242118</v>
      </c>
      <c r="DK134" t="s">
        <v>37</v>
      </c>
      <c r="DL134">
        <v>2945049</v>
      </c>
      <c r="DM134" t="s">
        <v>37</v>
      </c>
      <c r="DN134">
        <v>5081763</v>
      </c>
      <c r="DO134" t="s">
        <v>37</v>
      </c>
      <c r="DP134">
        <v>675146</v>
      </c>
      <c r="DQ134" t="s">
        <v>37</v>
      </c>
      <c r="DR134">
        <v>1332713</v>
      </c>
      <c r="DS134" t="s">
        <v>37</v>
      </c>
      <c r="DT134">
        <v>351339</v>
      </c>
      <c r="DU134" t="s">
        <v>37</v>
      </c>
      <c r="DV134">
        <v>5180331</v>
      </c>
      <c r="DW134" t="s">
        <v>37</v>
      </c>
      <c r="DX134">
        <v>1600095</v>
      </c>
      <c r="DY134" t="s">
        <v>37</v>
      </c>
      <c r="DZ134">
        <v>616445</v>
      </c>
      <c r="EA134" t="s">
        <v>37</v>
      </c>
      <c r="EB134">
        <v>954798</v>
      </c>
      <c r="EC134" t="s">
        <v>37</v>
      </c>
      <c r="ED134">
        <v>3231824</v>
      </c>
      <c r="EE134" t="s">
        <v>37</v>
      </c>
      <c r="EF134">
        <v>166030</v>
      </c>
      <c r="EG134" t="s">
        <v>37</v>
      </c>
      <c r="EI134" t="s">
        <v>37</v>
      </c>
      <c r="EJ134">
        <v>989118</v>
      </c>
      <c r="EK134" t="s">
        <v>37</v>
      </c>
      <c r="EL134">
        <v>561890</v>
      </c>
      <c r="EM134" t="s">
        <v>37</v>
      </c>
      <c r="EN134">
        <v>220658</v>
      </c>
      <c r="EO134" t="s">
        <v>37</v>
      </c>
      <c r="EQ134" t="s">
        <v>37</v>
      </c>
      <c r="ER134">
        <v>616287</v>
      </c>
      <c r="ES134" t="s">
        <v>37</v>
      </c>
      <c r="ET134">
        <v>1451796</v>
      </c>
      <c r="EU134" t="s">
        <v>37</v>
      </c>
      <c r="EV134">
        <v>1403262</v>
      </c>
      <c r="EW134" t="s">
        <v>37</v>
      </c>
      <c r="EY134" t="s">
        <v>37</v>
      </c>
      <c r="EZ134">
        <v>543589</v>
      </c>
      <c r="FA134" t="s">
        <v>37</v>
      </c>
      <c r="FB134">
        <v>893673</v>
      </c>
      <c r="FC134" t="s">
        <v>37</v>
      </c>
      <c r="FD134">
        <v>1460433</v>
      </c>
      <c r="FE134" t="s">
        <v>37</v>
      </c>
      <c r="FG134" t="s">
        <v>37</v>
      </c>
      <c r="FH134">
        <v>4421482</v>
      </c>
      <c r="FI134" t="s">
        <v>37</v>
      </c>
      <c r="FJ134">
        <v>4629853</v>
      </c>
      <c r="FK134" t="s">
        <v>37</v>
      </c>
      <c r="FL134">
        <v>6129943</v>
      </c>
      <c r="FM134" t="s">
        <v>37</v>
      </c>
      <c r="FN134">
        <v>625389</v>
      </c>
      <c r="FO134" t="s">
        <v>37</v>
      </c>
      <c r="FP134">
        <v>614005</v>
      </c>
      <c r="FQ134" t="s">
        <v>37</v>
      </c>
      <c r="FR134">
        <v>2405722</v>
      </c>
      <c r="FS134" t="s">
        <v>37</v>
      </c>
      <c r="FT134">
        <v>1017708</v>
      </c>
      <c r="FU134" t="s">
        <v>37</v>
      </c>
      <c r="FV134">
        <v>1142665</v>
      </c>
      <c r="FW134" t="s">
        <v>37</v>
      </c>
      <c r="FX134">
        <v>2126079</v>
      </c>
      <c r="FY134" t="s">
        <v>37</v>
      </c>
      <c r="FZ134">
        <v>3781259</v>
      </c>
      <c r="GA134" t="s">
        <v>37</v>
      </c>
      <c r="GB134">
        <v>2090579</v>
      </c>
      <c r="GC134" t="s">
        <v>37</v>
      </c>
      <c r="GE134" t="s">
        <v>37</v>
      </c>
      <c r="GG134" t="s">
        <v>37</v>
      </c>
      <c r="GI134" t="s">
        <v>37</v>
      </c>
      <c r="GJ134">
        <v>1420447</v>
      </c>
      <c r="GK134" t="s">
        <v>37</v>
      </c>
      <c r="GL134">
        <v>2989067</v>
      </c>
      <c r="GM134" t="s">
        <v>37</v>
      </c>
      <c r="GO134" t="s">
        <v>37</v>
      </c>
      <c r="GP134">
        <v>739000</v>
      </c>
      <c r="GQ134" t="s">
        <v>37</v>
      </c>
      <c r="GR134">
        <v>471994</v>
      </c>
      <c r="GS134" t="s">
        <v>37</v>
      </c>
      <c r="GT134">
        <v>580508</v>
      </c>
      <c r="GU134" t="s">
        <v>37</v>
      </c>
      <c r="GV134">
        <v>415575</v>
      </c>
      <c r="GW134" t="s">
        <v>37</v>
      </c>
      <c r="GX134">
        <v>5557802</v>
      </c>
      <c r="GY134" t="s">
        <v>37</v>
      </c>
      <c r="GZ134">
        <v>1141256</v>
      </c>
      <c r="HA134" t="s">
        <v>37</v>
      </c>
      <c r="HC134" t="s">
        <v>37</v>
      </c>
      <c r="HD134">
        <v>1538395</v>
      </c>
      <c r="HE134" t="s">
        <v>37</v>
      </c>
      <c r="HF134">
        <v>157900206</v>
      </c>
      <c r="HG134" t="s">
        <v>37</v>
      </c>
      <c r="HH134">
        <v>1538395</v>
      </c>
      <c r="HI134" t="s">
        <v>37</v>
      </c>
      <c r="HJ134">
        <v>159438601</v>
      </c>
      <c r="HK134" t="s">
        <v>37</v>
      </c>
    </row>
    <row r="135" spans="1:219">
      <c r="A135">
        <v>3315</v>
      </c>
      <c r="B135" t="s">
        <v>159</v>
      </c>
      <c r="C135" t="s">
        <v>37</v>
      </c>
      <c r="D135">
        <v>60237</v>
      </c>
      <c r="E135" t="s">
        <v>37</v>
      </c>
      <c r="F135">
        <v>222385</v>
      </c>
      <c r="G135" t="s">
        <v>37</v>
      </c>
      <c r="H135">
        <v>37015</v>
      </c>
      <c r="I135" t="s">
        <v>37</v>
      </c>
      <c r="K135" s="48" t="s">
        <v>37</v>
      </c>
      <c r="L135" s="51">
        <v>48790</v>
      </c>
      <c r="M135" s="48" t="s">
        <v>37</v>
      </c>
      <c r="N135" s="51">
        <v>31585</v>
      </c>
      <c r="O135" s="48" t="s">
        <v>37</v>
      </c>
      <c r="P135" s="51">
        <v>25204</v>
      </c>
      <c r="Q135" s="48" t="s">
        <v>37</v>
      </c>
      <c r="R135" s="51">
        <v>22091</v>
      </c>
      <c r="S135" s="48" t="s">
        <v>37</v>
      </c>
      <c r="T135">
        <v>107207</v>
      </c>
      <c r="U135" t="s">
        <v>37</v>
      </c>
      <c r="W135" t="s">
        <v>37</v>
      </c>
      <c r="Y135" t="s">
        <v>37</v>
      </c>
      <c r="Z135">
        <v>21115</v>
      </c>
      <c r="AA135" t="s">
        <v>37</v>
      </c>
      <c r="AB135">
        <v>19431</v>
      </c>
      <c r="AC135" t="s">
        <v>37</v>
      </c>
      <c r="AE135" t="s">
        <v>37</v>
      </c>
      <c r="AG135" t="s">
        <v>37</v>
      </c>
      <c r="AH135">
        <v>77242</v>
      </c>
      <c r="AI135" t="s">
        <v>37</v>
      </c>
      <c r="AK135" t="s">
        <v>37</v>
      </c>
      <c r="AL135">
        <v>4263</v>
      </c>
      <c r="AM135" t="s">
        <v>37</v>
      </c>
      <c r="AO135" t="s">
        <v>37</v>
      </c>
      <c r="AP135">
        <v>304167</v>
      </c>
      <c r="AQ135" t="s">
        <v>37</v>
      </c>
      <c r="AR135">
        <v>15417</v>
      </c>
      <c r="AS135" t="s">
        <v>37</v>
      </c>
      <c r="AT135">
        <v>288146</v>
      </c>
      <c r="AU135" t="s">
        <v>37</v>
      </c>
      <c r="AV135">
        <v>134514</v>
      </c>
      <c r="AW135" t="s">
        <v>37</v>
      </c>
      <c r="AX135">
        <v>77719</v>
      </c>
      <c r="AY135" t="s">
        <v>37</v>
      </c>
      <c r="AZ135">
        <v>108435</v>
      </c>
      <c r="BA135" t="s">
        <v>37</v>
      </c>
      <c r="BC135" t="s">
        <v>37</v>
      </c>
      <c r="BD135">
        <v>52676</v>
      </c>
      <c r="BE135" t="s">
        <v>37</v>
      </c>
      <c r="BG135" t="s">
        <v>37</v>
      </c>
      <c r="BI135" t="s">
        <v>37</v>
      </c>
      <c r="BJ135">
        <v>72053</v>
      </c>
      <c r="BK135" t="s">
        <v>37</v>
      </c>
      <c r="BL135">
        <v>182536</v>
      </c>
      <c r="BM135" t="s">
        <v>37</v>
      </c>
      <c r="BO135" t="s">
        <v>37</v>
      </c>
      <c r="BP135">
        <v>38935</v>
      </c>
      <c r="BQ135" t="s">
        <v>37</v>
      </c>
      <c r="BR135">
        <v>84142</v>
      </c>
      <c r="BS135" t="s">
        <v>37</v>
      </c>
      <c r="BT135">
        <v>59540</v>
      </c>
      <c r="BU135" t="s">
        <v>37</v>
      </c>
      <c r="BW135" t="s">
        <v>37</v>
      </c>
      <c r="BX135">
        <v>332586</v>
      </c>
      <c r="BY135" t="s">
        <v>37</v>
      </c>
      <c r="BZ135">
        <v>57732</v>
      </c>
      <c r="CA135" t="s">
        <v>37</v>
      </c>
      <c r="CC135" t="s">
        <v>37</v>
      </c>
      <c r="CD135">
        <v>26011</v>
      </c>
      <c r="CE135" t="s">
        <v>37</v>
      </c>
      <c r="CF135">
        <v>47569</v>
      </c>
      <c r="CG135" t="s">
        <v>37</v>
      </c>
      <c r="CH135">
        <v>312619</v>
      </c>
      <c r="CI135" t="s">
        <v>37</v>
      </c>
      <c r="CJ135">
        <v>12007</v>
      </c>
      <c r="CK135" t="s">
        <v>37</v>
      </c>
      <c r="CL135">
        <v>133849</v>
      </c>
      <c r="CM135" t="s">
        <v>37</v>
      </c>
      <c r="CN135">
        <v>10266</v>
      </c>
      <c r="CO135" t="s">
        <v>37</v>
      </c>
      <c r="CP135">
        <v>42110</v>
      </c>
      <c r="CQ135" t="s">
        <v>37</v>
      </c>
      <c r="CR135">
        <v>137024</v>
      </c>
      <c r="CS135" t="s">
        <v>37</v>
      </c>
      <c r="CT135">
        <v>899555</v>
      </c>
      <c r="CU135" t="s">
        <v>37</v>
      </c>
      <c r="CV135">
        <v>146454</v>
      </c>
      <c r="CW135" t="s">
        <v>37</v>
      </c>
      <c r="CX135">
        <v>16308</v>
      </c>
      <c r="CY135" t="s">
        <v>37</v>
      </c>
      <c r="CZ135">
        <v>7815</v>
      </c>
      <c r="DA135" t="s">
        <v>37</v>
      </c>
      <c r="DC135" t="s">
        <v>37</v>
      </c>
      <c r="DD135">
        <v>8778</v>
      </c>
      <c r="DE135" t="s">
        <v>37</v>
      </c>
      <c r="DF135">
        <v>25458</v>
      </c>
      <c r="DG135" t="s">
        <v>37</v>
      </c>
      <c r="DH135">
        <v>353856</v>
      </c>
      <c r="DI135" t="s">
        <v>37</v>
      </c>
      <c r="DJ135">
        <v>62072</v>
      </c>
      <c r="DK135" t="s">
        <v>37</v>
      </c>
      <c r="DL135">
        <v>124498</v>
      </c>
      <c r="DM135" t="s">
        <v>37</v>
      </c>
      <c r="DN135">
        <v>211203</v>
      </c>
      <c r="DO135" t="s">
        <v>37</v>
      </c>
      <c r="DP135">
        <v>36003</v>
      </c>
      <c r="DQ135" t="s">
        <v>37</v>
      </c>
      <c r="DR135">
        <v>70512</v>
      </c>
      <c r="DS135" t="s">
        <v>37</v>
      </c>
      <c r="DT135">
        <v>60110</v>
      </c>
      <c r="DU135" t="s">
        <v>37</v>
      </c>
      <c r="DV135">
        <v>151600</v>
      </c>
      <c r="DW135" t="s">
        <v>37</v>
      </c>
      <c r="DX135">
        <v>111395</v>
      </c>
      <c r="DY135" t="s">
        <v>37</v>
      </c>
      <c r="DZ135">
        <v>45797</v>
      </c>
      <c r="EA135" t="s">
        <v>37</v>
      </c>
      <c r="EB135">
        <v>42514</v>
      </c>
      <c r="EC135" t="s">
        <v>37</v>
      </c>
      <c r="ED135">
        <v>112539</v>
      </c>
      <c r="EE135" t="s">
        <v>37</v>
      </c>
      <c r="EF135">
        <v>2609</v>
      </c>
      <c r="EG135" t="s">
        <v>37</v>
      </c>
      <c r="EI135" t="s">
        <v>37</v>
      </c>
      <c r="EJ135">
        <v>51072</v>
      </c>
      <c r="EK135" t="s">
        <v>37</v>
      </c>
      <c r="EL135">
        <v>56787</v>
      </c>
      <c r="EM135" t="s">
        <v>37</v>
      </c>
      <c r="EN135">
        <v>28888</v>
      </c>
      <c r="EO135" t="s">
        <v>37</v>
      </c>
      <c r="EQ135" t="s">
        <v>37</v>
      </c>
      <c r="ER135">
        <v>100874</v>
      </c>
      <c r="ES135" t="s">
        <v>37</v>
      </c>
      <c r="ET135">
        <v>48515</v>
      </c>
      <c r="EU135" t="s">
        <v>37</v>
      </c>
      <c r="EV135">
        <v>51793</v>
      </c>
      <c r="EW135" t="s">
        <v>37</v>
      </c>
      <c r="EY135" t="s">
        <v>37</v>
      </c>
      <c r="EZ135">
        <v>94762</v>
      </c>
      <c r="FA135" t="s">
        <v>37</v>
      </c>
      <c r="FB135">
        <v>54775</v>
      </c>
      <c r="FC135" t="s">
        <v>37</v>
      </c>
      <c r="FD135">
        <v>88275</v>
      </c>
      <c r="FE135" t="s">
        <v>37</v>
      </c>
      <c r="FG135" t="s">
        <v>37</v>
      </c>
      <c r="FH135">
        <v>136346</v>
      </c>
      <c r="FI135" t="s">
        <v>37</v>
      </c>
      <c r="FJ135">
        <v>372858</v>
      </c>
      <c r="FK135" t="s">
        <v>37</v>
      </c>
      <c r="FL135">
        <v>267688</v>
      </c>
      <c r="FM135" t="s">
        <v>37</v>
      </c>
      <c r="FN135">
        <v>24412</v>
      </c>
      <c r="FO135" t="s">
        <v>37</v>
      </c>
      <c r="FP135">
        <v>44053</v>
      </c>
      <c r="FQ135" t="s">
        <v>37</v>
      </c>
      <c r="FR135">
        <v>43054</v>
      </c>
      <c r="FS135" t="s">
        <v>37</v>
      </c>
      <c r="FT135">
        <v>31087</v>
      </c>
      <c r="FU135" t="s">
        <v>37</v>
      </c>
      <c r="FW135" t="s">
        <v>37</v>
      </c>
      <c r="FX135">
        <v>16608</v>
      </c>
      <c r="FY135" t="s">
        <v>37</v>
      </c>
      <c r="FZ135">
        <v>84856</v>
      </c>
      <c r="GA135" t="s">
        <v>37</v>
      </c>
      <c r="GB135">
        <v>446311</v>
      </c>
      <c r="GC135" t="s">
        <v>37</v>
      </c>
      <c r="GE135" t="s">
        <v>37</v>
      </c>
      <c r="GG135" t="s">
        <v>37</v>
      </c>
      <c r="GI135" t="s">
        <v>37</v>
      </c>
      <c r="GJ135">
        <v>185788</v>
      </c>
      <c r="GK135" t="s">
        <v>37</v>
      </c>
      <c r="GL135">
        <v>98256</v>
      </c>
      <c r="GM135" t="s">
        <v>37</v>
      </c>
      <c r="GO135" t="s">
        <v>37</v>
      </c>
      <c r="GP135">
        <v>67897</v>
      </c>
      <c r="GQ135" t="s">
        <v>37</v>
      </c>
      <c r="GR135">
        <v>211069</v>
      </c>
      <c r="GS135" t="s">
        <v>37</v>
      </c>
      <c r="GT135">
        <v>81630</v>
      </c>
      <c r="GU135" t="s">
        <v>37</v>
      </c>
      <c r="GV135">
        <v>49169</v>
      </c>
      <c r="GW135" t="s">
        <v>37</v>
      </c>
      <c r="GX135">
        <v>121403</v>
      </c>
      <c r="GY135" t="s">
        <v>37</v>
      </c>
      <c r="GZ135">
        <v>26432</v>
      </c>
      <c r="HA135" t="s">
        <v>37</v>
      </c>
      <c r="HC135" t="s">
        <v>37</v>
      </c>
      <c r="HE135" t="s">
        <v>37</v>
      </c>
      <c r="HF135">
        <v>8580352</v>
      </c>
      <c r="HG135" t="s">
        <v>37</v>
      </c>
      <c r="HI135" t="s">
        <v>37</v>
      </c>
      <c r="HJ135">
        <v>8580352</v>
      </c>
      <c r="HK135" t="s">
        <v>37</v>
      </c>
    </row>
    <row r="136" spans="1:219">
      <c r="A136">
        <v>3316</v>
      </c>
      <c r="B136" t="s">
        <v>160</v>
      </c>
      <c r="C136" t="s">
        <v>37</v>
      </c>
      <c r="D136">
        <v>772463</v>
      </c>
      <c r="E136" t="s">
        <v>37</v>
      </c>
      <c r="F136">
        <v>3682100</v>
      </c>
      <c r="G136" t="s">
        <v>37</v>
      </c>
      <c r="H136">
        <v>424342</v>
      </c>
      <c r="I136" t="s">
        <v>37</v>
      </c>
      <c r="K136" s="48" t="s">
        <v>37</v>
      </c>
      <c r="L136" s="51">
        <v>1409767</v>
      </c>
      <c r="M136" s="48" t="s">
        <v>37</v>
      </c>
      <c r="N136" s="51">
        <v>1229795</v>
      </c>
      <c r="O136" s="48" t="s">
        <v>37</v>
      </c>
      <c r="P136" s="51">
        <v>575100</v>
      </c>
      <c r="Q136" s="48" t="s">
        <v>37</v>
      </c>
      <c r="R136" s="51">
        <v>460125</v>
      </c>
      <c r="S136" s="48" t="s">
        <v>37</v>
      </c>
      <c r="T136">
        <v>2253292</v>
      </c>
      <c r="U136" t="s">
        <v>37</v>
      </c>
      <c r="W136" t="s">
        <v>37</v>
      </c>
      <c r="Y136" t="s">
        <v>37</v>
      </c>
      <c r="Z136">
        <v>670123</v>
      </c>
      <c r="AA136" t="s">
        <v>37</v>
      </c>
      <c r="AB136">
        <v>283246</v>
      </c>
      <c r="AC136" t="s">
        <v>37</v>
      </c>
      <c r="AD136">
        <v>331629</v>
      </c>
      <c r="AE136" t="s">
        <v>37</v>
      </c>
      <c r="AF136">
        <v>327021</v>
      </c>
      <c r="AG136" t="s">
        <v>37</v>
      </c>
      <c r="AH136">
        <v>663143</v>
      </c>
      <c r="AI136" t="s">
        <v>37</v>
      </c>
      <c r="AK136" t="s">
        <v>37</v>
      </c>
      <c r="AL136">
        <v>78669</v>
      </c>
      <c r="AM136" t="s">
        <v>37</v>
      </c>
      <c r="AO136" t="s">
        <v>37</v>
      </c>
      <c r="AP136">
        <v>4805094</v>
      </c>
      <c r="AQ136" t="s">
        <v>37</v>
      </c>
      <c r="AR136">
        <v>286729</v>
      </c>
      <c r="AS136" t="s">
        <v>37</v>
      </c>
      <c r="AT136">
        <v>1970593</v>
      </c>
      <c r="AU136" t="s">
        <v>37</v>
      </c>
      <c r="AV136">
        <v>1252928</v>
      </c>
      <c r="AW136" t="s">
        <v>37</v>
      </c>
      <c r="AX136">
        <v>794852</v>
      </c>
      <c r="AY136" t="s">
        <v>37</v>
      </c>
      <c r="AZ136">
        <v>876205</v>
      </c>
      <c r="BA136" t="s">
        <v>37</v>
      </c>
      <c r="BB136">
        <v>142846</v>
      </c>
      <c r="BC136" t="s">
        <v>37</v>
      </c>
      <c r="BD136">
        <v>796894</v>
      </c>
      <c r="BE136" t="s">
        <v>37</v>
      </c>
      <c r="BF136">
        <v>189307</v>
      </c>
      <c r="BG136" t="s">
        <v>37</v>
      </c>
      <c r="BI136" t="s">
        <v>37</v>
      </c>
      <c r="BJ136">
        <v>1048572</v>
      </c>
      <c r="BK136" t="s">
        <v>37</v>
      </c>
      <c r="BL136">
        <v>1583940</v>
      </c>
      <c r="BM136" t="s">
        <v>37</v>
      </c>
      <c r="BO136" t="s">
        <v>37</v>
      </c>
      <c r="BP136">
        <v>112468</v>
      </c>
      <c r="BQ136" t="s">
        <v>37</v>
      </c>
      <c r="BR136">
        <v>683249</v>
      </c>
      <c r="BS136" t="s">
        <v>37</v>
      </c>
      <c r="BT136">
        <v>248587</v>
      </c>
      <c r="BU136" t="s">
        <v>37</v>
      </c>
      <c r="BW136" t="s">
        <v>37</v>
      </c>
      <c r="BX136">
        <v>3116844</v>
      </c>
      <c r="BY136" t="s">
        <v>37</v>
      </c>
      <c r="BZ136">
        <v>262654</v>
      </c>
      <c r="CA136" t="s">
        <v>37</v>
      </c>
      <c r="CC136" t="s">
        <v>37</v>
      </c>
      <c r="CD136">
        <v>656800</v>
      </c>
      <c r="CE136" t="s">
        <v>37</v>
      </c>
      <c r="CF136">
        <v>651610</v>
      </c>
      <c r="CG136" t="s">
        <v>37</v>
      </c>
      <c r="CH136">
        <v>2065915</v>
      </c>
      <c r="CI136" t="s">
        <v>37</v>
      </c>
      <c r="CJ136">
        <v>409462</v>
      </c>
      <c r="CK136" t="s">
        <v>37</v>
      </c>
      <c r="CL136">
        <v>1093134</v>
      </c>
      <c r="CM136" t="s">
        <v>37</v>
      </c>
      <c r="CN136">
        <v>158880</v>
      </c>
      <c r="CO136" t="s">
        <v>37</v>
      </c>
      <c r="CP136">
        <v>569818</v>
      </c>
      <c r="CQ136" t="s">
        <v>37</v>
      </c>
      <c r="CR136">
        <v>1080698</v>
      </c>
      <c r="CS136" t="s">
        <v>37</v>
      </c>
      <c r="CT136">
        <v>9054053</v>
      </c>
      <c r="CU136" t="s">
        <v>37</v>
      </c>
      <c r="CV136">
        <v>1242615</v>
      </c>
      <c r="CW136" t="s">
        <v>37</v>
      </c>
      <c r="CX136">
        <v>215413</v>
      </c>
      <c r="CY136" t="s">
        <v>37</v>
      </c>
      <c r="CZ136">
        <v>119397</v>
      </c>
      <c r="DA136" t="s">
        <v>37</v>
      </c>
      <c r="DC136" t="s">
        <v>37</v>
      </c>
      <c r="DD136">
        <v>536426</v>
      </c>
      <c r="DE136" t="s">
        <v>37</v>
      </c>
      <c r="DF136">
        <v>221212</v>
      </c>
      <c r="DG136" t="s">
        <v>37</v>
      </c>
      <c r="DH136">
        <v>3734545</v>
      </c>
      <c r="DI136" t="s">
        <v>37</v>
      </c>
      <c r="DJ136">
        <v>292658</v>
      </c>
      <c r="DK136" t="s">
        <v>37</v>
      </c>
      <c r="DL136">
        <v>1968673</v>
      </c>
      <c r="DM136" t="s">
        <v>37</v>
      </c>
      <c r="DN136">
        <v>1820033</v>
      </c>
      <c r="DO136" t="s">
        <v>37</v>
      </c>
      <c r="DP136">
        <v>1431792</v>
      </c>
      <c r="DQ136" t="s">
        <v>37</v>
      </c>
      <c r="DR136">
        <v>943169</v>
      </c>
      <c r="DS136" t="s">
        <v>37</v>
      </c>
      <c r="DT136">
        <v>778256</v>
      </c>
      <c r="DU136" t="s">
        <v>37</v>
      </c>
      <c r="DV136">
        <v>4247730</v>
      </c>
      <c r="DW136" t="s">
        <v>37</v>
      </c>
      <c r="DX136">
        <v>1648145</v>
      </c>
      <c r="DY136" t="s">
        <v>37</v>
      </c>
      <c r="DZ136">
        <v>414524</v>
      </c>
      <c r="EA136" t="s">
        <v>37</v>
      </c>
      <c r="EB136">
        <v>814750</v>
      </c>
      <c r="EC136" t="s">
        <v>37</v>
      </c>
      <c r="ED136">
        <v>2852594</v>
      </c>
      <c r="EE136" t="s">
        <v>37</v>
      </c>
      <c r="EF136">
        <v>105938</v>
      </c>
      <c r="EG136" t="s">
        <v>37</v>
      </c>
      <c r="EI136" t="s">
        <v>37</v>
      </c>
      <c r="EJ136">
        <v>548288</v>
      </c>
      <c r="EK136" t="s">
        <v>37</v>
      </c>
      <c r="EL136">
        <v>397571</v>
      </c>
      <c r="EM136" t="s">
        <v>37</v>
      </c>
      <c r="EN136">
        <v>405355</v>
      </c>
      <c r="EO136" t="s">
        <v>37</v>
      </c>
      <c r="EQ136" t="s">
        <v>37</v>
      </c>
      <c r="ER136">
        <v>804370</v>
      </c>
      <c r="ES136" t="s">
        <v>37</v>
      </c>
      <c r="ET136">
        <v>1435693</v>
      </c>
      <c r="EU136" t="s">
        <v>37</v>
      </c>
      <c r="EV136">
        <v>867927</v>
      </c>
      <c r="EW136" t="s">
        <v>37</v>
      </c>
      <c r="EY136" t="s">
        <v>37</v>
      </c>
      <c r="EZ136">
        <v>1081279</v>
      </c>
      <c r="FA136" t="s">
        <v>37</v>
      </c>
      <c r="FB136">
        <v>1099331</v>
      </c>
      <c r="FC136" t="s">
        <v>37</v>
      </c>
      <c r="FD136">
        <v>1648210</v>
      </c>
      <c r="FE136" t="s">
        <v>37</v>
      </c>
      <c r="FG136" t="s">
        <v>37</v>
      </c>
      <c r="FH136">
        <v>1692784</v>
      </c>
      <c r="FI136" t="s">
        <v>37</v>
      </c>
      <c r="FJ136">
        <v>3527817</v>
      </c>
      <c r="FK136" t="s">
        <v>37</v>
      </c>
      <c r="FL136">
        <v>3009040</v>
      </c>
      <c r="FM136" t="s">
        <v>37</v>
      </c>
      <c r="FN136">
        <v>482473</v>
      </c>
      <c r="FO136" t="s">
        <v>37</v>
      </c>
      <c r="FP136">
        <v>867255</v>
      </c>
      <c r="FQ136" t="s">
        <v>37</v>
      </c>
      <c r="FR136">
        <v>1202598</v>
      </c>
      <c r="FS136" t="s">
        <v>37</v>
      </c>
      <c r="FT136">
        <v>616320</v>
      </c>
      <c r="FU136" t="s">
        <v>37</v>
      </c>
      <c r="FV136">
        <v>699008</v>
      </c>
      <c r="FW136" t="s">
        <v>37</v>
      </c>
      <c r="FX136">
        <v>1112944</v>
      </c>
      <c r="FY136" t="s">
        <v>37</v>
      </c>
      <c r="FZ136">
        <v>1586526</v>
      </c>
      <c r="GA136" t="s">
        <v>37</v>
      </c>
      <c r="GB136">
        <v>1306185</v>
      </c>
      <c r="GC136" t="s">
        <v>37</v>
      </c>
      <c r="GE136" t="s">
        <v>37</v>
      </c>
      <c r="GG136" t="s">
        <v>37</v>
      </c>
      <c r="GI136" t="s">
        <v>37</v>
      </c>
      <c r="GJ136">
        <v>1656624</v>
      </c>
      <c r="GK136" t="s">
        <v>37</v>
      </c>
      <c r="GL136">
        <v>1464870</v>
      </c>
      <c r="GM136" t="s">
        <v>37</v>
      </c>
      <c r="GO136" t="s">
        <v>37</v>
      </c>
      <c r="GP136">
        <v>1061057</v>
      </c>
      <c r="GQ136" t="s">
        <v>37</v>
      </c>
      <c r="GR136">
        <v>907612</v>
      </c>
      <c r="GS136" t="s">
        <v>37</v>
      </c>
      <c r="GT136">
        <v>1014092</v>
      </c>
      <c r="GU136" t="s">
        <v>37</v>
      </c>
      <c r="GV136">
        <v>523735</v>
      </c>
      <c r="GW136" t="s">
        <v>37</v>
      </c>
      <c r="GX136">
        <v>2126753</v>
      </c>
      <c r="GY136" t="s">
        <v>37</v>
      </c>
      <c r="GZ136">
        <v>1006205</v>
      </c>
      <c r="HA136" t="s">
        <v>37</v>
      </c>
      <c r="HC136" t="s">
        <v>37</v>
      </c>
      <c r="HE136" t="s">
        <v>37</v>
      </c>
      <c r="HF136">
        <v>104612739</v>
      </c>
      <c r="HG136" t="s">
        <v>37</v>
      </c>
      <c r="HI136" t="s">
        <v>37</v>
      </c>
      <c r="HJ136">
        <v>104612739</v>
      </c>
      <c r="HK136" t="s">
        <v>37</v>
      </c>
    </row>
    <row r="137" spans="1:219">
      <c r="C137" t="s">
        <v>37</v>
      </c>
      <c r="D137" t="s">
        <v>38</v>
      </c>
      <c r="E137" t="s">
        <v>37</v>
      </c>
      <c r="F137" t="s">
        <v>39</v>
      </c>
      <c r="G137" t="s">
        <v>37</v>
      </c>
      <c r="H137" t="s">
        <v>40</v>
      </c>
      <c r="I137" t="s">
        <v>37</v>
      </c>
      <c r="J137" t="s">
        <v>41</v>
      </c>
      <c r="K137" s="48" t="s">
        <v>37</v>
      </c>
      <c r="L137" s="49" t="s">
        <v>303</v>
      </c>
      <c r="M137" s="48" t="s">
        <v>37</v>
      </c>
      <c r="N137" s="49" t="s">
        <v>304</v>
      </c>
      <c r="O137" s="48" t="s">
        <v>37</v>
      </c>
      <c r="P137" s="49" t="s">
        <v>305</v>
      </c>
      <c r="Q137" s="48" t="s">
        <v>37</v>
      </c>
      <c r="R137" s="49" t="s">
        <v>306</v>
      </c>
      <c r="S137" s="48" t="s">
        <v>37</v>
      </c>
      <c r="T137" t="s">
        <v>307</v>
      </c>
      <c r="U137" t="s">
        <v>37</v>
      </c>
      <c r="V137" t="s">
        <v>308</v>
      </c>
      <c r="W137" t="s">
        <v>37</v>
      </c>
      <c r="X137" t="s">
        <v>309</v>
      </c>
      <c r="Y137" t="s">
        <v>37</v>
      </c>
      <c r="Z137" t="s">
        <v>310</v>
      </c>
      <c r="AA137" t="s">
        <v>37</v>
      </c>
      <c r="AB137" t="s">
        <v>311</v>
      </c>
      <c r="AC137" t="s">
        <v>37</v>
      </c>
      <c r="AD137" t="s">
        <v>312</v>
      </c>
      <c r="AE137" t="s">
        <v>37</v>
      </c>
      <c r="AF137" t="s">
        <v>313</v>
      </c>
      <c r="AG137" t="s">
        <v>37</v>
      </c>
      <c r="AH137" t="s">
        <v>314</v>
      </c>
      <c r="AI137" t="s">
        <v>37</v>
      </c>
      <c r="AJ137" t="s">
        <v>315</v>
      </c>
      <c r="AK137" t="s">
        <v>37</v>
      </c>
      <c r="AL137" t="s">
        <v>316</v>
      </c>
      <c r="AM137" t="s">
        <v>37</v>
      </c>
      <c r="AN137" t="s">
        <v>317</v>
      </c>
      <c r="AO137" t="s">
        <v>37</v>
      </c>
      <c r="AP137" t="s">
        <v>318</v>
      </c>
      <c r="AQ137" t="s">
        <v>37</v>
      </c>
      <c r="AR137" t="s">
        <v>319</v>
      </c>
      <c r="AS137" t="s">
        <v>37</v>
      </c>
      <c r="AT137" t="s">
        <v>320</v>
      </c>
      <c r="AU137" t="s">
        <v>37</v>
      </c>
      <c r="AV137" t="s">
        <v>321</v>
      </c>
      <c r="AW137" t="s">
        <v>37</v>
      </c>
      <c r="AX137" t="s">
        <v>322</v>
      </c>
      <c r="AY137" t="s">
        <v>37</v>
      </c>
      <c r="AZ137" t="s">
        <v>323</v>
      </c>
      <c r="BA137" t="s">
        <v>37</v>
      </c>
      <c r="BB137" t="s">
        <v>324</v>
      </c>
      <c r="BC137" t="s">
        <v>37</v>
      </c>
      <c r="BD137" t="s">
        <v>325</v>
      </c>
      <c r="BE137" t="s">
        <v>37</v>
      </c>
      <c r="BF137" t="s">
        <v>326</v>
      </c>
      <c r="BG137" t="s">
        <v>37</v>
      </c>
      <c r="BH137" t="s">
        <v>327</v>
      </c>
      <c r="BI137" t="s">
        <v>37</v>
      </c>
      <c r="BJ137" t="s">
        <v>328</v>
      </c>
      <c r="BK137" t="s">
        <v>37</v>
      </c>
      <c r="BL137" t="s">
        <v>329</v>
      </c>
      <c r="BM137" t="s">
        <v>37</v>
      </c>
      <c r="BN137" t="s">
        <v>330</v>
      </c>
      <c r="BO137" t="s">
        <v>37</v>
      </c>
      <c r="BP137" t="s">
        <v>331</v>
      </c>
      <c r="BQ137" t="s">
        <v>37</v>
      </c>
      <c r="BR137" t="s">
        <v>332</v>
      </c>
      <c r="BS137" t="s">
        <v>37</v>
      </c>
      <c r="BT137" t="s">
        <v>333</v>
      </c>
      <c r="BU137" t="s">
        <v>37</v>
      </c>
      <c r="BV137" t="s">
        <v>334</v>
      </c>
      <c r="BW137" t="s">
        <v>37</v>
      </c>
      <c r="BX137" t="s">
        <v>335</v>
      </c>
      <c r="BY137" t="s">
        <v>37</v>
      </c>
      <c r="BZ137" t="s">
        <v>336</v>
      </c>
      <c r="CA137" t="s">
        <v>37</v>
      </c>
      <c r="CB137" t="s">
        <v>337</v>
      </c>
      <c r="CC137" t="s">
        <v>37</v>
      </c>
      <c r="CD137" t="s">
        <v>338</v>
      </c>
      <c r="CE137" t="s">
        <v>37</v>
      </c>
      <c r="CF137" t="s">
        <v>339</v>
      </c>
      <c r="CG137" t="s">
        <v>37</v>
      </c>
      <c r="CH137" t="s">
        <v>340</v>
      </c>
      <c r="CI137" t="s">
        <v>37</v>
      </c>
      <c r="CJ137" t="s">
        <v>341</v>
      </c>
      <c r="CK137" t="s">
        <v>37</v>
      </c>
      <c r="CL137" t="s">
        <v>342</v>
      </c>
      <c r="CM137" t="s">
        <v>37</v>
      </c>
      <c r="CN137" t="s">
        <v>343</v>
      </c>
      <c r="CO137" t="s">
        <v>37</v>
      </c>
      <c r="CP137" t="s">
        <v>344</v>
      </c>
      <c r="CQ137" t="s">
        <v>37</v>
      </c>
      <c r="CR137" t="s">
        <v>345</v>
      </c>
      <c r="CS137" t="s">
        <v>37</v>
      </c>
      <c r="CT137" t="s">
        <v>346</v>
      </c>
      <c r="CU137" t="s">
        <v>37</v>
      </c>
      <c r="CV137" t="s">
        <v>347</v>
      </c>
      <c r="CW137" t="s">
        <v>37</v>
      </c>
      <c r="CX137" t="s">
        <v>348</v>
      </c>
      <c r="CY137" t="s">
        <v>37</v>
      </c>
      <c r="CZ137" t="s">
        <v>349</v>
      </c>
      <c r="DA137" t="s">
        <v>37</v>
      </c>
      <c r="DB137" t="s">
        <v>350</v>
      </c>
      <c r="DC137" t="s">
        <v>37</v>
      </c>
      <c r="DD137" t="s">
        <v>351</v>
      </c>
      <c r="DE137" t="s">
        <v>37</v>
      </c>
      <c r="DF137" t="s">
        <v>352</v>
      </c>
      <c r="DG137" t="s">
        <v>37</v>
      </c>
      <c r="DH137" t="s">
        <v>353</v>
      </c>
      <c r="DI137" t="s">
        <v>37</v>
      </c>
      <c r="DJ137" t="s">
        <v>354</v>
      </c>
      <c r="DK137" t="s">
        <v>37</v>
      </c>
      <c r="DL137" t="s">
        <v>355</v>
      </c>
      <c r="DM137" t="s">
        <v>37</v>
      </c>
      <c r="DN137" t="s">
        <v>356</v>
      </c>
      <c r="DO137" t="s">
        <v>37</v>
      </c>
      <c r="DP137" t="s">
        <v>357</v>
      </c>
      <c r="DQ137" t="s">
        <v>37</v>
      </c>
      <c r="DR137" t="s">
        <v>358</v>
      </c>
      <c r="DS137" t="s">
        <v>37</v>
      </c>
      <c r="DT137" t="s">
        <v>359</v>
      </c>
      <c r="DU137" t="s">
        <v>37</v>
      </c>
      <c r="DV137" t="s">
        <v>360</v>
      </c>
      <c r="DW137" t="s">
        <v>37</v>
      </c>
      <c r="DX137" t="s">
        <v>361</v>
      </c>
      <c r="DY137" t="s">
        <v>37</v>
      </c>
      <c r="DZ137" t="s">
        <v>362</v>
      </c>
      <c r="EA137" t="s">
        <v>37</v>
      </c>
      <c r="EB137" t="s">
        <v>363</v>
      </c>
      <c r="EC137" t="s">
        <v>37</v>
      </c>
      <c r="ED137" t="s">
        <v>364</v>
      </c>
      <c r="EE137" t="s">
        <v>37</v>
      </c>
      <c r="EF137" t="s">
        <v>365</v>
      </c>
      <c r="EG137" t="s">
        <v>37</v>
      </c>
      <c r="EH137" t="s">
        <v>366</v>
      </c>
      <c r="EI137" t="s">
        <v>37</v>
      </c>
      <c r="EJ137" t="s">
        <v>367</v>
      </c>
      <c r="EK137" t="s">
        <v>37</v>
      </c>
      <c r="EL137" t="s">
        <v>368</v>
      </c>
      <c r="EM137" t="s">
        <v>37</v>
      </c>
      <c r="EN137" t="s">
        <v>369</v>
      </c>
      <c r="EO137" t="s">
        <v>37</v>
      </c>
      <c r="EP137" t="s">
        <v>370</v>
      </c>
      <c r="EQ137" t="s">
        <v>37</v>
      </c>
      <c r="ER137" t="s">
        <v>371</v>
      </c>
      <c r="ES137" t="s">
        <v>37</v>
      </c>
      <c r="ET137" t="s">
        <v>372</v>
      </c>
      <c r="EU137" t="s">
        <v>37</v>
      </c>
      <c r="EV137" t="s">
        <v>373</v>
      </c>
      <c r="EW137" t="s">
        <v>37</v>
      </c>
      <c r="EX137" t="s">
        <v>374</v>
      </c>
      <c r="EY137" t="s">
        <v>37</v>
      </c>
      <c r="EZ137" t="s">
        <v>375</v>
      </c>
      <c r="FA137" t="s">
        <v>37</v>
      </c>
      <c r="FB137" t="s">
        <v>376</v>
      </c>
      <c r="FC137" t="s">
        <v>37</v>
      </c>
      <c r="FD137" t="s">
        <v>377</v>
      </c>
      <c r="FE137" t="s">
        <v>37</v>
      </c>
      <c r="FF137" t="s">
        <v>378</v>
      </c>
      <c r="FG137" t="s">
        <v>37</v>
      </c>
      <c r="FH137" t="s">
        <v>379</v>
      </c>
      <c r="FI137" t="s">
        <v>37</v>
      </c>
      <c r="FJ137" t="s">
        <v>380</v>
      </c>
      <c r="FK137" t="s">
        <v>37</v>
      </c>
      <c r="FL137" t="s">
        <v>381</v>
      </c>
      <c r="FM137" t="s">
        <v>37</v>
      </c>
      <c r="FN137" t="s">
        <v>382</v>
      </c>
      <c r="FO137" t="s">
        <v>37</v>
      </c>
      <c r="FP137" t="s">
        <v>383</v>
      </c>
      <c r="FQ137" t="s">
        <v>37</v>
      </c>
      <c r="FR137" t="s">
        <v>384</v>
      </c>
      <c r="FS137" t="s">
        <v>37</v>
      </c>
      <c r="FT137" t="s">
        <v>385</v>
      </c>
      <c r="FU137" t="s">
        <v>37</v>
      </c>
      <c r="FV137" t="s">
        <v>386</v>
      </c>
      <c r="FW137" t="s">
        <v>37</v>
      </c>
      <c r="FX137" t="s">
        <v>387</v>
      </c>
      <c r="FY137" t="s">
        <v>37</v>
      </c>
      <c r="FZ137" t="s">
        <v>388</v>
      </c>
      <c r="GA137" t="s">
        <v>37</v>
      </c>
      <c r="GB137" t="s">
        <v>389</v>
      </c>
      <c r="GC137" t="s">
        <v>37</v>
      </c>
      <c r="GD137" t="s">
        <v>390</v>
      </c>
      <c r="GE137" t="s">
        <v>37</v>
      </c>
      <c r="GF137" t="s">
        <v>391</v>
      </c>
      <c r="GG137" t="s">
        <v>37</v>
      </c>
      <c r="GH137" t="s">
        <v>392</v>
      </c>
      <c r="GI137" t="s">
        <v>37</v>
      </c>
      <c r="GJ137" t="s">
        <v>393</v>
      </c>
      <c r="GK137" t="s">
        <v>37</v>
      </c>
      <c r="GL137" t="s">
        <v>394</v>
      </c>
      <c r="GM137" t="s">
        <v>37</v>
      </c>
      <c r="GN137" t="s">
        <v>395</v>
      </c>
      <c r="GO137" t="s">
        <v>37</v>
      </c>
      <c r="GP137" t="s">
        <v>396</v>
      </c>
      <c r="GQ137" t="s">
        <v>37</v>
      </c>
      <c r="GR137" t="s">
        <v>397</v>
      </c>
      <c r="GS137" t="s">
        <v>37</v>
      </c>
      <c r="GT137" t="s">
        <v>398</v>
      </c>
      <c r="GU137" t="s">
        <v>37</v>
      </c>
      <c r="GV137" t="s">
        <v>399</v>
      </c>
      <c r="GW137" t="s">
        <v>37</v>
      </c>
      <c r="GX137" t="s">
        <v>400</v>
      </c>
      <c r="GY137" t="s">
        <v>37</v>
      </c>
      <c r="GZ137" t="s">
        <v>401</v>
      </c>
      <c r="HA137" t="s">
        <v>37</v>
      </c>
      <c r="HB137" t="s">
        <v>29</v>
      </c>
      <c r="HC137" t="s">
        <v>37</v>
      </c>
      <c r="HD137" t="s">
        <v>402</v>
      </c>
      <c r="HE137" t="s">
        <v>37</v>
      </c>
      <c r="HF137" t="s">
        <v>403</v>
      </c>
      <c r="HG137" t="s">
        <v>37</v>
      </c>
      <c r="HH137" t="s">
        <v>404</v>
      </c>
      <c r="HI137" t="s">
        <v>37</v>
      </c>
      <c r="HJ137" t="s">
        <v>405</v>
      </c>
      <c r="HK137" t="s">
        <v>37</v>
      </c>
    </row>
    <row r="138" spans="1:219">
      <c r="C138" t="s">
        <v>37</v>
      </c>
      <c r="E138" t="s">
        <v>37</v>
      </c>
      <c r="G138" t="s">
        <v>37</v>
      </c>
      <c r="I138" t="s">
        <v>37</v>
      </c>
      <c r="K138" s="48" t="s">
        <v>37</v>
      </c>
      <c r="L138" s="51"/>
      <c r="M138" s="48" t="s">
        <v>37</v>
      </c>
      <c r="N138" s="51"/>
      <c r="O138" s="48" t="s">
        <v>37</v>
      </c>
      <c r="P138" s="51"/>
      <c r="Q138" s="48" t="s">
        <v>37</v>
      </c>
      <c r="R138" s="51"/>
      <c r="S138" s="48" t="s">
        <v>37</v>
      </c>
      <c r="U138" t="s">
        <v>37</v>
      </c>
      <c r="W138" t="s">
        <v>37</v>
      </c>
      <c r="Y138" t="s">
        <v>37</v>
      </c>
      <c r="AA138" t="s">
        <v>37</v>
      </c>
      <c r="AC138" t="s">
        <v>37</v>
      </c>
      <c r="AE138" t="s">
        <v>37</v>
      </c>
      <c r="AG138" t="s">
        <v>37</v>
      </c>
      <c r="AI138" t="s">
        <v>37</v>
      </c>
      <c r="AK138" t="s">
        <v>37</v>
      </c>
      <c r="AM138" t="s">
        <v>37</v>
      </c>
      <c r="AO138" t="s">
        <v>37</v>
      </c>
      <c r="AQ138" t="s">
        <v>37</v>
      </c>
      <c r="AS138" t="s">
        <v>37</v>
      </c>
      <c r="AU138" t="s">
        <v>37</v>
      </c>
      <c r="AW138" t="s">
        <v>37</v>
      </c>
      <c r="AY138" t="s">
        <v>37</v>
      </c>
      <c r="BA138" t="s">
        <v>37</v>
      </c>
      <c r="BC138" t="s">
        <v>37</v>
      </c>
      <c r="BE138" t="s">
        <v>37</v>
      </c>
      <c r="BG138" t="s">
        <v>37</v>
      </c>
      <c r="BI138" t="s">
        <v>37</v>
      </c>
      <c r="BK138" t="s">
        <v>37</v>
      </c>
      <c r="BM138" t="s">
        <v>37</v>
      </c>
      <c r="BO138" t="s">
        <v>37</v>
      </c>
      <c r="BQ138" t="s">
        <v>37</v>
      </c>
      <c r="BS138" t="s">
        <v>37</v>
      </c>
      <c r="BU138" t="s">
        <v>37</v>
      </c>
      <c r="BW138" t="s">
        <v>37</v>
      </c>
      <c r="BY138" t="s">
        <v>37</v>
      </c>
      <c r="CA138" t="s">
        <v>37</v>
      </c>
      <c r="CC138" t="s">
        <v>37</v>
      </c>
      <c r="CE138" t="s">
        <v>37</v>
      </c>
      <c r="CG138" t="s">
        <v>37</v>
      </c>
      <c r="CI138" t="s">
        <v>37</v>
      </c>
      <c r="CK138" t="s">
        <v>37</v>
      </c>
      <c r="CM138" t="s">
        <v>37</v>
      </c>
      <c r="CO138" t="s">
        <v>37</v>
      </c>
      <c r="CQ138" t="s">
        <v>37</v>
      </c>
      <c r="CS138" t="s">
        <v>37</v>
      </c>
      <c r="CU138" t="s">
        <v>37</v>
      </c>
      <c r="CW138" t="s">
        <v>37</v>
      </c>
      <c r="CY138" t="s">
        <v>37</v>
      </c>
      <c r="DA138" t="s">
        <v>37</v>
      </c>
      <c r="DC138" t="s">
        <v>37</v>
      </c>
      <c r="DE138" t="s">
        <v>37</v>
      </c>
      <c r="DG138" t="s">
        <v>37</v>
      </c>
      <c r="DI138" t="s">
        <v>37</v>
      </c>
      <c r="DK138" t="s">
        <v>37</v>
      </c>
      <c r="DM138" t="s">
        <v>37</v>
      </c>
      <c r="DO138" t="s">
        <v>37</v>
      </c>
      <c r="DQ138" t="s">
        <v>37</v>
      </c>
      <c r="DS138" t="s">
        <v>37</v>
      </c>
      <c r="DU138" t="s">
        <v>37</v>
      </c>
      <c r="DW138" t="s">
        <v>37</v>
      </c>
      <c r="DY138" t="s">
        <v>37</v>
      </c>
      <c r="EA138" t="s">
        <v>37</v>
      </c>
      <c r="EC138" t="s">
        <v>37</v>
      </c>
      <c r="EE138" t="s">
        <v>37</v>
      </c>
      <c r="EG138" t="s">
        <v>37</v>
      </c>
      <c r="EI138" t="s">
        <v>37</v>
      </c>
      <c r="EK138" t="s">
        <v>37</v>
      </c>
      <c r="EM138" t="s">
        <v>37</v>
      </c>
      <c r="EO138" t="s">
        <v>37</v>
      </c>
      <c r="EQ138" t="s">
        <v>37</v>
      </c>
      <c r="ES138" t="s">
        <v>37</v>
      </c>
      <c r="EU138" t="s">
        <v>37</v>
      </c>
      <c r="EW138" t="s">
        <v>37</v>
      </c>
      <c r="EY138" t="s">
        <v>37</v>
      </c>
      <c r="FA138" t="s">
        <v>37</v>
      </c>
      <c r="FC138" t="s">
        <v>37</v>
      </c>
      <c r="FE138" t="s">
        <v>37</v>
      </c>
      <c r="FG138" t="s">
        <v>37</v>
      </c>
      <c r="FI138" t="s">
        <v>37</v>
      </c>
      <c r="FK138" t="s">
        <v>37</v>
      </c>
      <c r="FM138" t="s">
        <v>37</v>
      </c>
      <c r="FO138" t="s">
        <v>37</v>
      </c>
      <c r="FQ138" t="s">
        <v>37</v>
      </c>
      <c r="FS138" t="s">
        <v>37</v>
      </c>
      <c r="FU138" t="s">
        <v>37</v>
      </c>
      <c r="FW138" t="s">
        <v>37</v>
      </c>
      <c r="FY138" t="s">
        <v>37</v>
      </c>
      <c r="GA138" t="s">
        <v>37</v>
      </c>
      <c r="GC138" t="s">
        <v>37</v>
      </c>
      <c r="GE138" t="s">
        <v>37</v>
      </c>
      <c r="GG138" t="s">
        <v>37</v>
      </c>
      <c r="GI138" t="s">
        <v>37</v>
      </c>
      <c r="GK138" t="s">
        <v>37</v>
      </c>
      <c r="GM138" t="s">
        <v>37</v>
      </c>
      <c r="GO138" t="s">
        <v>37</v>
      </c>
      <c r="GQ138" t="s">
        <v>37</v>
      </c>
      <c r="GS138" t="s">
        <v>37</v>
      </c>
      <c r="GU138" t="s">
        <v>37</v>
      </c>
      <c r="GW138" t="s">
        <v>37</v>
      </c>
      <c r="GY138" t="s">
        <v>37</v>
      </c>
      <c r="HA138" t="s">
        <v>37</v>
      </c>
      <c r="HC138" t="s">
        <v>37</v>
      </c>
      <c r="HE138" t="s">
        <v>37</v>
      </c>
      <c r="HG138" t="s">
        <v>37</v>
      </c>
      <c r="HI138" t="s">
        <v>37</v>
      </c>
      <c r="HK138" t="s">
        <v>37</v>
      </c>
    </row>
    <row r="139" spans="1:219">
      <c r="A139">
        <v>3317</v>
      </c>
      <c r="B139" t="s">
        <v>161</v>
      </c>
      <c r="C139" t="s">
        <v>37</v>
      </c>
      <c r="D139">
        <v>65476</v>
      </c>
      <c r="E139" t="s">
        <v>37</v>
      </c>
      <c r="F139">
        <v>289208</v>
      </c>
      <c r="G139" t="s">
        <v>37</v>
      </c>
      <c r="H139">
        <v>32200</v>
      </c>
      <c r="I139" t="s">
        <v>37</v>
      </c>
      <c r="K139" s="48" t="s">
        <v>37</v>
      </c>
      <c r="L139" s="51">
        <v>91231</v>
      </c>
      <c r="M139" s="48" t="s">
        <v>37</v>
      </c>
      <c r="N139" s="51">
        <v>28307</v>
      </c>
      <c r="O139" s="48" t="s">
        <v>37</v>
      </c>
      <c r="P139" s="51">
        <v>24083</v>
      </c>
      <c r="Q139" s="48" t="s">
        <v>37</v>
      </c>
      <c r="R139" s="51">
        <v>23259</v>
      </c>
      <c r="S139" s="48" t="s">
        <v>37</v>
      </c>
      <c r="T139">
        <v>151246</v>
      </c>
      <c r="U139" t="s">
        <v>37</v>
      </c>
      <c r="W139" t="s">
        <v>37</v>
      </c>
      <c r="Y139" t="s">
        <v>37</v>
      </c>
      <c r="Z139">
        <v>25822</v>
      </c>
      <c r="AA139" t="s">
        <v>37</v>
      </c>
      <c r="AB139">
        <v>8365</v>
      </c>
      <c r="AC139" t="s">
        <v>37</v>
      </c>
      <c r="AD139">
        <v>17772</v>
      </c>
      <c r="AE139" t="s">
        <v>37</v>
      </c>
      <c r="AF139">
        <v>3066</v>
      </c>
      <c r="AG139" t="s">
        <v>37</v>
      </c>
      <c r="AH139">
        <v>10121</v>
      </c>
      <c r="AI139" t="s">
        <v>37</v>
      </c>
      <c r="AK139" t="s">
        <v>37</v>
      </c>
      <c r="AL139">
        <v>4508</v>
      </c>
      <c r="AM139" t="s">
        <v>37</v>
      </c>
      <c r="AO139" t="s">
        <v>37</v>
      </c>
      <c r="AP139">
        <v>628322</v>
      </c>
      <c r="AQ139" t="s">
        <v>37</v>
      </c>
      <c r="AR139">
        <v>13279</v>
      </c>
      <c r="AS139" t="s">
        <v>37</v>
      </c>
      <c r="AT139">
        <v>261841</v>
      </c>
      <c r="AU139" t="s">
        <v>37</v>
      </c>
      <c r="AV139">
        <v>101524</v>
      </c>
      <c r="AW139" t="s">
        <v>37</v>
      </c>
      <c r="AX139">
        <v>120987</v>
      </c>
      <c r="AY139" t="s">
        <v>37</v>
      </c>
      <c r="AZ139">
        <v>77862</v>
      </c>
      <c r="BA139" t="s">
        <v>37</v>
      </c>
      <c r="BB139">
        <v>21720</v>
      </c>
      <c r="BC139" t="s">
        <v>37</v>
      </c>
      <c r="BD139">
        <v>39110</v>
      </c>
      <c r="BE139" t="s">
        <v>37</v>
      </c>
      <c r="BF139">
        <v>28063</v>
      </c>
      <c r="BG139" t="s">
        <v>37</v>
      </c>
      <c r="BI139" t="s">
        <v>37</v>
      </c>
      <c r="BJ139">
        <v>66441</v>
      </c>
      <c r="BK139" t="s">
        <v>37</v>
      </c>
      <c r="BL139">
        <v>231944</v>
      </c>
      <c r="BM139" t="s">
        <v>37</v>
      </c>
      <c r="BO139" t="s">
        <v>37</v>
      </c>
      <c r="BP139">
        <v>8611</v>
      </c>
      <c r="BQ139" t="s">
        <v>37</v>
      </c>
      <c r="BR139">
        <v>35858</v>
      </c>
      <c r="BS139" t="s">
        <v>37</v>
      </c>
      <c r="BT139">
        <v>8202</v>
      </c>
      <c r="BU139" t="s">
        <v>37</v>
      </c>
      <c r="BW139" t="s">
        <v>37</v>
      </c>
      <c r="BX139">
        <v>470008</v>
      </c>
      <c r="BY139" t="s">
        <v>37</v>
      </c>
      <c r="BZ139">
        <v>26707</v>
      </c>
      <c r="CA139" t="s">
        <v>37</v>
      </c>
      <c r="CC139" t="s">
        <v>37</v>
      </c>
      <c r="CD139">
        <v>22552</v>
      </c>
      <c r="CE139" t="s">
        <v>37</v>
      </c>
      <c r="CF139">
        <v>42240</v>
      </c>
      <c r="CG139" t="s">
        <v>37</v>
      </c>
      <c r="CH139">
        <v>356404</v>
      </c>
      <c r="CI139" t="s">
        <v>37</v>
      </c>
      <c r="CJ139">
        <v>1160</v>
      </c>
      <c r="CK139" t="s">
        <v>37</v>
      </c>
      <c r="CL139">
        <v>43568</v>
      </c>
      <c r="CM139" t="s">
        <v>37</v>
      </c>
      <c r="CN139">
        <v>6543</v>
      </c>
      <c r="CO139" t="s">
        <v>37</v>
      </c>
      <c r="CP139">
        <v>17505</v>
      </c>
      <c r="CQ139" t="s">
        <v>37</v>
      </c>
      <c r="CR139">
        <v>82796</v>
      </c>
      <c r="CS139" t="s">
        <v>37</v>
      </c>
      <c r="CT139">
        <v>954150</v>
      </c>
      <c r="CU139" t="s">
        <v>37</v>
      </c>
      <c r="CV139">
        <v>159572</v>
      </c>
      <c r="CW139" t="s">
        <v>37</v>
      </c>
      <c r="CX139">
        <v>8352</v>
      </c>
      <c r="CY139" t="s">
        <v>37</v>
      </c>
      <c r="CZ139">
        <v>2401</v>
      </c>
      <c r="DA139" t="s">
        <v>37</v>
      </c>
      <c r="DC139" t="s">
        <v>37</v>
      </c>
      <c r="DD139">
        <v>13984</v>
      </c>
      <c r="DE139" t="s">
        <v>37</v>
      </c>
      <c r="DF139">
        <v>14786</v>
      </c>
      <c r="DG139" t="s">
        <v>37</v>
      </c>
      <c r="DH139">
        <v>518790</v>
      </c>
      <c r="DI139" t="s">
        <v>37</v>
      </c>
      <c r="DJ139">
        <v>78573</v>
      </c>
      <c r="DK139" t="s">
        <v>37</v>
      </c>
      <c r="DL139">
        <v>126169</v>
      </c>
      <c r="DM139" t="s">
        <v>37</v>
      </c>
      <c r="DN139">
        <v>57885</v>
      </c>
      <c r="DO139" t="s">
        <v>37</v>
      </c>
      <c r="DP139">
        <v>79105</v>
      </c>
      <c r="DQ139" t="s">
        <v>37</v>
      </c>
      <c r="DR139">
        <v>17072</v>
      </c>
      <c r="DS139" t="s">
        <v>37</v>
      </c>
      <c r="DT139">
        <v>20936</v>
      </c>
      <c r="DU139" t="s">
        <v>37</v>
      </c>
      <c r="DV139">
        <v>218825</v>
      </c>
      <c r="DW139" t="s">
        <v>37</v>
      </c>
      <c r="DX139">
        <v>86076</v>
      </c>
      <c r="DY139" t="s">
        <v>37</v>
      </c>
      <c r="DZ139">
        <v>20547</v>
      </c>
      <c r="EA139" t="s">
        <v>37</v>
      </c>
      <c r="EB139">
        <v>64865</v>
      </c>
      <c r="EC139" t="s">
        <v>37</v>
      </c>
      <c r="ED139">
        <v>95270</v>
      </c>
      <c r="EE139" t="s">
        <v>37</v>
      </c>
      <c r="EF139">
        <v>17541</v>
      </c>
      <c r="EG139" t="s">
        <v>37</v>
      </c>
      <c r="EI139" t="s">
        <v>37</v>
      </c>
      <c r="EJ139">
        <v>33134</v>
      </c>
      <c r="EK139" t="s">
        <v>37</v>
      </c>
      <c r="EL139">
        <v>29165</v>
      </c>
      <c r="EM139" t="s">
        <v>37</v>
      </c>
      <c r="EN139">
        <v>2974</v>
      </c>
      <c r="EO139" t="s">
        <v>37</v>
      </c>
      <c r="EQ139" t="s">
        <v>37</v>
      </c>
      <c r="ER139">
        <v>96698</v>
      </c>
      <c r="ES139" t="s">
        <v>37</v>
      </c>
      <c r="ET139">
        <v>44999</v>
      </c>
      <c r="EU139" t="s">
        <v>37</v>
      </c>
      <c r="EV139">
        <v>147385</v>
      </c>
      <c r="EW139" t="s">
        <v>37</v>
      </c>
      <c r="EY139" t="s">
        <v>37</v>
      </c>
      <c r="EZ139">
        <v>43735</v>
      </c>
      <c r="FA139" t="s">
        <v>37</v>
      </c>
      <c r="FB139">
        <v>61061</v>
      </c>
      <c r="FC139" t="s">
        <v>37</v>
      </c>
      <c r="FD139">
        <v>120690</v>
      </c>
      <c r="FE139" t="s">
        <v>37</v>
      </c>
      <c r="FG139" t="s">
        <v>37</v>
      </c>
      <c r="FH139">
        <v>119207</v>
      </c>
      <c r="FI139" t="s">
        <v>37</v>
      </c>
      <c r="FJ139">
        <v>234031</v>
      </c>
      <c r="FK139" t="s">
        <v>37</v>
      </c>
      <c r="FL139">
        <v>208943</v>
      </c>
      <c r="FM139" t="s">
        <v>37</v>
      </c>
      <c r="FN139">
        <v>19444</v>
      </c>
      <c r="FO139" t="s">
        <v>37</v>
      </c>
      <c r="FP139">
        <v>32013</v>
      </c>
      <c r="FQ139" t="s">
        <v>37</v>
      </c>
      <c r="FR139">
        <v>62800</v>
      </c>
      <c r="FS139" t="s">
        <v>37</v>
      </c>
      <c r="FT139">
        <v>34545</v>
      </c>
      <c r="FU139" t="s">
        <v>37</v>
      </c>
      <c r="FV139">
        <v>38087</v>
      </c>
      <c r="FW139" t="s">
        <v>37</v>
      </c>
      <c r="FX139">
        <v>44645</v>
      </c>
      <c r="FY139" t="s">
        <v>37</v>
      </c>
      <c r="FZ139">
        <v>86669</v>
      </c>
      <c r="GA139" t="s">
        <v>37</v>
      </c>
      <c r="GB139">
        <v>59881</v>
      </c>
      <c r="GC139" t="s">
        <v>37</v>
      </c>
      <c r="GE139" t="s">
        <v>37</v>
      </c>
      <c r="GG139" t="s">
        <v>37</v>
      </c>
      <c r="GI139" t="s">
        <v>37</v>
      </c>
      <c r="GJ139">
        <v>126930</v>
      </c>
      <c r="GK139" t="s">
        <v>37</v>
      </c>
      <c r="GL139">
        <v>96759</v>
      </c>
      <c r="GM139" t="s">
        <v>37</v>
      </c>
      <c r="GO139" t="s">
        <v>37</v>
      </c>
      <c r="GP139">
        <v>96390</v>
      </c>
      <c r="GQ139" t="s">
        <v>37</v>
      </c>
      <c r="GR139">
        <v>108247</v>
      </c>
      <c r="GS139" t="s">
        <v>37</v>
      </c>
      <c r="GT139">
        <v>158680</v>
      </c>
      <c r="GU139" t="s">
        <v>37</v>
      </c>
      <c r="GV139">
        <v>16515</v>
      </c>
      <c r="GW139" t="s">
        <v>37</v>
      </c>
      <c r="GX139">
        <v>379910</v>
      </c>
      <c r="GY139" t="s">
        <v>37</v>
      </c>
      <c r="GZ139">
        <v>21267</v>
      </c>
      <c r="HA139" t="s">
        <v>37</v>
      </c>
      <c r="HC139" t="s">
        <v>37</v>
      </c>
      <c r="HE139" t="s">
        <v>37</v>
      </c>
      <c r="HF139">
        <v>8567614</v>
      </c>
      <c r="HG139" t="s">
        <v>37</v>
      </c>
      <c r="HI139" t="s">
        <v>37</v>
      </c>
      <c r="HJ139">
        <v>8567614</v>
      </c>
      <c r="HK139" t="s">
        <v>37</v>
      </c>
    </row>
    <row r="140" spans="1:219">
      <c r="A140">
        <v>3319</v>
      </c>
      <c r="B140" t="s">
        <v>162</v>
      </c>
      <c r="C140" t="s">
        <v>37</v>
      </c>
      <c r="E140" t="s">
        <v>37</v>
      </c>
      <c r="G140" t="s">
        <v>37</v>
      </c>
      <c r="I140" t="s">
        <v>37</v>
      </c>
      <c r="K140" s="48" t="s">
        <v>37</v>
      </c>
      <c r="L140" s="50"/>
      <c r="M140" s="48" t="s">
        <v>37</v>
      </c>
      <c r="N140" s="50"/>
      <c r="O140" s="48" t="s">
        <v>37</v>
      </c>
      <c r="P140" s="50"/>
      <c r="Q140" s="48" t="s">
        <v>37</v>
      </c>
      <c r="R140" s="50"/>
      <c r="S140" s="48" t="s">
        <v>37</v>
      </c>
      <c r="U140" t="s">
        <v>37</v>
      </c>
      <c r="W140" t="s">
        <v>37</v>
      </c>
      <c r="Y140" t="s">
        <v>37</v>
      </c>
      <c r="AA140" t="s">
        <v>37</v>
      </c>
      <c r="AC140" t="s">
        <v>37</v>
      </c>
      <c r="AE140" t="s">
        <v>37</v>
      </c>
      <c r="AG140" t="s">
        <v>37</v>
      </c>
      <c r="AI140" t="s">
        <v>37</v>
      </c>
      <c r="AK140" t="s">
        <v>37</v>
      </c>
      <c r="AM140" t="s">
        <v>37</v>
      </c>
      <c r="AO140" t="s">
        <v>37</v>
      </c>
      <c r="AQ140" t="s">
        <v>37</v>
      </c>
      <c r="AS140" t="s">
        <v>37</v>
      </c>
      <c r="AU140" t="s">
        <v>37</v>
      </c>
      <c r="AW140" t="s">
        <v>37</v>
      </c>
      <c r="AY140" t="s">
        <v>37</v>
      </c>
      <c r="BA140" t="s">
        <v>37</v>
      </c>
      <c r="BC140" t="s">
        <v>37</v>
      </c>
      <c r="BE140" t="s">
        <v>37</v>
      </c>
      <c r="BG140" t="s">
        <v>37</v>
      </c>
      <c r="BI140" t="s">
        <v>37</v>
      </c>
      <c r="BK140" t="s">
        <v>37</v>
      </c>
      <c r="BM140" t="s">
        <v>37</v>
      </c>
      <c r="BO140" t="s">
        <v>37</v>
      </c>
      <c r="BQ140" t="s">
        <v>37</v>
      </c>
      <c r="BS140" t="s">
        <v>37</v>
      </c>
      <c r="BU140" t="s">
        <v>37</v>
      </c>
      <c r="BW140" t="s">
        <v>37</v>
      </c>
      <c r="BY140" t="s">
        <v>37</v>
      </c>
      <c r="CA140" t="s">
        <v>37</v>
      </c>
      <c r="CC140" t="s">
        <v>37</v>
      </c>
      <c r="CE140" t="s">
        <v>37</v>
      </c>
      <c r="CG140" t="s">
        <v>37</v>
      </c>
      <c r="CI140" t="s">
        <v>37</v>
      </c>
      <c r="CK140" t="s">
        <v>37</v>
      </c>
      <c r="CM140" t="s">
        <v>37</v>
      </c>
      <c r="CO140" t="s">
        <v>37</v>
      </c>
      <c r="CQ140" t="s">
        <v>37</v>
      </c>
      <c r="CS140" t="s">
        <v>37</v>
      </c>
      <c r="CU140" t="s">
        <v>37</v>
      </c>
      <c r="CW140" t="s">
        <v>37</v>
      </c>
      <c r="CY140" t="s">
        <v>37</v>
      </c>
      <c r="DA140" t="s">
        <v>37</v>
      </c>
      <c r="DC140" t="s">
        <v>37</v>
      </c>
      <c r="DE140" t="s">
        <v>37</v>
      </c>
      <c r="DG140" t="s">
        <v>37</v>
      </c>
      <c r="DI140" t="s">
        <v>37</v>
      </c>
      <c r="DK140" t="s">
        <v>37</v>
      </c>
      <c r="DM140" t="s">
        <v>37</v>
      </c>
      <c r="DO140" t="s">
        <v>37</v>
      </c>
      <c r="DQ140" t="s">
        <v>37</v>
      </c>
      <c r="DS140" t="s">
        <v>37</v>
      </c>
      <c r="DU140" t="s">
        <v>37</v>
      </c>
      <c r="DW140" t="s">
        <v>37</v>
      </c>
      <c r="DY140" t="s">
        <v>37</v>
      </c>
      <c r="EA140" t="s">
        <v>37</v>
      </c>
      <c r="EC140" t="s">
        <v>37</v>
      </c>
      <c r="EE140" t="s">
        <v>37</v>
      </c>
      <c r="EG140" t="s">
        <v>37</v>
      </c>
      <c r="EI140" t="s">
        <v>37</v>
      </c>
      <c r="EK140" t="s">
        <v>37</v>
      </c>
      <c r="EM140" t="s">
        <v>37</v>
      </c>
      <c r="EO140" t="s">
        <v>37</v>
      </c>
      <c r="EQ140" t="s">
        <v>37</v>
      </c>
      <c r="ES140" t="s">
        <v>37</v>
      </c>
      <c r="EU140" t="s">
        <v>37</v>
      </c>
      <c r="EW140" t="s">
        <v>37</v>
      </c>
      <c r="EY140" t="s">
        <v>37</v>
      </c>
      <c r="FA140" t="s">
        <v>37</v>
      </c>
      <c r="FC140" t="s">
        <v>37</v>
      </c>
      <c r="FE140" t="s">
        <v>37</v>
      </c>
      <c r="FG140" t="s">
        <v>37</v>
      </c>
      <c r="FI140" t="s">
        <v>37</v>
      </c>
      <c r="FK140" t="s">
        <v>37</v>
      </c>
      <c r="FM140" t="s">
        <v>37</v>
      </c>
      <c r="FO140" t="s">
        <v>37</v>
      </c>
      <c r="FQ140" t="s">
        <v>37</v>
      </c>
      <c r="FS140" t="s">
        <v>37</v>
      </c>
      <c r="FU140" t="s">
        <v>37</v>
      </c>
      <c r="FW140" t="s">
        <v>37</v>
      </c>
      <c r="FY140" t="s">
        <v>37</v>
      </c>
      <c r="GA140" t="s">
        <v>37</v>
      </c>
      <c r="GC140" t="s">
        <v>37</v>
      </c>
      <c r="GE140" t="s">
        <v>37</v>
      </c>
      <c r="GG140" t="s">
        <v>37</v>
      </c>
      <c r="GI140" t="s">
        <v>37</v>
      </c>
      <c r="GK140" t="s">
        <v>37</v>
      </c>
      <c r="GM140" t="s">
        <v>37</v>
      </c>
      <c r="GO140" t="s">
        <v>37</v>
      </c>
      <c r="GQ140" t="s">
        <v>37</v>
      </c>
      <c r="GS140" t="s">
        <v>37</v>
      </c>
      <c r="GU140" t="s">
        <v>37</v>
      </c>
      <c r="GW140" t="s">
        <v>37</v>
      </c>
      <c r="GY140" t="s">
        <v>37</v>
      </c>
      <c r="HA140" t="s">
        <v>37</v>
      </c>
      <c r="HC140" t="s">
        <v>37</v>
      </c>
      <c r="HE140" t="s">
        <v>37</v>
      </c>
      <c r="HG140" t="s">
        <v>37</v>
      </c>
      <c r="HI140" t="s">
        <v>37</v>
      </c>
      <c r="HK140" t="s">
        <v>37</v>
      </c>
    </row>
    <row r="141" spans="1:219">
      <c r="A141">
        <v>3320</v>
      </c>
      <c r="B141" t="s">
        <v>163</v>
      </c>
      <c r="C141" t="s">
        <v>37</v>
      </c>
      <c r="E141" t="s">
        <v>37</v>
      </c>
      <c r="G141" t="s">
        <v>37</v>
      </c>
      <c r="I141" t="s">
        <v>37</v>
      </c>
      <c r="K141" s="48" t="s">
        <v>37</v>
      </c>
      <c r="L141" s="50"/>
      <c r="M141" s="48" t="s">
        <v>37</v>
      </c>
      <c r="N141" s="50"/>
      <c r="O141" s="48" t="s">
        <v>37</v>
      </c>
      <c r="P141" s="50"/>
      <c r="Q141" s="48" t="s">
        <v>37</v>
      </c>
      <c r="R141" s="50"/>
      <c r="S141" s="48" t="s">
        <v>37</v>
      </c>
      <c r="U141" t="s">
        <v>37</v>
      </c>
      <c r="W141" t="s">
        <v>37</v>
      </c>
      <c r="Y141" t="s">
        <v>37</v>
      </c>
      <c r="AA141" t="s">
        <v>37</v>
      </c>
      <c r="AC141" t="s">
        <v>37</v>
      </c>
      <c r="AE141" t="s">
        <v>37</v>
      </c>
      <c r="AG141" t="s">
        <v>37</v>
      </c>
      <c r="AI141" t="s">
        <v>37</v>
      </c>
      <c r="AK141" t="s">
        <v>37</v>
      </c>
      <c r="AM141" t="s">
        <v>37</v>
      </c>
      <c r="AO141" t="s">
        <v>37</v>
      </c>
      <c r="AQ141" t="s">
        <v>37</v>
      </c>
      <c r="AS141" t="s">
        <v>37</v>
      </c>
      <c r="AU141" t="s">
        <v>37</v>
      </c>
      <c r="AW141" t="s">
        <v>37</v>
      </c>
      <c r="AY141" t="s">
        <v>37</v>
      </c>
      <c r="BA141" t="s">
        <v>37</v>
      </c>
      <c r="BC141" t="s">
        <v>37</v>
      </c>
      <c r="BE141" t="s">
        <v>37</v>
      </c>
      <c r="BG141" t="s">
        <v>37</v>
      </c>
      <c r="BI141" t="s">
        <v>37</v>
      </c>
      <c r="BK141" t="s">
        <v>37</v>
      </c>
      <c r="BM141" t="s">
        <v>37</v>
      </c>
      <c r="BO141" t="s">
        <v>37</v>
      </c>
      <c r="BQ141" t="s">
        <v>37</v>
      </c>
      <c r="BS141" t="s">
        <v>37</v>
      </c>
      <c r="BU141" t="s">
        <v>37</v>
      </c>
      <c r="BW141" t="s">
        <v>37</v>
      </c>
      <c r="BY141" t="s">
        <v>37</v>
      </c>
      <c r="CA141" t="s">
        <v>37</v>
      </c>
      <c r="CC141" t="s">
        <v>37</v>
      </c>
      <c r="CE141" t="s">
        <v>37</v>
      </c>
      <c r="CG141" t="s">
        <v>37</v>
      </c>
      <c r="CI141" t="s">
        <v>37</v>
      </c>
      <c r="CK141" t="s">
        <v>37</v>
      </c>
      <c r="CM141" t="s">
        <v>37</v>
      </c>
      <c r="CO141" t="s">
        <v>37</v>
      </c>
      <c r="CQ141" t="s">
        <v>37</v>
      </c>
      <c r="CS141" t="s">
        <v>37</v>
      </c>
      <c r="CU141" t="s">
        <v>37</v>
      </c>
      <c r="CW141" t="s">
        <v>37</v>
      </c>
      <c r="CY141" t="s">
        <v>37</v>
      </c>
      <c r="DA141" t="s">
        <v>37</v>
      </c>
      <c r="DC141" t="s">
        <v>37</v>
      </c>
      <c r="DE141" t="s">
        <v>37</v>
      </c>
      <c r="DG141" t="s">
        <v>37</v>
      </c>
      <c r="DI141" t="s">
        <v>37</v>
      </c>
      <c r="DK141" t="s">
        <v>37</v>
      </c>
      <c r="DM141" t="s">
        <v>37</v>
      </c>
      <c r="DO141" t="s">
        <v>37</v>
      </c>
      <c r="DQ141" t="s">
        <v>37</v>
      </c>
      <c r="DS141" t="s">
        <v>37</v>
      </c>
      <c r="DU141" t="s">
        <v>37</v>
      </c>
      <c r="DW141" t="s">
        <v>37</v>
      </c>
      <c r="DY141" t="s">
        <v>37</v>
      </c>
      <c r="EA141" t="s">
        <v>37</v>
      </c>
      <c r="EC141" t="s">
        <v>37</v>
      </c>
      <c r="EE141" t="s">
        <v>37</v>
      </c>
      <c r="EG141" t="s">
        <v>37</v>
      </c>
      <c r="EI141" t="s">
        <v>37</v>
      </c>
      <c r="EK141" t="s">
        <v>37</v>
      </c>
      <c r="EM141" t="s">
        <v>37</v>
      </c>
      <c r="EO141" t="s">
        <v>37</v>
      </c>
      <c r="EQ141" t="s">
        <v>37</v>
      </c>
      <c r="ES141" t="s">
        <v>37</v>
      </c>
      <c r="EU141" t="s">
        <v>37</v>
      </c>
      <c r="EW141" t="s">
        <v>37</v>
      </c>
      <c r="EY141" t="s">
        <v>37</v>
      </c>
      <c r="FA141" t="s">
        <v>37</v>
      </c>
      <c r="FC141" t="s">
        <v>37</v>
      </c>
      <c r="FE141" t="s">
        <v>37</v>
      </c>
      <c r="FG141" t="s">
        <v>37</v>
      </c>
      <c r="FI141" t="s">
        <v>37</v>
      </c>
      <c r="FK141" t="s">
        <v>37</v>
      </c>
      <c r="FM141" t="s">
        <v>37</v>
      </c>
      <c r="FO141" t="s">
        <v>37</v>
      </c>
      <c r="FQ141" t="s">
        <v>37</v>
      </c>
      <c r="FS141" t="s">
        <v>37</v>
      </c>
      <c r="FU141" t="s">
        <v>37</v>
      </c>
      <c r="FW141" t="s">
        <v>37</v>
      </c>
      <c r="FY141" t="s">
        <v>37</v>
      </c>
      <c r="GA141" t="s">
        <v>37</v>
      </c>
      <c r="GC141" t="s">
        <v>37</v>
      </c>
      <c r="GE141" t="s">
        <v>37</v>
      </c>
      <c r="GG141" t="s">
        <v>37</v>
      </c>
      <c r="GI141" t="s">
        <v>37</v>
      </c>
      <c r="GK141" t="s">
        <v>37</v>
      </c>
      <c r="GM141" t="s">
        <v>37</v>
      </c>
      <c r="GO141" t="s">
        <v>37</v>
      </c>
      <c r="GQ141" t="s">
        <v>37</v>
      </c>
      <c r="GS141" t="s">
        <v>37</v>
      </c>
      <c r="GU141" t="s">
        <v>37</v>
      </c>
      <c r="GW141" t="s">
        <v>37</v>
      </c>
      <c r="GY141" t="s">
        <v>37</v>
      </c>
      <c r="HA141" t="s">
        <v>37</v>
      </c>
      <c r="HC141" t="s">
        <v>37</v>
      </c>
      <c r="HE141" t="s">
        <v>37</v>
      </c>
      <c r="HG141" t="s">
        <v>37</v>
      </c>
      <c r="HI141" t="s">
        <v>37</v>
      </c>
      <c r="HK141" t="s">
        <v>37</v>
      </c>
    </row>
    <row r="142" spans="1:219">
      <c r="A142">
        <v>3321</v>
      </c>
      <c r="B142" t="s">
        <v>164</v>
      </c>
      <c r="C142" t="s">
        <v>37</v>
      </c>
      <c r="D142">
        <v>96201</v>
      </c>
      <c r="E142" t="s">
        <v>37</v>
      </c>
      <c r="F142">
        <v>302057</v>
      </c>
      <c r="G142" t="s">
        <v>37</v>
      </c>
      <c r="I142" t="s">
        <v>37</v>
      </c>
      <c r="K142" s="48" t="s">
        <v>37</v>
      </c>
      <c r="L142" s="51">
        <v>210599</v>
      </c>
      <c r="M142" s="48" t="s">
        <v>37</v>
      </c>
      <c r="N142" s="51">
        <v>84094</v>
      </c>
      <c r="O142" s="48" t="s">
        <v>37</v>
      </c>
      <c r="P142" s="51">
        <v>33854</v>
      </c>
      <c r="Q142" s="48" t="s">
        <v>37</v>
      </c>
      <c r="R142" s="51">
        <v>79717</v>
      </c>
      <c r="S142" s="48" t="s">
        <v>37</v>
      </c>
      <c r="T142">
        <v>391559</v>
      </c>
      <c r="U142" t="s">
        <v>37</v>
      </c>
      <c r="W142" t="s">
        <v>37</v>
      </c>
      <c r="Y142" t="s">
        <v>37</v>
      </c>
      <c r="Z142">
        <v>12373</v>
      </c>
      <c r="AA142" t="s">
        <v>37</v>
      </c>
      <c r="AB142">
        <v>24249</v>
      </c>
      <c r="AC142" t="s">
        <v>37</v>
      </c>
      <c r="AD142">
        <v>12174</v>
      </c>
      <c r="AE142" t="s">
        <v>37</v>
      </c>
      <c r="AF142">
        <v>11717</v>
      </c>
      <c r="AG142" t="s">
        <v>37</v>
      </c>
      <c r="AH142">
        <v>20831</v>
      </c>
      <c r="AI142" t="s">
        <v>37</v>
      </c>
      <c r="AK142" t="s">
        <v>37</v>
      </c>
      <c r="AL142">
        <v>10120</v>
      </c>
      <c r="AM142" t="s">
        <v>37</v>
      </c>
      <c r="AO142" t="s">
        <v>37</v>
      </c>
      <c r="AP142">
        <v>546460</v>
      </c>
      <c r="AQ142" t="s">
        <v>37</v>
      </c>
      <c r="AR142">
        <v>16703</v>
      </c>
      <c r="AS142" t="s">
        <v>37</v>
      </c>
      <c r="AT142">
        <v>659754</v>
      </c>
      <c r="AU142" t="s">
        <v>37</v>
      </c>
      <c r="AV142">
        <v>40879</v>
      </c>
      <c r="AW142" t="s">
        <v>37</v>
      </c>
      <c r="AX142">
        <v>56803</v>
      </c>
      <c r="AY142" t="s">
        <v>37</v>
      </c>
      <c r="AZ142">
        <v>88629</v>
      </c>
      <c r="BA142" t="s">
        <v>37</v>
      </c>
      <c r="BB142">
        <v>15452</v>
      </c>
      <c r="BC142" t="s">
        <v>37</v>
      </c>
      <c r="BD142">
        <v>46417</v>
      </c>
      <c r="BE142" t="s">
        <v>37</v>
      </c>
      <c r="BF142">
        <v>24678</v>
      </c>
      <c r="BG142" t="s">
        <v>37</v>
      </c>
      <c r="BI142" t="s">
        <v>37</v>
      </c>
      <c r="BJ142">
        <v>111024</v>
      </c>
      <c r="BK142" t="s">
        <v>37</v>
      </c>
      <c r="BL142">
        <v>111570</v>
      </c>
      <c r="BM142" t="s">
        <v>37</v>
      </c>
      <c r="BO142" t="s">
        <v>37</v>
      </c>
      <c r="BP142">
        <v>12964</v>
      </c>
      <c r="BQ142" t="s">
        <v>37</v>
      </c>
      <c r="BR142">
        <v>5429</v>
      </c>
      <c r="BS142" t="s">
        <v>37</v>
      </c>
      <c r="BT142">
        <v>985</v>
      </c>
      <c r="BU142" t="s">
        <v>37</v>
      </c>
      <c r="BW142" t="s">
        <v>37</v>
      </c>
      <c r="BX142">
        <v>345519</v>
      </c>
      <c r="BY142" t="s">
        <v>37</v>
      </c>
      <c r="BZ142">
        <v>39286</v>
      </c>
      <c r="CA142" t="s">
        <v>37</v>
      </c>
      <c r="CC142" t="s">
        <v>37</v>
      </c>
      <c r="CD142">
        <v>92451</v>
      </c>
      <c r="CE142" t="s">
        <v>37</v>
      </c>
      <c r="CF142">
        <v>172078</v>
      </c>
      <c r="CG142" t="s">
        <v>37</v>
      </c>
      <c r="CH142">
        <v>320599</v>
      </c>
      <c r="CI142" t="s">
        <v>37</v>
      </c>
      <c r="CJ142">
        <v>5587</v>
      </c>
      <c r="CK142" t="s">
        <v>37</v>
      </c>
      <c r="CL142">
        <v>20361</v>
      </c>
      <c r="CM142" t="s">
        <v>37</v>
      </c>
      <c r="CN142">
        <v>23806</v>
      </c>
      <c r="CO142" t="s">
        <v>37</v>
      </c>
      <c r="CP142">
        <v>3562</v>
      </c>
      <c r="CQ142" t="s">
        <v>37</v>
      </c>
      <c r="CR142">
        <v>357009</v>
      </c>
      <c r="CS142" t="s">
        <v>37</v>
      </c>
      <c r="CT142">
        <v>1683416</v>
      </c>
      <c r="CU142" t="s">
        <v>37</v>
      </c>
      <c r="CV142">
        <v>54842</v>
      </c>
      <c r="CW142" t="s">
        <v>37</v>
      </c>
      <c r="CX142">
        <v>2405</v>
      </c>
      <c r="CY142" t="s">
        <v>37</v>
      </c>
      <c r="CZ142">
        <v>2206</v>
      </c>
      <c r="DA142" t="s">
        <v>37</v>
      </c>
      <c r="DC142" t="s">
        <v>37</v>
      </c>
      <c r="DD142">
        <v>7566</v>
      </c>
      <c r="DE142" t="s">
        <v>37</v>
      </c>
      <c r="DF142">
        <v>52500</v>
      </c>
      <c r="DG142" t="s">
        <v>37</v>
      </c>
      <c r="DH142">
        <v>680257</v>
      </c>
      <c r="DI142" t="s">
        <v>37</v>
      </c>
      <c r="DJ142">
        <v>88934</v>
      </c>
      <c r="DK142" t="s">
        <v>37</v>
      </c>
      <c r="DL142">
        <v>158655</v>
      </c>
      <c r="DM142" t="s">
        <v>37</v>
      </c>
      <c r="DN142">
        <v>164554</v>
      </c>
      <c r="DO142" t="s">
        <v>37</v>
      </c>
      <c r="DP142">
        <v>36868</v>
      </c>
      <c r="DQ142" t="s">
        <v>37</v>
      </c>
      <c r="DR142">
        <v>74367</v>
      </c>
      <c r="DS142" t="s">
        <v>37</v>
      </c>
      <c r="DT142">
        <v>16023</v>
      </c>
      <c r="DU142" t="s">
        <v>37</v>
      </c>
      <c r="DV142">
        <v>350254</v>
      </c>
      <c r="DW142" t="s">
        <v>37</v>
      </c>
      <c r="DX142">
        <v>196220</v>
      </c>
      <c r="DY142" t="s">
        <v>37</v>
      </c>
      <c r="DZ142">
        <v>30016</v>
      </c>
      <c r="EA142" t="s">
        <v>37</v>
      </c>
      <c r="EB142">
        <v>173967</v>
      </c>
      <c r="EC142" t="s">
        <v>37</v>
      </c>
      <c r="ED142">
        <v>373068</v>
      </c>
      <c r="EE142" t="s">
        <v>37</v>
      </c>
      <c r="EF142">
        <v>20458</v>
      </c>
      <c r="EG142" t="s">
        <v>37</v>
      </c>
      <c r="EI142" t="s">
        <v>37</v>
      </c>
      <c r="EJ142">
        <v>12932</v>
      </c>
      <c r="EK142" t="s">
        <v>37</v>
      </c>
      <c r="EL142">
        <v>32027</v>
      </c>
      <c r="EM142" t="s">
        <v>37</v>
      </c>
      <c r="EN142">
        <v>13949</v>
      </c>
      <c r="EO142" t="s">
        <v>37</v>
      </c>
      <c r="EQ142" t="s">
        <v>37</v>
      </c>
      <c r="ER142">
        <v>105946</v>
      </c>
      <c r="ES142" t="s">
        <v>37</v>
      </c>
      <c r="ET142">
        <v>105339</v>
      </c>
      <c r="EU142" t="s">
        <v>37</v>
      </c>
      <c r="EV142">
        <v>297248</v>
      </c>
      <c r="EW142" t="s">
        <v>37</v>
      </c>
      <c r="EY142" t="s">
        <v>37</v>
      </c>
      <c r="EZ142">
        <v>114417</v>
      </c>
      <c r="FA142" t="s">
        <v>37</v>
      </c>
      <c r="FB142">
        <v>43107</v>
      </c>
      <c r="FC142" t="s">
        <v>37</v>
      </c>
      <c r="FD142">
        <v>124981</v>
      </c>
      <c r="FE142" t="s">
        <v>37</v>
      </c>
      <c r="FG142" t="s">
        <v>37</v>
      </c>
      <c r="FH142">
        <v>298810</v>
      </c>
      <c r="FI142" t="s">
        <v>37</v>
      </c>
      <c r="FJ142">
        <v>892496</v>
      </c>
      <c r="FK142" t="s">
        <v>37</v>
      </c>
      <c r="FL142">
        <v>613410</v>
      </c>
      <c r="FM142" t="s">
        <v>37</v>
      </c>
      <c r="FN142">
        <v>25069</v>
      </c>
      <c r="FO142" t="s">
        <v>37</v>
      </c>
      <c r="FP142">
        <v>98953</v>
      </c>
      <c r="FQ142" t="s">
        <v>37</v>
      </c>
      <c r="FR142">
        <v>164231</v>
      </c>
      <c r="FS142" t="s">
        <v>37</v>
      </c>
      <c r="FT142">
        <v>81424</v>
      </c>
      <c r="FU142" t="s">
        <v>37</v>
      </c>
      <c r="FV142">
        <v>35562</v>
      </c>
      <c r="FW142" t="s">
        <v>37</v>
      </c>
      <c r="FX142">
        <v>157162</v>
      </c>
      <c r="FY142" t="s">
        <v>37</v>
      </c>
      <c r="FZ142">
        <v>243925</v>
      </c>
      <c r="GA142" t="s">
        <v>37</v>
      </c>
      <c r="GB142">
        <v>502967</v>
      </c>
      <c r="GC142" t="s">
        <v>37</v>
      </c>
      <c r="GE142" t="s">
        <v>37</v>
      </c>
      <c r="GG142" t="s">
        <v>37</v>
      </c>
      <c r="GI142" t="s">
        <v>37</v>
      </c>
      <c r="GJ142">
        <v>230264</v>
      </c>
      <c r="GK142" t="s">
        <v>37</v>
      </c>
      <c r="GL142">
        <v>271881</v>
      </c>
      <c r="GM142" t="s">
        <v>37</v>
      </c>
      <c r="GO142" t="s">
        <v>37</v>
      </c>
      <c r="GP142">
        <v>42158</v>
      </c>
      <c r="GQ142" t="s">
        <v>37</v>
      </c>
      <c r="GR142">
        <v>71422</v>
      </c>
      <c r="GS142" t="s">
        <v>37</v>
      </c>
      <c r="GT142">
        <v>71724</v>
      </c>
      <c r="GU142" t="s">
        <v>37</v>
      </c>
      <c r="GV142">
        <v>70213</v>
      </c>
      <c r="GW142" t="s">
        <v>37</v>
      </c>
      <c r="GX142">
        <v>213254</v>
      </c>
      <c r="GY142" t="s">
        <v>37</v>
      </c>
      <c r="GZ142">
        <v>38959</v>
      </c>
      <c r="HA142" t="s">
        <v>37</v>
      </c>
      <c r="HC142" t="s">
        <v>37</v>
      </c>
      <c r="HD142">
        <v>127625</v>
      </c>
      <c r="HE142" t="s">
        <v>37</v>
      </c>
      <c r="HF142">
        <v>13547956</v>
      </c>
      <c r="HG142" t="s">
        <v>37</v>
      </c>
      <c r="HH142">
        <v>127625</v>
      </c>
      <c r="HI142" t="s">
        <v>37</v>
      </c>
      <c r="HJ142">
        <v>13675581</v>
      </c>
      <c r="HK142" t="s">
        <v>37</v>
      </c>
    </row>
    <row r="143" spans="1:219">
      <c r="A143">
        <v>3322</v>
      </c>
      <c r="B143" t="s">
        <v>165</v>
      </c>
      <c r="C143" t="s">
        <v>37</v>
      </c>
      <c r="D143">
        <v>91465</v>
      </c>
      <c r="E143" t="s">
        <v>37</v>
      </c>
      <c r="F143">
        <v>866299</v>
      </c>
      <c r="G143" t="s">
        <v>37</v>
      </c>
      <c r="H143">
        <v>71513</v>
      </c>
      <c r="I143" t="s">
        <v>37</v>
      </c>
      <c r="K143" s="48" t="s">
        <v>37</v>
      </c>
      <c r="L143" s="51">
        <v>139660</v>
      </c>
      <c r="M143" s="48" t="s">
        <v>37</v>
      </c>
      <c r="N143" s="51">
        <v>127603</v>
      </c>
      <c r="O143" s="48" t="s">
        <v>37</v>
      </c>
      <c r="P143" s="51">
        <v>34040</v>
      </c>
      <c r="Q143" s="48" t="s">
        <v>37</v>
      </c>
      <c r="R143" s="51">
        <v>66201</v>
      </c>
      <c r="S143" s="48" t="s">
        <v>37</v>
      </c>
      <c r="T143">
        <v>293257</v>
      </c>
      <c r="U143" t="s">
        <v>37</v>
      </c>
      <c r="W143" t="s">
        <v>37</v>
      </c>
      <c r="Y143" t="s">
        <v>37</v>
      </c>
      <c r="Z143">
        <v>115081</v>
      </c>
      <c r="AA143" t="s">
        <v>37</v>
      </c>
      <c r="AB143">
        <v>63095</v>
      </c>
      <c r="AC143" t="s">
        <v>37</v>
      </c>
      <c r="AD143">
        <v>103839</v>
      </c>
      <c r="AE143" t="s">
        <v>37</v>
      </c>
      <c r="AF143">
        <v>3873</v>
      </c>
      <c r="AG143" t="s">
        <v>37</v>
      </c>
      <c r="AH143">
        <v>74411</v>
      </c>
      <c r="AI143" t="s">
        <v>37</v>
      </c>
      <c r="AK143" t="s">
        <v>37</v>
      </c>
      <c r="AL143">
        <v>5477</v>
      </c>
      <c r="AM143" t="s">
        <v>37</v>
      </c>
      <c r="AO143" t="s">
        <v>37</v>
      </c>
      <c r="AP143">
        <v>394060</v>
      </c>
      <c r="AQ143" t="s">
        <v>37</v>
      </c>
      <c r="AR143">
        <v>71303</v>
      </c>
      <c r="AS143" t="s">
        <v>37</v>
      </c>
      <c r="AT143">
        <v>586663</v>
      </c>
      <c r="AU143" t="s">
        <v>37</v>
      </c>
      <c r="AV143">
        <v>71799</v>
      </c>
      <c r="AW143" t="s">
        <v>37</v>
      </c>
      <c r="AX143">
        <v>152693</v>
      </c>
      <c r="AY143" t="s">
        <v>37</v>
      </c>
      <c r="AZ143">
        <v>189974</v>
      </c>
      <c r="BA143" t="s">
        <v>37</v>
      </c>
      <c r="BB143">
        <v>53043</v>
      </c>
      <c r="BC143" t="s">
        <v>37</v>
      </c>
      <c r="BD143">
        <v>162814</v>
      </c>
      <c r="BE143" t="s">
        <v>37</v>
      </c>
      <c r="BF143">
        <v>109384</v>
      </c>
      <c r="BG143" t="s">
        <v>37</v>
      </c>
      <c r="BI143" t="s">
        <v>37</v>
      </c>
      <c r="BJ143">
        <v>211843</v>
      </c>
      <c r="BK143" t="s">
        <v>37</v>
      </c>
      <c r="BL143">
        <v>696357</v>
      </c>
      <c r="BM143" t="s">
        <v>37</v>
      </c>
      <c r="BO143" t="s">
        <v>37</v>
      </c>
      <c r="BP143">
        <v>40924</v>
      </c>
      <c r="BQ143" t="s">
        <v>37</v>
      </c>
      <c r="BR143">
        <v>291178</v>
      </c>
      <c r="BS143" t="s">
        <v>37</v>
      </c>
      <c r="BT143">
        <v>111981</v>
      </c>
      <c r="BU143" t="s">
        <v>37</v>
      </c>
      <c r="BW143" t="s">
        <v>37</v>
      </c>
      <c r="BX143">
        <v>301994</v>
      </c>
      <c r="BY143" t="s">
        <v>37</v>
      </c>
      <c r="BZ143">
        <v>92029</v>
      </c>
      <c r="CA143" t="s">
        <v>37</v>
      </c>
      <c r="CC143" t="s">
        <v>37</v>
      </c>
      <c r="CD143">
        <v>109263</v>
      </c>
      <c r="CE143" t="s">
        <v>37</v>
      </c>
      <c r="CF143">
        <v>37243</v>
      </c>
      <c r="CG143" t="s">
        <v>37</v>
      </c>
      <c r="CH143">
        <v>738860</v>
      </c>
      <c r="CI143" t="s">
        <v>37</v>
      </c>
      <c r="CJ143">
        <v>15611</v>
      </c>
      <c r="CK143" t="s">
        <v>37</v>
      </c>
      <c r="CL143">
        <v>246551</v>
      </c>
      <c r="CM143" t="s">
        <v>37</v>
      </c>
      <c r="CN143">
        <v>68181</v>
      </c>
      <c r="CO143" t="s">
        <v>37</v>
      </c>
      <c r="CP143">
        <v>86882</v>
      </c>
      <c r="CQ143" t="s">
        <v>37</v>
      </c>
      <c r="CR143">
        <v>175037</v>
      </c>
      <c r="CS143" t="s">
        <v>37</v>
      </c>
      <c r="CT143">
        <v>1181164</v>
      </c>
      <c r="CU143" t="s">
        <v>37</v>
      </c>
      <c r="CV143">
        <v>292318</v>
      </c>
      <c r="CW143" t="s">
        <v>37</v>
      </c>
      <c r="CX143">
        <v>35330</v>
      </c>
      <c r="CY143" t="s">
        <v>37</v>
      </c>
      <c r="CZ143">
        <v>21842</v>
      </c>
      <c r="DA143" t="s">
        <v>37</v>
      </c>
      <c r="DC143" t="s">
        <v>37</v>
      </c>
      <c r="DD143">
        <v>89166</v>
      </c>
      <c r="DE143" t="s">
        <v>37</v>
      </c>
      <c r="DF143">
        <v>148571</v>
      </c>
      <c r="DG143" t="s">
        <v>37</v>
      </c>
      <c r="DH143">
        <v>629653</v>
      </c>
      <c r="DI143" t="s">
        <v>37</v>
      </c>
      <c r="DJ143">
        <v>136258</v>
      </c>
      <c r="DK143" t="s">
        <v>37</v>
      </c>
      <c r="DL143">
        <v>203325</v>
      </c>
      <c r="DM143" t="s">
        <v>37</v>
      </c>
      <c r="DN143">
        <v>320367</v>
      </c>
      <c r="DO143" t="s">
        <v>37</v>
      </c>
      <c r="DP143">
        <v>159179</v>
      </c>
      <c r="DQ143" t="s">
        <v>37</v>
      </c>
      <c r="DR143">
        <v>160357</v>
      </c>
      <c r="DS143" t="s">
        <v>37</v>
      </c>
      <c r="DT143">
        <v>224540</v>
      </c>
      <c r="DU143" t="s">
        <v>37</v>
      </c>
      <c r="DV143">
        <v>196152</v>
      </c>
      <c r="DW143" t="s">
        <v>37</v>
      </c>
      <c r="DX143">
        <v>176255</v>
      </c>
      <c r="DY143" t="s">
        <v>37</v>
      </c>
      <c r="DZ143">
        <v>51431</v>
      </c>
      <c r="EA143" t="s">
        <v>37</v>
      </c>
      <c r="EB143">
        <v>92638</v>
      </c>
      <c r="EC143" t="s">
        <v>37</v>
      </c>
      <c r="ED143">
        <v>120339</v>
      </c>
      <c r="EE143" t="s">
        <v>37</v>
      </c>
      <c r="EF143">
        <v>33541</v>
      </c>
      <c r="EG143" t="s">
        <v>37</v>
      </c>
      <c r="EI143" t="s">
        <v>37</v>
      </c>
      <c r="EJ143">
        <v>162551</v>
      </c>
      <c r="EK143" t="s">
        <v>37</v>
      </c>
      <c r="EL143">
        <v>155218</v>
      </c>
      <c r="EM143" t="s">
        <v>37</v>
      </c>
      <c r="EN143">
        <v>34038</v>
      </c>
      <c r="EO143" t="s">
        <v>37</v>
      </c>
      <c r="EQ143" t="s">
        <v>37</v>
      </c>
      <c r="ER143">
        <v>315710</v>
      </c>
      <c r="ES143" t="s">
        <v>37</v>
      </c>
      <c r="ET143">
        <v>201281</v>
      </c>
      <c r="EU143" t="s">
        <v>37</v>
      </c>
      <c r="EV143">
        <v>179129</v>
      </c>
      <c r="EW143" t="s">
        <v>37</v>
      </c>
      <c r="EY143" t="s">
        <v>37</v>
      </c>
      <c r="EZ143">
        <v>119579</v>
      </c>
      <c r="FA143" t="s">
        <v>37</v>
      </c>
      <c r="FB143">
        <v>87929</v>
      </c>
      <c r="FC143" t="s">
        <v>37</v>
      </c>
      <c r="FD143">
        <v>584024</v>
      </c>
      <c r="FE143" t="s">
        <v>37</v>
      </c>
      <c r="FG143" t="s">
        <v>37</v>
      </c>
      <c r="FH143">
        <v>388930</v>
      </c>
      <c r="FI143" t="s">
        <v>37</v>
      </c>
      <c r="FJ143">
        <v>650743</v>
      </c>
      <c r="FK143" t="s">
        <v>37</v>
      </c>
      <c r="FL143">
        <v>334004</v>
      </c>
      <c r="FM143" t="s">
        <v>37</v>
      </c>
      <c r="FN143">
        <v>88725</v>
      </c>
      <c r="FO143" t="s">
        <v>37</v>
      </c>
      <c r="FP143">
        <v>132559</v>
      </c>
      <c r="FQ143" t="s">
        <v>37</v>
      </c>
      <c r="FR143">
        <v>196789</v>
      </c>
      <c r="FS143" t="s">
        <v>37</v>
      </c>
      <c r="FT143">
        <v>53566</v>
      </c>
      <c r="FU143" t="s">
        <v>37</v>
      </c>
      <c r="FV143">
        <v>76733</v>
      </c>
      <c r="FW143" t="s">
        <v>37</v>
      </c>
      <c r="FX143">
        <v>88149</v>
      </c>
      <c r="FY143" t="s">
        <v>37</v>
      </c>
      <c r="FZ143">
        <v>191180</v>
      </c>
      <c r="GA143" t="s">
        <v>37</v>
      </c>
      <c r="GB143">
        <v>210454</v>
      </c>
      <c r="GC143" t="s">
        <v>37</v>
      </c>
      <c r="GE143" t="s">
        <v>37</v>
      </c>
      <c r="GG143" t="s">
        <v>37</v>
      </c>
      <c r="GI143" t="s">
        <v>37</v>
      </c>
      <c r="GJ143">
        <v>473944</v>
      </c>
      <c r="GK143" t="s">
        <v>37</v>
      </c>
      <c r="GL143">
        <v>251622</v>
      </c>
      <c r="GM143" t="s">
        <v>37</v>
      </c>
      <c r="GO143" t="s">
        <v>37</v>
      </c>
      <c r="GP143">
        <v>152127</v>
      </c>
      <c r="GQ143" t="s">
        <v>37</v>
      </c>
      <c r="GR143">
        <v>901339</v>
      </c>
      <c r="GS143" t="s">
        <v>37</v>
      </c>
      <c r="GT143">
        <v>159497</v>
      </c>
      <c r="GU143" t="s">
        <v>37</v>
      </c>
      <c r="GV143">
        <v>67215</v>
      </c>
      <c r="GW143" t="s">
        <v>37</v>
      </c>
      <c r="GX143">
        <v>155528</v>
      </c>
      <c r="GY143" t="s">
        <v>37</v>
      </c>
      <c r="GZ143">
        <v>49890</v>
      </c>
      <c r="HA143" t="s">
        <v>37</v>
      </c>
      <c r="HC143" t="s">
        <v>37</v>
      </c>
      <c r="HD143">
        <v>136097</v>
      </c>
      <c r="HE143" t="s">
        <v>37</v>
      </c>
      <c r="HF143">
        <v>17806360</v>
      </c>
      <c r="HG143" t="s">
        <v>37</v>
      </c>
      <c r="HH143">
        <v>136097</v>
      </c>
      <c r="HI143" t="s">
        <v>37</v>
      </c>
      <c r="HJ143">
        <v>17942457</v>
      </c>
      <c r="HK143" t="s">
        <v>37</v>
      </c>
    </row>
    <row r="144" spans="1:219">
      <c r="A144">
        <v>3323</v>
      </c>
      <c r="B144" t="s">
        <v>166</v>
      </c>
      <c r="C144" t="s">
        <v>37</v>
      </c>
      <c r="D144">
        <v>820110</v>
      </c>
      <c r="E144" t="s">
        <v>37</v>
      </c>
      <c r="F144">
        <v>3927172</v>
      </c>
      <c r="G144" t="s">
        <v>37</v>
      </c>
      <c r="H144">
        <v>221691</v>
      </c>
      <c r="I144" t="s">
        <v>37</v>
      </c>
      <c r="K144" s="48" t="s">
        <v>37</v>
      </c>
      <c r="L144" s="51">
        <v>2058720</v>
      </c>
      <c r="M144" s="48" t="s">
        <v>37</v>
      </c>
      <c r="N144" s="51">
        <v>1022221</v>
      </c>
      <c r="O144" s="48" t="s">
        <v>37</v>
      </c>
      <c r="P144" s="51">
        <v>833873</v>
      </c>
      <c r="Q144" s="48" t="s">
        <v>37</v>
      </c>
      <c r="R144" s="51">
        <v>588106</v>
      </c>
      <c r="S144" s="48" t="s">
        <v>37</v>
      </c>
      <c r="T144">
        <v>3227120</v>
      </c>
      <c r="U144" t="s">
        <v>37</v>
      </c>
      <c r="W144" t="s">
        <v>37</v>
      </c>
      <c r="Y144" t="s">
        <v>37</v>
      </c>
      <c r="Z144">
        <v>362891</v>
      </c>
      <c r="AA144" t="s">
        <v>37</v>
      </c>
      <c r="AB144">
        <v>112301</v>
      </c>
      <c r="AC144" t="s">
        <v>37</v>
      </c>
      <c r="AD144">
        <v>190239</v>
      </c>
      <c r="AE144" t="s">
        <v>37</v>
      </c>
      <c r="AF144">
        <v>294396</v>
      </c>
      <c r="AG144" t="s">
        <v>37</v>
      </c>
      <c r="AH144">
        <v>621194</v>
      </c>
      <c r="AI144" t="s">
        <v>37</v>
      </c>
      <c r="AK144" t="s">
        <v>37</v>
      </c>
      <c r="AL144">
        <v>94951</v>
      </c>
      <c r="AM144" t="s">
        <v>37</v>
      </c>
      <c r="AO144" t="s">
        <v>37</v>
      </c>
      <c r="AP144">
        <v>6204966</v>
      </c>
      <c r="AQ144" t="s">
        <v>37</v>
      </c>
      <c r="AR144">
        <v>100810</v>
      </c>
      <c r="AS144" t="s">
        <v>37</v>
      </c>
      <c r="AT144">
        <v>2704515</v>
      </c>
      <c r="AU144" t="s">
        <v>37</v>
      </c>
      <c r="AV144">
        <v>1300987</v>
      </c>
      <c r="AW144" t="s">
        <v>37</v>
      </c>
      <c r="AX144">
        <v>1210726</v>
      </c>
      <c r="AY144" t="s">
        <v>37</v>
      </c>
      <c r="AZ144">
        <v>2425544</v>
      </c>
      <c r="BA144" t="s">
        <v>37</v>
      </c>
      <c r="BB144">
        <v>209350</v>
      </c>
      <c r="BC144" t="s">
        <v>37</v>
      </c>
      <c r="BD144">
        <v>949301</v>
      </c>
      <c r="BE144" t="s">
        <v>37</v>
      </c>
      <c r="BF144">
        <v>300721</v>
      </c>
      <c r="BG144" t="s">
        <v>37</v>
      </c>
      <c r="BI144" t="s">
        <v>37</v>
      </c>
      <c r="BJ144">
        <v>1274563</v>
      </c>
      <c r="BK144" t="s">
        <v>37</v>
      </c>
      <c r="BL144">
        <v>3324815</v>
      </c>
      <c r="BM144" t="s">
        <v>37</v>
      </c>
      <c r="BO144" t="s">
        <v>37</v>
      </c>
      <c r="BP144">
        <v>206175</v>
      </c>
      <c r="BQ144" t="s">
        <v>37</v>
      </c>
      <c r="BR144">
        <v>288372</v>
      </c>
      <c r="BS144" t="s">
        <v>37</v>
      </c>
      <c r="BT144">
        <v>237116</v>
      </c>
      <c r="BU144" t="s">
        <v>37</v>
      </c>
      <c r="BW144" t="s">
        <v>37</v>
      </c>
      <c r="BX144">
        <v>3362589</v>
      </c>
      <c r="BY144" t="s">
        <v>37</v>
      </c>
      <c r="BZ144">
        <v>447682</v>
      </c>
      <c r="CA144" t="s">
        <v>37</v>
      </c>
      <c r="CC144" t="s">
        <v>37</v>
      </c>
      <c r="CD144">
        <v>1401496</v>
      </c>
      <c r="CE144" t="s">
        <v>37</v>
      </c>
      <c r="CF144">
        <v>535993</v>
      </c>
      <c r="CG144" t="s">
        <v>37</v>
      </c>
      <c r="CH144">
        <v>3449328</v>
      </c>
      <c r="CI144" t="s">
        <v>37</v>
      </c>
      <c r="CJ144">
        <v>362677</v>
      </c>
      <c r="CK144" t="s">
        <v>37</v>
      </c>
      <c r="CL144">
        <v>917828</v>
      </c>
      <c r="CM144" t="s">
        <v>37</v>
      </c>
      <c r="CN144">
        <v>175704</v>
      </c>
      <c r="CO144" t="s">
        <v>37</v>
      </c>
      <c r="CP144">
        <v>533335</v>
      </c>
      <c r="CQ144" t="s">
        <v>37</v>
      </c>
      <c r="CR144">
        <v>1380575</v>
      </c>
      <c r="CS144" t="s">
        <v>37</v>
      </c>
      <c r="CT144">
        <v>14981504</v>
      </c>
      <c r="CU144" t="s">
        <v>37</v>
      </c>
      <c r="CV144">
        <v>2425867</v>
      </c>
      <c r="CW144" t="s">
        <v>37</v>
      </c>
      <c r="CX144">
        <v>446117</v>
      </c>
      <c r="CY144" t="s">
        <v>37</v>
      </c>
      <c r="CZ144">
        <v>210419</v>
      </c>
      <c r="DA144" t="s">
        <v>37</v>
      </c>
      <c r="DC144" t="s">
        <v>37</v>
      </c>
      <c r="DD144">
        <v>334062</v>
      </c>
      <c r="DE144" t="s">
        <v>37</v>
      </c>
      <c r="DF144">
        <v>374584</v>
      </c>
      <c r="DG144" t="s">
        <v>37</v>
      </c>
      <c r="DH144">
        <v>7672324</v>
      </c>
      <c r="DI144" t="s">
        <v>37</v>
      </c>
      <c r="DJ144">
        <v>443001</v>
      </c>
      <c r="DK144" t="s">
        <v>37</v>
      </c>
      <c r="DL144">
        <v>1817118</v>
      </c>
      <c r="DM144" t="s">
        <v>37</v>
      </c>
      <c r="DN144">
        <v>2137592</v>
      </c>
      <c r="DO144" t="s">
        <v>37</v>
      </c>
      <c r="DP144">
        <v>1448954</v>
      </c>
      <c r="DQ144" t="s">
        <v>37</v>
      </c>
      <c r="DR144">
        <v>852784</v>
      </c>
      <c r="DS144" t="s">
        <v>37</v>
      </c>
      <c r="DT144">
        <v>539369</v>
      </c>
      <c r="DU144" t="s">
        <v>37</v>
      </c>
      <c r="DV144">
        <v>3305132</v>
      </c>
      <c r="DW144" t="s">
        <v>37</v>
      </c>
      <c r="DX144">
        <v>1614159</v>
      </c>
      <c r="DY144" t="s">
        <v>37</v>
      </c>
      <c r="DZ144">
        <v>522388</v>
      </c>
      <c r="EA144" t="s">
        <v>37</v>
      </c>
      <c r="EB144">
        <v>1108726</v>
      </c>
      <c r="EC144" t="s">
        <v>37</v>
      </c>
      <c r="ED144">
        <v>2362926</v>
      </c>
      <c r="EE144" t="s">
        <v>37</v>
      </c>
      <c r="EF144">
        <v>117715</v>
      </c>
      <c r="EG144" t="s">
        <v>37</v>
      </c>
      <c r="EI144" t="s">
        <v>37</v>
      </c>
      <c r="EJ144">
        <v>788034</v>
      </c>
      <c r="EK144" t="s">
        <v>37</v>
      </c>
      <c r="EL144">
        <v>716345</v>
      </c>
      <c r="EM144" t="s">
        <v>37</v>
      </c>
      <c r="EN144">
        <v>133267</v>
      </c>
      <c r="EO144" t="s">
        <v>37</v>
      </c>
      <c r="EQ144" t="s">
        <v>37</v>
      </c>
      <c r="ER144">
        <v>1125440</v>
      </c>
      <c r="ES144" t="s">
        <v>37</v>
      </c>
      <c r="ET144">
        <v>1655364</v>
      </c>
      <c r="EU144" t="s">
        <v>37</v>
      </c>
      <c r="EV144">
        <v>2346189</v>
      </c>
      <c r="EW144" t="s">
        <v>37</v>
      </c>
      <c r="EY144" t="s">
        <v>37</v>
      </c>
      <c r="EZ144">
        <v>462001</v>
      </c>
      <c r="FA144" t="s">
        <v>37</v>
      </c>
      <c r="FB144">
        <v>484927</v>
      </c>
      <c r="FC144" t="s">
        <v>37</v>
      </c>
      <c r="FD144">
        <v>938005</v>
      </c>
      <c r="FE144" t="s">
        <v>37</v>
      </c>
      <c r="FG144" t="s">
        <v>37</v>
      </c>
      <c r="FH144">
        <v>3562722</v>
      </c>
      <c r="FI144" t="s">
        <v>37</v>
      </c>
      <c r="FJ144">
        <v>2962600</v>
      </c>
      <c r="FK144" t="s">
        <v>37</v>
      </c>
      <c r="FL144">
        <v>3091714</v>
      </c>
      <c r="FM144" t="s">
        <v>37</v>
      </c>
      <c r="FN144">
        <v>362542</v>
      </c>
      <c r="FO144" t="s">
        <v>37</v>
      </c>
      <c r="FP144">
        <v>1414186</v>
      </c>
      <c r="FQ144" t="s">
        <v>37</v>
      </c>
      <c r="FR144">
        <v>1697554</v>
      </c>
      <c r="FS144" t="s">
        <v>37</v>
      </c>
      <c r="FT144">
        <v>740298</v>
      </c>
      <c r="FU144" t="s">
        <v>37</v>
      </c>
      <c r="FV144">
        <v>344583</v>
      </c>
      <c r="FW144" t="s">
        <v>37</v>
      </c>
      <c r="FX144">
        <v>1411191</v>
      </c>
      <c r="FY144" t="s">
        <v>37</v>
      </c>
      <c r="FZ144">
        <v>1615564</v>
      </c>
      <c r="GA144" t="s">
        <v>37</v>
      </c>
      <c r="GB144">
        <v>1317326</v>
      </c>
      <c r="GC144" t="s">
        <v>37</v>
      </c>
      <c r="GE144" t="s">
        <v>37</v>
      </c>
      <c r="GG144" t="s">
        <v>37</v>
      </c>
      <c r="GI144" t="s">
        <v>37</v>
      </c>
      <c r="GJ144">
        <v>1895914</v>
      </c>
      <c r="GK144" t="s">
        <v>37</v>
      </c>
      <c r="GL144">
        <v>1817090</v>
      </c>
      <c r="GM144" t="s">
        <v>37</v>
      </c>
      <c r="GO144" t="s">
        <v>37</v>
      </c>
      <c r="GP144">
        <v>1754258</v>
      </c>
      <c r="GQ144" t="s">
        <v>37</v>
      </c>
      <c r="GR144">
        <v>1567150</v>
      </c>
      <c r="GS144" t="s">
        <v>37</v>
      </c>
      <c r="GT144">
        <v>1213925</v>
      </c>
      <c r="GU144" t="s">
        <v>37</v>
      </c>
      <c r="GV144">
        <v>596155</v>
      </c>
      <c r="GW144" t="s">
        <v>37</v>
      </c>
      <c r="GX144">
        <v>4360147</v>
      </c>
      <c r="GY144" t="s">
        <v>37</v>
      </c>
      <c r="GZ144">
        <v>1184550</v>
      </c>
      <c r="HA144" t="s">
        <v>37</v>
      </c>
      <c r="HC144" t="s">
        <v>37</v>
      </c>
      <c r="HD144">
        <v>202377</v>
      </c>
      <c r="HE144" t="s">
        <v>37</v>
      </c>
      <c r="HF144">
        <v>131953935</v>
      </c>
      <c r="HG144" t="s">
        <v>37</v>
      </c>
      <c r="HH144">
        <v>202377</v>
      </c>
      <c r="HI144" t="s">
        <v>37</v>
      </c>
      <c r="HJ144">
        <v>132156312</v>
      </c>
      <c r="HK144" t="s">
        <v>37</v>
      </c>
    </row>
    <row r="145" spans="1:219">
      <c r="A145">
        <v>3324</v>
      </c>
      <c r="B145" t="s">
        <v>167</v>
      </c>
      <c r="C145" t="s">
        <v>37</v>
      </c>
      <c r="D145">
        <v>19020</v>
      </c>
      <c r="E145" t="s">
        <v>37</v>
      </c>
      <c r="F145">
        <v>141201</v>
      </c>
      <c r="G145" t="s">
        <v>37</v>
      </c>
      <c r="I145" t="s">
        <v>37</v>
      </c>
      <c r="K145" s="48" t="s">
        <v>37</v>
      </c>
      <c r="L145" s="51">
        <v>4863</v>
      </c>
      <c r="M145" s="48" t="s">
        <v>37</v>
      </c>
      <c r="N145" s="50">
        <v>547</v>
      </c>
      <c r="O145" s="48" t="s">
        <v>37</v>
      </c>
      <c r="P145" s="51">
        <v>68309</v>
      </c>
      <c r="Q145" s="48" t="s">
        <v>37</v>
      </c>
      <c r="R145" s="51">
        <v>1828</v>
      </c>
      <c r="S145" s="48" t="s">
        <v>37</v>
      </c>
      <c r="T145">
        <v>97171</v>
      </c>
      <c r="U145" t="s">
        <v>37</v>
      </c>
      <c r="W145" t="s">
        <v>37</v>
      </c>
      <c r="Y145" t="s">
        <v>37</v>
      </c>
      <c r="AA145" t="s">
        <v>37</v>
      </c>
      <c r="AC145" t="s">
        <v>37</v>
      </c>
      <c r="AD145">
        <v>5291</v>
      </c>
      <c r="AE145" t="s">
        <v>37</v>
      </c>
      <c r="AF145">
        <v>8933</v>
      </c>
      <c r="AG145" t="s">
        <v>37</v>
      </c>
      <c r="AH145">
        <v>5249</v>
      </c>
      <c r="AI145" t="s">
        <v>37</v>
      </c>
      <c r="AK145" t="s">
        <v>37</v>
      </c>
      <c r="AL145">
        <v>4198</v>
      </c>
      <c r="AM145" t="s">
        <v>37</v>
      </c>
      <c r="AO145" t="s">
        <v>37</v>
      </c>
      <c r="AP145">
        <v>389461</v>
      </c>
      <c r="AQ145" t="s">
        <v>37</v>
      </c>
      <c r="AR145">
        <v>7104</v>
      </c>
      <c r="AS145" t="s">
        <v>37</v>
      </c>
      <c r="AT145">
        <v>143142</v>
      </c>
      <c r="AU145" t="s">
        <v>37</v>
      </c>
      <c r="AV145">
        <v>14071</v>
      </c>
      <c r="AW145" t="s">
        <v>37</v>
      </c>
      <c r="AX145">
        <v>52315</v>
      </c>
      <c r="AY145" t="s">
        <v>37</v>
      </c>
      <c r="AZ145">
        <v>35746</v>
      </c>
      <c r="BA145" t="s">
        <v>37</v>
      </c>
      <c r="BC145" t="s">
        <v>37</v>
      </c>
      <c r="BD145">
        <v>10108</v>
      </c>
      <c r="BE145" t="s">
        <v>37</v>
      </c>
      <c r="BG145" t="s">
        <v>37</v>
      </c>
      <c r="BI145" t="s">
        <v>37</v>
      </c>
      <c r="BJ145">
        <v>56698</v>
      </c>
      <c r="BK145" t="s">
        <v>37</v>
      </c>
      <c r="BL145">
        <v>168356</v>
      </c>
      <c r="BM145" t="s">
        <v>37</v>
      </c>
      <c r="BO145" t="s">
        <v>37</v>
      </c>
      <c r="BQ145" t="s">
        <v>37</v>
      </c>
      <c r="BR145">
        <v>15543</v>
      </c>
      <c r="BS145" t="s">
        <v>37</v>
      </c>
      <c r="BT145">
        <v>5396</v>
      </c>
      <c r="BU145" t="s">
        <v>37</v>
      </c>
      <c r="BW145" t="s">
        <v>37</v>
      </c>
      <c r="BX145">
        <v>46638</v>
      </c>
      <c r="BY145" t="s">
        <v>37</v>
      </c>
      <c r="BZ145">
        <v>4435</v>
      </c>
      <c r="CA145" t="s">
        <v>37</v>
      </c>
      <c r="CC145" t="s">
        <v>37</v>
      </c>
      <c r="CD145">
        <v>15054</v>
      </c>
      <c r="CE145" t="s">
        <v>37</v>
      </c>
      <c r="CF145">
        <v>34166</v>
      </c>
      <c r="CG145" t="s">
        <v>37</v>
      </c>
      <c r="CH145">
        <v>53422</v>
      </c>
      <c r="CI145" t="s">
        <v>37</v>
      </c>
      <c r="CJ145">
        <v>10504</v>
      </c>
      <c r="CK145" t="s">
        <v>37</v>
      </c>
      <c r="CL145">
        <v>8013</v>
      </c>
      <c r="CM145" t="s">
        <v>37</v>
      </c>
      <c r="CN145">
        <v>12371</v>
      </c>
      <c r="CO145" t="s">
        <v>37</v>
      </c>
      <c r="CP145">
        <v>5342</v>
      </c>
      <c r="CQ145" t="s">
        <v>37</v>
      </c>
      <c r="CR145">
        <v>24767</v>
      </c>
      <c r="CS145" t="s">
        <v>37</v>
      </c>
      <c r="CT145">
        <v>185498</v>
      </c>
      <c r="CU145" t="s">
        <v>37</v>
      </c>
      <c r="CV145">
        <v>38548</v>
      </c>
      <c r="CW145" t="s">
        <v>37</v>
      </c>
      <c r="CY145" t="s">
        <v>37</v>
      </c>
      <c r="CZ145">
        <v>6564</v>
      </c>
      <c r="DA145" t="s">
        <v>37</v>
      </c>
      <c r="DC145" t="s">
        <v>37</v>
      </c>
      <c r="DD145">
        <v>5266</v>
      </c>
      <c r="DE145" t="s">
        <v>37</v>
      </c>
      <c r="DG145" t="s">
        <v>37</v>
      </c>
      <c r="DH145">
        <v>159179</v>
      </c>
      <c r="DI145" t="s">
        <v>37</v>
      </c>
      <c r="DJ145">
        <v>12472</v>
      </c>
      <c r="DK145" t="s">
        <v>37</v>
      </c>
      <c r="DL145">
        <v>98576</v>
      </c>
      <c r="DM145" t="s">
        <v>37</v>
      </c>
      <c r="DN145">
        <v>118598</v>
      </c>
      <c r="DO145" t="s">
        <v>37</v>
      </c>
      <c r="DP145">
        <v>33955</v>
      </c>
      <c r="DQ145" t="s">
        <v>37</v>
      </c>
      <c r="DR145">
        <v>20235</v>
      </c>
      <c r="DS145" t="s">
        <v>37</v>
      </c>
      <c r="DT145">
        <v>6044</v>
      </c>
      <c r="DU145" t="s">
        <v>37</v>
      </c>
      <c r="DV145">
        <v>169555</v>
      </c>
      <c r="DW145" t="s">
        <v>37</v>
      </c>
      <c r="DX145">
        <v>25750</v>
      </c>
      <c r="DY145" t="s">
        <v>37</v>
      </c>
      <c r="DZ145">
        <v>27261</v>
      </c>
      <c r="EA145" t="s">
        <v>37</v>
      </c>
      <c r="EB145">
        <v>10176</v>
      </c>
      <c r="EC145" t="s">
        <v>37</v>
      </c>
      <c r="ED145">
        <v>86380</v>
      </c>
      <c r="EE145" t="s">
        <v>37</v>
      </c>
      <c r="EF145">
        <v>3287</v>
      </c>
      <c r="EG145" t="s">
        <v>37</v>
      </c>
      <c r="EI145" t="s">
        <v>37</v>
      </c>
      <c r="EJ145">
        <v>20689</v>
      </c>
      <c r="EK145" t="s">
        <v>37</v>
      </c>
      <c r="EL145">
        <v>10346</v>
      </c>
      <c r="EM145" t="s">
        <v>37</v>
      </c>
      <c r="EN145">
        <v>15597</v>
      </c>
      <c r="EO145" t="s">
        <v>37</v>
      </c>
      <c r="EQ145" t="s">
        <v>37</v>
      </c>
      <c r="ER145">
        <v>19734</v>
      </c>
      <c r="ES145" t="s">
        <v>37</v>
      </c>
      <c r="ET145">
        <v>30344</v>
      </c>
      <c r="EU145" t="s">
        <v>37</v>
      </c>
      <c r="EV145">
        <v>61635</v>
      </c>
      <c r="EW145" t="s">
        <v>37</v>
      </c>
      <c r="EY145" t="s">
        <v>37</v>
      </c>
      <c r="FA145" t="s">
        <v>37</v>
      </c>
      <c r="FB145">
        <v>34527</v>
      </c>
      <c r="FC145" t="s">
        <v>37</v>
      </c>
      <c r="FD145">
        <v>42324</v>
      </c>
      <c r="FE145" t="s">
        <v>37</v>
      </c>
      <c r="FG145" t="s">
        <v>37</v>
      </c>
      <c r="FH145">
        <v>110732</v>
      </c>
      <c r="FI145" t="s">
        <v>37</v>
      </c>
      <c r="FJ145">
        <v>305611</v>
      </c>
      <c r="FK145" t="s">
        <v>37</v>
      </c>
      <c r="FL145">
        <v>257254</v>
      </c>
      <c r="FM145" t="s">
        <v>37</v>
      </c>
      <c r="FN145">
        <v>7737</v>
      </c>
      <c r="FO145" t="s">
        <v>37</v>
      </c>
      <c r="FP145">
        <v>39325</v>
      </c>
      <c r="FQ145" t="s">
        <v>37</v>
      </c>
      <c r="FR145">
        <v>99722</v>
      </c>
      <c r="FS145" t="s">
        <v>37</v>
      </c>
      <c r="FT145">
        <v>40139</v>
      </c>
      <c r="FU145" t="s">
        <v>37</v>
      </c>
      <c r="FV145">
        <v>24538</v>
      </c>
      <c r="FW145" t="s">
        <v>37</v>
      </c>
      <c r="FX145">
        <v>34858</v>
      </c>
      <c r="FY145" t="s">
        <v>37</v>
      </c>
      <c r="FZ145">
        <v>84748</v>
      </c>
      <c r="GA145" t="s">
        <v>37</v>
      </c>
      <c r="GB145">
        <v>42142</v>
      </c>
      <c r="GC145" t="s">
        <v>37</v>
      </c>
      <c r="GE145" t="s">
        <v>37</v>
      </c>
      <c r="GG145" t="s">
        <v>37</v>
      </c>
      <c r="GI145" t="s">
        <v>37</v>
      </c>
      <c r="GJ145">
        <v>60947</v>
      </c>
      <c r="GK145" t="s">
        <v>37</v>
      </c>
      <c r="GL145">
        <v>73226</v>
      </c>
      <c r="GM145" t="s">
        <v>37</v>
      </c>
      <c r="GO145" t="s">
        <v>37</v>
      </c>
      <c r="GP145">
        <v>70086</v>
      </c>
      <c r="GQ145" t="s">
        <v>37</v>
      </c>
      <c r="GR145">
        <v>2518</v>
      </c>
      <c r="GS145" t="s">
        <v>37</v>
      </c>
      <c r="GT145">
        <v>9861</v>
      </c>
      <c r="GU145" t="s">
        <v>37</v>
      </c>
      <c r="GV145">
        <v>15470</v>
      </c>
      <c r="GW145" t="s">
        <v>37</v>
      </c>
      <c r="GX145">
        <v>134769</v>
      </c>
      <c r="GY145" t="s">
        <v>37</v>
      </c>
      <c r="GZ145">
        <v>67468</v>
      </c>
      <c r="HA145" t="s">
        <v>37</v>
      </c>
      <c r="HC145" t="s">
        <v>37</v>
      </c>
      <c r="HE145" t="s">
        <v>37</v>
      </c>
      <c r="HF145">
        <v>4192953</v>
      </c>
      <c r="HG145" t="s">
        <v>37</v>
      </c>
      <c r="HI145" t="s">
        <v>37</v>
      </c>
      <c r="HJ145">
        <v>4192953</v>
      </c>
      <c r="HK145" t="s">
        <v>37</v>
      </c>
    </row>
    <row r="146" spans="1:219">
      <c r="A146">
        <v>3325</v>
      </c>
      <c r="B146" t="s">
        <v>168</v>
      </c>
      <c r="C146" t="s">
        <v>37</v>
      </c>
      <c r="D146">
        <v>19508</v>
      </c>
      <c r="E146" t="s">
        <v>37</v>
      </c>
      <c r="F146">
        <v>89919</v>
      </c>
      <c r="G146" t="s">
        <v>37</v>
      </c>
      <c r="H146">
        <v>9901</v>
      </c>
      <c r="I146" t="s">
        <v>37</v>
      </c>
      <c r="K146" s="48" t="s">
        <v>37</v>
      </c>
      <c r="L146" s="51">
        <v>4863</v>
      </c>
      <c r="M146" s="48" t="s">
        <v>37</v>
      </c>
      <c r="N146" s="51">
        <v>34542</v>
      </c>
      <c r="O146" s="48" t="s">
        <v>37</v>
      </c>
      <c r="P146" s="51">
        <v>16644</v>
      </c>
      <c r="Q146" s="48" t="s">
        <v>37</v>
      </c>
      <c r="R146" s="51">
        <v>5297</v>
      </c>
      <c r="S146" s="48" t="s">
        <v>37</v>
      </c>
      <c r="T146">
        <v>59100</v>
      </c>
      <c r="U146" t="s">
        <v>37</v>
      </c>
      <c r="W146" t="s">
        <v>37</v>
      </c>
      <c r="Y146" t="s">
        <v>37</v>
      </c>
      <c r="Z146">
        <v>5320</v>
      </c>
      <c r="AA146" t="s">
        <v>37</v>
      </c>
      <c r="AB146">
        <v>5058</v>
      </c>
      <c r="AC146" t="s">
        <v>37</v>
      </c>
      <c r="AE146" t="s">
        <v>37</v>
      </c>
      <c r="AG146" t="s">
        <v>37</v>
      </c>
      <c r="AH146">
        <v>13122</v>
      </c>
      <c r="AI146" t="s">
        <v>37</v>
      </c>
      <c r="AK146" t="s">
        <v>37</v>
      </c>
      <c r="AL146">
        <v>1542</v>
      </c>
      <c r="AM146" t="s">
        <v>37</v>
      </c>
      <c r="AO146" t="s">
        <v>37</v>
      </c>
      <c r="AP146">
        <v>106925</v>
      </c>
      <c r="AQ146" t="s">
        <v>37</v>
      </c>
      <c r="AR146">
        <v>3334</v>
      </c>
      <c r="AS146" t="s">
        <v>37</v>
      </c>
      <c r="AT146">
        <v>50363</v>
      </c>
      <c r="AU146" t="s">
        <v>37</v>
      </c>
      <c r="AV146">
        <v>34614</v>
      </c>
      <c r="AW146" t="s">
        <v>37</v>
      </c>
      <c r="AX146">
        <v>32406</v>
      </c>
      <c r="AY146" t="s">
        <v>37</v>
      </c>
      <c r="AZ146">
        <v>5020</v>
      </c>
      <c r="BA146" t="s">
        <v>37</v>
      </c>
      <c r="BB146">
        <v>3960</v>
      </c>
      <c r="BC146" t="s">
        <v>37</v>
      </c>
      <c r="BD146">
        <v>10108</v>
      </c>
      <c r="BE146" t="s">
        <v>37</v>
      </c>
      <c r="BF146">
        <v>5612</v>
      </c>
      <c r="BG146" t="s">
        <v>37</v>
      </c>
      <c r="BI146" t="s">
        <v>37</v>
      </c>
      <c r="BJ146">
        <v>49508</v>
      </c>
      <c r="BK146" t="s">
        <v>37</v>
      </c>
      <c r="BL146">
        <v>51911</v>
      </c>
      <c r="BM146" t="s">
        <v>37</v>
      </c>
      <c r="BO146" t="s">
        <v>37</v>
      </c>
      <c r="BP146">
        <v>10698</v>
      </c>
      <c r="BQ146" t="s">
        <v>37</v>
      </c>
      <c r="BR146">
        <v>5181</v>
      </c>
      <c r="BS146" t="s">
        <v>37</v>
      </c>
      <c r="BT146">
        <v>5396</v>
      </c>
      <c r="BU146" t="s">
        <v>37</v>
      </c>
      <c r="BW146" t="s">
        <v>37</v>
      </c>
      <c r="BX146">
        <v>16539</v>
      </c>
      <c r="BY146" t="s">
        <v>37</v>
      </c>
      <c r="BZ146">
        <v>12418</v>
      </c>
      <c r="CA146" t="s">
        <v>37</v>
      </c>
      <c r="CC146" t="s">
        <v>37</v>
      </c>
      <c r="CD146">
        <v>30109</v>
      </c>
      <c r="CE146" t="s">
        <v>37</v>
      </c>
      <c r="CF146">
        <v>29041</v>
      </c>
      <c r="CG146" t="s">
        <v>37</v>
      </c>
      <c r="CH146">
        <v>76279</v>
      </c>
      <c r="CI146" t="s">
        <v>37</v>
      </c>
      <c r="CK146" t="s">
        <v>37</v>
      </c>
      <c r="CL146">
        <v>19150</v>
      </c>
      <c r="CM146" t="s">
        <v>37</v>
      </c>
      <c r="CO146" t="s">
        <v>37</v>
      </c>
      <c r="CQ146" t="s">
        <v>37</v>
      </c>
      <c r="CR146">
        <v>17646</v>
      </c>
      <c r="CS146" t="s">
        <v>37</v>
      </c>
      <c r="CT146">
        <v>55974</v>
      </c>
      <c r="CU146" t="s">
        <v>37</v>
      </c>
      <c r="CV146">
        <v>4628</v>
      </c>
      <c r="CW146" t="s">
        <v>37</v>
      </c>
      <c r="CX146">
        <v>5136</v>
      </c>
      <c r="CY146" t="s">
        <v>37</v>
      </c>
      <c r="CZ146">
        <v>2757</v>
      </c>
      <c r="DA146" t="s">
        <v>37</v>
      </c>
      <c r="DC146" t="s">
        <v>37</v>
      </c>
      <c r="DD146">
        <v>1106</v>
      </c>
      <c r="DE146" t="s">
        <v>37</v>
      </c>
      <c r="DG146" t="s">
        <v>37</v>
      </c>
      <c r="DH146">
        <v>88254</v>
      </c>
      <c r="DI146" t="s">
        <v>37</v>
      </c>
      <c r="DJ146">
        <v>3991</v>
      </c>
      <c r="DK146" t="s">
        <v>37</v>
      </c>
      <c r="DL146">
        <v>45085</v>
      </c>
      <c r="DM146" t="s">
        <v>37</v>
      </c>
      <c r="DN146">
        <v>81561</v>
      </c>
      <c r="DO146" t="s">
        <v>37</v>
      </c>
      <c r="DP146">
        <v>9914</v>
      </c>
      <c r="DQ146" t="s">
        <v>37</v>
      </c>
      <c r="DR146">
        <v>6222</v>
      </c>
      <c r="DS146" t="s">
        <v>37</v>
      </c>
      <c r="DU146" t="s">
        <v>37</v>
      </c>
      <c r="DV146">
        <v>122258</v>
      </c>
      <c r="DW146" t="s">
        <v>37</v>
      </c>
      <c r="DX146">
        <v>28747</v>
      </c>
      <c r="DY146" t="s">
        <v>37</v>
      </c>
      <c r="DZ146">
        <v>9175</v>
      </c>
      <c r="EA146" t="s">
        <v>37</v>
      </c>
      <c r="EB146">
        <v>16413</v>
      </c>
      <c r="EC146" t="s">
        <v>37</v>
      </c>
      <c r="ED146">
        <v>71024</v>
      </c>
      <c r="EE146" t="s">
        <v>37</v>
      </c>
      <c r="EG146" t="s">
        <v>37</v>
      </c>
      <c r="EI146" t="s">
        <v>37</v>
      </c>
      <c r="EJ146">
        <v>20482</v>
      </c>
      <c r="EK146" t="s">
        <v>37</v>
      </c>
      <c r="EL146">
        <v>828</v>
      </c>
      <c r="EM146" t="s">
        <v>37</v>
      </c>
      <c r="EN146">
        <v>1716</v>
      </c>
      <c r="EO146" t="s">
        <v>37</v>
      </c>
      <c r="EQ146" t="s">
        <v>37</v>
      </c>
      <c r="ER146">
        <v>5112</v>
      </c>
      <c r="ES146" t="s">
        <v>37</v>
      </c>
      <c r="ET146">
        <v>12723</v>
      </c>
      <c r="EU146" t="s">
        <v>37</v>
      </c>
      <c r="EV146">
        <v>67549</v>
      </c>
      <c r="EW146" t="s">
        <v>37</v>
      </c>
      <c r="EY146" t="s">
        <v>37</v>
      </c>
      <c r="EZ146">
        <v>4762</v>
      </c>
      <c r="FA146" t="s">
        <v>37</v>
      </c>
      <c r="FB146">
        <v>5489</v>
      </c>
      <c r="FC146" t="s">
        <v>37</v>
      </c>
      <c r="FD146">
        <v>9112</v>
      </c>
      <c r="FE146" t="s">
        <v>37</v>
      </c>
      <c r="FG146" t="s">
        <v>37</v>
      </c>
      <c r="FH146">
        <v>70400</v>
      </c>
      <c r="FI146" t="s">
        <v>37</v>
      </c>
      <c r="FJ146">
        <v>79984</v>
      </c>
      <c r="FK146" t="s">
        <v>37</v>
      </c>
      <c r="FL146">
        <v>118811</v>
      </c>
      <c r="FM146" t="s">
        <v>37</v>
      </c>
      <c r="FN146">
        <v>9732</v>
      </c>
      <c r="FO146" t="s">
        <v>37</v>
      </c>
      <c r="FP146">
        <v>2556</v>
      </c>
      <c r="FQ146" t="s">
        <v>37</v>
      </c>
      <c r="FR146">
        <v>17312</v>
      </c>
      <c r="FS146" t="s">
        <v>37</v>
      </c>
      <c r="FT146">
        <v>1439</v>
      </c>
      <c r="FU146" t="s">
        <v>37</v>
      </c>
      <c r="FV146">
        <v>8953</v>
      </c>
      <c r="FW146" t="s">
        <v>37</v>
      </c>
      <c r="FX146">
        <v>5558</v>
      </c>
      <c r="FY146" t="s">
        <v>37</v>
      </c>
      <c r="FZ146">
        <v>17582</v>
      </c>
      <c r="GA146" t="s">
        <v>37</v>
      </c>
      <c r="GB146">
        <v>5847</v>
      </c>
      <c r="GC146" t="s">
        <v>37</v>
      </c>
      <c r="GE146" t="s">
        <v>37</v>
      </c>
      <c r="GG146" t="s">
        <v>37</v>
      </c>
      <c r="GI146" t="s">
        <v>37</v>
      </c>
      <c r="GJ146">
        <v>9577</v>
      </c>
      <c r="GK146" t="s">
        <v>37</v>
      </c>
      <c r="GL146">
        <v>24856</v>
      </c>
      <c r="GM146" t="s">
        <v>37</v>
      </c>
      <c r="GO146" t="s">
        <v>37</v>
      </c>
      <c r="GP146">
        <v>8488</v>
      </c>
      <c r="GQ146" t="s">
        <v>37</v>
      </c>
      <c r="GR146">
        <v>11631</v>
      </c>
      <c r="GS146" t="s">
        <v>37</v>
      </c>
      <c r="GT146">
        <v>7299</v>
      </c>
      <c r="GU146" t="s">
        <v>37</v>
      </c>
      <c r="GV146">
        <v>8817</v>
      </c>
      <c r="GW146" t="s">
        <v>37</v>
      </c>
      <c r="GX146">
        <v>87687</v>
      </c>
      <c r="GY146" t="s">
        <v>37</v>
      </c>
      <c r="GZ146">
        <v>18296</v>
      </c>
      <c r="HA146" t="s">
        <v>37</v>
      </c>
      <c r="HC146" t="s">
        <v>37</v>
      </c>
      <c r="HE146" t="s">
        <v>37</v>
      </c>
      <c r="HF146">
        <v>2035877</v>
      </c>
      <c r="HG146" t="s">
        <v>37</v>
      </c>
      <c r="HI146" t="s">
        <v>37</v>
      </c>
      <c r="HJ146">
        <v>2035877</v>
      </c>
      <c r="HK146" t="s">
        <v>37</v>
      </c>
    </row>
    <row r="147" spans="1:219">
      <c r="A147">
        <v>3326</v>
      </c>
      <c r="B147" t="s">
        <v>169</v>
      </c>
      <c r="C147" t="s">
        <v>37</v>
      </c>
      <c r="D147">
        <v>7743</v>
      </c>
      <c r="E147" t="s">
        <v>37</v>
      </c>
      <c r="F147">
        <v>100266</v>
      </c>
      <c r="G147" t="s">
        <v>37</v>
      </c>
      <c r="H147">
        <v>4930</v>
      </c>
      <c r="I147" t="s">
        <v>37</v>
      </c>
      <c r="K147" s="48" t="s">
        <v>37</v>
      </c>
      <c r="L147" s="51">
        <v>69479</v>
      </c>
      <c r="M147" s="48" t="s">
        <v>37</v>
      </c>
      <c r="N147" s="51">
        <v>28418</v>
      </c>
      <c r="O147" s="48" t="s">
        <v>37</v>
      </c>
      <c r="P147" s="51">
        <v>3932</v>
      </c>
      <c r="Q147" s="48" t="s">
        <v>37</v>
      </c>
      <c r="R147" s="51">
        <v>22180</v>
      </c>
      <c r="S147" s="48" t="s">
        <v>37</v>
      </c>
      <c r="T147">
        <v>84651</v>
      </c>
      <c r="U147" t="s">
        <v>37</v>
      </c>
      <c r="W147" t="s">
        <v>37</v>
      </c>
      <c r="Y147" t="s">
        <v>37</v>
      </c>
      <c r="Z147">
        <v>8446</v>
      </c>
      <c r="AA147" t="s">
        <v>37</v>
      </c>
      <c r="AB147">
        <v>11964</v>
      </c>
      <c r="AC147" t="s">
        <v>37</v>
      </c>
      <c r="AE147" t="s">
        <v>37</v>
      </c>
      <c r="AF147">
        <v>1531</v>
      </c>
      <c r="AG147" t="s">
        <v>37</v>
      </c>
      <c r="AH147">
        <v>29413</v>
      </c>
      <c r="AI147" t="s">
        <v>37</v>
      </c>
      <c r="AK147" t="s">
        <v>37</v>
      </c>
      <c r="AL147">
        <v>3739</v>
      </c>
      <c r="AM147" t="s">
        <v>37</v>
      </c>
      <c r="AO147" t="s">
        <v>37</v>
      </c>
      <c r="AP147">
        <v>154516</v>
      </c>
      <c r="AQ147" t="s">
        <v>37</v>
      </c>
      <c r="AR147">
        <v>7001</v>
      </c>
      <c r="AS147" t="s">
        <v>37</v>
      </c>
      <c r="AT147">
        <v>159840</v>
      </c>
      <c r="AU147" t="s">
        <v>37</v>
      </c>
      <c r="AV147">
        <v>23902</v>
      </c>
      <c r="AW147" t="s">
        <v>37</v>
      </c>
      <c r="AX147">
        <v>32383</v>
      </c>
      <c r="AY147" t="s">
        <v>37</v>
      </c>
      <c r="AZ147">
        <v>46227</v>
      </c>
      <c r="BA147" t="s">
        <v>37</v>
      </c>
      <c r="BB147">
        <v>6359</v>
      </c>
      <c r="BC147" t="s">
        <v>37</v>
      </c>
      <c r="BE147" t="s">
        <v>37</v>
      </c>
      <c r="BF147">
        <v>3712</v>
      </c>
      <c r="BG147" t="s">
        <v>37</v>
      </c>
      <c r="BI147" t="s">
        <v>37</v>
      </c>
      <c r="BJ147">
        <v>28719</v>
      </c>
      <c r="BK147" t="s">
        <v>37</v>
      </c>
      <c r="BL147">
        <v>33850</v>
      </c>
      <c r="BM147" t="s">
        <v>37</v>
      </c>
      <c r="BO147" t="s">
        <v>37</v>
      </c>
      <c r="BP147">
        <v>6794</v>
      </c>
      <c r="BQ147" t="s">
        <v>37</v>
      </c>
      <c r="BS147" t="s">
        <v>37</v>
      </c>
      <c r="BT147">
        <v>21118</v>
      </c>
      <c r="BU147" t="s">
        <v>37</v>
      </c>
      <c r="BW147" t="s">
        <v>37</v>
      </c>
      <c r="BX147">
        <v>86063</v>
      </c>
      <c r="BY147" t="s">
        <v>37</v>
      </c>
      <c r="BZ147">
        <v>9540</v>
      </c>
      <c r="CA147" t="s">
        <v>37</v>
      </c>
      <c r="CC147" t="s">
        <v>37</v>
      </c>
      <c r="CD147">
        <v>3983</v>
      </c>
      <c r="CE147" t="s">
        <v>37</v>
      </c>
      <c r="CF147">
        <v>16272</v>
      </c>
      <c r="CG147" t="s">
        <v>37</v>
      </c>
      <c r="CH147">
        <v>163753</v>
      </c>
      <c r="CI147" t="s">
        <v>37</v>
      </c>
      <c r="CJ147">
        <v>4169</v>
      </c>
      <c r="CK147" t="s">
        <v>37</v>
      </c>
      <c r="CL147">
        <v>19001</v>
      </c>
      <c r="CM147" t="s">
        <v>37</v>
      </c>
      <c r="CN147">
        <v>6205</v>
      </c>
      <c r="CO147" t="s">
        <v>37</v>
      </c>
      <c r="CP147">
        <v>8184</v>
      </c>
      <c r="CQ147" t="s">
        <v>37</v>
      </c>
      <c r="CR147">
        <v>27768</v>
      </c>
      <c r="CS147" t="s">
        <v>37</v>
      </c>
      <c r="CT147">
        <v>348788</v>
      </c>
      <c r="CU147" t="s">
        <v>37</v>
      </c>
      <c r="CV147">
        <v>58626</v>
      </c>
      <c r="CW147" t="s">
        <v>37</v>
      </c>
      <c r="CX147">
        <v>11701</v>
      </c>
      <c r="CY147" t="s">
        <v>37</v>
      </c>
      <c r="CZ147">
        <v>3465</v>
      </c>
      <c r="DA147" t="s">
        <v>37</v>
      </c>
      <c r="DC147" t="s">
        <v>37</v>
      </c>
      <c r="DD147">
        <v>19646</v>
      </c>
      <c r="DE147" t="s">
        <v>37</v>
      </c>
      <c r="DG147" t="s">
        <v>37</v>
      </c>
      <c r="DH147">
        <v>129533</v>
      </c>
      <c r="DI147" t="s">
        <v>37</v>
      </c>
      <c r="DJ147">
        <v>9042</v>
      </c>
      <c r="DK147" t="s">
        <v>37</v>
      </c>
      <c r="DL147">
        <v>42422</v>
      </c>
      <c r="DM147" t="s">
        <v>37</v>
      </c>
      <c r="DN147">
        <v>81185</v>
      </c>
      <c r="DO147" t="s">
        <v>37</v>
      </c>
      <c r="DP147">
        <v>42456</v>
      </c>
      <c r="DQ147" t="s">
        <v>37</v>
      </c>
      <c r="DR147">
        <v>16062</v>
      </c>
      <c r="DS147" t="s">
        <v>37</v>
      </c>
      <c r="DT147">
        <v>10806</v>
      </c>
      <c r="DU147" t="s">
        <v>37</v>
      </c>
      <c r="DV147">
        <v>78328</v>
      </c>
      <c r="DW147" t="s">
        <v>37</v>
      </c>
      <c r="DX147">
        <v>28718</v>
      </c>
      <c r="DY147" t="s">
        <v>37</v>
      </c>
      <c r="DZ147">
        <v>3816</v>
      </c>
      <c r="EA147" t="s">
        <v>37</v>
      </c>
      <c r="EB147">
        <v>31094</v>
      </c>
      <c r="EC147" t="s">
        <v>37</v>
      </c>
      <c r="ED147">
        <v>68422</v>
      </c>
      <c r="EE147" t="s">
        <v>37</v>
      </c>
      <c r="EF147">
        <v>2609</v>
      </c>
      <c r="EG147" t="s">
        <v>37</v>
      </c>
      <c r="EI147" t="s">
        <v>37</v>
      </c>
      <c r="EJ147">
        <v>19378</v>
      </c>
      <c r="EK147" t="s">
        <v>37</v>
      </c>
      <c r="EL147">
        <v>12740</v>
      </c>
      <c r="EM147" t="s">
        <v>37</v>
      </c>
      <c r="EO147" t="s">
        <v>37</v>
      </c>
      <c r="EQ147" t="s">
        <v>37</v>
      </c>
      <c r="ER147">
        <v>12173</v>
      </c>
      <c r="ES147" t="s">
        <v>37</v>
      </c>
      <c r="ET147">
        <v>12157</v>
      </c>
      <c r="EU147" t="s">
        <v>37</v>
      </c>
      <c r="EV147">
        <v>51610</v>
      </c>
      <c r="EW147" t="s">
        <v>37</v>
      </c>
      <c r="EY147" t="s">
        <v>37</v>
      </c>
      <c r="FA147" t="s">
        <v>37</v>
      </c>
      <c r="FB147">
        <v>11667</v>
      </c>
      <c r="FC147" t="s">
        <v>37</v>
      </c>
      <c r="FD147">
        <v>15189</v>
      </c>
      <c r="FE147" t="s">
        <v>37</v>
      </c>
      <c r="FG147" t="s">
        <v>37</v>
      </c>
      <c r="FH147">
        <v>115444</v>
      </c>
      <c r="FI147" t="s">
        <v>37</v>
      </c>
      <c r="FJ147">
        <v>109983</v>
      </c>
      <c r="FK147" t="s">
        <v>37</v>
      </c>
      <c r="FL147">
        <v>102792</v>
      </c>
      <c r="FM147" t="s">
        <v>37</v>
      </c>
      <c r="FN147">
        <v>3863</v>
      </c>
      <c r="FO147" t="s">
        <v>37</v>
      </c>
      <c r="FP147">
        <v>8038</v>
      </c>
      <c r="FQ147" t="s">
        <v>37</v>
      </c>
      <c r="FR147">
        <v>36580</v>
      </c>
      <c r="FS147" t="s">
        <v>37</v>
      </c>
      <c r="FT147">
        <v>19820</v>
      </c>
      <c r="FU147" t="s">
        <v>37</v>
      </c>
      <c r="FV147">
        <v>3850</v>
      </c>
      <c r="FW147" t="s">
        <v>37</v>
      </c>
      <c r="FX147">
        <v>12391</v>
      </c>
      <c r="FY147" t="s">
        <v>37</v>
      </c>
      <c r="FZ147">
        <v>29064</v>
      </c>
      <c r="GA147" t="s">
        <v>37</v>
      </c>
      <c r="GB147">
        <v>67727</v>
      </c>
      <c r="GC147" t="s">
        <v>37</v>
      </c>
      <c r="GE147" t="s">
        <v>37</v>
      </c>
      <c r="GG147" t="s">
        <v>37</v>
      </c>
      <c r="GI147" t="s">
        <v>37</v>
      </c>
      <c r="GJ147">
        <v>31995</v>
      </c>
      <c r="GK147" t="s">
        <v>37</v>
      </c>
      <c r="GL147">
        <v>61992</v>
      </c>
      <c r="GM147" t="s">
        <v>37</v>
      </c>
      <c r="GO147" t="s">
        <v>37</v>
      </c>
      <c r="GP147">
        <v>24206</v>
      </c>
      <c r="GQ147" t="s">
        <v>37</v>
      </c>
      <c r="GR147">
        <v>15188</v>
      </c>
      <c r="GS147" t="s">
        <v>37</v>
      </c>
      <c r="GT147">
        <v>11888</v>
      </c>
      <c r="GU147" t="s">
        <v>37</v>
      </c>
      <c r="GV147">
        <v>27754</v>
      </c>
      <c r="GW147" t="s">
        <v>37</v>
      </c>
      <c r="GX147">
        <v>83224</v>
      </c>
      <c r="GY147" t="s">
        <v>37</v>
      </c>
      <c r="GZ147">
        <v>44296</v>
      </c>
      <c r="HA147" t="s">
        <v>37</v>
      </c>
      <c r="HC147" t="s">
        <v>37</v>
      </c>
      <c r="HD147">
        <v>6413</v>
      </c>
      <c r="HE147" t="s">
        <v>37</v>
      </c>
      <c r="HF147">
        <v>3177779</v>
      </c>
      <c r="HG147" t="s">
        <v>37</v>
      </c>
      <c r="HH147">
        <v>6413</v>
      </c>
      <c r="HI147" t="s">
        <v>37</v>
      </c>
      <c r="HJ147">
        <v>3184192</v>
      </c>
      <c r="HK147" t="s">
        <v>37</v>
      </c>
    </row>
    <row r="148" spans="1:219">
      <c r="A148">
        <v>3327</v>
      </c>
      <c r="B148" t="s">
        <v>170</v>
      </c>
      <c r="C148" t="s">
        <v>37</v>
      </c>
      <c r="D148">
        <v>1738823</v>
      </c>
      <c r="E148" t="s">
        <v>37</v>
      </c>
      <c r="F148">
        <v>8850300</v>
      </c>
      <c r="G148" t="s">
        <v>37</v>
      </c>
      <c r="H148">
        <v>332186</v>
      </c>
      <c r="I148" t="s">
        <v>37</v>
      </c>
      <c r="K148" s="48" t="s">
        <v>37</v>
      </c>
      <c r="L148" s="51">
        <v>3683326</v>
      </c>
      <c r="M148" s="48" t="s">
        <v>37</v>
      </c>
      <c r="N148" s="51">
        <v>1874706</v>
      </c>
      <c r="O148" s="48" t="s">
        <v>37</v>
      </c>
      <c r="P148" s="51">
        <v>1160970</v>
      </c>
      <c r="Q148" s="48" t="s">
        <v>37</v>
      </c>
      <c r="R148" s="51">
        <v>929787</v>
      </c>
      <c r="S148" s="48" t="s">
        <v>37</v>
      </c>
      <c r="T148">
        <v>2789996</v>
      </c>
      <c r="U148" t="s">
        <v>37</v>
      </c>
      <c r="W148" t="s">
        <v>37</v>
      </c>
      <c r="Y148" t="s">
        <v>37</v>
      </c>
      <c r="Z148">
        <v>673041</v>
      </c>
      <c r="AA148" t="s">
        <v>37</v>
      </c>
      <c r="AB148">
        <v>480557</v>
      </c>
      <c r="AC148" t="s">
        <v>37</v>
      </c>
      <c r="AD148">
        <v>471106</v>
      </c>
      <c r="AE148" t="s">
        <v>37</v>
      </c>
      <c r="AF148">
        <v>451219</v>
      </c>
      <c r="AG148" t="s">
        <v>37</v>
      </c>
      <c r="AH148">
        <v>1364312</v>
      </c>
      <c r="AI148" t="s">
        <v>37</v>
      </c>
      <c r="AK148" t="s">
        <v>37</v>
      </c>
      <c r="AL148">
        <v>228058</v>
      </c>
      <c r="AM148" t="s">
        <v>37</v>
      </c>
      <c r="AO148" t="s">
        <v>37</v>
      </c>
      <c r="AP148">
        <v>8031495</v>
      </c>
      <c r="AQ148" t="s">
        <v>37</v>
      </c>
      <c r="AR148">
        <v>580598</v>
      </c>
      <c r="AS148" t="s">
        <v>37</v>
      </c>
      <c r="AT148">
        <v>5541189</v>
      </c>
      <c r="AU148" t="s">
        <v>37</v>
      </c>
      <c r="AV148">
        <v>3293378</v>
      </c>
      <c r="AW148" t="s">
        <v>37</v>
      </c>
      <c r="AX148">
        <v>1598969</v>
      </c>
      <c r="AY148" t="s">
        <v>37</v>
      </c>
      <c r="AZ148">
        <v>4205429</v>
      </c>
      <c r="BA148" t="s">
        <v>37</v>
      </c>
      <c r="BB148">
        <v>311883</v>
      </c>
      <c r="BC148" t="s">
        <v>37</v>
      </c>
      <c r="BD148">
        <v>1642046</v>
      </c>
      <c r="BE148" t="s">
        <v>37</v>
      </c>
      <c r="BF148">
        <v>585805</v>
      </c>
      <c r="BG148" t="s">
        <v>37</v>
      </c>
      <c r="BI148" t="s">
        <v>37</v>
      </c>
      <c r="BJ148">
        <v>1657710</v>
      </c>
      <c r="BK148" t="s">
        <v>37</v>
      </c>
      <c r="BL148">
        <v>3850262</v>
      </c>
      <c r="BM148" t="s">
        <v>37</v>
      </c>
      <c r="BO148" t="s">
        <v>37</v>
      </c>
      <c r="BP148">
        <v>211708</v>
      </c>
      <c r="BQ148" t="s">
        <v>37</v>
      </c>
      <c r="BR148">
        <v>770550</v>
      </c>
      <c r="BS148" t="s">
        <v>37</v>
      </c>
      <c r="BT148">
        <v>766418</v>
      </c>
      <c r="BU148" t="s">
        <v>37</v>
      </c>
      <c r="BW148" t="s">
        <v>37</v>
      </c>
      <c r="BX148">
        <v>7987371</v>
      </c>
      <c r="BY148" t="s">
        <v>37</v>
      </c>
      <c r="BZ148">
        <v>636313</v>
      </c>
      <c r="CA148" t="s">
        <v>37</v>
      </c>
      <c r="CC148" t="s">
        <v>37</v>
      </c>
      <c r="CD148">
        <v>1403288</v>
      </c>
      <c r="CE148" t="s">
        <v>37</v>
      </c>
      <c r="CF148">
        <v>659249</v>
      </c>
      <c r="CG148" t="s">
        <v>37</v>
      </c>
      <c r="CH148">
        <v>4633296</v>
      </c>
      <c r="CI148" t="s">
        <v>37</v>
      </c>
      <c r="CJ148">
        <v>691172</v>
      </c>
      <c r="CK148" t="s">
        <v>37</v>
      </c>
      <c r="CL148">
        <v>1276378</v>
      </c>
      <c r="CM148" t="s">
        <v>37</v>
      </c>
      <c r="CN148">
        <v>316721</v>
      </c>
      <c r="CO148" t="s">
        <v>37</v>
      </c>
      <c r="CP148">
        <v>456732</v>
      </c>
      <c r="CQ148" t="s">
        <v>37</v>
      </c>
      <c r="CR148">
        <v>2407573</v>
      </c>
      <c r="CS148" t="s">
        <v>37</v>
      </c>
      <c r="CT148">
        <v>16970007</v>
      </c>
      <c r="CU148" t="s">
        <v>37</v>
      </c>
      <c r="CV148">
        <v>2179197</v>
      </c>
      <c r="CW148" t="s">
        <v>37</v>
      </c>
      <c r="CX148">
        <v>584347</v>
      </c>
      <c r="CY148" t="s">
        <v>37</v>
      </c>
      <c r="CZ148">
        <v>553084</v>
      </c>
      <c r="DA148" t="s">
        <v>37</v>
      </c>
      <c r="DC148" t="s">
        <v>37</v>
      </c>
      <c r="DD148">
        <v>1582028</v>
      </c>
      <c r="DE148" t="s">
        <v>37</v>
      </c>
      <c r="DF148">
        <v>758072</v>
      </c>
      <c r="DG148" t="s">
        <v>37</v>
      </c>
      <c r="DH148">
        <v>5991248</v>
      </c>
      <c r="DI148" t="s">
        <v>37</v>
      </c>
      <c r="DJ148">
        <v>1282531</v>
      </c>
      <c r="DK148" t="s">
        <v>37</v>
      </c>
      <c r="DL148">
        <v>3339646</v>
      </c>
      <c r="DM148" t="s">
        <v>37</v>
      </c>
      <c r="DN148">
        <v>2023291</v>
      </c>
      <c r="DO148" t="s">
        <v>37</v>
      </c>
      <c r="DP148">
        <v>2487283</v>
      </c>
      <c r="DQ148" t="s">
        <v>37</v>
      </c>
      <c r="DR148">
        <v>730072</v>
      </c>
      <c r="DS148" t="s">
        <v>37</v>
      </c>
      <c r="DT148">
        <v>1279900</v>
      </c>
      <c r="DU148" t="s">
        <v>37</v>
      </c>
      <c r="DV148">
        <v>7158241</v>
      </c>
      <c r="DW148" t="s">
        <v>37</v>
      </c>
      <c r="DX148">
        <v>3253912</v>
      </c>
      <c r="DY148" t="s">
        <v>37</v>
      </c>
      <c r="DZ148">
        <v>723437</v>
      </c>
      <c r="EA148" t="s">
        <v>37</v>
      </c>
      <c r="EB148">
        <v>1253672</v>
      </c>
      <c r="EC148" t="s">
        <v>37</v>
      </c>
      <c r="ED148">
        <v>7551785</v>
      </c>
      <c r="EE148" t="s">
        <v>37</v>
      </c>
      <c r="EF148">
        <v>215168</v>
      </c>
      <c r="EG148" t="s">
        <v>37</v>
      </c>
      <c r="EI148" t="s">
        <v>37</v>
      </c>
      <c r="EJ148">
        <v>741454</v>
      </c>
      <c r="EK148" t="s">
        <v>37</v>
      </c>
      <c r="EL148">
        <v>697699</v>
      </c>
      <c r="EM148" t="s">
        <v>37</v>
      </c>
      <c r="EN148">
        <v>341004</v>
      </c>
      <c r="EO148" t="s">
        <v>37</v>
      </c>
      <c r="EQ148" t="s">
        <v>37</v>
      </c>
      <c r="ER148">
        <v>2325753</v>
      </c>
      <c r="ES148" t="s">
        <v>37</v>
      </c>
      <c r="ET148">
        <v>1803042</v>
      </c>
      <c r="EU148" t="s">
        <v>37</v>
      </c>
      <c r="EV148">
        <v>2733665</v>
      </c>
      <c r="EW148" t="s">
        <v>37</v>
      </c>
      <c r="EY148" t="s">
        <v>37</v>
      </c>
      <c r="EZ148">
        <v>1504283</v>
      </c>
      <c r="FA148" t="s">
        <v>37</v>
      </c>
      <c r="FB148">
        <v>1852935</v>
      </c>
      <c r="FC148" t="s">
        <v>37</v>
      </c>
      <c r="FD148">
        <v>2572701</v>
      </c>
      <c r="FE148" t="s">
        <v>37</v>
      </c>
      <c r="FG148" t="s">
        <v>37</v>
      </c>
      <c r="FH148">
        <v>4755267</v>
      </c>
      <c r="FI148" t="s">
        <v>37</v>
      </c>
      <c r="FJ148">
        <v>7223280</v>
      </c>
      <c r="FK148" t="s">
        <v>37</v>
      </c>
      <c r="FL148">
        <v>8253692</v>
      </c>
      <c r="FM148" t="s">
        <v>37</v>
      </c>
      <c r="FN148">
        <v>644131</v>
      </c>
      <c r="FO148" t="s">
        <v>37</v>
      </c>
      <c r="FP148">
        <v>2412280</v>
      </c>
      <c r="FQ148" t="s">
        <v>37</v>
      </c>
      <c r="FR148">
        <v>3645145</v>
      </c>
      <c r="FS148" t="s">
        <v>37</v>
      </c>
      <c r="FT148">
        <v>787304</v>
      </c>
      <c r="FU148" t="s">
        <v>37</v>
      </c>
      <c r="FV148">
        <v>1017804</v>
      </c>
      <c r="FW148" t="s">
        <v>37</v>
      </c>
      <c r="FX148">
        <v>1410956</v>
      </c>
      <c r="FY148" t="s">
        <v>37</v>
      </c>
      <c r="FZ148">
        <v>2285702</v>
      </c>
      <c r="GA148" t="s">
        <v>37</v>
      </c>
      <c r="GB148">
        <v>1871882</v>
      </c>
      <c r="GC148" t="s">
        <v>37</v>
      </c>
      <c r="GE148" t="s">
        <v>37</v>
      </c>
      <c r="GG148" t="s">
        <v>37</v>
      </c>
      <c r="GI148" t="s">
        <v>37</v>
      </c>
      <c r="GJ148">
        <v>4209370</v>
      </c>
      <c r="GK148" t="s">
        <v>37</v>
      </c>
      <c r="GL148">
        <v>2309583</v>
      </c>
      <c r="GM148" t="s">
        <v>37</v>
      </c>
      <c r="GO148" t="s">
        <v>37</v>
      </c>
      <c r="GP148">
        <v>2052428</v>
      </c>
      <c r="GQ148" t="s">
        <v>37</v>
      </c>
      <c r="GR148">
        <v>2821746</v>
      </c>
      <c r="GS148" t="s">
        <v>37</v>
      </c>
      <c r="GT148">
        <v>2649094</v>
      </c>
      <c r="GU148" t="s">
        <v>37</v>
      </c>
      <c r="GV148">
        <v>2008645</v>
      </c>
      <c r="GW148" t="s">
        <v>37</v>
      </c>
      <c r="GX148">
        <v>4330791</v>
      </c>
      <c r="GY148" t="s">
        <v>37</v>
      </c>
      <c r="GZ148">
        <v>3635178</v>
      </c>
      <c r="HA148" t="s">
        <v>37</v>
      </c>
      <c r="HC148" t="s">
        <v>37</v>
      </c>
      <c r="HD148">
        <v>262122</v>
      </c>
      <c r="HE148" t="s">
        <v>37</v>
      </c>
      <c r="HF148">
        <v>211357655</v>
      </c>
      <c r="HG148" t="s">
        <v>37</v>
      </c>
      <c r="HH148">
        <v>262122</v>
      </c>
      <c r="HI148" t="s">
        <v>37</v>
      </c>
      <c r="HJ148">
        <v>211619777</v>
      </c>
      <c r="HK148" t="s">
        <v>37</v>
      </c>
    </row>
    <row r="149" spans="1:219">
      <c r="A149">
        <v>3330</v>
      </c>
      <c r="B149" t="s">
        <v>171</v>
      </c>
      <c r="C149" t="s">
        <v>37</v>
      </c>
      <c r="E149" t="s">
        <v>37</v>
      </c>
      <c r="G149" t="s">
        <v>37</v>
      </c>
      <c r="I149" t="s">
        <v>37</v>
      </c>
      <c r="K149" s="48" t="s">
        <v>37</v>
      </c>
      <c r="L149" s="50"/>
      <c r="M149" s="48" t="s">
        <v>37</v>
      </c>
      <c r="N149" s="50"/>
      <c r="O149" s="48" t="s">
        <v>37</v>
      </c>
      <c r="P149" s="50"/>
      <c r="Q149" s="48" t="s">
        <v>37</v>
      </c>
      <c r="R149" s="50"/>
      <c r="S149" s="48" t="s">
        <v>37</v>
      </c>
      <c r="U149" t="s">
        <v>37</v>
      </c>
      <c r="W149" t="s">
        <v>37</v>
      </c>
      <c r="Y149" t="s">
        <v>37</v>
      </c>
      <c r="AA149" t="s">
        <v>37</v>
      </c>
      <c r="AC149" t="s">
        <v>37</v>
      </c>
      <c r="AE149" t="s">
        <v>37</v>
      </c>
      <c r="AG149" t="s">
        <v>37</v>
      </c>
      <c r="AI149" t="s">
        <v>37</v>
      </c>
      <c r="AK149" t="s">
        <v>37</v>
      </c>
      <c r="AM149" t="s">
        <v>37</v>
      </c>
      <c r="AO149" t="s">
        <v>37</v>
      </c>
      <c r="AQ149" t="s">
        <v>37</v>
      </c>
      <c r="AS149" t="s">
        <v>37</v>
      </c>
      <c r="AU149" t="s">
        <v>37</v>
      </c>
      <c r="AW149" t="s">
        <v>37</v>
      </c>
      <c r="AY149" t="s">
        <v>37</v>
      </c>
      <c r="BA149" t="s">
        <v>37</v>
      </c>
      <c r="BC149" t="s">
        <v>37</v>
      </c>
      <c r="BE149" t="s">
        <v>37</v>
      </c>
      <c r="BG149" t="s">
        <v>37</v>
      </c>
      <c r="BI149" t="s">
        <v>37</v>
      </c>
      <c r="BK149" t="s">
        <v>37</v>
      </c>
      <c r="BM149" t="s">
        <v>37</v>
      </c>
      <c r="BO149" t="s">
        <v>37</v>
      </c>
      <c r="BQ149" t="s">
        <v>37</v>
      </c>
      <c r="BS149" t="s">
        <v>37</v>
      </c>
      <c r="BU149" t="s">
        <v>37</v>
      </c>
      <c r="BW149" t="s">
        <v>37</v>
      </c>
      <c r="BY149" t="s">
        <v>37</v>
      </c>
      <c r="CA149" t="s">
        <v>37</v>
      </c>
      <c r="CC149" t="s">
        <v>37</v>
      </c>
      <c r="CE149" t="s">
        <v>37</v>
      </c>
      <c r="CG149" t="s">
        <v>37</v>
      </c>
      <c r="CI149" t="s">
        <v>37</v>
      </c>
      <c r="CK149" t="s">
        <v>37</v>
      </c>
      <c r="CM149" t="s">
        <v>37</v>
      </c>
      <c r="CO149" t="s">
        <v>37</v>
      </c>
      <c r="CQ149" t="s">
        <v>37</v>
      </c>
      <c r="CS149" t="s">
        <v>37</v>
      </c>
      <c r="CU149" t="s">
        <v>37</v>
      </c>
      <c r="CW149" t="s">
        <v>37</v>
      </c>
      <c r="CY149" t="s">
        <v>37</v>
      </c>
      <c r="DA149" t="s">
        <v>37</v>
      </c>
      <c r="DC149" t="s">
        <v>37</v>
      </c>
      <c r="DE149" t="s">
        <v>37</v>
      </c>
      <c r="DG149" t="s">
        <v>37</v>
      </c>
      <c r="DI149" t="s">
        <v>37</v>
      </c>
      <c r="DK149" t="s">
        <v>37</v>
      </c>
      <c r="DM149" t="s">
        <v>37</v>
      </c>
      <c r="DO149" t="s">
        <v>37</v>
      </c>
      <c r="DQ149" t="s">
        <v>37</v>
      </c>
      <c r="DS149" t="s">
        <v>37</v>
      </c>
      <c r="DU149" t="s">
        <v>37</v>
      </c>
      <c r="DW149" t="s">
        <v>37</v>
      </c>
      <c r="DY149" t="s">
        <v>37</v>
      </c>
      <c r="EA149" t="s">
        <v>37</v>
      </c>
      <c r="EC149" t="s">
        <v>37</v>
      </c>
      <c r="EE149" t="s">
        <v>37</v>
      </c>
      <c r="EG149" t="s">
        <v>37</v>
      </c>
      <c r="EI149" t="s">
        <v>37</v>
      </c>
      <c r="EK149" t="s">
        <v>37</v>
      </c>
      <c r="EM149" t="s">
        <v>37</v>
      </c>
      <c r="EO149" t="s">
        <v>37</v>
      </c>
      <c r="EQ149" t="s">
        <v>37</v>
      </c>
      <c r="ES149" t="s">
        <v>37</v>
      </c>
      <c r="EU149" t="s">
        <v>37</v>
      </c>
      <c r="EW149" t="s">
        <v>37</v>
      </c>
      <c r="EY149" t="s">
        <v>37</v>
      </c>
      <c r="FA149" t="s">
        <v>37</v>
      </c>
      <c r="FC149" t="s">
        <v>37</v>
      </c>
      <c r="FE149" t="s">
        <v>37</v>
      </c>
      <c r="FG149" t="s">
        <v>37</v>
      </c>
      <c r="FI149" t="s">
        <v>37</v>
      </c>
      <c r="FK149" t="s">
        <v>37</v>
      </c>
      <c r="FM149" t="s">
        <v>37</v>
      </c>
      <c r="FO149" t="s">
        <v>37</v>
      </c>
      <c r="FQ149" t="s">
        <v>37</v>
      </c>
      <c r="FS149" t="s">
        <v>37</v>
      </c>
      <c r="FU149" t="s">
        <v>37</v>
      </c>
      <c r="FW149" t="s">
        <v>37</v>
      </c>
      <c r="FY149" t="s">
        <v>37</v>
      </c>
      <c r="GA149" t="s">
        <v>37</v>
      </c>
      <c r="GC149" t="s">
        <v>37</v>
      </c>
      <c r="GE149" t="s">
        <v>37</v>
      </c>
      <c r="GG149" t="s">
        <v>37</v>
      </c>
      <c r="GI149" t="s">
        <v>37</v>
      </c>
      <c r="GK149" t="s">
        <v>37</v>
      </c>
      <c r="GM149" t="s">
        <v>37</v>
      </c>
      <c r="GO149" t="s">
        <v>37</v>
      </c>
      <c r="GQ149" t="s">
        <v>37</v>
      </c>
      <c r="GS149" t="s">
        <v>37</v>
      </c>
      <c r="GU149" t="s">
        <v>37</v>
      </c>
      <c r="GW149" t="s">
        <v>37</v>
      </c>
      <c r="GY149" t="s">
        <v>37</v>
      </c>
      <c r="HA149" t="s">
        <v>37</v>
      </c>
      <c r="HC149" t="s">
        <v>37</v>
      </c>
      <c r="HE149" t="s">
        <v>37</v>
      </c>
      <c r="HG149" t="s">
        <v>37</v>
      </c>
      <c r="HI149" t="s">
        <v>37</v>
      </c>
      <c r="HK149" t="s">
        <v>37</v>
      </c>
    </row>
    <row r="150" spans="1:219">
      <c r="A150">
        <v>3331</v>
      </c>
      <c r="B150" t="s">
        <v>172</v>
      </c>
      <c r="C150" t="s">
        <v>37</v>
      </c>
      <c r="D150">
        <v>25421</v>
      </c>
      <c r="E150" t="s">
        <v>37</v>
      </c>
      <c r="F150">
        <v>443481</v>
      </c>
      <c r="G150" t="s">
        <v>37</v>
      </c>
      <c r="H150">
        <v>38212</v>
      </c>
      <c r="I150" t="s">
        <v>37</v>
      </c>
      <c r="K150" s="48" t="s">
        <v>37</v>
      </c>
      <c r="L150" s="51">
        <v>90448</v>
      </c>
      <c r="M150" s="48" t="s">
        <v>37</v>
      </c>
      <c r="N150" s="51">
        <v>35247</v>
      </c>
      <c r="O150" s="48" t="s">
        <v>37</v>
      </c>
      <c r="P150" s="51">
        <v>48693</v>
      </c>
      <c r="Q150" s="48" t="s">
        <v>37</v>
      </c>
      <c r="R150" s="51">
        <v>8245</v>
      </c>
      <c r="S150" s="48" t="s">
        <v>37</v>
      </c>
      <c r="T150">
        <v>102247</v>
      </c>
      <c r="U150" t="s">
        <v>37</v>
      </c>
      <c r="W150" t="s">
        <v>37</v>
      </c>
      <c r="Y150" t="s">
        <v>37</v>
      </c>
      <c r="Z150">
        <v>21280</v>
      </c>
      <c r="AA150" t="s">
        <v>37</v>
      </c>
      <c r="AB150">
        <v>14566</v>
      </c>
      <c r="AC150" t="s">
        <v>37</v>
      </c>
      <c r="AD150">
        <v>12451</v>
      </c>
      <c r="AE150" t="s">
        <v>37</v>
      </c>
      <c r="AF150">
        <v>19541</v>
      </c>
      <c r="AG150" t="s">
        <v>37</v>
      </c>
      <c r="AH150">
        <v>29970</v>
      </c>
      <c r="AI150" t="s">
        <v>37</v>
      </c>
      <c r="AK150" t="s">
        <v>37</v>
      </c>
      <c r="AL150">
        <v>7229</v>
      </c>
      <c r="AM150" t="s">
        <v>37</v>
      </c>
      <c r="AO150" t="s">
        <v>37</v>
      </c>
      <c r="AP150">
        <v>424992</v>
      </c>
      <c r="AQ150" t="s">
        <v>37</v>
      </c>
      <c r="AR150">
        <v>22377</v>
      </c>
      <c r="AS150" t="s">
        <v>37</v>
      </c>
      <c r="AT150">
        <v>361151</v>
      </c>
      <c r="AU150" t="s">
        <v>37</v>
      </c>
      <c r="AV150">
        <v>110457</v>
      </c>
      <c r="AW150" t="s">
        <v>37</v>
      </c>
      <c r="AX150">
        <v>56154</v>
      </c>
      <c r="AY150" t="s">
        <v>37</v>
      </c>
      <c r="AZ150">
        <v>113463</v>
      </c>
      <c r="BA150" t="s">
        <v>37</v>
      </c>
      <c r="BB150">
        <v>3434</v>
      </c>
      <c r="BC150" t="s">
        <v>37</v>
      </c>
      <c r="BD150">
        <v>98405</v>
      </c>
      <c r="BE150" t="s">
        <v>37</v>
      </c>
      <c r="BF150">
        <v>27329</v>
      </c>
      <c r="BG150" t="s">
        <v>37</v>
      </c>
      <c r="BI150" t="s">
        <v>37</v>
      </c>
      <c r="BJ150">
        <v>118480</v>
      </c>
      <c r="BK150" t="s">
        <v>37</v>
      </c>
      <c r="BL150">
        <v>187551</v>
      </c>
      <c r="BM150" t="s">
        <v>37</v>
      </c>
      <c r="BO150" t="s">
        <v>37</v>
      </c>
      <c r="BP150">
        <v>26745</v>
      </c>
      <c r="BQ150" t="s">
        <v>37</v>
      </c>
      <c r="BR150">
        <v>70824</v>
      </c>
      <c r="BS150" t="s">
        <v>37</v>
      </c>
      <c r="BT150">
        <v>27629</v>
      </c>
      <c r="BU150" t="s">
        <v>37</v>
      </c>
      <c r="BW150" t="s">
        <v>37</v>
      </c>
      <c r="BX150">
        <v>518149</v>
      </c>
      <c r="BY150" t="s">
        <v>37</v>
      </c>
      <c r="BZ150">
        <v>30999</v>
      </c>
      <c r="CA150" t="s">
        <v>37</v>
      </c>
      <c r="CC150" t="s">
        <v>37</v>
      </c>
      <c r="CD150">
        <v>35127</v>
      </c>
      <c r="CE150" t="s">
        <v>37</v>
      </c>
      <c r="CF150">
        <v>17186</v>
      </c>
      <c r="CG150" t="s">
        <v>37</v>
      </c>
      <c r="CH150">
        <v>275633</v>
      </c>
      <c r="CI150" t="s">
        <v>37</v>
      </c>
      <c r="CJ150">
        <v>38814</v>
      </c>
      <c r="CK150" t="s">
        <v>37</v>
      </c>
      <c r="CL150">
        <v>60777</v>
      </c>
      <c r="CM150" t="s">
        <v>37</v>
      </c>
      <c r="CN150">
        <v>18744</v>
      </c>
      <c r="CO150" t="s">
        <v>37</v>
      </c>
      <c r="CP150">
        <v>20942</v>
      </c>
      <c r="CQ150" t="s">
        <v>37</v>
      </c>
      <c r="CR150">
        <v>82411</v>
      </c>
      <c r="CS150" t="s">
        <v>37</v>
      </c>
      <c r="CT150">
        <v>905995</v>
      </c>
      <c r="CU150" t="s">
        <v>37</v>
      </c>
      <c r="CV150">
        <v>85611</v>
      </c>
      <c r="CW150" t="s">
        <v>37</v>
      </c>
      <c r="CX150">
        <v>2465</v>
      </c>
      <c r="CY150" t="s">
        <v>37</v>
      </c>
      <c r="CZ150">
        <v>3282</v>
      </c>
      <c r="DA150" t="s">
        <v>37</v>
      </c>
      <c r="DC150" t="s">
        <v>37</v>
      </c>
      <c r="DD150">
        <v>36703</v>
      </c>
      <c r="DE150" t="s">
        <v>37</v>
      </c>
      <c r="DG150" t="s">
        <v>37</v>
      </c>
      <c r="DH150">
        <v>341269</v>
      </c>
      <c r="DI150" t="s">
        <v>37</v>
      </c>
      <c r="DJ150">
        <v>40243</v>
      </c>
      <c r="DK150" t="s">
        <v>37</v>
      </c>
      <c r="DL150">
        <v>223754</v>
      </c>
      <c r="DM150" t="s">
        <v>37</v>
      </c>
      <c r="DN150">
        <v>155105</v>
      </c>
      <c r="DO150" t="s">
        <v>37</v>
      </c>
      <c r="DP150">
        <v>51652</v>
      </c>
      <c r="DQ150" t="s">
        <v>37</v>
      </c>
      <c r="DR150">
        <v>27519</v>
      </c>
      <c r="DS150" t="s">
        <v>37</v>
      </c>
      <c r="DT150">
        <v>72370</v>
      </c>
      <c r="DU150" t="s">
        <v>37</v>
      </c>
      <c r="DV150">
        <v>288550</v>
      </c>
      <c r="DW150" t="s">
        <v>37</v>
      </c>
      <c r="DX150">
        <v>162052</v>
      </c>
      <c r="DY150" t="s">
        <v>37</v>
      </c>
      <c r="DZ150">
        <v>11346</v>
      </c>
      <c r="EA150" t="s">
        <v>37</v>
      </c>
      <c r="EB150">
        <v>49238</v>
      </c>
      <c r="EC150" t="s">
        <v>37</v>
      </c>
      <c r="ED150">
        <v>334105</v>
      </c>
      <c r="EE150" t="s">
        <v>37</v>
      </c>
      <c r="EG150" t="s">
        <v>37</v>
      </c>
      <c r="EI150" t="s">
        <v>37</v>
      </c>
      <c r="EJ150">
        <v>111304</v>
      </c>
      <c r="EK150" t="s">
        <v>37</v>
      </c>
      <c r="EL150">
        <v>21984</v>
      </c>
      <c r="EM150" t="s">
        <v>37</v>
      </c>
      <c r="EN150">
        <v>10398</v>
      </c>
      <c r="EO150" t="s">
        <v>37</v>
      </c>
      <c r="EQ150" t="s">
        <v>37</v>
      </c>
      <c r="ER150">
        <v>56129</v>
      </c>
      <c r="ES150" t="s">
        <v>37</v>
      </c>
      <c r="ET150">
        <v>76820</v>
      </c>
      <c r="EU150" t="s">
        <v>37</v>
      </c>
      <c r="EV150">
        <v>79409</v>
      </c>
      <c r="EW150" t="s">
        <v>37</v>
      </c>
      <c r="EY150" t="s">
        <v>37</v>
      </c>
      <c r="EZ150">
        <v>12667</v>
      </c>
      <c r="FA150" t="s">
        <v>37</v>
      </c>
      <c r="FB150">
        <v>45872</v>
      </c>
      <c r="FC150" t="s">
        <v>37</v>
      </c>
      <c r="FD150">
        <v>58771</v>
      </c>
      <c r="FE150" t="s">
        <v>37</v>
      </c>
      <c r="FG150" t="s">
        <v>37</v>
      </c>
      <c r="FH150">
        <v>133688</v>
      </c>
      <c r="FI150" t="s">
        <v>37</v>
      </c>
      <c r="FJ150">
        <v>543387</v>
      </c>
      <c r="FK150" t="s">
        <v>37</v>
      </c>
      <c r="FL150">
        <v>703048</v>
      </c>
      <c r="FM150" t="s">
        <v>37</v>
      </c>
      <c r="FN150">
        <v>19465</v>
      </c>
      <c r="FO150" t="s">
        <v>37</v>
      </c>
      <c r="FP150">
        <v>10814</v>
      </c>
      <c r="FQ150" t="s">
        <v>37</v>
      </c>
      <c r="FR150">
        <v>52938</v>
      </c>
      <c r="FS150" t="s">
        <v>37</v>
      </c>
      <c r="FT150">
        <v>13937</v>
      </c>
      <c r="FU150" t="s">
        <v>37</v>
      </c>
      <c r="FV150">
        <v>40125</v>
      </c>
      <c r="FW150" t="s">
        <v>37</v>
      </c>
      <c r="FX150">
        <v>70330</v>
      </c>
      <c r="FY150" t="s">
        <v>37</v>
      </c>
      <c r="FZ150">
        <v>42506</v>
      </c>
      <c r="GA150" t="s">
        <v>37</v>
      </c>
      <c r="GB150">
        <v>191478</v>
      </c>
      <c r="GC150" t="s">
        <v>37</v>
      </c>
      <c r="GE150" t="s">
        <v>37</v>
      </c>
      <c r="GG150" t="s">
        <v>37</v>
      </c>
      <c r="GI150" t="s">
        <v>37</v>
      </c>
      <c r="GJ150">
        <v>87579</v>
      </c>
      <c r="GK150" t="s">
        <v>37</v>
      </c>
      <c r="GL150">
        <v>137852</v>
      </c>
      <c r="GM150" t="s">
        <v>37</v>
      </c>
      <c r="GO150" t="s">
        <v>37</v>
      </c>
      <c r="GP150">
        <v>70036</v>
      </c>
      <c r="GQ150" t="s">
        <v>37</v>
      </c>
      <c r="GR150">
        <v>87309</v>
      </c>
      <c r="GS150" t="s">
        <v>37</v>
      </c>
      <c r="GT150">
        <v>45578</v>
      </c>
      <c r="GU150" t="s">
        <v>37</v>
      </c>
      <c r="GV150">
        <v>27260</v>
      </c>
      <c r="GW150" t="s">
        <v>37</v>
      </c>
      <c r="GX150">
        <v>224121</v>
      </c>
      <c r="GY150" t="s">
        <v>37</v>
      </c>
      <c r="GZ150">
        <v>143856</v>
      </c>
      <c r="HA150" t="s">
        <v>37</v>
      </c>
      <c r="HC150" t="s">
        <v>37</v>
      </c>
      <c r="HE150" t="s">
        <v>37</v>
      </c>
      <c r="HF150">
        <v>9554724</v>
      </c>
      <c r="HG150" t="s">
        <v>37</v>
      </c>
      <c r="HI150" t="s">
        <v>37</v>
      </c>
      <c r="HJ150">
        <v>9554724</v>
      </c>
      <c r="HK150" t="s">
        <v>37</v>
      </c>
    </row>
    <row r="151" spans="1:219">
      <c r="A151">
        <v>3399</v>
      </c>
      <c r="B151" t="s">
        <v>173</v>
      </c>
      <c r="C151" t="s">
        <v>37</v>
      </c>
      <c r="E151" t="s">
        <v>37</v>
      </c>
      <c r="G151" t="s">
        <v>37</v>
      </c>
      <c r="I151" t="s">
        <v>37</v>
      </c>
      <c r="K151" s="48" t="s">
        <v>37</v>
      </c>
      <c r="L151" s="50"/>
      <c r="M151" s="48" t="s">
        <v>37</v>
      </c>
      <c r="N151" s="50"/>
      <c r="O151" s="48" t="s">
        <v>37</v>
      </c>
      <c r="P151" s="50"/>
      <c r="Q151" s="48" t="s">
        <v>37</v>
      </c>
      <c r="R151" s="50"/>
      <c r="S151" s="48" t="s">
        <v>37</v>
      </c>
      <c r="U151" t="s">
        <v>37</v>
      </c>
      <c r="W151" t="s">
        <v>37</v>
      </c>
      <c r="Y151" t="s">
        <v>37</v>
      </c>
      <c r="AA151" t="s">
        <v>37</v>
      </c>
      <c r="AC151" t="s">
        <v>37</v>
      </c>
      <c r="AE151" t="s">
        <v>37</v>
      </c>
      <c r="AG151" t="s">
        <v>37</v>
      </c>
      <c r="AI151" t="s">
        <v>37</v>
      </c>
      <c r="AK151" t="s">
        <v>37</v>
      </c>
      <c r="AM151" t="s">
        <v>37</v>
      </c>
      <c r="AO151" t="s">
        <v>37</v>
      </c>
      <c r="AQ151" t="s">
        <v>37</v>
      </c>
      <c r="AS151" t="s">
        <v>37</v>
      </c>
      <c r="AU151" t="s">
        <v>37</v>
      </c>
      <c r="AW151" t="s">
        <v>37</v>
      </c>
      <c r="AX151">
        <v>27287</v>
      </c>
      <c r="AY151" t="s">
        <v>37</v>
      </c>
      <c r="BA151" t="s">
        <v>37</v>
      </c>
      <c r="BC151" t="s">
        <v>37</v>
      </c>
      <c r="BE151" t="s">
        <v>37</v>
      </c>
      <c r="BG151" t="s">
        <v>37</v>
      </c>
      <c r="BI151" t="s">
        <v>37</v>
      </c>
      <c r="BK151" t="s">
        <v>37</v>
      </c>
      <c r="BM151" t="s">
        <v>37</v>
      </c>
      <c r="BO151" t="s">
        <v>37</v>
      </c>
      <c r="BQ151" t="s">
        <v>37</v>
      </c>
      <c r="BS151" t="s">
        <v>37</v>
      </c>
      <c r="BU151" t="s">
        <v>37</v>
      </c>
      <c r="BW151" t="s">
        <v>37</v>
      </c>
      <c r="BY151" t="s">
        <v>37</v>
      </c>
      <c r="CA151" t="s">
        <v>37</v>
      </c>
      <c r="CC151" t="s">
        <v>37</v>
      </c>
      <c r="CE151" t="s">
        <v>37</v>
      </c>
      <c r="CG151" t="s">
        <v>37</v>
      </c>
      <c r="CI151" t="s">
        <v>37</v>
      </c>
      <c r="CK151" t="s">
        <v>37</v>
      </c>
      <c r="CM151" t="s">
        <v>37</v>
      </c>
      <c r="CO151" t="s">
        <v>37</v>
      </c>
      <c r="CQ151" t="s">
        <v>37</v>
      </c>
      <c r="CS151" t="s">
        <v>37</v>
      </c>
      <c r="CT151">
        <v>575541</v>
      </c>
      <c r="CU151" t="s">
        <v>37</v>
      </c>
      <c r="CW151" t="s">
        <v>37</v>
      </c>
      <c r="CY151" t="s">
        <v>37</v>
      </c>
      <c r="DA151" t="s">
        <v>37</v>
      </c>
      <c r="DC151" t="s">
        <v>37</v>
      </c>
      <c r="DE151" t="s">
        <v>37</v>
      </c>
      <c r="DG151" t="s">
        <v>37</v>
      </c>
      <c r="DI151" t="s">
        <v>37</v>
      </c>
      <c r="DK151" t="s">
        <v>37</v>
      </c>
      <c r="DM151" t="s">
        <v>37</v>
      </c>
      <c r="DO151" t="s">
        <v>37</v>
      </c>
      <c r="DQ151" t="s">
        <v>37</v>
      </c>
      <c r="DS151" t="s">
        <v>37</v>
      </c>
      <c r="DU151" t="s">
        <v>37</v>
      </c>
      <c r="DW151" t="s">
        <v>37</v>
      </c>
      <c r="DY151" t="s">
        <v>37</v>
      </c>
      <c r="EA151" t="s">
        <v>37</v>
      </c>
      <c r="EC151" t="s">
        <v>37</v>
      </c>
      <c r="EE151" t="s">
        <v>37</v>
      </c>
      <c r="EG151" t="s">
        <v>37</v>
      </c>
      <c r="EI151" t="s">
        <v>37</v>
      </c>
      <c r="EK151" t="s">
        <v>37</v>
      </c>
      <c r="EM151" t="s">
        <v>37</v>
      </c>
      <c r="EO151" t="s">
        <v>37</v>
      </c>
      <c r="EQ151" t="s">
        <v>37</v>
      </c>
      <c r="ES151" t="s">
        <v>37</v>
      </c>
      <c r="EU151" t="s">
        <v>37</v>
      </c>
      <c r="EW151" t="s">
        <v>37</v>
      </c>
      <c r="EY151" t="s">
        <v>37</v>
      </c>
      <c r="FA151" t="s">
        <v>37</v>
      </c>
      <c r="FC151" t="s">
        <v>37</v>
      </c>
      <c r="FE151" t="s">
        <v>37</v>
      </c>
      <c r="FG151" t="s">
        <v>37</v>
      </c>
      <c r="FI151" t="s">
        <v>37</v>
      </c>
      <c r="FJ151">
        <v>25176</v>
      </c>
      <c r="FK151" t="s">
        <v>37</v>
      </c>
      <c r="FM151" t="s">
        <v>37</v>
      </c>
      <c r="FO151" t="s">
        <v>37</v>
      </c>
      <c r="FQ151" t="s">
        <v>37</v>
      </c>
      <c r="FS151" t="s">
        <v>37</v>
      </c>
      <c r="FU151" t="s">
        <v>37</v>
      </c>
      <c r="FW151" t="s">
        <v>37</v>
      </c>
      <c r="FY151" t="s">
        <v>37</v>
      </c>
      <c r="GA151" t="s">
        <v>37</v>
      </c>
      <c r="GC151" t="s">
        <v>37</v>
      </c>
      <c r="GE151" t="s">
        <v>37</v>
      </c>
      <c r="GG151" t="s">
        <v>37</v>
      </c>
      <c r="GI151" t="s">
        <v>37</v>
      </c>
      <c r="GK151" t="s">
        <v>37</v>
      </c>
      <c r="GM151" t="s">
        <v>37</v>
      </c>
      <c r="GO151" t="s">
        <v>37</v>
      </c>
      <c r="GQ151" t="s">
        <v>37</v>
      </c>
      <c r="GS151" t="s">
        <v>37</v>
      </c>
      <c r="GU151" t="s">
        <v>37</v>
      </c>
      <c r="GW151" t="s">
        <v>37</v>
      </c>
      <c r="GY151" t="s">
        <v>37</v>
      </c>
      <c r="HA151" t="s">
        <v>37</v>
      </c>
      <c r="HB151">
        <v>3168294</v>
      </c>
      <c r="HC151" t="s">
        <v>37</v>
      </c>
      <c r="HE151" t="s">
        <v>37</v>
      </c>
      <c r="HF151">
        <v>628004</v>
      </c>
      <c r="HG151" t="s">
        <v>37</v>
      </c>
      <c r="HH151">
        <v>3168294</v>
      </c>
      <c r="HI151" t="s">
        <v>37</v>
      </c>
      <c r="HJ151">
        <v>3796298</v>
      </c>
      <c r="HK151" t="s">
        <v>37</v>
      </c>
    </row>
    <row r="152" spans="1:219">
      <c r="A152">
        <v>3501</v>
      </c>
      <c r="B152" t="s">
        <v>174</v>
      </c>
      <c r="C152" t="s">
        <v>37</v>
      </c>
      <c r="D152">
        <v>133856</v>
      </c>
      <c r="E152" t="s">
        <v>37</v>
      </c>
      <c r="F152">
        <v>845625</v>
      </c>
      <c r="G152" t="s">
        <v>37</v>
      </c>
      <c r="H152">
        <v>32603</v>
      </c>
      <c r="I152" t="s">
        <v>37</v>
      </c>
      <c r="K152" s="48" t="s">
        <v>37</v>
      </c>
      <c r="L152" s="51">
        <v>283107</v>
      </c>
      <c r="M152" s="48" t="s">
        <v>37</v>
      </c>
      <c r="N152" s="51">
        <v>123380</v>
      </c>
      <c r="O152" s="48" t="s">
        <v>37</v>
      </c>
      <c r="P152" s="51">
        <v>84210</v>
      </c>
      <c r="Q152" s="48" t="s">
        <v>37</v>
      </c>
      <c r="R152" s="51">
        <v>94255</v>
      </c>
      <c r="S152" s="48" t="s">
        <v>37</v>
      </c>
      <c r="T152">
        <v>393777</v>
      </c>
      <c r="U152" t="s">
        <v>37</v>
      </c>
      <c r="W152" t="s">
        <v>37</v>
      </c>
      <c r="Y152" t="s">
        <v>37</v>
      </c>
      <c r="Z152">
        <v>60743</v>
      </c>
      <c r="AA152" t="s">
        <v>37</v>
      </c>
      <c r="AB152">
        <v>37944</v>
      </c>
      <c r="AC152" t="s">
        <v>37</v>
      </c>
      <c r="AD152">
        <v>37139</v>
      </c>
      <c r="AE152" t="s">
        <v>37</v>
      </c>
      <c r="AF152">
        <v>35032</v>
      </c>
      <c r="AG152" t="s">
        <v>37</v>
      </c>
      <c r="AH152">
        <v>95025</v>
      </c>
      <c r="AI152" t="s">
        <v>37</v>
      </c>
      <c r="AK152" t="s">
        <v>37</v>
      </c>
      <c r="AL152">
        <v>629943</v>
      </c>
      <c r="AM152" t="s">
        <v>37</v>
      </c>
      <c r="AO152" t="s">
        <v>37</v>
      </c>
      <c r="AP152">
        <v>947508</v>
      </c>
      <c r="AQ152" t="s">
        <v>37</v>
      </c>
      <c r="AR152">
        <v>60901</v>
      </c>
      <c r="AS152" t="s">
        <v>37</v>
      </c>
      <c r="AT152">
        <v>1469780</v>
      </c>
      <c r="AU152" t="s">
        <v>37</v>
      </c>
      <c r="AV152">
        <v>312582</v>
      </c>
      <c r="AW152" t="s">
        <v>37</v>
      </c>
      <c r="AX152">
        <v>153012</v>
      </c>
      <c r="AY152" t="s">
        <v>37</v>
      </c>
      <c r="AZ152">
        <v>273245</v>
      </c>
      <c r="BA152" t="s">
        <v>37</v>
      </c>
      <c r="BB152">
        <v>82816</v>
      </c>
      <c r="BC152" t="s">
        <v>37</v>
      </c>
      <c r="BD152">
        <v>120033</v>
      </c>
      <c r="BE152" t="s">
        <v>37</v>
      </c>
      <c r="BF152">
        <v>41755</v>
      </c>
      <c r="BG152" t="s">
        <v>37</v>
      </c>
      <c r="BI152" t="s">
        <v>37</v>
      </c>
      <c r="BJ152">
        <v>214602</v>
      </c>
      <c r="BK152" t="s">
        <v>37</v>
      </c>
      <c r="BL152">
        <v>383703</v>
      </c>
      <c r="BM152" t="s">
        <v>37</v>
      </c>
      <c r="BO152" t="s">
        <v>37</v>
      </c>
      <c r="BP152">
        <v>32515</v>
      </c>
      <c r="BQ152" t="s">
        <v>37</v>
      </c>
      <c r="BR152">
        <v>113176</v>
      </c>
      <c r="BS152" t="s">
        <v>37</v>
      </c>
      <c r="BT152">
        <v>47816</v>
      </c>
      <c r="BU152" t="s">
        <v>37</v>
      </c>
      <c r="BW152" t="s">
        <v>37</v>
      </c>
      <c r="BX152">
        <v>643768</v>
      </c>
      <c r="BY152" t="s">
        <v>37</v>
      </c>
      <c r="BZ152">
        <v>78333</v>
      </c>
      <c r="CA152" t="s">
        <v>37</v>
      </c>
      <c r="CC152" t="s">
        <v>37</v>
      </c>
      <c r="CD152">
        <v>163976</v>
      </c>
      <c r="CE152" t="s">
        <v>37</v>
      </c>
      <c r="CF152">
        <v>167801</v>
      </c>
      <c r="CG152" t="s">
        <v>37</v>
      </c>
      <c r="CH152">
        <v>516884</v>
      </c>
      <c r="CI152" t="s">
        <v>37</v>
      </c>
      <c r="CJ152">
        <v>39994</v>
      </c>
      <c r="CK152" t="s">
        <v>37</v>
      </c>
      <c r="CL152">
        <v>91123</v>
      </c>
      <c r="CM152" t="s">
        <v>37</v>
      </c>
      <c r="CN152">
        <v>40462</v>
      </c>
      <c r="CO152" t="s">
        <v>37</v>
      </c>
      <c r="CP152">
        <v>52721</v>
      </c>
      <c r="CQ152" t="s">
        <v>37</v>
      </c>
      <c r="CR152">
        <v>352125</v>
      </c>
      <c r="CS152" t="s">
        <v>37</v>
      </c>
      <c r="CT152">
        <v>1967890</v>
      </c>
      <c r="CU152" t="s">
        <v>37</v>
      </c>
      <c r="CV152">
        <v>308013</v>
      </c>
      <c r="CW152" t="s">
        <v>37</v>
      </c>
      <c r="CX152">
        <v>37412</v>
      </c>
      <c r="CY152" t="s">
        <v>37</v>
      </c>
      <c r="CZ152">
        <v>59696</v>
      </c>
      <c r="DA152" t="s">
        <v>37</v>
      </c>
      <c r="DC152" t="s">
        <v>37</v>
      </c>
      <c r="DD152">
        <v>87573</v>
      </c>
      <c r="DE152" t="s">
        <v>37</v>
      </c>
      <c r="DF152">
        <v>50225</v>
      </c>
      <c r="DG152" t="s">
        <v>37</v>
      </c>
      <c r="DH152">
        <v>1322742</v>
      </c>
      <c r="DI152" t="s">
        <v>37</v>
      </c>
      <c r="DJ152">
        <v>98203</v>
      </c>
      <c r="DK152" t="s">
        <v>37</v>
      </c>
      <c r="DL152">
        <v>384903</v>
      </c>
      <c r="DM152" t="s">
        <v>37</v>
      </c>
      <c r="DN152">
        <v>387369</v>
      </c>
      <c r="DO152" t="s">
        <v>37</v>
      </c>
      <c r="DP152">
        <v>192150</v>
      </c>
      <c r="DQ152" t="s">
        <v>37</v>
      </c>
      <c r="DR152">
        <v>119805</v>
      </c>
      <c r="DS152" t="s">
        <v>37</v>
      </c>
      <c r="DT152">
        <v>87399</v>
      </c>
      <c r="DU152" t="s">
        <v>37</v>
      </c>
      <c r="DV152">
        <v>644726</v>
      </c>
      <c r="DW152" t="s">
        <v>37</v>
      </c>
      <c r="DX152">
        <v>308723</v>
      </c>
      <c r="DY152" t="s">
        <v>37</v>
      </c>
      <c r="DZ152">
        <v>73431</v>
      </c>
      <c r="EA152" t="s">
        <v>37</v>
      </c>
      <c r="EB152">
        <v>113941</v>
      </c>
      <c r="EC152" t="s">
        <v>37</v>
      </c>
      <c r="ED152">
        <v>588622</v>
      </c>
      <c r="EE152" t="s">
        <v>37</v>
      </c>
      <c r="EF152">
        <v>34866</v>
      </c>
      <c r="EG152" t="s">
        <v>37</v>
      </c>
      <c r="EI152" t="s">
        <v>37</v>
      </c>
      <c r="EJ152">
        <v>102466</v>
      </c>
      <c r="EK152" t="s">
        <v>37</v>
      </c>
      <c r="EL152">
        <v>69565</v>
      </c>
      <c r="EM152" t="s">
        <v>37</v>
      </c>
      <c r="EN152">
        <v>35547</v>
      </c>
      <c r="EO152" t="s">
        <v>37</v>
      </c>
      <c r="EQ152" t="s">
        <v>37</v>
      </c>
      <c r="ER152">
        <v>161184</v>
      </c>
      <c r="ES152" t="s">
        <v>37</v>
      </c>
      <c r="ET152">
        <v>190597</v>
      </c>
      <c r="EU152" t="s">
        <v>37</v>
      </c>
      <c r="EV152">
        <v>362501</v>
      </c>
      <c r="EW152" t="s">
        <v>37</v>
      </c>
      <c r="EY152" t="s">
        <v>37</v>
      </c>
      <c r="EZ152">
        <v>132626</v>
      </c>
      <c r="FA152" t="s">
        <v>37</v>
      </c>
      <c r="FB152">
        <v>146655</v>
      </c>
      <c r="FC152" t="s">
        <v>37</v>
      </c>
      <c r="FD152">
        <v>239180</v>
      </c>
      <c r="FE152" t="s">
        <v>37</v>
      </c>
      <c r="FG152" t="s">
        <v>37</v>
      </c>
      <c r="FH152">
        <v>545030</v>
      </c>
      <c r="FI152" t="s">
        <v>37</v>
      </c>
      <c r="FJ152">
        <v>513196</v>
      </c>
      <c r="FK152" t="s">
        <v>37</v>
      </c>
      <c r="FM152" t="s">
        <v>37</v>
      </c>
      <c r="FN152">
        <v>65164</v>
      </c>
      <c r="FO152" t="s">
        <v>37</v>
      </c>
      <c r="FP152">
        <v>159563</v>
      </c>
      <c r="FQ152" t="s">
        <v>37</v>
      </c>
      <c r="FR152">
        <v>301841</v>
      </c>
      <c r="FS152" t="s">
        <v>37</v>
      </c>
      <c r="FT152">
        <v>104410</v>
      </c>
      <c r="FU152" t="s">
        <v>37</v>
      </c>
      <c r="FV152">
        <v>90805</v>
      </c>
      <c r="FW152" t="s">
        <v>37</v>
      </c>
      <c r="FX152">
        <v>212163</v>
      </c>
      <c r="FY152" t="s">
        <v>37</v>
      </c>
      <c r="FZ152">
        <v>370900</v>
      </c>
      <c r="GA152" t="s">
        <v>37</v>
      </c>
      <c r="GB152">
        <v>285602</v>
      </c>
      <c r="GC152" t="s">
        <v>37</v>
      </c>
      <c r="GE152" t="s">
        <v>37</v>
      </c>
      <c r="GG152" t="s">
        <v>37</v>
      </c>
      <c r="GI152" t="s">
        <v>37</v>
      </c>
      <c r="GJ152">
        <v>323123</v>
      </c>
      <c r="GK152" t="s">
        <v>37</v>
      </c>
      <c r="GL152">
        <v>292088</v>
      </c>
      <c r="GM152" t="s">
        <v>37</v>
      </c>
      <c r="GO152" t="s">
        <v>37</v>
      </c>
      <c r="GP152">
        <v>167477</v>
      </c>
      <c r="GQ152" t="s">
        <v>37</v>
      </c>
      <c r="GR152">
        <v>195801</v>
      </c>
      <c r="GS152" t="s">
        <v>37</v>
      </c>
      <c r="GT152">
        <v>173252</v>
      </c>
      <c r="GU152" t="s">
        <v>37</v>
      </c>
      <c r="GV152">
        <v>182950</v>
      </c>
      <c r="GW152" t="s">
        <v>37</v>
      </c>
      <c r="GX152">
        <v>565045</v>
      </c>
      <c r="GY152" t="s">
        <v>37</v>
      </c>
      <c r="GZ152">
        <v>247115</v>
      </c>
      <c r="HA152" t="s">
        <v>37</v>
      </c>
      <c r="HB152">
        <v>109142</v>
      </c>
      <c r="HC152" t="s">
        <v>37</v>
      </c>
      <c r="HD152">
        <v>97860</v>
      </c>
      <c r="HE152" t="s">
        <v>37</v>
      </c>
      <c r="HF152">
        <v>22390805</v>
      </c>
      <c r="HG152" t="s">
        <v>37</v>
      </c>
      <c r="HH152">
        <v>207002</v>
      </c>
      <c r="HI152" t="s">
        <v>37</v>
      </c>
      <c r="HJ152">
        <v>22597807</v>
      </c>
      <c r="HK152" t="s">
        <v>37</v>
      </c>
    </row>
    <row r="153" spans="1:219">
      <c r="A153">
        <v>3505</v>
      </c>
      <c r="B153" t="s">
        <v>175</v>
      </c>
      <c r="C153" t="s">
        <v>37</v>
      </c>
      <c r="D153">
        <v>15816</v>
      </c>
      <c r="E153" t="s">
        <v>37</v>
      </c>
      <c r="F153">
        <v>71814</v>
      </c>
      <c r="G153" t="s">
        <v>37</v>
      </c>
      <c r="H153">
        <v>6110</v>
      </c>
      <c r="I153" t="s">
        <v>37</v>
      </c>
      <c r="K153" s="48" t="s">
        <v>37</v>
      </c>
      <c r="L153" s="51">
        <v>22546</v>
      </c>
      <c r="M153" s="48" t="s">
        <v>37</v>
      </c>
      <c r="N153" s="51">
        <v>13745</v>
      </c>
      <c r="O153" s="48" t="s">
        <v>37</v>
      </c>
      <c r="P153" s="51">
        <v>9374</v>
      </c>
      <c r="Q153" s="48" t="s">
        <v>37</v>
      </c>
      <c r="R153" s="51">
        <v>10623</v>
      </c>
      <c r="S153" s="48" t="s">
        <v>37</v>
      </c>
      <c r="T153">
        <v>19473</v>
      </c>
      <c r="U153" t="s">
        <v>37</v>
      </c>
      <c r="W153" t="s">
        <v>37</v>
      </c>
      <c r="Y153" t="s">
        <v>37</v>
      </c>
      <c r="Z153">
        <v>8218</v>
      </c>
      <c r="AA153" t="s">
        <v>37</v>
      </c>
      <c r="AB153">
        <v>7381</v>
      </c>
      <c r="AC153" t="s">
        <v>37</v>
      </c>
      <c r="AD153">
        <v>7025</v>
      </c>
      <c r="AE153" t="s">
        <v>37</v>
      </c>
      <c r="AF153">
        <v>2147</v>
      </c>
      <c r="AG153" t="s">
        <v>37</v>
      </c>
      <c r="AH153">
        <v>11917</v>
      </c>
      <c r="AI153" t="s">
        <v>37</v>
      </c>
      <c r="AK153" t="s">
        <v>37</v>
      </c>
      <c r="AL153">
        <v>50500</v>
      </c>
      <c r="AM153" t="s">
        <v>37</v>
      </c>
      <c r="AO153" t="s">
        <v>37</v>
      </c>
      <c r="AP153">
        <v>81944</v>
      </c>
      <c r="AQ153" t="s">
        <v>37</v>
      </c>
      <c r="AR153">
        <v>6642</v>
      </c>
      <c r="AS153" t="s">
        <v>37</v>
      </c>
      <c r="AT153">
        <v>119957</v>
      </c>
      <c r="AU153" t="s">
        <v>37</v>
      </c>
      <c r="AV153">
        <v>29908</v>
      </c>
      <c r="AW153" t="s">
        <v>37</v>
      </c>
      <c r="AX153">
        <v>3400</v>
      </c>
      <c r="AY153" t="s">
        <v>37</v>
      </c>
      <c r="AZ153">
        <v>29735</v>
      </c>
      <c r="BA153" t="s">
        <v>37</v>
      </c>
      <c r="BB153">
        <v>7701</v>
      </c>
      <c r="BC153" t="s">
        <v>37</v>
      </c>
      <c r="BD153">
        <v>15898</v>
      </c>
      <c r="BE153" t="s">
        <v>37</v>
      </c>
      <c r="BF153">
        <v>3742</v>
      </c>
      <c r="BG153" t="s">
        <v>37</v>
      </c>
      <c r="BI153" t="s">
        <v>37</v>
      </c>
      <c r="BJ153">
        <v>3487</v>
      </c>
      <c r="BK153" t="s">
        <v>37</v>
      </c>
      <c r="BL153">
        <v>3133</v>
      </c>
      <c r="BM153" t="s">
        <v>37</v>
      </c>
      <c r="BO153" t="s">
        <v>37</v>
      </c>
      <c r="BP153">
        <v>6499</v>
      </c>
      <c r="BQ153" t="s">
        <v>37</v>
      </c>
      <c r="BR153">
        <v>18871</v>
      </c>
      <c r="BS153" t="s">
        <v>37</v>
      </c>
      <c r="BT153">
        <v>8808</v>
      </c>
      <c r="BU153" t="s">
        <v>37</v>
      </c>
      <c r="BW153" t="s">
        <v>37</v>
      </c>
      <c r="BX153">
        <v>41596</v>
      </c>
      <c r="BY153" t="s">
        <v>37</v>
      </c>
      <c r="BZ153">
        <v>8419</v>
      </c>
      <c r="CA153" t="s">
        <v>37</v>
      </c>
      <c r="CC153" t="s">
        <v>37</v>
      </c>
      <c r="CD153">
        <v>3400</v>
      </c>
      <c r="CE153" t="s">
        <v>37</v>
      </c>
      <c r="CF153">
        <v>3275</v>
      </c>
      <c r="CG153" t="s">
        <v>37</v>
      </c>
      <c r="CH153">
        <v>13662</v>
      </c>
      <c r="CI153" t="s">
        <v>37</v>
      </c>
      <c r="CJ153">
        <v>7290</v>
      </c>
      <c r="CK153" t="s">
        <v>37</v>
      </c>
      <c r="CL153">
        <v>3398</v>
      </c>
      <c r="CM153" t="s">
        <v>37</v>
      </c>
      <c r="CN153">
        <v>7491</v>
      </c>
      <c r="CO153" t="s">
        <v>37</v>
      </c>
      <c r="CP153">
        <v>7766</v>
      </c>
      <c r="CQ153" t="s">
        <v>37</v>
      </c>
      <c r="CR153">
        <v>21366</v>
      </c>
      <c r="CS153" t="s">
        <v>37</v>
      </c>
      <c r="CT153">
        <v>20033</v>
      </c>
      <c r="CU153" t="s">
        <v>37</v>
      </c>
      <c r="CV153">
        <v>4153</v>
      </c>
      <c r="CW153" t="s">
        <v>37</v>
      </c>
      <c r="CX153">
        <v>6973</v>
      </c>
      <c r="CY153" t="s">
        <v>37</v>
      </c>
      <c r="CZ153">
        <v>3400</v>
      </c>
      <c r="DA153" t="s">
        <v>37</v>
      </c>
      <c r="DC153" t="s">
        <v>37</v>
      </c>
      <c r="DD153">
        <v>12745</v>
      </c>
      <c r="DE153" t="s">
        <v>37</v>
      </c>
      <c r="DF153">
        <v>9124</v>
      </c>
      <c r="DG153" t="s">
        <v>37</v>
      </c>
      <c r="DH153">
        <v>115174</v>
      </c>
      <c r="DI153" t="s">
        <v>37</v>
      </c>
      <c r="DJ153">
        <v>31076</v>
      </c>
      <c r="DK153" t="s">
        <v>37</v>
      </c>
      <c r="DL153">
        <v>47180</v>
      </c>
      <c r="DM153" t="s">
        <v>37</v>
      </c>
      <c r="DN153">
        <v>34579</v>
      </c>
      <c r="DO153" t="s">
        <v>37</v>
      </c>
      <c r="DP153">
        <v>21378</v>
      </c>
      <c r="DQ153" t="s">
        <v>37</v>
      </c>
      <c r="DS153" t="s">
        <v>37</v>
      </c>
      <c r="DT153">
        <v>19797</v>
      </c>
      <c r="DU153" t="s">
        <v>37</v>
      </c>
      <c r="DV153">
        <v>41072</v>
      </c>
      <c r="DW153" t="s">
        <v>37</v>
      </c>
      <c r="DX153">
        <v>32569</v>
      </c>
      <c r="DY153" t="s">
        <v>37</v>
      </c>
      <c r="DZ153">
        <v>10236</v>
      </c>
      <c r="EA153" t="s">
        <v>37</v>
      </c>
      <c r="EB153">
        <v>15765</v>
      </c>
      <c r="EC153" t="s">
        <v>37</v>
      </c>
      <c r="ED153">
        <v>23293</v>
      </c>
      <c r="EE153" t="s">
        <v>37</v>
      </c>
      <c r="EF153">
        <v>11633</v>
      </c>
      <c r="EG153" t="s">
        <v>37</v>
      </c>
      <c r="EI153" t="s">
        <v>37</v>
      </c>
      <c r="EJ153">
        <v>21338</v>
      </c>
      <c r="EK153" t="s">
        <v>37</v>
      </c>
      <c r="EL153">
        <v>22184</v>
      </c>
      <c r="EM153" t="s">
        <v>37</v>
      </c>
      <c r="EN153">
        <v>6699</v>
      </c>
      <c r="EO153" t="s">
        <v>37</v>
      </c>
      <c r="EQ153" t="s">
        <v>37</v>
      </c>
      <c r="ER153">
        <v>23070</v>
      </c>
      <c r="ES153" t="s">
        <v>37</v>
      </c>
      <c r="ET153">
        <v>22122</v>
      </c>
      <c r="EU153" t="s">
        <v>37</v>
      </c>
      <c r="EV153">
        <v>35440</v>
      </c>
      <c r="EW153" t="s">
        <v>37</v>
      </c>
      <c r="EY153" t="s">
        <v>37</v>
      </c>
      <c r="EZ153">
        <v>23180</v>
      </c>
      <c r="FA153" t="s">
        <v>37</v>
      </c>
      <c r="FB153">
        <v>17339</v>
      </c>
      <c r="FC153" t="s">
        <v>37</v>
      </c>
      <c r="FD153">
        <v>28238</v>
      </c>
      <c r="FE153" t="s">
        <v>37</v>
      </c>
      <c r="FG153" t="s">
        <v>37</v>
      </c>
      <c r="FH153">
        <v>44444</v>
      </c>
      <c r="FI153" t="s">
        <v>37</v>
      </c>
      <c r="FJ153">
        <v>71349</v>
      </c>
      <c r="FK153" t="s">
        <v>37</v>
      </c>
      <c r="FL153">
        <v>101119</v>
      </c>
      <c r="FM153" t="s">
        <v>37</v>
      </c>
      <c r="FN153">
        <v>10495</v>
      </c>
      <c r="FO153" t="s">
        <v>37</v>
      </c>
      <c r="FP153">
        <v>30647</v>
      </c>
      <c r="FQ153" t="s">
        <v>37</v>
      </c>
      <c r="FR153">
        <v>40990</v>
      </c>
      <c r="FS153" t="s">
        <v>37</v>
      </c>
      <c r="FT153">
        <v>13152</v>
      </c>
      <c r="FU153" t="s">
        <v>37</v>
      </c>
      <c r="FV153">
        <v>11684</v>
      </c>
      <c r="FW153" t="s">
        <v>37</v>
      </c>
      <c r="FX153">
        <v>2994</v>
      </c>
      <c r="FY153" t="s">
        <v>37</v>
      </c>
      <c r="FZ153">
        <v>18671</v>
      </c>
      <c r="GA153" t="s">
        <v>37</v>
      </c>
      <c r="GB153">
        <v>66106</v>
      </c>
      <c r="GC153" t="s">
        <v>37</v>
      </c>
      <c r="GE153" t="s">
        <v>37</v>
      </c>
      <c r="GG153" t="s">
        <v>37</v>
      </c>
      <c r="GI153" t="s">
        <v>37</v>
      </c>
      <c r="GJ153">
        <v>48561</v>
      </c>
      <c r="GK153" t="s">
        <v>37</v>
      </c>
      <c r="GL153">
        <v>29242</v>
      </c>
      <c r="GM153" t="s">
        <v>37</v>
      </c>
      <c r="GO153" t="s">
        <v>37</v>
      </c>
      <c r="GP153">
        <v>19080</v>
      </c>
      <c r="GQ153" t="s">
        <v>37</v>
      </c>
      <c r="GR153">
        <v>24924</v>
      </c>
      <c r="GS153" t="s">
        <v>37</v>
      </c>
      <c r="GT153">
        <v>17740</v>
      </c>
      <c r="GU153" t="s">
        <v>37</v>
      </c>
      <c r="GV153">
        <v>25844</v>
      </c>
      <c r="GW153" t="s">
        <v>37</v>
      </c>
      <c r="GX153">
        <v>55951</v>
      </c>
      <c r="GY153" t="s">
        <v>37</v>
      </c>
      <c r="GZ153">
        <v>13009</v>
      </c>
      <c r="HA153" t="s">
        <v>37</v>
      </c>
      <c r="HB153">
        <v>16387</v>
      </c>
      <c r="HC153" t="s">
        <v>37</v>
      </c>
      <c r="HE153" t="s">
        <v>37</v>
      </c>
      <c r="HF153">
        <v>2019869</v>
      </c>
      <c r="HG153" t="s">
        <v>37</v>
      </c>
      <c r="HH153">
        <v>16387</v>
      </c>
      <c r="HI153" t="s">
        <v>37</v>
      </c>
      <c r="HJ153">
        <v>2036256</v>
      </c>
      <c r="HK153" t="s">
        <v>37</v>
      </c>
    </row>
    <row r="154" spans="1:219">
      <c r="A154">
        <v>3507</v>
      </c>
      <c r="B154" t="s">
        <v>176</v>
      </c>
      <c r="C154" t="s">
        <v>37</v>
      </c>
      <c r="E154" t="s">
        <v>37</v>
      </c>
      <c r="G154" t="s">
        <v>37</v>
      </c>
      <c r="I154" t="s">
        <v>37</v>
      </c>
      <c r="K154" s="48" t="s">
        <v>37</v>
      </c>
      <c r="L154" s="50"/>
      <c r="M154" s="48" t="s">
        <v>37</v>
      </c>
      <c r="N154" s="50"/>
      <c r="O154" s="48" t="s">
        <v>37</v>
      </c>
      <c r="P154" s="50"/>
      <c r="Q154" s="48" t="s">
        <v>37</v>
      </c>
      <c r="R154" s="50"/>
      <c r="S154" s="48" t="s">
        <v>37</v>
      </c>
      <c r="U154" t="s">
        <v>37</v>
      </c>
      <c r="W154" t="s">
        <v>37</v>
      </c>
      <c r="Y154" t="s">
        <v>37</v>
      </c>
      <c r="AA154" t="s">
        <v>37</v>
      </c>
      <c r="AB154">
        <v>1378</v>
      </c>
      <c r="AC154" t="s">
        <v>37</v>
      </c>
      <c r="AE154" t="s">
        <v>37</v>
      </c>
      <c r="AG154" t="s">
        <v>37</v>
      </c>
      <c r="AI154" t="s">
        <v>37</v>
      </c>
      <c r="AK154" t="s">
        <v>37</v>
      </c>
      <c r="AM154" t="s">
        <v>37</v>
      </c>
      <c r="AO154" t="s">
        <v>37</v>
      </c>
      <c r="AQ154" t="s">
        <v>37</v>
      </c>
      <c r="AS154" t="s">
        <v>37</v>
      </c>
      <c r="AU154" t="s">
        <v>37</v>
      </c>
      <c r="AW154" t="s">
        <v>37</v>
      </c>
      <c r="AY154" t="s">
        <v>37</v>
      </c>
      <c r="BA154" t="s">
        <v>37</v>
      </c>
      <c r="BC154" t="s">
        <v>37</v>
      </c>
      <c r="BD154">
        <v>152662</v>
      </c>
      <c r="BE154" t="s">
        <v>37</v>
      </c>
      <c r="BG154" t="s">
        <v>37</v>
      </c>
      <c r="BI154" t="s">
        <v>37</v>
      </c>
      <c r="BK154" t="s">
        <v>37</v>
      </c>
      <c r="BL154">
        <v>208419</v>
      </c>
      <c r="BM154" t="s">
        <v>37</v>
      </c>
      <c r="BO154" t="s">
        <v>37</v>
      </c>
      <c r="BQ154" t="s">
        <v>37</v>
      </c>
      <c r="BS154" t="s">
        <v>37</v>
      </c>
      <c r="BU154" t="s">
        <v>37</v>
      </c>
      <c r="BW154" t="s">
        <v>37</v>
      </c>
      <c r="BY154" t="s">
        <v>37</v>
      </c>
      <c r="CA154" t="s">
        <v>37</v>
      </c>
      <c r="CC154" t="s">
        <v>37</v>
      </c>
      <c r="CE154" t="s">
        <v>37</v>
      </c>
      <c r="CG154" t="s">
        <v>37</v>
      </c>
      <c r="CI154" t="s">
        <v>37</v>
      </c>
      <c r="CK154" t="s">
        <v>37</v>
      </c>
      <c r="CM154" t="s">
        <v>37</v>
      </c>
      <c r="CO154" t="s">
        <v>37</v>
      </c>
      <c r="CQ154" t="s">
        <v>37</v>
      </c>
      <c r="CS154" t="s">
        <v>37</v>
      </c>
      <c r="CU154" t="s">
        <v>37</v>
      </c>
      <c r="CW154" t="s">
        <v>37</v>
      </c>
      <c r="CY154" t="s">
        <v>37</v>
      </c>
      <c r="DA154" t="s">
        <v>37</v>
      </c>
      <c r="DC154" t="s">
        <v>37</v>
      </c>
      <c r="DE154" t="s">
        <v>37</v>
      </c>
      <c r="DG154" t="s">
        <v>37</v>
      </c>
      <c r="DI154" t="s">
        <v>37</v>
      </c>
      <c r="DK154" t="s">
        <v>37</v>
      </c>
      <c r="DM154" t="s">
        <v>37</v>
      </c>
      <c r="DO154" t="s">
        <v>37</v>
      </c>
      <c r="DP154">
        <v>204</v>
      </c>
      <c r="DQ154" t="s">
        <v>37</v>
      </c>
      <c r="DS154" t="s">
        <v>37</v>
      </c>
      <c r="DU154" t="s">
        <v>37</v>
      </c>
      <c r="DW154" t="s">
        <v>37</v>
      </c>
      <c r="DY154" t="s">
        <v>37</v>
      </c>
      <c r="EA154" t="s">
        <v>37</v>
      </c>
      <c r="EC154" t="s">
        <v>37</v>
      </c>
      <c r="EE154" t="s">
        <v>37</v>
      </c>
      <c r="EG154" t="s">
        <v>37</v>
      </c>
      <c r="EI154" t="s">
        <v>37</v>
      </c>
      <c r="EK154" t="s">
        <v>37</v>
      </c>
      <c r="EM154" t="s">
        <v>37</v>
      </c>
      <c r="EO154" t="s">
        <v>37</v>
      </c>
      <c r="EQ154" t="s">
        <v>37</v>
      </c>
      <c r="ES154" t="s">
        <v>37</v>
      </c>
      <c r="EU154" t="s">
        <v>37</v>
      </c>
      <c r="EW154" t="s">
        <v>37</v>
      </c>
      <c r="EY154" t="s">
        <v>37</v>
      </c>
      <c r="FA154" t="s">
        <v>37</v>
      </c>
      <c r="FC154" t="s">
        <v>37</v>
      </c>
      <c r="FE154" t="s">
        <v>37</v>
      </c>
      <c r="FG154" t="s">
        <v>37</v>
      </c>
      <c r="FI154" t="s">
        <v>37</v>
      </c>
      <c r="FK154" t="s">
        <v>37</v>
      </c>
      <c r="FM154" t="s">
        <v>37</v>
      </c>
      <c r="FO154" t="s">
        <v>37</v>
      </c>
      <c r="FQ154" t="s">
        <v>37</v>
      </c>
      <c r="FS154" t="s">
        <v>37</v>
      </c>
      <c r="FU154" t="s">
        <v>37</v>
      </c>
      <c r="FW154" t="s">
        <v>37</v>
      </c>
      <c r="FY154" t="s">
        <v>37</v>
      </c>
      <c r="GA154" t="s">
        <v>37</v>
      </c>
      <c r="GB154">
        <v>78089</v>
      </c>
      <c r="GC154" t="s">
        <v>37</v>
      </c>
      <c r="GE154" t="s">
        <v>37</v>
      </c>
      <c r="GG154" t="s">
        <v>37</v>
      </c>
      <c r="GI154" t="s">
        <v>37</v>
      </c>
      <c r="GK154" t="s">
        <v>37</v>
      </c>
      <c r="GM154" t="s">
        <v>37</v>
      </c>
      <c r="GO154" t="s">
        <v>37</v>
      </c>
      <c r="GQ154" t="s">
        <v>37</v>
      </c>
      <c r="GS154" t="s">
        <v>37</v>
      </c>
      <c r="GU154" t="s">
        <v>37</v>
      </c>
      <c r="GW154" t="s">
        <v>37</v>
      </c>
      <c r="GY154" t="s">
        <v>37</v>
      </c>
      <c r="HA154" t="s">
        <v>37</v>
      </c>
      <c r="HC154" t="s">
        <v>37</v>
      </c>
      <c r="HE154" t="s">
        <v>37</v>
      </c>
      <c r="HF154">
        <v>440752</v>
      </c>
      <c r="HG154" t="s">
        <v>37</v>
      </c>
      <c r="HI154" t="s">
        <v>37</v>
      </c>
      <c r="HJ154">
        <v>440752</v>
      </c>
      <c r="HK154" t="s">
        <v>37</v>
      </c>
    </row>
    <row r="155" spans="1:219">
      <c r="A155">
        <v>3509</v>
      </c>
      <c r="B155" t="s">
        <v>177</v>
      </c>
      <c r="C155" t="s">
        <v>37</v>
      </c>
      <c r="E155" t="s">
        <v>37</v>
      </c>
      <c r="F155">
        <v>13480</v>
      </c>
      <c r="G155" t="s">
        <v>37</v>
      </c>
      <c r="H155">
        <v>9481</v>
      </c>
      <c r="I155" t="s">
        <v>37</v>
      </c>
      <c r="K155" s="48" t="s">
        <v>37</v>
      </c>
      <c r="L155" s="50"/>
      <c r="M155" s="48" t="s">
        <v>37</v>
      </c>
      <c r="N155" s="50"/>
      <c r="O155" s="48" t="s">
        <v>37</v>
      </c>
      <c r="P155" s="50"/>
      <c r="Q155" s="48" t="s">
        <v>37</v>
      </c>
      <c r="R155" s="50"/>
      <c r="S155" s="48" t="s">
        <v>37</v>
      </c>
      <c r="T155">
        <v>5691</v>
      </c>
      <c r="U155" t="s">
        <v>37</v>
      </c>
      <c r="W155" t="s">
        <v>37</v>
      </c>
      <c r="Y155" t="s">
        <v>37</v>
      </c>
      <c r="AA155" t="s">
        <v>37</v>
      </c>
      <c r="AC155" t="s">
        <v>37</v>
      </c>
      <c r="AE155" t="s">
        <v>37</v>
      </c>
      <c r="AG155" t="s">
        <v>37</v>
      </c>
      <c r="AI155" t="s">
        <v>37</v>
      </c>
      <c r="AK155" t="s">
        <v>37</v>
      </c>
      <c r="AL155">
        <v>22789</v>
      </c>
      <c r="AM155" t="s">
        <v>37</v>
      </c>
      <c r="AO155" t="s">
        <v>37</v>
      </c>
      <c r="AP155">
        <v>42613</v>
      </c>
      <c r="AQ155" t="s">
        <v>37</v>
      </c>
      <c r="AS155" t="s">
        <v>37</v>
      </c>
      <c r="AT155">
        <v>20000</v>
      </c>
      <c r="AU155" t="s">
        <v>37</v>
      </c>
      <c r="AV155">
        <v>35284</v>
      </c>
      <c r="AW155" t="s">
        <v>37</v>
      </c>
      <c r="AX155">
        <v>13071</v>
      </c>
      <c r="AY155" t="s">
        <v>37</v>
      </c>
      <c r="AZ155">
        <v>29535</v>
      </c>
      <c r="BA155" t="s">
        <v>37</v>
      </c>
      <c r="BC155" t="s">
        <v>37</v>
      </c>
      <c r="BD155">
        <v>1695</v>
      </c>
      <c r="BE155" t="s">
        <v>37</v>
      </c>
      <c r="BG155" t="s">
        <v>37</v>
      </c>
      <c r="BI155" t="s">
        <v>37</v>
      </c>
      <c r="BK155" t="s">
        <v>37</v>
      </c>
      <c r="BL155">
        <v>74700</v>
      </c>
      <c r="BM155" t="s">
        <v>37</v>
      </c>
      <c r="BO155" t="s">
        <v>37</v>
      </c>
      <c r="BQ155" t="s">
        <v>37</v>
      </c>
      <c r="BS155" t="s">
        <v>37</v>
      </c>
      <c r="BT155">
        <v>35000</v>
      </c>
      <c r="BU155" t="s">
        <v>37</v>
      </c>
      <c r="BW155" t="s">
        <v>37</v>
      </c>
      <c r="BX155">
        <v>14200</v>
      </c>
      <c r="BY155" t="s">
        <v>37</v>
      </c>
      <c r="CA155" t="s">
        <v>37</v>
      </c>
      <c r="CC155" t="s">
        <v>37</v>
      </c>
      <c r="CD155">
        <v>3000</v>
      </c>
      <c r="CE155" t="s">
        <v>37</v>
      </c>
      <c r="CF155">
        <v>5000</v>
      </c>
      <c r="CG155" t="s">
        <v>37</v>
      </c>
      <c r="CH155">
        <v>55785</v>
      </c>
      <c r="CI155" t="s">
        <v>37</v>
      </c>
      <c r="CK155" t="s">
        <v>37</v>
      </c>
      <c r="CL155">
        <v>40239</v>
      </c>
      <c r="CM155" t="s">
        <v>37</v>
      </c>
      <c r="CO155" t="s">
        <v>37</v>
      </c>
      <c r="CQ155" t="s">
        <v>37</v>
      </c>
      <c r="CS155" t="s">
        <v>37</v>
      </c>
      <c r="CT155">
        <v>39492</v>
      </c>
      <c r="CU155" t="s">
        <v>37</v>
      </c>
      <c r="CW155" t="s">
        <v>37</v>
      </c>
      <c r="CX155">
        <v>2250</v>
      </c>
      <c r="CY155" t="s">
        <v>37</v>
      </c>
      <c r="DA155" t="s">
        <v>37</v>
      </c>
      <c r="DC155" t="s">
        <v>37</v>
      </c>
      <c r="DD155">
        <v>39938</v>
      </c>
      <c r="DE155" t="s">
        <v>37</v>
      </c>
      <c r="DF155">
        <v>37500</v>
      </c>
      <c r="DG155" t="s">
        <v>37</v>
      </c>
      <c r="DI155" t="s">
        <v>37</v>
      </c>
      <c r="DK155" t="s">
        <v>37</v>
      </c>
      <c r="DL155">
        <v>34564</v>
      </c>
      <c r="DM155" t="s">
        <v>37</v>
      </c>
      <c r="DN155">
        <v>30243</v>
      </c>
      <c r="DO155" t="s">
        <v>37</v>
      </c>
      <c r="DP155">
        <v>14366</v>
      </c>
      <c r="DQ155" t="s">
        <v>37</v>
      </c>
      <c r="DS155" t="s">
        <v>37</v>
      </c>
      <c r="DU155" t="s">
        <v>37</v>
      </c>
      <c r="DV155">
        <v>5000</v>
      </c>
      <c r="DW155" t="s">
        <v>37</v>
      </c>
      <c r="DX155">
        <v>24784</v>
      </c>
      <c r="DY155" t="s">
        <v>37</v>
      </c>
      <c r="DZ155">
        <v>2000</v>
      </c>
      <c r="EA155" t="s">
        <v>37</v>
      </c>
      <c r="EB155">
        <v>2730</v>
      </c>
      <c r="EC155" t="s">
        <v>37</v>
      </c>
      <c r="ED155">
        <v>8220</v>
      </c>
      <c r="EE155" t="s">
        <v>37</v>
      </c>
      <c r="EG155" t="s">
        <v>37</v>
      </c>
      <c r="EI155" t="s">
        <v>37</v>
      </c>
      <c r="EK155" t="s">
        <v>37</v>
      </c>
      <c r="EL155">
        <v>18774</v>
      </c>
      <c r="EM155" t="s">
        <v>37</v>
      </c>
      <c r="EO155" t="s">
        <v>37</v>
      </c>
      <c r="EQ155" t="s">
        <v>37</v>
      </c>
      <c r="ES155" t="s">
        <v>37</v>
      </c>
      <c r="ET155">
        <v>16600</v>
      </c>
      <c r="EU155" t="s">
        <v>37</v>
      </c>
      <c r="EV155">
        <v>5632</v>
      </c>
      <c r="EW155" t="s">
        <v>37</v>
      </c>
      <c r="EY155" t="s">
        <v>37</v>
      </c>
      <c r="FA155" t="s">
        <v>37</v>
      </c>
      <c r="FB155">
        <v>5000</v>
      </c>
      <c r="FC155" t="s">
        <v>37</v>
      </c>
      <c r="FD155">
        <v>45956</v>
      </c>
      <c r="FE155" t="s">
        <v>37</v>
      </c>
      <c r="FG155" t="s">
        <v>37</v>
      </c>
      <c r="FI155" t="s">
        <v>37</v>
      </c>
      <c r="FJ155">
        <v>30644</v>
      </c>
      <c r="FK155" t="s">
        <v>37</v>
      </c>
      <c r="FL155">
        <v>49106</v>
      </c>
      <c r="FM155" t="s">
        <v>37</v>
      </c>
      <c r="FN155">
        <v>750</v>
      </c>
      <c r="FO155" t="s">
        <v>37</v>
      </c>
      <c r="FQ155" t="s">
        <v>37</v>
      </c>
      <c r="FR155">
        <v>5000</v>
      </c>
      <c r="FS155" t="s">
        <v>37</v>
      </c>
      <c r="FU155" t="s">
        <v>37</v>
      </c>
      <c r="FW155" t="s">
        <v>37</v>
      </c>
      <c r="FY155" t="s">
        <v>37</v>
      </c>
      <c r="FZ155">
        <v>5900</v>
      </c>
      <c r="GA155" t="s">
        <v>37</v>
      </c>
      <c r="GB155">
        <v>5131</v>
      </c>
      <c r="GC155" t="s">
        <v>37</v>
      </c>
      <c r="GE155" t="s">
        <v>37</v>
      </c>
      <c r="GG155" t="s">
        <v>37</v>
      </c>
      <c r="GI155" t="s">
        <v>37</v>
      </c>
      <c r="GJ155">
        <v>5000</v>
      </c>
      <c r="GK155" t="s">
        <v>37</v>
      </c>
      <c r="GL155">
        <v>5000</v>
      </c>
      <c r="GM155" t="s">
        <v>37</v>
      </c>
      <c r="GO155" t="s">
        <v>37</v>
      </c>
      <c r="GP155">
        <v>26284</v>
      </c>
      <c r="GQ155" t="s">
        <v>37</v>
      </c>
      <c r="GR155">
        <v>7780</v>
      </c>
      <c r="GS155" t="s">
        <v>37</v>
      </c>
      <c r="GT155">
        <v>2304</v>
      </c>
      <c r="GU155" t="s">
        <v>37</v>
      </c>
      <c r="GW155" t="s">
        <v>37</v>
      </c>
      <c r="GX155">
        <v>29631</v>
      </c>
      <c r="GY155" t="s">
        <v>37</v>
      </c>
      <c r="HA155" t="s">
        <v>37</v>
      </c>
      <c r="HC155" t="s">
        <v>37</v>
      </c>
      <c r="HE155" t="s">
        <v>37</v>
      </c>
      <c r="HF155">
        <v>927142</v>
      </c>
      <c r="HG155" t="s">
        <v>37</v>
      </c>
      <c r="HI155" t="s">
        <v>37</v>
      </c>
      <c r="HJ155">
        <v>927142</v>
      </c>
      <c r="HK155" t="s">
        <v>37</v>
      </c>
    </row>
    <row r="156" spans="1:219">
      <c r="A156">
        <v>3513</v>
      </c>
      <c r="B156" t="s">
        <v>178</v>
      </c>
      <c r="C156" t="s">
        <v>37</v>
      </c>
      <c r="D156">
        <v>62290</v>
      </c>
      <c r="E156" t="s">
        <v>37</v>
      </c>
      <c r="F156">
        <v>75013</v>
      </c>
      <c r="G156" t="s">
        <v>37</v>
      </c>
      <c r="H156">
        <v>38557</v>
      </c>
      <c r="I156" t="s">
        <v>37</v>
      </c>
      <c r="K156" s="48" t="s">
        <v>37</v>
      </c>
      <c r="L156" s="51">
        <v>59036</v>
      </c>
      <c r="M156" s="48" t="s">
        <v>37</v>
      </c>
      <c r="N156" s="51">
        <v>41403</v>
      </c>
      <c r="O156" s="48" t="s">
        <v>37</v>
      </c>
      <c r="P156" s="51">
        <v>52017</v>
      </c>
      <c r="Q156" s="48" t="s">
        <v>37</v>
      </c>
      <c r="R156" s="51">
        <v>50622</v>
      </c>
      <c r="S156" s="48" t="s">
        <v>37</v>
      </c>
      <c r="T156">
        <v>91306</v>
      </c>
      <c r="U156" t="s">
        <v>37</v>
      </c>
      <c r="W156" t="s">
        <v>37</v>
      </c>
      <c r="Y156" t="s">
        <v>37</v>
      </c>
      <c r="Z156">
        <v>41488</v>
      </c>
      <c r="AA156" t="s">
        <v>37</v>
      </c>
      <c r="AB156">
        <v>40416</v>
      </c>
      <c r="AC156" t="s">
        <v>37</v>
      </c>
      <c r="AD156">
        <v>40021</v>
      </c>
      <c r="AE156" t="s">
        <v>37</v>
      </c>
      <c r="AF156">
        <v>40620</v>
      </c>
      <c r="AG156" t="s">
        <v>37</v>
      </c>
      <c r="AH156">
        <v>46086</v>
      </c>
      <c r="AI156" t="s">
        <v>37</v>
      </c>
      <c r="AK156" t="s">
        <v>37</v>
      </c>
      <c r="AL156">
        <v>42437</v>
      </c>
      <c r="AM156" t="s">
        <v>37</v>
      </c>
      <c r="AO156" t="s">
        <v>37</v>
      </c>
      <c r="AP156">
        <v>158838</v>
      </c>
      <c r="AQ156" t="s">
        <v>37</v>
      </c>
      <c r="AR156">
        <v>45126</v>
      </c>
      <c r="AS156" t="s">
        <v>37</v>
      </c>
      <c r="AT156">
        <v>188928</v>
      </c>
      <c r="AU156" t="s">
        <v>37</v>
      </c>
      <c r="AV156">
        <v>82856</v>
      </c>
      <c r="AW156" t="s">
        <v>37</v>
      </c>
      <c r="AX156">
        <v>61011</v>
      </c>
      <c r="AY156" t="s">
        <v>37</v>
      </c>
      <c r="AZ156">
        <v>70626</v>
      </c>
      <c r="BA156" t="s">
        <v>37</v>
      </c>
      <c r="BB156">
        <v>42856</v>
      </c>
      <c r="BC156" t="s">
        <v>37</v>
      </c>
      <c r="BD156">
        <v>50768</v>
      </c>
      <c r="BE156" t="s">
        <v>37</v>
      </c>
      <c r="BF156">
        <v>40922</v>
      </c>
      <c r="BG156" t="s">
        <v>37</v>
      </c>
      <c r="BI156" t="s">
        <v>37</v>
      </c>
      <c r="BJ156">
        <v>67354</v>
      </c>
      <c r="BK156" t="s">
        <v>37</v>
      </c>
      <c r="BL156">
        <v>101237</v>
      </c>
      <c r="BM156" t="s">
        <v>37</v>
      </c>
      <c r="BO156" t="s">
        <v>37</v>
      </c>
      <c r="BP156">
        <v>42456</v>
      </c>
      <c r="BQ156" t="s">
        <v>37</v>
      </c>
      <c r="BR156">
        <v>76546</v>
      </c>
      <c r="BS156" t="s">
        <v>37</v>
      </c>
      <c r="BT156">
        <v>41770</v>
      </c>
      <c r="BU156" t="s">
        <v>37</v>
      </c>
      <c r="BW156" t="s">
        <v>37</v>
      </c>
      <c r="BX156">
        <v>80865</v>
      </c>
      <c r="BY156" t="s">
        <v>37</v>
      </c>
      <c r="BZ156">
        <v>46227</v>
      </c>
      <c r="CA156" t="s">
        <v>37</v>
      </c>
      <c r="CC156" t="s">
        <v>37</v>
      </c>
      <c r="CD156">
        <v>55029</v>
      </c>
      <c r="CE156" t="s">
        <v>37</v>
      </c>
      <c r="CF156">
        <v>44490</v>
      </c>
      <c r="CG156" t="s">
        <v>37</v>
      </c>
      <c r="CH156">
        <v>89065</v>
      </c>
      <c r="CI156" t="s">
        <v>37</v>
      </c>
      <c r="CJ156">
        <v>40162</v>
      </c>
      <c r="CK156" t="s">
        <v>37</v>
      </c>
      <c r="CL156">
        <v>81258</v>
      </c>
      <c r="CM156" t="s">
        <v>37</v>
      </c>
      <c r="CN156">
        <v>11316</v>
      </c>
      <c r="CO156" t="s">
        <v>37</v>
      </c>
      <c r="CP156">
        <v>40529</v>
      </c>
      <c r="CQ156" t="s">
        <v>37</v>
      </c>
      <c r="CR156">
        <v>89101</v>
      </c>
      <c r="CS156" t="s">
        <v>37</v>
      </c>
      <c r="CT156">
        <v>306923</v>
      </c>
      <c r="CU156" t="s">
        <v>37</v>
      </c>
      <c r="CV156">
        <v>74722</v>
      </c>
      <c r="CW156" t="s">
        <v>37</v>
      </c>
      <c r="CX156">
        <v>32495</v>
      </c>
      <c r="CY156" t="s">
        <v>37</v>
      </c>
      <c r="CZ156">
        <v>37048</v>
      </c>
      <c r="DA156" t="s">
        <v>37</v>
      </c>
      <c r="DC156" t="s">
        <v>37</v>
      </c>
      <c r="DD156">
        <v>66534</v>
      </c>
      <c r="DE156" t="s">
        <v>37</v>
      </c>
      <c r="DF156">
        <v>35137</v>
      </c>
      <c r="DG156" t="s">
        <v>37</v>
      </c>
      <c r="DH156">
        <v>181785</v>
      </c>
      <c r="DI156" t="s">
        <v>37</v>
      </c>
      <c r="DJ156">
        <v>53617</v>
      </c>
      <c r="DK156" t="s">
        <v>37</v>
      </c>
      <c r="DL156">
        <v>72387</v>
      </c>
      <c r="DM156" t="s">
        <v>37</v>
      </c>
      <c r="DN156">
        <v>77300</v>
      </c>
      <c r="DO156" t="s">
        <v>37</v>
      </c>
      <c r="DP156">
        <v>76465</v>
      </c>
      <c r="DQ156" t="s">
        <v>37</v>
      </c>
      <c r="DR156">
        <v>48540</v>
      </c>
      <c r="DS156" t="s">
        <v>37</v>
      </c>
      <c r="DT156">
        <v>42493</v>
      </c>
      <c r="DU156" t="s">
        <v>37</v>
      </c>
      <c r="DV156">
        <v>74463</v>
      </c>
      <c r="DW156" t="s">
        <v>37</v>
      </c>
      <c r="DX156">
        <v>64858</v>
      </c>
      <c r="DY156" t="s">
        <v>37</v>
      </c>
      <c r="DZ156">
        <v>58121</v>
      </c>
      <c r="EA156" t="s">
        <v>37</v>
      </c>
      <c r="EB156">
        <v>70991</v>
      </c>
      <c r="EC156" t="s">
        <v>37</v>
      </c>
      <c r="ED156">
        <v>62848</v>
      </c>
      <c r="EE156" t="s">
        <v>37</v>
      </c>
      <c r="EF156">
        <v>24111</v>
      </c>
      <c r="EG156" t="s">
        <v>37</v>
      </c>
      <c r="EI156" t="s">
        <v>37</v>
      </c>
      <c r="EJ156">
        <v>50898</v>
      </c>
      <c r="EK156" t="s">
        <v>37</v>
      </c>
      <c r="EL156">
        <v>56098</v>
      </c>
      <c r="EM156" t="s">
        <v>37</v>
      </c>
      <c r="EN156">
        <v>39598</v>
      </c>
      <c r="EO156" t="s">
        <v>37</v>
      </c>
      <c r="EQ156" t="s">
        <v>37</v>
      </c>
      <c r="ER156">
        <v>93558</v>
      </c>
      <c r="ES156" t="s">
        <v>37</v>
      </c>
      <c r="ET156">
        <v>60189</v>
      </c>
      <c r="EU156" t="s">
        <v>37</v>
      </c>
      <c r="EV156">
        <v>57358</v>
      </c>
      <c r="EW156" t="s">
        <v>37</v>
      </c>
      <c r="EY156" t="s">
        <v>37</v>
      </c>
      <c r="EZ156">
        <v>56350</v>
      </c>
      <c r="FA156" t="s">
        <v>37</v>
      </c>
      <c r="FB156">
        <v>54407</v>
      </c>
      <c r="FC156" t="s">
        <v>37</v>
      </c>
      <c r="FD156">
        <v>117166</v>
      </c>
      <c r="FE156" t="s">
        <v>37</v>
      </c>
      <c r="FG156" t="s">
        <v>37</v>
      </c>
      <c r="FH156">
        <v>88885</v>
      </c>
      <c r="FI156" t="s">
        <v>37</v>
      </c>
      <c r="FJ156">
        <v>154459</v>
      </c>
      <c r="FK156" t="s">
        <v>37</v>
      </c>
      <c r="FL156">
        <v>118547</v>
      </c>
      <c r="FM156" t="s">
        <v>37</v>
      </c>
      <c r="FN156">
        <v>44196</v>
      </c>
      <c r="FO156" t="s">
        <v>37</v>
      </c>
      <c r="FP156">
        <v>51586</v>
      </c>
      <c r="FQ156" t="s">
        <v>37</v>
      </c>
      <c r="FR156">
        <v>63828</v>
      </c>
      <c r="FS156" t="s">
        <v>37</v>
      </c>
      <c r="FT156">
        <v>45578</v>
      </c>
      <c r="FU156" t="s">
        <v>37</v>
      </c>
      <c r="FV156">
        <v>45691</v>
      </c>
      <c r="FW156" t="s">
        <v>37</v>
      </c>
      <c r="FX156">
        <v>54463</v>
      </c>
      <c r="FY156" t="s">
        <v>37</v>
      </c>
      <c r="FZ156">
        <v>60728</v>
      </c>
      <c r="GA156" t="s">
        <v>37</v>
      </c>
      <c r="GB156">
        <v>73228</v>
      </c>
      <c r="GC156" t="s">
        <v>37</v>
      </c>
      <c r="GE156" t="s">
        <v>37</v>
      </c>
      <c r="GG156" t="s">
        <v>37</v>
      </c>
      <c r="GI156" t="s">
        <v>37</v>
      </c>
      <c r="GJ156">
        <v>111372</v>
      </c>
      <c r="GK156" t="s">
        <v>37</v>
      </c>
      <c r="GL156">
        <v>71768</v>
      </c>
      <c r="GM156" t="s">
        <v>37</v>
      </c>
      <c r="GO156" t="s">
        <v>37</v>
      </c>
      <c r="GP156">
        <v>63528</v>
      </c>
      <c r="GQ156" t="s">
        <v>37</v>
      </c>
      <c r="GR156">
        <v>69441</v>
      </c>
      <c r="GS156" t="s">
        <v>37</v>
      </c>
      <c r="GT156">
        <v>54322</v>
      </c>
      <c r="GU156" t="s">
        <v>37</v>
      </c>
      <c r="GV156">
        <v>46255</v>
      </c>
      <c r="GW156" t="s">
        <v>37</v>
      </c>
      <c r="GX156">
        <v>95115</v>
      </c>
      <c r="GY156" t="s">
        <v>37</v>
      </c>
      <c r="GZ156">
        <v>44280</v>
      </c>
      <c r="HA156" t="s">
        <v>37</v>
      </c>
      <c r="HB156">
        <v>39075</v>
      </c>
      <c r="HC156" t="s">
        <v>37</v>
      </c>
      <c r="HE156" t="s">
        <v>37</v>
      </c>
      <c r="HF156">
        <v>5774378</v>
      </c>
      <c r="HG156" t="s">
        <v>37</v>
      </c>
      <c r="HH156">
        <v>39075</v>
      </c>
      <c r="HI156" t="s">
        <v>37</v>
      </c>
      <c r="HJ156">
        <v>5813453</v>
      </c>
      <c r="HK156" t="s">
        <v>37</v>
      </c>
    </row>
    <row r="157" spans="1:219">
      <c r="A157">
        <v>3515</v>
      </c>
      <c r="B157" t="s">
        <v>179</v>
      </c>
      <c r="C157" t="s">
        <v>37</v>
      </c>
      <c r="D157">
        <v>1369</v>
      </c>
      <c r="E157" t="s">
        <v>37</v>
      </c>
      <c r="F157">
        <v>39404</v>
      </c>
      <c r="G157" t="s">
        <v>37</v>
      </c>
      <c r="I157" t="s">
        <v>37</v>
      </c>
      <c r="K157" s="48" t="s">
        <v>37</v>
      </c>
      <c r="L157" s="51">
        <v>16293</v>
      </c>
      <c r="M157" s="48" t="s">
        <v>37</v>
      </c>
      <c r="N157" s="50">
        <v>810</v>
      </c>
      <c r="O157" s="48" t="s">
        <v>37</v>
      </c>
      <c r="P157" s="50"/>
      <c r="Q157" s="48" t="s">
        <v>37</v>
      </c>
      <c r="R157" s="51">
        <v>3158</v>
      </c>
      <c r="S157" s="48" t="s">
        <v>37</v>
      </c>
      <c r="T157">
        <v>8620</v>
      </c>
      <c r="U157" t="s">
        <v>37</v>
      </c>
      <c r="W157" t="s">
        <v>37</v>
      </c>
      <c r="Y157" t="s">
        <v>37</v>
      </c>
      <c r="Z157">
        <v>1550</v>
      </c>
      <c r="AA157" t="s">
        <v>37</v>
      </c>
      <c r="AB157">
        <v>1810</v>
      </c>
      <c r="AC157" t="s">
        <v>37</v>
      </c>
      <c r="AD157">
        <v>530</v>
      </c>
      <c r="AE157" t="s">
        <v>37</v>
      </c>
      <c r="AF157">
        <v>6591</v>
      </c>
      <c r="AG157" t="s">
        <v>37</v>
      </c>
      <c r="AH157">
        <v>310</v>
      </c>
      <c r="AI157" t="s">
        <v>37</v>
      </c>
      <c r="AK157" t="s">
        <v>37</v>
      </c>
      <c r="AL157">
        <v>69898</v>
      </c>
      <c r="AM157" t="s">
        <v>37</v>
      </c>
      <c r="AO157" t="s">
        <v>37</v>
      </c>
      <c r="AP157">
        <v>9150</v>
      </c>
      <c r="AQ157" t="s">
        <v>37</v>
      </c>
      <c r="AS157" t="s">
        <v>37</v>
      </c>
      <c r="AT157">
        <v>58585</v>
      </c>
      <c r="AU157" t="s">
        <v>37</v>
      </c>
      <c r="AV157">
        <v>7655</v>
      </c>
      <c r="AW157" t="s">
        <v>37</v>
      </c>
      <c r="AX157">
        <v>3188</v>
      </c>
      <c r="AY157" t="s">
        <v>37</v>
      </c>
      <c r="AZ157">
        <v>3539</v>
      </c>
      <c r="BA157" t="s">
        <v>37</v>
      </c>
      <c r="BC157" t="s">
        <v>37</v>
      </c>
      <c r="BE157" t="s">
        <v>37</v>
      </c>
      <c r="BG157" t="s">
        <v>37</v>
      </c>
      <c r="BI157" t="s">
        <v>37</v>
      </c>
      <c r="BJ157">
        <v>624</v>
      </c>
      <c r="BK157" t="s">
        <v>37</v>
      </c>
      <c r="BL157">
        <v>3294</v>
      </c>
      <c r="BM157" t="s">
        <v>37</v>
      </c>
      <c r="BO157" t="s">
        <v>37</v>
      </c>
      <c r="BP157">
        <v>434</v>
      </c>
      <c r="BQ157" t="s">
        <v>37</v>
      </c>
      <c r="BR157">
        <v>660</v>
      </c>
      <c r="BS157" t="s">
        <v>37</v>
      </c>
      <c r="BT157">
        <v>130</v>
      </c>
      <c r="BU157" t="s">
        <v>37</v>
      </c>
      <c r="BW157" t="s">
        <v>37</v>
      </c>
      <c r="BX157">
        <v>19690</v>
      </c>
      <c r="BY157" t="s">
        <v>37</v>
      </c>
      <c r="CA157" t="s">
        <v>37</v>
      </c>
      <c r="CC157" t="s">
        <v>37</v>
      </c>
      <c r="CD157">
        <v>1506</v>
      </c>
      <c r="CE157" t="s">
        <v>37</v>
      </c>
      <c r="CG157" t="s">
        <v>37</v>
      </c>
      <c r="CH157">
        <v>56526</v>
      </c>
      <c r="CI157" t="s">
        <v>37</v>
      </c>
      <c r="CJ157">
        <v>440</v>
      </c>
      <c r="CK157" t="s">
        <v>37</v>
      </c>
      <c r="CL157">
        <v>3879</v>
      </c>
      <c r="CM157" t="s">
        <v>37</v>
      </c>
      <c r="CN157">
        <v>750</v>
      </c>
      <c r="CO157" t="s">
        <v>37</v>
      </c>
      <c r="CP157">
        <v>1400</v>
      </c>
      <c r="CQ157" t="s">
        <v>37</v>
      </c>
      <c r="CR157">
        <v>6960</v>
      </c>
      <c r="CS157" t="s">
        <v>37</v>
      </c>
      <c r="CT157">
        <v>190462</v>
      </c>
      <c r="CU157" t="s">
        <v>37</v>
      </c>
      <c r="CV157">
        <v>8410</v>
      </c>
      <c r="CW157" t="s">
        <v>37</v>
      </c>
      <c r="CX157">
        <v>470</v>
      </c>
      <c r="CY157" t="s">
        <v>37</v>
      </c>
      <c r="CZ157">
        <v>1770</v>
      </c>
      <c r="DA157" t="s">
        <v>37</v>
      </c>
      <c r="DC157" t="s">
        <v>37</v>
      </c>
      <c r="DD157">
        <v>660</v>
      </c>
      <c r="DE157" t="s">
        <v>37</v>
      </c>
      <c r="DG157" t="s">
        <v>37</v>
      </c>
      <c r="DH157">
        <v>41613</v>
      </c>
      <c r="DI157" t="s">
        <v>37</v>
      </c>
      <c r="DJ157">
        <v>1327</v>
      </c>
      <c r="DK157" t="s">
        <v>37</v>
      </c>
      <c r="DL157">
        <v>2517</v>
      </c>
      <c r="DM157" t="s">
        <v>37</v>
      </c>
      <c r="DN157">
        <v>4213</v>
      </c>
      <c r="DO157" t="s">
        <v>37</v>
      </c>
      <c r="DP157">
        <v>4100</v>
      </c>
      <c r="DQ157" t="s">
        <v>37</v>
      </c>
      <c r="DR157">
        <v>2290</v>
      </c>
      <c r="DS157" t="s">
        <v>37</v>
      </c>
      <c r="DT157">
        <v>850</v>
      </c>
      <c r="DU157" t="s">
        <v>37</v>
      </c>
      <c r="DV157">
        <v>15575</v>
      </c>
      <c r="DW157" t="s">
        <v>37</v>
      </c>
      <c r="DX157">
        <v>14011</v>
      </c>
      <c r="DY157" t="s">
        <v>37</v>
      </c>
      <c r="DZ157">
        <v>590</v>
      </c>
      <c r="EA157" t="s">
        <v>37</v>
      </c>
      <c r="EB157">
        <v>620</v>
      </c>
      <c r="EC157" t="s">
        <v>37</v>
      </c>
      <c r="ED157">
        <v>51730</v>
      </c>
      <c r="EE157" t="s">
        <v>37</v>
      </c>
      <c r="EF157">
        <v>650</v>
      </c>
      <c r="EG157" t="s">
        <v>37</v>
      </c>
      <c r="EI157" t="s">
        <v>37</v>
      </c>
      <c r="EJ157">
        <v>1900</v>
      </c>
      <c r="EK157" t="s">
        <v>37</v>
      </c>
      <c r="EL157">
        <v>609</v>
      </c>
      <c r="EM157" t="s">
        <v>37</v>
      </c>
      <c r="EN157">
        <v>470</v>
      </c>
      <c r="EO157" t="s">
        <v>37</v>
      </c>
      <c r="EQ157" t="s">
        <v>37</v>
      </c>
      <c r="ER157">
        <v>1690</v>
      </c>
      <c r="ES157" t="s">
        <v>37</v>
      </c>
      <c r="ET157">
        <v>2480</v>
      </c>
      <c r="EU157" t="s">
        <v>37</v>
      </c>
      <c r="EV157">
        <v>7747</v>
      </c>
      <c r="EW157" t="s">
        <v>37</v>
      </c>
      <c r="EY157" t="s">
        <v>37</v>
      </c>
      <c r="EZ157">
        <v>1240</v>
      </c>
      <c r="FA157" t="s">
        <v>37</v>
      </c>
      <c r="FB157">
        <v>2480</v>
      </c>
      <c r="FC157" t="s">
        <v>37</v>
      </c>
      <c r="FD157">
        <v>10288</v>
      </c>
      <c r="FE157" t="s">
        <v>37</v>
      </c>
      <c r="FG157" t="s">
        <v>37</v>
      </c>
      <c r="FH157">
        <v>20956</v>
      </c>
      <c r="FI157" t="s">
        <v>37</v>
      </c>
      <c r="FJ157">
        <v>56181</v>
      </c>
      <c r="FK157" t="s">
        <v>37</v>
      </c>
      <c r="FL157">
        <v>40440</v>
      </c>
      <c r="FM157" t="s">
        <v>37</v>
      </c>
      <c r="FN157">
        <v>470</v>
      </c>
      <c r="FO157" t="s">
        <v>37</v>
      </c>
      <c r="FP157">
        <v>5970</v>
      </c>
      <c r="FQ157" t="s">
        <v>37</v>
      </c>
      <c r="FR157">
        <v>6367</v>
      </c>
      <c r="FS157" t="s">
        <v>37</v>
      </c>
      <c r="FT157">
        <v>2550</v>
      </c>
      <c r="FU157" t="s">
        <v>37</v>
      </c>
      <c r="FV157">
        <v>5460</v>
      </c>
      <c r="FW157" t="s">
        <v>37</v>
      </c>
      <c r="FX157">
        <v>5759</v>
      </c>
      <c r="FY157" t="s">
        <v>37</v>
      </c>
      <c r="FZ157">
        <v>19936</v>
      </c>
      <c r="GA157" t="s">
        <v>37</v>
      </c>
      <c r="GB157">
        <v>12294</v>
      </c>
      <c r="GC157" t="s">
        <v>37</v>
      </c>
      <c r="GE157" t="s">
        <v>37</v>
      </c>
      <c r="GG157" t="s">
        <v>37</v>
      </c>
      <c r="GI157" t="s">
        <v>37</v>
      </c>
      <c r="GJ157">
        <v>75</v>
      </c>
      <c r="GK157" t="s">
        <v>37</v>
      </c>
      <c r="GL157">
        <v>3633</v>
      </c>
      <c r="GM157" t="s">
        <v>37</v>
      </c>
      <c r="GO157" t="s">
        <v>37</v>
      </c>
      <c r="GP157">
        <v>3386</v>
      </c>
      <c r="GQ157" t="s">
        <v>37</v>
      </c>
      <c r="GS157" t="s">
        <v>37</v>
      </c>
      <c r="GU157" t="s">
        <v>37</v>
      </c>
      <c r="GV157">
        <v>2140</v>
      </c>
      <c r="GW157" t="s">
        <v>37</v>
      </c>
      <c r="GX157">
        <v>34680</v>
      </c>
      <c r="GY157" t="s">
        <v>37</v>
      </c>
      <c r="GZ157">
        <v>6470</v>
      </c>
      <c r="HA157" t="s">
        <v>37</v>
      </c>
      <c r="HC157" t="s">
        <v>37</v>
      </c>
      <c r="HE157" t="s">
        <v>37</v>
      </c>
      <c r="HF157">
        <v>926282</v>
      </c>
      <c r="HG157" t="s">
        <v>37</v>
      </c>
      <c r="HI157" t="s">
        <v>37</v>
      </c>
      <c r="HJ157">
        <v>926282</v>
      </c>
      <c r="HK157" t="s">
        <v>37</v>
      </c>
    </row>
    <row r="158" spans="1:219">
      <c r="A158">
        <v>3517</v>
      </c>
      <c r="B158" t="s">
        <v>180</v>
      </c>
      <c r="C158" t="s">
        <v>37</v>
      </c>
      <c r="D158">
        <v>1000</v>
      </c>
      <c r="E158" t="s">
        <v>37</v>
      </c>
      <c r="F158">
        <v>7000</v>
      </c>
      <c r="G158" t="s">
        <v>37</v>
      </c>
      <c r="I158" t="s">
        <v>37</v>
      </c>
      <c r="K158" s="48" t="s">
        <v>37</v>
      </c>
      <c r="L158" s="51">
        <v>1000</v>
      </c>
      <c r="M158" s="48" t="s">
        <v>37</v>
      </c>
      <c r="N158" s="50">
        <v>500</v>
      </c>
      <c r="O158" s="48" t="s">
        <v>37</v>
      </c>
      <c r="P158" s="50">
        <v>565</v>
      </c>
      <c r="Q158" s="48" t="s">
        <v>37</v>
      </c>
      <c r="R158" s="50"/>
      <c r="S158" s="48" t="s">
        <v>37</v>
      </c>
      <c r="U158" t="s">
        <v>37</v>
      </c>
      <c r="W158" t="s">
        <v>37</v>
      </c>
      <c r="Y158" t="s">
        <v>37</v>
      </c>
      <c r="AA158" t="s">
        <v>37</v>
      </c>
      <c r="AC158" t="s">
        <v>37</v>
      </c>
      <c r="AD158">
        <v>500</v>
      </c>
      <c r="AE158" t="s">
        <v>37</v>
      </c>
      <c r="AF158">
        <v>2000</v>
      </c>
      <c r="AG158" t="s">
        <v>37</v>
      </c>
      <c r="AH158">
        <v>500</v>
      </c>
      <c r="AI158" t="s">
        <v>37</v>
      </c>
      <c r="AK158" t="s">
        <v>37</v>
      </c>
      <c r="AL158">
        <v>7500</v>
      </c>
      <c r="AM158" t="s">
        <v>37</v>
      </c>
      <c r="AO158" t="s">
        <v>37</v>
      </c>
      <c r="AP158">
        <v>5000</v>
      </c>
      <c r="AQ158" t="s">
        <v>37</v>
      </c>
      <c r="AS158" t="s">
        <v>37</v>
      </c>
      <c r="AT158">
        <v>12500</v>
      </c>
      <c r="AU158" t="s">
        <v>37</v>
      </c>
      <c r="AV158">
        <v>4500</v>
      </c>
      <c r="AW158" t="s">
        <v>37</v>
      </c>
      <c r="AX158">
        <v>5325</v>
      </c>
      <c r="AY158" t="s">
        <v>37</v>
      </c>
      <c r="AZ158">
        <v>3000</v>
      </c>
      <c r="BA158" t="s">
        <v>37</v>
      </c>
      <c r="BC158" t="s">
        <v>37</v>
      </c>
      <c r="BE158" t="s">
        <v>37</v>
      </c>
      <c r="BF158">
        <v>960</v>
      </c>
      <c r="BG158" t="s">
        <v>37</v>
      </c>
      <c r="BI158" t="s">
        <v>37</v>
      </c>
      <c r="BK158" t="s">
        <v>37</v>
      </c>
      <c r="BL158">
        <v>159</v>
      </c>
      <c r="BM158" t="s">
        <v>37</v>
      </c>
      <c r="BO158" t="s">
        <v>37</v>
      </c>
      <c r="BP158">
        <v>1000</v>
      </c>
      <c r="BQ158" t="s">
        <v>37</v>
      </c>
      <c r="BS158" t="s">
        <v>37</v>
      </c>
      <c r="BT158">
        <v>500</v>
      </c>
      <c r="BU158" t="s">
        <v>37</v>
      </c>
      <c r="BW158" t="s">
        <v>37</v>
      </c>
      <c r="BX158">
        <v>1500</v>
      </c>
      <c r="BY158" t="s">
        <v>37</v>
      </c>
      <c r="CA158" t="s">
        <v>37</v>
      </c>
      <c r="CC158" t="s">
        <v>37</v>
      </c>
      <c r="CD158">
        <v>1528</v>
      </c>
      <c r="CE158" t="s">
        <v>37</v>
      </c>
      <c r="CF158">
        <v>117</v>
      </c>
      <c r="CG158" t="s">
        <v>37</v>
      </c>
      <c r="CH158">
        <v>2500</v>
      </c>
      <c r="CI158" t="s">
        <v>37</v>
      </c>
      <c r="CJ158">
        <v>1500</v>
      </c>
      <c r="CK158" t="s">
        <v>37</v>
      </c>
      <c r="CL158">
        <v>500</v>
      </c>
      <c r="CM158" t="s">
        <v>37</v>
      </c>
      <c r="CN158">
        <v>1000</v>
      </c>
      <c r="CO158" t="s">
        <v>37</v>
      </c>
      <c r="CQ158" t="s">
        <v>37</v>
      </c>
      <c r="CR158">
        <v>810</v>
      </c>
      <c r="CS158" t="s">
        <v>37</v>
      </c>
      <c r="CT158">
        <v>23500</v>
      </c>
      <c r="CU158" t="s">
        <v>37</v>
      </c>
      <c r="CV158">
        <v>6000</v>
      </c>
      <c r="CW158" t="s">
        <v>37</v>
      </c>
      <c r="CX158">
        <v>660</v>
      </c>
      <c r="CY158" t="s">
        <v>37</v>
      </c>
      <c r="CZ158">
        <v>500</v>
      </c>
      <c r="DA158" t="s">
        <v>37</v>
      </c>
      <c r="DC158" t="s">
        <v>37</v>
      </c>
      <c r="DE158" t="s">
        <v>37</v>
      </c>
      <c r="DG158" t="s">
        <v>37</v>
      </c>
      <c r="DH158">
        <v>17939</v>
      </c>
      <c r="DI158" t="s">
        <v>37</v>
      </c>
      <c r="DK158" t="s">
        <v>37</v>
      </c>
      <c r="DL158">
        <v>2517</v>
      </c>
      <c r="DM158" t="s">
        <v>37</v>
      </c>
      <c r="DO158" t="s">
        <v>37</v>
      </c>
      <c r="DQ158" t="s">
        <v>37</v>
      </c>
      <c r="DS158" t="s">
        <v>37</v>
      </c>
      <c r="DT158">
        <v>50</v>
      </c>
      <c r="DU158" t="s">
        <v>37</v>
      </c>
      <c r="DV158">
        <v>11000</v>
      </c>
      <c r="DW158" t="s">
        <v>37</v>
      </c>
      <c r="DX158">
        <v>3484</v>
      </c>
      <c r="DY158" t="s">
        <v>37</v>
      </c>
      <c r="EA158" t="s">
        <v>37</v>
      </c>
      <c r="EB158">
        <v>500</v>
      </c>
      <c r="EC158" t="s">
        <v>37</v>
      </c>
      <c r="ED158">
        <v>5508</v>
      </c>
      <c r="EE158" t="s">
        <v>37</v>
      </c>
      <c r="EF158">
        <v>1065</v>
      </c>
      <c r="EG158" t="s">
        <v>37</v>
      </c>
      <c r="EI158" t="s">
        <v>37</v>
      </c>
      <c r="EJ158">
        <v>1000</v>
      </c>
      <c r="EK158" t="s">
        <v>37</v>
      </c>
      <c r="EL158">
        <v>339</v>
      </c>
      <c r="EM158" t="s">
        <v>37</v>
      </c>
      <c r="EN158">
        <v>500</v>
      </c>
      <c r="EO158" t="s">
        <v>37</v>
      </c>
      <c r="EQ158" t="s">
        <v>37</v>
      </c>
      <c r="ER158">
        <v>1000</v>
      </c>
      <c r="ES158" t="s">
        <v>37</v>
      </c>
      <c r="ET158">
        <v>3000</v>
      </c>
      <c r="EU158" t="s">
        <v>37</v>
      </c>
      <c r="EV158">
        <v>4207</v>
      </c>
      <c r="EW158" t="s">
        <v>37</v>
      </c>
      <c r="EY158" t="s">
        <v>37</v>
      </c>
      <c r="EZ158">
        <v>1000</v>
      </c>
      <c r="FA158" t="s">
        <v>37</v>
      </c>
      <c r="FB158">
        <v>1000</v>
      </c>
      <c r="FC158" t="s">
        <v>37</v>
      </c>
      <c r="FE158" t="s">
        <v>37</v>
      </c>
      <c r="FG158" t="s">
        <v>37</v>
      </c>
      <c r="FH158">
        <v>4500</v>
      </c>
      <c r="FI158" t="s">
        <v>37</v>
      </c>
      <c r="FJ158">
        <v>14000</v>
      </c>
      <c r="FK158" t="s">
        <v>37</v>
      </c>
      <c r="FL158">
        <v>23323</v>
      </c>
      <c r="FM158" t="s">
        <v>37</v>
      </c>
      <c r="FO158" t="s">
        <v>37</v>
      </c>
      <c r="FP158">
        <v>3000</v>
      </c>
      <c r="FQ158" t="s">
        <v>37</v>
      </c>
      <c r="FR158">
        <v>500</v>
      </c>
      <c r="FS158" t="s">
        <v>37</v>
      </c>
      <c r="FT158">
        <v>500</v>
      </c>
      <c r="FU158" t="s">
        <v>37</v>
      </c>
      <c r="FV158">
        <v>1000</v>
      </c>
      <c r="FW158" t="s">
        <v>37</v>
      </c>
      <c r="FX158">
        <v>1000</v>
      </c>
      <c r="FY158" t="s">
        <v>37</v>
      </c>
      <c r="GA158" t="s">
        <v>37</v>
      </c>
      <c r="GB158">
        <v>2500</v>
      </c>
      <c r="GC158" t="s">
        <v>37</v>
      </c>
      <c r="GE158" t="s">
        <v>37</v>
      </c>
      <c r="GG158" t="s">
        <v>37</v>
      </c>
      <c r="GI158" t="s">
        <v>37</v>
      </c>
      <c r="GJ158">
        <v>1000</v>
      </c>
      <c r="GK158" t="s">
        <v>37</v>
      </c>
      <c r="GL158">
        <v>3000</v>
      </c>
      <c r="GM158" t="s">
        <v>37</v>
      </c>
      <c r="GO158" t="s">
        <v>37</v>
      </c>
      <c r="GP158">
        <v>1000</v>
      </c>
      <c r="GQ158" t="s">
        <v>37</v>
      </c>
      <c r="GS158" t="s">
        <v>37</v>
      </c>
      <c r="GT158">
        <v>3891</v>
      </c>
      <c r="GU158" t="s">
        <v>37</v>
      </c>
      <c r="GW158" t="s">
        <v>37</v>
      </c>
      <c r="GX158">
        <v>500</v>
      </c>
      <c r="GY158" t="s">
        <v>37</v>
      </c>
      <c r="HA158" t="s">
        <v>37</v>
      </c>
      <c r="HC158" t="s">
        <v>37</v>
      </c>
      <c r="HE158" t="s">
        <v>37</v>
      </c>
      <c r="HF158">
        <v>207447</v>
      </c>
      <c r="HG158" t="s">
        <v>37</v>
      </c>
      <c r="HI158" t="s">
        <v>37</v>
      </c>
      <c r="HJ158">
        <v>207447</v>
      </c>
      <c r="HK158" t="s">
        <v>37</v>
      </c>
    </row>
    <row r="159" spans="1:219">
      <c r="A159">
        <v>3520</v>
      </c>
      <c r="B159" t="s">
        <v>181</v>
      </c>
      <c r="C159" t="s">
        <v>37</v>
      </c>
      <c r="D159">
        <v>99429</v>
      </c>
      <c r="E159" t="s">
        <v>37</v>
      </c>
      <c r="F159">
        <v>1305719</v>
      </c>
      <c r="G159" t="s">
        <v>37</v>
      </c>
      <c r="H159">
        <v>15000</v>
      </c>
      <c r="I159" t="s">
        <v>37</v>
      </c>
      <c r="K159" s="48" t="s">
        <v>37</v>
      </c>
      <c r="L159" s="51">
        <v>378320</v>
      </c>
      <c r="M159" s="48" t="s">
        <v>37</v>
      </c>
      <c r="N159" s="51">
        <v>197136</v>
      </c>
      <c r="O159" s="48" t="s">
        <v>37</v>
      </c>
      <c r="P159" s="51">
        <v>95025</v>
      </c>
      <c r="Q159" s="48" t="s">
        <v>37</v>
      </c>
      <c r="R159" s="51">
        <v>114197</v>
      </c>
      <c r="S159" s="48" t="s">
        <v>37</v>
      </c>
      <c r="T159">
        <v>378902</v>
      </c>
      <c r="U159" t="s">
        <v>37</v>
      </c>
      <c r="W159" t="s">
        <v>37</v>
      </c>
      <c r="Y159" t="s">
        <v>37</v>
      </c>
      <c r="Z159">
        <v>39594</v>
      </c>
      <c r="AA159" t="s">
        <v>37</v>
      </c>
      <c r="AB159">
        <v>38645</v>
      </c>
      <c r="AC159" t="s">
        <v>37</v>
      </c>
      <c r="AD159">
        <v>15421</v>
      </c>
      <c r="AE159" t="s">
        <v>37</v>
      </c>
      <c r="AF159">
        <v>40438</v>
      </c>
      <c r="AG159" t="s">
        <v>37</v>
      </c>
      <c r="AH159">
        <v>52514</v>
      </c>
      <c r="AI159" t="s">
        <v>37</v>
      </c>
      <c r="AK159" t="s">
        <v>37</v>
      </c>
      <c r="AL159">
        <v>868778</v>
      </c>
      <c r="AM159" t="s">
        <v>37</v>
      </c>
      <c r="AO159" t="s">
        <v>37</v>
      </c>
      <c r="AP159">
        <v>719776</v>
      </c>
      <c r="AQ159" t="s">
        <v>37</v>
      </c>
      <c r="AR159">
        <v>37268</v>
      </c>
      <c r="AS159" t="s">
        <v>37</v>
      </c>
      <c r="AT159">
        <v>1935102</v>
      </c>
      <c r="AU159" t="s">
        <v>37</v>
      </c>
      <c r="AV159">
        <v>408929</v>
      </c>
      <c r="AW159" t="s">
        <v>37</v>
      </c>
      <c r="AX159">
        <v>159219</v>
      </c>
      <c r="AY159" t="s">
        <v>37</v>
      </c>
      <c r="AZ159">
        <v>224486</v>
      </c>
      <c r="BA159" t="s">
        <v>37</v>
      </c>
      <c r="BB159">
        <v>52540</v>
      </c>
      <c r="BC159" t="s">
        <v>37</v>
      </c>
      <c r="BD159">
        <v>66672</v>
      </c>
      <c r="BE159" t="s">
        <v>37</v>
      </c>
      <c r="BF159">
        <v>36567</v>
      </c>
      <c r="BG159" t="s">
        <v>37</v>
      </c>
      <c r="BI159" t="s">
        <v>37</v>
      </c>
      <c r="BJ159">
        <v>134503</v>
      </c>
      <c r="BK159" t="s">
        <v>37</v>
      </c>
      <c r="BL159">
        <v>357596</v>
      </c>
      <c r="BM159" t="s">
        <v>37</v>
      </c>
      <c r="BO159" t="s">
        <v>37</v>
      </c>
      <c r="BP159">
        <v>15000</v>
      </c>
      <c r="BQ159" t="s">
        <v>37</v>
      </c>
      <c r="BR159">
        <v>51463</v>
      </c>
      <c r="BS159" t="s">
        <v>37</v>
      </c>
      <c r="BT159">
        <v>55431</v>
      </c>
      <c r="BU159" t="s">
        <v>37</v>
      </c>
      <c r="BW159" t="s">
        <v>37</v>
      </c>
      <c r="BX159">
        <v>918163</v>
      </c>
      <c r="BY159" t="s">
        <v>37</v>
      </c>
      <c r="BZ159">
        <v>32926</v>
      </c>
      <c r="CA159" t="s">
        <v>37</v>
      </c>
      <c r="CC159" t="s">
        <v>37</v>
      </c>
      <c r="CD159">
        <v>112113</v>
      </c>
      <c r="CE159" t="s">
        <v>37</v>
      </c>
      <c r="CF159">
        <v>118440</v>
      </c>
      <c r="CG159" t="s">
        <v>37</v>
      </c>
      <c r="CH159">
        <v>332180</v>
      </c>
      <c r="CI159" t="s">
        <v>37</v>
      </c>
      <c r="CJ159">
        <v>22089</v>
      </c>
      <c r="CK159" t="s">
        <v>37</v>
      </c>
      <c r="CL159">
        <v>130689</v>
      </c>
      <c r="CM159" t="s">
        <v>37</v>
      </c>
      <c r="CN159">
        <v>20005</v>
      </c>
      <c r="CO159" t="s">
        <v>37</v>
      </c>
      <c r="CP159">
        <v>68768</v>
      </c>
      <c r="CQ159" t="s">
        <v>37</v>
      </c>
      <c r="CR159">
        <v>433033</v>
      </c>
      <c r="CS159" t="s">
        <v>37</v>
      </c>
      <c r="CT159">
        <v>3455472</v>
      </c>
      <c r="CU159" t="s">
        <v>37</v>
      </c>
      <c r="CV159">
        <v>371901</v>
      </c>
      <c r="CW159" t="s">
        <v>37</v>
      </c>
      <c r="CX159">
        <v>26335</v>
      </c>
      <c r="CY159" t="s">
        <v>37</v>
      </c>
      <c r="CZ159">
        <v>51653</v>
      </c>
      <c r="DA159" t="s">
        <v>37</v>
      </c>
      <c r="DC159" t="s">
        <v>37</v>
      </c>
      <c r="DD159">
        <v>54181</v>
      </c>
      <c r="DE159" t="s">
        <v>37</v>
      </c>
      <c r="DF159">
        <v>15838</v>
      </c>
      <c r="DG159" t="s">
        <v>37</v>
      </c>
      <c r="DH159">
        <v>2226879</v>
      </c>
      <c r="DI159" t="s">
        <v>37</v>
      </c>
      <c r="DJ159">
        <v>46264</v>
      </c>
      <c r="DK159" t="s">
        <v>37</v>
      </c>
      <c r="DL159">
        <v>605169</v>
      </c>
      <c r="DM159" t="s">
        <v>37</v>
      </c>
      <c r="DN159">
        <v>265071</v>
      </c>
      <c r="DO159" t="s">
        <v>37</v>
      </c>
      <c r="DP159">
        <v>81382</v>
      </c>
      <c r="DQ159" t="s">
        <v>37</v>
      </c>
      <c r="DR159">
        <v>123334</v>
      </c>
      <c r="DS159" t="s">
        <v>37</v>
      </c>
      <c r="DT159">
        <v>15838</v>
      </c>
      <c r="DU159" t="s">
        <v>37</v>
      </c>
      <c r="DV159">
        <v>1196512</v>
      </c>
      <c r="DW159" t="s">
        <v>37</v>
      </c>
      <c r="DX159">
        <v>437435</v>
      </c>
      <c r="DY159" t="s">
        <v>37</v>
      </c>
      <c r="DZ159">
        <v>125867</v>
      </c>
      <c r="EA159" t="s">
        <v>37</v>
      </c>
      <c r="EB159">
        <v>82565</v>
      </c>
      <c r="EC159" t="s">
        <v>37</v>
      </c>
      <c r="ED159">
        <v>1230830</v>
      </c>
      <c r="EE159" t="s">
        <v>37</v>
      </c>
      <c r="EF159">
        <v>13837</v>
      </c>
      <c r="EG159" t="s">
        <v>37</v>
      </c>
      <c r="EI159" t="s">
        <v>37</v>
      </c>
      <c r="EJ159">
        <v>82940</v>
      </c>
      <c r="EK159" t="s">
        <v>37</v>
      </c>
      <c r="EL159">
        <v>43159</v>
      </c>
      <c r="EM159" t="s">
        <v>37</v>
      </c>
      <c r="EN159">
        <v>15000</v>
      </c>
      <c r="EO159" t="s">
        <v>37</v>
      </c>
      <c r="EQ159" t="s">
        <v>37</v>
      </c>
      <c r="ER159">
        <v>129618</v>
      </c>
      <c r="ES159" t="s">
        <v>37</v>
      </c>
      <c r="ET159">
        <v>248400</v>
      </c>
      <c r="EU159" t="s">
        <v>37</v>
      </c>
      <c r="EV159">
        <v>563068</v>
      </c>
      <c r="EW159" t="s">
        <v>37</v>
      </c>
      <c r="EY159" t="s">
        <v>37</v>
      </c>
      <c r="EZ159">
        <v>50014</v>
      </c>
      <c r="FA159" t="s">
        <v>37</v>
      </c>
      <c r="FB159">
        <v>95442</v>
      </c>
      <c r="FC159" t="s">
        <v>37</v>
      </c>
      <c r="FD159">
        <v>60016</v>
      </c>
      <c r="FE159" t="s">
        <v>37</v>
      </c>
      <c r="FG159" t="s">
        <v>37</v>
      </c>
      <c r="FH159">
        <v>788962</v>
      </c>
      <c r="FI159" t="s">
        <v>37</v>
      </c>
      <c r="FJ159">
        <v>1095338</v>
      </c>
      <c r="FK159" t="s">
        <v>37</v>
      </c>
      <c r="FL159">
        <v>988463</v>
      </c>
      <c r="FM159" t="s">
        <v>37</v>
      </c>
      <c r="FN159">
        <v>66685</v>
      </c>
      <c r="FO159" t="s">
        <v>37</v>
      </c>
      <c r="FP159">
        <v>270072</v>
      </c>
      <c r="FQ159" t="s">
        <v>37</v>
      </c>
      <c r="FR159">
        <v>242565</v>
      </c>
      <c r="FS159" t="s">
        <v>37</v>
      </c>
      <c r="FT159">
        <v>142538</v>
      </c>
      <c r="FU159" t="s">
        <v>37</v>
      </c>
      <c r="FV159">
        <v>57932</v>
      </c>
      <c r="FW159" t="s">
        <v>37</v>
      </c>
      <c r="FX159">
        <v>241731</v>
      </c>
      <c r="FY159" t="s">
        <v>37</v>
      </c>
      <c r="FZ159">
        <v>510554</v>
      </c>
      <c r="GA159" t="s">
        <v>37</v>
      </c>
      <c r="GB159">
        <v>468042</v>
      </c>
      <c r="GC159" t="s">
        <v>37</v>
      </c>
      <c r="GE159" t="s">
        <v>37</v>
      </c>
      <c r="GG159" t="s">
        <v>37</v>
      </c>
      <c r="GI159" t="s">
        <v>37</v>
      </c>
      <c r="GJ159">
        <v>210890</v>
      </c>
      <c r="GK159" t="s">
        <v>37</v>
      </c>
      <c r="GL159">
        <v>323003</v>
      </c>
      <c r="GM159" t="s">
        <v>37</v>
      </c>
      <c r="GO159" t="s">
        <v>37</v>
      </c>
      <c r="GP159">
        <v>192569</v>
      </c>
      <c r="GQ159" t="s">
        <v>37</v>
      </c>
      <c r="GR159">
        <v>81596</v>
      </c>
      <c r="GS159" t="s">
        <v>37</v>
      </c>
      <c r="GT159">
        <v>147007</v>
      </c>
      <c r="GU159" t="s">
        <v>37</v>
      </c>
      <c r="GV159">
        <v>303831</v>
      </c>
      <c r="GW159" t="s">
        <v>37</v>
      </c>
      <c r="GX159">
        <v>579501</v>
      </c>
      <c r="GY159" t="s">
        <v>37</v>
      </c>
      <c r="GZ159">
        <v>590575</v>
      </c>
      <c r="HA159" t="s">
        <v>37</v>
      </c>
      <c r="HC159" t="s">
        <v>37</v>
      </c>
      <c r="HE159" t="s">
        <v>37</v>
      </c>
      <c r="HF159">
        <v>29097950</v>
      </c>
      <c r="HG159" t="s">
        <v>37</v>
      </c>
      <c r="HI159" t="s">
        <v>37</v>
      </c>
      <c r="HJ159">
        <v>29097950</v>
      </c>
      <c r="HK159" t="s">
        <v>37</v>
      </c>
    </row>
    <row r="160" spans="1:219">
      <c r="A160">
        <v>3522</v>
      </c>
      <c r="B160" t="s">
        <v>182</v>
      </c>
      <c r="C160" t="s">
        <v>37</v>
      </c>
      <c r="D160">
        <v>15671</v>
      </c>
      <c r="E160" t="s">
        <v>37</v>
      </c>
      <c r="F160">
        <v>114176</v>
      </c>
      <c r="G160" t="s">
        <v>37</v>
      </c>
      <c r="H160">
        <v>9501</v>
      </c>
      <c r="I160" t="s">
        <v>37</v>
      </c>
      <c r="K160" s="48" t="s">
        <v>37</v>
      </c>
      <c r="L160" s="51">
        <v>38605</v>
      </c>
      <c r="M160" s="48" t="s">
        <v>37</v>
      </c>
      <c r="N160" s="51">
        <v>22026</v>
      </c>
      <c r="O160" s="48" t="s">
        <v>37</v>
      </c>
      <c r="P160" s="51">
        <v>11481</v>
      </c>
      <c r="Q160" s="48" t="s">
        <v>37</v>
      </c>
      <c r="R160" s="51">
        <v>16834</v>
      </c>
      <c r="S160" s="48" t="s">
        <v>37</v>
      </c>
      <c r="T160">
        <v>71770</v>
      </c>
      <c r="U160" t="s">
        <v>37</v>
      </c>
      <c r="W160" t="s">
        <v>37</v>
      </c>
      <c r="Y160" t="s">
        <v>37</v>
      </c>
      <c r="Z160">
        <v>5405</v>
      </c>
      <c r="AA160" t="s">
        <v>37</v>
      </c>
      <c r="AC160" t="s">
        <v>37</v>
      </c>
      <c r="AD160">
        <v>5472</v>
      </c>
      <c r="AE160" t="s">
        <v>37</v>
      </c>
      <c r="AF160">
        <v>7890</v>
      </c>
      <c r="AG160" t="s">
        <v>37</v>
      </c>
      <c r="AH160">
        <v>15643</v>
      </c>
      <c r="AI160" t="s">
        <v>37</v>
      </c>
      <c r="AK160" t="s">
        <v>37</v>
      </c>
      <c r="AL160">
        <v>115182</v>
      </c>
      <c r="AM160" t="s">
        <v>37</v>
      </c>
      <c r="AO160" t="s">
        <v>37</v>
      </c>
      <c r="AP160">
        <v>165211</v>
      </c>
      <c r="AQ160" t="s">
        <v>37</v>
      </c>
      <c r="AR160">
        <v>4814</v>
      </c>
      <c r="AS160" t="s">
        <v>37</v>
      </c>
      <c r="AT160">
        <v>249092</v>
      </c>
      <c r="AU160" t="s">
        <v>37</v>
      </c>
      <c r="AV160">
        <v>91676</v>
      </c>
      <c r="AW160" t="s">
        <v>37</v>
      </c>
      <c r="AX160">
        <v>33983</v>
      </c>
      <c r="AY160" t="s">
        <v>37</v>
      </c>
      <c r="AZ160">
        <v>50413</v>
      </c>
      <c r="BA160" t="s">
        <v>37</v>
      </c>
      <c r="BB160">
        <v>6743</v>
      </c>
      <c r="BC160" t="s">
        <v>37</v>
      </c>
      <c r="BD160">
        <v>5587</v>
      </c>
      <c r="BE160" t="s">
        <v>37</v>
      </c>
      <c r="BG160" t="s">
        <v>37</v>
      </c>
      <c r="BI160" t="s">
        <v>37</v>
      </c>
      <c r="BJ160">
        <v>46238</v>
      </c>
      <c r="BK160" t="s">
        <v>37</v>
      </c>
      <c r="BL160">
        <v>59829</v>
      </c>
      <c r="BM160" t="s">
        <v>37</v>
      </c>
      <c r="BO160" t="s">
        <v>37</v>
      </c>
      <c r="BQ160" t="s">
        <v>37</v>
      </c>
      <c r="BR160">
        <v>20630</v>
      </c>
      <c r="BS160" t="s">
        <v>37</v>
      </c>
      <c r="BT160">
        <v>9480</v>
      </c>
      <c r="BU160" t="s">
        <v>37</v>
      </c>
      <c r="BW160" t="s">
        <v>37</v>
      </c>
      <c r="BX160">
        <v>151553</v>
      </c>
      <c r="BY160" t="s">
        <v>37</v>
      </c>
      <c r="BZ160">
        <v>10085</v>
      </c>
      <c r="CA160" t="s">
        <v>37</v>
      </c>
      <c r="CC160" t="s">
        <v>37</v>
      </c>
      <c r="CD160">
        <v>19335</v>
      </c>
      <c r="CE160" t="s">
        <v>37</v>
      </c>
      <c r="CF160">
        <v>21078</v>
      </c>
      <c r="CG160" t="s">
        <v>37</v>
      </c>
      <c r="CH160">
        <v>85547</v>
      </c>
      <c r="CI160" t="s">
        <v>37</v>
      </c>
      <c r="CJ160">
        <v>7302</v>
      </c>
      <c r="CK160" t="s">
        <v>37</v>
      </c>
      <c r="CL160">
        <v>12657</v>
      </c>
      <c r="CM160" t="s">
        <v>37</v>
      </c>
      <c r="CN160">
        <v>4728</v>
      </c>
      <c r="CO160" t="s">
        <v>37</v>
      </c>
      <c r="CP160">
        <v>8786</v>
      </c>
      <c r="CQ160" t="s">
        <v>37</v>
      </c>
      <c r="CR160">
        <v>53384</v>
      </c>
      <c r="CS160" t="s">
        <v>37</v>
      </c>
      <c r="CT160">
        <v>392983</v>
      </c>
      <c r="CU160" t="s">
        <v>37</v>
      </c>
      <c r="CV160">
        <v>41154</v>
      </c>
      <c r="CW160" t="s">
        <v>37</v>
      </c>
      <c r="CX160">
        <v>2348</v>
      </c>
      <c r="CY160" t="s">
        <v>37</v>
      </c>
      <c r="CZ160">
        <v>14151</v>
      </c>
      <c r="DA160" t="s">
        <v>37</v>
      </c>
      <c r="DC160" t="s">
        <v>37</v>
      </c>
      <c r="DD160">
        <v>21310</v>
      </c>
      <c r="DE160" t="s">
        <v>37</v>
      </c>
      <c r="DF160">
        <v>11716</v>
      </c>
      <c r="DG160" t="s">
        <v>37</v>
      </c>
      <c r="DH160">
        <v>128195</v>
      </c>
      <c r="DI160" t="s">
        <v>37</v>
      </c>
      <c r="DJ160">
        <v>18553</v>
      </c>
      <c r="DK160" t="s">
        <v>37</v>
      </c>
      <c r="DL160">
        <v>58522</v>
      </c>
      <c r="DM160" t="s">
        <v>37</v>
      </c>
      <c r="DN160">
        <v>90317</v>
      </c>
      <c r="DO160" t="s">
        <v>37</v>
      </c>
      <c r="DP160">
        <v>31541</v>
      </c>
      <c r="DQ160" t="s">
        <v>37</v>
      </c>
      <c r="DS160" t="s">
        <v>37</v>
      </c>
      <c r="DT160">
        <v>15129</v>
      </c>
      <c r="DU160" t="s">
        <v>37</v>
      </c>
      <c r="DV160">
        <v>110236</v>
      </c>
      <c r="DW160" t="s">
        <v>37</v>
      </c>
      <c r="DX160">
        <v>33866</v>
      </c>
      <c r="DY160" t="s">
        <v>37</v>
      </c>
      <c r="DZ160">
        <v>11488</v>
      </c>
      <c r="EA160" t="s">
        <v>37</v>
      </c>
      <c r="EB160">
        <v>1181</v>
      </c>
      <c r="EC160" t="s">
        <v>37</v>
      </c>
      <c r="ED160">
        <v>78184</v>
      </c>
      <c r="EE160" t="s">
        <v>37</v>
      </c>
      <c r="EF160">
        <v>1740</v>
      </c>
      <c r="EG160" t="s">
        <v>37</v>
      </c>
      <c r="EI160" t="s">
        <v>37</v>
      </c>
      <c r="EJ160">
        <v>18589</v>
      </c>
      <c r="EK160" t="s">
        <v>37</v>
      </c>
      <c r="EL160">
        <v>11725</v>
      </c>
      <c r="EM160" t="s">
        <v>37</v>
      </c>
      <c r="EN160">
        <v>5368</v>
      </c>
      <c r="EO160" t="s">
        <v>37</v>
      </c>
      <c r="EQ160" t="s">
        <v>37</v>
      </c>
      <c r="ER160">
        <v>28892</v>
      </c>
      <c r="ES160" t="s">
        <v>37</v>
      </c>
      <c r="ET160">
        <v>34175</v>
      </c>
      <c r="EU160" t="s">
        <v>37</v>
      </c>
      <c r="EV160">
        <v>64496</v>
      </c>
      <c r="EW160" t="s">
        <v>37</v>
      </c>
      <c r="EY160" t="s">
        <v>37</v>
      </c>
      <c r="EZ160">
        <v>18485</v>
      </c>
      <c r="FA160" t="s">
        <v>37</v>
      </c>
      <c r="FB160">
        <v>25559</v>
      </c>
      <c r="FC160" t="s">
        <v>37</v>
      </c>
      <c r="FD160">
        <v>39959</v>
      </c>
      <c r="FE160" t="s">
        <v>37</v>
      </c>
      <c r="FG160" t="s">
        <v>37</v>
      </c>
      <c r="FH160">
        <v>98662</v>
      </c>
      <c r="FI160" t="s">
        <v>37</v>
      </c>
      <c r="FJ160">
        <v>121299</v>
      </c>
      <c r="FK160" t="s">
        <v>37</v>
      </c>
      <c r="FL160">
        <v>117950</v>
      </c>
      <c r="FM160" t="s">
        <v>37</v>
      </c>
      <c r="FN160">
        <v>12678</v>
      </c>
      <c r="FO160" t="s">
        <v>37</v>
      </c>
      <c r="FP160">
        <v>28555</v>
      </c>
      <c r="FQ160" t="s">
        <v>37</v>
      </c>
      <c r="FR160">
        <v>55187</v>
      </c>
      <c r="FS160" t="s">
        <v>37</v>
      </c>
      <c r="FT160">
        <v>19307</v>
      </c>
      <c r="FU160" t="s">
        <v>37</v>
      </c>
      <c r="FV160">
        <v>11451</v>
      </c>
      <c r="FW160" t="s">
        <v>37</v>
      </c>
      <c r="FX160">
        <v>40519</v>
      </c>
      <c r="FY160" t="s">
        <v>37</v>
      </c>
      <c r="FZ160">
        <v>43699</v>
      </c>
      <c r="GA160" t="s">
        <v>37</v>
      </c>
      <c r="GB160">
        <v>41111</v>
      </c>
      <c r="GC160" t="s">
        <v>37</v>
      </c>
      <c r="GE160" t="s">
        <v>37</v>
      </c>
      <c r="GG160" t="s">
        <v>37</v>
      </c>
      <c r="GI160" t="s">
        <v>37</v>
      </c>
      <c r="GJ160">
        <v>52903</v>
      </c>
      <c r="GK160" t="s">
        <v>37</v>
      </c>
      <c r="GL160">
        <v>33404</v>
      </c>
      <c r="GM160" t="s">
        <v>37</v>
      </c>
      <c r="GO160" t="s">
        <v>37</v>
      </c>
      <c r="GP160">
        <v>33686</v>
      </c>
      <c r="GQ160" t="s">
        <v>37</v>
      </c>
      <c r="GR160">
        <v>33805</v>
      </c>
      <c r="GS160" t="s">
        <v>37</v>
      </c>
      <c r="GT160">
        <v>28534</v>
      </c>
      <c r="GU160" t="s">
        <v>37</v>
      </c>
      <c r="GV160">
        <v>33521</v>
      </c>
      <c r="GW160" t="s">
        <v>37</v>
      </c>
      <c r="GX160">
        <v>80003</v>
      </c>
      <c r="GY160" t="s">
        <v>37</v>
      </c>
      <c r="GZ160">
        <v>44049</v>
      </c>
      <c r="HA160" t="s">
        <v>37</v>
      </c>
      <c r="HC160" t="s">
        <v>37</v>
      </c>
      <c r="HE160" t="s">
        <v>37</v>
      </c>
      <c r="HF160">
        <v>3807992</v>
      </c>
      <c r="HG160" t="s">
        <v>37</v>
      </c>
      <c r="HI160" t="s">
        <v>37</v>
      </c>
      <c r="HJ160">
        <v>3807992</v>
      </c>
      <c r="HK160" t="s">
        <v>37</v>
      </c>
    </row>
    <row r="161" spans="1:219">
      <c r="A161">
        <v>3523</v>
      </c>
      <c r="B161" t="s">
        <v>183</v>
      </c>
      <c r="C161" t="s">
        <v>37</v>
      </c>
      <c r="D161">
        <v>346</v>
      </c>
      <c r="E161" t="s">
        <v>37</v>
      </c>
      <c r="F161">
        <v>2195</v>
      </c>
      <c r="G161" t="s">
        <v>37</v>
      </c>
      <c r="I161" t="s">
        <v>37</v>
      </c>
      <c r="K161" s="48" t="s">
        <v>37</v>
      </c>
      <c r="L161" s="50">
        <v>980</v>
      </c>
      <c r="M161" s="48" t="s">
        <v>37</v>
      </c>
      <c r="N161" s="50">
        <v>282</v>
      </c>
      <c r="O161" s="48" t="s">
        <v>37</v>
      </c>
      <c r="P161" s="50">
        <v>141</v>
      </c>
      <c r="Q161" s="48" t="s">
        <v>37</v>
      </c>
      <c r="R161" s="50">
        <v>241</v>
      </c>
      <c r="S161" s="48" t="s">
        <v>37</v>
      </c>
      <c r="T161">
        <v>916</v>
      </c>
      <c r="U161" t="s">
        <v>37</v>
      </c>
      <c r="W161" t="s">
        <v>37</v>
      </c>
      <c r="Y161" t="s">
        <v>37</v>
      </c>
      <c r="Z161">
        <v>47</v>
      </c>
      <c r="AA161" t="s">
        <v>37</v>
      </c>
      <c r="AB161">
        <v>23</v>
      </c>
      <c r="AC161" t="s">
        <v>37</v>
      </c>
      <c r="AE161" t="s">
        <v>37</v>
      </c>
      <c r="AF161">
        <v>94</v>
      </c>
      <c r="AG161" t="s">
        <v>37</v>
      </c>
      <c r="AH161">
        <v>88</v>
      </c>
      <c r="AI161" t="s">
        <v>37</v>
      </c>
      <c r="AK161" t="s">
        <v>37</v>
      </c>
      <c r="AL161">
        <v>1062</v>
      </c>
      <c r="AM161" t="s">
        <v>37</v>
      </c>
      <c r="AO161" t="s">
        <v>37</v>
      </c>
      <c r="AP161">
        <v>1426</v>
      </c>
      <c r="AQ161" t="s">
        <v>37</v>
      </c>
      <c r="AR161">
        <v>12</v>
      </c>
      <c r="AS161" t="s">
        <v>37</v>
      </c>
      <c r="AT161">
        <v>2700</v>
      </c>
      <c r="AU161" t="s">
        <v>37</v>
      </c>
      <c r="AV161">
        <v>522</v>
      </c>
      <c r="AW161" t="s">
        <v>37</v>
      </c>
      <c r="AX161">
        <v>200</v>
      </c>
      <c r="AY161" t="s">
        <v>37</v>
      </c>
      <c r="AZ161">
        <v>362</v>
      </c>
      <c r="BA161" t="s">
        <v>37</v>
      </c>
      <c r="BB161">
        <v>12</v>
      </c>
      <c r="BC161" t="s">
        <v>37</v>
      </c>
      <c r="BD161">
        <v>129</v>
      </c>
      <c r="BE161" t="s">
        <v>37</v>
      </c>
      <c r="BF161">
        <v>82</v>
      </c>
      <c r="BG161" t="s">
        <v>37</v>
      </c>
      <c r="BI161" t="s">
        <v>37</v>
      </c>
      <c r="BJ161">
        <v>158</v>
      </c>
      <c r="BK161" t="s">
        <v>37</v>
      </c>
      <c r="BM161" t="s">
        <v>37</v>
      </c>
      <c r="BO161" t="s">
        <v>37</v>
      </c>
      <c r="BQ161" t="s">
        <v>37</v>
      </c>
      <c r="BS161" t="s">
        <v>37</v>
      </c>
      <c r="BT161">
        <v>105</v>
      </c>
      <c r="BU161" t="s">
        <v>37</v>
      </c>
      <c r="BW161" t="s">
        <v>37</v>
      </c>
      <c r="BX161">
        <v>1784</v>
      </c>
      <c r="BY161" t="s">
        <v>37</v>
      </c>
      <c r="BZ161">
        <v>65</v>
      </c>
      <c r="CA161" t="s">
        <v>37</v>
      </c>
      <c r="CC161" t="s">
        <v>37</v>
      </c>
      <c r="CD161">
        <v>1488</v>
      </c>
      <c r="CE161" t="s">
        <v>37</v>
      </c>
      <c r="CG161" t="s">
        <v>37</v>
      </c>
      <c r="CH161">
        <v>710</v>
      </c>
      <c r="CI161" t="s">
        <v>37</v>
      </c>
      <c r="CJ161">
        <v>59</v>
      </c>
      <c r="CK161" t="s">
        <v>37</v>
      </c>
      <c r="CM161" t="s">
        <v>37</v>
      </c>
      <c r="CN161">
        <v>18</v>
      </c>
      <c r="CO161" t="s">
        <v>37</v>
      </c>
      <c r="CP161">
        <v>153</v>
      </c>
      <c r="CQ161" t="s">
        <v>37</v>
      </c>
      <c r="CR161">
        <v>599</v>
      </c>
      <c r="CS161" t="s">
        <v>37</v>
      </c>
      <c r="CT161">
        <v>5066</v>
      </c>
      <c r="CU161" t="s">
        <v>37</v>
      </c>
      <c r="CV161">
        <v>781</v>
      </c>
      <c r="CW161" t="s">
        <v>37</v>
      </c>
      <c r="CX161">
        <v>35</v>
      </c>
      <c r="CY161" t="s">
        <v>37</v>
      </c>
      <c r="CZ161">
        <v>158</v>
      </c>
      <c r="DA161" t="s">
        <v>37</v>
      </c>
      <c r="DC161" t="s">
        <v>37</v>
      </c>
      <c r="DD161">
        <v>164</v>
      </c>
      <c r="DE161" t="s">
        <v>37</v>
      </c>
      <c r="DG161" t="s">
        <v>37</v>
      </c>
      <c r="DH161">
        <v>3598</v>
      </c>
      <c r="DI161" t="s">
        <v>37</v>
      </c>
      <c r="DJ161">
        <v>94</v>
      </c>
      <c r="DK161" t="s">
        <v>37</v>
      </c>
      <c r="DL161">
        <v>804</v>
      </c>
      <c r="DM161" t="s">
        <v>37</v>
      </c>
      <c r="DO161" t="s">
        <v>37</v>
      </c>
      <c r="DP161">
        <v>340</v>
      </c>
      <c r="DQ161" t="s">
        <v>37</v>
      </c>
      <c r="DR161">
        <v>270</v>
      </c>
      <c r="DS161" t="s">
        <v>37</v>
      </c>
      <c r="DT161">
        <v>35</v>
      </c>
      <c r="DU161" t="s">
        <v>37</v>
      </c>
      <c r="DV161">
        <v>2266</v>
      </c>
      <c r="DW161" t="s">
        <v>37</v>
      </c>
      <c r="DX161">
        <v>728</v>
      </c>
      <c r="DY161" t="s">
        <v>37</v>
      </c>
      <c r="DZ161">
        <v>147</v>
      </c>
      <c r="EA161" t="s">
        <v>37</v>
      </c>
      <c r="EB161">
        <v>117</v>
      </c>
      <c r="EC161" t="s">
        <v>37</v>
      </c>
      <c r="ED161">
        <v>1814</v>
      </c>
      <c r="EE161" t="s">
        <v>37</v>
      </c>
      <c r="EG161" t="s">
        <v>37</v>
      </c>
      <c r="EI161" t="s">
        <v>37</v>
      </c>
      <c r="EJ161">
        <v>59</v>
      </c>
      <c r="EK161" t="s">
        <v>37</v>
      </c>
      <c r="EM161" t="s">
        <v>37</v>
      </c>
      <c r="EN161">
        <v>35</v>
      </c>
      <c r="EO161" t="s">
        <v>37</v>
      </c>
      <c r="EQ161" t="s">
        <v>37</v>
      </c>
      <c r="ER161">
        <v>164</v>
      </c>
      <c r="ES161" t="s">
        <v>37</v>
      </c>
      <c r="ET161">
        <v>346</v>
      </c>
      <c r="EU161" t="s">
        <v>37</v>
      </c>
      <c r="EV161">
        <v>1186</v>
      </c>
      <c r="EW161" t="s">
        <v>37</v>
      </c>
      <c r="EY161" t="s">
        <v>37</v>
      </c>
      <c r="EZ161">
        <v>94</v>
      </c>
      <c r="FA161" t="s">
        <v>37</v>
      </c>
      <c r="FB161">
        <v>129</v>
      </c>
      <c r="FC161" t="s">
        <v>37</v>
      </c>
      <c r="FD161">
        <v>235</v>
      </c>
      <c r="FE161" t="s">
        <v>37</v>
      </c>
      <c r="FG161" t="s">
        <v>37</v>
      </c>
      <c r="FH161">
        <v>1450</v>
      </c>
      <c r="FI161" t="s">
        <v>37</v>
      </c>
      <c r="FK161" t="s">
        <v>37</v>
      </c>
      <c r="FM161" t="s">
        <v>37</v>
      </c>
      <c r="FN161">
        <v>70</v>
      </c>
      <c r="FO161" t="s">
        <v>37</v>
      </c>
      <c r="FP161">
        <v>429</v>
      </c>
      <c r="FQ161" t="s">
        <v>37</v>
      </c>
      <c r="FR161">
        <v>1350</v>
      </c>
      <c r="FS161" t="s">
        <v>37</v>
      </c>
      <c r="FT161">
        <v>305</v>
      </c>
      <c r="FU161" t="s">
        <v>37</v>
      </c>
      <c r="FV161">
        <v>294</v>
      </c>
      <c r="FW161" t="s">
        <v>37</v>
      </c>
      <c r="FX161">
        <v>610</v>
      </c>
      <c r="FY161" t="s">
        <v>37</v>
      </c>
      <c r="GA161" t="s">
        <v>37</v>
      </c>
      <c r="GB161">
        <v>622</v>
      </c>
      <c r="GC161" t="s">
        <v>37</v>
      </c>
      <c r="GE161" t="s">
        <v>37</v>
      </c>
      <c r="GG161" t="s">
        <v>37</v>
      </c>
      <c r="GI161" t="s">
        <v>37</v>
      </c>
      <c r="GJ161">
        <v>335</v>
      </c>
      <c r="GK161" t="s">
        <v>37</v>
      </c>
      <c r="GL161">
        <v>446</v>
      </c>
      <c r="GM161" t="s">
        <v>37</v>
      </c>
      <c r="GO161" t="s">
        <v>37</v>
      </c>
      <c r="GP161">
        <v>270</v>
      </c>
      <c r="GQ161" t="s">
        <v>37</v>
      </c>
      <c r="GR161">
        <v>164</v>
      </c>
      <c r="GS161" t="s">
        <v>37</v>
      </c>
      <c r="GT161">
        <v>376</v>
      </c>
      <c r="GU161" t="s">
        <v>37</v>
      </c>
      <c r="GV161">
        <v>716</v>
      </c>
      <c r="GW161" t="s">
        <v>37</v>
      </c>
      <c r="GX161">
        <v>1961</v>
      </c>
      <c r="GY161" t="s">
        <v>37</v>
      </c>
      <c r="GZ161">
        <v>1291</v>
      </c>
      <c r="HA161" t="s">
        <v>37</v>
      </c>
      <c r="HC161" t="s">
        <v>37</v>
      </c>
      <c r="HE161" t="s">
        <v>37</v>
      </c>
      <c r="HF161">
        <v>46353</v>
      </c>
      <c r="HG161" t="s">
        <v>37</v>
      </c>
      <c r="HI161" t="s">
        <v>37</v>
      </c>
      <c r="HJ161">
        <v>46353</v>
      </c>
      <c r="HK161" t="s">
        <v>37</v>
      </c>
    </row>
    <row r="162" spans="1:219">
      <c r="A162">
        <v>3524</v>
      </c>
      <c r="B162" t="s">
        <v>184</v>
      </c>
      <c r="C162" t="s">
        <v>37</v>
      </c>
      <c r="E162" t="s">
        <v>37</v>
      </c>
      <c r="G162" t="s">
        <v>37</v>
      </c>
      <c r="I162" t="s">
        <v>37</v>
      </c>
      <c r="K162" s="48" t="s">
        <v>37</v>
      </c>
      <c r="L162" s="50"/>
      <c r="M162" s="48" t="s">
        <v>37</v>
      </c>
      <c r="N162" s="50"/>
      <c r="O162" s="48" t="s">
        <v>37</v>
      </c>
      <c r="P162" s="50"/>
      <c r="Q162" s="48" t="s">
        <v>37</v>
      </c>
      <c r="R162" s="50"/>
      <c r="S162" s="48" t="s">
        <v>37</v>
      </c>
      <c r="U162" t="s">
        <v>37</v>
      </c>
      <c r="W162" t="s">
        <v>37</v>
      </c>
      <c r="Y162" t="s">
        <v>37</v>
      </c>
      <c r="AA162" t="s">
        <v>37</v>
      </c>
      <c r="AC162" t="s">
        <v>37</v>
      </c>
      <c r="AE162" t="s">
        <v>37</v>
      </c>
      <c r="AG162" t="s">
        <v>37</v>
      </c>
      <c r="AI162" t="s">
        <v>37</v>
      </c>
      <c r="AK162" t="s">
        <v>37</v>
      </c>
      <c r="AM162" t="s">
        <v>37</v>
      </c>
      <c r="AO162" t="s">
        <v>37</v>
      </c>
      <c r="AQ162" t="s">
        <v>37</v>
      </c>
      <c r="AS162" t="s">
        <v>37</v>
      </c>
      <c r="AU162" t="s">
        <v>37</v>
      </c>
      <c r="AW162" t="s">
        <v>37</v>
      </c>
      <c r="AY162" t="s">
        <v>37</v>
      </c>
      <c r="BA162" t="s">
        <v>37</v>
      </c>
      <c r="BC162" t="s">
        <v>37</v>
      </c>
      <c r="BE162" t="s">
        <v>37</v>
      </c>
      <c r="BG162" t="s">
        <v>37</v>
      </c>
      <c r="BI162" t="s">
        <v>37</v>
      </c>
      <c r="BK162" t="s">
        <v>37</v>
      </c>
      <c r="BM162" t="s">
        <v>37</v>
      </c>
      <c r="BO162" t="s">
        <v>37</v>
      </c>
      <c r="BQ162" t="s">
        <v>37</v>
      </c>
      <c r="BS162" t="s">
        <v>37</v>
      </c>
      <c r="BU162" t="s">
        <v>37</v>
      </c>
      <c r="BW162" t="s">
        <v>37</v>
      </c>
      <c r="BY162" t="s">
        <v>37</v>
      </c>
      <c r="CA162" t="s">
        <v>37</v>
      </c>
      <c r="CC162" t="s">
        <v>37</v>
      </c>
      <c r="CE162" t="s">
        <v>37</v>
      </c>
      <c r="CG162" t="s">
        <v>37</v>
      </c>
      <c r="CI162" t="s">
        <v>37</v>
      </c>
      <c r="CK162" t="s">
        <v>37</v>
      </c>
      <c r="CM162" t="s">
        <v>37</v>
      </c>
      <c r="CO162" t="s">
        <v>37</v>
      </c>
      <c r="CQ162" t="s">
        <v>37</v>
      </c>
      <c r="CS162" t="s">
        <v>37</v>
      </c>
      <c r="CU162" t="s">
        <v>37</v>
      </c>
      <c r="CW162" t="s">
        <v>37</v>
      </c>
      <c r="CY162" t="s">
        <v>37</v>
      </c>
      <c r="DA162" t="s">
        <v>37</v>
      </c>
      <c r="DC162" t="s">
        <v>37</v>
      </c>
      <c r="DE162" t="s">
        <v>37</v>
      </c>
      <c r="DG162" t="s">
        <v>37</v>
      </c>
      <c r="DI162" t="s">
        <v>37</v>
      </c>
      <c r="DK162" t="s">
        <v>37</v>
      </c>
      <c r="DM162" t="s">
        <v>37</v>
      </c>
      <c r="DO162" t="s">
        <v>37</v>
      </c>
      <c r="DQ162" t="s">
        <v>37</v>
      </c>
      <c r="DS162" t="s">
        <v>37</v>
      </c>
      <c r="DU162" t="s">
        <v>37</v>
      </c>
      <c r="DW162" t="s">
        <v>37</v>
      </c>
      <c r="DY162" t="s">
        <v>37</v>
      </c>
      <c r="EA162" t="s">
        <v>37</v>
      </c>
      <c r="EC162" t="s">
        <v>37</v>
      </c>
      <c r="EE162" t="s">
        <v>37</v>
      </c>
      <c r="EG162" t="s">
        <v>37</v>
      </c>
      <c r="EI162" t="s">
        <v>37</v>
      </c>
      <c r="EK162" t="s">
        <v>37</v>
      </c>
      <c r="EM162" t="s">
        <v>37</v>
      </c>
      <c r="EO162" t="s">
        <v>37</v>
      </c>
      <c r="EQ162" t="s">
        <v>37</v>
      </c>
      <c r="ES162" t="s">
        <v>37</v>
      </c>
      <c r="EU162" t="s">
        <v>37</v>
      </c>
      <c r="EW162" t="s">
        <v>37</v>
      </c>
      <c r="EY162" t="s">
        <v>37</v>
      </c>
      <c r="FA162" t="s">
        <v>37</v>
      </c>
      <c r="FC162" t="s">
        <v>37</v>
      </c>
      <c r="FE162" t="s">
        <v>37</v>
      </c>
      <c r="FG162" t="s">
        <v>37</v>
      </c>
      <c r="FI162" t="s">
        <v>37</v>
      </c>
      <c r="FK162" t="s">
        <v>37</v>
      </c>
      <c r="FM162" t="s">
        <v>37</v>
      </c>
      <c r="FO162" t="s">
        <v>37</v>
      </c>
      <c r="FQ162" t="s">
        <v>37</v>
      </c>
      <c r="FS162" t="s">
        <v>37</v>
      </c>
      <c r="FU162" t="s">
        <v>37</v>
      </c>
      <c r="FW162" t="s">
        <v>37</v>
      </c>
      <c r="FY162" t="s">
        <v>37</v>
      </c>
      <c r="GA162" t="s">
        <v>37</v>
      </c>
      <c r="GC162" t="s">
        <v>37</v>
      </c>
      <c r="GD162">
        <v>195</v>
      </c>
      <c r="GE162" t="s">
        <v>37</v>
      </c>
      <c r="GG162" t="s">
        <v>37</v>
      </c>
      <c r="GI162" t="s">
        <v>37</v>
      </c>
      <c r="GK162" t="s">
        <v>37</v>
      </c>
      <c r="GM162" t="s">
        <v>37</v>
      </c>
      <c r="GO162" t="s">
        <v>37</v>
      </c>
      <c r="GQ162" t="s">
        <v>37</v>
      </c>
      <c r="GS162" t="s">
        <v>37</v>
      </c>
      <c r="GU162" t="s">
        <v>37</v>
      </c>
      <c r="GW162" t="s">
        <v>37</v>
      </c>
      <c r="GY162" t="s">
        <v>37</v>
      </c>
      <c r="HA162" t="s">
        <v>37</v>
      </c>
      <c r="HC162" t="s">
        <v>37</v>
      </c>
      <c r="HE162" t="s">
        <v>37</v>
      </c>
      <c r="HF162">
        <v>195</v>
      </c>
      <c r="HG162" t="s">
        <v>37</v>
      </c>
      <c r="HI162" t="s">
        <v>37</v>
      </c>
      <c r="HJ162">
        <v>195</v>
      </c>
      <c r="HK162" t="s">
        <v>37</v>
      </c>
    </row>
    <row r="163" spans="1:219">
      <c r="A163">
        <v>3525</v>
      </c>
      <c r="B163" t="s">
        <v>185</v>
      </c>
      <c r="C163" t="s">
        <v>37</v>
      </c>
      <c r="D163">
        <v>52176</v>
      </c>
      <c r="E163" t="s">
        <v>37</v>
      </c>
      <c r="G163" t="s">
        <v>37</v>
      </c>
      <c r="I163" t="s">
        <v>37</v>
      </c>
      <c r="K163" s="48" t="s">
        <v>37</v>
      </c>
      <c r="L163" s="50"/>
      <c r="M163" s="48" t="s">
        <v>37</v>
      </c>
      <c r="N163" s="51">
        <v>63621</v>
      </c>
      <c r="O163" s="48" t="s">
        <v>37</v>
      </c>
      <c r="P163" s="50"/>
      <c r="Q163" s="48" t="s">
        <v>37</v>
      </c>
      <c r="R163" s="50"/>
      <c r="S163" s="48" t="s">
        <v>37</v>
      </c>
      <c r="U163" t="s">
        <v>37</v>
      </c>
      <c r="W163" t="s">
        <v>37</v>
      </c>
      <c r="Y163" t="s">
        <v>37</v>
      </c>
      <c r="AA163" t="s">
        <v>37</v>
      </c>
      <c r="AC163" t="s">
        <v>37</v>
      </c>
      <c r="AE163" t="s">
        <v>37</v>
      </c>
      <c r="AG163" t="s">
        <v>37</v>
      </c>
      <c r="AI163" t="s">
        <v>37</v>
      </c>
      <c r="AK163" t="s">
        <v>37</v>
      </c>
      <c r="AL163">
        <v>138240</v>
      </c>
      <c r="AM163" t="s">
        <v>37</v>
      </c>
      <c r="AN163">
        <v>33932</v>
      </c>
      <c r="AO163" t="s">
        <v>37</v>
      </c>
      <c r="AQ163" t="s">
        <v>37</v>
      </c>
      <c r="AS163" t="s">
        <v>37</v>
      </c>
      <c r="AU163" t="s">
        <v>37</v>
      </c>
      <c r="AW163" t="s">
        <v>37</v>
      </c>
      <c r="AY163" t="s">
        <v>37</v>
      </c>
      <c r="BA163" t="s">
        <v>37</v>
      </c>
      <c r="BC163" t="s">
        <v>37</v>
      </c>
      <c r="BE163" t="s">
        <v>37</v>
      </c>
      <c r="BG163" t="s">
        <v>37</v>
      </c>
      <c r="BH163">
        <v>55295</v>
      </c>
      <c r="BI163" t="s">
        <v>37</v>
      </c>
      <c r="BK163" t="s">
        <v>37</v>
      </c>
      <c r="BM163" t="s">
        <v>37</v>
      </c>
      <c r="BO163" t="s">
        <v>37</v>
      </c>
      <c r="BQ163" t="s">
        <v>37</v>
      </c>
      <c r="BS163" t="s">
        <v>37</v>
      </c>
      <c r="BU163" t="s">
        <v>37</v>
      </c>
      <c r="BV163">
        <v>23583</v>
      </c>
      <c r="BW163" t="s">
        <v>37</v>
      </c>
      <c r="BY163" t="s">
        <v>37</v>
      </c>
      <c r="CA163" t="s">
        <v>37</v>
      </c>
      <c r="CC163" t="s">
        <v>37</v>
      </c>
      <c r="CE163" t="s">
        <v>37</v>
      </c>
      <c r="CG163" t="s">
        <v>37</v>
      </c>
      <c r="CI163" t="s">
        <v>37</v>
      </c>
      <c r="CK163" t="s">
        <v>37</v>
      </c>
      <c r="CM163" t="s">
        <v>37</v>
      </c>
      <c r="CO163" t="s">
        <v>37</v>
      </c>
      <c r="CP163">
        <v>31734</v>
      </c>
      <c r="CQ163" t="s">
        <v>37</v>
      </c>
      <c r="CS163" t="s">
        <v>37</v>
      </c>
      <c r="CT163">
        <v>562823</v>
      </c>
      <c r="CU163" t="s">
        <v>37</v>
      </c>
      <c r="CW163" t="s">
        <v>37</v>
      </c>
      <c r="CY163" t="s">
        <v>37</v>
      </c>
      <c r="DA163" t="s">
        <v>37</v>
      </c>
      <c r="DC163" t="s">
        <v>37</v>
      </c>
      <c r="DE163" t="s">
        <v>37</v>
      </c>
      <c r="DG163" t="s">
        <v>37</v>
      </c>
      <c r="DI163" t="s">
        <v>37</v>
      </c>
      <c r="DK163" t="s">
        <v>37</v>
      </c>
      <c r="DL163">
        <v>48341</v>
      </c>
      <c r="DM163" t="s">
        <v>37</v>
      </c>
      <c r="DN163">
        <v>110562</v>
      </c>
      <c r="DO163" t="s">
        <v>37</v>
      </c>
      <c r="DP163">
        <v>69699</v>
      </c>
      <c r="DQ163" t="s">
        <v>37</v>
      </c>
      <c r="DR163">
        <v>51471</v>
      </c>
      <c r="DS163" t="s">
        <v>37</v>
      </c>
      <c r="DT163">
        <v>41574</v>
      </c>
      <c r="DU163" t="s">
        <v>37</v>
      </c>
      <c r="DV163">
        <v>225871</v>
      </c>
      <c r="DW163" t="s">
        <v>37</v>
      </c>
      <c r="DX163">
        <v>113295</v>
      </c>
      <c r="DY163" t="s">
        <v>37</v>
      </c>
      <c r="DZ163">
        <v>8962</v>
      </c>
      <c r="EA163" t="s">
        <v>37</v>
      </c>
      <c r="EB163">
        <v>51637</v>
      </c>
      <c r="EC163" t="s">
        <v>37</v>
      </c>
      <c r="ED163">
        <v>166207</v>
      </c>
      <c r="EE163" t="s">
        <v>37</v>
      </c>
      <c r="EF163">
        <v>31616</v>
      </c>
      <c r="EG163" t="s">
        <v>37</v>
      </c>
      <c r="EI163" t="s">
        <v>37</v>
      </c>
      <c r="EJ163">
        <v>45420</v>
      </c>
      <c r="EK163" t="s">
        <v>37</v>
      </c>
      <c r="EL163">
        <v>27671</v>
      </c>
      <c r="EM163" t="s">
        <v>37</v>
      </c>
      <c r="EN163">
        <v>31195</v>
      </c>
      <c r="EO163" t="s">
        <v>37</v>
      </c>
      <c r="EP163">
        <v>22252</v>
      </c>
      <c r="EQ163" t="s">
        <v>37</v>
      </c>
      <c r="ER163">
        <v>63869</v>
      </c>
      <c r="ES163" t="s">
        <v>37</v>
      </c>
      <c r="ET163">
        <v>67699</v>
      </c>
      <c r="EU163" t="s">
        <v>37</v>
      </c>
      <c r="EV163">
        <v>163289</v>
      </c>
      <c r="EW163" t="s">
        <v>37</v>
      </c>
      <c r="EY163" t="s">
        <v>37</v>
      </c>
      <c r="EZ163">
        <v>83686</v>
      </c>
      <c r="FA163" t="s">
        <v>37</v>
      </c>
      <c r="FB163">
        <v>60290</v>
      </c>
      <c r="FC163" t="s">
        <v>37</v>
      </c>
      <c r="FD163">
        <v>81791</v>
      </c>
      <c r="FE163" t="s">
        <v>37</v>
      </c>
      <c r="FG163" t="s">
        <v>37</v>
      </c>
      <c r="FH163">
        <v>222429</v>
      </c>
      <c r="FI163" t="s">
        <v>37</v>
      </c>
      <c r="FJ163">
        <v>222392</v>
      </c>
      <c r="FK163" t="s">
        <v>37</v>
      </c>
      <c r="FL163">
        <v>160147</v>
      </c>
      <c r="FM163" t="s">
        <v>37</v>
      </c>
      <c r="FN163">
        <v>43469</v>
      </c>
      <c r="FO163" t="s">
        <v>37</v>
      </c>
      <c r="FP163">
        <v>45874</v>
      </c>
      <c r="FQ163" t="s">
        <v>37</v>
      </c>
      <c r="FR163">
        <v>66150</v>
      </c>
      <c r="FS163" t="s">
        <v>37</v>
      </c>
      <c r="FT163">
        <v>13489</v>
      </c>
      <c r="FU163" t="s">
        <v>37</v>
      </c>
      <c r="FV163">
        <v>32724</v>
      </c>
      <c r="FW163" t="s">
        <v>37</v>
      </c>
      <c r="FX163">
        <v>73976</v>
      </c>
      <c r="FY163" t="s">
        <v>37</v>
      </c>
      <c r="FZ163">
        <v>62453</v>
      </c>
      <c r="GA163" t="s">
        <v>37</v>
      </c>
      <c r="GB163">
        <v>69717</v>
      </c>
      <c r="GC163" t="s">
        <v>37</v>
      </c>
      <c r="GD163">
        <v>47657</v>
      </c>
      <c r="GE163" t="s">
        <v>37</v>
      </c>
      <c r="GF163">
        <v>53503</v>
      </c>
      <c r="GG163" t="s">
        <v>37</v>
      </c>
      <c r="GH163">
        <v>56862</v>
      </c>
      <c r="GI163" t="s">
        <v>37</v>
      </c>
      <c r="GJ163">
        <v>180697</v>
      </c>
      <c r="GK163" t="s">
        <v>37</v>
      </c>
      <c r="GL163">
        <v>83736</v>
      </c>
      <c r="GM163" t="s">
        <v>37</v>
      </c>
      <c r="GO163" t="s">
        <v>37</v>
      </c>
      <c r="GP163">
        <v>65653</v>
      </c>
      <c r="GQ163" t="s">
        <v>37</v>
      </c>
      <c r="GR163">
        <v>96834</v>
      </c>
      <c r="GS163" t="s">
        <v>37</v>
      </c>
      <c r="GT163">
        <v>65445</v>
      </c>
      <c r="GU163" t="s">
        <v>37</v>
      </c>
      <c r="GV163">
        <v>109729</v>
      </c>
      <c r="GW163" t="s">
        <v>37</v>
      </c>
      <c r="GX163">
        <v>187765</v>
      </c>
      <c r="GY163" t="s">
        <v>37</v>
      </c>
      <c r="GZ163">
        <v>114267</v>
      </c>
      <c r="HA163" t="s">
        <v>37</v>
      </c>
      <c r="HB163">
        <v>63500</v>
      </c>
      <c r="HC163" t="s">
        <v>37</v>
      </c>
      <c r="HD163">
        <v>67435</v>
      </c>
      <c r="HE163" t="s">
        <v>37</v>
      </c>
      <c r="HF163">
        <v>4602769</v>
      </c>
      <c r="HG163" t="s">
        <v>37</v>
      </c>
      <c r="HH163">
        <v>130935</v>
      </c>
      <c r="HI163" t="s">
        <v>37</v>
      </c>
      <c r="HJ163">
        <v>4733704</v>
      </c>
      <c r="HK163" t="s">
        <v>37</v>
      </c>
    </row>
    <row r="164" spans="1:219">
      <c r="A164">
        <v>3527</v>
      </c>
      <c r="B164" t="s">
        <v>186</v>
      </c>
      <c r="C164" t="s">
        <v>37</v>
      </c>
      <c r="D164">
        <v>3248</v>
      </c>
      <c r="E164" t="s">
        <v>37</v>
      </c>
      <c r="F164">
        <v>7648</v>
      </c>
      <c r="G164" t="s">
        <v>37</v>
      </c>
      <c r="I164" t="s">
        <v>37</v>
      </c>
      <c r="K164" s="48" t="s">
        <v>37</v>
      </c>
      <c r="L164" s="51">
        <v>11854</v>
      </c>
      <c r="M164" s="48" t="s">
        <v>37</v>
      </c>
      <c r="N164" s="50"/>
      <c r="O164" s="48" t="s">
        <v>37</v>
      </c>
      <c r="P164" s="51">
        <v>2395</v>
      </c>
      <c r="Q164" s="48" t="s">
        <v>37</v>
      </c>
      <c r="R164" s="51">
        <v>4241</v>
      </c>
      <c r="S164" s="48" t="s">
        <v>37</v>
      </c>
      <c r="T164">
        <v>5191</v>
      </c>
      <c r="U164" t="s">
        <v>37</v>
      </c>
      <c r="W164" t="s">
        <v>37</v>
      </c>
      <c r="Y164" t="s">
        <v>37</v>
      </c>
      <c r="Z164">
        <v>2754</v>
      </c>
      <c r="AA164" t="s">
        <v>37</v>
      </c>
      <c r="AB164">
        <v>2325</v>
      </c>
      <c r="AC164" t="s">
        <v>37</v>
      </c>
      <c r="AD164">
        <v>2381</v>
      </c>
      <c r="AE164" t="s">
        <v>37</v>
      </c>
      <c r="AF164">
        <v>2381</v>
      </c>
      <c r="AG164" t="s">
        <v>37</v>
      </c>
      <c r="AH164">
        <v>2971</v>
      </c>
      <c r="AI164" t="s">
        <v>37</v>
      </c>
      <c r="AK164" t="s">
        <v>37</v>
      </c>
      <c r="AL164">
        <v>6727</v>
      </c>
      <c r="AM164" t="s">
        <v>37</v>
      </c>
      <c r="AO164" t="s">
        <v>37</v>
      </c>
      <c r="AP164">
        <v>7807</v>
      </c>
      <c r="AQ164" t="s">
        <v>37</v>
      </c>
      <c r="AS164" t="s">
        <v>37</v>
      </c>
      <c r="AT164">
        <v>12681</v>
      </c>
      <c r="AU164" t="s">
        <v>37</v>
      </c>
      <c r="AV164">
        <v>5372</v>
      </c>
      <c r="AW164" t="s">
        <v>37</v>
      </c>
      <c r="AX164">
        <v>3758</v>
      </c>
      <c r="AY164" t="s">
        <v>37</v>
      </c>
      <c r="AZ164">
        <v>4051</v>
      </c>
      <c r="BA164" t="s">
        <v>37</v>
      </c>
      <c r="BB164">
        <v>2200</v>
      </c>
      <c r="BC164" t="s">
        <v>37</v>
      </c>
      <c r="BD164">
        <v>1430</v>
      </c>
      <c r="BE164" t="s">
        <v>37</v>
      </c>
      <c r="BF164">
        <v>2381</v>
      </c>
      <c r="BG164" t="s">
        <v>37</v>
      </c>
      <c r="BI164" t="s">
        <v>37</v>
      </c>
      <c r="BJ164">
        <v>3764</v>
      </c>
      <c r="BK164" t="s">
        <v>37</v>
      </c>
      <c r="BL164">
        <v>4445</v>
      </c>
      <c r="BM164" t="s">
        <v>37</v>
      </c>
      <c r="BO164" t="s">
        <v>37</v>
      </c>
      <c r="BP164">
        <v>545</v>
      </c>
      <c r="BQ164" t="s">
        <v>37</v>
      </c>
      <c r="BR164">
        <v>3040</v>
      </c>
      <c r="BS164" t="s">
        <v>37</v>
      </c>
      <c r="BT164">
        <v>2699</v>
      </c>
      <c r="BU164" t="s">
        <v>37</v>
      </c>
      <c r="BW164" t="s">
        <v>37</v>
      </c>
      <c r="BX164">
        <v>7872</v>
      </c>
      <c r="BY164" t="s">
        <v>37</v>
      </c>
      <c r="BZ164">
        <v>1070</v>
      </c>
      <c r="CA164" t="s">
        <v>37</v>
      </c>
      <c r="CC164" t="s">
        <v>37</v>
      </c>
      <c r="CD164">
        <v>3318</v>
      </c>
      <c r="CE164" t="s">
        <v>37</v>
      </c>
      <c r="CF164">
        <v>450</v>
      </c>
      <c r="CG164" t="s">
        <v>37</v>
      </c>
      <c r="CH164">
        <v>4620</v>
      </c>
      <c r="CI164" t="s">
        <v>37</v>
      </c>
      <c r="CJ164">
        <v>2659</v>
      </c>
      <c r="CK164" t="s">
        <v>37</v>
      </c>
      <c r="CM164" t="s">
        <v>37</v>
      </c>
      <c r="CO164" t="s">
        <v>37</v>
      </c>
      <c r="CP164">
        <v>2717</v>
      </c>
      <c r="CQ164" t="s">
        <v>37</v>
      </c>
      <c r="CR164">
        <v>4696</v>
      </c>
      <c r="CS164" t="s">
        <v>37</v>
      </c>
      <c r="CT164">
        <v>253990</v>
      </c>
      <c r="CU164" t="s">
        <v>37</v>
      </c>
      <c r="CV164">
        <v>4425</v>
      </c>
      <c r="CW164" t="s">
        <v>37</v>
      </c>
      <c r="CX164">
        <v>2681</v>
      </c>
      <c r="CY164" t="s">
        <v>37</v>
      </c>
      <c r="CZ164">
        <v>2704</v>
      </c>
      <c r="DA164" t="s">
        <v>37</v>
      </c>
      <c r="DC164" t="s">
        <v>37</v>
      </c>
      <c r="DD164">
        <v>2978</v>
      </c>
      <c r="DE164" t="s">
        <v>37</v>
      </c>
      <c r="DG164" t="s">
        <v>37</v>
      </c>
      <c r="DH164">
        <v>10750</v>
      </c>
      <c r="DI164" t="s">
        <v>37</v>
      </c>
      <c r="DJ164">
        <v>3043</v>
      </c>
      <c r="DK164" t="s">
        <v>37</v>
      </c>
      <c r="DL164">
        <v>2974</v>
      </c>
      <c r="DM164" t="s">
        <v>37</v>
      </c>
      <c r="DN164">
        <v>4819</v>
      </c>
      <c r="DO164" t="s">
        <v>37</v>
      </c>
      <c r="DP164">
        <v>527</v>
      </c>
      <c r="DQ164" t="s">
        <v>37</v>
      </c>
      <c r="DR164">
        <v>3372</v>
      </c>
      <c r="DS164" t="s">
        <v>37</v>
      </c>
      <c r="DT164">
        <v>5878</v>
      </c>
      <c r="DU164" t="s">
        <v>37</v>
      </c>
      <c r="DW164" t="s">
        <v>37</v>
      </c>
      <c r="DX164">
        <v>5699</v>
      </c>
      <c r="DY164" t="s">
        <v>37</v>
      </c>
      <c r="DZ164">
        <v>2871</v>
      </c>
      <c r="EA164" t="s">
        <v>37</v>
      </c>
      <c r="EB164">
        <v>3112</v>
      </c>
      <c r="EC164" t="s">
        <v>37</v>
      </c>
      <c r="ED164">
        <v>6177</v>
      </c>
      <c r="EE164" t="s">
        <v>37</v>
      </c>
      <c r="EF164">
        <v>2381</v>
      </c>
      <c r="EG164" t="s">
        <v>37</v>
      </c>
      <c r="EI164" t="s">
        <v>37</v>
      </c>
      <c r="EJ164">
        <v>1760</v>
      </c>
      <c r="EK164" t="s">
        <v>37</v>
      </c>
      <c r="EL164">
        <v>1320</v>
      </c>
      <c r="EM164" t="s">
        <v>37</v>
      </c>
      <c r="EN164">
        <v>2381</v>
      </c>
      <c r="EO164" t="s">
        <v>37</v>
      </c>
      <c r="EQ164" t="s">
        <v>37</v>
      </c>
      <c r="ES164" t="s">
        <v>37</v>
      </c>
      <c r="ET164">
        <v>3831</v>
      </c>
      <c r="EU164" t="s">
        <v>37</v>
      </c>
      <c r="EV164">
        <v>5007</v>
      </c>
      <c r="EW164" t="s">
        <v>37</v>
      </c>
      <c r="EY164" t="s">
        <v>37</v>
      </c>
      <c r="EZ164">
        <v>3538</v>
      </c>
      <c r="FA164" t="s">
        <v>37</v>
      </c>
      <c r="FB164">
        <v>3304</v>
      </c>
      <c r="FC164" t="s">
        <v>37</v>
      </c>
      <c r="FD164">
        <v>4201</v>
      </c>
      <c r="FE164" t="s">
        <v>37</v>
      </c>
      <c r="FG164" t="s">
        <v>37</v>
      </c>
      <c r="FH164">
        <v>5737</v>
      </c>
      <c r="FI164" t="s">
        <v>37</v>
      </c>
      <c r="FJ164">
        <v>4761</v>
      </c>
      <c r="FK164" t="s">
        <v>37</v>
      </c>
      <c r="FL164">
        <v>4857</v>
      </c>
      <c r="FM164" t="s">
        <v>37</v>
      </c>
      <c r="FN164">
        <v>2890</v>
      </c>
      <c r="FO164" t="s">
        <v>37</v>
      </c>
      <c r="FP164">
        <v>3480</v>
      </c>
      <c r="FQ164" t="s">
        <v>37</v>
      </c>
      <c r="FR164">
        <v>4033</v>
      </c>
      <c r="FS164" t="s">
        <v>37</v>
      </c>
      <c r="FT164">
        <v>3031</v>
      </c>
      <c r="FU164" t="s">
        <v>37</v>
      </c>
      <c r="FV164">
        <v>2948</v>
      </c>
      <c r="FW164" t="s">
        <v>37</v>
      </c>
      <c r="FX164">
        <v>3883</v>
      </c>
      <c r="FY164" t="s">
        <v>37</v>
      </c>
      <c r="FZ164">
        <v>4520</v>
      </c>
      <c r="GA164" t="s">
        <v>37</v>
      </c>
      <c r="GB164">
        <v>4584</v>
      </c>
      <c r="GC164" t="s">
        <v>37</v>
      </c>
      <c r="GE164" t="s">
        <v>37</v>
      </c>
      <c r="GG164" t="s">
        <v>37</v>
      </c>
      <c r="GI164" t="s">
        <v>37</v>
      </c>
      <c r="GJ164">
        <v>8498</v>
      </c>
      <c r="GK164" t="s">
        <v>37</v>
      </c>
      <c r="GL164">
        <v>5800</v>
      </c>
      <c r="GM164" t="s">
        <v>37</v>
      </c>
      <c r="GO164" t="s">
        <v>37</v>
      </c>
      <c r="GP164">
        <v>3471</v>
      </c>
      <c r="GQ164" t="s">
        <v>37</v>
      </c>
      <c r="GR164">
        <v>2400</v>
      </c>
      <c r="GS164" t="s">
        <v>37</v>
      </c>
      <c r="GU164" t="s">
        <v>37</v>
      </c>
      <c r="GV164">
        <v>3621</v>
      </c>
      <c r="GW164" t="s">
        <v>37</v>
      </c>
      <c r="GX164">
        <v>5869</v>
      </c>
      <c r="GY164" t="s">
        <v>37</v>
      </c>
      <c r="GZ164">
        <v>3909</v>
      </c>
      <c r="HA164" t="s">
        <v>37</v>
      </c>
      <c r="HC164" t="s">
        <v>37</v>
      </c>
      <c r="HE164" t="s">
        <v>37</v>
      </c>
      <c r="HF164">
        <v>557706</v>
      </c>
      <c r="HG164" t="s">
        <v>37</v>
      </c>
      <c r="HI164" t="s">
        <v>37</v>
      </c>
      <c r="HJ164">
        <v>557706</v>
      </c>
      <c r="HK164" t="s">
        <v>37</v>
      </c>
    </row>
    <row r="165" spans="1:219">
      <c r="A165">
        <v>3529</v>
      </c>
      <c r="B165" t="s">
        <v>143</v>
      </c>
      <c r="C165" t="s">
        <v>37</v>
      </c>
      <c r="D165">
        <v>9190</v>
      </c>
      <c r="E165" t="s">
        <v>37</v>
      </c>
      <c r="F165">
        <v>47865</v>
      </c>
      <c r="G165" t="s">
        <v>37</v>
      </c>
      <c r="H165">
        <v>1433</v>
      </c>
      <c r="I165" t="s">
        <v>37</v>
      </c>
      <c r="K165" s="48" t="s">
        <v>37</v>
      </c>
      <c r="L165" s="50"/>
      <c r="M165" s="48" t="s">
        <v>37</v>
      </c>
      <c r="N165" s="50"/>
      <c r="O165" s="48" t="s">
        <v>37</v>
      </c>
      <c r="P165" s="51">
        <v>5972</v>
      </c>
      <c r="Q165" s="48" t="s">
        <v>37</v>
      </c>
      <c r="R165" s="50"/>
      <c r="S165" s="48" t="s">
        <v>37</v>
      </c>
      <c r="U165" t="s">
        <v>37</v>
      </c>
      <c r="W165" t="s">
        <v>37</v>
      </c>
      <c r="Y165" t="s">
        <v>37</v>
      </c>
      <c r="AA165" t="s">
        <v>37</v>
      </c>
      <c r="AB165">
        <v>40062</v>
      </c>
      <c r="AC165" t="s">
        <v>37</v>
      </c>
      <c r="AD165">
        <v>7650</v>
      </c>
      <c r="AE165" t="s">
        <v>37</v>
      </c>
      <c r="AF165">
        <v>662</v>
      </c>
      <c r="AG165" t="s">
        <v>37</v>
      </c>
      <c r="AH165">
        <v>9003</v>
      </c>
      <c r="AI165" t="s">
        <v>37</v>
      </c>
      <c r="AK165" t="s">
        <v>37</v>
      </c>
      <c r="AL165">
        <v>175925</v>
      </c>
      <c r="AM165" t="s">
        <v>37</v>
      </c>
      <c r="AO165" t="s">
        <v>37</v>
      </c>
      <c r="AP165">
        <v>41318</v>
      </c>
      <c r="AQ165" t="s">
        <v>37</v>
      </c>
      <c r="AR165">
        <v>8753</v>
      </c>
      <c r="AS165" t="s">
        <v>37</v>
      </c>
      <c r="AT165">
        <v>444981</v>
      </c>
      <c r="AU165" t="s">
        <v>37</v>
      </c>
      <c r="AV165">
        <v>47240</v>
      </c>
      <c r="AW165" t="s">
        <v>37</v>
      </c>
      <c r="AX165">
        <v>94510</v>
      </c>
      <c r="AY165" t="s">
        <v>37</v>
      </c>
      <c r="AZ165">
        <v>32079</v>
      </c>
      <c r="BA165" t="s">
        <v>37</v>
      </c>
      <c r="BB165">
        <v>12759</v>
      </c>
      <c r="BC165" t="s">
        <v>37</v>
      </c>
      <c r="BD165">
        <v>7474</v>
      </c>
      <c r="BE165" t="s">
        <v>37</v>
      </c>
      <c r="BF165">
        <v>4096</v>
      </c>
      <c r="BG165" t="s">
        <v>37</v>
      </c>
      <c r="BI165" t="s">
        <v>37</v>
      </c>
      <c r="BJ165">
        <v>84692</v>
      </c>
      <c r="BK165" t="s">
        <v>37</v>
      </c>
      <c r="BL165">
        <v>48939</v>
      </c>
      <c r="BM165" t="s">
        <v>37</v>
      </c>
      <c r="BO165" t="s">
        <v>37</v>
      </c>
      <c r="BP165">
        <v>4833</v>
      </c>
      <c r="BQ165" t="s">
        <v>37</v>
      </c>
      <c r="BR165">
        <v>20949</v>
      </c>
      <c r="BS165" t="s">
        <v>37</v>
      </c>
      <c r="BU165" t="s">
        <v>37</v>
      </c>
      <c r="BW165" t="s">
        <v>37</v>
      </c>
      <c r="BY165" t="s">
        <v>37</v>
      </c>
      <c r="BZ165">
        <v>10237</v>
      </c>
      <c r="CA165" t="s">
        <v>37</v>
      </c>
      <c r="CC165" t="s">
        <v>37</v>
      </c>
      <c r="CD165">
        <v>7509</v>
      </c>
      <c r="CE165" t="s">
        <v>37</v>
      </c>
      <c r="CF165">
        <v>66320</v>
      </c>
      <c r="CG165" t="s">
        <v>37</v>
      </c>
      <c r="CH165">
        <v>76427</v>
      </c>
      <c r="CI165" t="s">
        <v>37</v>
      </c>
      <c r="CK165" t="s">
        <v>37</v>
      </c>
      <c r="CL165">
        <v>56805</v>
      </c>
      <c r="CM165" t="s">
        <v>37</v>
      </c>
      <c r="CN165">
        <v>7104</v>
      </c>
      <c r="CO165" t="s">
        <v>37</v>
      </c>
      <c r="CQ165" t="s">
        <v>37</v>
      </c>
      <c r="CR165">
        <v>18663</v>
      </c>
      <c r="CS165" t="s">
        <v>37</v>
      </c>
      <c r="CT165">
        <v>190731</v>
      </c>
      <c r="CU165" t="s">
        <v>37</v>
      </c>
      <c r="CV165">
        <v>11975</v>
      </c>
      <c r="CW165" t="s">
        <v>37</v>
      </c>
      <c r="CX165">
        <v>13167</v>
      </c>
      <c r="CY165" t="s">
        <v>37</v>
      </c>
      <c r="DA165" t="s">
        <v>37</v>
      </c>
      <c r="DC165" t="s">
        <v>37</v>
      </c>
      <c r="DD165">
        <v>37</v>
      </c>
      <c r="DE165" t="s">
        <v>37</v>
      </c>
      <c r="DF165">
        <v>1005</v>
      </c>
      <c r="DG165" t="s">
        <v>37</v>
      </c>
      <c r="DH165">
        <v>15526</v>
      </c>
      <c r="DI165" t="s">
        <v>37</v>
      </c>
      <c r="DJ165">
        <v>18638</v>
      </c>
      <c r="DK165" t="s">
        <v>37</v>
      </c>
      <c r="DL165">
        <v>34853</v>
      </c>
      <c r="DM165" t="s">
        <v>37</v>
      </c>
      <c r="DN165">
        <v>23090</v>
      </c>
      <c r="DO165" t="s">
        <v>37</v>
      </c>
      <c r="DP165">
        <v>2685</v>
      </c>
      <c r="DQ165" t="s">
        <v>37</v>
      </c>
      <c r="DR165">
        <v>20099</v>
      </c>
      <c r="DS165" t="s">
        <v>37</v>
      </c>
      <c r="DT165">
        <v>58234</v>
      </c>
      <c r="DU165" t="s">
        <v>37</v>
      </c>
      <c r="DW165" t="s">
        <v>37</v>
      </c>
      <c r="DX165">
        <v>20000</v>
      </c>
      <c r="DY165" t="s">
        <v>37</v>
      </c>
      <c r="DZ165">
        <v>9500</v>
      </c>
      <c r="EA165" t="s">
        <v>37</v>
      </c>
      <c r="EB165">
        <v>9680</v>
      </c>
      <c r="EC165" t="s">
        <v>37</v>
      </c>
      <c r="EE165" t="s">
        <v>37</v>
      </c>
      <c r="EF165">
        <v>7877</v>
      </c>
      <c r="EG165" t="s">
        <v>37</v>
      </c>
      <c r="EI165" t="s">
        <v>37</v>
      </c>
      <c r="EJ165">
        <v>174</v>
      </c>
      <c r="EK165" t="s">
        <v>37</v>
      </c>
      <c r="EL165">
        <v>5824</v>
      </c>
      <c r="EM165" t="s">
        <v>37</v>
      </c>
      <c r="EO165" t="s">
        <v>37</v>
      </c>
      <c r="EQ165" t="s">
        <v>37</v>
      </c>
      <c r="ER165">
        <v>55033</v>
      </c>
      <c r="ES165" t="s">
        <v>37</v>
      </c>
      <c r="ET165">
        <v>7850</v>
      </c>
      <c r="EU165" t="s">
        <v>37</v>
      </c>
      <c r="EW165" t="s">
        <v>37</v>
      </c>
      <c r="EY165" t="s">
        <v>37</v>
      </c>
      <c r="EZ165">
        <v>52469</v>
      </c>
      <c r="FA165" t="s">
        <v>37</v>
      </c>
      <c r="FB165">
        <v>66465</v>
      </c>
      <c r="FC165" t="s">
        <v>37</v>
      </c>
      <c r="FD165">
        <v>43456</v>
      </c>
      <c r="FE165" t="s">
        <v>37</v>
      </c>
      <c r="FG165" t="s">
        <v>37</v>
      </c>
      <c r="FI165" t="s">
        <v>37</v>
      </c>
      <c r="FJ165">
        <v>156030</v>
      </c>
      <c r="FK165" t="s">
        <v>37</v>
      </c>
      <c r="FM165" t="s">
        <v>37</v>
      </c>
      <c r="FO165" t="s">
        <v>37</v>
      </c>
      <c r="FQ165" t="s">
        <v>37</v>
      </c>
      <c r="FS165" t="s">
        <v>37</v>
      </c>
      <c r="FU165" t="s">
        <v>37</v>
      </c>
      <c r="FW165" t="s">
        <v>37</v>
      </c>
      <c r="FY165" t="s">
        <v>37</v>
      </c>
      <c r="FZ165">
        <v>7173</v>
      </c>
      <c r="GA165" t="s">
        <v>37</v>
      </c>
      <c r="GB165">
        <v>56480</v>
      </c>
      <c r="GC165" t="s">
        <v>37</v>
      </c>
      <c r="GE165" t="s">
        <v>37</v>
      </c>
      <c r="GG165" t="s">
        <v>37</v>
      </c>
      <c r="GI165" t="s">
        <v>37</v>
      </c>
      <c r="GJ165">
        <v>21954</v>
      </c>
      <c r="GK165" t="s">
        <v>37</v>
      </c>
      <c r="GL165">
        <v>697</v>
      </c>
      <c r="GM165" t="s">
        <v>37</v>
      </c>
      <c r="GO165" t="s">
        <v>37</v>
      </c>
      <c r="GP165">
        <v>35949</v>
      </c>
      <c r="GQ165" t="s">
        <v>37</v>
      </c>
      <c r="GR165">
        <v>10806</v>
      </c>
      <c r="GS165" t="s">
        <v>37</v>
      </c>
      <c r="GU165" t="s">
        <v>37</v>
      </c>
      <c r="GW165" t="s">
        <v>37</v>
      </c>
      <c r="GX165">
        <v>15428</v>
      </c>
      <c r="GY165" t="s">
        <v>37</v>
      </c>
      <c r="HA165" t="s">
        <v>37</v>
      </c>
      <c r="HC165" t="s">
        <v>37</v>
      </c>
      <c r="HE165" t="s">
        <v>37</v>
      </c>
      <c r="HF165">
        <v>2366335</v>
      </c>
      <c r="HG165" t="s">
        <v>37</v>
      </c>
      <c r="HI165" t="s">
        <v>37</v>
      </c>
      <c r="HJ165">
        <v>2366335</v>
      </c>
      <c r="HK165" t="s">
        <v>37</v>
      </c>
    </row>
    <row r="166" spans="1:219">
      <c r="A166">
        <v>3530</v>
      </c>
      <c r="B166" t="s">
        <v>187</v>
      </c>
      <c r="C166" t="s">
        <v>37</v>
      </c>
      <c r="D166">
        <v>26878</v>
      </c>
      <c r="E166" t="s">
        <v>37</v>
      </c>
      <c r="F166">
        <v>85069</v>
      </c>
      <c r="G166" t="s">
        <v>37</v>
      </c>
      <c r="H166">
        <v>9624</v>
      </c>
      <c r="I166" t="s">
        <v>37</v>
      </c>
      <c r="K166" s="48" t="s">
        <v>37</v>
      </c>
      <c r="L166" s="51">
        <v>17346</v>
      </c>
      <c r="M166" s="48" t="s">
        <v>37</v>
      </c>
      <c r="N166" s="51">
        <v>18824</v>
      </c>
      <c r="O166" s="48" t="s">
        <v>37</v>
      </c>
      <c r="P166" s="51">
        <v>10045</v>
      </c>
      <c r="Q166" s="48" t="s">
        <v>37</v>
      </c>
      <c r="R166" s="51">
        <v>9050</v>
      </c>
      <c r="S166" s="48" t="s">
        <v>37</v>
      </c>
      <c r="T166">
        <v>48176</v>
      </c>
      <c r="U166" t="s">
        <v>37</v>
      </c>
      <c r="W166" t="s">
        <v>37</v>
      </c>
      <c r="Y166" t="s">
        <v>37</v>
      </c>
      <c r="Z166">
        <v>9548</v>
      </c>
      <c r="AA166" t="s">
        <v>37</v>
      </c>
      <c r="AB166">
        <v>4525</v>
      </c>
      <c r="AC166" t="s">
        <v>37</v>
      </c>
      <c r="AE166" t="s">
        <v>37</v>
      </c>
      <c r="AG166" t="s">
        <v>37</v>
      </c>
      <c r="AH166">
        <v>32338</v>
      </c>
      <c r="AI166" t="s">
        <v>37</v>
      </c>
      <c r="AK166" t="s">
        <v>37</v>
      </c>
      <c r="AL166">
        <v>67890</v>
      </c>
      <c r="AM166" t="s">
        <v>37</v>
      </c>
      <c r="AO166" t="s">
        <v>37</v>
      </c>
      <c r="AP166">
        <v>133758</v>
      </c>
      <c r="AQ166" t="s">
        <v>37</v>
      </c>
      <c r="AR166">
        <v>8605</v>
      </c>
      <c r="AS166" t="s">
        <v>37</v>
      </c>
      <c r="AT166">
        <v>257591</v>
      </c>
      <c r="AU166" t="s">
        <v>37</v>
      </c>
      <c r="AV166">
        <v>74826</v>
      </c>
      <c r="AW166" t="s">
        <v>37</v>
      </c>
      <c r="AX166">
        <v>29027</v>
      </c>
      <c r="AY166" t="s">
        <v>37</v>
      </c>
      <c r="AZ166">
        <v>45777</v>
      </c>
      <c r="BA166" t="s">
        <v>37</v>
      </c>
      <c r="BC166" t="s">
        <v>37</v>
      </c>
      <c r="BD166">
        <v>11493</v>
      </c>
      <c r="BE166" t="s">
        <v>37</v>
      </c>
      <c r="BG166" t="s">
        <v>37</v>
      </c>
      <c r="BI166" t="s">
        <v>37</v>
      </c>
      <c r="BJ166">
        <v>31992</v>
      </c>
      <c r="BK166" t="s">
        <v>37</v>
      </c>
      <c r="BL166">
        <v>80228</v>
      </c>
      <c r="BM166" t="s">
        <v>37</v>
      </c>
      <c r="BO166" t="s">
        <v>37</v>
      </c>
      <c r="BP166">
        <v>17632</v>
      </c>
      <c r="BQ166" t="s">
        <v>37</v>
      </c>
      <c r="BR166">
        <v>38619</v>
      </c>
      <c r="BS166" t="s">
        <v>37</v>
      </c>
      <c r="BT166">
        <v>23424</v>
      </c>
      <c r="BU166" t="s">
        <v>37</v>
      </c>
      <c r="BW166" t="s">
        <v>37</v>
      </c>
      <c r="BX166">
        <v>119761</v>
      </c>
      <c r="BY166" t="s">
        <v>37</v>
      </c>
      <c r="BZ166">
        <v>28643</v>
      </c>
      <c r="CA166" t="s">
        <v>37</v>
      </c>
      <c r="CC166" t="s">
        <v>37</v>
      </c>
      <c r="CD166">
        <v>16697</v>
      </c>
      <c r="CE166" t="s">
        <v>37</v>
      </c>
      <c r="CF166">
        <v>7551</v>
      </c>
      <c r="CG166" t="s">
        <v>37</v>
      </c>
      <c r="CH166">
        <v>156274</v>
      </c>
      <c r="CI166" t="s">
        <v>37</v>
      </c>
      <c r="CJ166">
        <v>5671</v>
      </c>
      <c r="CK166" t="s">
        <v>37</v>
      </c>
      <c r="CL166">
        <v>21317</v>
      </c>
      <c r="CM166" t="s">
        <v>37</v>
      </c>
      <c r="CN166">
        <v>5732</v>
      </c>
      <c r="CO166" t="s">
        <v>37</v>
      </c>
      <c r="CP166">
        <v>9517</v>
      </c>
      <c r="CQ166" t="s">
        <v>37</v>
      </c>
      <c r="CR166">
        <v>86170</v>
      </c>
      <c r="CS166" t="s">
        <v>37</v>
      </c>
      <c r="CT166">
        <v>451575</v>
      </c>
      <c r="CU166" t="s">
        <v>37</v>
      </c>
      <c r="CV166">
        <v>67859</v>
      </c>
      <c r="CW166" t="s">
        <v>37</v>
      </c>
      <c r="CX166">
        <v>3706</v>
      </c>
      <c r="CY166" t="s">
        <v>37</v>
      </c>
      <c r="DA166" t="s">
        <v>37</v>
      </c>
      <c r="DC166" t="s">
        <v>37</v>
      </c>
      <c r="DD166">
        <v>5717</v>
      </c>
      <c r="DE166" t="s">
        <v>37</v>
      </c>
      <c r="DF166">
        <v>14374</v>
      </c>
      <c r="DG166" t="s">
        <v>37</v>
      </c>
      <c r="DH166">
        <v>196851</v>
      </c>
      <c r="DI166" t="s">
        <v>37</v>
      </c>
      <c r="DJ166">
        <v>29212</v>
      </c>
      <c r="DK166" t="s">
        <v>37</v>
      </c>
      <c r="DL166">
        <v>54372</v>
      </c>
      <c r="DM166" t="s">
        <v>37</v>
      </c>
      <c r="DN166">
        <v>105733</v>
      </c>
      <c r="DO166" t="s">
        <v>37</v>
      </c>
      <c r="DP166">
        <v>10498</v>
      </c>
      <c r="DQ166" t="s">
        <v>37</v>
      </c>
      <c r="DR166">
        <v>27874</v>
      </c>
      <c r="DS166" t="s">
        <v>37</v>
      </c>
      <c r="DT166">
        <v>24007</v>
      </c>
      <c r="DU166" t="s">
        <v>37</v>
      </c>
      <c r="DV166">
        <v>70952</v>
      </c>
      <c r="DW166" t="s">
        <v>37</v>
      </c>
      <c r="DX166">
        <v>51630</v>
      </c>
      <c r="DY166" t="s">
        <v>37</v>
      </c>
      <c r="DZ166">
        <v>14329</v>
      </c>
      <c r="EA166" t="s">
        <v>37</v>
      </c>
      <c r="EB166">
        <v>3576</v>
      </c>
      <c r="EC166" t="s">
        <v>37</v>
      </c>
      <c r="ED166">
        <v>54058</v>
      </c>
      <c r="EE166" t="s">
        <v>37</v>
      </c>
      <c r="EG166" t="s">
        <v>37</v>
      </c>
      <c r="EI166" t="s">
        <v>37</v>
      </c>
      <c r="EJ166">
        <v>20800</v>
      </c>
      <c r="EK166" t="s">
        <v>37</v>
      </c>
      <c r="EL166">
        <v>24797</v>
      </c>
      <c r="EM166" t="s">
        <v>37</v>
      </c>
      <c r="EO166" t="s">
        <v>37</v>
      </c>
      <c r="EQ166" t="s">
        <v>37</v>
      </c>
      <c r="ER166">
        <v>31268</v>
      </c>
      <c r="ES166" t="s">
        <v>37</v>
      </c>
      <c r="ET166">
        <v>22399</v>
      </c>
      <c r="EU166" t="s">
        <v>37</v>
      </c>
      <c r="EV166">
        <v>22474</v>
      </c>
      <c r="EW166" t="s">
        <v>37</v>
      </c>
      <c r="EY166" t="s">
        <v>37</v>
      </c>
      <c r="EZ166">
        <v>34148</v>
      </c>
      <c r="FA166" t="s">
        <v>37</v>
      </c>
      <c r="FB166">
        <v>13892</v>
      </c>
      <c r="FC166" t="s">
        <v>37</v>
      </c>
      <c r="FD166">
        <v>35114</v>
      </c>
      <c r="FE166" t="s">
        <v>37</v>
      </c>
      <c r="FG166" t="s">
        <v>37</v>
      </c>
      <c r="FH166">
        <v>64043</v>
      </c>
      <c r="FI166" t="s">
        <v>37</v>
      </c>
      <c r="FJ166">
        <v>130275</v>
      </c>
      <c r="FK166" t="s">
        <v>37</v>
      </c>
      <c r="FL166">
        <v>77445</v>
      </c>
      <c r="FM166" t="s">
        <v>37</v>
      </c>
      <c r="FN166">
        <v>4072</v>
      </c>
      <c r="FO166" t="s">
        <v>37</v>
      </c>
      <c r="FP166">
        <v>16893</v>
      </c>
      <c r="FQ166" t="s">
        <v>37</v>
      </c>
      <c r="FR166">
        <v>37762</v>
      </c>
      <c r="FS166" t="s">
        <v>37</v>
      </c>
      <c r="FT166">
        <v>14887</v>
      </c>
      <c r="FU166" t="s">
        <v>37</v>
      </c>
      <c r="FW166" t="s">
        <v>37</v>
      </c>
      <c r="FX166">
        <v>12248</v>
      </c>
      <c r="FY166" t="s">
        <v>37</v>
      </c>
      <c r="FZ166">
        <v>29412</v>
      </c>
      <c r="GA166" t="s">
        <v>37</v>
      </c>
      <c r="GB166">
        <v>264027</v>
      </c>
      <c r="GC166" t="s">
        <v>37</v>
      </c>
      <c r="GE166" t="s">
        <v>37</v>
      </c>
      <c r="GG166" t="s">
        <v>37</v>
      </c>
      <c r="GI166" t="s">
        <v>37</v>
      </c>
      <c r="GJ166">
        <v>77980</v>
      </c>
      <c r="GK166" t="s">
        <v>37</v>
      </c>
      <c r="GL166">
        <v>37120</v>
      </c>
      <c r="GM166" t="s">
        <v>37</v>
      </c>
      <c r="GO166" t="s">
        <v>37</v>
      </c>
      <c r="GP166">
        <v>28251</v>
      </c>
      <c r="GQ166" t="s">
        <v>37</v>
      </c>
      <c r="GR166">
        <v>69711</v>
      </c>
      <c r="GS166" t="s">
        <v>37</v>
      </c>
      <c r="GT166">
        <v>31586</v>
      </c>
      <c r="GU166" t="s">
        <v>37</v>
      </c>
      <c r="GV166">
        <v>20634</v>
      </c>
      <c r="GW166" t="s">
        <v>37</v>
      </c>
      <c r="GX166">
        <v>51766</v>
      </c>
      <c r="GY166" t="s">
        <v>37</v>
      </c>
      <c r="GZ166">
        <v>16154</v>
      </c>
      <c r="HA166" t="s">
        <v>37</v>
      </c>
      <c r="HC166" t="s">
        <v>37</v>
      </c>
      <c r="HE166" t="s">
        <v>37</v>
      </c>
      <c r="HF166">
        <v>3925099</v>
      </c>
      <c r="HG166" t="s">
        <v>37</v>
      </c>
      <c r="HI166" t="s">
        <v>37</v>
      </c>
      <c r="HJ166">
        <v>3925099</v>
      </c>
      <c r="HK166" t="s">
        <v>37</v>
      </c>
    </row>
    <row r="167" spans="1:219">
      <c r="A167">
        <v>3532</v>
      </c>
      <c r="B167" t="s">
        <v>188</v>
      </c>
      <c r="C167" t="s">
        <v>37</v>
      </c>
      <c r="D167">
        <v>443377</v>
      </c>
      <c r="E167" t="s">
        <v>37</v>
      </c>
      <c r="F167">
        <v>708249</v>
      </c>
      <c r="G167" t="s">
        <v>37</v>
      </c>
      <c r="H167">
        <v>22100</v>
      </c>
      <c r="I167" t="s">
        <v>37</v>
      </c>
      <c r="J167">
        <v>8940</v>
      </c>
      <c r="K167" s="48" t="s">
        <v>37</v>
      </c>
      <c r="L167" s="51">
        <v>586648</v>
      </c>
      <c r="M167" s="48" t="s">
        <v>37</v>
      </c>
      <c r="N167" s="51">
        <v>214560</v>
      </c>
      <c r="O167" s="48" t="s">
        <v>37</v>
      </c>
      <c r="P167" s="51">
        <v>178800</v>
      </c>
      <c r="Q167" s="48" t="s">
        <v>37</v>
      </c>
      <c r="R167" s="51">
        <v>151509</v>
      </c>
      <c r="S167" s="48" t="s">
        <v>37</v>
      </c>
      <c r="T167">
        <v>820111</v>
      </c>
      <c r="U167" t="s">
        <v>37</v>
      </c>
      <c r="V167">
        <v>10719</v>
      </c>
      <c r="W167" t="s">
        <v>37</v>
      </c>
      <c r="X167">
        <v>53640</v>
      </c>
      <c r="Y167" t="s">
        <v>37</v>
      </c>
      <c r="Z167">
        <v>53640</v>
      </c>
      <c r="AA167" t="s">
        <v>37</v>
      </c>
      <c r="AC167" t="s">
        <v>37</v>
      </c>
      <c r="AD167">
        <v>17880</v>
      </c>
      <c r="AE167" t="s">
        <v>37</v>
      </c>
      <c r="AF167">
        <v>8940</v>
      </c>
      <c r="AG167" t="s">
        <v>37</v>
      </c>
      <c r="AH167">
        <v>100128</v>
      </c>
      <c r="AI167" t="s">
        <v>37</v>
      </c>
      <c r="AK167" t="s">
        <v>37</v>
      </c>
      <c r="AL167">
        <v>911880</v>
      </c>
      <c r="AM167" t="s">
        <v>37</v>
      </c>
      <c r="AO167" t="s">
        <v>37</v>
      </c>
      <c r="AP167">
        <v>1554013</v>
      </c>
      <c r="AQ167" t="s">
        <v>37</v>
      </c>
      <c r="AR167">
        <v>107070</v>
      </c>
      <c r="AS167" t="s">
        <v>37</v>
      </c>
      <c r="AT167">
        <v>2929638</v>
      </c>
      <c r="AU167" t="s">
        <v>37</v>
      </c>
      <c r="AV167">
        <v>268200</v>
      </c>
      <c r="AW167" t="s">
        <v>37</v>
      </c>
      <c r="AX167">
        <v>443496</v>
      </c>
      <c r="AY167" t="s">
        <v>37</v>
      </c>
      <c r="AZ167">
        <v>544668</v>
      </c>
      <c r="BA167" t="s">
        <v>37</v>
      </c>
      <c r="BB167">
        <v>26820</v>
      </c>
      <c r="BC167" t="s">
        <v>37</v>
      </c>
      <c r="BD167">
        <v>205620</v>
      </c>
      <c r="BE167" t="s">
        <v>37</v>
      </c>
      <c r="BF167">
        <v>89400</v>
      </c>
      <c r="BG167" t="s">
        <v>37</v>
      </c>
      <c r="BH167">
        <v>17880</v>
      </c>
      <c r="BI167" t="s">
        <v>37</v>
      </c>
      <c r="BJ167">
        <v>168992</v>
      </c>
      <c r="BK167" t="s">
        <v>37</v>
      </c>
      <c r="BL167">
        <v>522425</v>
      </c>
      <c r="BM167" t="s">
        <v>37</v>
      </c>
      <c r="BO167" t="s">
        <v>37</v>
      </c>
      <c r="BP167">
        <v>8892</v>
      </c>
      <c r="BQ167" t="s">
        <v>37</v>
      </c>
      <c r="BR167">
        <v>133735</v>
      </c>
      <c r="BS167" t="s">
        <v>37</v>
      </c>
      <c r="BT167">
        <v>35760</v>
      </c>
      <c r="BU167" t="s">
        <v>37</v>
      </c>
      <c r="BW167" t="s">
        <v>37</v>
      </c>
      <c r="BX167">
        <v>992340</v>
      </c>
      <c r="BY167" t="s">
        <v>37</v>
      </c>
      <c r="BZ167">
        <v>35760</v>
      </c>
      <c r="CA167" t="s">
        <v>37</v>
      </c>
      <c r="CC167" t="s">
        <v>37</v>
      </c>
      <c r="CD167">
        <v>250320</v>
      </c>
      <c r="CE167" t="s">
        <v>37</v>
      </c>
      <c r="CF167">
        <v>160872</v>
      </c>
      <c r="CG167" t="s">
        <v>37</v>
      </c>
      <c r="CH167">
        <v>688379</v>
      </c>
      <c r="CI167" t="s">
        <v>37</v>
      </c>
      <c r="CJ167">
        <v>37548</v>
      </c>
      <c r="CK167" t="s">
        <v>37</v>
      </c>
      <c r="CL167">
        <v>71520</v>
      </c>
      <c r="CM167" t="s">
        <v>37</v>
      </c>
      <c r="CN167">
        <v>15245</v>
      </c>
      <c r="CO167" t="s">
        <v>37</v>
      </c>
      <c r="CP167">
        <v>169860</v>
      </c>
      <c r="CQ167" t="s">
        <v>37</v>
      </c>
      <c r="CR167">
        <v>929760</v>
      </c>
      <c r="CS167" t="s">
        <v>37</v>
      </c>
      <c r="CT167">
        <v>3197189</v>
      </c>
      <c r="CU167" t="s">
        <v>37</v>
      </c>
      <c r="CV167">
        <v>627588</v>
      </c>
      <c r="CW167" t="s">
        <v>37</v>
      </c>
      <c r="CX167">
        <v>107280</v>
      </c>
      <c r="CY167" t="s">
        <v>37</v>
      </c>
      <c r="CZ167">
        <v>62580</v>
      </c>
      <c r="DA167" t="s">
        <v>37</v>
      </c>
      <c r="DB167">
        <v>17880</v>
      </c>
      <c r="DC167" t="s">
        <v>37</v>
      </c>
      <c r="DD167">
        <v>160920</v>
      </c>
      <c r="DE167" t="s">
        <v>37</v>
      </c>
      <c r="DF167">
        <v>35760</v>
      </c>
      <c r="DG167" t="s">
        <v>37</v>
      </c>
      <c r="DH167">
        <v>1529351</v>
      </c>
      <c r="DI167" t="s">
        <v>37</v>
      </c>
      <c r="DJ167">
        <v>11593</v>
      </c>
      <c r="DK167" t="s">
        <v>37</v>
      </c>
      <c r="DL167">
        <v>891127</v>
      </c>
      <c r="DM167" t="s">
        <v>37</v>
      </c>
      <c r="DN167">
        <v>560261</v>
      </c>
      <c r="DO167" t="s">
        <v>37</v>
      </c>
      <c r="DP167">
        <v>178617</v>
      </c>
      <c r="DQ167" t="s">
        <v>37</v>
      </c>
      <c r="DR167">
        <v>143040</v>
      </c>
      <c r="DS167" t="s">
        <v>37</v>
      </c>
      <c r="DT167">
        <v>39336</v>
      </c>
      <c r="DU167" t="s">
        <v>37</v>
      </c>
      <c r="DV167">
        <v>1465313</v>
      </c>
      <c r="DW167" t="s">
        <v>37</v>
      </c>
      <c r="DX167">
        <v>905175</v>
      </c>
      <c r="DY167" t="s">
        <v>37</v>
      </c>
      <c r="DZ167">
        <v>151980</v>
      </c>
      <c r="EA167" t="s">
        <v>37</v>
      </c>
      <c r="EB167">
        <v>240210</v>
      </c>
      <c r="EC167" t="s">
        <v>37</v>
      </c>
      <c r="ED167">
        <v>2215417</v>
      </c>
      <c r="EE167" t="s">
        <v>37</v>
      </c>
      <c r="EF167">
        <v>44700</v>
      </c>
      <c r="EG167" t="s">
        <v>37</v>
      </c>
      <c r="EI167" t="s">
        <v>37</v>
      </c>
      <c r="EJ167">
        <v>107280</v>
      </c>
      <c r="EK167" t="s">
        <v>37</v>
      </c>
      <c r="EL167">
        <v>35760</v>
      </c>
      <c r="EM167" t="s">
        <v>37</v>
      </c>
      <c r="EN167">
        <v>62580</v>
      </c>
      <c r="EO167" t="s">
        <v>37</v>
      </c>
      <c r="EQ167" t="s">
        <v>37</v>
      </c>
      <c r="ER167">
        <v>172307</v>
      </c>
      <c r="ES167" t="s">
        <v>37</v>
      </c>
      <c r="ET167">
        <v>376902</v>
      </c>
      <c r="EU167" t="s">
        <v>37</v>
      </c>
      <c r="EV167">
        <v>802670</v>
      </c>
      <c r="EW167" t="s">
        <v>37</v>
      </c>
      <c r="EY167" t="s">
        <v>37</v>
      </c>
      <c r="FA167" t="s">
        <v>37</v>
      </c>
      <c r="FB167">
        <v>80460</v>
      </c>
      <c r="FC167" t="s">
        <v>37</v>
      </c>
      <c r="FD167">
        <v>151980</v>
      </c>
      <c r="FE167" t="s">
        <v>37</v>
      </c>
      <c r="FG167" t="s">
        <v>37</v>
      </c>
      <c r="FH167">
        <v>910977</v>
      </c>
      <c r="FI167" t="s">
        <v>37</v>
      </c>
      <c r="FJ167">
        <v>1790631</v>
      </c>
      <c r="FK167" t="s">
        <v>37</v>
      </c>
      <c r="FL167">
        <v>3338920</v>
      </c>
      <c r="FM167" t="s">
        <v>37</v>
      </c>
      <c r="FN167">
        <v>26820</v>
      </c>
      <c r="FO167" t="s">
        <v>37</v>
      </c>
      <c r="FP167">
        <v>165296</v>
      </c>
      <c r="FQ167" t="s">
        <v>37</v>
      </c>
      <c r="FR167">
        <v>492945</v>
      </c>
      <c r="FS167" t="s">
        <v>37</v>
      </c>
      <c r="FT167">
        <v>196680</v>
      </c>
      <c r="FU167" t="s">
        <v>37</v>
      </c>
      <c r="FV167">
        <v>125160</v>
      </c>
      <c r="FW167" t="s">
        <v>37</v>
      </c>
      <c r="FX167">
        <v>363477</v>
      </c>
      <c r="FY167" t="s">
        <v>37</v>
      </c>
      <c r="FZ167">
        <v>415898</v>
      </c>
      <c r="GA167" t="s">
        <v>37</v>
      </c>
      <c r="GB167">
        <v>461484</v>
      </c>
      <c r="GC167" t="s">
        <v>37</v>
      </c>
      <c r="GD167">
        <v>44700</v>
      </c>
      <c r="GE167" t="s">
        <v>37</v>
      </c>
      <c r="GF167">
        <v>8940</v>
      </c>
      <c r="GG167" t="s">
        <v>37</v>
      </c>
      <c r="GH167">
        <v>17880</v>
      </c>
      <c r="GI167" t="s">
        <v>37</v>
      </c>
      <c r="GJ167">
        <v>187328</v>
      </c>
      <c r="GK167" t="s">
        <v>37</v>
      </c>
      <c r="GL167">
        <v>480972</v>
      </c>
      <c r="GM167" t="s">
        <v>37</v>
      </c>
      <c r="GO167" t="s">
        <v>37</v>
      </c>
      <c r="GP167">
        <v>139619</v>
      </c>
      <c r="GQ167" t="s">
        <v>37</v>
      </c>
      <c r="GR167">
        <v>44700</v>
      </c>
      <c r="GS167" t="s">
        <v>37</v>
      </c>
      <c r="GT167">
        <v>209031</v>
      </c>
      <c r="GU167" t="s">
        <v>37</v>
      </c>
      <c r="GV167">
        <v>411240</v>
      </c>
      <c r="GW167" t="s">
        <v>37</v>
      </c>
      <c r="GX167">
        <v>1622060</v>
      </c>
      <c r="GY167" t="s">
        <v>37</v>
      </c>
      <c r="GZ167">
        <v>986610</v>
      </c>
      <c r="HA167" t="s">
        <v>37</v>
      </c>
      <c r="HB167">
        <v>54769</v>
      </c>
      <c r="HC167" t="s">
        <v>37</v>
      </c>
      <c r="HE167" t="s">
        <v>37</v>
      </c>
      <c r="HF167">
        <v>41515958</v>
      </c>
      <c r="HG167" t="s">
        <v>37</v>
      </c>
      <c r="HH167">
        <v>54769</v>
      </c>
      <c r="HI167" t="s">
        <v>37</v>
      </c>
      <c r="HJ167">
        <v>41570727</v>
      </c>
      <c r="HK167" t="s">
        <v>37</v>
      </c>
    </row>
    <row r="168" spans="1:219">
      <c r="A168">
        <v>3533</v>
      </c>
      <c r="B168" t="s">
        <v>189</v>
      </c>
      <c r="C168" t="s">
        <v>37</v>
      </c>
      <c r="D168">
        <v>1077</v>
      </c>
      <c r="E168" t="s">
        <v>37</v>
      </c>
      <c r="F168">
        <v>1077</v>
      </c>
      <c r="G168" t="s">
        <v>37</v>
      </c>
      <c r="I168" t="s">
        <v>37</v>
      </c>
      <c r="K168" s="48" t="s">
        <v>37</v>
      </c>
      <c r="L168" s="51">
        <v>1077</v>
      </c>
      <c r="M168" s="48" t="s">
        <v>37</v>
      </c>
      <c r="N168" s="51">
        <v>1077</v>
      </c>
      <c r="O168" s="48" t="s">
        <v>37</v>
      </c>
      <c r="P168" s="51">
        <v>1077</v>
      </c>
      <c r="Q168" s="48" t="s">
        <v>37</v>
      </c>
      <c r="R168" s="51">
        <v>1077</v>
      </c>
      <c r="S168" s="48" t="s">
        <v>37</v>
      </c>
      <c r="T168">
        <v>1077</v>
      </c>
      <c r="U168" t="s">
        <v>37</v>
      </c>
      <c r="W168" t="s">
        <v>37</v>
      </c>
      <c r="Y168" t="s">
        <v>37</v>
      </c>
      <c r="AA168" t="s">
        <v>37</v>
      </c>
      <c r="AB168">
        <v>1077</v>
      </c>
      <c r="AC168" t="s">
        <v>37</v>
      </c>
      <c r="AD168">
        <v>1077</v>
      </c>
      <c r="AE168" t="s">
        <v>37</v>
      </c>
      <c r="AF168">
        <v>1077</v>
      </c>
      <c r="AG168" t="s">
        <v>37</v>
      </c>
      <c r="AH168">
        <v>1077</v>
      </c>
      <c r="AI168" t="s">
        <v>37</v>
      </c>
      <c r="AK168" t="s">
        <v>37</v>
      </c>
      <c r="AL168">
        <v>1077</v>
      </c>
      <c r="AM168" t="s">
        <v>37</v>
      </c>
      <c r="AO168" t="s">
        <v>37</v>
      </c>
      <c r="AP168">
        <v>1077</v>
      </c>
      <c r="AQ168" t="s">
        <v>37</v>
      </c>
      <c r="AR168">
        <v>1077</v>
      </c>
      <c r="AS168" t="s">
        <v>37</v>
      </c>
      <c r="AT168">
        <v>1077</v>
      </c>
      <c r="AU168" t="s">
        <v>37</v>
      </c>
      <c r="AV168">
        <v>1077</v>
      </c>
      <c r="AW168" t="s">
        <v>37</v>
      </c>
      <c r="AX168">
        <v>1077</v>
      </c>
      <c r="AY168" t="s">
        <v>37</v>
      </c>
      <c r="AZ168">
        <v>1073</v>
      </c>
      <c r="BA168" t="s">
        <v>37</v>
      </c>
      <c r="BB168">
        <v>1077</v>
      </c>
      <c r="BC168" t="s">
        <v>37</v>
      </c>
      <c r="BD168">
        <v>1077</v>
      </c>
      <c r="BE168" t="s">
        <v>37</v>
      </c>
      <c r="BF168">
        <v>1077</v>
      </c>
      <c r="BG168" t="s">
        <v>37</v>
      </c>
      <c r="BI168" t="s">
        <v>37</v>
      </c>
      <c r="BJ168">
        <v>1076</v>
      </c>
      <c r="BK168" t="s">
        <v>37</v>
      </c>
      <c r="BL168">
        <v>10765</v>
      </c>
      <c r="BM168" t="s">
        <v>37</v>
      </c>
      <c r="BO168" t="s">
        <v>37</v>
      </c>
      <c r="BP168">
        <v>1077</v>
      </c>
      <c r="BQ168" t="s">
        <v>37</v>
      </c>
      <c r="BR168">
        <v>1077</v>
      </c>
      <c r="BS168" t="s">
        <v>37</v>
      </c>
      <c r="BT168">
        <v>1076</v>
      </c>
      <c r="BU168" t="s">
        <v>37</v>
      </c>
      <c r="BW168" t="s">
        <v>37</v>
      </c>
      <c r="BX168">
        <v>1076</v>
      </c>
      <c r="BY168" t="s">
        <v>37</v>
      </c>
      <c r="BZ168">
        <v>1076</v>
      </c>
      <c r="CA168" t="s">
        <v>37</v>
      </c>
      <c r="CC168" t="s">
        <v>37</v>
      </c>
      <c r="CD168">
        <v>1077</v>
      </c>
      <c r="CE168" t="s">
        <v>37</v>
      </c>
      <c r="CF168">
        <v>1077</v>
      </c>
      <c r="CG168" t="s">
        <v>37</v>
      </c>
      <c r="CH168">
        <v>1077</v>
      </c>
      <c r="CI168" t="s">
        <v>37</v>
      </c>
      <c r="CJ168">
        <v>1077</v>
      </c>
      <c r="CK168" t="s">
        <v>37</v>
      </c>
      <c r="CM168" t="s">
        <v>37</v>
      </c>
      <c r="CN168">
        <v>1077</v>
      </c>
      <c r="CO168" t="s">
        <v>37</v>
      </c>
      <c r="CP168">
        <v>1076</v>
      </c>
      <c r="CQ168" t="s">
        <v>37</v>
      </c>
      <c r="CR168">
        <v>1077</v>
      </c>
      <c r="CS168" t="s">
        <v>37</v>
      </c>
      <c r="CT168">
        <v>1077</v>
      </c>
      <c r="CU168" t="s">
        <v>37</v>
      </c>
      <c r="CV168">
        <v>1077</v>
      </c>
      <c r="CW168" t="s">
        <v>37</v>
      </c>
      <c r="CX168">
        <v>1077</v>
      </c>
      <c r="CY168" t="s">
        <v>37</v>
      </c>
      <c r="CZ168">
        <v>1077</v>
      </c>
      <c r="DA168" t="s">
        <v>37</v>
      </c>
      <c r="DC168" t="s">
        <v>37</v>
      </c>
      <c r="DD168">
        <v>1077</v>
      </c>
      <c r="DE168" t="s">
        <v>37</v>
      </c>
      <c r="DF168">
        <v>1077</v>
      </c>
      <c r="DG168" t="s">
        <v>37</v>
      </c>
      <c r="DH168">
        <v>1077</v>
      </c>
      <c r="DI168" t="s">
        <v>37</v>
      </c>
      <c r="DJ168">
        <v>1076</v>
      </c>
      <c r="DK168" t="s">
        <v>37</v>
      </c>
      <c r="DL168">
        <v>26913</v>
      </c>
      <c r="DM168" t="s">
        <v>37</v>
      </c>
      <c r="DN168">
        <v>1077</v>
      </c>
      <c r="DO168" t="s">
        <v>37</v>
      </c>
      <c r="DP168">
        <v>1077</v>
      </c>
      <c r="DQ168" t="s">
        <v>37</v>
      </c>
      <c r="DR168">
        <v>1077</v>
      </c>
      <c r="DS168" t="s">
        <v>37</v>
      </c>
      <c r="DT168">
        <v>1077</v>
      </c>
      <c r="DU168" t="s">
        <v>37</v>
      </c>
      <c r="DV168">
        <v>1077</v>
      </c>
      <c r="DW168" t="s">
        <v>37</v>
      </c>
      <c r="DX168">
        <v>1077</v>
      </c>
      <c r="DY168" t="s">
        <v>37</v>
      </c>
      <c r="DZ168">
        <v>1077</v>
      </c>
      <c r="EA168" t="s">
        <v>37</v>
      </c>
      <c r="EB168">
        <v>1077</v>
      </c>
      <c r="EC168" t="s">
        <v>37</v>
      </c>
      <c r="ED168">
        <v>1077</v>
      </c>
      <c r="EE168" t="s">
        <v>37</v>
      </c>
      <c r="EF168">
        <v>1077</v>
      </c>
      <c r="EG168" t="s">
        <v>37</v>
      </c>
      <c r="EI168" t="s">
        <v>37</v>
      </c>
      <c r="EJ168">
        <v>1077</v>
      </c>
      <c r="EK168" t="s">
        <v>37</v>
      </c>
      <c r="EL168">
        <v>1076</v>
      </c>
      <c r="EM168" t="s">
        <v>37</v>
      </c>
      <c r="EN168">
        <v>1076</v>
      </c>
      <c r="EO168" t="s">
        <v>37</v>
      </c>
      <c r="EQ168" t="s">
        <v>37</v>
      </c>
      <c r="ER168">
        <v>1077</v>
      </c>
      <c r="ES168" t="s">
        <v>37</v>
      </c>
      <c r="ET168">
        <v>1077</v>
      </c>
      <c r="EU168" t="s">
        <v>37</v>
      </c>
      <c r="EV168">
        <v>1077</v>
      </c>
      <c r="EW168" t="s">
        <v>37</v>
      </c>
      <c r="EY168" t="s">
        <v>37</v>
      </c>
      <c r="EZ168">
        <v>45776</v>
      </c>
      <c r="FA168" t="s">
        <v>37</v>
      </c>
      <c r="FB168">
        <v>1077</v>
      </c>
      <c r="FC168" t="s">
        <v>37</v>
      </c>
      <c r="FD168">
        <v>1077</v>
      </c>
      <c r="FE168" t="s">
        <v>37</v>
      </c>
      <c r="FG168" t="s">
        <v>37</v>
      </c>
      <c r="FH168">
        <v>1077</v>
      </c>
      <c r="FI168" t="s">
        <v>37</v>
      </c>
      <c r="FJ168">
        <v>10765</v>
      </c>
      <c r="FK168" t="s">
        <v>37</v>
      </c>
      <c r="FL168">
        <v>10765</v>
      </c>
      <c r="FM168" t="s">
        <v>37</v>
      </c>
      <c r="FN168">
        <v>1077</v>
      </c>
      <c r="FO168" t="s">
        <v>37</v>
      </c>
      <c r="FQ168" t="s">
        <v>37</v>
      </c>
      <c r="FR168">
        <v>1077</v>
      </c>
      <c r="FS168" t="s">
        <v>37</v>
      </c>
      <c r="FT168">
        <v>1077</v>
      </c>
      <c r="FU168" t="s">
        <v>37</v>
      </c>
      <c r="FV168">
        <v>1077</v>
      </c>
      <c r="FW168" t="s">
        <v>37</v>
      </c>
      <c r="FX168">
        <v>1077</v>
      </c>
      <c r="FY168" t="s">
        <v>37</v>
      </c>
      <c r="FZ168">
        <v>1077</v>
      </c>
      <c r="GA168" t="s">
        <v>37</v>
      </c>
      <c r="GB168">
        <v>10765</v>
      </c>
      <c r="GC168" t="s">
        <v>37</v>
      </c>
      <c r="GE168" t="s">
        <v>37</v>
      </c>
      <c r="GG168" t="s">
        <v>37</v>
      </c>
      <c r="GI168" t="s">
        <v>37</v>
      </c>
      <c r="GJ168">
        <v>1077</v>
      </c>
      <c r="GK168" t="s">
        <v>37</v>
      </c>
      <c r="GL168">
        <v>1077</v>
      </c>
      <c r="GM168" t="s">
        <v>37</v>
      </c>
      <c r="GO168" t="s">
        <v>37</v>
      </c>
      <c r="GP168">
        <v>1077</v>
      </c>
      <c r="GQ168" t="s">
        <v>37</v>
      </c>
      <c r="GR168">
        <v>1077</v>
      </c>
      <c r="GS168" t="s">
        <v>37</v>
      </c>
      <c r="GT168">
        <v>1077</v>
      </c>
      <c r="GU168" t="s">
        <v>37</v>
      </c>
      <c r="GV168">
        <v>1077</v>
      </c>
      <c r="GW168" t="s">
        <v>37</v>
      </c>
      <c r="GX168">
        <v>1077</v>
      </c>
      <c r="GY168" t="s">
        <v>37</v>
      </c>
      <c r="GZ168">
        <v>1077</v>
      </c>
      <c r="HA168" t="s">
        <v>37</v>
      </c>
      <c r="HB168">
        <v>1077</v>
      </c>
      <c r="HC168" t="s">
        <v>37</v>
      </c>
      <c r="HE168" t="s">
        <v>37</v>
      </c>
      <c r="HF168">
        <v>196512</v>
      </c>
      <c r="HG168" t="s">
        <v>37</v>
      </c>
      <c r="HH168">
        <v>1077</v>
      </c>
      <c r="HI168" t="s">
        <v>37</v>
      </c>
      <c r="HJ168">
        <v>197589</v>
      </c>
      <c r="HK168" t="s">
        <v>37</v>
      </c>
    </row>
    <row r="169" spans="1:219">
      <c r="A169">
        <v>3534</v>
      </c>
      <c r="B169" t="s">
        <v>190</v>
      </c>
      <c r="C169" t="s">
        <v>37</v>
      </c>
      <c r="D169">
        <v>37893</v>
      </c>
      <c r="E169" t="s">
        <v>37</v>
      </c>
      <c r="F169">
        <v>86532</v>
      </c>
      <c r="G169" t="s">
        <v>37</v>
      </c>
      <c r="H169">
        <v>11412</v>
      </c>
      <c r="I169" t="s">
        <v>37</v>
      </c>
      <c r="K169" s="48" t="s">
        <v>37</v>
      </c>
      <c r="L169" s="51">
        <v>46062</v>
      </c>
      <c r="M169" s="48" t="s">
        <v>37</v>
      </c>
      <c r="N169" s="51">
        <v>25100</v>
      </c>
      <c r="O169" s="48" t="s">
        <v>37</v>
      </c>
      <c r="P169" s="51">
        <v>22755</v>
      </c>
      <c r="Q169" s="48" t="s">
        <v>37</v>
      </c>
      <c r="R169" s="51">
        <v>23591</v>
      </c>
      <c r="S169" s="48" t="s">
        <v>37</v>
      </c>
      <c r="T169">
        <v>80638</v>
      </c>
      <c r="U169" t="s">
        <v>37</v>
      </c>
      <c r="W169" t="s">
        <v>37</v>
      </c>
      <c r="Y169" t="s">
        <v>37</v>
      </c>
      <c r="Z169">
        <v>18481</v>
      </c>
      <c r="AA169" t="s">
        <v>37</v>
      </c>
      <c r="AB169">
        <v>36391</v>
      </c>
      <c r="AC169" t="s">
        <v>37</v>
      </c>
      <c r="AD169">
        <v>7987</v>
      </c>
      <c r="AE169" t="s">
        <v>37</v>
      </c>
      <c r="AF169">
        <v>11714</v>
      </c>
      <c r="AG169" t="s">
        <v>37</v>
      </c>
      <c r="AH169">
        <v>23600</v>
      </c>
      <c r="AI169" t="s">
        <v>37</v>
      </c>
      <c r="AK169" t="s">
        <v>37</v>
      </c>
      <c r="AL169">
        <v>71323</v>
      </c>
      <c r="AM169" t="s">
        <v>37</v>
      </c>
      <c r="AO169" t="s">
        <v>37</v>
      </c>
      <c r="AP169">
        <v>70615</v>
      </c>
      <c r="AQ169" t="s">
        <v>37</v>
      </c>
      <c r="AR169">
        <v>16933</v>
      </c>
      <c r="AS169" t="s">
        <v>37</v>
      </c>
      <c r="AT169">
        <v>239015</v>
      </c>
      <c r="AU169" t="s">
        <v>37</v>
      </c>
      <c r="AV169">
        <v>72123</v>
      </c>
      <c r="AW169" t="s">
        <v>37</v>
      </c>
      <c r="AX169">
        <v>41093</v>
      </c>
      <c r="AY169" t="s">
        <v>37</v>
      </c>
      <c r="AZ169">
        <v>55222</v>
      </c>
      <c r="BA169" t="s">
        <v>37</v>
      </c>
      <c r="BB169">
        <v>9056</v>
      </c>
      <c r="BC169" t="s">
        <v>37</v>
      </c>
      <c r="BD169">
        <v>23388</v>
      </c>
      <c r="BE169" t="s">
        <v>37</v>
      </c>
      <c r="BF169">
        <v>19100</v>
      </c>
      <c r="BG169" t="s">
        <v>37</v>
      </c>
      <c r="BI169" t="s">
        <v>37</v>
      </c>
      <c r="BJ169">
        <v>24693</v>
      </c>
      <c r="BK169" t="s">
        <v>37</v>
      </c>
      <c r="BL169">
        <v>74277</v>
      </c>
      <c r="BM169" t="s">
        <v>37</v>
      </c>
      <c r="BO169" t="s">
        <v>37</v>
      </c>
      <c r="BP169">
        <v>14807</v>
      </c>
      <c r="BQ169" t="s">
        <v>37</v>
      </c>
      <c r="BR169">
        <v>23680</v>
      </c>
      <c r="BS169" t="s">
        <v>37</v>
      </c>
      <c r="BT169">
        <v>20000</v>
      </c>
      <c r="BU169" t="s">
        <v>37</v>
      </c>
      <c r="BW169" t="s">
        <v>37</v>
      </c>
      <c r="BX169">
        <v>113379</v>
      </c>
      <c r="BY169" t="s">
        <v>37</v>
      </c>
      <c r="BZ169">
        <v>14708</v>
      </c>
      <c r="CA169" t="s">
        <v>37</v>
      </c>
      <c r="CC169" t="s">
        <v>37</v>
      </c>
      <c r="CD169">
        <v>28034</v>
      </c>
      <c r="CE169" t="s">
        <v>37</v>
      </c>
      <c r="CF169">
        <v>41614</v>
      </c>
      <c r="CG169" t="s">
        <v>37</v>
      </c>
      <c r="CH169">
        <v>151513</v>
      </c>
      <c r="CI169" t="s">
        <v>37</v>
      </c>
      <c r="CJ169">
        <v>19100</v>
      </c>
      <c r="CK169" t="s">
        <v>37</v>
      </c>
      <c r="CL169">
        <v>24996</v>
      </c>
      <c r="CM169" t="s">
        <v>37</v>
      </c>
      <c r="CN169">
        <v>30554</v>
      </c>
      <c r="CO169" t="s">
        <v>37</v>
      </c>
      <c r="CP169">
        <v>20100</v>
      </c>
      <c r="CQ169" t="s">
        <v>37</v>
      </c>
      <c r="CR169">
        <v>49902</v>
      </c>
      <c r="CS169" t="s">
        <v>37</v>
      </c>
      <c r="CT169">
        <v>284683</v>
      </c>
      <c r="CU169" t="s">
        <v>37</v>
      </c>
      <c r="CV169">
        <v>34070</v>
      </c>
      <c r="CW169" t="s">
        <v>37</v>
      </c>
      <c r="CX169">
        <v>17683</v>
      </c>
      <c r="CY169" t="s">
        <v>37</v>
      </c>
      <c r="CZ169">
        <v>13070</v>
      </c>
      <c r="DA169" t="s">
        <v>37</v>
      </c>
      <c r="DC169" t="s">
        <v>37</v>
      </c>
      <c r="DD169">
        <v>26000</v>
      </c>
      <c r="DE169" t="s">
        <v>37</v>
      </c>
      <c r="DF169">
        <v>41923</v>
      </c>
      <c r="DG169" t="s">
        <v>37</v>
      </c>
      <c r="DH169">
        <v>195197</v>
      </c>
      <c r="DI169" t="s">
        <v>37</v>
      </c>
      <c r="DJ169">
        <v>22390</v>
      </c>
      <c r="DK169" t="s">
        <v>37</v>
      </c>
      <c r="DL169">
        <v>45308</v>
      </c>
      <c r="DM169" t="s">
        <v>37</v>
      </c>
      <c r="DN169">
        <v>66008</v>
      </c>
      <c r="DO169" t="s">
        <v>37</v>
      </c>
      <c r="DP169">
        <v>31910</v>
      </c>
      <c r="DQ169" t="s">
        <v>37</v>
      </c>
      <c r="DR169">
        <v>32857</v>
      </c>
      <c r="DS169" t="s">
        <v>37</v>
      </c>
      <c r="DT169">
        <v>58166</v>
      </c>
      <c r="DU169" t="s">
        <v>37</v>
      </c>
      <c r="DV169">
        <v>77680</v>
      </c>
      <c r="DW169" t="s">
        <v>37</v>
      </c>
      <c r="DX169">
        <v>47274</v>
      </c>
      <c r="DY169" t="s">
        <v>37</v>
      </c>
      <c r="DZ169">
        <v>19690</v>
      </c>
      <c r="EA169" t="s">
        <v>37</v>
      </c>
      <c r="EB169">
        <v>31125</v>
      </c>
      <c r="EC169" t="s">
        <v>37</v>
      </c>
      <c r="ED169">
        <v>68703</v>
      </c>
      <c r="EE169" t="s">
        <v>37</v>
      </c>
      <c r="EF169">
        <v>17822</v>
      </c>
      <c r="EG169" t="s">
        <v>37</v>
      </c>
      <c r="EI169" t="s">
        <v>37</v>
      </c>
      <c r="EJ169">
        <v>26538</v>
      </c>
      <c r="EK169" t="s">
        <v>37</v>
      </c>
      <c r="EL169">
        <v>21953</v>
      </c>
      <c r="EM169" t="s">
        <v>37</v>
      </c>
      <c r="EN169">
        <v>18700</v>
      </c>
      <c r="EO169" t="s">
        <v>37</v>
      </c>
      <c r="EQ169" t="s">
        <v>37</v>
      </c>
      <c r="ER169">
        <v>21346</v>
      </c>
      <c r="ES169" t="s">
        <v>37</v>
      </c>
      <c r="ET169">
        <v>15760</v>
      </c>
      <c r="EU169" t="s">
        <v>37</v>
      </c>
      <c r="EV169">
        <v>52195</v>
      </c>
      <c r="EW169" t="s">
        <v>37</v>
      </c>
      <c r="EY169" t="s">
        <v>37</v>
      </c>
      <c r="EZ169">
        <v>4546</v>
      </c>
      <c r="FA169" t="s">
        <v>37</v>
      </c>
      <c r="FB169">
        <v>22839</v>
      </c>
      <c r="FC169" t="s">
        <v>37</v>
      </c>
      <c r="FD169">
        <v>20447</v>
      </c>
      <c r="FE169" t="s">
        <v>37</v>
      </c>
      <c r="FG169" t="s">
        <v>37</v>
      </c>
      <c r="FH169">
        <v>35704</v>
      </c>
      <c r="FI169" t="s">
        <v>37</v>
      </c>
      <c r="FJ169">
        <v>206817</v>
      </c>
      <c r="FK169" t="s">
        <v>37</v>
      </c>
      <c r="FL169">
        <v>84733</v>
      </c>
      <c r="FM169" t="s">
        <v>37</v>
      </c>
      <c r="FN169">
        <v>22200</v>
      </c>
      <c r="FO169" t="s">
        <v>37</v>
      </c>
      <c r="FP169">
        <v>30700</v>
      </c>
      <c r="FQ169" t="s">
        <v>37</v>
      </c>
      <c r="FR169">
        <v>37800</v>
      </c>
      <c r="FS169" t="s">
        <v>37</v>
      </c>
      <c r="FT169">
        <v>24900</v>
      </c>
      <c r="FU169" t="s">
        <v>37</v>
      </c>
      <c r="FV169">
        <v>22880</v>
      </c>
      <c r="FW169" t="s">
        <v>37</v>
      </c>
      <c r="FX169">
        <v>36500</v>
      </c>
      <c r="FY169" t="s">
        <v>37</v>
      </c>
      <c r="FZ169">
        <v>50167</v>
      </c>
      <c r="GA169" t="s">
        <v>37</v>
      </c>
      <c r="GB169">
        <v>29333</v>
      </c>
      <c r="GC169" t="s">
        <v>37</v>
      </c>
      <c r="GE169" t="s">
        <v>37</v>
      </c>
      <c r="GG169" t="s">
        <v>37</v>
      </c>
      <c r="GI169" t="s">
        <v>37</v>
      </c>
      <c r="GJ169">
        <v>103811</v>
      </c>
      <c r="GK169" t="s">
        <v>37</v>
      </c>
      <c r="GL169">
        <v>37048</v>
      </c>
      <c r="GM169" t="s">
        <v>37</v>
      </c>
      <c r="GO169" t="s">
        <v>37</v>
      </c>
      <c r="GP169">
        <v>36068</v>
      </c>
      <c r="GQ169" t="s">
        <v>37</v>
      </c>
      <c r="GR169">
        <v>23726</v>
      </c>
      <c r="GS169" t="s">
        <v>37</v>
      </c>
      <c r="GT169">
        <v>45127</v>
      </c>
      <c r="GU169" t="s">
        <v>37</v>
      </c>
      <c r="GV169">
        <v>38396</v>
      </c>
      <c r="GW169" t="s">
        <v>37</v>
      </c>
      <c r="GX169">
        <v>113402</v>
      </c>
      <c r="GY169" t="s">
        <v>37</v>
      </c>
      <c r="GZ169">
        <v>35500</v>
      </c>
      <c r="HA169" t="s">
        <v>37</v>
      </c>
      <c r="HB169">
        <v>11100</v>
      </c>
      <c r="HC169" t="s">
        <v>37</v>
      </c>
      <c r="HD169">
        <v>8800</v>
      </c>
      <c r="HE169" t="s">
        <v>37</v>
      </c>
      <c r="HF169">
        <v>4052076</v>
      </c>
      <c r="HG169" t="s">
        <v>37</v>
      </c>
      <c r="HH169">
        <v>19900</v>
      </c>
      <c r="HI169" t="s">
        <v>37</v>
      </c>
      <c r="HJ169">
        <v>4071976</v>
      </c>
      <c r="HK169" t="s">
        <v>37</v>
      </c>
    </row>
    <row r="170" spans="1:219">
      <c r="A170">
        <v>3535</v>
      </c>
      <c r="B170" t="s">
        <v>191</v>
      </c>
      <c r="C170" t="s">
        <v>37</v>
      </c>
      <c r="E170" t="s">
        <v>37</v>
      </c>
      <c r="G170" t="s">
        <v>37</v>
      </c>
      <c r="I170" t="s">
        <v>37</v>
      </c>
      <c r="K170" s="48" t="s">
        <v>37</v>
      </c>
      <c r="L170" s="50"/>
      <c r="M170" s="48" t="s">
        <v>37</v>
      </c>
      <c r="N170" s="50"/>
      <c r="O170" s="48" t="s">
        <v>37</v>
      </c>
      <c r="P170" s="50"/>
      <c r="Q170" s="48" t="s">
        <v>37</v>
      </c>
      <c r="R170" s="50"/>
      <c r="S170" s="48" t="s">
        <v>37</v>
      </c>
      <c r="T170">
        <v>50000</v>
      </c>
      <c r="U170" t="s">
        <v>37</v>
      </c>
      <c r="W170" t="s">
        <v>37</v>
      </c>
      <c r="Y170" t="s">
        <v>37</v>
      </c>
      <c r="AA170" t="s">
        <v>37</v>
      </c>
      <c r="AC170" t="s">
        <v>37</v>
      </c>
      <c r="AE170" t="s">
        <v>37</v>
      </c>
      <c r="AG170" t="s">
        <v>37</v>
      </c>
      <c r="AI170" t="s">
        <v>37</v>
      </c>
      <c r="AK170" t="s">
        <v>37</v>
      </c>
      <c r="AM170" t="s">
        <v>37</v>
      </c>
      <c r="AO170" t="s">
        <v>37</v>
      </c>
      <c r="AQ170" t="s">
        <v>37</v>
      </c>
      <c r="AS170" t="s">
        <v>37</v>
      </c>
      <c r="AU170" t="s">
        <v>37</v>
      </c>
      <c r="AV170">
        <v>30000</v>
      </c>
      <c r="AW170" t="s">
        <v>37</v>
      </c>
      <c r="AY170" t="s">
        <v>37</v>
      </c>
      <c r="BA170" t="s">
        <v>37</v>
      </c>
      <c r="BC170" t="s">
        <v>37</v>
      </c>
      <c r="BE170" t="s">
        <v>37</v>
      </c>
      <c r="BG170" t="s">
        <v>37</v>
      </c>
      <c r="BI170" t="s">
        <v>37</v>
      </c>
      <c r="BK170" t="s">
        <v>37</v>
      </c>
      <c r="BM170" t="s">
        <v>37</v>
      </c>
      <c r="BO170" t="s">
        <v>37</v>
      </c>
      <c r="BQ170" t="s">
        <v>37</v>
      </c>
      <c r="BS170" t="s">
        <v>37</v>
      </c>
      <c r="BU170" t="s">
        <v>37</v>
      </c>
      <c r="BW170" t="s">
        <v>37</v>
      </c>
      <c r="BY170" t="s">
        <v>37</v>
      </c>
      <c r="BZ170">
        <v>50000</v>
      </c>
      <c r="CA170" t="s">
        <v>37</v>
      </c>
      <c r="CC170" t="s">
        <v>37</v>
      </c>
      <c r="CE170" t="s">
        <v>37</v>
      </c>
      <c r="CG170" t="s">
        <v>37</v>
      </c>
      <c r="CI170" t="s">
        <v>37</v>
      </c>
      <c r="CK170" t="s">
        <v>37</v>
      </c>
      <c r="CM170" t="s">
        <v>37</v>
      </c>
      <c r="CO170" t="s">
        <v>37</v>
      </c>
      <c r="CQ170" t="s">
        <v>37</v>
      </c>
      <c r="CS170" t="s">
        <v>37</v>
      </c>
      <c r="CU170" t="s">
        <v>37</v>
      </c>
      <c r="CV170">
        <v>60000</v>
      </c>
      <c r="CW170" t="s">
        <v>37</v>
      </c>
      <c r="CY170" t="s">
        <v>37</v>
      </c>
      <c r="DA170" t="s">
        <v>37</v>
      </c>
      <c r="DC170" t="s">
        <v>37</v>
      </c>
      <c r="DD170">
        <v>9525</v>
      </c>
      <c r="DE170" t="s">
        <v>37</v>
      </c>
      <c r="DG170" t="s">
        <v>37</v>
      </c>
      <c r="DI170" t="s">
        <v>37</v>
      </c>
      <c r="DK170" t="s">
        <v>37</v>
      </c>
      <c r="DM170" t="s">
        <v>37</v>
      </c>
      <c r="DN170">
        <v>58199</v>
      </c>
      <c r="DO170" t="s">
        <v>37</v>
      </c>
      <c r="DP170">
        <v>15290</v>
      </c>
      <c r="DQ170" t="s">
        <v>37</v>
      </c>
      <c r="DR170">
        <v>10000</v>
      </c>
      <c r="DS170" t="s">
        <v>37</v>
      </c>
      <c r="DU170" t="s">
        <v>37</v>
      </c>
      <c r="DV170">
        <v>58238</v>
      </c>
      <c r="DW170" t="s">
        <v>37</v>
      </c>
      <c r="DX170">
        <v>51996</v>
      </c>
      <c r="DY170" t="s">
        <v>37</v>
      </c>
      <c r="EA170" t="s">
        <v>37</v>
      </c>
      <c r="EB170">
        <v>337839</v>
      </c>
      <c r="EC170" t="s">
        <v>37</v>
      </c>
      <c r="ED170">
        <v>59124</v>
      </c>
      <c r="EE170" t="s">
        <v>37</v>
      </c>
      <c r="EG170" t="s">
        <v>37</v>
      </c>
      <c r="EI170" t="s">
        <v>37</v>
      </c>
      <c r="EK170" t="s">
        <v>37</v>
      </c>
      <c r="EL170">
        <v>10000</v>
      </c>
      <c r="EM170" t="s">
        <v>37</v>
      </c>
      <c r="EO170" t="s">
        <v>37</v>
      </c>
      <c r="EQ170" t="s">
        <v>37</v>
      </c>
      <c r="ES170" t="s">
        <v>37</v>
      </c>
      <c r="ET170">
        <v>50000</v>
      </c>
      <c r="EU170" t="s">
        <v>37</v>
      </c>
      <c r="EV170">
        <v>10000</v>
      </c>
      <c r="EW170" t="s">
        <v>37</v>
      </c>
      <c r="EY170" t="s">
        <v>37</v>
      </c>
      <c r="FA170" t="s">
        <v>37</v>
      </c>
      <c r="FC170" t="s">
        <v>37</v>
      </c>
      <c r="FE170" t="s">
        <v>37</v>
      </c>
      <c r="FG170" t="s">
        <v>37</v>
      </c>
      <c r="FI170" t="s">
        <v>37</v>
      </c>
      <c r="FJ170">
        <v>7882</v>
      </c>
      <c r="FK170" t="s">
        <v>37</v>
      </c>
      <c r="FL170">
        <v>50000</v>
      </c>
      <c r="FM170" t="s">
        <v>37</v>
      </c>
      <c r="FO170" t="s">
        <v>37</v>
      </c>
      <c r="FP170">
        <v>60000</v>
      </c>
      <c r="FQ170" t="s">
        <v>37</v>
      </c>
      <c r="FR170">
        <v>10000</v>
      </c>
      <c r="FS170" t="s">
        <v>37</v>
      </c>
      <c r="FU170" t="s">
        <v>37</v>
      </c>
      <c r="FW170" t="s">
        <v>37</v>
      </c>
      <c r="FX170">
        <v>50000</v>
      </c>
      <c r="FY170" t="s">
        <v>37</v>
      </c>
      <c r="GA170" t="s">
        <v>37</v>
      </c>
      <c r="GB170">
        <v>83191</v>
      </c>
      <c r="GC170" t="s">
        <v>37</v>
      </c>
      <c r="GE170" t="s">
        <v>37</v>
      </c>
      <c r="GG170" t="s">
        <v>37</v>
      </c>
      <c r="GI170" t="s">
        <v>37</v>
      </c>
      <c r="GJ170">
        <v>10000</v>
      </c>
      <c r="GK170" t="s">
        <v>37</v>
      </c>
      <c r="GL170">
        <v>50000</v>
      </c>
      <c r="GM170" t="s">
        <v>37</v>
      </c>
      <c r="GO170" t="s">
        <v>37</v>
      </c>
      <c r="GP170">
        <v>10000</v>
      </c>
      <c r="GQ170" t="s">
        <v>37</v>
      </c>
      <c r="GS170" t="s">
        <v>37</v>
      </c>
      <c r="GU170" t="s">
        <v>37</v>
      </c>
      <c r="GW170" t="s">
        <v>37</v>
      </c>
      <c r="GY170" t="s">
        <v>37</v>
      </c>
      <c r="HA170" t="s">
        <v>37</v>
      </c>
      <c r="HC170" t="s">
        <v>37</v>
      </c>
      <c r="HE170" t="s">
        <v>37</v>
      </c>
      <c r="HF170">
        <v>1191284</v>
      </c>
      <c r="HG170" t="s">
        <v>37</v>
      </c>
      <c r="HI170" t="s">
        <v>37</v>
      </c>
      <c r="HJ170">
        <v>1191284</v>
      </c>
      <c r="HK170" t="s">
        <v>37</v>
      </c>
    </row>
    <row r="171" spans="1:219">
      <c r="A171">
        <v>3540</v>
      </c>
      <c r="B171" t="s">
        <v>192</v>
      </c>
      <c r="C171" t="s">
        <v>37</v>
      </c>
      <c r="D171">
        <v>40131</v>
      </c>
      <c r="E171" t="s">
        <v>37</v>
      </c>
      <c r="F171">
        <v>870358</v>
      </c>
      <c r="G171" t="s">
        <v>37</v>
      </c>
      <c r="H171">
        <v>83483</v>
      </c>
      <c r="I171" t="s">
        <v>37</v>
      </c>
      <c r="K171" s="48" t="s">
        <v>37</v>
      </c>
      <c r="L171" s="51">
        <v>201161</v>
      </c>
      <c r="M171" s="48" t="s">
        <v>37</v>
      </c>
      <c r="N171" s="51">
        <v>125212</v>
      </c>
      <c r="O171" s="48" t="s">
        <v>37</v>
      </c>
      <c r="P171" s="51">
        <v>92625</v>
      </c>
      <c r="Q171" s="48" t="s">
        <v>37</v>
      </c>
      <c r="R171" s="51">
        <v>83859</v>
      </c>
      <c r="S171" s="48" t="s">
        <v>37</v>
      </c>
      <c r="T171">
        <v>399674</v>
      </c>
      <c r="U171" t="s">
        <v>37</v>
      </c>
      <c r="W171" t="s">
        <v>37</v>
      </c>
      <c r="Y171" t="s">
        <v>37</v>
      </c>
      <c r="Z171">
        <v>47679</v>
      </c>
      <c r="AA171" t="s">
        <v>37</v>
      </c>
      <c r="AC171" t="s">
        <v>37</v>
      </c>
      <c r="AD171">
        <v>7567</v>
      </c>
      <c r="AE171" t="s">
        <v>37</v>
      </c>
      <c r="AF171">
        <v>32486</v>
      </c>
      <c r="AG171" t="s">
        <v>37</v>
      </c>
      <c r="AH171">
        <v>91033</v>
      </c>
      <c r="AI171" t="s">
        <v>37</v>
      </c>
      <c r="AK171" t="s">
        <v>37</v>
      </c>
      <c r="AL171">
        <v>393142</v>
      </c>
      <c r="AM171" t="s">
        <v>37</v>
      </c>
      <c r="AO171" t="s">
        <v>37</v>
      </c>
      <c r="AP171">
        <v>725458</v>
      </c>
      <c r="AQ171" t="s">
        <v>37</v>
      </c>
      <c r="AR171">
        <v>91266</v>
      </c>
      <c r="AS171" t="s">
        <v>37</v>
      </c>
      <c r="AT171">
        <v>1443504</v>
      </c>
      <c r="AU171" t="s">
        <v>37</v>
      </c>
      <c r="AV171">
        <v>346758</v>
      </c>
      <c r="AW171" t="s">
        <v>37</v>
      </c>
      <c r="AX171">
        <v>227848</v>
      </c>
      <c r="AY171" t="s">
        <v>37</v>
      </c>
      <c r="AZ171">
        <v>263804</v>
      </c>
      <c r="BA171" t="s">
        <v>37</v>
      </c>
      <c r="BB171">
        <v>2105</v>
      </c>
      <c r="BC171" t="s">
        <v>37</v>
      </c>
      <c r="BD171">
        <v>31686</v>
      </c>
      <c r="BE171" t="s">
        <v>37</v>
      </c>
      <c r="BF171">
        <v>76700</v>
      </c>
      <c r="BG171" t="s">
        <v>37</v>
      </c>
      <c r="BI171" t="s">
        <v>37</v>
      </c>
      <c r="BJ171">
        <v>343951</v>
      </c>
      <c r="BK171" t="s">
        <v>37</v>
      </c>
      <c r="BL171">
        <v>486500</v>
      </c>
      <c r="BM171" t="s">
        <v>37</v>
      </c>
      <c r="BO171" t="s">
        <v>37</v>
      </c>
      <c r="BP171">
        <v>4043</v>
      </c>
      <c r="BQ171" t="s">
        <v>37</v>
      </c>
      <c r="BR171">
        <v>63383</v>
      </c>
      <c r="BS171" t="s">
        <v>37</v>
      </c>
      <c r="BT171">
        <v>51364</v>
      </c>
      <c r="BU171" t="s">
        <v>37</v>
      </c>
      <c r="BW171" t="s">
        <v>37</v>
      </c>
      <c r="BX171">
        <v>428138</v>
      </c>
      <c r="BY171" t="s">
        <v>37</v>
      </c>
      <c r="BZ171">
        <v>96860</v>
      </c>
      <c r="CA171" t="s">
        <v>37</v>
      </c>
      <c r="CC171" t="s">
        <v>37</v>
      </c>
      <c r="CD171">
        <v>157594</v>
      </c>
      <c r="CE171" t="s">
        <v>37</v>
      </c>
      <c r="CF171">
        <v>173571</v>
      </c>
      <c r="CG171" t="s">
        <v>37</v>
      </c>
      <c r="CH171">
        <v>460809</v>
      </c>
      <c r="CI171" t="s">
        <v>37</v>
      </c>
      <c r="CK171" t="s">
        <v>37</v>
      </c>
      <c r="CL171">
        <v>184894</v>
      </c>
      <c r="CM171" t="s">
        <v>37</v>
      </c>
      <c r="CN171">
        <v>18343</v>
      </c>
      <c r="CO171" t="s">
        <v>37</v>
      </c>
      <c r="CP171">
        <v>46573</v>
      </c>
      <c r="CQ171" t="s">
        <v>37</v>
      </c>
      <c r="CR171">
        <v>380577</v>
      </c>
      <c r="CS171" t="s">
        <v>37</v>
      </c>
      <c r="CT171">
        <v>1870104</v>
      </c>
      <c r="CU171" t="s">
        <v>37</v>
      </c>
      <c r="CV171">
        <v>335176</v>
      </c>
      <c r="CW171" t="s">
        <v>37</v>
      </c>
      <c r="CX171">
        <v>39708</v>
      </c>
      <c r="CY171" t="s">
        <v>37</v>
      </c>
      <c r="CZ171">
        <v>42739</v>
      </c>
      <c r="DA171" t="s">
        <v>37</v>
      </c>
      <c r="DC171" t="s">
        <v>37</v>
      </c>
      <c r="DD171">
        <v>80457</v>
      </c>
      <c r="DE171" t="s">
        <v>37</v>
      </c>
      <c r="DF171">
        <v>1538</v>
      </c>
      <c r="DG171" t="s">
        <v>37</v>
      </c>
      <c r="DH171">
        <v>1073114</v>
      </c>
      <c r="DI171" t="s">
        <v>37</v>
      </c>
      <c r="DJ171">
        <v>34411</v>
      </c>
      <c r="DK171" t="s">
        <v>37</v>
      </c>
      <c r="DL171">
        <v>350052</v>
      </c>
      <c r="DM171" t="s">
        <v>37</v>
      </c>
      <c r="DN171">
        <v>385419</v>
      </c>
      <c r="DO171" t="s">
        <v>37</v>
      </c>
      <c r="DP171">
        <v>245565</v>
      </c>
      <c r="DQ171" t="s">
        <v>37</v>
      </c>
      <c r="DR171">
        <v>54830</v>
      </c>
      <c r="DS171" t="s">
        <v>37</v>
      </c>
      <c r="DT171">
        <v>39675</v>
      </c>
      <c r="DU171" t="s">
        <v>37</v>
      </c>
      <c r="DV171">
        <v>359040</v>
      </c>
      <c r="DW171" t="s">
        <v>37</v>
      </c>
      <c r="DX171">
        <v>311070</v>
      </c>
      <c r="DY171" t="s">
        <v>37</v>
      </c>
      <c r="DZ171">
        <v>80660</v>
      </c>
      <c r="EA171" t="s">
        <v>37</v>
      </c>
      <c r="EB171">
        <v>60586</v>
      </c>
      <c r="EC171" t="s">
        <v>37</v>
      </c>
      <c r="ED171">
        <v>233913</v>
      </c>
      <c r="EE171" t="s">
        <v>37</v>
      </c>
      <c r="EF171">
        <v>47731</v>
      </c>
      <c r="EG171" t="s">
        <v>37</v>
      </c>
      <c r="EI171" t="s">
        <v>37</v>
      </c>
      <c r="EJ171">
        <v>114042</v>
      </c>
      <c r="EK171" t="s">
        <v>37</v>
      </c>
      <c r="EM171" t="s">
        <v>37</v>
      </c>
      <c r="EN171">
        <v>18127</v>
      </c>
      <c r="EO171" t="s">
        <v>37</v>
      </c>
      <c r="EQ171" t="s">
        <v>37</v>
      </c>
      <c r="ER171">
        <v>313284</v>
      </c>
      <c r="ES171" t="s">
        <v>37</v>
      </c>
      <c r="ET171">
        <v>210331</v>
      </c>
      <c r="EU171" t="s">
        <v>37</v>
      </c>
      <c r="EV171">
        <v>332258</v>
      </c>
      <c r="EW171" t="s">
        <v>37</v>
      </c>
      <c r="EY171" t="s">
        <v>37</v>
      </c>
      <c r="EZ171">
        <v>186582</v>
      </c>
      <c r="FA171" t="s">
        <v>37</v>
      </c>
      <c r="FB171">
        <v>121306</v>
      </c>
      <c r="FC171" t="s">
        <v>37</v>
      </c>
      <c r="FD171">
        <v>285411</v>
      </c>
      <c r="FE171" t="s">
        <v>37</v>
      </c>
      <c r="FG171" t="s">
        <v>37</v>
      </c>
      <c r="FH171">
        <v>480287</v>
      </c>
      <c r="FI171" t="s">
        <v>37</v>
      </c>
      <c r="FJ171">
        <v>1115741</v>
      </c>
      <c r="FK171" t="s">
        <v>37</v>
      </c>
      <c r="FL171">
        <v>439440</v>
      </c>
      <c r="FM171" t="s">
        <v>37</v>
      </c>
      <c r="FN171">
        <v>89772</v>
      </c>
      <c r="FO171" t="s">
        <v>37</v>
      </c>
      <c r="FP171">
        <v>118542</v>
      </c>
      <c r="FQ171" t="s">
        <v>37</v>
      </c>
      <c r="FR171">
        <v>233778</v>
      </c>
      <c r="FS171" t="s">
        <v>37</v>
      </c>
      <c r="FT171">
        <v>82946</v>
      </c>
      <c r="FU171" t="s">
        <v>37</v>
      </c>
      <c r="FV171">
        <v>87181</v>
      </c>
      <c r="FW171" t="s">
        <v>37</v>
      </c>
      <c r="FX171">
        <v>153213</v>
      </c>
      <c r="FY171" t="s">
        <v>37</v>
      </c>
      <c r="FZ171">
        <v>150884</v>
      </c>
      <c r="GA171" t="s">
        <v>37</v>
      </c>
      <c r="GB171">
        <v>352931</v>
      </c>
      <c r="GC171" t="s">
        <v>37</v>
      </c>
      <c r="GE171" t="s">
        <v>37</v>
      </c>
      <c r="GG171" t="s">
        <v>37</v>
      </c>
      <c r="GI171" t="s">
        <v>37</v>
      </c>
      <c r="GJ171">
        <v>464268</v>
      </c>
      <c r="GK171" t="s">
        <v>37</v>
      </c>
      <c r="GL171">
        <v>457400</v>
      </c>
      <c r="GM171" t="s">
        <v>37</v>
      </c>
      <c r="GO171" t="s">
        <v>37</v>
      </c>
      <c r="GP171">
        <v>196964</v>
      </c>
      <c r="GQ171" t="s">
        <v>37</v>
      </c>
      <c r="GR171">
        <v>155400</v>
      </c>
      <c r="GS171" t="s">
        <v>37</v>
      </c>
      <c r="GT171">
        <v>174325</v>
      </c>
      <c r="GU171" t="s">
        <v>37</v>
      </c>
      <c r="GV171">
        <v>95516</v>
      </c>
      <c r="GW171" t="s">
        <v>37</v>
      </c>
      <c r="GX171">
        <v>447985</v>
      </c>
      <c r="GY171" t="s">
        <v>37</v>
      </c>
      <c r="GZ171">
        <v>81713</v>
      </c>
      <c r="HA171" t="s">
        <v>37</v>
      </c>
      <c r="HC171" t="s">
        <v>37</v>
      </c>
      <c r="HE171" t="s">
        <v>37</v>
      </c>
      <c r="HF171">
        <v>21179554</v>
      </c>
      <c r="HG171" t="s">
        <v>37</v>
      </c>
      <c r="HI171" t="s">
        <v>37</v>
      </c>
      <c r="HJ171">
        <v>21179554</v>
      </c>
      <c r="HK171" t="s">
        <v>37</v>
      </c>
    </row>
    <row r="172" spans="1:219">
      <c r="A172">
        <v>3542</v>
      </c>
      <c r="B172" t="s">
        <v>193</v>
      </c>
      <c r="C172" t="s">
        <v>37</v>
      </c>
      <c r="D172">
        <v>23711</v>
      </c>
      <c r="E172" t="s">
        <v>37</v>
      </c>
      <c r="F172">
        <v>112524</v>
      </c>
      <c r="G172" t="s">
        <v>37</v>
      </c>
      <c r="H172">
        <v>11382</v>
      </c>
      <c r="I172" t="s">
        <v>37</v>
      </c>
      <c r="K172" s="48" t="s">
        <v>37</v>
      </c>
      <c r="L172" s="51">
        <v>46434</v>
      </c>
      <c r="M172" s="48" t="s">
        <v>37</v>
      </c>
      <c r="N172" s="51">
        <v>34167</v>
      </c>
      <c r="O172" s="48" t="s">
        <v>37</v>
      </c>
      <c r="P172" s="51">
        <v>57946</v>
      </c>
      <c r="Q172" s="48" t="s">
        <v>37</v>
      </c>
      <c r="R172" s="51">
        <v>10295</v>
      </c>
      <c r="S172" s="48" t="s">
        <v>37</v>
      </c>
      <c r="T172">
        <v>60879</v>
      </c>
      <c r="U172" t="s">
        <v>37</v>
      </c>
      <c r="W172" t="s">
        <v>37</v>
      </c>
      <c r="Y172" t="s">
        <v>37</v>
      </c>
      <c r="Z172">
        <v>20772</v>
      </c>
      <c r="AA172" t="s">
        <v>37</v>
      </c>
      <c r="AB172">
        <v>4442</v>
      </c>
      <c r="AC172" t="s">
        <v>37</v>
      </c>
      <c r="AD172">
        <v>8002</v>
      </c>
      <c r="AE172" t="s">
        <v>37</v>
      </c>
      <c r="AF172">
        <v>11617</v>
      </c>
      <c r="AG172" t="s">
        <v>37</v>
      </c>
      <c r="AH172">
        <v>35755</v>
      </c>
      <c r="AI172" t="s">
        <v>37</v>
      </c>
      <c r="AK172" t="s">
        <v>37</v>
      </c>
      <c r="AM172" t="s">
        <v>37</v>
      </c>
      <c r="AO172" t="s">
        <v>37</v>
      </c>
      <c r="AP172">
        <v>192008</v>
      </c>
      <c r="AQ172" t="s">
        <v>37</v>
      </c>
      <c r="AR172">
        <v>16235</v>
      </c>
      <c r="AS172" t="s">
        <v>37</v>
      </c>
      <c r="AT172">
        <v>148884</v>
      </c>
      <c r="AU172" t="s">
        <v>37</v>
      </c>
      <c r="AV172">
        <v>40342</v>
      </c>
      <c r="AW172" t="s">
        <v>37</v>
      </c>
      <c r="AX172">
        <v>41300</v>
      </c>
      <c r="AY172" t="s">
        <v>37</v>
      </c>
      <c r="AZ172">
        <v>31815</v>
      </c>
      <c r="BA172" t="s">
        <v>37</v>
      </c>
      <c r="BB172">
        <v>5434</v>
      </c>
      <c r="BC172" t="s">
        <v>37</v>
      </c>
      <c r="BD172">
        <v>23917</v>
      </c>
      <c r="BE172" t="s">
        <v>37</v>
      </c>
      <c r="BF172">
        <v>14174</v>
      </c>
      <c r="BG172" t="s">
        <v>37</v>
      </c>
      <c r="BI172" t="s">
        <v>37</v>
      </c>
      <c r="BJ172">
        <v>34578</v>
      </c>
      <c r="BK172" t="s">
        <v>37</v>
      </c>
      <c r="BL172">
        <v>70317</v>
      </c>
      <c r="BM172" t="s">
        <v>37</v>
      </c>
      <c r="BO172" t="s">
        <v>37</v>
      </c>
      <c r="BP172">
        <v>6520</v>
      </c>
      <c r="BQ172" t="s">
        <v>37</v>
      </c>
      <c r="BR172">
        <v>27069</v>
      </c>
      <c r="BS172" t="s">
        <v>37</v>
      </c>
      <c r="BT172">
        <v>12823</v>
      </c>
      <c r="BU172" t="s">
        <v>37</v>
      </c>
      <c r="BW172" t="s">
        <v>37</v>
      </c>
      <c r="BX172">
        <v>129266</v>
      </c>
      <c r="BY172" t="s">
        <v>37</v>
      </c>
      <c r="BZ172">
        <v>17128</v>
      </c>
      <c r="CA172" t="s">
        <v>37</v>
      </c>
      <c r="CC172" t="s">
        <v>37</v>
      </c>
      <c r="CD172">
        <v>38966</v>
      </c>
      <c r="CE172" t="s">
        <v>37</v>
      </c>
      <c r="CF172">
        <v>13412</v>
      </c>
      <c r="CG172" t="s">
        <v>37</v>
      </c>
      <c r="CH172">
        <v>92259</v>
      </c>
      <c r="CI172" t="s">
        <v>37</v>
      </c>
      <c r="CJ172">
        <v>8496</v>
      </c>
      <c r="CK172" t="s">
        <v>37</v>
      </c>
      <c r="CL172">
        <v>7487</v>
      </c>
      <c r="CM172" t="s">
        <v>37</v>
      </c>
      <c r="CN172">
        <v>5388</v>
      </c>
      <c r="CO172" t="s">
        <v>37</v>
      </c>
      <c r="CP172">
        <v>21373</v>
      </c>
      <c r="CQ172" t="s">
        <v>37</v>
      </c>
      <c r="CR172">
        <v>41148</v>
      </c>
      <c r="CS172" t="s">
        <v>37</v>
      </c>
      <c r="CT172">
        <v>308628</v>
      </c>
      <c r="CU172" t="s">
        <v>37</v>
      </c>
      <c r="CV172">
        <v>55687</v>
      </c>
      <c r="CW172" t="s">
        <v>37</v>
      </c>
      <c r="CX172">
        <v>11543</v>
      </c>
      <c r="CY172" t="s">
        <v>37</v>
      </c>
      <c r="CZ172">
        <v>8669</v>
      </c>
      <c r="DA172" t="s">
        <v>37</v>
      </c>
      <c r="DC172" t="s">
        <v>37</v>
      </c>
      <c r="DD172">
        <v>26502</v>
      </c>
      <c r="DE172" t="s">
        <v>37</v>
      </c>
      <c r="DF172">
        <v>15746</v>
      </c>
      <c r="DG172" t="s">
        <v>37</v>
      </c>
      <c r="DH172">
        <v>192024</v>
      </c>
      <c r="DI172" t="s">
        <v>37</v>
      </c>
      <c r="DJ172">
        <v>14716</v>
      </c>
      <c r="DK172" t="s">
        <v>37</v>
      </c>
      <c r="DL172">
        <v>74029</v>
      </c>
      <c r="DM172" t="s">
        <v>37</v>
      </c>
      <c r="DN172">
        <v>60162</v>
      </c>
      <c r="DO172" t="s">
        <v>37</v>
      </c>
      <c r="DP172">
        <v>83742</v>
      </c>
      <c r="DQ172" t="s">
        <v>37</v>
      </c>
      <c r="DR172">
        <v>38970</v>
      </c>
      <c r="DS172" t="s">
        <v>37</v>
      </c>
      <c r="DT172">
        <v>28429</v>
      </c>
      <c r="DU172" t="s">
        <v>37</v>
      </c>
      <c r="DV172">
        <v>163999</v>
      </c>
      <c r="DW172" t="s">
        <v>37</v>
      </c>
      <c r="DX172">
        <v>68683</v>
      </c>
      <c r="DY172" t="s">
        <v>37</v>
      </c>
      <c r="DZ172">
        <v>23089</v>
      </c>
      <c r="EA172" t="s">
        <v>37</v>
      </c>
      <c r="EB172">
        <v>31861</v>
      </c>
      <c r="EC172" t="s">
        <v>37</v>
      </c>
      <c r="ED172">
        <v>114536</v>
      </c>
      <c r="EE172" t="s">
        <v>37</v>
      </c>
      <c r="EG172" t="s">
        <v>37</v>
      </c>
      <c r="EI172" t="s">
        <v>37</v>
      </c>
      <c r="EJ172">
        <v>19140</v>
      </c>
      <c r="EK172" t="s">
        <v>37</v>
      </c>
      <c r="EL172">
        <v>25892</v>
      </c>
      <c r="EM172" t="s">
        <v>37</v>
      </c>
      <c r="EN172">
        <v>15745</v>
      </c>
      <c r="EO172" t="s">
        <v>37</v>
      </c>
      <c r="EQ172" t="s">
        <v>37</v>
      </c>
      <c r="ER172">
        <v>27317</v>
      </c>
      <c r="ES172" t="s">
        <v>37</v>
      </c>
      <c r="ET172">
        <v>58861</v>
      </c>
      <c r="EU172" t="s">
        <v>37</v>
      </c>
      <c r="EV172">
        <v>40727</v>
      </c>
      <c r="EW172" t="s">
        <v>37</v>
      </c>
      <c r="EY172" t="s">
        <v>37</v>
      </c>
      <c r="EZ172">
        <v>32260</v>
      </c>
      <c r="FA172" t="s">
        <v>37</v>
      </c>
      <c r="FB172">
        <v>37344</v>
      </c>
      <c r="FC172" t="s">
        <v>37</v>
      </c>
      <c r="FD172">
        <v>51250</v>
      </c>
      <c r="FE172" t="s">
        <v>37</v>
      </c>
      <c r="FG172" t="s">
        <v>37</v>
      </c>
      <c r="FH172">
        <v>66711</v>
      </c>
      <c r="FI172" t="s">
        <v>37</v>
      </c>
      <c r="FJ172">
        <v>69856</v>
      </c>
      <c r="FK172" t="s">
        <v>37</v>
      </c>
      <c r="FL172">
        <v>138586</v>
      </c>
      <c r="FM172" t="s">
        <v>37</v>
      </c>
      <c r="FN172">
        <v>17783</v>
      </c>
      <c r="FO172" t="s">
        <v>37</v>
      </c>
      <c r="FP172">
        <v>25007</v>
      </c>
      <c r="FQ172" t="s">
        <v>37</v>
      </c>
      <c r="FR172">
        <v>41519</v>
      </c>
      <c r="FS172" t="s">
        <v>37</v>
      </c>
      <c r="FT172">
        <v>16268</v>
      </c>
      <c r="FU172" t="s">
        <v>37</v>
      </c>
      <c r="FV172">
        <v>39633</v>
      </c>
      <c r="FW172" t="s">
        <v>37</v>
      </c>
      <c r="FX172">
        <v>48541</v>
      </c>
      <c r="FY172" t="s">
        <v>37</v>
      </c>
      <c r="FZ172">
        <v>51274</v>
      </c>
      <c r="GA172" t="s">
        <v>37</v>
      </c>
      <c r="GB172">
        <v>78716</v>
      </c>
      <c r="GC172" t="s">
        <v>37</v>
      </c>
      <c r="GE172" t="s">
        <v>37</v>
      </c>
      <c r="GG172" t="s">
        <v>37</v>
      </c>
      <c r="GI172" t="s">
        <v>37</v>
      </c>
      <c r="GJ172">
        <v>48409</v>
      </c>
      <c r="GK172" t="s">
        <v>37</v>
      </c>
      <c r="GL172">
        <v>15436</v>
      </c>
      <c r="GM172" t="s">
        <v>37</v>
      </c>
      <c r="GO172" t="s">
        <v>37</v>
      </c>
      <c r="GP172">
        <v>40802</v>
      </c>
      <c r="GQ172" t="s">
        <v>37</v>
      </c>
      <c r="GR172">
        <v>47748</v>
      </c>
      <c r="GS172" t="s">
        <v>37</v>
      </c>
      <c r="GT172">
        <v>36455</v>
      </c>
      <c r="GU172" t="s">
        <v>37</v>
      </c>
      <c r="GV172">
        <v>28972</v>
      </c>
      <c r="GW172" t="s">
        <v>37</v>
      </c>
      <c r="GX172">
        <v>62570</v>
      </c>
      <c r="GY172" t="s">
        <v>37</v>
      </c>
      <c r="GZ172">
        <v>37974</v>
      </c>
      <c r="HA172" t="s">
        <v>37</v>
      </c>
      <c r="HC172" t="s">
        <v>37</v>
      </c>
      <c r="HE172" t="s">
        <v>37</v>
      </c>
      <c r="HF172">
        <v>4020076</v>
      </c>
      <c r="HG172" t="s">
        <v>37</v>
      </c>
      <c r="HI172" t="s">
        <v>37</v>
      </c>
      <c r="HJ172">
        <v>4020076</v>
      </c>
      <c r="HK172" t="s">
        <v>37</v>
      </c>
    </row>
    <row r="173" spans="1:219">
      <c r="A173">
        <v>3546</v>
      </c>
      <c r="B173" t="s">
        <v>194</v>
      </c>
      <c r="C173" t="s">
        <v>37</v>
      </c>
      <c r="D173">
        <v>413540</v>
      </c>
      <c r="E173" t="s">
        <v>37</v>
      </c>
      <c r="F173">
        <v>2167453</v>
      </c>
      <c r="G173" t="s">
        <v>37</v>
      </c>
      <c r="H173">
        <v>220626</v>
      </c>
      <c r="I173" t="s">
        <v>37</v>
      </c>
      <c r="K173" s="48" t="s">
        <v>37</v>
      </c>
      <c r="L173" s="51">
        <v>488877</v>
      </c>
      <c r="M173" s="48" t="s">
        <v>37</v>
      </c>
      <c r="N173" s="51">
        <v>324917</v>
      </c>
      <c r="O173" s="48" t="s">
        <v>37</v>
      </c>
      <c r="P173" s="51">
        <v>397074</v>
      </c>
      <c r="Q173" s="48" t="s">
        <v>37</v>
      </c>
      <c r="R173" s="51">
        <v>229062</v>
      </c>
      <c r="S173" s="48" t="s">
        <v>37</v>
      </c>
      <c r="T173">
        <v>1083744</v>
      </c>
      <c r="U173" t="s">
        <v>37</v>
      </c>
      <c r="W173" t="s">
        <v>37</v>
      </c>
      <c r="Y173" t="s">
        <v>37</v>
      </c>
      <c r="Z173">
        <v>165078</v>
      </c>
      <c r="AA173" t="s">
        <v>37</v>
      </c>
      <c r="AB173">
        <v>138875</v>
      </c>
      <c r="AC173" t="s">
        <v>37</v>
      </c>
      <c r="AD173">
        <v>123154</v>
      </c>
      <c r="AE173" t="s">
        <v>37</v>
      </c>
      <c r="AF173">
        <v>111338</v>
      </c>
      <c r="AG173" t="s">
        <v>37</v>
      </c>
      <c r="AH173">
        <v>413476</v>
      </c>
      <c r="AI173" t="s">
        <v>37</v>
      </c>
      <c r="AK173" t="s">
        <v>37</v>
      </c>
      <c r="AL173">
        <v>224891</v>
      </c>
      <c r="AM173" t="s">
        <v>37</v>
      </c>
      <c r="AO173" t="s">
        <v>37</v>
      </c>
      <c r="AP173">
        <v>2312036</v>
      </c>
      <c r="AQ173" t="s">
        <v>37</v>
      </c>
      <c r="AR173">
        <v>174374</v>
      </c>
      <c r="AS173" t="s">
        <v>37</v>
      </c>
      <c r="AT173">
        <v>3886323</v>
      </c>
      <c r="AU173" t="s">
        <v>37</v>
      </c>
      <c r="AV173">
        <v>879064</v>
      </c>
      <c r="AW173" t="s">
        <v>37</v>
      </c>
      <c r="AX173">
        <v>355288</v>
      </c>
      <c r="AY173" t="s">
        <v>37</v>
      </c>
      <c r="AZ173">
        <v>845778</v>
      </c>
      <c r="BA173" t="s">
        <v>37</v>
      </c>
      <c r="BB173">
        <v>142135</v>
      </c>
      <c r="BC173" t="s">
        <v>37</v>
      </c>
      <c r="BD173">
        <v>354050</v>
      </c>
      <c r="BE173" t="s">
        <v>37</v>
      </c>
      <c r="BF173">
        <v>134359</v>
      </c>
      <c r="BG173" t="s">
        <v>37</v>
      </c>
      <c r="BI173" t="s">
        <v>37</v>
      </c>
      <c r="BJ173">
        <v>779634</v>
      </c>
      <c r="BK173" t="s">
        <v>37</v>
      </c>
      <c r="BL173">
        <v>1162121</v>
      </c>
      <c r="BM173" t="s">
        <v>37</v>
      </c>
      <c r="BO173" t="s">
        <v>37</v>
      </c>
      <c r="BP173">
        <v>106835</v>
      </c>
      <c r="BQ173" t="s">
        <v>37</v>
      </c>
      <c r="BR173">
        <v>454542</v>
      </c>
      <c r="BS173" t="s">
        <v>37</v>
      </c>
      <c r="BT173">
        <v>166651</v>
      </c>
      <c r="BU173" t="s">
        <v>37</v>
      </c>
      <c r="BW173" t="s">
        <v>37</v>
      </c>
      <c r="BX173">
        <v>474639</v>
      </c>
      <c r="BY173" t="s">
        <v>37</v>
      </c>
      <c r="BZ173">
        <v>273559</v>
      </c>
      <c r="CA173" t="s">
        <v>37</v>
      </c>
      <c r="CC173" t="s">
        <v>37</v>
      </c>
      <c r="CD173">
        <v>421344</v>
      </c>
      <c r="CE173" t="s">
        <v>37</v>
      </c>
      <c r="CF173">
        <v>438769</v>
      </c>
      <c r="CG173" t="s">
        <v>37</v>
      </c>
      <c r="CH173">
        <v>1503527</v>
      </c>
      <c r="CI173" t="s">
        <v>37</v>
      </c>
      <c r="CJ173">
        <v>194822</v>
      </c>
      <c r="CK173" t="s">
        <v>37</v>
      </c>
      <c r="CL173">
        <v>336687</v>
      </c>
      <c r="CM173" t="s">
        <v>37</v>
      </c>
      <c r="CN173">
        <v>140972</v>
      </c>
      <c r="CO173" t="s">
        <v>37</v>
      </c>
      <c r="CP173">
        <v>142544</v>
      </c>
      <c r="CQ173" t="s">
        <v>37</v>
      </c>
      <c r="CR173">
        <v>919597</v>
      </c>
      <c r="CS173" t="s">
        <v>37</v>
      </c>
      <c r="CT173">
        <v>4619429</v>
      </c>
      <c r="CU173" t="s">
        <v>37</v>
      </c>
      <c r="CV173">
        <v>738445</v>
      </c>
      <c r="CW173" t="s">
        <v>37</v>
      </c>
      <c r="CX173">
        <v>133468</v>
      </c>
      <c r="CY173" t="s">
        <v>37</v>
      </c>
      <c r="CZ173">
        <v>175883</v>
      </c>
      <c r="DA173" t="s">
        <v>37</v>
      </c>
      <c r="DC173" t="s">
        <v>37</v>
      </c>
      <c r="DD173">
        <v>291377</v>
      </c>
      <c r="DE173" t="s">
        <v>37</v>
      </c>
      <c r="DF173">
        <v>182373</v>
      </c>
      <c r="DG173" t="s">
        <v>37</v>
      </c>
      <c r="DH173">
        <v>3137876</v>
      </c>
      <c r="DI173" t="s">
        <v>37</v>
      </c>
      <c r="DJ173">
        <v>471914</v>
      </c>
      <c r="DK173" t="s">
        <v>37</v>
      </c>
      <c r="DL173">
        <v>1005474</v>
      </c>
      <c r="DM173" t="s">
        <v>37</v>
      </c>
      <c r="DN173">
        <v>878063</v>
      </c>
      <c r="DO173" t="s">
        <v>37</v>
      </c>
      <c r="DP173">
        <v>701767</v>
      </c>
      <c r="DQ173" t="s">
        <v>37</v>
      </c>
      <c r="DR173">
        <v>372480</v>
      </c>
      <c r="DS173" t="s">
        <v>37</v>
      </c>
      <c r="DT173">
        <v>288256</v>
      </c>
      <c r="DU173" t="s">
        <v>37</v>
      </c>
      <c r="DV173">
        <v>1079722</v>
      </c>
      <c r="DW173" t="s">
        <v>37</v>
      </c>
      <c r="DX173">
        <v>934666</v>
      </c>
      <c r="DY173" t="s">
        <v>37</v>
      </c>
      <c r="DZ173">
        <v>177249</v>
      </c>
      <c r="EA173" t="s">
        <v>37</v>
      </c>
      <c r="EB173">
        <v>247636</v>
      </c>
      <c r="EC173" t="s">
        <v>37</v>
      </c>
      <c r="ED173">
        <v>731609</v>
      </c>
      <c r="EE173" t="s">
        <v>37</v>
      </c>
      <c r="EF173">
        <v>163217</v>
      </c>
      <c r="EG173" t="s">
        <v>37</v>
      </c>
      <c r="EI173" t="s">
        <v>37</v>
      </c>
      <c r="EJ173">
        <v>374238</v>
      </c>
      <c r="EK173" t="s">
        <v>37</v>
      </c>
      <c r="EL173">
        <v>286722</v>
      </c>
      <c r="EM173" t="s">
        <v>37</v>
      </c>
      <c r="EN173">
        <v>113197</v>
      </c>
      <c r="EO173" t="s">
        <v>37</v>
      </c>
      <c r="EQ173" t="s">
        <v>37</v>
      </c>
      <c r="ER173">
        <v>692283</v>
      </c>
      <c r="ES173" t="s">
        <v>37</v>
      </c>
      <c r="ET173">
        <v>649309</v>
      </c>
      <c r="EU173" t="s">
        <v>37</v>
      </c>
      <c r="EV173">
        <v>1038162</v>
      </c>
      <c r="EW173" t="s">
        <v>37</v>
      </c>
      <c r="EY173" t="s">
        <v>37</v>
      </c>
      <c r="EZ173">
        <v>461848</v>
      </c>
      <c r="FA173" t="s">
        <v>37</v>
      </c>
      <c r="FB173">
        <v>370653</v>
      </c>
      <c r="FC173" t="s">
        <v>37</v>
      </c>
      <c r="FD173">
        <v>1016924</v>
      </c>
      <c r="FE173" t="s">
        <v>37</v>
      </c>
      <c r="FG173" t="s">
        <v>37</v>
      </c>
      <c r="FH173">
        <v>1275668</v>
      </c>
      <c r="FI173" t="s">
        <v>37</v>
      </c>
      <c r="FJ173">
        <v>2901770</v>
      </c>
      <c r="FK173" t="s">
        <v>37</v>
      </c>
      <c r="FL173">
        <v>1276707</v>
      </c>
      <c r="FM173" t="s">
        <v>37</v>
      </c>
      <c r="FN173">
        <v>228490</v>
      </c>
      <c r="FO173" t="s">
        <v>37</v>
      </c>
      <c r="FP173">
        <v>394093</v>
      </c>
      <c r="FQ173" t="s">
        <v>37</v>
      </c>
      <c r="FR173">
        <v>757184</v>
      </c>
      <c r="FS173" t="s">
        <v>37</v>
      </c>
      <c r="FT173">
        <v>261506</v>
      </c>
      <c r="FU173" t="s">
        <v>37</v>
      </c>
      <c r="FV173">
        <v>262030</v>
      </c>
      <c r="FW173" t="s">
        <v>37</v>
      </c>
      <c r="FX173">
        <v>454940</v>
      </c>
      <c r="FY173" t="s">
        <v>37</v>
      </c>
      <c r="FZ173">
        <v>848885</v>
      </c>
      <c r="GA173" t="s">
        <v>37</v>
      </c>
      <c r="GB173">
        <v>951064</v>
      </c>
      <c r="GC173" t="s">
        <v>37</v>
      </c>
      <c r="GE173" t="s">
        <v>37</v>
      </c>
      <c r="GG173" t="s">
        <v>37</v>
      </c>
      <c r="GI173" t="s">
        <v>37</v>
      </c>
      <c r="GJ173">
        <v>1215563</v>
      </c>
      <c r="GK173" t="s">
        <v>37</v>
      </c>
      <c r="GL173">
        <v>790667</v>
      </c>
      <c r="GM173" t="s">
        <v>37</v>
      </c>
      <c r="GO173" t="s">
        <v>37</v>
      </c>
      <c r="GP173">
        <v>533493</v>
      </c>
      <c r="GQ173" t="s">
        <v>37</v>
      </c>
      <c r="GR173">
        <v>755996</v>
      </c>
      <c r="GS173" t="s">
        <v>37</v>
      </c>
      <c r="GT173">
        <v>460360</v>
      </c>
      <c r="GU173" t="s">
        <v>37</v>
      </c>
      <c r="GV173">
        <v>273559</v>
      </c>
      <c r="GW173" t="s">
        <v>37</v>
      </c>
      <c r="GX173">
        <v>1625814</v>
      </c>
      <c r="GY173" t="s">
        <v>37</v>
      </c>
      <c r="GZ173">
        <v>317928</v>
      </c>
      <c r="HA173" t="s">
        <v>37</v>
      </c>
      <c r="HC173" t="s">
        <v>37</v>
      </c>
      <c r="HE173" t="s">
        <v>37</v>
      </c>
      <c r="HF173">
        <v>60021712</v>
      </c>
      <c r="HG173" t="s">
        <v>37</v>
      </c>
      <c r="HI173" t="s">
        <v>37</v>
      </c>
      <c r="HJ173">
        <v>60021712</v>
      </c>
      <c r="HK173" t="s">
        <v>37</v>
      </c>
    </row>
    <row r="174" spans="1:219">
      <c r="A174">
        <v>3548</v>
      </c>
      <c r="B174" t="s">
        <v>195</v>
      </c>
      <c r="C174" t="s">
        <v>37</v>
      </c>
      <c r="D174">
        <v>294872</v>
      </c>
      <c r="E174" t="s">
        <v>37</v>
      </c>
      <c r="F174">
        <v>2550747</v>
      </c>
      <c r="G174" t="s">
        <v>37</v>
      </c>
      <c r="H174">
        <v>223752</v>
      </c>
      <c r="I174" t="s">
        <v>37</v>
      </c>
      <c r="K174" s="48" t="s">
        <v>37</v>
      </c>
      <c r="L174" s="51">
        <v>463920</v>
      </c>
      <c r="M174" s="48" t="s">
        <v>37</v>
      </c>
      <c r="N174" s="51">
        <v>241914</v>
      </c>
      <c r="O174" s="48" t="s">
        <v>37</v>
      </c>
      <c r="P174" s="51">
        <v>299151</v>
      </c>
      <c r="Q174" s="48" t="s">
        <v>37</v>
      </c>
      <c r="R174" s="51">
        <v>191166</v>
      </c>
      <c r="S174" s="48" t="s">
        <v>37</v>
      </c>
      <c r="T174">
        <v>602973</v>
      </c>
      <c r="U174" t="s">
        <v>37</v>
      </c>
      <c r="W174" t="s">
        <v>37</v>
      </c>
      <c r="Y174" t="s">
        <v>37</v>
      </c>
      <c r="Z174">
        <v>134631</v>
      </c>
      <c r="AA174" t="s">
        <v>37</v>
      </c>
      <c r="AB174">
        <v>157805</v>
      </c>
      <c r="AC174" t="s">
        <v>37</v>
      </c>
      <c r="AD174">
        <v>110894</v>
      </c>
      <c r="AE174" t="s">
        <v>37</v>
      </c>
      <c r="AF174">
        <v>95485</v>
      </c>
      <c r="AG174" t="s">
        <v>37</v>
      </c>
      <c r="AH174">
        <v>330190</v>
      </c>
      <c r="AI174" t="s">
        <v>37</v>
      </c>
      <c r="AK174" t="s">
        <v>37</v>
      </c>
      <c r="AL174">
        <v>1142212</v>
      </c>
      <c r="AM174" t="s">
        <v>37</v>
      </c>
      <c r="AO174" t="s">
        <v>37</v>
      </c>
      <c r="AP174">
        <v>2084208</v>
      </c>
      <c r="AQ174" t="s">
        <v>37</v>
      </c>
      <c r="AR174">
        <v>98439</v>
      </c>
      <c r="AS174" t="s">
        <v>37</v>
      </c>
      <c r="AT174">
        <v>3102861</v>
      </c>
      <c r="AU174" t="s">
        <v>37</v>
      </c>
      <c r="AV174">
        <v>859169</v>
      </c>
      <c r="AW174" t="s">
        <v>37</v>
      </c>
      <c r="AX174">
        <v>511142</v>
      </c>
      <c r="AY174" t="s">
        <v>37</v>
      </c>
      <c r="AZ174">
        <v>809431</v>
      </c>
      <c r="BA174" t="s">
        <v>37</v>
      </c>
      <c r="BB174">
        <v>201057</v>
      </c>
      <c r="BC174" t="s">
        <v>37</v>
      </c>
      <c r="BD174">
        <v>347921</v>
      </c>
      <c r="BE174" t="s">
        <v>37</v>
      </c>
      <c r="BF174">
        <v>104108</v>
      </c>
      <c r="BG174" t="s">
        <v>37</v>
      </c>
      <c r="BI174" t="s">
        <v>37</v>
      </c>
      <c r="BJ174">
        <v>393068</v>
      </c>
      <c r="BK174" t="s">
        <v>37</v>
      </c>
      <c r="BL174">
        <v>1967990</v>
      </c>
      <c r="BM174" t="s">
        <v>37</v>
      </c>
      <c r="BO174" t="s">
        <v>37</v>
      </c>
      <c r="BP174">
        <v>102220</v>
      </c>
      <c r="BQ174" t="s">
        <v>37</v>
      </c>
      <c r="BR174">
        <v>571421</v>
      </c>
      <c r="BS174" t="s">
        <v>37</v>
      </c>
      <c r="BT174">
        <v>143190</v>
      </c>
      <c r="BU174" t="s">
        <v>37</v>
      </c>
      <c r="BW174" t="s">
        <v>37</v>
      </c>
      <c r="BX174">
        <v>791957</v>
      </c>
      <c r="BY174" t="s">
        <v>37</v>
      </c>
      <c r="BZ174">
        <v>273584</v>
      </c>
      <c r="CA174" t="s">
        <v>37</v>
      </c>
      <c r="CC174" t="s">
        <v>37</v>
      </c>
      <c r="CD174">
        <v>464466</v>
      </c>
      <c r="CE174" t="s">
        <v>37</v>
      </c>
      <c r="CF174">
        <v>470452</v>
      </c>
      <c r="CG174" t="s">
        <v>37</v>
      </c>
      <c r="CH174">
        <v>1144070</v>
      </c>
      <c r="CI174" t="s">
        <v>37</v>
      </c>
      <c r="CJ174">
        <v>109156</v>
      </c>
      <c r="CK174" t="s">
        <v>37</v>
      </c>
      <c r="CL174">
        <v>379130</v>
      </c>
      <c r="CM174" t="s">
        <v>37</v>
      </c>
      <c r="CN174">
        <v>171217</v>
      </c>
      <c r="CO174" t="s">
        <v>37</v>
      </c>
      <c r="CP174">
        <v>99068</v>
      </c>
      <c r="CQ174" t="s">
        <v>37</v>
      </c>
      <c r="CR174">
        <v>1023692</v>
      </c>
      <c r="CS174" t="s">
        <v>37</v>
      </c>
      <c r="CT174">
        <v>4500166</v>
      </c>
      <c r="CU174" t="s">
        <v>37</v>
      </c>
      <c r="CV174">
        <v>759215</v>
      </c>
      <c r="CW174" t="s">
        <v>37</v>
      </c>
      <c r="CX174">
        <v>135087</v>
      </c>
      <c r="CY174" t="s">
        <v>37</v>
      </c>
      <c r="CZ174">
        <v>109002</v>
      </c>
      <c r="DA174" t="s">
        <v>37</v>
      </c>
      <c r="DC174" t="s">
        <v>37</v>
      </c>
      <c r="DD174">
        <v>280574</v>
      </c>
      <c r="DE174" t="s">
        <v>37</v>
      </c>
      <c r="DF174">
        <v>169053</v>
      </c>
      <c r="DG174" t="s">
        <v>37</v>
      </c>
      <c r="DH174">
        <v>2513115</v>
      </c>
      <c r="DI174" t="s">
        <v>37</v>
      </c>
      <c r="DJ174">
        <v>375202</v>
      </c>
      <c r="DK174" t="s">
        <v>37</v>
      </c>
      <c r="DL174">
        <v>836015</v>
      </c>
      <c r="DM174" t="s">
        <v>37</v>
      </c>
      <c r="DN174">
        <v>678797</v>
      </c>
      <c r="DO174" t="s">
        <v>37</v>
      </c>
      <c r="DP174">
        <v>482436</v>
      </c>
      <c r="DQ174" t="s">
        <v>37</v>
      </c>
      <c r="DR174">
        <v>349257</v>
      </c>
      <c r="DS174" t="s">
        <v>37</v>
      </c>
      <c r="DT174">
        <v>552765</v>
      </c>
      <c r="DU174" t="s">
        <v>37</v>
      </c>
      <c r="DV174">
        <v>759289</v>
      </c>
      <c r="DW174" t="s">
        <v>37</v>
      </c>
      <c r="DX174">
        <v>574778</v>
      </c>
      <c r="DY174" t="s">
        <v>37</v>
      </c>
      <c r="DZ174">
        <v>189286</v>
      </c>
      <c r="EA174" t="s">
        <v>37</v>
      </c>
      <c r="EB174">
        <v>117482</v>
      </c>
      <c r="EC174" t="s">
        <v>37</v>
      </c>
      <c r="ED174">
        <v>534907</v>
      </c>
      <c r="EE174" t="s">
        <v>37</v>
      </c>
      <c r="EF174">
        <v>172186</v>
      </c>
      <c r="EG174" t="s">
        <v>37</v>
      </c>
      <c r="EI174" t="s">
        <v>37</v>
      </c>
      <c r="EJ174">
        <v>354445</v>
      </c>
      <c r="EK174" t="s">
        <v>37</v>
      </c>
      <c r="EL174">
        <v>287221</v>
      </c>
      <c r="EM174" t="s">
        <v>37</v>
      </c>
      <c r="EN174">
        <v>130329</v>
      </c>
      <c r="EO174" t="s">
        <v>37</v>
      </c>
      <c r="EQ174" t="s">
        <v>37</v>
      </c>
      <c r="ER174">
        <v>719605</v>
      </c>
      <c r="ES174" t="s">
        <v>37</v>
      </c>
      <c r="ET174">
        <v>497289</v>
      </c>
      <c r="EU174" t="s">
        <v>37</v>
      </c>
      <c r="EV174">
        <v>772549</v>
      </c>
      <c r="EW174" t="s">
        <v>37</v>
      </c>
      <c r="EY174" t="s">
        <v>37</v>
      </c>
      <c r="EZ174">
        <v>427653</v>
      </c>
      <c r="FA174" t="s">
        <v>37</v>
      </c>
      <c r="FB174">
        <v>361992</v>
      </c>
      <c r="FC174" t="s">
        <v>37</v>
      </c>
      <c r="FD174">
        <v>802785</v>
      </c>
      <c r="FE174" t="s">
        <v>37</v>
      </c>
      <c r="FG174" t="s">
        <v>37</v>
      </c>
      <c r="FH174">
        <v>1000973</v>
      </c>
      <c r="FI174" t="s">
        <v>37</v>
      </c>
      <c r="FJ174">
        <v>2846180</v>
      </c>
      <c r="FK174" t="s">
        <v>37</v>
      </c>
      <c r="FL174">
        <v>1058939</v>
      </c>
      <c r="FM174" t="s">
        <v>37</v>
      </c>
      <c r="FN174">
        <v>216220</v>
      </c>
      <c r="FO174" t="s">
        <v>37</v>
      </c>
      <c r="FP174">
        <v>282505</v>
      </c>
      <c r="FQ174" t="s">
        <v>37</v>
      </c>
      <c r="FR174">
        <v>474944</v>
      </c>
      <c r="FS174" t="s">
        <v>37</v>
      </c>
      <c r="FT174">
        <v>201309</v>
      </c>
      <c r="FU174" t="s">
        <v>37</v>
      </c>
      <c r="FV174">
        <v>192689</v>
      </c>
      <c r="FW174" t="s">
        <v>37</v>
      </c>
      <c r="FX174">
        <v>290840</v>
      </c>
      <c r="FY174" t="s">
        <v>37</v>
      </c>
      <c r="FZ174">
        <v>609859</v>
      </c>
      <c r="GA174" t="s">
        <v>37</v>
      </c>
      <c r="GB174">
        <v>722000</v>
      </c>
      <c r="GC174" t="s">
        <v>37</v>
      </c>
      <c r="GE174" t="s">
        <v>37</v>
      </c>
      <c r="GG174" t="s">
        <v>37</v>
      </c>
      <c r="GI174" t="s">
        <v>37</v>
      </c>
      <c r="GJ174">
        <v>915769</v>
      </c>
      <c r="GK174" t="s">
        <v>37</v>
      </c>
      <c r="GL174">
        <v>906498</v>
      </c>
      <c r="GM174" t="s">
        <v>37</v>
      </c>
      <c r="GO174" t="s">
        <v>37</v>
      </c>
      <c r="GP174">
        <v>406333</v>
      </c>
      <c r="GQ174" t="s">
        <v>37</v>
      </c>
      <c r="GR174">
        <v>860178</v>
      </c>
      <c r="GS174" t="s">
        <v>37</v>
      </c>
      <c r="GT174">
        <v>344806</v>
      </c>
      <c r="GU174" t="s">
        <v>37</v>
      </c>
      <c r="GV174">
        <v>232048</v>
      </c>
      <c r="GW174" t="s">
        <v>37</v>
      </c>
      <c r="GX174">
        <v>1148062</v>
      </c>
      <c r="GY174" t="s">
        <v>37</v>
      </c>
      <c r="GZ174">
        <v>276536</v>
      </c>
      <c r="HA174" t="s">
        <v>37</v>
      </c>
      <c r="HB174">
        <v>283818</v>
      </c>
      <c r="HC174" t="s">
        <v>37</v>
      </c>
      <c r="HD174">
        <v>109547</v>
      </c>
      <c r="HE174" t="s">
        <v>37</v>
      </c>
      <c r="HF174">
        <v>54491897</v>
      </c>
      <c r="HG174" t="s">
        <v>37</v>
      </c>
      <c r="HH174">
        <v>393365</v>
      </c>
      <c r="HI174" t="s">
        <v>37</v>
      </c>
      <c r="HJ174">
        <v>54885262</v>
      </c>
      <c r="HK174" t="s">
        <v>37</v>
      </c>
    </row>
    <row r="175" spans="1:219">
      <c r="A175">
        <v>3549</v>
      </c>
      <c r="B175" t="s">
        <v>196</v>
      </c>
      <c r="C175" t="s">
        <v>37</v>
      </c>
      <c r="E175" t="s">
        <v>37</v>
      </c>
      <c r="F175">
        <v>67392</v>
      </c>
      <c r="G175" t="s">
        <v>37</v>
      </c>
      <c r="H175">
        <v>12747</v>
      </c>
      <c r="I175" t="s">
        <v>37</v>
      </c>
      <c r="K175" s="48" t="s">
        <v>37</v>
      </c>
      <c r="L175" s="50"/>
      <c r="M175" s="48" t="s">
        <v>37</v>
      </c>
      <c r="N175" s="50"/>
      <c r="O175" s="48" t="s">
        <v>37</v>
      </c>
      <c r="P175" s="51">
        <v>20221</v>
      </c>
      <c r="Q175" s="48" t="s">
        <v>37</v>
      </c>
      <c r="R175" s="50"/>
      <c r="S175" s="48" t="s">
        <v>37</v>
      </c>
      <c r="T175">
        <v>149073</v>
      </c>
      <c r="U175" t="s">
        <v>37</v>
      </c>
      <c r="W175" t="s">
        <v>37</v>
      </c>
      <c r="Y175" t="s">
        <v>37</v>
      </c>
      <c r="Z175">
        <v>10490</v>
      </c>
      <c r="AA175" t="s">
        <v>37</v>
      </c>
      <c r="AB175">
        <v>7235</v>
      </c>
      <c r="AC175" t="s">
        <v>37</v>
      </c>
      <c r="AE175" t="s">
        <v>37</v>
      </c>
      <c r="AG175" t="s">
        <v>37</v>
      </c>
      <c r="AI175" t="s">
        <v>37</v>
      </c>
      <c r="AK175" t="s">
        <v>37</v>
      </c>
      <c r="AL175">
        <v>116040</v>
      </c>
      <c r="AM175" t="s">
        <v>37</v>
      </c>
      <c r="AO175" t="s">
        <v>37</v>
      </c>
      <c r="AQ175" t="s">
        <v>37</v>
      </c>
      <c r="AS175" t="s">
        <v>37</v>
      </c>
      <c r="AT175">
        <v>243228</v>
      </c>
      <c r="AU175" t="s">
        <v>37</v>
      </c>
      <c r="AV175">
        <v>48239</v>
      </c>
      <c r="AW175" t="s">
        <v>37</v>
      </c>
      <c r="AY175" t="s">
        <v>37</v>
      </c>
      <c r="BA175" t="s">
        <v>37</v>
      </c>
      <c r="BC175" t="s">
        <v>37</v>
      </c>
      <c r="BD175">
        <v>6652</v>
      </c>
      <c r="BE175" t="s">
        <v>37</v>
      </c>
      <c r="BG175" t="s">
        <v>37</v>
      </c>
      <c r="BI175" t="s">
        <v>37</v>
      </c>
      <c r="BJ175">
        <v>21315</v>
      </c>
      <c r="BK175" t="s">
        <v>37</v>
      </c>
      <c r="BL175">
        <v>72662</v>
      </c>
      <c r="BM175" t="s">
        <v>37</v>
      </c>
      <c r="BO175" t="s">
        <v>37</v>
      </c>
      <c r="BQ175" t="s">
        <v>37</v>
      </c>
      <c r="BR175">
        <v>8377</v>
      </c>
      <c r="BS175" t="s">
        <v>37</v>
      </c>
      <c r="BU175" t="s">
        <v>37</v>
      </c>
      <c r="BW175" t="s">
        <v>37</v>
      </c>
      <c r="BY175" t="s">
        <v>37</v>
      </c>
      <c r="BZ175">
        <v>17563</v>
      </c>
      <c r="CA175" t="s">
        <v>37</v>
      </c>
      <c r="CC175" t="s">
        <v>37</v>
      </c>
      <c r="CE175" t="s">
        <v>37</v>
      </c>
      <c r="CF175">
        <v>16481</v>
      </c>
      <c r="CG175" t="s">
        <v>37</v>
      </c>
      <c r="CH175">
        <v>117777</v>
      </c>
      <c r="CI175" t="s">
        <v>37</v>
      </c>
      <c r="CK175" t="s">
        <v>37</v>
      </c>
      <c r="CL175">
        <v>10659</v>
      </c>
      <c r="CM175" t="s">
        <v>37</v>
      </c>
      <c r="CO175" t="s">
        <v>37</v>
      </c>
      <c r="CQ175" t="s">
        <v>37</v>
      </c>
      <c r="CS175" t="s">
        <v>37</v>
      </c>
      <c r="CU175" t="s">
        <v>37</v>
      </c>
      <c r="CV175">
        <v>111618</v>
      </c>
      <c r="CW175" t="s">
        <v>37</v>
      </c>
      <c r="CY175" t="s">
        <v>37</v>
      </c>
      <c r="DA175" t="s">
        <v>37</v>
      </c>
      <c r="DC175" t="s">
        <v>37</v>
      </c>
      <c r="DD175">
        <v>21318</v>
      </c>
      <c r="DE175" t="s">
        <v>37</v>
      </c>
      <c r="DG175" t="s">
        <v>37</v>
      </c>
      <c r="DH175">
        <v>94637</v>
      </c>
      <c r="DI175" t="s">
        <v>37</v>
      </c>
      <c r="DJ175">
        <v>3692</v>
      </c>
      <c r="DK175" t="s">
        <v>37</v>
      </c>
      <c r="DM175" t="s">
        <v>37</v>
      </c>
      <c r="DN175">
        <v>24958</v>
      </c>
      <c r="DO175" t="s">
        <v>37</v>
      </c>
      <c r="DP175">
        <v>38609</v>
      </c>
      <c r="DQ175" t="s">
        <v>37</v>
      </c>
      <c r="DR175">
        <v>21089</v>
      </c>
      <c r="DS175" t="s">
        <v>37</v>
      </c>
      <c r="DT175">
        <v>5017</v>
      </c>
      <c r="DU175" t="s">
        <v>37</v>
      </c>
      <c r="DW175" t="s">
        <v>37</v>
      </c>
      <c r="DX175">
        <v>106654</v>
      </c>
      <c r="DY175" t="s">
        <v>37</v>
      </c>
      <c r="EA175" t="s">
        <v>37</v>
      </c>
      <c r="EB175">
        <v>16625</v>
      </c>
      <c r="EC175" t="s">
        <v>37</v>
      </c>
      <c r="ED175">
        <v>204696</v>
      </c>
      <c r="EE175" t="s">
        <v>37</v>
      </c>
      <c r="EG175" t="s">
        <v>37</v>
      </c>
      <c r="EI175" t="s">
        <v>37</v>
      </c>
      <c r="EK175" t="s">
        <v>37</v>
      </c>
      <c r="EL175">
        <v>5018</v>
      </c>
      <c r="EM175" t="s">
        <v>37</v>
      </c>
      <c r="EN175">
        <v>10036</v>
      </c>
      <c r="EO175" t="s">
        <v>37</v>
      </c>
      <c r="EQ175" t="s">
        <v>37</v>
      </c>
      <c r="ER175">
        <v>4887</v>
      </c>
      <c r="ES175" t="s">
        <v>37</v>
      </c>
      <c r="ET175">
        <v>45004</v>
      </c>
      <c r="EU175" t="s">
        <v>37</v>
      </c>
      <c r="EV175">
        <v>139798</v>
      </c>
      <c r="EW175" t="s">
        <v>37</v>
      </c>
      <c r="EY175" t="s">
        <v>37</v>
      </c>
      <c r="FA175" t="s">
        <v>37</v>
      </c>
      <c r="FC175" t="s">
        <v>37</v>
      </c>
      <c r="FE175" t="s">
        <v>37</v>
      </c>
      <c r="FG175" t="s">
        <v>37</v>
      </c>
      <c r="FH175">
        <v>179699</v>
      </c>
      <c r="FI175" t="s">
        <v>37</v>
      </c>
      <c r="FJ175">
        <v>126424</v>
      </c>
      <c r="FK175" t="s">
        <v>37</v>
      </c>
      <c r="FL175">
        <v>8106</v>
      </c>
      <c r="FM175" t="s">
        <v>37</v>
      </c>
      <c r="FO175" t="s">
        <v>37</v>
      </c>
      <c r="FP175">
        <v>75845</v>
      </c>
      <c r="FQ175" t="s">
        <v>37</v>
      </c>
      <c r="FS175" t="s">
        <v>37</v>
      </c>
      <c r="FU175" t="s">
        <v>37</v>
      </c>
      <c r="FW175" t="s">
        <v>37</v>
      </c>
      <c r="FY175" t="s">
        <v>37</v>
      </c>
      <c r="GA175" t="s">
        <v>37</v>
      </c>
      <c r="GB175">
        <v>112010</v>
      </c>
      <c r="GC175" t="s">
        <v>37</v>
      </c>
      <c r="GE175" t="s">
        <v>37</v>
      </c>
      <c r="GG175" t="s">
        <v>37</v>
      </c>
      <c r="GI175" t="s">
        <v>37</v>
      </c>
      <c r="GK175" t="s">
        <v>37</v>
      </c>
      <c r="GL175">
        <v>103424</v>
      </c>
      <c r="GM175" t="s">
        <v>37</v>
      </c>
      <c r="GO175" t="s">
        <v>37</v>
      </c>
      <c r="GP175">
        <v>107588</v>
      </c>
      <c r="GQ175" t="s">
        <v>37</v>
      </c>
      <c r="GR175">
        <v>10036</v>
      </c>
      <c r="GS175" t="s">
        <v>37</v>
      </c>
      <c r="GT175">
        <v>68402</v>
      </c>
      <c r="GU175" t="s">
        <v>37</v>
      </c>
      <c r="GV175">
        <v>28854</v>
      </c>
      <c r="GW175" t="s">
        <v>37</v>
      </c>
      <c r="GX175">
        <v>237680</v>
      </c>
      <c r="GY175" t="s">
        <v>37</v>
      </c>
      <c r="GZ175">
        <v>45004</v>
      </c>
      <c r="HA175" t="s">
        <v>37</v>
      </c>
      <c r="HC175" t="s">
        <v>37</v>
      </c>
      <c r="HE175" t="s">
        <v>37</v>
      </c>
      <c r="HF175">
        <v>2902879</v>
      </c>
      <c r="HG175" t="s">
        <v>37</v>
      </c>
      <c r="HI175" t="s">
        <v>37</v>
      </c>
      <c r="HJ175">
        <v>2902879</v>
      </c>
      <c r="HK175" t="s">
        <v>37</v>
      </c>
    </row>
    <row r="176" spans="1:219">
      <c r="A176">
        <v>3550</v>
      </c>
      <c r="B176" t="s">
        <v>197</v>
      </c>
      <c r="C176" t="s">
        <v>37</v>
      </c>
      <c r="D176">
        <v>548974</v>
      </c>
      <c r="E176" t="s">
        <v>37</v>
      </c>
      <c r="F176">
        <v>3100704</v>
      </c>
      <c r="G176" t="s">
        <v>37</v>
      </c>
      <c r="H176">
        <v>241401</v>
      </c>
      <c r="I176" t="s">
        <v>37</v>
      </c>
      <c r="J176">
        <v>24614</v>
      </c>
      <c r="K176" s="48" t="s">
        <v>37</v>
      </c>
      <c r="L176" s="51">
        <v>1027912</v>
      </c>
      <c r="M176" s="48" t="s">
        <v>37</v>
      </c>
      <c r="N176" s="51">
        <v>446940</v>
      </c>
      <c r="O176" s="48" t="s">
        <v>37</v>
      </c>
      <c r="P176" s="51">
        <v>336135</v>
      </c>
      <c r="Q176" s="48" t="s">
        <v>37</v>
      </c>
      <c r="R176" s="51">
        <v>397955</v>
      </c>
      <c r="S176" s="48" t="s">
        <v>37</v>
      </c>
      <c r="T176">
        <v>1686215</v>
      </c>
      <c r="U176" t="s">
        <v>37</v>
      </c>
      <c r="V176">
        <v>38901</v>
      </c>
      <c r="W176" t="s">
        <v>37</v>
      </c>
      <c r="X176">
        <v>47753</v>
      </c>
      <c r="Y176" t="s">
        <v>37</v>
      </c>
      <c r="Z176">
        <v>234543</v>
      </c>
      <c r="AA176" t="s">
        <v>37</v>
      </c>
      <c r="AB176">
        <v>153775</v>
      </c>
      <c r="AC176" t="s">
        <v>37</v>
      </c>
      <c r="AD176">
        <v>112049</v>
      </c>
      <c r="AE176" t="s">
        <v>37</v>
      </c>
      <c r="AF176">
        <v>126687</v>
      </c>
      <c r="AG176" t="s">
        <v>37</v>
      </c>
      <c r="AH176">
        <v>347440</v>
      </c>
      <c r="AI176" t="s">
        <v>37</v>
      </c>
      <c r="AJ176">
        <v>25460</v>
      </c>
      <c r="AK176" t="s">
        <v>37</v>
      </c>
      <c r="AL176">
        <v>2695128</v>
      </c>
      <c r="AM176" t="s">
        <v>37</v>
      </c>
      <c r="AN176">
        <v>57703</v>
      </c>
      <c r="AO176" t="s">
        <v>37</v>
      </c>
      <c r="AP176">
        <v>3547960</v>
      </c>
      <c r="AQ176" t="s">
        <v>37</v>
      </c>
      <c r="AR176">
        <v>275302</v>
      </c>
      <c r="AS176" t="s">
        <v>37</v>
      </c>
      <c r="AT176">
        <v>6222837</v>
      </c>
      <c r="AU176" t="s">
        <v>37</v>
      </c>
      <c r="AV176">
        <v>1354474</v>
      </c>
      <c r="AW176" t="s">
        <v>37</v>
      </c>
      <c r="AX176">
        <v>824719</v>
      </c>
      <c r="AY176" t="s">
        <v>37</v>
      </c>
      <c r="AZ176">
        <v>1099394</v>
      </c>
      <c r="BA176" t="s">
        <v>37</v>
      </c>
      <c r="BB176">
        <v>141600</v>
      </c>
      <c r="BC176" t="s">
        <v>37</v>
      </c>
      <c r="BD176">
        <v>354214</v>
      </c>
      <c r="BE176" t="s">
        <v>37</v>
      </c>
      <c r="BF176">
        <v>150532</v>
      </c>
      <c r="BG176" t="s">
        <v>37</v>
      </c>
      <c r="BH176">
        <v>23813</v>
      </c>
      <c r="BI176" t="s">
        <v>37</v>
      </c>
      <c r="BJ176">
        <v>827133</v>
      </c>
      <c r="BK176" t="s">
        <v>37</v>
      </c>
      <c r="BL176">
        <v>1514634</v>
      </c>
      <c r="BM176" t="s">
        <v>37</v>
      </c>
      <c r="BO176" t="s">
        <v>37</v>
      </c>
      <c r="BP176">
        <v>105705</v>
      </c>
      <c r="BQ176" t="s">
        <v>37</v>
      </c>
      <c r="BR176">
        <v>391975</v>
      </c>
      <c r="BS176" t="s">
        <v>37</v>
      </c>
      <c r="BT176">
        <v>175452</v>
      </c>
      <c r="BU176" t="s">
        <v>37</v>
      </c>
      <c r="BW176" t="s">
        <v>37</v>
      </c>
      <c r="BX176">
        <v>2412445</v>
      </c>
      <c r="BY176" t="s">
        <v>37</v>
      </c>
      <c r="BZ176">
        <v>338443</v>
      </c>
      <c r="CA176" t="s">
        <v>37</v>
      </c>
      <c r="CB176">
        <v>41563</v>
      </c>
      <c r="CC176" t="s">
        <v>37</v>
      </c>
      <c r="CD176">
        <v>600021</v>
      </c>
      <c r="CE176" t="s">
        <v>37</v>
      </c>
      <c r="CF176">
        <v>570892</v>
      </c>
      <c r="CG176" t="s">
        <v>37</v>
      </c>
      <c r="CH176">
        <v>2137109</v>
      </c>
      <c r="CI176" t="s">
        <v>37</v>
      </c>
      <c r="CJ176">
        <v>168309</v>
      </c>
      <c r="CK176" t="s">
        <v>37</v>
      </c>
      <c r="CL176">
        <v>450436</v>
      </c>
      <c r="CM176" t="s">
        <v>37</v>
      </c>
      <c r="CN176">
        <v>131484</v>
      </c>
      <c r="CO176" t="s">
        <v>37</v>
      </c>
      <c r="CP176">
        <v>212468</v>
      </c>
      <c r="CQ176" t="s">
        <v>37</v>
      </c>
      <c r="CR176">
        <v>1501352</v>
      </c>
      <c r="CS176" t="s">
        <v>37</v>
      </c>
      <c r="CT176">
        <v>8428411</v>
      </c>
      <c r="CU176" t="s">
        <v>37</v>
      </c>
      <c r="CV176">
        <v>1229093</v>
      </c>
      <c r="CW176" t="s">
        <v>37</v>
      </c>
      <c r="CX176">
        <v>170950</v>
      </c>
      <c r="CY176" t="s">
        <v>37</v>
      </c>
      <c r="CZ176">
        <v>222798</v>
      </c>
      <c r="DA176" t="s">
        <v>37</v>
      </c>
      <c r="DB176">
        <v>39143</v>
      </c>
      <c r="DC176" t="s">
        <v>37</v>
      </c>
      <c r="DD176">
        <v>384531</v>
      </c>
      <c r="DE176" t="s">
        <v>37</v>
      </c>
      <c r="DF176">
        <v>178204</v>
      </c>
      <c r="DG176" t="s">
        <v>37</v>
      </c>
      <c r="DH176">
        <v>4667234</v>
      </c>
      <c r="DI176" t="s">
        <v>37</v>
      </c>
      <c r="DJ176">
        <v>340133</v>
      </c>
      <c r="DK176" t="s">
        <v>37</v>
      </c>
      <c r="DL176">
        <v>1353462</v>
      </c>
      <c r="DM176" t="s">
        <v>37</v>
      </c>
      <c r="DN176">
        <v>1488555</v>
      </c>
      <c r="DO176" t="s">
        <v>37</v>
      </c>
      <c r="DP176">
        <v>783226</v>
      </c>
      <c r="DQ176" t="s">
        <v>37</v>
      </c>
      <c r="DR176">
        <v>439768</v>
      </c>
      <c r="DS176" t="s">
        <v>37</v>
      </c>
      <c r="DT176">
        <v>339484</v>
      </c>
      <c r="DU176" t="s">
        <v>37</v>
      </c>
      <c r="DV176">
        <v>2889880</v>
      </c>
      <c r="DW176" t="s">
        <v>37</v>
      </c>
      <c r="DX176">
        <v>1327508</v>
      </c>
      <c r="DY176" t="s">
        <v>37</v>
      </c>
      <c r="DZ176">
        <v>318556</v>
      </c>
      <c r="EA176" t="s">
        <v>37</v>
      </c>
      <c r="EB176">
        <v>412178</v>
      </c>
      <c r="EC176" t="s">
        <v>37</v>
      </c>
      <c r="ED176">
        <v>2507252</v>
      </c>
      <c r="EE176" t="s">
        <v>37</v>
      </c>
      <c r="EF176">
        <v>140661</v>
      </c>
      <c r="EG176" t="s">
        <v>37</v>
      </c>
      <c r="EI176" t="s">
        <v>37</v>
      </c>
      <c r="EJ176">
        <v>347039</v>
      </c>
      <c r="EK176" t="s">
        <v>37</v>
      </c>
      <c r="EL176">
        <v>238304</v>
      </c>
      <c r="EM176" t="s">
        <v>37</v>
      </c>
      <c r="EN176">
        <v>122139</v>
      </c>
      <c r="EO176" t="s">
        <v>37</v>
      </c>
      <c r="EP176">
        <v>21903</v>
      </c>
      <c r="EQ176" t="s">
        <v>37</v>
      </c>
      <c r="ER176">
        <v>622190</v>
      </c>
      <c r="ES176" t="s">
        <v>37</v>
      </c>
      <c r="ET176">
        <v>847496</v>
      </c>
      <c r="EU176" t="s">
        <v>37</v>
      </c>
      <c r="EV176">
        <v>1564636</v>
      </c>
      <c r="EW176" t="s">
        <v>37</v>
      </c>
      <c r="EY176" t="s">
        <v>37</v>
      </c>
      <c r="EZ176">
        <v>435647</v>
      </c>
      <c r="FA176" t="s">
        <v>37</v>
      </c>
      <c r="FB176">
        <v>545271</v>
      </c>
      <c r="FC176" t="s">
        <v>37</v>
      </c>
      <c r="FD176">
        <v>1095231</v>
      </c>
      <c r="FE176" t="s">
        <v>37</v>
      </c>
      <c r="FF176">
        <v>14229</v>
      </c>
      <c r="FG176" t="s">
        <v>37</v>
      </c>
      <c r="FH176">
        <v>2143463</v>
      </c>
      <c r="FI176" t="s">
        <v>37</v>
      </c>
      <c r="FJ176">
        <v>3932020</v>
      </c>
      <c r="FK176" t="s">
        <v>37</v>
      </c>
      <c r="FL176">
        <v>3074303</v>
      </c>
      <c r="FM176" t="s">
        <v>37</v>
      </c>
      <c r="FN176">
        <v>249039</v>
      </c>
      <c r="FO176" t="s">
        <v>37</v>
      </c>
      <c r="FP176">
        <v>704144</v>
      </c>
      <c r="FQ176" t="s">
        <v>37</v>
      </c>
      <c r="FR176">
        <v>1055459</v>
      </c>
      <c r="FS176" t="s">
        <v>37</v>
      </c>
      <c r="FT176">
        <v>527481</v>
      </c>
      <c r="FU176" t="s">
        <v>37</v>
      </c>
      <c r="FV176">
        <v>349724</v>
      </c>
      <c r="FW176" t="s">
        <v>37</v>
      </c>
      <c r="FX176">
        <v>965798</v>
      </c>
      <c r="FY176" t="s">
        <v>37</v>
      </c>
      <c r="FZ176">
        <v>1379464</v>
      </c>
      <c r="GA176" t="s">
        <v>37</v>
      </c>
      <c r="GB176">
        <v>1338155</v>
      </c>
      <c r="GC176" t="s">
        <v>37</v>
      </c>
      <c r="GD176">
        <v>39445</v>
      </c>
      <c r="GE176" t="s">
        <v>37</v>
      </c>
      <c r="GF176">
        <v>48210</v>
      </c>
      <c r="GG176" t="s">
        <v>37</v>
      </c>
      <c r="GH176">
        <v>39858</v>
      </c>
      <c r="GI176" t="s">
        <v>37</v>
      </c>
      <c r="GJ176">
        <v>1121727</v>
      </c>
      <c r="GK176" t="s">
        <v>37</v>
      </c>
      <c r="GL176">
        <v>1137343</v>
      </c>
      <c r="GM176" t="s">
        <v>37</v>
      </c>
      <c r="GO176" t="s">
        <v>37</v>
      </c>
      <c r="GP176">
        <v>708183</v>
      </c>
      <c r="GQ176" t="s">
        <v>37</v>
      </c>
      <c r="GR176">
        <v>684653</v>
      </c>
      <c r="GS176" t="s">
        <v>37</v>
      </c>
      <c r="GT176">
        <v>728742</v>
      </c>
      <c r="GU176" t="s">
        <v>37</v>
      </c>
      <c r="GV176">
        <v>1009423</v>
      </c>
      <c r="GW176" t="s">
        <v>37</v>
      </c>
      <c r="GX176">
        <v>2210313</v>
      </c>
      <c r="GY176" t="s">
        <v>37</v>
      </c>
      <c r="GZ176">
        <v>1091584</v>
      </c>
      <c r="HA176" t="s">
        <v>37</v>
      </c>
      <c r="HB176">
        <v>245359</v>
      </c>
      <c r="HC176" t="s">
        <v>37</v>
      </c>
      <c r="HD176">
        <v>160487</v>
      </c>
      <c r="HE176" t="s">
        <v>37</v>
      </c>
      <c r="HF176">
        <v>95278198</v>
      </c>
      <c r="HG176" t="s">
        <v>37</v>
      </c>
      <c r="HH176">
        <v>405846</v>
      </c>
      <c r="HI176" t="s">
        <v>37</v>
      </c>
      <c r="HJ176">
        <v>95684044</v>
      </c>
      <c r="HK176" t="s">
        <v>37</v>
      </c>
    </row>
    <row r="177" spans="1:219">
      <c r="A177">
        <v>3553</v>
      </c>
      <c r="B177" t="s">
        <v>198</v>
      </c>
      <c r="C177" t="s">
        <v>37</v>
      </c>
      <c r="D177">
        <v>5942</v>
      </c>
      <c r="E177" t="s">
        <v>37</v>
      </c>
      <c r="F177">
        <v>10835</v>
      </c>
      <c r="G177" t="s">
        <v>37</v>
      </c>
      <c r="H177">
        <v>18367</v>
      </c>
      <c r="I177" t="s">
        <v>37</v>
      </c>
      <c r="K177" s="48" t="s">
        <v>37</v>
      </c>
      <c r="L177" s="50"/>
      <c r="M177" s="48" t="s">
        <v>37</v>
      </c>
      <c r="N177" s="50"/>
      <c r="O177" s="48" t="s">
        <v>37</v>
      </c>
      <c r="P177" s="50"/>
      <c r="Q177" s="48" t="s">
        <v>37</v>
      </c>
      <c r="R177" s="50"/>
      <c r="S177" s="48" t="s">
        <v>37</v>
      </c>
      <c r="T177">
        <v>4201</v>
      </c>
      <c r="U177" t="s">
        <v>37</v>
      </c>
      <c r="W177" t="s">
        <v>37</v>
      </c>
      <c r="X177">
        <v>2541</v>
      </c>
      <c r="Y177" t="s">
        <v>37</v>
      </c>
      <c r="AA177" t="s">
        <v>37</v>
      </c>
      <c r="AC177" t="s">
        <v>37</v>
      </c>
      <c r="AE177" t="s">
        <v>37</v>
      </c>
      <c r="AG177" t="s">
        <v>37</v>
      </c>
      <c r="AI177" t="s">
        <v>37</v>
      </c>
      <c r="AK177" t="s">
        <v>37</v>
      </c>
      <c r="AL177">
        <v>34015</v>
      </c>
      <c r="AM177" t="s">
        <v>37</v>
      </c>
      <c r="AO177" t="s">
        <v>37</v>
      </c>
      <c r="AP177">
        <v>27725</v>
      </c>
      <c r="AQ177" t="s">
        <v>37</v>
      </c>
      <c r="AR177">
        <v>15990</v>
      </c>
      <c r="AS177" t="s">
        <v>37</v>
      </c>
      <c r="AT177">
        <v>38691</v>
      </c>
      <c r="AU177" t="s">
        <v>37</v>
      </c>
      <c r="AV177">
        <v>14308</v>
      </c>
      <c r="AW177" t="s">
        <v>37</v>
      </c>
      <c r="AX177">
        <v>2007</v>
      </c>
      <c r="AY177" t="s">
        <v>37</v>
      </c>
      <c r="AZ177">
        <v>17740</v>
      </c>
      <c r="BA177" t="s">
        <v>37</v>
      </c>
      <c r="BC177" t="s">
        <v>37</v>
      </c>
      <c r="BE177" t="s">
        <v>37</v>
      </c>
      <c r="BG177" t="s">
        <v>37</v>
      </c>
      <c r="BH177">
        <v>74500</v>
      </c>
      <c r="BI177" t="s">
        <v>37</v>
      </c>
      <c r="BJ177">
        <v>18222</v>
      </c>
      <c r="BK177" t="s">
        <v>37</v>
      </c>
      <c r="BL177">
        <v>3364</v>
      </c>
      <c r="BM177" t="s">
        <v>37</v>
      </c>
      <c r="BO177" t="s">
        <v>37</v>
      </c>
      <c r="BQ177" t="s">
        <v>37</v>
      </c>
      <c r="BR177">
        <v>7170</v>
      </c>
      <c r="BS177" t="s">
        <v>37</v>
      </c>
      <c r="BU177" t="s">
        <v>37</v>
      </c>
      <c r="BW177" t="s">
        <v>37</v>
      </c>
      <c r="BX177">
        <v>59941</v>
      </c>
      <c r="BY177" t="s">
        <v>37</v>
      </c>
      <c r="CA177" t="s">
        <v>37</v>
      </c>
      <c r="CC177" t="s">
        <v>37</v>
      </c>
      <c r="CD177">
        <v>9209</v>
      </c>
      <c r="CE177" t="s">
        <v>37</v>
      </c>
      <c r="CG177" t="s">
        <v>37</v>
      </c>
      <c r="CH177">
        <v>26041</v>
      </c>
      <c r="CI177" t="s">
        <v>37</v>
      </c>
      <c r="CK177" t="s">
        <v>37</v>
      </c>
      <c r="CL177">
        <v>16074</v>
      </c>
      <c r="CM177" t="s">
        <v>37</v>
      </c>
      <c r="CO177" t="s">
        <v>37</v>
      </c>
      <c r="CQ177" t="s">
        <v>37</v>
      </c>
      <c r="CR177">
        <v>18032</v>
      </c>
      <c r="CS177" t="s">
        <v>37</v>
      </c>
      <c r="CT177">
        <v>41443</v>
      </c>
      <c r="CU177" t="s">
        <v>37</v>
      </c>
      <c r="CV177">
        <v>5076</v>
      </c>
      <c r="CW177" t="s">
        <v>37</v>
      </c>
      <c r="CY177" t="s">
        <v>37</v>
      </c>
      <c r="DA177" t="s">
        <v>37</v>
      </c>
      <c r="DC177" t="s">
        <v>37</v>
      </c>
      <c r="DD177">
        <v>8021</v>
      </c>
      <c r="DE177" t="s">
        <v>37</v>
      </c>
      <c r="DG177" t="s">
        <v>37</v>
      </c>
      <c r="DH177">
        <v>14169</v>
      </c>
      <c r="DI177" t="s">
        <v>37</v>
      </c>
      <c r="DK177" t="s">
        <v>37</v>
      </c>
      <c r="DL177">
        <v>5841</v>
      </c>
      <c r="DM177" t="s">
        <v>37</v>
      </c>
      <c r="DN177">
        <v>28366</v>
      </c>
      <c r="DO177" t="s">
        <v>37</v>
      </c>
      <c r="DP177">
        <v>10231</v>
      </c>
      <c r="DQ177" t="s">
        <v>37</v>
      </c>
      <c r="DS177" t="s">
        <v>37</v>
      </c>
      <c r="DU177" t="s">
        <v>37</v>
      </c>
      <c r="DV177">
        <v>5437</v>
      </c>
      <c r="DW177" t="s">
        <v>37</v>
      </c>
      <c r="DX177">
        <v>2841</v>
      </c>
      <c r="DY177" t="s">
        <v>37</v>
      </c>
      <c r="DZ177">
        <v>5528</v>
      </c>
      <c r="EA177" t="s">
        <v>37</v>
      </c>
      <c r="EC177" t="s">
        <v>37</v>
      </c>
      <c r="ED177">
        <v>1679</v>
      </c>
      <c r="EE177" t="s">
        <v>37</v>
      </c>
      <c r="EF177">
        <v>2985</v>
      </c>
      <c r="EG177" t="s">
        <v>37</v>
      </c>
      <c r="EH177">
        <v>11761</v>
      </c>
      <c r="EI177" t="s">
        <v>37</v>
      </c>
      <c r="EK177" t="s">
        <v>37</v>
      </c>
      <c r="EM177" t="s">
        <v>37</v>
      </c>
      <c r="EO177" t="s">
        <v>37</v>
      </c>
      <c r="EQ177" t="s">
        <v>37</v>
      </c>
      <c r="ER177">
        <v>10147</v>
      </c>
      <c r="ES177" t="s">
        <v>37</v>
      </c>
      <c r="ET177">
        <v>3100</v>
      </c>
      <c r="EU177" t="s">
        <v>37</v>
      </c>
      <c r="EV177">
        <v>1930</v>
      </c>
      <c r="EW177" t="s">
        <v>37</v>
      </c>
      <c r="EY177" t="s">
        <v>37</v>
      </c>
      <c r="FA177" t="s">
        <v>37</v>
      </c>
      <c r="FC177" t="s">
        <v>37</v>
      </c>
      <c r="FE177" t="s">
        <v>37</v>
      </c>
      <c r="FG177" t="s">
        <v>37</v>
      </c>
      <c r="FH177">
        <v>3567</v>
      </c>
      <c r="FI177" t="s">
        <v>37</v>
      </c>
      <c r="FJ177">
        <v>33380</v>
      </c>
      <c r="FK177" t="s">
        <v>37</v>
      </c>
      <c r="FL177">
        <v>3496</v>
      </c>
      <c r="FM177" t="s">
        <v>37</v>
      </c>
      <c r="FN177">
        <v>3703</v>
      </c>
      <c r="FO177" t="s">
        <v>37</v>
      </c>
      <c r="FQ177" t="s">
        <v>37</v>
      </c>
      <c r="FS177" t="s">
        <v>37</v>
      </c>
      <c r="FU177" t="s">
        <v>37</v>
      </c>
      <c r="FW177" t="s">
        <v>37</v>
      </c>
      <c r="FY177" t="s">
        <v>37</v>
      </c>
      <c r="GA177" t="s">
        <v>37</v>
      </c>
      <c r="GB177">
        <v>16406</v>
      </c>
      <c r="GC177" t="s">
        <v>37</v>
      </c>
      <c r="GE177" t="s">
        <v>37</v>
      </c>
      <c r="GG177" t="s">
        <v>37</v>
      </c>
      <c r="GI177" t="s">
        <v>37</v>
      </c>
      <c r="GK177" t="s">
        <v>37</v>
      </c>
      <c r="GL177">
        <v>120342</v>
      </c>
      <c r="GM177" t="s">
        <v>37</v>
      </c>
      <c r="GO177" t="s">
        <v>37</v>
      </c>
      <c r="GQ177" t="s">
        <v>37</v>
      </c>
      <c r="GR177">
        <v>15139</v>
      </c>
      <c r="GS177" t="s">
        <v>37</v>
      </c>
      <c r="GU177" t="s">
        <v>37</v>
      </c>
      <c r="GV177">
        <v>16340</v>
      </c>
      <c r="GW177" t="s">
        <v>37</v>
      </c>
      <c r="GX177">
        <v>12605</v>
      </c>
      <c r="GY177" t="s">
        <v>37</v>
      </c>
      <c r="HA177" t="s">
        <v>37</v>
      </c>
      <c r="HC177" t="s">
        <v>37</v>
      </c>
      <c r="HE177" t="s">
        <v>37</v>
      </c>
      <c r="HF177">
        <v>808448</v>
      </c>
      <c r="HG177" t="s">
        <v>37</v>
      </c>
      <c r="HI177" t="s">
        <v>37</v>
      </c>
      <c r="HJ177">
        <v>808448</v>
      </c>
      <c r="HK177" t="s">
        <v>37</v>
      </c>
    </row>
    <row r="178" spans="1:219">
      <c r="A178">
        <v>3555</v>
      </c>
      <c r="B178" t="s">
        <v>199</v>
      </c>
      <c r="C178" t="s">
        <v>37</v>
      </c>
      <c r="D178">
        <v>105403</v>
      </c>
      <c r="E178" t="s">
        <v>37</v>
      </c>
      <c r="F178">
        <v>595335</v>
      </c>
      <c r="G178" t="s">
        <v>37</v>
      </c>
      <c r="H178">
        <v>46349</v>
      </c>
      <c r="I178" t="s">
        <v>37</v>
      </c>
      <c r="J178">
        <v>4726</v>
      </c>
      <c r="K178" s="48" t="s">
        <v>37</v>
      </c>
      <c r="L178" s="51">
        <v>197359</v>
      </c>
      <c r="M178" s="48" t="s">
        <v>37</v>
      </c>
      <c r="N178" s="51">
        <v>85812</v>
      </c>
      <c r="O178" s="48" t="s">
        <v>37</v>
      </c>
      <c r="P178" s="51">
        <v>64538</v>
      </c>
      <c r="Q178" s="48" t="s">
        <v>37</v>
      </c>
      <c r="R178" s="51">
        <v>76407</v>
      </c>
      <c r="S178" s="48" t="s">
        <v>37</v>
      </c>
      <c r="T178">
        <v>323753</v>
      </c>
      <c r="U178" t="s">
        <v>37</v>
      </c>
      <c r="V178">
        <v>6467</v>
      </c>
      <c r="W178" t="s">
        <v>37</v>
      </c>
      <c r="X178">
        <v>9169</v>
      </c>
      <c r="Y178" t="s">
        <v>37</v>
      </c>
      <c r="Z178">
        <v>45032</v>
      </c>
      <c r="AA178" t="s">
        <v>37</v>
      </c>
      <c r="AB178">
        <v>29525</v>
      </c>
      <c r="AC178" t="s">
        <v>37</v>
      </c>
      <c r="AD178">
        <v>21513</v>
      </c>
      <c r="AE178" t="s">
        <v>37</v>
      </c>
      <c r="AF178">
        <v>24324</v>
      </c>
      <c r="AG178" t="s">
        <v>37</v>
      </c>
      <c r="AH178">
        <v>66708</v>
      </c>
      <c r="AI178" t="s">
        <v>37</v>
      </c>
      <c r="AJ178">
        <v>4888</v>
      </c>
      <c r="AK178" t="s">
        <v>37</v>
      </c>
      <c r="AL178">
        <v>517465</v>
      </c>
      <c r="AM178" t="s">
        <v>37</v>
      </c>
      <c r="AN178">
        <v>11079</v>
      </c>
      <c r="AO178" t="s">
        <v>37</v>
      </c>
      <c r="AP178">
        <v>681208</v>
      </c>
      <c r="AQ178" t="s">
        <v>37</v>
      </c>
      <c r="AR178">
        <v>52858</v>
      </c>
      <c r="AS178" t="s">
        <v>37</v>
      </c>
      <c r="AT178">
        <v>1194785</v>
      </c>
      <c r="AU178" t="s">
        <v>37</v>
      </c>
      <c r="AV178">
        <v>260059</v>
      </c>
      <c r="AW178" t="s">
        <v>37</v>
      </c>
      <c r="AX178">
        <v>158346</v>
      </c>
      <c r="AY178" t="s">
        <v>37</v>
      </c>
      <c r="AZ178">
        <v>211083</v>
      </c>
      <c r="BA178" t="s">
        <v>37</v>
      </c>
      <c r="BB178">
        <v>27187</v>
      </c>
      <c r="BC178" t="s">
        <v>37</v>
      </c>
      <c r="BD178">
        <v>68009</v>
      </c>
      <c r="BE178" t="s">
        <v>37</v>
      </c>
      <c r="BF178">
        <v>28902</v>
      </c>
      <c r="BG178" t="s">
        <v>37</v>
      </c>
      <c r="BH178">
        <v>4572</v>
      </c>
      <c r="BI178" t="s">
        <v>37</v>
      </c>
      <c r="BJ178">
        <v>158810</v>
      </c>
      <c r="BK178" t="s">
        <v>37</v>
      </c>
      <c r="BL178">
        <v>290810</v>
      </c>
      <c r="BM178" t="s">
        <v>37</v>
      </c>
      <c r="BO178" t="s">
        <v>37</v>
      </c>
      <c r="BP178">
        <v>20295</v>
      </c>
      <c r="BQ178" t="s">
        <v>37</v>
      </c>
      <c r="BR178">
        <v>75259</v>
      </c>
      <c r="BS178" t="s">
        <v>37</v>
      </c>
      <c r="BT178">
        <v>33687</v>
      </c>
      <c r="BU178" t="s">
        <v>37</v>
      </c>
      <c r="BV178">
        <v>4528</v>
      </c>
      <c r="BW178" t="s">
        <v>37</v>
      </c>
      <c r="BX178">
        <v>463189</v>
      </c>
      <c r="BY178" t="s">
        <v>37</v>
      </c>
      <c r="BZ178">
        <v>64981</v>
      </c>
      <c r="CA178" t="s">
        <v>37</v>
      </c>
      <c r="CB178">
        <v>7980</v>
      </c>
      <c r="CC178" t="s">
        <v>37</v>
      </c>
      <c r="CD178">
        <v>115204</v>
      </c>
      <c r="CE178" t="s">
        <v>37</v>
      </c>
      <c r="CF178">
        <v>109611</v>
      </c>
      <c r="CG178" t="s">
        <v>37</v>
      </c>
      <c r="CH178">
        <v>410325</v>
      </c>
      <c r="CI178" t="s">
        <v>37</v>
      </c>
      <c r="CJ178">
        <v>32315</v>
      </c>
      <c r="CK178" t="s">
        <v>37</v>
      </c>
      <c r="CL178">
        <v>86484</v>
      </c>
      <c r="CM178" t="s">
        <v>37</v>
      </c>
      <c r="CN178">
        <v>25245</v>
      </c>
      <c r="CO178" t="s">
        <v>37</v>
      </c>
      <c r="CP178">
        <v>40794</v>
      </c>
      <c r="CQ178" t="s">
        <v>37</v>
      </c>
      <c r="CR178">
        <v>288260</v>
      </c>
      <c r="CS178" t="s">
        <v>37</v>
      </c>
      <c r="CT178">
        <v>1618255</v>
      </c>
      <c r="CU178" t="s">
        <v>37</v>
      </c>
      <c r="CV178">
        <v>235986</v>
      </c>
      <c r="CW178" t="s">
        <v>37</v>
      </c>
      <c r="CX178">
        <v>32822</v>
      </c>
      <c r="CY178" t="s">
        <v>37</v>
      </c>
      <c r="CZ178">
        <v>42777</v>
      </c>
      <c r="DA178" t="s">
        <v>37</v>
      </c>
      <c r="DB178">
        <v>7515</v>
      </c>
      <c r="DC178" t="s">
        <v>37</v>
      </c>
      <c r="DD178">
        <v>73830</v>
      </c>
      <c r="DE178" t="s">
        <v>37</v>
      </c>
      <c r="DF178">
        <v>34215</v>
      </c>
      <c r="DG178" t="s">
        <v>37</v>
      </c>
      <c r="DH178">
        <v>896109</v>
      </c>
      <c r="DI178" t="s">
        <v>37</v>
      </c>
      <c r="DJ178">
        <v>65306</v>
      </c>
      <c r="DK178" t="s">
        <v>37</v>
      </c>
      <c r="DL178">
        <v>259865</v>
      </c>
      <c r="DM178" t="s">
        <v>37</v>
      </c>
      <c r="DN178">
        <v>285803</v>
      </c>
      <c r="DO178" t="s">
        <v>37</v>
      </c>
      <c r="DP178">
        <v>49205</v>
      </c>
      <c r="DQ178" t="s">
        <v>37</v>
      </c>
      <c r="DR178">
        <v>84436</v>
      </c>
      <c r="DS178" t="s">
        <v>37</v>
      </c>
      <c r="DT178">
        <v>65181</v>
      </c>
      <c r="DU178" t="s">
        <v>37</v>
      </c>
      <c r="DV178">
        <v>554857</v>
      </c>
      <c r="DW178" t="s">
        <v>37</v>
      </c>
      <c r="DX178">
        <v>254882</v>
      </c>
      <c r="DY178" t="s">
        <v>37</v>
      </c>
      <c r="DZ178">
        <v>61163</v>
      </c>
      <c r="EA178" t="s">
        <v>37</v>
      </c>
      <c r="EB178">
        <v>79138</v>
      </c>
      <c r="EC178" t="s">
        <v>37</v>
      </c>
      <c r="ED178">
        <v>481392</v>
      </c>
      <c r="EE178" t="s">
        <v>37</v>
      </c>
      <c r="EF178">
        <v>27007</v>
      </c>
      <c r="EG178" t="s">
        <v>37</v>
      </c>
      <c r="EI178" t="s">
        <v>37</v>
      </c>
      <c r="EJ178">
        <v>66631</v>
      </c>
      <c r="EK178" t="s">
        <v>37</v>
      </c>
      <c r="EL178">
        <v>45754</v>
      </c>
      <c r="EM178" t="s">
        <v>37</v>
      </c>
      <c r="EN178">
        <v>23451</v>
      </c>
      <c r="EO178" t="s">
        <v>37</v>
      </c>
      <c r="EP178">
        <v>4205</v>
      </c>
      <c r="EQ178" t="s">
        <v>37</v>
      </c>
      <c r="ER178">
        <v>119460</v>
      </c>
      <c r="ES178" t="s">
        <v>37</v>
      </c>
      <c r="ET178">
        <v>162719</v>
      </c>
      <c r="EU178" t="s">
        <v>37</v>
      </c>
      <c r="EV178">
        <v>300410</v>
      </c>
      <c r="EW178" t="s">
        <v>37</v>
      </c>
      <c r="EY178" t="s">
        <v>37</v>
      </c>
      <c r="EZ178">
        <v>83644</v>
      </c>
      <c r="FA178" t="s">
        <v>37</v>
      </c>
      <c r="FB178">
        <v>104692</v>
      </c>
      <c r="FC178" t="s">
        <v>37</v>
      </c>
      <c r="FD178">
        <v>210284</v>
      </c>
      <c r="FE178" t="s">
        <v>37</v>
      </c>
      <c r="FF178">
        <v>2732</v>
      </c>
      <c r="FG178" t="s">
        <v>37</v>
      </c>
      <c r="FH178">
        <v>411545</v>
      </c>
      <c r="FI178" t="s">
        <v>37</v>
      </c>
      <c r="FJ178">
        <v>754948</v>
      </c>
      <c r="FK178" t="s">
        <v>37</v>
      </c>
      <c r="FL178">
        <v>590266</v>
      </c>
      <c r="FM178" t="s">
        <v>37</v>
      </c>
      <c r="FN178">
        <v>47815</v>
      </c>
      <c r="FO178" t="s">
        <v>37</v>
      </c>
      <c r="FP178">
        <v>135196</v>
      </c>
      <c r="FQ178" t="s">
        <v>37</v>
      </c>
      <c r="FR178">
        <v>202648</v>
      </c>
      <c r="FS178" t="s">
        <v>37</v>
      </c>
      <c r="FU178" t="s">
        <v>37</v>
      </c>
      <c r="FV178">
        <v>67147</v>
      </c>
      <c r="FW178" t="s">
        <v>37</v>
      </c>
      <c r="FX178">
        <v>185433</v>
      </c>
      <c r="FY178" t="s">
        <v>37</v>
      </c>
      <c r="FZ178">
        <v>264857</v>
      </c>
      <c r="GA178" t="s">
        <v>37</v>
      </c>
      <c r="GB178">
        <v>256926</v>
      </c>
      <c r="GC178" t="s">
        <v>37</v>
      </c>
      <c r="GD178">
        <v>7573</v>
      </c>
      <c r="GE178" t="s">
        <v>37</v>
      </c>
      <c r="GF178">
        <v>9256</v>
      </c>
      <c r="GG178" t="s">
        <v>37</v>
      </c>
      <c r="GH178">
        <v>7653</v>
      </c>
      <c r="GI178" t="s">
        <v>37</v>
      </c>
      <c r="GJ178">
        <v>215372</v>
      </c>
      <c r="GK178" t="s">
        <v>37</v>
      </c>
      <c r="GL178">
        <v>218370</v>
      </c>
      <c r="GM178" t="s">
        <v>37</v>
      </c>
      <c r="GO178" t="s">
        <v>37</v>
      </c>
      <c r="GP178">
        <v>135971</v>
      </c>
      <c r="GQ178" t="s">
        <v>37</v>
      </c>
      <c r="GR178">
        <v>131453</v>
      </c>
      <c r="GS178" t="s">
        <v>37</v>
      </c>
      <c r="GT178">
        <v>139918</v>
      </c>
      <c r="GU178" t="s">
        <v>37</v>
      </c>
      <c r="GW178" t="s">
        <v>37</v>
      </c>
      <c r="GX178">
        <v>424380</v>
      </c>
      <c r="GY178" t="s">
        <v>37</v>
      </c>
      <c r="GZ178">
        <v>209584</v>
      </c>
      <c r="HA178" t="s">
        <v>37</v>
      </c>
      <c r="HB178">
        <v>47109</v>
      </c>
      <c r="HC178" t="s">
        <v>37</v>
      </c>
      <c r="HD178">
        <v>30814</v>
      </c>
      <c r="HE178" t="s">
        <v>37</v>
      </c>
      <c r="HF178">
        <v>17900675</v>
      </c>
      <c r="HG178" t="s">
        <v>37</v>
      </c>
      <c r="HH178">
        <v>77923</v>
      </c>
      <c r="HI178" t="s">
        <v>37</v>
      </c>
      <c r="HJ178">
        <v>17978598</v>
      </c>
      <c r="HK178" t="s">
        <v>37</v>
      </c>
    </row>
    <row r="179" spans="1:219">
      <c r="A179">
        <v>3561</v>
      </c>
      <c r="B179" t="s">
        <v>200</v>
      </c>
      <c r="C179" t="s">
        <v>37</v>
      </c>
      <c r="E179" t="s">
        <v>37</v>
      </c>
      <c r="G179" t="s">
        <v>37</v>
      </c>
      <c r="I179" t="s">
        <v>37</v>
      </c>
      <c r="K179" s="48" t="s">
        <v>37</v>
      </c>
      <c r="L179" s="50"/>
      <c r="M179" s="48" t="s">
        <v>37</v>
      </c>
      <c r="N179" s="50"/>
      <c r="O179" s="48" t="s">
        <v>37</v>
      </c>
      <c r="P179" s="50"/>
      <c r="Q179" s="48" t="s">
        <v>37</v>
      </c>
      <c r="R179" s="50"/>
      <c r="S179" s="48" t="s">
        <v>37</v>
      </c>
      <c r="U179" t="s">
        <v>37</v>
      </c>
      <c r="W179" t="s">
        <v>37</v>
      </c>
      <c r="Y179" t="s">
        <v>37</v>
      </c>
      <c r="AA179" t="s">
        <v>37</v>
      </c>
      <c r="AC179" t="s">
        <v>37</v>
      </c>
      <c r="AE179" t="s">
        <v>37</v>
      </c>
      <c r="AG179" t="s">
        <v>37</v>
      </c>
      <c r="AI179" t="s">
        <v>37</v>
      </c>
      <c r="AK179" t="s">
        <v>37</v>
      </c>
      <c r="AM179" t="s">
        <v>37</v>
      </c>
      <c r="AO179" t="s">
        <v>37</v>
      </c>
      <c r="AP179">
        <v>205596</v>
      </c>
      <c r="AQ179" t="s">
        <v>37</v>
      </c>
      <c r="AS179" t="s">
        <v>37</v>
      </c>
      <c r="AU179" t="s">
        <v>37</v>
      </c>
      <c r="AW179" t="s">
        <v>37</v>
      </c>
      <c r="AY179" t="s">
        <v>37</v>
      </c>
      <c r="BA179" t="s">
        <v>37</v>
      </c>
      <c r="BC179" t="s">
        <v>37</v>
      </c>
      <c r="BE179" t="s">
        <v>37</v>
      </c>
      <c r="BG179" t="s">
        <v>37</v>
      </c>
      <c r="BI179" t="s">
        <v>37</v>
      </c>
      <c r="BJ179">
        <v>146877</v>
      </c>
      <c r="BK179" t="s">
        <v>37</v>
      </c>
      <c r="BM179" t="s">
        <v>37</v>
      </c>
      <c r="BO179" t="s">
        <v>37</v>
      </c>
      <c r="BQ179" t="s">
        <v>37</v>
      </c>
      <c r="BS179" t="s">
        <v>37</v>
      </c>
      <c r="BU179" t="s">
        <v>37</v>
      </c>
      <c r="BW179" t="s">
        <v>37</v>
      </c>
      <c r="BY179" t="s">
        <v>37</v>
      </c>
      <c r="CA179" t="s">
        <v>37</v>
      </c>
      <c r="CC179" t="s">
        <v>37</v>
      </c>
      <c r="CE179" t="s">
        <v>37</v>
      </c>
      <c r="CG179" t="s">
        <v>37</v>
      </c>
      <c r="CI179" t="s">
        <v>37</v>
      </c>
      <c r="CK179" t="s">
        <v>37</v>
      </c>
      <c r="CM179" t="s">
        <v>37</v>
      </c>
      <c r="CO179" t="s">
        <v>37</v>
      </c>
      <c r="CQ179" t="s">
        <v>37</v>
      </c>
      <c r="CS179" t="s">
        <v>37</v>
      </c>
      <c r="CU179" t="s">
        <v>37</v>
      </c>
      <c r="CW179" t="s">
        <v>37</v>
      </c>
      <c r="CY179" t="s">
        <v>37</v>
      </c>
      <c r="DA179" t="s">
        <v>37</v>
      </c>
      <c r="DC179" t="s">
        <v>37</v>
      </c>
      <c r="DE179" t="s">
        <v>37</v>
      </c>
      <c r="DG179" t="s">
        <v>37</v>
      </c>
      <c r="DI179" t="s">
        <v>37</v>
      </c>
      <c r="DK179" t="s">
        <v>37</v>
      </c>
      <c r="DM179" t="s">
        <v>37</v>
      </c>
      <c r="DO179" t="s">
        <v>37</v>
      </c>
      <c r="DQ179" t="s">
        <v>37</v>
      </c>
      <c r="DR179">
        <v>274676</v>
      </c>
      <c r="DS179" t="s">
        <v>37</v>
      </c>
      <c r="DU179" t="s">
        <v>37</v>
      </c>
      <c r="DW179" t="s">
        <v>37</v>
      </c>
      <c r="DY179" t="s">
        <v>37</v>
      </c>
      <c r="EA179" t="s">
        <v>37</v>
      </c>
      <c r="EC179" t="s">
        <v>37</v>
      </c>
      <c r="EE179" t="s">
        <v>37</v>
      </c>
      <c r="EG179" t="s">
        <v>37</v>
      </c>
      <c r="EI179" t="s">
        <v>37</v>
      </c>
      <c r="EK179" t="s">
        <v>37</v>
      </c>
      <c r="EM179" t="s">
        <v>37</v>
      </c>
      <c r="EO179" t="s">
        <v>37</v>
      </c>
      <c r="EQ179" t="s">
        <v>37</v>
      </c>
      <c r="ES179" t="s">
        <v>37</v>
      </c>
      <c r="EU179" t="s">
        <v>37</v>
      </c>
      <c r="EW179" t="s">
        <v>37</v>
      </c>
      <c r="EY179" t="s">
        <v>37</v>
      </c>
      <c r="FA179" t="s">
        <v>37</v>
      </c>
      <c r="FC179" t="s">
        <v>37</v>
      </c>
      <c r="FE179" t="s">
        <v>37</v>
      </c>
      <c r="FG179" t="s">
        <v>37</v>
      </c>
      <c r="FI179" t="s">
        <v>37</v>
      </c>
      <c r="FK179" t="s">
        <v>37</v>
      </c>
      <c r="FM179" t="s">
        <v>37</v>
      </c>
      <c r="FO179" t="s">
        <v>37</v>
      </c>
      <c r="FQ179" t="s">
        <v>37</v>
      </c>
      <c r="FS179" t="s">
        <v>37</v>
      </c>
      <c r="FU179" t="s">
        <v>37</v>
      </c>
      <c r="FW179" t="s">
        <v>37</v>
      </c>
      <c r="FX179">
        <v>200915</v>
      </c>
      <c r="FY179" t="s">
        <v>37</v>
      </c>
      <c r="GA179" t="s">
        <v>37</v>
      </c>
      <c r="GC179" t="s">
        <v>37</v>
      </c>
      <c r="GE179" t="s">
        <v>37</v>
      </c>
      <c r="GG179" t="s">
        <v>37</v>
      </c>
      <c r="GI179" t="s">
        <v>37</v>
      </c>
      <c r="GK179" t="s">
        <v>37</v>
      </c>
      <c r="GM179" t="s">
        <v>37</v>
      </c>
      <c r="GO179" t="s">
        <v>37</v>
      </c>
      <c r="GQ179" t="s">
        <v>37</v>
      </c>
      <c r="GS179" t="s">
        <v>37</v>
      </c>
      <c r="GU179" t="s">
        <v>37</v>
      </c>
      <c r="GW179" t="s">
        <v>37</v>
      </c>
      <c r="GY179" t="s">
        <v>37</v>
      </c>
      <c r="HA179" t="s">
        <v>37</v>
      </c>
      <c r="HC179" t="s">
        <v>37</v>
      </c>
      <c r="HE179" t="s">
        <v>37</v>
      </c>
      <c r="HF179">
        <v>828064</v>
      </c>
      <c r="HG179" t="s">
        <v>37</v>
      </c>
      <c r="HI179" t="s">
        <v>37</v>
      </c>
      <c r="HJ179">
        <v>828064</v>
      </c>
      <c r="HK179" t="s">
        <v>37</v>
      </c>
    </row>
    <row r="180" spans="1:219">
      <c r="A180">
        <v>3562</v>
      </c>
      <c r="B180" t="s">
        <v>201</v>
      </c>
      <c r="C180" t="s">
        <v>37</v>
      </c>
      <c r="D180">
        <v>136622</v>
      </c>
      <c r="E180" t="s">
        <v>37</v>
      </c>
      <c r="F180">
        <v>138275</v>
      </c>
      <c r="G180" t="s">
        <v>37</v>
      </c>
      <c r="H180">
        <v>161012</v>
      </c>
      <c r="I180" t="s">
        <v>37</v>
      </c>
      <c r="K180" s="48" t="s">
        <v>37</v>
      </c>
      <c r="L180" s="50"/>
      <c r="M180" s="48" t="s">
        <v>37</v>
      </c>
      <c r="N180" s="50"/>
      <c r="O180" s="48" t="s">
        <v>37</v>
      </c>
      <c r="P180" s="50"/>
      <c r="Q180" s="48" t="s">
        <v>37</v>
      </c>
      <c r="R180" s="50"/>
      <c r="S180" s="48" t="s">
        <v>37</v>
      </c>
      <c r="T180">
        <v>245615</v>
      </c>
      <c r="U180" t="s">
        <v>37</v>
      </c>
      <c r="W180" t="s">
        <v>37</v>
      </c>
      <c r="X180">
        <v>238749</v>
      </c>
      <c r="Y180" t="s">
        <v>37</v>
      </c>
      <c r="AA180" t="s">
        <v>37</v>
      </c>
      <c r="AC180" t="s">
        <v>37</v>
      </c>
      <c r="AE180" t="s">
        <v>37</v>
      </c>
      <c r="AG180" t="s">
        <v>37</v>
      </c>
      <c r="AI180" t="s">
        <v>37</v>
      </c>
      <c r="AK180" t="s">
        <v>37</v>
      </c>
      <c r="AL180">
        <v>182629</v>
      </c>
      <c r="AM180" t="s">
        <v>37</v>
      </c>
      <c r="AO180" t="s">
        <v>37</v>
      </c>
      <c r="AP180">
        <v>288329</v>
      </c>
      <c r="AQ180" t="s">
        <v>37</v>
      </c>
      <c r="AR180">
        <v>153467</v>
      </c>
      <c r="AS180" t="s">
        <v>37</v>
      </c>
      <c r="AT180">
        <v>357748</v>
      </c>
      <c r="AU180" t="s">
        <v>37</v>
      </c>
      <c r="AV180">
        <v>201027</v>
      </c>
      <c r="AW180" t="s">
        <v>37</v>
      </c>
      <c r="AX180">
        <v>80308</v>
      </c>
      <c r="AY180" t="s">
        <v>37</v>
      </c>
      <c r="AZ180">
        <v>153536</v>
      </c>
      <c r="BA180" t="s">
        <v>37</v>
      </c>
      <c r="BC180" t="s">
        <v>37</v>
      </c>
      <c r="BE180" t="s">
        <v>37</v>
      </c>
      <c r="BG180" t="s">
        <v>37</v>
      </c>
      <c r="BI180" t="s">
        <v>37</v>
      </c>
      <c r="BJ180">
        <v>164789</v>
      </c>
      <c r="BK180" t="s">
        <v>37</v>
      </c>
      <c r="BL180">
        <v>176979</v>
      </c>
      <c r="BM180" t="s">
        <v>37</v>
      </c>
      <c r="BO180" t="s">
        <v>37</v>
      </c>
      <c r="BQ180" t="s">
        <v>37</v>
      </c>
      <c r="BR180">
        <v>64038</v>
      </c>
      <c r="BS180" t="s">
        <v>37</v>
      </c>
      <c r="BU180" t="s">
        <v>37</v>
      </c>
      <c r="BW180" t="s">
        <v>37</v>
      </c>
      <c r="BX180">
        <v>578269</v>
      </c>
      <c r="BY180" t="s">
        <v>37</v>
      </c>
      <c r="CA180" t="s">
        <v>37</v>
      </c>
      <c r="CC180" t="s">
        <v>37</v>
      </c>
      <c r="CD180">
        <v>92516</v>
      </c>
      <c r="CE180" t="s">
        <v>37</v>
      </c>
      <c r="CG180" t="s">
        <v>37</v>
      </c>
      <c r="CH180">
        <v>509739</v>
      </c>
      <c r="CI180" t="s">
        <v>37</v>
      </c>
      <c r="CK180" t="s">
        <v>37</v>
      </c>
      <c r="CL180">
        <v>131718</v>
      </c>
      <c r="CM180" t="s">
        <v>37</v>
      </c>
      <c r="CO180" t="s">
        <v>37</v>
      </c>
      <c r="CQ180" t="s">
        <v>37</v>
      </c>
      <c r="CR180">
        <v>211133</v>
      </c>
      <c r="CS180" t="s">
        <v>37</v>
      </c>
      <c r="CT180">
        <v>669844</v>
      </c>
      <c r="CU180" t="s">
        <v>37</v>
      </c>
      <c r="CV180">
        <v>173383</v>
      </c>
      <c r="CW180" t="s">
        <v>37</v>
      </c>
      <c r="CY180" t="s">
        <v>37</v>
      </c>
      <c r="DA180" t="s">
        <v>37</v>
      </c>
      <c r="DC180" t="s">
        <v>37</v>
      </c>
      <c r="DD180">
        <v>139226</v>
      </c>
      <c r="DE180" t="s">
        <v>37</v>
      </c>
      <c r="DG180" t="s">
        <v>37</v>
      </c>
      <c r="DH180">
        <v>216006</v>
      </c>
      <c r="DI180" t="s">
        <v>37</v>
      </c>
      <c r="DK180" t="s">
        <v>37</v>
      </c>
      <c r="DL180">
        <v>181566</v>
      </c>
      <c r="DM180" t="s">
        <v>37</v>
      </c>
      <c r="DN180">
        <v>152615</v>
      </c>
      <c r="DO180" t="s">
        <v>37</v>
      </c>
      <c r="DP180">
        <v>295507</v>
      </c>
      <c r="DQ180" t="s">
        <v>37</v>
      </c>
      <c r="DS180" t="s">
        <v>37</v>
      </c>
      <c r="DU180" t="s">
        <v>37</v>
      </c>
      <c r="DV180">
        <v>203884</v>
      </c>
      <c r="DW180" t="s">
        <v>37</v>
      </c>
      <c r="DX180">
        <v>285066</v>
      </c>
      <c r="DY180" t="s">
        <v>37</v>
      </c>
      <c r="DZ180">
        <v>132510</v>
      </c>
      <c r="EA180" t="s">
        <v>37</v>
      </c>
      <c r="EC180" t="s">
        <v>37</v>
      </c>
      <c r="ED180">
        <v>90977</v>
      </c>
      <c r="EE180" t="s">
        <v>37</v>
      </c>
      <c r="EF180">
        <v>141231</v>
      </c>
      <c r="EG180" t="s">
        <v>37</v>
      </c>
      <c r="EH180">
        <v>137704</v>
      </c>
      <c r="EI180" t="s">
        <v>37</v>
      </c>
      <c r="EK180" t="s">
        <v>37</v>
      </c>
      <c r="EM180" t="s">
        <v>37</v>
      </c>
      <c r="EO180" t="s">
        <v>37</v>
      </c>
      <c r="EQ180" t="s">
        <v>37</v>
      </c>
      <c r="ER180">
        <v>209490</v>
      </c>
      <c r="ES180" t="s">
        <v>37</v>
      </c>
      <c r="ET180">
        <v>160889</v>
      </c>
      <c r="EU180" t="s">
        <v>37</v>
      </c>
      <c r="EV180">
        <v>249018</v>
      </c>
      <c r="EW180" t="s">
        <v>37</v>
      </c>
      <c r="EY180" t="s">
        <v>37</v>
      </c>
      <c r="FA180" t="s">
        <v>37</v>
      </c>
      <c r="FC180" t="s">
        <v>37</v>
      </c>
      <c r="FE180" t="s">
        <v>37</v>
      </c>
      <c r="FG180" t="s">
        <v>37</v>
      </c>
      <c r="FH180">
        <v>182372</v>
      </c>
      <c r="FI180" t="s">
        <v>37</v>
      </c>
      <c r="FJ180">
        <v>356150</v>
      </c>
      <c r="FK180" t="s">
        <v>37</v>
      </c>
      <c r="FL180">
        <v>167500</v>
      </c>
      <c r="FM180" t="s">
        <v>37</v>
      </c>
      <c r="FN180">
        <v>35460</v>
      </c>
      <c r="FO180" t="s">
        <v>37</v>
      </c>
      <c r="FQ180" t="s">
        <v>37</v>
      </c>
      <c r="FS180" t="s">
        <v>37</v>
      </c>
      <c r="FU180" t="s">
        <v>37</v>
      </c>
      <c r="FW180" t="s">
        <v>37</v>
      </c>
      <c r="FY180" t="s">
        <v>37</v>
      </c>
      <c r="GA180" t="s">
        <v>37</v>
      </c>
      <c r="GB180">
        <v>238941</v>
      </c>
      <c r="GC180" t="s">
        <v>37</v>
      </c>
      <c r="GE180" t="s">
        <v>37</v>
      </c>
      <c r="GG180" t="s">
        <v>37</v>
      </c>
      <c r="GI180" t="s">
        <v>37</v>
      </c>
      <c r="GK180" t="s">
        <v>37</v>
      </c>
      <c r="GL180">
        <v>620554</v>
      </c>
      <c r="GM180" t="s">
        <v>37</v>
      </c>
      <c r="GO180" t="s">
        <v>37</v>
      </c>
      <c r="GP180">
        <v>368609</v>
      </c>
      <c r="GQ180" t="s">
        <v>37</v>
      </c>
      <c r="GR180">
        <v>143518</v>
      </c>
      <c r="GS180" t="s">
        <v>37</v>
      </c>
      <c r="GU180" t="s">
        <v>37</v>
      </c>
      <c r="GV180">
        <v>100864</v>
      </c>
      <c r="GW180" t="s">
        <v>37</v>
      </c>
      <c r="GX180">
        <v>211350</v>
      </c>
      <c r="GY180" t="s">
        <v>37</v>
      </c>
      <c r="HA180" t="s">
        <v>37</v>
      </c>
      <c r="HC180" t="s">
        <v>37</v>
      </c>
      <c r="HE180" t="s">
        <v>37</v>
      </c>
      <c r="HF180">
        <v>10130732</v>
      </c>
      <c r="HG180" t="s">
        <v>37</v>
      </c>
      <c r="HI180" t="s">
        <v>37</v>
      </c>
      <c r="HJ180">
        <v>10130732</v>
      </c>
      <c r="HK180" t="s">
        <v>37</v>
      </c>
    </row>
    <row r="181" spans="1:219">
      <c r="C181" t="s">
        <v>37</v>
      </c>
      <c r="D181" t="s">
        <v>38</v>
      </c>
      <c r="E181" t="s">
        <v>37</v>
      </c>
      <c r="F181" t="s">
        <v>39</v>
      </c>
      <c r="G181" t="s">
        <v>37</v>
      </c>
      <c r="H181" t="s">
        <v>40</v>
      </c>
      <c r="I181" t="s">
        <v>37</v>
      </c>
      <c r="J181" t="s">
        <v>41</v>
      </c>
      <c r="K181" s="48" t="s">
        <v>37</v>
      </c>
      <c r="L181" s="49" t="s">
        <v>303</v>
      </c>
      <c r="M181" s="48" t="s">
        <v>37</v>
      </c>
      <c r="N181" s="49" t="s">
        <v>304</v>
      </c>
      <c r="O181" s="48" t="s">
        <v>37</v>
      </c>
      <c r="P181" s="49" t="s">
        <v>305</v>
      </c>
      <c r="Q181" s="48" t="s">
        <v>37</v>
      </c>
      <c r="R181" s="49" t="s">
        <v>306</v>
      </c>
      <c r="S181" s="48" t="s">
        <v>37</v>
      </c>
      <c r="T181" t="s">
        <v>307</v>
      </c>
      <c r="U181" t="s">
        <v>37</v>
      </c>
      <c r="V181" t="s">
        <v>308</v>
      </c>
      <c r="W181" t="s">
        <v>37</v>
      </c>
      <c r="X181" t="s">
        <v>309</v>
      </c>
      <c r="Y181" t="s">
        <v>37</v>
      </c>
      <c r="Z181" t="s">
        <v>310</v>
      </c>
      <c r="AA181" t="s">
        <v>37</v>
      </c>
      <c r="AB181" t="s">
        <v>311</v>
      </c>
      <c r="AC181" t="s">
        <v>37</v>
      </c>
      <c r="AD181" t="s">
        <v>312</v>
      </c>
      <c r="AE181" t="s">
        <v>37</v>
      </c>
      <c r="AF181" t="s">
        <v>313</v>
      </c>
      <c r="AG181" t="s">
        <v>37</v>
      </c>
      <c r="AH181" t="s">
        <v>314</v>
      </c>
      <c r="AI181" t="s">
        <v>37</v>
      </c>
      <c r="AJ181" t="s">
        <v>315</v>
      </c>
      <c r="AK181" t="s">
        <v>37</v>
      </c>
      <c r="AL181" t="s">
        <v>316</v>
      </c>
      <c r="AM181" t="s">
        <v>37</v>
      </c>
      <c r="AN181" t="s">
        <v>317</v>
      </c>
      <c r="AO181" t="s">
        <v>37</v>
      </c>
      <c r="AP181" t="s">
        <v>318</v>
      </c>
      <c r="AQ181" t="s">
        <v>37</v>
      </c>
      <c r="AR181" t="s">
        <v>319</v>
      </c>
      <c r="AS181" t="s">
        <v>37</v>
      </c>
      <c r="AT181" t="s">
        <v>320</v>
      </c>
      <c r="AU181" t="s">
        <v>37</v>
      </c>
      <c r="AV181" t="s">
        <v>321</v>
      </c>
      <c r="AW181" t="s">
        <v>37</v>
      </c>
      <c r="AX181" t="s">
        <v>322</v>
      </c>
      <c r="AY181" t="s">
        <v>37</v>
      </c>
      <c r="AZ181" t="s">
        <v>323</v>
      </c>
      <c r="BA181" t="s">
        <v>37</v>
      </c>
      <c r="BB181" t="s">
        <v>324</v>
      </c>
      <c r="BC181" t="s">
        <v>37</v>
      </c>
      <c r="BD181" t="s">
        <v>325</v>
      </c>
      <c r="BE181" t="s">
        <v>37</v>
      </c>
      <c r="BF181" t="s">
        <v>326</v>
      </c>
      <c r="BG181" t="s">
        <v>37</v>
      </c>
      <c r="BH181" t="s">
        <v>327</v>
      </c>
      <c r="BI181" t="s">
        <v>37</v>
      </c>
      <c r="BJ181" t="s">
        <v>328</v>
      </c>
      <c r="BK181" t="s">
        <v>37</v>
      </c>
      <c r="BL181" t="s">
        <v>329</v>
      </c>
      <c r="BM181" t="s">
        <v>37</v>
      </c>
      <c r="BN181" t="s">
        <v>330</v>
      </c>
      <c r="BO181" t="s">
        <v>37</v>
      </c>
      <c r="BP181" t="s">
        <v>331</v>
      </c>
      <c r="BQ181" t="s">
        <v>37</v>
      </c>
      <c r="BR181" t="s">
        <v>332</v>
      </c>
      <c r="BS181" t="s">
        <v>37</v>
      </c>
      <c r="BT181" t="s">
        <v>333</v>
      </c>
      <c r="BU181" t="s">
        <v>37</v>
      </c>
      <c r="BV181" t="s">
        <v>334</v>
      </c>
      <c r="BW181" t="s">
        <v>37</v>
      </c>
      <c r="BX181" t="s">
        <v>335</v>
      </c>
      <c r="BY181" t="s">
        <v>37</v>
      </c>
      <c r="BZ181" t="s">
        <v>336</v>
      </c>
      <c r="CA181" t="s">
        <v>37</v>
      </c>
      <c r="CB181" t="s">
        <v>337</v>
      </c>
      <c r="CC181" t="s">
        <v>37</v>
      </c>
      <c r="CD181" t="s">
        <v>338</v>
      </c>
      <c r="CE181" t="s">
        <v>37</v>
      </c>
      <c r="CF181" t="s">
        <v>339</v>
      </c>
      <c r="CG181" t="s">
        <v>37</v>
      </c>
      <c r="CH181" t="s">
        <v>340</v>
      </c>
      <c r="CI181" t="s">
        <v>37</v>
      </c>
      <c r="CJ181" t="s">
        <v>341</v>
      </c>
      <c r="CK181" t="s">
        <v>37</v>
      </c>
      <c r="CL181" t="s">
        <v>342</v>
      </c>
      <c r="CM181" t="s">
        <v>37</v>
      </c>
      <c r="CN181" t="s">
        <v>343</v>
      </c>
      <c r="CO181" t="s">
        <v>37</v>
      </c>
      <c r="CP181" t="s">
        <v>344</v>
      </c>
      <c r="CQ181" t="s">
        <v>37</v>
      </c>
      <c r="CR181" t="s">
        <v>345</v>
      </c>
      <c r="CS181" t="s">
        <v>37</v>
      </c>
      <c r="CT181" t="s">
        <v>346</v>
      </c>
      <c r="CU181" t="s">
        <v>37</v>
      </c>
      <c r="CV181" t="s">
        <v>347</v>
      </c>
      <c r="CW181" t="s">
        <v>37</v>
      </c>
      <c r="CX181" t="s">
        <v>348</v>
      </c>
      <c r="CY181" t="s">
        <v>37</v>
      </c>
      <c r="CZ181" t="s">
        <v>349</v>
      </c>
      <c r="DA181" t="s">
        <v>37</v>
      </c>
      <c r="DB181" t="s">
        <v>350</v>
      </c>
      <c r="DC181" t="s">
        <v>37</v>
      </c>
      <c r="DD181" t="s">
        <v>351</v>
      </c>
      <c r="DE181" t="s">
        <v>37</v>
      </c>
      <c r="DF181" t="s">
        <v>352</v>
      </c>
      <c r="DG181" t="s">
        <v>37</v>
      </c>
      <c r="DH181" t="s">
        <v>353</v>
      </c>
      <c r="DI181" t="s">
        <v>37</v>
      </c>
      <c r="DJ181" t="s">
        <v>354</v>
      </c>
      <c r="DK181" t="s">
        <v>37</v>
      </c>
      <c r="DL181" t="s">
        <v>355</v>
      </c>
      <c r="DM181" t="s">
        <v>37</v>
      </c>
      <c r="DN181" t="s">
        <v>356</v>
      </c>
      <c r="DO181" t="s">
        <v>37</v>
      </c>
      <c r="DP181" t="s">
        <v>357</v>
      </c>
      <c r="DQ181" t="s">
        <v>37</v>
      </c>
      <c r="DR181" t="s">
        <v>358</v>
      </c>
      <c r="DS181" t="s">
        <v>37</v>
      </c>
      <c r="DT181" t="s">
        <v>359</v>
      </c>
      <c r="DU181" t="s">
        <v>37</v>
      </c>
      <c r="DV181" t="s">
        <v>360</v>
      </c>
      <c r="DW181" t="s">
        <v>37</v>
      </c>
      <c r="DX181" t="s">
        <v>361</v>
      </c>
      <c r="DY181" t="s">
        <v>37</v>
      </c>
      <c r="DZ181" t="s">
        <v>362</v>
      </c>
      <c r="EA181" t="s">
        <v>37</v>
      </c>
      <c r="EB181" t="s">
        <v>363</v>
      </c>
      <c r="EC181" t="s">
        <v>37</v>
      </c>
      <c r="ED181" t="s">
        <v>364</v>
      </c>
      <c r="EE181" t="s">
        <v>37</v>
      </c>
      <c r="EF181" t="s">
        <v>365</v>
      </c>
      <c r="EG181" t="s">
        <v>37</v>
      </c>
      <c r="EH181" t="s">
        <v>366</v>
      </c>
      <c r="EI181" t="s">
        <v>37</v>
      </c>
      <c r="EJ181" t="s">
        <v>367</v>
      </c>
      <c r="EK181" t="s">
        <v>37</v>
      </c>
      <c r="EL181" t="s">
        <v>368</v>
      </c>
      <c r="EM181" t="s">
        <v>37</v>
      </c>
      <c r="EN181" t="s">
        <v>369</v>
      </c>
      <c r="EO181" t="s">
        <v>37</v>
      </c>
      <c r="EP181" t="s">
        <v>370</v>
      </c>
      <c r="EQ181" t="s">
        <v>37</v>
      </c>
      <c r="ER181" t="s">
        <v>371</v>
      </c>
      <c r="ES181" t="s">
        <v>37</v>
      </c>
      <c r="ET181" t="s">
        <v>372</v>
      </c>
      <c r="EU181" t="s">
        <v>37</v>
      </c>
      <c r="EV181" t="s">
        <v>373</v>
      </c>
      <c r="EW181" t="s">
        <v>37</v>
      </c>
      <c r="EX181" t="s">
        <v>374</v>
      </c>
      <c r="EY181" t="s">
        <v>37</v>
      </c>
      <c r="EZ181" t="s">
        <v>375</v>
      </c>
      <c r="FA181" t="s">
        <v>37</v>
      </c>
      <c r="FB181" t="s">
        <v>376</v>
      </c>
      <c r="FC181" t="s">
        <v>37</v>
      </c>
      <c r="FD181" t="s">
        <v>377</v>
      </c>
      <c r="FE181" t="s">
        <v>37</v>
      </c>
      <c r="FF181" t="s">
        <v>378</v>
      </c>
      <c r="FG181" t="s">
        <v>37</v>
      </c>
      <c r="FH181" t="s">
        <v>379</v>
      </c>
      <c r="FI181" t="s">
        <v>37</v>
      </c>
      <c r="FJ181" t="s">
        <v>380</v>
      </c>
      <c r="FK181" t="s">
        <v>37</v>
      </c>
      <c r="FL181" t="s">
        <v>381</v>
      </c>
      <c r="FM181" t="s">
        <v>37</v>
      </c>
      <c r="FN181" t="s">
        <v>382</v>
      </c>
      <c r="FO181" t="s">
        <v>37</v>
      </c>
      <c r="FP181" t="s">
        <v>383</v>
      </c>
      <c r="FQ181" t="s">
        <v>37</v>
      </c>
      <c r="FR181" t="s">
        <v>384</v>
      </c>
      <c r="FS181" t="s">
        <v>37</v>
      </c>
      <c r="FT181" t="s">
        <v>385</v>
      </c>
      <c r="FU181" t="s">
        <v>37</v>
      </c>
      <c r="FV181" t="s">
        <v>386</v>
      </c>
      <c r="FW181" t="s">
        <v>37</v>
      </c>
      <c r="FX181" t="s">
        <v>387</v>
      </c>
      <c r="FY181" t="s">
        <v>37</v>
      </c>
      <c r="FZ181" t="s">
        <v>388</v>
      </c>
      <c r="GA181" t="s">
        <v>37</v>
      </c>
      <c r="GB181" t="s">
        <v>389</v>
      </c>
      <c r="GC181" t="s">
        <v>37</v>
      </c>
      <c r="GD181" t="s">
        <v>390</v>
      </c>
      <c r="GE181" t="s">
        <v>37</v>
      </c>
      <c r="GF181" t="s">
        <v>391</v>
      </c>
      <c r="GG181" t="s">
        <v>37</v>
      </c>
      <c r="GH181" t="s">
        <v>392</v>
      </c>
      <c r="GI181" t="s">
        <v>37</v>
      </c>
      <c r="GJ181" t="s">
        <v>393</v>
      </c>
      <c r="GK181" t="s">
        <v>37</v>
      </c>
      <c r="GL181" t="s">
        <v>394</v>
      </c>
      <c r="GM181" t="s">
        <v>37</v>
      </c>
      <c r="GN181" t="s">
        <v>395</v>
      </c>
      <c r="GO181" t="s">
        <v>37</v>
      </c>
      <c r="GP181" t="s">
        <v>396</v>
      </c>
      <c r="GQ181" t="s">
        <v>37</v>
      </c>
      <c r="GR181" t="s">
        <v>397</v>
      </c>
      <c r="GS181" t="s">
        <v>37</v>
      </c>
      <c r="GT181" t="s">
        <v>398</v>
      </c>
      <c r="GU181" t="s">
        <v>37</v>
      </c>
      <c r="GV181" t="s">
        <v>399</v>
      </c>
      <c r="GW181" t="s">
        <v>37</v>
      </c>
      <c r="GX181" t="s">
        <v>400</v>
      </c>
      <c r="GY181" t="s">
        <v>37</v>
      </c>
      <c r="GZ181" t="s">
        <v>401</v>
      </c>
      <c r="HA181" t="s">
        <v>37</v>
      </c>
      <c r="HB181" t="s">
        <v>29</v>
      </c>
      <c r="HC181" t="s">
        <v>37</v>
      </c>
      <c r="HD181" t="s">
        <v>402</v>
      </c>
      <c r="HE181" t="s">
        <v>37</v>
      </c>
      <c r="HF181" t="s">
        <v>403</v>
      </c>
      <c r="HG181" t="s">
        <v>37</v>
      </c>
      <c r="HH181" t="s">
        <v>404</v>
      </c>
      <c r="HI181" t="s">
        <v>37</v>
      </c>
      <c r="HJ181" t="s">
        <v>405</v>
      </c>
      <c r="HK181" t="s">
        <v>37</v>
      </c>
    </row>
    <row r="182" spans="1:219">
      <c r="C182" t="s">
        <v>37</v>
      </c>
      <c r="E182" t="s">
        <v>37</v>
      </c>
      <c r="G182" t="s">
        <v>37</v>
      </c>
      <c r="I182" t="s">
        <v>37</v>
      </c>
      <c r="K182" s="48" t="s">
        <v>37</v>
      </c>
      <c r="L182" s="50"/>
      <c r="M182" s="48" t="s">
        <v>37</v>
      </c>
      <c r="N182" s="50"/>
      <c r="O182" s="48" t="s">
        <v>37</v>
      </c>
      <c r="P182" s="50"/>
      <c r="Q182" s="48" t="s">
        <v>37</v>
      </c>
      <c r="R182" s="50"/>
      <c r="S182" s="48" t="s">
        <v>37</v>
      </c>
      <c r="U182" t="s">
        <v>37</v>
      </c>
      <c r="W182" t="s">
        <v>37</v>
      </c>
      <c r="Y182" t="s">
        <v>37</v>
      </c>
      <c r="AA182" t="s">
        <v>37</v>
      </c>
      <c r="AC182" t="s">
        <v>37</v>
      </c>
      <c r="AE182" t="s">
        <v>37</v>
      </c>
      <c r="AG182" t="s">
        <v>37</v>
      </c>
      <c r="AI182" t="s">
        <v>37</v>
      </c>
      <c r="AK182" t="s">
        <v>37</v>
      </c>
      <c r="AM182" t="s">
        <v>37</v>
      </c>
      <c r="AO182" t="s">
        <v>37</v>
      </c>
      <c r="AQ182" t="s">
        <v>37</v>
      </c>
      <c r="AS182" t="s">
        <v>37</v>
      </c>
      <c r="AU182" t="s">
        <v>37</v>
      </c>
      <c r="AW182" t="s">
        <v>37</v>
      </c>
      <c r="AY182" t="s">
        <v>37</v>
      </c>
      <c r="BA182" t="s">
        <v>37</v>
      </c>
      <c r="BC182" t="s">
        <v>37</v>
      </c>
      <c r="BE182" t="s">
        <v>37</v>
      </c>
      <c r="BG182" t="s">
        <v>37</v>
      </c>
      <c r="BI182" t="s">
        <v>37</v>
      </c>
      <c r="BK182" t="s">
        <v>37</v>
      </c>
      <c r="BM182" t="s">
        <v>37</v>
      </c>
      <c r="BO182" t="s">
        <v>37</v>
      </c>
      <c r="BQ182" t="s">
        <v>37</v>
      </c>
      <c r="BS182" t="s">
        <v>37</v>
      </c>
      <c r="BU182" t="s">
        <v>37</v>
      </c>
      <c r="BW182" t="s">
        <v>37</v>
      </c>
      <c r="BY182" t="s">
        <v>37</v>
      </c>
      <c r="CA182" t="s">
        <v>37</v>
      </c>
      <c r="CC182" t="s">
        <v>37</v>
      </c>
      <c r="CE182" t="s">
        <v>37</v>
      </c>
      <c r="CG182" t="s">
        <v>37</v>
      </c>
      <c r="CI182" t="s">
        <v>37</v>
      </c>
      <c r="CK182" t="s">
        <v>37</v>
      </c>
      <c r="CM182" t="s">
        <v>37</v>
      </c>
      <c r="CO182" t="s">
        <v>37</v>
      </c>
      <c r="CQ182" t="s">
        <v>37</v>
      </c>
      <c r="CS182" t="s">
        <v>37</v>
      </c>
      <c r="CU182" t="s">
        <v>37</v>
      </c>
      <c r="CW182" t="s">
        <v>37</v>
      </c>
      <c r="CY182" t="s">
        <v>37</v>
      </c>
      <c r="DA182" t="s">
        <v>37</v>
      </c>
      <c r="DC182" t="s">
        <v>37</v>
      </c>
      <c r="DE182" t="s">
        <v>37</v>
      </c>
      <c r="DG182" t="s">
        <v>37</v>
      </c>
      <c r="DI182" t="s">
        <v>37</v>
      </c>
      <c r="DK182" t="s">
        <v>37</v>
      </c>
      <c r="DM182" t="s">
        <v>37</v>
      </c>
      <c r="DO182" t="s">
        <v>37</v>
      </c>
      <c r="DQ182" t="s">
        <v>37</v>
      </c>
      <c r="DS182" t="s">
        <v>37</v>
      </c>
      <c r="DU182" t="s">
        <v>37</v>
      </c>
      <c r="DW182" t="s">
        <v>37</v>
      </c>
      <c r="DY182" t="s">
        <v>37</v>
      </c>
      <c r="EA182" t="s">
        <v>37</v>
      </c>
      <c r="EC182" t="s">
        <v>37</v>
      </c>
      <c r="EE182" t="s">
        <v>37</v>
      </c>
      <c r="EG182" t="s">
        <v>37</v>
      </c>
      <c r="EI182" t="s">
        <v>37</v>
      </c>
      <c r="EK182" t="s">
        <v>37</v>
      </c>
      <c r="EM182" t="s">
        <v>37</v>
      </c>
      <c r="EO182" t="s">
        <v>37</v>
      </c>
      <c r="EQ182" t="s">
        <v>37</v>
      </c>
      <c r="ES182" t="s">
        <v>37</v>
      </c>
      <c r="EU182" t="s">
        <v>37</v>
      </c>
      <c r="EW182" t="s">
        <v>37</v>
      </c>
      <c r="EY182" t="s">
        <v>37</v>
      </c>
      <c r="FA182" t="s">
        <v>37</v>
      </c>
      <c r="FC182" t="s">
        <v>37</v>
      </c>
      <c r="FE182" t="s">
        <v>37</v>
      </c>
      <c r="FG182" t="s">
        <v>37</v>
      </c>
      <c r="FI182" t="s">
        <v>37</v>
      </c>
      <c r="FK182" t="s">
        <v>37</v>
      </c>
      <c r="FM182" t="s">
        <v>37</v>
      </c>
      <c r="FO182" t="s">
        <v>37</v>
      </c>
      <c r="FQ182" t="s">
        <v>37</v>
      </c>
      <c r="FS182" t="s">
        <v>37</v>
      </c>
      <c r="FU182" t="s">
        <v>37</v>
      </c>
      <c r="FW182" t="s">
        <v>37</v>
      </c>
      <c r="FY182" t="s">
        <v>37</v>
      </c>
      <c r="GA182" t="s">
        <v>37</v>
      </c>
      <c r="GC182" t="s">
        <v>37</v>
      </c>
      <c r="GE182" t="s">
        <v>37</v>
      </c>
      <c r="GG182" t="s">
        <v>37</v>
      </c>
      <c r="GI182" t="s">
        <v>37</v>
      </c>
      <c r="GK182" t="s">
        <v>37</v>
      </c>
      <c r="GM182" t="s">
        <v>37</v>
      </c>
      <c r="GO182" t="s">
        <v>37</v>
      </c>
      <c r="GQ182" t="s">
        <v>37</v>
      </c>
      <c r="GS182" t="s">
        <v>37</v>
      </c>
      <c r="GU182" t="s">
        <v>37</v>
      </c>
      <c r="GW182" t="s">
        <v>37</v>
      </c>
      <c r="GY182" t="s">
        <v>37</v>
      </c>
      <c r="HA182" t="s">
        <v>37</v>
      </c>
      <c r="HC182" t="s">
        <v>37</v>
      </c>
      <c r="HE182" t="s">
        <v>37</v>
      </c>
      <c r="HG182" t="s">
        <v>37</v>
      </c>
      <c r="HI182" t="s">
        <v>37</v>
      </c>
      <c r="HK182" t="s">
        <v>37</v>
      </c>
    </row>
    <row r="183" spans="1:219">
      <c r="A183">
        <v>3564</v>
      </c>
      <c r="B183" t="s">
        <v>202</v>
      </c>
      <c r="C183" t="s">
        <v>37</v>
      </c>
      <c r="D183">
        <v>21513</v>
      </c>
      <c r="E183" t="s">
        <v>37</v>
      </c>
      <c r="F183">
        <v>59847</v>
      </c>
      <c r="G183" t="s">
        <v>37</v>
      </c>
      <c r="H183">
        <v>44440</v>
      </c>
      <c r="I183" t="s">
        <v>37</v>
      </c>
      <c r="K183" s="48" t="s">
        <v>37</v>
      </c>
      <c r="L183" s="50"/>
      <c r="M183" s="48" t="s">
        <v>37</v>
      </c>
      <c r="N183" s="50"/>
      <c r="O183" s="48" t="s">
        <v>37</v>
      </c>
      <c r="P183" s="50"/>
      <c r="Q183" s="48" t="s">
        <v>37</v>
      </c>
      <c r="R183" s="50"/>
      <c r="S183" s="48" t="s">
        <v>37</v>
      </c>
      <c r="T183">
        <v>52448</v>
      </c>
      <c r="U183" t="s">
        <v>37</v>
      </c>
      <c r="W183" t="s">
        <v>37</v>
      </c>
      <c r="X183">
        <v>47690</v>
      </c>
      <c r="Y183" t="s">
        <v>37</v>
      </c>
      <c r="AA183" t="s">
        <v>37</v>
      </c>
      <c r="AC183" t="s">
        <v>37</v>
      </c>
      <c r="AE183" t="s">
        <v>37</v>
      </c>
      <c r="AG183" t="s">
        <v>37</v>
      </c>
      <c r="AI183" t="s">
        <v>37</v>
      </c>
      <c r="AK183" t="s">
        <v>37</v>
      </c>
      <c r="AL183">
        <v>96934</v>
      </c>
      <c r="AM183" t="s">
        <v>37</v>
      </c>
      <c r="AO183" t="s">
        <v>37</v>
      </c>
      <c r="AP183">
        <v>89256</v>
      </c>
      <c r="AQ183" t="s">
        <v>37</v>
      </c>
      <c r="AR183">
        <v>31260</v>
      </c>
      <c r="AS183" t="s">
        <v>37</v>
      </c>
      <c r="AT183">
        <v>204879</v>
      </c>
      <c r="AU183" t="s">
        <v>37</v>
      </c>
      <c r="AV183">
        <v>68935</v>
      </c>
      <c r="AW183" t="s">
        <v>37</v>
      </c>
      <c r="AX183">
        <v>49411</v>
      </c>
      <c r="AY183" t="s">
        <v>37</v>
      </c>
      <c r="AZ183">
        <v>34222</v>
      </c>
      <c r="BA183" t="s">
        <v>37</v>
      </c>
      <c r="BC183" t="s">
        <v>37</v>
      </c>
      <c r="BE183" t="s">
        <v>37</v>
      </c>
      <c r="BG183" t="s">
        <v>37</v>
      </c>
      <c r="BH183">
        <v>44635</v>
      </c>
      <c r="BI183" t="s">
        <v>37</v>
      </c>
      <c r="BJ183">
        <v>47525</v>
      </c>
      <c r="BK183" t="s">
        <v>37</v>
      </c>
      <c r="BL183">
        <v>53007</v>
      </c>
      <c r="BM183" t="s">
        <v>37</v>
      </c>
      <c r="BO183" t="s">
        <v>37</v>
      </c>
      <c r="BQ183" t="s">
        <v>37</v>
      </c>
      <c r="BR183">
        <v>12893</v>
      </c>
      <c r="BS183" t="s">
        <v>37</v>
      </c>
      <c r="BU183" t="s">
        <v>37</v>
      </c>
      <c r="BW183" t="s">
        <v>37</v>
      </c>
      <c r="BX183">
        <v>107189</v>
      </c>
      <c r="BY183" t="s">
        <v>37</v>
      </c>
      <c r="CA183" t="s">
        <v>37</v>
      </c>
      <c r="CC183" t="s">
        <v>37</v>
      </c>
      <c r="CD183">
        <v>4872</v>
      </c>
      <c r="CE183" t="s">
        <v>37</v>
      </c>
      <c r="CF183">
        <v>441</v>
      </c>
      <c r="CG183" t="s">
        <v>37</v>
      </c>
      <c r="CH183">
        <v>79078</v>
      </c>
      <c r="CI183" t="s">
        <v>37</v>
      </c>
      <c r="CK183" t="s">
        <v>37</v>
      </c>
      <c r="CL183">
        <v>35876</v>
      </c>
      <c r="CM183" t="s">
        <v>37</v>
      </c>
      <c r="CO183" t="s">
        <v>37</v>
      </c>
      <c r="CQ183" t="s">
        <v>37</v>
      </c>
      <c r="CR183">
        <v>41590</v>
      </c>
      <c r="CS183" t="s">
        <v>37</v>
      </c>
      <c r="CT183">
        <v>238673</v>
      </c>
      <c r="CU183" t="s">
        <v>37</v>
      </c>
      <c r="CV183">
        <v>30954</v>
      </c>
      <c r="CW183" t="s">
        <v>37</v>
      </c>
      <c r="CY183" t="s">
        <v>37</v>
      </c>
      <c r="DA183" t="s">
        <v>37</v>
      </c>
      <c r="DC183" t="s">
        <v>37</v>
      </c>
      <c r="DD183">
        <v>3381</v>
      </c>
      <c r="DE183" t="s">
        <v>37</v>
      </c>
      <c r="DG183" t="s">
        <v>37</v>
      </c>
      <c r="DH183">
        <v>27240</v>
      </c>
      <c r="DI183" t="s">
        <v>37</v>
      </c>
      <c r="DK183" t="s">
        <v>37</v>
      </c>
      <c r="DM183" t="s">
        <v>37</v>
      </c>
      <c r="DN183">
        <v>10360</v>
      </c>
      <c r="DO183" t="s">
        <v>37</v>
      </c>
      <c r="DP183">
        <v>2869</v>
      </c>
      <c r="DQ183" t="s">
        <v>37</v>
      </c>
      <c r="DS183" t="s">
        <v>37</v>
      </c>
      <c r="DU183" t="s">
        <v>37</v>
      </c>
      <c r="DV183">
        <v>5747</v>
      </c>
      <c r="DW183" t="s">
        <v>37</v>
      </c>
      <c r="DX183">
        <v>24467</v>
      </c>
      <c r="DY183" t="s">
        <v>37</v>
      </c>
      <c r="EA183" t="s">
        <v>37</v>
      </c>
      <c r="EC183" t="s">
        <v>37</v>
      </c>
      <c r="ED183">
        <v>1853</v>
      </c>
      <c r="EE183" t="s">
        <v>37</v>
      </c>
      <c r="EF183">
        <v>1931</v>
      </c>
      <c r="EG183" t="s">
        <v>37</v>
      </c>
      <c r="EI183" t="s">
        <v>37</v>
      </c>
      <c r="EK183" t="s">
        <v>37</v>
      </c>
      <c r="EM183" t="s">
        <v>37</v>
      </c>
      <c r="EO183" t="s">
        <v>37</v>
      </c>
      <c r="EQ183" t="s">
        <v>37</v>
      </c>
      <c r="ES183" t="s">
        <v>37</v>
      </c>
      <c r="ET183">
        <v>6001</v>
      </c>
      <c r="EU183" t="s">
        <v>37</v>
      </c>
      <c r="EV183">
        <v>13491</v>
      </c>
      <c r="EW183" t="s">
        <v>37</v>
      </c>
      <c r="EY183" t="s">
        <v>37</v>
      </c>
      <c r="FA183" t="s">
        <v>37</v>
      </c>
      <c r="FC183" t="s">
        <v>37</v>
      </c>
      <c r="FE183" t="s">
        <v>37</v>
      </c>
      <c r="FG183" t="s">
        <v>37</v>
      </c>
      <c r="FH183">
        <v>3201</v>
      </c>
      <c r="FI183" t="s">
        <v>37</v>
      </c>
      <c r="FJ183">
        <v>10136</v>
      </c>
      <c r="FK183" t="s">
        <v>37</v>
      </c>
      <c r="FM183" t="s">
        <v>37</v>
      </c>
      <c r="FN183">
        <v>999</v>
      </c>
      <c r="FO183" t="s">
        <v>37</v>
      </c>
      <c r="FQ183" t="s">
        <v>37</v>
      </c>
      <c r="FS183" t="s">
        <v>37</v>
      </c>
      <c r="FU183" t="s">
        <v>37</v>
      </c>
      <c r="FW183" t="s">
        <v>37</v>
      </c>
      <c r="FY183" t="s">
        <v>37</v>
      </c>
      <c r="GA183" t="s">
        <v>37</v>
      </c>
      <c r="GB183">
        <v>63070</v>
      </c>
      <c r="GC183" t="s">
        <v>37</v>
      </c>
      <c r="GE183" t="s">
        <v>37</v>
      </c>
      <c r="GG183" t="s">
        <v>37</v>
      </c>
      <c r="GI183" t="s">
        <v>37</v>
      </c>
      <c r="GK183" t="s">
        <v>37</v>
      </c>
      <c r="GM183" t="s">
        <v>37</v>
      </c>
      <c r="GO183" t="s">
        <v>37</v>
      </c>
      <c r="GP183">
        <v>13899</v>
      </c>
      <c r="GQ183" t="s">
        <v>37</v>
      </c>
      <c r="GS183" t="s">
        <v>37</v>
      </c>
      <c r="GU183" t="s">
        <v>37</v>
      </c>
      <c r="GW183" t="s">
        <v>37</v>
      </c>
      <c r="GX183">
        <v>10971</v>
      </c>
      <c r="GY183" t="s">
        <v>37</v>
      </c>
      <c r="HA183" t="s">
        <v>37</v>
      </c>
      <c r="HC183" t="s">
        <v>37</v>
      </c>
      <c r="HE183" t="s">
        <v>37</v>
      </c>
      <c r="HF183">
        <v>1697184</v>
      </c>
      <c r="HG183" t="s">
        <v>37</v>
      </c>
      <c r="HI183" t="s">
        <v>37</v>
      </c>
      <c r="HJ183">
        <v>1697184</v>
      </c>
      <c r="HK183" t="s">
        <v>37</v>
      </c>
    </row>
    <row r="184" spans="1:219">
      <c r="A184">
        <v>3565</v>
      </c>
      <c r="B184" t="s">
        <v>203</v>
      </c>
      <c r="C184" t="s">
        <v>37</v>
      </c>
      <c r="D184">
        <v>51258</v>
      </c>
      <c r="E184" t="s">
        <v>37</v>
      </c>
      <c r="F184">
        <v>57991</v>
      </c>
      <c r="G184" t="s">
        <v>37</v>
      </c>
      <c r="H184">
        <v>49556</v>
      </c>
      <c r="I184" t="s">
        <v>37</v>
      </c>
      <c r="K184" s="48" t="s">
        <v>37</v>
      </c>
      <c r="L184" s="50"/>
      <c r="M184" s="48" t="s">
        <v>37</v>
      </c>
      <c r="N184" s="50"/>
      <c r="O184" s="48" t="s">
        <v>37</v>
      </c>
      <c r="P184" s="50"/>
      <c r="Q184" s="48" t="s">
        <v>37</v>
      </c>
      <c r="R184" s="50"/>
      <c r="S184" s="48" t="s">
        <v>37</v>
      </c>
      <c r="U184" t="s">
        <v>37</v>
      </c>
      <c r="W184" t="s">
        <v>37</v>
      </c>
      <c r="X184">
        <v>50000</v>
      </c>
      <c r="Y184" t="s">
        <v>37</v>
      </c>
      <c r="AA184" t="s">
        <v>37</v>
      </c>
      <c r="AC184" t="s">
        <v>37</v>
      </c>
      <c r="AE184" t="s">
        <v>37</v>
      </c>
      <c r="AG184" t="s">
        <v>37</v>
      </c>
      <c r="AI184" t="s">
        <v>37</v>
      </c>
      <c r="AK184" t="s">
        <v>37</v>
      </c>
      <c r="AL184">
        <v>44826</v>
      </c>
      <c r="AM184" t="s">
        <v>37</v>
      </c>
      <c r="AO184" t="s">
        <v>37</v>
      </c>
      <c r="AP184">
        <v>48523</v>
      </c>
      <c r="AQ184" t="s">
        <v>37</v>
      </c>
      <c r="AR184">
        <v>51506</v>
      </c>
      <c r="AS184" t="s">
        <v>37</v>
      </c>
      <c r="AT184">
        <v>50000</v>
      </c>
      <c r="AU184" t="s">
        <v>37</v>
      </c>
      <c r="AV184">
        <v>46171</v>
      </c>
      <c r="AW184" t="s">
        <v>37</v>
      </c>
      <c r="AX184">
        <v>36517</v>
      </c>
      <c r="AY184" t="s">
        <v>37</v>
      </c>
      <c r="AZ184">
        <v>50000</v>
      </c>
      <c r="BA184" t="s">
        <v>37</v>
      </c>
      <c r="BC184" t="s">
        <v>37</v>
      </c>
      <c r="BE184" t="s">
        <v>37</v>
      </c>
      <c r="BG184" t="s">
        <v>37</v>
      </c>
      <c r="BI184" t="s">
        <v>37</v>
      </c>
      <c r="BJ184">
        <v>48384</v>
      </c>
      <c r="BK184" t="s">
        <v>37</v>
      </c>
      <c r="BL184">
        <v>48639</v>
      </c>
      <c r="BM184" t="s">
        <v>37</v>
      </c>
      <c r="BO184" t="s">
        <v>37</v>
      </c>
      <c r="BQ184" t="s">
        <v>37</v>
      </c>
      <c r="BR184">
        <v>41468</v>
      </c>
      <c r="BS184" t="s">
        <v>37</v>
      </c>
      <c r="BU184" t="s">
        <v>37</v>
      </c>
      <c r="BW184" t="s">
        <v>37</v>
      </c>
      <c r="BX184">
        <v>103498</v>
      </c>
      <c r="BY184" t="s">
        <v>37</v>
      </c>
      <c r="CA184" t="s">
        <v>37</v>
      </c>
      <c r="CC184" t="s">
        <v>37</v>
      </c>
      <c r="CD184">
        <v>45897</v>
      </c>
      <c r="CE184" t="s">
        <v>37</v>
      </c>
      <c r="CG184" t="s">
        <v>37</v>
      </c>
      <c r="CH184">
        <v>81588</v>
      </c>
      <c r="CI184" t="s">
        <v>37</v>
      </c>
      <c r="CK184" t="s">
        <v>37</v>
      </c>
      <c r="CM184" t="s">
        <v>37</v>
      </c>
      <c r="CO184" t="s">
        <v>37</v>
      </c>
      <c r="CQ184" t="s">
        <v>37</v>
      </c>
      <c r="CR184">
        <v>50000</v>
      </c>
      <c r="CS184" t="s">
        <v>37</v>
      </c>
      <c r="CT184">
        <v>50000</v>
      </c>
      <c r="CU184" t="s">
        <v>37</v>
      </c>
      <c r="CV184">
        <v>50000</v>
      </c>
      <c r="CW184" t="s">
        <v>37</v>
      </c>
      <c r="CY184" t="s">
        <v>37</v>
      </c>
      <c r="DA184" t="s">
        <v>37</v>
      </c>
      <c r="DC184" t="s">
        <v>37</v>
      </c>
      <c r="DD184">
        <v>83688</v>
      </c>
      <c r="DE184" t="s">
        <v>37</v>
      </c>
      <c r="DG184" t="s">
        <v>37</v>
      </c>
      <c r="DH184">
        <v>59923</v>
      </c>
      <c r="DI184" t="s">
        <v>37</v>
      </c>
      <c r="DK184" t="s">
        <v>37</v>
      </c>
      <c r="DL184">
        <v>51931</v>
      </c>
      <c r="DM184" t="s">
        <v>37</v>
      </c>
      <c r="DN184">
        <v>27096</v>
      </c>
      <c r="DO184" t="s">
        <v>37</v>
      </c>
      <c r="DP184">
        <v>52435</v>
      </c>
      <c r="DQ184" t="s">
        <v>37</v>
      </c>
      <c r="DS184" t="s">
        <v>37</v>
      </c>
      <c r="DU184" t="s">
        <v>37</v>
      </c>
      <c r="DV184">
        <v>10000</v>
      </c>
      <c r="DW184" t="s">
        <v>37</v>
      </c>
      <c r="DX184">
        <v>64323</v>
      </c>
      <c r="DY184" t="s">
        <v>37</v>
      </c>
      <c r="DZ184">
        <v>10000</v>
      </c>
      <c r="EA184" t="s">
        <v>37</v>
      </c>
      <c r="EC184" t="s">
        <v>37</v>
      </c>
      <c r="ED184">
        <v>21699</v>
      </c>
      <c r="EE184" t="s">
        <v>37</v>
      </c>
      <c r="EF184">
        <v>65527</v>
      </c>
      <c r="EG184" t="s">
        <v>37</v>
      </c>
      <c r="EH184">
        <v>27672</v>
      </c>
      <c r="EI184" t="s">
        <v>37</v>
      </c>
      <c r="EK184" t="s">
        <v>37</v>
      </c>
      <c r="EM184" t="s">
        <v>37</v>
      </c>
      <c r="EO184" t="s">
        <v>37</v>
      </c>
      <c r="EQ184" t="s">
        <v>37</v>
      </c>
      <c r="ER184">
        <v>44396</v>
      </c>
      <c r="ES184" t="s">
        <v>37</v>
      </c>
      <c r="ET184">
        <v>38568</v>
      </c>
      <c r="EU184" t="s">
        <v>37</v>
      </c>
      <c r="EV184">
        <v>52663</v>
      </c>
      <c r="EW184" t="s">
        <v>37</v>
      </c>
      <c r="EY184" t="s">
        <v>37</v>
      </c>
      <c r="FA184" t="s">
        <v>37</v>
      </c>
      <c r="FC184" t="s">
        <v>37</v>
      </c>
      <c r="FE184" t="s">
        <v>37</v>
      </c>
      <c r="FG184" t="s">
        <v>37</v>
      </c>
      <c r="FH184">
        <v>43036</v>
      </c>
      <c r="FI184" t="s">
        <v>37</v>
      </c>
      <c r="FJ184">
        <v>50000</v>
      </c>
      <c r="FK184" t="s">
        <v>37</v>
      </c>
      <c r="FL184">
        <v>18000</v>
      </c>
      <c r="FM184" t="s">
        <v>37</v>
      </c>
      <c r="FN184">
        <v>39876</v>
      </c>
      <c r="FO184" t="s">
        <v>37</v>
      </c>
      <c r="FQ184" t="s">
        <v>37</v>
      </c>
      <c r="FS184" t="s">
        <v>37</v>
      </c>
      <c r="FU184" t="s">
        <v>37</v>
      </c>
      <c r="FW184" t="s">
        <v>37</v>
      </c>
      <c r="FY184" t="s">
        <v>37</v>
      </c>
      <c r="GA184" t="s">
        <v>37</v>
      </c>
      <c r="GB184">
        <v>38794</v>
      </c>
      <c r="GC184" t="s">
        <v>37</v>
      </c>
      <c r="GE184" t="s">
        <v>37</v>
      </c>
      <c r="GG184" t="s">
        <v>37</v>
      </c>
      <c r="GI184" t="s">
        <v>37</v>
      </c>
      <c r="GK184" t="s">
        <v>37</v>
      </c>
      <c r="GL184">
        <v>100000</v>
      </c>
      <c r="GM184" t="s">
        <v>37</v>
      </c>
      <c r="GO184" t="s">
        <v>37</v>
      </c>
      <c r="GP184">
        <v>39625</v>
      </c>
      <c r="GQ184" t="s">
        <v>37</v>
      </c>
      <c r="GR184">
        <v>50000</v>
      </c>
      <c r="GS184" t="s">
        <v>37</v>
      </c>
      <c r="GU184" t="s">
        <v>37</v>
      </c>
      <c r="GW184" t="s">
        <v>37</v>
      </c>
      <c r="GX184">
        <v>50000</v>
      </c>
      <c r="GY184" t="s">
        <v>37</v>
      </c>
      <c r="HA184" t="s">
        <v>37</v>
      </c>
      <c r="HC184" t="s">
        <v>37</v>
      </c>
      <c r="HE184" t="s">
        <v>37</v>
      </c>
      <c r="HF184">
        <v>2095074</v>
      </c>
      <c r="HG184" t="s">
        <v>37</v>
      </c>
      <c r="HI184" t="s">
        <v>37</v>
      </c>
      <c r="HJ184">
        <v>2095074</v>
      </c>
      <c r="HK184" t="s">
        <v>37</v>
      </c>
    </row>
    <row r="185" spans="1:219">
      <c r="A185">
        <v>3568</v>
      </c>
      <c r="B185" t="s">
        <v>204</v>
      </c>
      <c r="C185" t="s">
        <v>37</v>
      </c>
      <c r="D185">
        <v>75000</v>
      </c>
      <c r="E185" t="s">
        <v>37</v>
      </c>
      <c r="F185">
        <v>405080</v>
      </c>
      <c r="G185" t="s">
        <v>37</v>
      </c>
      <c r="H185">
        <v>2211232</v>
      </c>
      <c r="I185" t="s">
        <v>37</v>
      </c>
      <c r="K185" s="48" t="s">
        <v>37</v>
      </c>
      <c r="L185" s="50"/>
      <c r="M185" s="48" t="s">
        <v>37</v>
      </c>
      <c r="N185" s="50"/>
      <c r="O185" s="48" t="s">
        <v>37</v>
      </c>
      <c r="P185" s="51">
        <v>130730</v>
      </c>
      <c r="Q185" s="48" t="s">
        <v>37</v>
      </c>
      <c r="R185" s="50"/>
      <c r="S185" s="48" t="s">
        <v>37</v>
      </c>
      <c r="U185" t="s">
        <v>37</v>
      </c>
      <c r="W185" t="s">
        <v>37</v>
      </c>
      <c r="Y185" t="s">
        <v>37</v>
      </c>
      <c r="Z185">
        <v>192222</v>
      </c>
      <c r="AA185" t="s">
        <v>37</v>
      </c>
      <c r="AB185">
        <v>257029</v>
      </c>
      <c r="AC185" t="s">
        <v>37</v>
      </c>
      <c r="AD185">
        <v>147884</v>
      </c>
      <c r="AE185" t="s">
        <v>37</v>
      </c>
      <c r="AF185">
        <v>106249</v>
      </c>
      <c r="AG185" t="s">
        <v>37</v>
      </c>
      <c r="AH185">
        <v>299204</v>
      </c>
      <c r="AI185" t="s">
        <v>37</v>
      </c>
      <c r="AK185" t="s">
        <v>37</v>
      </c>
      <c r="AL185">
        <v>632876</v>
      </c>
      <c r="AM185" t="s">
        <v>37</v>
      </c>
      <c r="AO185" t="s">
        <v>37</v>
      </c>
      <c r="AP185">
        <v>702788</v>
      </c>
      <c r="AQ185" t="s">
        <v>37</v>
      </c>
      <c r="AR185">
        <v>724891</v>
      </c>
      <c r="AS185" t="s">
        <v>37</v>
      </c>
      <c r="AT185">
        <v>2876079</v>
      </c>
      <c r="AU185" t="s">
        <v>37</v>
      </c>
      <c r="AV185">
        <v>1021640</v>
      </c>
      <c r="AW185" t="s">
        <v>37</v>
      </c>
      <c r="AX185">
        <v>586022</v>
      </c>
      <c r="AY185" t="s">
        <v>37</v>
      </c>
      <c r="AZ185">
        <v>811500</v>
      </c>
      <c r="BA185" t="s">
        <v>37</v>
      </c>
      <c r="BB185">
        <v>428554</v>
      </c>
      <c r="BC185" t="s">
        <v>37</v>
      </c>
      <c r="BD185">
        <v>288386</v>
      </c>
      <c r="BE185" t="s">
        <v>37</v>
      </c>
      <c r="BF185">
        <v>75556</v>
      </c>
      <c r="BG185" t="s">
        <v>37</v>
      </c>
      <c r="BI185" t="s">
        <v>37</v>
      </c>
      <c r="BJ185">
        <v>800169</v>
      </c>
      <c r="BK185" t="s">
        <v>37</v>
      </c>
      <c r="BL185">
        <v>684227</v>
      </c>
      <c r="BM185" t="s">
        <v>37</v>
      </c>
      <c r="BO185" t="s">
        <v>37</v>
      </c>
      <c r="BP185">
        <v>190015</v>
      </c>
      <c r="BQ185" t="s">
        <v>37</v>
      </c>
      <c r="BR185">
        <v>696510</v>
      </c>
      <c r="BS185" t="s">
        <v>37</v>
      </c>
      <c r="BT185">
        <v>121193</v>
      </c>
      <c r="BU185" t="s">
        <v>37</v>
      </c>
      <c r="BW185" t="s">
        <v>37</v>
      </c>
      <c r="BY185" t="s">
        <v>37</v>
      </c>
      <c r="BZ185">
        <v>554486</v>
      </c>
      <c r="CA185" t="s">
        <v>37</v>
      </c>
      <c r="CC185" t="s">
        <v>37</v>
      </c>
      <c r="CD185">
        <v>157694</v>
      </c>
      <c r="CE185" t="s">
        <v>37</v>
      </c>
      <c r="CF185">
        <v>1036082</v>
      </c>
      <c r="CG185" t="s">
        <v>37</v>
      </c>
      <c r="CH185">
        <v>623139</v>
      </c>
      <c r="CI185" t="s">
        <v>37</v>
      </c>
      <c r="CJ185">
        <v>10000</v>
      </c>
      <c r="CK185" t="s">
        <v>37</v>
      </c>
      <c r="CL185">
        <v>843975</v>
      </c>
      <c r="CM185" t="s">
        <v>37</v>
      </c>
      <c r="CN185">
        <v>915002</v>
      </c>
      <c r="CO185" t="s">
        <v>37</v>
      </c>
      <c r="CQ185" t="s">
        <v>37</v>
      </c>
      <c r="CR185">
        <v>338663</v>
      </c>
      <c r="CS185" t="s">
        <v>37</v>
      </c>
      <c r="CT185">
        <v>1349996</v>
      </c>
      <c r="CU185" t="s">
        <v>37</v>
      </c>
      <c r="CV185">
        <v>279604</v>
      </c>
      <c r="CW185" t="s">
        <v>37</v>
      </c>
      <c r="CX185">
        <v>10000</v>
      </c>
      <c r="CY185" t="s">
        <v>37</v>
      </c>
      <c r="DA185" t="s">
        <v>37</v>
      </c>
      <c r="DC185" t="s">
        <v>37</v>
      </c>
      <c r="DD185">
        <v>188361</v>
      </c>
      <c r="DE185" t="s">
        <v>37</v>
      </c>
      <c r="DF185">
        <v>1067973</v>
      </c>
      <c r="DG185" t="s">
        <v>37</v>
      </c>
      <c r="DH185">
        <v>211007</v>
      </c>
      <c r="DI185" t="s">
        <v>37</v>
      </c>
      <c r="DJ185">
        <v>715377</v>
      </c>
      <c r="DK185" t="s">
        <v>37</v>
      </c>
      <c r="DL185">
        <v>244255</v>
      </c>
      <c r="DM185" t="s">
        <v>37</v>
      </c>
      <c r="DN185">
        <v>564221</v>
      </c>
      <c r="DO185" t="s">
        <v>37</v>
      </c>
      <c r="DP185">
        <v>91416</v>
      </c>
      <c r="DQ185" t="s">
        <v>37</v>
      </c>
      <c r="DR185">
        <v>99199</v>
      </c>
      <c r="DS185" t="s">
        <v>37</v>
      </c>
      <c r="DT185">
        <v>633243</v>
      </c>
      <c r="DU185" t="s">
        <v>37</v>
      </c>
      <c r="DW185" t="s">
        <v>37</v>
      </c>
      <c r="DX185">
        <v>193281</v>
      </c>
      <c r="DY185" t="s">
        <v>37</v>
      </c>
      <c r="DZ185">
        <v>113473</v>
      </c>
      <c r="EA185" t="s">
        <v>37</v>
      </c>
      <c r="EB185">
        <v>177602</v>
      </c>
      <c r="EC185" t="s">
        <v>37</v>
      </c>
      <c r="EE185" t="s">
        <v>37</v>
      </c>
      <c r="EF185">
        <v>118310</v>
      </c>
      <c r="EG185" t="s">
        <v>37</v>
      </c>
      <c r="EI185" t="s">
        <v>37</v>
      </c>
      <c r="EJ185">
        <v>326706</v>
      </c>
      <c r="EK185" t="s">
        <v>37</v>
      </c>
      <c r="EL185">
        <v>101517</v>
      </c>
      <c r="EM185" t="s">
        <v>37</v>
      </c>
      <c r="EN185">
        <v>858993</v>
      </c>
      <c r="EO185" t="s">
        <v>37</v>
      </c>
      <c r="EQ185" t="s">
        <v>37</v>
      </c>
      <c r="ER185">
        <v>969453</v>
      </c>
      <c r="ES185" t="s">
        <v>37</v>
      </c>
      <c r="ET185">
        <v>585596</v>
      </c>
      <c r="EU185" t="s">
        <v>37</v>
      </c>
      <c r="EV185">
        <v>684</v>
      </c>
      <c r="EW185" t="s">
        <v>37</v>
      </c>
      <c r="EY185" t="s">
        <v>37</v>
      </c>
      <c r="EZ185">
        <v>444434</v>
      </c>
      <c r="FA185" t="s">
        <v>37</v>
      </c>
      <c r="FB185">
        <v>798799</v>
      </c>
      <c r="FC185" t="s">
        <v>37</v>
      </c>
      <c r="FD185">
        <v>930339</v>
      </c>
      <c r="FE185" t="s">
        <v>37</v>
      </c>
      <c r="FG185" t="s">
        <v>37</v>
      </c>
      <c r="FI185" t="s">
        <v>37</v>
      </c>
      <c r="FJ185">
        <v>2212526</v>
      </c>
      <c r="FK185" t="s">
        <v>37</v>
      </c>
      <c r="FL185">
        <v>5409</v>
      </c>
      <c r="FM185" t="s">
        <v>37</v>
      </c>
      <c r="FN185">
        <v>216683</v>
      </c>
      <c r="FO185" t="s">
        <v>37</v>
      </c>
      <c r="FQ185" t="s">
        <v>37</v>
      </c>
      <c r="FS185" t="s">
        <v>37</v>
      </c>
      <c r="FU185" t="s">
        <v>37</v>
      </c>
      <c r="FW185" t="s">
        <v>37</v>
      </c>
      <c r="FY185" t="s">
        <v>37</v>
      </c>
      <c r="FZ185">
        <v>169865</v>
      </c>
      <c r="GA185" t="s">
        <v>37</v>
      </c>
      <c r="GB185">
        <v>542732</v>
      </c>
      <c r="GC185" t="s">
        <v>37</v>
      </c>
      <c r="GE185" t="s">
        <v>37</v>
      </c>
      <c r="GG185" t="s">
        <v>37</v>
      </c>
      <c r="GI185" t="s">
        <v>37</v>
      </c>
      <c r="GJ185">
        <v>318874</v>
      </c>
      <c r="GK185" t="s">
        <v>37</v>
      </c>
      <c r="GL185">
        <v>577696</v>
      </c>
      <c r="GM185" t="s">
        <v>37</v>
      </c>
      <c r="GO185" t="s">
        <v>37</v>
      </c>
      <c r="GP185">
        <v>335136</v>
      </c>
      <c r="GQ185" t="s">
        <v>37</v>
      </c>
      <c r="GR185">
        <v>481322</v>
      </c>
      <c r="GS185" t="s">
        <v>37</v>
      </c>
      <c r="GU185" t="s">
        <v>37</v>
      </c>
      <c r="GW185" t="s">
        <v>37</v>
      </c>
      <c r="GX185">
        <v>249097</v>
      </c>
      <c r="GY185" t="s">
        <v>37</v>
      </c>
      <c r="HA185" t="s">
        <v>37</v>
      </c>
      <c r="HC185" t="s">
        <v>37</v>
      </c>
      <c r="HE185" t="s">
        <v>37</v>
      </c>
      <c r="HF185">
        <v>35127256</v>
      </c>
      <c r="HG185" t="s">
        <v>37</v>
      </c>
      <c r="HI185" t="s">
        <v>37</v>
      </c>
      <c r="HJ185">
        <v>35127256</v>
      </c>
      <c r="HK185" t="s">
        <v>37</v>
      </c>
    </row>
    <row r="186" spans="1:219">
      <c r="A186">
        <v>3569</v>
      </c>
      <c r="B186" t="s">
        <v>205</v>
      </c>
      <c r="C186" t="s">
        <v>37</v>
      </c>
      <c r="E186" t="s">
        <v>37</v>
      </c>
      <c r="G186" t="s">
        <v>37</v>
      </c>
      <c r="I186" t="s">
        <v>37</v>
      </c>
      <c r="K186" s="48" t="s">
        <v>37</v>
      </c>
      <c r="L186" s="50"/>
      <c r="M186" s="48" t="s">
        <v>37</v>
      </c>
      <c r="N186" s="50"/>
      <c r="O186" s="48" t="s">
        <v>37</v>
      </c>
      <c r="P186" s="50"/>
      <c r="Q186" s="48" t="s">
        <v>37</v>
      </c>
      <c r="R186" s="50"/>
      <c r="S186" s="48" t="s">
        <v>37</v>
      </c>
      <c r="U186" t="s">
        <v>37</v>
      </c>
      <c r="W186" t="s">
        <v>37</v>
      </c>
      <c r="Y186" t="s">
        <v>37</v>
      </c>
      <c r="AA186" t="s">
        <v>37</v>
      </c>
      <c r="AC186" t="s">
        <v>37</v>
      </c>
      <c r="AE186" t="s">
        <v>37</v>
      </c>
      <c r="AG186" t="s">
        <v>37</v>
      </c>
      <c r="AI186" t="s">
        <v>37</v>
      </c>
      <c r="AK186" t="s">
        <v>37</v>
      </c>
      <c r="AM186" t="s">
        <v>37</v>
      </c>
      <c r="AO186" t="s">
        <v>37</v>
      </c>
      <c r="AQ186" t="s">
        <v>37</v>
      </c>
      <c r="AS186" t="s">
        <v>37</v>
      </c>
      <c r="AU186" t="s">
        <v>37</v>
      </c>
      <c r="AW186" t="s">
        <v>37</v>
      </c>
      <c r="AY186" t="s">
        <v>37</v>
      </c>
      <c r="BA186" t="s">
        <v>37</v>
      </c>
      <c r="BC186" t="s">
        <v>37</v>
      </c>
      <c r="BE186" t="s">
        <v>37</v>
      </c>
      <c r="BG186" t="s">
        <v>37</v>
      </c>
      <c r="BI186" t="s">
        <v>37</v>
      </c>
      <c r="BK186" t="s">
        <v>37</v>
      </c>
      <c r="BM186" t="s">
        <v>37</v>
      </c>
      <c r="BO186" t="s">
        <v>37</v>
      </c>
      <c r="BQ186" t="s">
        <v>37</v>
      </c>
      <c r="BS186" t="s">
        <v>37</v>
      </c>
      <c r="BU186" t="s">
        <v>37</v>
      </c>
      <c r="BW186" t="s">
        <v>37</v>
      </c>
      <c r="BY186" t="s">
        <v>37</v>
      </c>
      <c r="CA186" t="s">
        <v>37</v>
      </c>
      <c r="CC186" t="s">
        <v>37</v>
      </c>
      <c r="CE186" t="s">
        <v>37</v>
      </c>
      <c r="CG186" t="s">
        <v>37</v>
      </c>
      <c r="CI186" t="s">
        <v>37</v>
      </c>
      <c r="CK186" t="s">
        <v>37</v>
      </c>
      <c r="CM186" t="s">
        <v>37</v>
      </c>
      <c r="CO186" t="s">
        <v>37</v>
      </c>
      <c r="CQ186" t="s">
        <v>37</v>
      </c>
      <c r="CS186" t="s">
        <v>37</v>
      </c>
      <c r="CU186" t="s">
        <v>37</v>
      </c>
      <c r="CW186" t="s">
        <v>37</v>
      </c>
      <c r="CY186" t="s">
        <v>37</v>
      </c>
      <c r="DA186" t="s">
        <v>37</v>
      </c>
      <c r="DC186" t="s">
        <v>37</v>
      </c>
      <c r="DE186" t="s">
        <v>37</v>
      </c>
      <c r="DG186" t="s">
        <v>37</v>
      </c>
      <c r="DI186" t="s">
        <v>37</v>
      </c>
      <c r="DK186" t="s">
        <v>37</v>
      </c>
      <c r="DM186" t="s">
        <v>37</v>
      </c>
      <c r="DO186" t="s">
        <v>37</v>
      </c>
      <c r="DQ186" t="s">
        <v>37</v>
      </c>
      <c r="DR186">
        <v>68710</v>
      </c>
      <c r="DS186" t="s">
        <v>37</v>
      </c>
      <c r="DU186" t="s">
        <v>37</v>
      </c>
      <c r="DW186" t="s">
        <v>37</v>
      </c>
      <c r="DY186" t="s">
        <v>37</v>
      </c>
      <c r="EA186" t="s">
        <v>37</v>
      </c>
      <c r="EC186" t="s">
        <v>37</v>
      </c>
      <c r="EE186" t="s">
        <v>37</v>
      </c>
      <c r="EG186" t="s">
        <v>37</v>
      </c>
      <c r="EI186" t="s">
        <v>37</v>
      </c>
      <c r="EK186" t="s">
        <v>37</v>
      </c>
      <c r="EM186" t="s">
        <v>37</v>
      </c>
      <c r="EO186" t="s">
        <v>37</v>
      </c>
      <c r="EQ186" t="s">
        <v>37</v>
      </c>
      <c r="ES186" t="s">
        <v>37</v>
      </c>
      <c r="EU186" t="s">
        <v>37</v>
      </c>
      <c r="EW186" t="s">
        <v>37</v>
      </c>
      <c r="EY186" t="s">
        <v>37</v>
      </c>
      <c r="EZ186">
        <v>352118</v>
      </c>
      <c r="FA186" t="s">
        <v>37</v>
      </c>
      <c r="FC186" t="s">
        <v>37</v>
      </c>
      <c r="FE186" t="s">
        <v>37</v>
      </c>
      <c r="FG186" t="s">
        <v>37</v>
      </c>
      <c r="FI186" t="s">
        <v>37</v>
      </c>
      <c r="FK186" t="s">
        <v>37</v>
      </c>
      <c r="FM186" t="s">
        <v>37</v>
      </c>
      <c r="FO186" t="s">
        <v>37</v>
      </c>
      <c r="FQ186" t="s">
        <v>37</v>
      </c>
      <c r="FS186" t="s">
        <v>37</v>
      </c>
      <c r="FU186" t="s">
        <v>37</v>
      </c>
      <c r="FW186" t="s">
        <v>37</v>
      </c>
      <c r="FY186" t="s">
        <v>37</v>
      </c>
      <c r="GA186" t="s">
        <v>37</v>
      </c>
      <c r="GC186" t="s">
        <v>37</v>
      </c>
      <c r="GE186" t="s">
        <v>37</v>
      </c>
      <c r="GG186" t="s">
        <v>37</v>
      </c>
      <c r="GI186" t="s">
        <v>37</v>
      </c>
      <c r="GK186" t="s">
        <v>37</v>
      </c>
      <c r="GM186" t="s">
        <v>37</v>
      </c>
      <c r="GO186" t="s">
        <v>37</v>
      </c>
      <c r="GQ186" t="s">
        <v>37</v>
      </c>
      <c r="GS186" t="s">
        <v>37</v>
      </c>
      <c r="GU186" t="s">
        <v>37</v>
      </c>
      <c r="GW186" t="s">
        <v>37</v>
      </c>
      <c r="GY186" t="s">
        <v>37</v>
      </c>
      <c r="HA186" t="s">
        <v>37</v>
      </c>
      <c r="HC186" t="s">
        <v>37</v>
      </c>
      <c r="HE186" t="s">
        <v>37</v>
      </c>
      <c r="HF186">
        <v>420828</v>
      </c>
      <c r="HG186" t="s">
        <v>37</v>
      </c>
      <c r="HI186" t="s">
        <v>37</v>
      </c>
      <c r="HJ186">
        <v>420828</v>
      </c>
      <c r="HK186" t="s">
        <v>37</v>
      </c>
    </row>
    <row r="187" spans="1:219">
      <c r="A187">
        <v>3570</v>
      </c>
      <c r="B187" t="s">
        <v>206</v>
      </c>
      <c r="C187" t="s">
        <v>37</v>
      </c>
      <c r="D187">
        <v>24794</v>
      </c>
      <c r="E187" t="s">
        <v>37</v>
      </c>
      <c r="F187">
        <v>69215</v>
      </c>
      <c r="G187" t="s">
        <v>37</v>
      </c>
      <c r="H187">
        <v>76363</v>
      </c>
      <c r="I187" t="s">
        <v>37</v>
      </c>
      <c r="K187" s="48" t="s">
        <v>37</v>
      </c>
      <c r="L187" s="50"/>
      <c r="M187" s="48" t="s">
        <v>37</v>
      </c>
      <c r="N187" s="50"/>
      <c r="O187" s="48" t="s">
        <v>37</v>
      </c>
      <c r="P187" s="51">
        <v>24794</v>
      </c>
      <c r="Q187" s="48" t="s">
        <v>37</v>
      </c>
      <c r="R187" s="50"/>
      <c r="S187" s="48" t="s">
        <v>37</v>
      </c>
      <c r="U187" t="s">
        <v>37</v>
      </c>
      <c r="W187" t="s">
        <v>37</v>
      </c>
      <c r="Y187" t="s">
        <v>37</v>
      </c>
      <c r="Z187">
        <v>9586</v>
      </c>
      <c r="AA187" t="s">
        <v>37</v>
      </c>
      <c r="AB187">
        <v>65407</v>
      </c>
      <c r="AC187" t="s">
        <v>37</v>
      </c>
      <c r="AD187">
        <v>42246</v>
      </c>
      <c r="AE187" t="s">
        <v>37</v>
      </c>
      <c r="AF187">
        <v>529</v>
      </c>
      <c r="AG187" t="s">
        <v>37</v>
      </c>
      <c r="AH187">
        <v>40175</v>
      </c>
      <c r="AI187" t="s">
        <v>37</v>
      </c>
      <c r="AK187" t="s">
        <v>37</v>
      </c>
      <c r="AL187">
        <v>125558</v>
      </c>
      <c r="AM187" t="s">
        <v>37</v>
      </c>
      <c r="AO187" t="s">
        <v>37</v>
      </c>
      <c r="AP187">
        <v>115129</v>
      </c>
      <c r="AQ187" t="s">
        <v>37</v>
      </c>
      <c r="AR187">
        <v>54559</v>
      </c>
      <c r="AS187" t="s">
        <v>37</v>
      </c>
      <c r="AT187">
        <v>694117</v>
      </c>
      <c r="AU187" t="s">
        <v>37</v>
      </c>
      <c r="AV187">
        <v>181006</v>
      </c>
      <c r="AW187" t="s">
        <v>37</v>
      </c>
      <c r="AX187">
        <v>102643</v>
      </c>
      <c r="AY187" t="s">
        <v>37</v>
      </c>
      <c r="AZ187">
        <v>13481</v>
      </c>
      <c r="BA187" t="s">
        <v>37</v>
      </c>
      <c r="BB187">
        <v>52579</v>
      </c>
      <c r="BC187" t="s">
        <v>37</v>
      </c>
      <c r="BD187">
        <v>20821</v>
      </c>
      <c r="BE187" t="s">
        <v>37</v>
      </c>
      <c r="BF187">
        <v>11413</v>
      </c>
      <c r="BG187" t="s">
        <v>37</v>
      </c>
      <c r="BI187" t="s">
        <v>37</v>
      </c>
      <c r="BJ187">
        <v>95605</v>
      </c>
      <c r="BK187" t="s">
        <v>37</v>
      </c>
      <c r="BL187">
        <v>167129</v>
      </c>
      <c r="BM187" t="s">
        <v>37</v>
      </c>
      <c r="BO187" t="s">
        <v>37</v>
      </c>
      <c r="BP187">
        <v>52061</v>
      </c>
      <c r="BQ187" t="s">
        <v>37</v>
      </c>
      <c r="BR187">
        <v>14508</v>
      </c>
      <c r="BS187" t="s">
        <v>37</v>
      </c>
      <c r="BU187" t="s">
        <v>37</v>
      </c>
      <c r="BW187" t="s">
        <v>37</v>
      </c>
      <c r="BY187" t="s">
        <v>37</v>
      </c>
      <c r="BZ187">
        <v>54547</v>
      </c>
      <c r="CA187" t="s">
        <v>37</v>
      </c>
      <c r="CC187" t="s">
        <v>37</v>
      </c>
      <c r="CD187">
        <v>24794</v>
      </c>
      <c r="CE187" t="s">
        <v>37</v>
      </c>
      <c r="CF187">
        <v>114508</v>
      </c>
      <c r="CG187" t="s">
        <v>37</v>
      </c>
      <c r="CH187">
        <v>78361</v>
      </c>
      <c r="CI187" t="s">
        <v>37</v>
      </c>
      <c r="CK187" t="s">
        <v>37</v>
      </c>
      <c r="CL187">
        <v>69709</v>
      </c>
      <c r="CM187" t="s">
        <v>37</v>
      </c>
      <c r="CN187">
        <v>89259</v>
      </c>
      <c r="CO187" t="s">
        <v>37</v>
      </c>
      <c r="CQ187" t="s">
        <v>37</v>
      </c>
      <c r="CR187">
        <v>56151</v>
      </c>
      <c r="CS187" t="s">
        <v>37</v>
      </c>
      <c r="CT187">
        <v>335980</v>
      </c>
      <c r="CU187" t="s">
        <v>37</v>
      </c>
      <c r="CV187">
        <v>28011</v>
      </c>
      <c r="CW187" t="s">
        <v>37</v>
      </c>
      <c r="CY187" t="s">
        <v>37</v>
      </c>
      <c r="DA187" t="s">
        <v>37</v>
      </c>
      <c r="DC187" t="s">
        <v>37</v>
      </c>
      <c r="DD187">
        <v>36930</v>
      </c>
      <c r="DE187" t="s">
        <v>37</v>
      </c>
      <c r="DG187" t="s">
        <v>37</v>
      </c>
      <c r="DH187">
        <v>8133</v>
      </c>
      <c r="DI187" t="s">
        <v>37</v>
      </c>
      <c r="DK187" t="s">
        <v>37</v>
      </c>
      <c r="DL187">
        <v>27431</v>
      </c>
      <c r="DM187" t="s">
        <v>37</v>
      </c>
      <c r="DN187">
        <v>85522</v>
      </c>
      <c r="DO187" t="s">
        <v>37</v>
      </c>
      <c r="DP187">
        <v>13890</v>
      </c>
      <c r="DQ187" t="s">
        <v>37</v>
      </c>
      <c r="DR187">
        <v>23351</v>
      </c>
      <c r="DS187" t="s">
        <v>37</v>
      </c>
      <c r="DT187">
        <v>165569</v>
      </c>
      <c r="DU187" t="s">
        <v>37</v>
      </c>
      <c r="DW187" t="s">
        <v>37</v>
      </c>
      <c r="DX187">
        <v>16393</v>
      </c>
      <c r="DY187" t="s">
        <v>37</v>
      </c>
      <c r="DZ187">
        <v>21762</v>
      </c>
      <c r="EA187" t="s">
        <v>37</v>
      </c>
      <c r="EC187" t="s">
        <v>37</v>
      </c>
      <c r="EE187" t="s">
        <v>37</v>
      </c>
      <c r="EF187">
        <v>49553</v>
      </c>
      <c r="EG187" t="s">
        <v>37</v>
      </c>
      <c r="EI187" t="s">
        <v>37</v>
      </c>
      <c r="EK187" t="s">
        <v>37</v>
      </c>
      <c r="EL187">
        <v>27729</v>
      </c>
      <c r="EM187" t="s">
        <v>37</v>
      </c>
      <c r="EO187" t="s">
        <v>37</v>
      </c>
      <c r="EQ187" t="s">
        <v>37</v>
      </c>
      <c r="ER187">
        <v>177111</v>
      </c>
      <c r="ES187" t="s">
        <v>37</v>
      </c>
      <c r="ET187">
        <v>119568</v>
      </c>
      <c r="EU187" t="s">
        <v>37</v>
      </c>
      <c r="EW187" t="s">
        <v>37</v>
      </c>
      <c r="EY187" t="s">
        <v>37</v>
      </c>
      <c r="EZ187">
        <v>7845</v>
      </c>
      <c r="FA187" t="s">
        <v>37</v>
      </c>
      <c r="FC187" t="s">
        <v>37</v>
      </c>
      <c r="FE187" t="s">
        <v>37</v>
      </c>
      <c r="FG187" t="s">
        <v>37</v>
      </c>
      <c r="FI187" t="s">
        <v>37</v>
      </c>
      <c r="FK187" t="s">
        <v>37</v>
      </c>
      <c r="FM187" t="s">
        <v>37</v>
      </c>
      <c r="FO187" t="s">
        <v>37</v>
      </c>
      <c r="FQ187" t="s">
        <v>37</v>
      </c>
      <c r="FS187" t="s">
        <v>37</v>
      </c>
      <c r="FU187" t="s">
        <v>37</v>
      </c>
      <c r="FW187" t="s">
        <v>37</v>
      </c>
      <c r="FY187" t="s">
        <v>37</v>
      </c>
      <c r="GA187" t="s">
        <v>37</v>
      </c>
      <c r="GC187" t="s">
        <v>37</v>
      </c>
      <c r="GE187" t="s">
        <v>37</v>
      </c>
      <c r="GG187" t="s">
        <v>37</v>
      </c>
      <c r="GI187" t="s">
        <v>37</v>
      </c>
      <c r="GK187" t="s">
        <v>37</v>
      </c>
      <c r="GM187" t="s">
        <v>37</v>
      </c>
      <c r="GO187" t="s">
        <v>37</v>
      </c>
      <c r="GQ187" t="s">
        <v>37</v>
      </c>
      <c r="GS187" t="s">
        <v>37</v>
      </c>
      <c r="GU187" t="s">
        <v>37</v>
      </c>
      <c r="GW187" t="s">
        <v>37</v>
      </c>
      <c r="GY187" t="s">
        <v>37</v>
      </c>
      <c r="HA187" t="s">
        <v>37</v>
      </c>
      <c r="HC187" t="s">
        <v>37</v>
      </c>
      <c r="HE187" t="s">
        <v>37</v>
      </c>
      <c r="HF187">
        <v>3685825</v>
      </c>
      <c r="HG187" t="s">
        <v>37</v>
      </c>
      <c r="HI187" t="s">
        <v>37</v>
      </c>
      <c r="HJ187">
        <v>3685825</v>
      </c>
      <c r="HK187" t="s">
        <v>37</v>
      </c>
    </row>
    <row r="188" spans="1:219">
      <c r="A188">
        <v>3575</v>
      </c>
      <c r="B188" t="s">
        <v>207</v>
      </c>
      <c r="C188" t="s">
        <v>37</v>
      </c>
      <c r="D188">
        <v>51529</v>
      </c>
      <c r="E188" t="s">
        <v>37</v>
      </c>
      <c r="F188">
        <v>85719</v>
      </c>
      <c r="G188" t="s">
        <v>37</v>
      </c>
      <c r="H188">
        <v>769</v>
      </c>
      <c r="I188" t="s">
        <v>37</v>
      </c>
      <c r="K188" s="48" t="s">
        <v>37</v>
      </c>
      <c r="L188" s="51">
        <v>89135</v>
      </c>
      <c r="M188" s="48" t="s">
        <v>37</v>
      </c>
      <c r="N188" s="51">
        <v>19783</v>
      </c>
      <c r="O188" s="48" t="s">
        <v>37</v>
      </c>
      <c r="P188" s="51">
        <v>9241</v>
      </c>
      <c r="Q188" s="48" t="s">
        <v>37</v>
      </c>
      <c r="R188" s="50"/>
      <c r="S188" s="48" t="s">
        <v>37</v>
      </c>
      <c r="T188">
        <v>83977</v>
      </c>
      <c r="U188" t="s">
        <v>37</v>
      </c>
      <c r="W188" t="s">
        <v>37</v>
      </c>
      <c r="Y188" t="s">
        <v>37</v>
      </c>
      <c r="Z188">
        <v>6000</v>
      </c>
      <c r="AA188" t="s">
        <v>37</v>
      </c>
      <c r="AB188">
        <v>1671</v>
      </c>
      <c r="AC188" t="s">
        <v>37</v>
      </c>
      <c r="AE188" t="s">
        <v>37</v>
      </c>
      <c r="AG188" t="s">
        <v>37</v>
      </c>
      <c r="AI188" t="s">
        <v>37</v>
      </c>
      <c r="AK188" t="s">
        <v>37</v>
      </c>
      <c r="AL188">
        <v>7453</v>
      </c>
      <c r="AM188" t="s">
        <v>37</v>
      </c>
      <c r="AO188" t="s">
        <v>37</v>
      </c>
      <c r="AP188">
        <v>39898</v>
      </c>
      <c r="AQ188" t="s">
        <v>37</v>
      </c>
      <c r="AS188" t="s">
        <v>37</v>
      </c>
      <c r="AT188">
        <v>35898</v>
      </c>
      <c r="AU188" t="s">
        <v>37</v>
      </c>
      <c r="AV188">
        <v>3781</v>
      </c>
      <c r="AW188" t="s">
        <v>37</v>
      </c>
      <c r="AX188">
        <v>13998</v>
      </c>
      <c r="AY188" t="s">
        <v>37</v>
      </c>
      <c r="BA188" t="s">
        <v>37</v>
      </c>
      <c r="BB188">
        <v>778</v>
      </c>
      <c r="BC188" t="s">
        <v>37</v>
      </c>
      <c r="BD188">
        <v>4000</v>
      </c>
      <c r="BE188" t="s">
        <v>37</v>
      </c>
      <c r="BG188" t="s">
        <v>37</v>
      </c>
      <c r="BI188" t="s">
        <v>37</v>
      </c>
      <c r="BK188" t="s">
        <v>37</v>
      </c>
      <c r="BL188">
        <v>8153</v>
      </c>
      <c r="BM188" t="s">
        <v>37</v>
      </c>
      <c r="BO188" t="s">
        <v>37</v>
      </c>
      <c r="BQ188" t="s">
        <v>37</v>
      </c>
      <c r="BR188">
        <v>8289</v>
      </c>
      <c r="BS188" t="s">
        <v>37</v>
      </c>
      <c r="BU188" t="s">
        <v>37</v>
      </c>
      <c r="BW188" t="s">
        <v>37</v>
      </c>
      <c r="BX188">
        <v>53500</v>
      </c>
      <c r="BY188" t="s">
        <v>37</v>
      </c>
      <c r="CA188" t="s">
        <v>37</v>
      </c>
      <c r="CC188" t="s">
        <v>37</v>
      </c>
      <c r="CD188">
        <v>7754</v>
      </c>
      <c r="CE188" t="s">
        <v>37</v>
      </c>
      <c r="CG188" t="s">
        <v>37</v>
      </c>
      <c r="CH188">
        <v>4266</v>
      </c>
      <c r="CI188" t="s">
        <v>37</v>
      </c>
      <c r="CK188" t="s">
        <v>37</v>
      </c>
      <c r="CL188">
        <v>6917</v>
      </c>
      <c r="CM188" t="s">
        <v>37</v>
      </c>
      <c r="CO188" t="s">
        <v>37</v>
      </c>
      <c r="CP188">
        <v>8000</v>
      </c>
      <c r="CQ188" t="s">
        <v>37</v>
      </c>
      <c r="CR188">
        <v>21978</v>
      </c>
      <c r="CS188" t="s">
        <v>37</v>
      </c>
      <c r="CT188">
        <v>26485</v>
      </c>
      <c r="CU188" t="s">
        <v>37</v>
      </c>
      <c r="CV188">
        <v>5938</v>
      </c>
      <c r="CW188" t="s">
        <v>37</v>
      </c>
      <c r="CY188" t="s">
        <v>37</v>
      </c>
      <c r="DA188" t="s">
        <v>37</v>
      </c>
      <c r="DC188" t="s">
        <v>37</v>
      </c>
      <c r="DD188">
        <v>6000</v>
      </c>
      <c r="DE188" t="s">
        <v>37</v>
      </c>
      <c r="DG188" t="s">
        <v>37</v>
      </c>
      <c r="DH188">
        <v>19495</v>
      </c>
      <c r="DI188" t="s">
        <v>37</v>
      </c>
      <c r="DK188" t="s">
        <v>37</v>
      </c>
      <c r="DL188">
        <v>25382</v>
      </c>
      <c r="DM188" t="s">
        <v>37</v>
      </c>
      <c r="DN188">
        <v>14007</v>
      </c>
      <c r="DO188" t="s">
        <v>37</v>
      </c>
      <c r="DP188">
        <v>7211</v>
      </c>
      <c r="DQ188" t="s">
        <v>37</v>
      </c>
      <c r="DS188" t="s">
        <v>37</v>
      </c>
      <c r="DT188">
        <v>2000</v>
      </c>
      <c r="DU188" t="s">
        <v>37</v>
      </c>
      <c r="DV188">
        <v>30139</v>
      </c>
      <c r="DW188" t="s">
        <v>37</v>
      </c>
      <c r="DX188">
        <v>4703</v>
      </c>
      <c r="DY188" t="s">
        <v>37</v>
      </c>
      <c r="EA188" t="s">
        <v>37</v>
      </c>
      <c r="EB188">
        <v>6883</v>
      </c>
      <c r="EC188" t="s">
        <v>37</v>
      </c>
      <c r="ED188">
        <v>46871</v>
      </c>
      <c r="EE188" t="s">
        <v>37</v>
      </c>
      <c r="EF188">
        <v>10000</v>
      </c>
      <c r="EG188" t="s">
        <v>37</v>
      </c>
      <c r="EI188" t="s">
        <v>37</v>
      </c>
      <c r="EK188" t="s">
        <v>37</v>
      </c>
      <c r="EL188">
        <v>2000</v>
      </c>
      <c r="EM188" t="s">
        <v>37</v>
      </c>
      <c r="EN188">
        <v>6000</v>
      </c>
      <c r="EO188" t="s">
        <v>37</v>
      </c>
      <c r="EQ188" t="s">
        <v>37</v>
      </c>
      <c r="ES188" t="s">
        <v>37</v>
      </c>
      <c r="ET188">
        <v>28528</v>
      </c>
      <c r="EU188" t="s">
        <v>37</v>
      </c>
      <c r="EV188">
        <v>41229</v>
      </c>
      <c r="EW188" t="s">
        <v>37</v>
      </c>
      <c r="EY188" t="s">
        <v>37</v>
      </c>
      <c r="EZ188">
        <v>9082</v>
      </c>
      <c r="FA188" t="s">
        <v>37</v>
      </c>
      <c r="FB188">
        <v>928</v>
      </c>
      <c r="FC188" t="s">
        <v>37</v>
      </c>
      <c r="FD188">
        <v>71393</v>
      </c>
      <c r="FE188" t="s">
        <v>37</v>
      </c>
      <c r="FG188" t="s">
        <v>37</v>
      </c>
      <c r="FH188">
        <v>71768</v>
      </c>
      <c r="FI188" t="s">
        <v>37</v>
      </c>
      <c r="FJ188">
        <v>17594</v>
      </c>
      <c r="FK188" t="s">
        <v>37</v>
      </c>
      <c r="FL188">
        <v>55124</v>
      </c>
      <c r="FM188" t="s">
        <v>37</v>
      </c>
      <c r="FN188">
        <v>8000</v>
      </c>
      <c r="FO188" t="s">
        <v>37</v>
      </c>
      <c r="FP188">
        <v>12000</v>
      </c>
      <c r="FQ188" t="s">
        <v>37</v>
      </c>
      <c r="FR188">
        <v>8000</v>
      </c>
      <c r="FS188" t="s">
        <v>37</v>
      </c>
      <c r="FU188" t="s">
        <v>37</v>
      </c>
      <c r="FV188">
        <v>6354</v>
      </c>
      <c r="FW188" t="s">
        <v>37</v>
      </c>
      <c r="FX188">
        <v>1672</v>
      </c>
      <c r="FY188" t="s">
        <v>37</v>
      </c>
      <c r="FZ188">
        <v>53711</v>
      </c>
      <c r="GA188" t="s">
        <v>37</v>
      </c>
      <c r="GB188">
        <v>1980</v>
      </c>
      <c r="GC188" t="s">
        <v>37</v>
      </c>
      <c r="GE188" t="s">
        <v>37</v>
      </c>
      <c r="GG188" t="s">
        <v>37</v>
      </c>
      <c r="GI188" t="s">
        <v>37</v>
      </c>
      <c r="GJ188">
        <v>31274</v>
      </c>
      <c r="GK188" t="s">
        <v>37</v>
      </c>
      <c r="GL188">
        <v>870</v>
      </c>
      <c r="GM188" t="s">
        <v>37</v>
      </c>
      <c r="GO188" t="s">
        <v>37</v>
      </c>
      <c r="GP188">
        <v>6000</v>
      </c>
      <c r="GQ188" t="s">
        <v>37</v>
      </c>
      <c r="GS188" t="s">
        <v>37</v>
      </c>
      <c r="GT188">
        <v>11963</v>
      </c>
      <c r="GU188" t="s">
        <v>37</v>
      </c>
      <c r="GW188" t="s">
        <v>37</v>
      </c>
      <c r="GX188">
        <v>20000</v>
      </c>
      <c r="GY188" t="s">
        <v>37</v>
      </c>
      <c r="GZ188">
        <v>16500</v>
      </c>
      <c r="HA188" t="s">
        <v>37</v>
      </c>
      <c r="HB188">
        <v>13914</v>
      </c>
      <c r="HC188" t="s">
        <v>37</v>
      </c>
      <c r="HE188" t="s">
        <v>37</v>
      </c>
      <c r="HF188">
        <v>1259571</v>
      </c>
      <c r="HG188" t="s">
        <v>37</v>
      </c>
      <c r="HH188">
        <v>13914</v>
      </c>
      <c r="HI188" t="s">
        <v>37</v>
      </c>
      <c r="HJ188">
        <v>1273485</v>
      </c>
      <c r="HK188" t="s">
        <v>37</v>
      </c>
    </row>
    <row r="189" spans="1:219">
      <c r="A189">
        <v>3577</v>
      </c>
      <c r="B189" t="s">
        <v>208</v>
      </c>
      <c r="C189" t="s">
        <v>37</v>
      </c>
      <c r="D189">
        <v>71500</v>
      </c>
      <c r="E189" t="s">
        <v>37</v>
      </c>
      <c r="F189">
        <v>427500</v>
      </c>
      <c r="G189" t="s">
        <v>37</v>
      </c>
      <c r="H189">
        <v>33250</v>
      </c>
      <c r="I189" t="s">
        <v>37</v>
      </c>
      <c r="J189">
        <v>4250</v>
      </c>
      <c r="K189" s="48" t="s">
        <v>37</v>
      </c>
      <c r="L189" s="51">
        <v>138250</v>
      </c>
      <c r="M189" s="48" t="s">
        <v>37</v>
      </c>
      <c r="N189" s="51">
        <v>60000</v>
      </c>
      <c r="O189" s="48" t="s">
        <v>37</v>
      </c>
      <c r="P189" s="51">
        <v>47250</v>
      </c>
      <c r="Q189" s="48" t="s">
        <v>37</v>
      </c>
      <c r="R189" s="51">
        <v>53500</v>
      </c>
      <c r="S189" s="48" t="s">
        <v>37</v>
      </c>
      <c r="T189">
        <v>235500</v>
      </c>
      <c r="U189" t="s">
        <v>37</v>
      </c>
      <c r="V189">
        <v>3000</v>
      </c>
      <c r="W189" t="s">
        <v>37</v>
      </c>
      <c r="X189">
        <v>6500</v>
      </c>
      <c r="Y189" t="s">
        <v>37</v>
      </c>
      <c r="Z189">
        <v>31250</v>
      </c>
      <c r="AA189" t="s">
        <v>37</v>
      </c>
      <c r="AB189">
        <v>18250</v>
      </c>
      <c r="AC189" t="s">
        <v>37</v>
      </c>
      <c r="AD189">
        <v>15250</v>
      </c>
      <c r="AE189" t="s">
        <v>37</v>
      </c>
      <c r="AF189">
        <v>18750</v>
      </c>
      <c r="AG189" t="s">
        <v>37</v>
      </c>
      <c r="AH189">
        <v>47000</v>
      </c>
      <c r="AI189" t="s">
        <v>37</v>
      </c>
      <c r="AJ189">
        <v>3500</v>
      </c>
      <c r="AK189" t="s">
        <v>37</v>
      </c>
      <c r="AL189">
        <v>370750</v>
      </c>
      <c r="AM189" t="s">
        <v>37</v>
      </c>
      <c r="AN189">
        <v>8250</v>
      </c>
      <c r="AO189" t="s">
        <v>37</v>
      </c>
      <c r="AP189">
        <v>463000</v>
      </c>
      <c r="AQ189" t="s">
        <v>37</v>
      </c>
      <c r="AR189">
        <v>35500</v>
      </c>
      <c r="AS189" t="s">
        <v>37</v>
      </c>
      <c r="AT189">
        <v>853250</v>
      </c>
      <c r="AU189" t="s">
        <v>37</v>
      </c>
      <c r="AV189">
        <v>174500</v>
      </c>
      <c r="AW189" t="s">
        <v>37</v>
      </c>
      <c r="AX189">
        <v>114500</v>
      </c>
      <c r="AY189" t="s">
        <v>37</v>
      </c>
      <c r="AZ189">
        <v>139500</v>
      </c>
      <c r="BA189" t="s">
        <v>37</v>
      </c>
      <c r="BB189">
        <v>18750</v>
      </c>
      <c r="BC189" t="s">
        <v>37</v>
      </c>
      <c r="BD189">
        <v>53000</v>
      </c>
      <c r="BE189" t="s">
        <v>37</v>
      </c>
      <c r="BF189">
        <v>20500</v>
      </c>
      <c r="BG189" t="s">
        <v>37</v>
      </c>
      <c r="BH189">
        <v>2750</v>
      </c>
      <c r="BI189" t="s">
        <v>37</v>
      </c>
      <c r="BJ189">
        <v>110250</v>
      </c>
      <c r="BK189" t="s">
        <v>37</v>
      </c>
      <c r="BL189">
        <v>211750</v>
      </c>
      <c r="BM189" t="s">
        <v>37</v>
      </c>
      <c r="BO189" t="s">
        <v>37</v>
      </c>
      <c r="BP189">
        <v>15500</v>
      </c>
      <c r="BQ189" t="s">
        <v>37</v>
      </c>
      <c r="BR189">
        <v>56250</v>
      </c>
      <c r="BS189" t="s">
        <v>37</v>
      </c>
      <c r="BT189">
        <v>25750</v>
      </c>
      <c r="BU189" t="s">
        <v>37</v>
      </c>
      <c r="BV189">
        <v>3000</v>
      </c>
      <c r="BW189" t="s">
        <v>37</v>
      </c>
      <c r="BX189">
        <v>336250</v>
      </c>
      <c r="BY189" t="s">
        <v>37</v>
      </c>
      <c r="BZ189">
        <v>43750</v>
      </c>
      <c r="CA189" t="s">
        <v>37</v>
      </c>
      <c r="CB189">
        <v>5250</v>
      </c>
      <c r="CC189" t="s">
        <v>37</v>
      </c>
      <c r="CD189">
        <v>74000</v>
      </c>
      <c r="CE189" t="s">
        <v>37</v>
      </c>
      <c r="CF189">
        <v>74750</v>
      </c>
      <c r="CG189" t="s">
        <v>37</v>
      </c>
      <c r="CH189">
        <v>277250</v>
      </c>
      <c r="CI189" t="s">
        <v>37</v>
      </c>
      <c r="CJ189">
        <v>22250</v>
      </c>
      <c r="CK189" t="s">
        <v>37</v>
      </c>
      <c r="CL189">
        <v>63500</v>
      </c>
      <c r="CM189" t="s">
        <v>37</v>
      </c>
      <c r="CN189">
        <v>17750</v>
      </c>
      <c r="CO189" t="s">
        <v>37</v>
      </c>
      <c r="CP189">
        <v>27000</v>
      </c>
      <c r="CQ189" t="s">
        <v>37</v>
      </c>
      <c r="CR189">
        <v>193500</v>
      </c>
      <c r="CS189" t="s">
        <v>37</v>
      </c>
      <c r="CT189">
        <v>1169343</v>
      </c>
      <c r="CU189" t="s">
        <v>37</v>
      </c>
      <c r="CV189">
        <v>171250</v>
      </c>
      <c r="CW189" t="s">
        <v>37</v>
      </c>
      <c r="CX189">
        <v>23750</v>
      </c>
      <c r="CY189" t="s">
        <v>37</v>
      </c>
      <c r="CZ189">
        <v>29250</v>
      </c>
      <c r="DA189" t="s">
        <v>37</v>
      </c>
      <c r="DB189">
        <v>5250</v>
      </c>
      <c r="DC189" t="s">
        <v>37</v>
      </c>
      <c r="DD189">
        <v>50750</v>
      </c>
      <c r="DE189" t="s">
        <v>37</v>
      </c>
      <c r="DF189">
        <v>24250</v>
      </c>
      <c r="DG189" t="s">
        <v>37</v>
      </c>
      <c r="DH189">
        <v>611750</v>
      </c>
      <c r="DI189" t="s">
        <v>37</v>
      </c>
      <c r="DJ189">
        <v>41750</v>
      </c>
      <c r="DK189" t="s">
        <v>37</v>
      </c>
      <c r="DL189">
        <v>180750</v>
      </c>
      <c r="DM189" t="s">
        <v>37</v>
      </c>
      <c r="DN189">
        <v>205400</v>
      </c>
      <c r="DO189" t="s">
        <v>37</v>
      </c>
      <c r="DP189">
        <v>96250</v>
      </c>
      <c r="DQ189" t="s">
        <v>37</v>
      </c>
      <c r="DR189">
        <v>52750</v>
      </c>
      <c r="DS189" t="s">
        <v>37</v>
      </c>
      <c r="DT189">
        <v>46250</v>
      </c>
      <c r="DU189" t="s">
        <v>37</v>
      </c>
      <c r="DV189">
        <v>334750</v>
      </c>
      <c r="DW189" t="s">
        <v>37</v>
      </c>
      <c r="DX189">
        <v>172250</v>
      </c>
      <c r="DY189" t="s">
        <v>37</v>
      </c>
      <c r="DZ189">
        <v>41750</v>
      </c>
      <c r="EA189" t="s">
        <v>37</v>
      </c>
      <c r="EB189">
        <v>57500</v>
      </c>
      <c r="EC189" t="s">
        <v>37</v>
      </c>
      <c r="ED189">
        <v>321750</v>
      </c>
      <c r="EE189" t="s">
        <v>37</v>
      </c>
      <c r="EF189">
        <v>19250</v>
      </c>
      <c r="EG189" t="s">
        <v>37</v>
      </c>
      <c r="EI189" t="s">
        <v>37</v>
      </c>
      <c r="EJ189">
        <v>52250</v>
      </c>
      <c r="EK189" t="s">
        <v>37</v>
      </c>
      <c r="EL189">
        <v>33250</v>
      </c>
      <c r="EM189" t="s">
        <v>37</v>
      </c>
      <c r="EN189">
        <v>16000</v>
      </c>
      <c r="EO189" t="s">
        <v>37</v>
      </c>
      <c r="EP189">
        <v>2750</v>
      </c>
      <c r="EQ189" t="s">
        <v>37</v>
      </c>
      <c r="ER189">
        <v>77500</v>
      </c>
      <c r="ES189" t="s">
        <v>37</v>
      </c>
      <c r="ET189">
        <v>121250</v>
      </c>
      <c r="EU189" t="s">
        <v>37</v>
      </c>
      <c r="EV189">
        <v>214500</v>
      </c>
      <c r="EW189" t="s">
        <v>37</v>
      </c>
      <c r="EY189" t="s">
        <v>37</v>
      </c>
      <c r="EZ189">
        <v>62000</v>
      </c>
      <c r="FA189" t="s">
        <v>37</v>
      </c>
      <c r="FB189">
        <v>76250</v>
      </c>
      <c r="FC189" t="s">
        <v>37</v>
      </c>
      <c r="FD189">
        <v>142000</v>
      </c>
      <c r="FE189" t="s">
        <v>37</v>
      </c>
      <c r="FF189">
        <v>2000</v>
      </c>
      <c r="FG189" t="s">
        <v>37</v>
      </c>
      <c r="FH189">
        <v>280500</v>
      </c>
      <c r="FI189" t="s">
        <v>37</v>
      </c>
      <c r="FJ189">
        <v>518750</v>
      </c>
      <c r="FK189" t="s">
        <v>37</v>
      </c>
      <c r="FL189">
        <v>414500</v>
      </c>
      <c r="FM189" t="s">
        <v>37</v>
      </c>
      <c r="FN189">
        <v>37250</v>
      </c>
      <c r="FO189" t="s">
        <v>37</v>
      </c>
      <c r="FP189">
        <v>93500</v>
      </c>
      <c r="FQ189" t="s">
        <v>37</v>
      </c>
      <c r="FR189">
        <v>140334</v>
      </c>
      <c r="FS189" t="s">
        <v>37</v>
      </c>
      <c r="FT189">
        <v>54750</v>
      </c>
      <c r="FU189" t="s">
        <v>37</v>
      </c>
      <c r="FV189">
        <v>47500</v>
      </c>
      <c r="FW189" t="s">
        <v>37</v>
      </c>
      <c r="FX189">
        <v>127750</v>
      </c>
      <c r="FY189" t="s">
        <v>37</v>
      </c>
      <c r="FZ189">
        <v>183500</v>
      </c>
      <c r="GA189" t="s">
        <v>37</v>
      </c>
      <c r="GB189">
        <v>176250</v>
      </c>
      <c r="GC189" t="s">
        <v>37</v>
      </c>
      <c r="GD189">
        <v>5250</v>
      </c>
      <c r="GE189" t="s">
        <v>37</v>
      </c>
      <c r="GF189">
        <v>6250</v>
      </c>
      <c r="GG189" t="s">
        <v>37</v>
      </c>
      <c r="GH189">
        <v>5000</v>
      </c>
      <c r="GI189" t="s">
        <v>37</v>
      </c>
      <c r="GJ189">
        <v>147500</v>
      </c>
      <c r="GK189" t="s">
        <v>37</v>
      </c>
      <c r="GL189">
        <v>153750</v>
      </c>
      <c r="GM189" t="s">
        <v>37</v>
      </c>
      <c r="GO189" t="s">
        <v>37</v>
      </c>
      <c r="GP189">
        <v>91250</v>
      </c>
      <c r="GQ189" t="s">
        <v>37</v>
      </c>
      <c r="GR189">
        <v>96500</v>
      </c>
      <c r="GS189" t="s">
        <v>37</v>
      </c>
      <c r="GT189">
        <v>93000</v>
      </c>
      <c r="GU189" t="s">
        <v>37</v>
      </c>
      <c r="GV189">
        <v>107250</v>
      </c>
      <c r="GW189" t="s">
        <v>37</v>
      </c>
      <c r="GX189">
        <v>298500</v>
      </c>
      <c r="GY189" t="s">
        <v>37</v>
      </c>
      <c r="GZ189">
        <v>145500</v>
      </c>
      <c r="HA189" t="s">
        <v>37</v>
      </c>
      <c r="HB189">
        <v>23750</v>
      </c>
      <c r="HC189" t="s">
        <v>37</v>
      </c>
      <c r="HD189">
        <v>19000</v>
      </c>
      <c r="HE189" t="s">
        <v>37</v>
      </c>
      <c r="HF189">
        <v>12706577</v>
      </c>
      <c r="HG189" t="s">
        <v>37</v>
      </c>
      <c r="HH189">
        <v>42750</v>
      </c>
      <c r="HI189" t="s">
        <v>37</v>
      </c>
      <c r="HJ189">
        <v>12749327</v>
      </c>
      <c r="HK189" t="s">
        <v>37</v>
      </c>
    </row>
    <row r="190" spans="1:219">
      <c r="A190">
        <v>3578</v>
      </c>
      <c r="B190" t="s">
        <v>209</v>
      </c>
      <c r="C190" t="s">
        <v>37</v>
      </c>
      <c r="E190" t="s">
        <v>37</v>
      </c>
      <c r="G190" t="s">
        <v>37</v>
      </c>
      <c r="H190">
        <v>5818</v>
      </c>
      <c r="I190" t="s">
        <v>37</v>
      </c>
      <c r="K190" s="48" t="s">
        <v>37</v>
      </c>
      <c r="L190" s="51">
        <v>11995</v>
      </c>
      <c r="M190" s="48" t="s">
        <v>37</v>
      </c>
      <c r="N190" s="50"/>
      <c r="O190" s="48" t="s">
        <v>37</v>
      </c>
      <c r="P190" s="50"/>
      <c r="Q190" s="48" t="s">
        <v>37</v>
      </c>
      <c r="R190" s="50"/>
      <c r="S190" s="48" t="s">
        <v>37</v>
      </c>
      <c r="T190">
        <v>11257</v>
      </c>
      <c r="U190" t="s">
        <v>37</v>
      </c>
      <c r="W190" t="s">
        <v>37</v>
      </c>
      <c r="Y190" t="s">
        <v>37</v>
      </c>
      <c r="Z190">
        <v>4432</v>
      </c>
      <c r="AA190" t="s">
        <v>37</v>
      </c>
      <c r="AB190">
        <v>6468</v>
      </c>
      <c r="AC190" t="s">
        <v>37</v>
      </c>
      <c r="AE190" t="s">
        <v>37</v>
      </c>
      <c r="AG190" t="s">
        <v>37</v>
      </c>
      <c r="AH190">
        <v>3500</v>
      </c>
      <c r="AI190" t="s">
        <v>37</v>
      </c>
      <c r="AK190" t="s">
        <v>37</v>
      </c>
      <c r="AL190">
        <v>19240</v>
      </c>
      <c r="AM190" t="s">
        <v>37</v>
      </c>
      <c r="AO190" t="s">
        <v>37</v>
      </c>
      <c r="AP190">
        <v>64881</v>
      </c>
      <c r="AQ190" t="s">
        <v>37</v>
      </c>
      <c r="AR190">
        <v>2110</v>
      </c>
      <c r="AS190" t="s">
        <v>37</v>
      </c>
      <c r="AT190">
        <v>49128</v>
      </c>
      <c r="AU190" t="s">
        <v>37</v>
      </c>
      <c r="AV190">
        <v>13357</v>
      </c>
      <c r="AW190" t="s">
        <v>37</v>
      </c>
      <c r="AX190">
        <v>6572</v>
      </c>
      <c r="AY190" t="s">
        <v>37</v>
      </c>
      <c r="AZ190">
        <v>16288</v>
      </c>
      <c r="BA190" t="s">
        <v>37</v>
      </c>
      <c r="BB190">
        <v>12000</v>
      </c>
      <c r="BC190" t="s">
        <v>37</v>
      </c>
      <c r="BE190" t="s">
        <v>37</v>
      </c>
      <c r="BG190" t="s">
        <v>37</v>
      </c>
      <c r="BI190" t="s">
        <v>37</v>
      </c>
      <c r="BK190" t="s">
        <v>37</v>
      </c>
      <c r="BL190">
        <v>14837</v>
      </c>
      <c r="BM190" t="s">
        <v>37</v>
      </c>
      <c r="BO190" t="s">
        <v>37</v>
      </c>
      <c r="BQ190" t="s">
        <v>37</v>
      </c>
      <c r="BS190" t="s">
        <v>37</v>
      </c>
      <c r="BU190" t="s">
        <v>37</v>
      </c>
      <c r="BW190" t="s">
        <v>37</v>
      </c>
      <c r="BX190">
        <v>7565</v>
      </c>
      <c r="BY190" t="s">
        <v>37</v>
      </c>
      <c r="BZ190">
        <v>8681</v>
      </c>
      <c r="CA190" t="s">
        <v>37</v>
      </c>
      <c r="CC190" t="s">
        <v>37</v>
      </c>
      <c r="CE190" t="s">
        <v>37</v>
      </c>
      <c r="CF190">
        <v>5000</v>
      </c>
      <c r="CG190" t="s">
        <v>37</v>
      </c>
      <c r="CH190">
        <v>28343</v>
      </c>
      <c r="CI190" t="s">
        <v>37</v>
      </c>
      <c r="CK190" t="s">
        <v>37</v>
      </c>
      <c r="CL190">
        <v>2695</v>
      </c>
      <c r="CM190" t="s">
        <v>37</v>
      </c>
      <c r="CN190">
        <v>5276</v>
      </c>
      <c r="CO190" t="s">
        <v>37</v>
      </c>
      <c r="CQ190" t="s">
        <v>37</v>
      </c>
      <c r="CR190">
        <v>7900</v>
      </c>
      <c r="CS190" t="s">
        <v>37</v>
      </c>
      <c r="CT190">
        <v>51415</v>
      </c>
      <c r="CU190" t="s">
        <v>37</v>
      </c>
      <c r="CV190">
        <v>12986</v>
      </c>
      <c r="CW190" t="s">
        <v>37</v>
      </c>
      <c r="CY190" t="s">
        <v>37</v>
      </c>
      <c r="CZ190">
        <v>9532</v>
      </c>
      <c r="DA190" t="s">
        <v>37</v>
      </c>
      <c r="DC190" t="s">
        <v>37</v>
      </c>
      <c r="DE190" t="s">
        <v>37</v>
      </c>
      <c r="DF190">
        <v>2945</v>
      </c>
      <c r="DG190" t="s">
        <v>37</v>
      </c>
      <c r="DH190">
        <v>11274</v>
      </c>
      <c r="DI190" t="s">
        <v>37</v>
      </c>
      <c r="DJ190">
        <v>3500</v>
      </c>
      <c r="DK190" t="s">
        <v>37</v>
      </c>
      <c r="DM190" t="s">
        <v>37</v>
      </c>
      <c r="DN190">
        <v>17291</v>
      </c>
      <c r="DO190" t="s">
        <v>37</v>
      </c>
      <c r="DP190">
        <v>7863</v>
      </c>
      <c r="DQ190" t="s">
        <v>37</v>
      </c>
      <c r="DR190">
        <v>5000</v>
      </c>
      <c r="DS190" t="s">
        <v>37</v>
      </c>
      <c r="DT190">
        <v>3139</v>
      </c>
      <c r="DU190" t="s">
        <v>37</v>
      </c>
      <c r="DV190">
        <v>25639</v>
      </c>
      <c r="DW190" t="s">
        <v>37</v>
      </c>
      <c r="DY190" t="s">
        <v>37</v>
      </c>
      <c r="DZ190">
        <v>7175</v>
      </c>
      <c r="EA190" t="s">
        <v>37</v>
      </c>
      <c r="EB190">
        <v>3652</v>
      </c>
      <c r="EC190" t="s">
        <v>37</v>
      </c>
      <c r="ED190">
        <v>31867</v>
      </c>
      <c r="EE190" t="s">
        <v>37</v>
      </c>
      <c r="EF190">
        <v>18408</v>
      </c>
      <c r="EG190" t="s">
        <v>37</v>
      </c>
      <c r="EI190" t="s">
        <v>37</v>
      </c>
      <c r="EK190" t="s">
        <v>37</v>
      </c>
      <c r="EM190" t="s">
        <v>37</v>
      </c>
      <c r="EO190" t="s">
        <v>37</v>
      </c>
      <c r="EQ190" t="s">
        <v>37</v>
      </c>
      <c r="ES190" t="s">
        <v>37</v>
      </c>
      <c r="ET190">
        <v>25821</v>
      </c>
      <c r="EU190" t="s">
        <v>37</v>
      </c>
      <c r="EV190">
        <v>35436</v>
      </c>
      <c r="EW190" t="s">
        <v>37</v>
      </c>
      <c r="EY190" t="s">
        <v>37</v>
      </c>
      <c r="EZ190">
        <v>3566</v>
      </c>
      <c r="FA190" t="s">
        <v>37</v>
      </c>
      <c r="FC190" t="s">
        <v>37</v>
      </c>
      <c r="FD190">
        <v>1310</v>
      </c>
      <c r="FE190" t="s">
        <v>37</v>
      </c>
      <c r="FG190" t="s">
        <v>37</v>
      </c>
      <c r="FH190">
        <v>4823</v>
      </c>
      <c r="FI190" t="s">
        <v>37</v>
      </c>
      <c r="FJ190">
        <v>62586</v>
      </c>
      <c r="FK190" t="s">
        <v>37</v>
      </c>
      <c r="FL190">
        <v>16635</v>
      </c>
      <c r="FM190" t="s">
        <v>37</v>
      </c>
      <c r="FO190" t="s">
        <v>37</v>
      </c>
      <c r="FQ190" t="s">
        <v>37</v>
      </c>
      <c r="FS190" t="s">
        <v>37</v>
      </c>
      <c r="FT190">
        <v>7900</v>
      </c>
      <c r="FU190" t="s">
        <v>37</v>
      </c>
      <c r="FW190" t="s">
        <v>37</v>
      </c>
      <c r="FX190">
        <v>4976</v>
      </c>
      <c r="FY190" t="s">
        <v>37</v>
      </c>
      <c r="FZ190">
        <v>2431</v>
      </c>
      <c r="GA190" t="s">
        <v>37</v>
      </c>
      <c r="GC190" t="s">
        <v>37</v>
      </c>
      <c r="GE190" t="s">
        <v>37</v>
      </c>
      <c r="GG190" t="s">
        <v>37</v>
      </c>
      <c r="GI190" t="s">
        <v>37</v>
      </c>
      <c r="GK190" t="s">
        <v>37</v>
      </c>
      <c r="GL190">
        <v>5531</v>
      </c>
      <c r="GM190" t="s">
        <v>37</v>
      </c>
      <c r="GO190" t="s">
        <v>37</v>
      </c>
      <c r="GP190">
        <v>10313</v>
      </c>
      <c r="GQ190" t="s">
        <v>37</v>
      </c>
      <c r="GR190">
        <v>25445</v>
      </c>
      <c r="GS190" t="s">
        <v>37</v>
      </c>
      <c r="GT190">
        <v>8266</v>
      </c>
      <c r="GU190" t="s">
        <v>37</v>
      </c>
      <c r="GV190">
        <v>3354</v>
      </c>
      <c r="GW190" t="s">
        <v>37</v>
      </c>
      <c r="GX190">
        <v>30257</v>
      </c>
      <c r="GY190" t="s">
        <v>37</v>
      </c>
      <c r="GZ190">
        <v>15073</v>
      </c>
      <c r="HA190" t="s">
        <v>37</v>
      </c>
      <c r="HC190" t="s">
        <v>37</v>
      </c>
      <c r="HE190" t="s">
        <v>37</v>
      </c>
      <c r="HF190">
        <v>782752</v>
      </c>
      <c r="HG190" t="s">
        <v>37</v>
      </c>
      <c r="HI190" t="s">
        <v>37</v>
      </c>
      <c r="HJ190">
        <v>782752</v>
      </c>
      <c r="HK190" t="s">
        <v>37</v>
      </c>
    </row>
    <row r="191" spans="1:219">
      <c r="A191">
        <v>3582</v>
      </c>
      <c r="B191" t="s">
        <v>210</v>
      </c>
      <c r="C191" t="s">
        <v>37</v>
      </c>
      <c r="D191">
        <v>16573</v>
      </c>
      <c r="E191" t="s">
        <v>37</v>
      </c>
      <c r="F191">
        <v>111309</v>
      </c>
      <c r="G191" t="s">
        <v>37</v>
      </c>
      <c r="H191">
        <v>7601</v>
      </c>
      <c r="I191" t="s">
        <v>37</v>
      </c>
      <c r="K191" s="48" t="s">
        <v>37</v>
      </c>
      <c r="L191" s="51">
        <v>37566</v>
      </c>
      <c r="M191" s="48" t="s">
        <v>37</v>
      </c>
      <c r="N191" s="51">
        <v>17111</v>
      </c>
      <c r="O191" s="48" t="s">
        <v>37</v>
      </c>
      <c r="P191" s="51">
        <v>12138</v>
      </c>
      <c r="Q191" s="48" t="s">
        <v>37</v>
      </c>
      <c r="R191" s="51">
        <v>12534</v>
      </c>
      <c r="S191" s="48" t="s">
        <v>37</v>
      </c>
      <c r="T191">
        <v>53576</v>
      </c>
      <c r="U191" t="s">
        <v>37</v>
      </c>
      <c r="W191" t="s">
        <v>37</v>
      </c>
      <c r="Y191" t="s">
        <v>37</v>
      </c>
      <c r="Z191">
        <v>7397</v>
      </c>
      <c r="AA191" t="s">
        <v>37</v>
      </c>
      <c r="AB191">
        <v>4522</v>
      </c>
      <c r="AC191" t="s">
        <v>37</v>
      </c>
      <c r="AD191">
        <v>4239</v>
      </c>
      <c r="AE191" t="s">
        <v>37</v>
      </c>
      <c r="AF191">
        <v>4248</v>
      </c>
      <c r="AG191" t="s">
        <v>37</v>
      </c>
      <c r="AH191">
        <v>12175</v>
      </c>
      <c r="AI191" t="s">
        <v>37</v>
      </c>
      <c r="AK191" t="s">
        <v>37</v>
      </c>
      <c r="AL191">
        <v>82365</v>
      </c>
      <c r="AM191" t="s">
        <v>37</v>
      </c>
      <c r="AO191" t="s">
        <v>37</v>
      </c>
      <c r="AP191">
        <v>122409</v>
      </c>
      <c r="AQ191" t="s">
        <v>37</v>
      </c>
      <c r="AR191">
        <v>8197</v>
      </c>
      <c r="AS191" t="s">
        <v>37</v>
      </c>
      <c r="AT191">
        <v>192443</v>
      </c>
      <c r="AU191" t="s">
        <v>37</v>
      </c>
      <c r="AV191">
        <v>41191</v>
      </c>
      <c r="AW191" t="s">
        <v>37</v>
      </c>
      <c r="AX191">
        <v>27340</v>
      </c>
      <c r="AY191" t="s">
        <v>37</v>
      </c>
      <c r="AZ191">
        <v>35975</v>
      </c>
      <c r="BA191" t="s">
        <v>37</v>
      </c>
      <c r="BB191">
        <v>5120</v>
      </c>
      <c r="BC191" t="s">
        <v>37</v>
      </c>
      <c r="BD191">
        <v>15155</v>
      </c>
      <c r="BE191" t="s">
        <v>37</v>
      </c>
      <c r="BF191">
        <v>5721</v>
      </c>
      <c r="BG191" t="s">
        <v>37</v>
      </c>
      <c r="BI191" t="s">
        <v>37</v>
      </c>
      <c r="BJ191">
        <v>28905</v>
      </c>
      <c r="BK191" t="s">
        <v>37</v>
      </c>
      <c r="BL191">
        <v>52636</v>
      </c>
      <c r="BM191" t="s">
        <v>37</v>
      </c>
      <c r="BO191" t="s">
        <v>37</v>
      </c>
      <c r="BP191">
        <v>3981</v>
      </c>
      <c r="BQ191" t="s">
        <v>37</v>
      </c>
      <c r="BR191">
        <v>16366</v>
      </c>
      <c r="BS191" t="s">
        <v>37</v>
      </c>
      <c r="BT191">
        <v>7057</v>
      </c>
      <c r="BU191" t="s">
        <v>37</v>
      </c>
      <c r="BW191" t="s">
        <v>37</v>
      </c>
      <c r="BX191">
        <v>83521</v>
      </c>
      <c r="BY191" t="s">
        <v>37</v>
      </c>
      <c r="BZ191">
        <v>10470</v>
      </c>
      <c r="CA191" t="s">
        <v>37</v>
      </c>
      <c r="CC191" t="s">
        <v>37</v>
      </c>
      <c r="CD191">
        <v>18258</v>
      </c>
      <c r="CE191" t="s">
        <v>37</v>
      </c>
      <c r="CF191">
        <v>15893</v>
      </c>
      <c r="CG191" t="s">
        <v>37</v>
      </c>
      <c r="CH191">
        <v>66161</v>
      </c>
      <c r="CI191" t="s">
        <v>37</v>
      </c>
      <c r="CJ191">
        <v>5344</v>
      </c>
      <c r="CK191" t="s">
        <v>37</v>
      </c>
      <c r="CL191">
        <v>17456</v>
      </c>
      <c r="CM191" t="s">
        <v>37</v>
      </c>
      <c r="CN191">
        <v>4821</v>
      </c>
      <c r="CO191" t="s">
        <v>37</v>
      </c>
      <c r="CP191">
        <v>6749</v>
      </c>
      <c r="CQ191" t="s">
        <v>37</v>
      </c>
      <c r="CR191">
        <v>45797</v>
      </c>
      <c r="CS191" t="s">
        <v>37</v>
      </c>
      <c r="CT191">
        <v>291692</v>
      </c>
      <c r="CU191" t="s">
        <v>37</v>
      </c>
      <c r="CV191">
        <v>41589</v>
      </c>
      <c r="CW191" t="s">
        <v>37</v>
      </c>
      <c r="CX191">
        <v>5379</v>
      </c>
      <c r="CY191" t="s">
        <v>37</v>
      </c>
      <c r="CZ191">
        <v>7583</v>
      </c>
      <c r="DA191" t="s">
        <v>37</v>
      </c>
      <c r="DC191" t="s">
        <v>37</v>
      </c>
      <c r="DD191">
        <v>12382</v>
      </c>
      <c r="DE191" t="s">
        <v>37</v>
      </c>
      <c r="DF191">
        <v>6404</v>
      </c>
      <c r="DG191" t="s">
        <v>37</v>
      </c>
      <c r="DH191">
        <v>147152</v>
      </c>
      <c r="DI191" t="s">
        <v>37</v>
      </c>
      <c r="DJ191">
        <v>13913</v>
      </c>
      <c r="DK191" t="s">
        <v>37</v>
      </c>
      <c r="DL191">
        <v>46121</v>
      </c>
      <c r="DM191" t="s">
        <v>37</v>
      </c>
      <c r="DN191">
        <v>50468</v>
      </c>
      <c r="DO191" t="s">
        <v>37</v>
      </c>
      <c r="DP191">
        <v>26364</v>
      </c>
      <c r="DQ191" t="s">
        <v>37</v>
      </c>
      <c r="DR191">
        <v>15074</v>
      </c>
      <c r="DS191" t="s">
        <v>37</v>
      </c>
      <c r="DT191">
        <v>12680</v>
      </c>
      <c r="DU191" t="s">
        <v>37</v>
      </c>
      <c r="DV191">
        <v>86723</v>
      </c>
      <c r="DW191" t="s">
        <v>37</v>
      </c>
      <c r="DX191">
        <v>40090</v>
      </c>
      <c r="DY191" t="s">
        <v>37</v>
      </c>
      <c r="DZ191">
        <v>9909</v>
      </c>
      <c r="EA191" t="s">
        <v>37</v>
      </c>
      <c r="EB191">
        <v>15452</v>
      </c>
      <c r="EC191" t="s">
        <v>37</v>
      </c>
      <c r="ED191">
        <v>73794</v>
      </c>
      <c r="EE191" t="s">
        <v>37</v>
      </c>
      <c r="EF191">
        <v>4386</v>
      </c>
      <c r="EG191" t="s">
        <v>37</v>
      </c>
      <c r="EI191" t="s">
        <v>37</v>
      </c>
      <c r="EJ191">
        <v>14334</v>
      </c>
      <c r="EK191" t="s">
        <v>37</v>
      </c>
      <c r="EL191">
        <v>9191</v>
      </c>
      <c r="EM191" t="s">
        <v>37</v>
      </c>
      <c r="EN191">
        <v>4066</v>
      </c>
      <c r="EO191" t="s">
        <v>37</v>
      </c>
      <c r="EQ191" t="s">
        <v>37</v>
      </c>
      <c r="ER191">
        <v>22240</v>
      </c>
      <c r="ES191" t="s">
        <v>37</v>
      </c>
      <c r="ET191">
        <v>26349</v>
      </c>
      <c r="EU191" t="s">
        <v>37</v>
      </c>
      <c r="EV191">
        <v>48224</v>
      </c>
      <c r="EW191" t="s">
        <v>37</v>
      </c>
      <c r="EY191" t="s">
        <v>37</v>
      </c>
      <c r="EZ191">
        <v>15356</v>
      </c>
      <c r="FA191" t="s">
        <v>37</v>
      </c>
      <c r="FB191">
        <v>19166</v>
      </c>
      <c r="FC191" t="s">
        <v>37</v>
      </c>
      <c r="FD191">
        <v>31698</v>
      </c>
      <c r="FE191" t="s">
        <v>37</v>
      </c>
      <c r="FG191" t="s">
        <v>37</v>
      </c>
      <c r="FH191">
        <v>74047</v>
      </c>
      <c r="FI191" t="s">
        <v>37</v>
      </c>
      <c r="FJ191">
        <v>114108</v>
      </c>
      <c r="FK191" t="s">
        <v>37</v>
      </c>
      <c r="FL191">
        <v>92017</v>
      </c>
      <c r="FM191" t="s">
        <v>37</v>
      </c>
      <c r="FN191">
        <v>9667</v>
      </c>
      <c r="FO191" t="s">
        <v>37</v>
      </c>
      <c r="FP191">
        <v>20935</v>
      </c>
      <c r="FQ191" t="s">
        <v>37</v>
      </c>
      <c r="FR191">
        <v>40202</v>
      </c>
      <c r="FS191" t="s">
        <v>37</v>
      </c>
      <c r="FT191">
        <v>13935</v>
      </c>
      <c r="FU191" t="s">
        <v>37</v>
      </c>
      <c r="FV191">
        <v>13267</v>
      </c>
      <c r="FW191" t="s">
        <v>37</v>
      </c>
      <c r="FX191">
        <v>29194</v>
      </c>
      <c r="FY191" t="s">
        <v>37</v>
      </c>
      <c r="FZ191">
        <v>43652</v>
      </c>
      <c r="GA191" t="s">
        <v>37</v>
      </c>
      <c r="GB191">
        <v>37023</v>
      </c>
      <c r="GC191" t="s">
        <v>37</v>
      </c>
      <c r="GE191" t="s">
        <v>37</v>
      </c>
      <c r="GG191" t="s">
        <v>37</v>
      </c>
      <c r="GI191" t="s">
        <v>37</v>
      </c>
      <c r="GJ191">
        <v>41352</v>
      </c>
      <c r="GK191" t="s">
        <v>37</v>
      </c>
      <c r="GL191">
        <v>40023</v>
      </c>
      <c r="GM191" t="s">
        <v>37</v>
      </c>
      <c r="GO191" t="s">
        <v>37</v>
      </c>
      <c r="GP191">
        <v>22035</v>
      </c>
      <c r="GQ191" t="s">
        <v>37</v>
      </c>
      <c r="GR191">
        <v>26163</v>
      </c>
      <c r="GS191" t="s">
        <v>37</v>
      </c>
      <c r="GT191">
        <v>22722</v>
      </c>
      <c r="GU191" t="s">
        <v>37</v>
      </c>
      <c r="GV191">
        <v>23729</v>
      </c>
      <c r="GW191" t="s">
        <v>37</v>
      </c>
      <c r="GX191">
        <v>74027</v>
      </c>
      <c r="GY191" t="s">
        <v>37</v>
      </c>
      <c r="GZ191">
        <v>30978</v>
      </c>
      <c r="HA191" t="s">
        <v>37</v>
      </c>
      <c r="HB191">
        <v>7820</v>
      </c>
      <c r="HC191" t="s">
        <v>37</v>
      </c>
      <c r="HD191">
        <v>3773</v>
      </c>
      <c r="HE191" t="s">
        <v>37</v>
      </c>
      <c r="HF191">
        <v>3087175</v>
      </c>
      <c r="HG191" t="s">
        <v>37</v>
      </c>
      <c r="HH191">
        <v>11593</v>
      </c>
      <c r="HI191" t="s">
        <v>37</v>
      </c>
      <c r="HJ191">
        <v>3098768</v>
      </c>
      <c r="HK191" t="s">
        <v>37</v>
      </c>
    </row>
    <row r="192" spans="1:219">
      <c r="A192">
        <v>3583</v>
      </c>
      <c r="B192" t="s">
        <v>211</v>
      </c>
      <c r="C192" t="s">
        <v>37</v>
      </c>
      <c r="D192">
        <v>190461</v>
      </c>
      <c r="E192" t="s">
        <v>37</v>
      </c>
      <c r="F192">
        <v>980508</v>
      </c>
      <c r="G192" t="s">
        <v>37</v>
      </c>
      <c r="H192">
        <v>131458</v>
      </c>
      <c r="I192" t="s">
        <v>37</v>
      </c>
      <c r="K192" s="48" t="s">
        <v>37</v>
      </c>
      <c r="L192" s="51">
        <v>227037</v>
      </c>
      <c r="M192" s="48" t="s">
        <v>37</v>
      </c>
      <c r="N192" s="51">
        <v>84356</v>
      </c>
      <c r="O192" s="48" t="s">
        <v>37</v>
      </c>
      <c r="P192" s="51">
        <v>100726</v>
      </c>
      <c r="Q192" s="48" t="s">
        <v>37</v>
      </c>
      <c r="R192" s="51">
        <v>114304</v>
      </c>
      <c r="S192" s="48" t="s">
        <v>37</v>
      </c>
      <c r="T192">
        <v>303381</v>
      </c>
      <c r="U192" t="s">
        <v>37</v>
      </c>
      <c r="W192" t="s">
        <v>37</v>
      </c>
      <c r="Y192" t="s">
        <v>37</v>
      </c>
      <c r="Z192">
        <v>54986</v>
      </c>
      <c r="AA192" t="s">
        <v>37</v>
      </c>
      <c r="AB192">
        <v>143997</v>
      </c>
      <c r="AC192" t="s">
        <v>37</v>
      </c>
      <c r="AD192">
        <v>41299</v>
      </c>
      <c r="AE192" t="s">
        <v>37</v>
      </c>
      <c r="AF192">
        <v>56016</v>
      </c>
      <c r="AG192" t="s">
        <v>37</v>
      </c>
      <c r="AH192">
        <v>335016</v>
      </c>
      <c r="AI192" t="s">
        <v>37</v>
      </c>
      <c r="AK192" t="s">
        <v>37</v>
      </c>
      <c r="AL192">
        <v>888863</v>
      </c>
      <c r="AM192" t="s">
        <v>37</v>
      </c>
      <c r="AO192" t="s">
        <v>37</v>
      </c>
      <c r="AP192">
        <v>1369515</v>
      </c>
      <c r="AQ192" t="s">
        <v>37</v>
      </c>
      <c r="AR192">
        <v>112403</v>
      </c>
      <c r="AS192" t="s">
        <v>37</v>
      </c>
      <c r="AT192">
        <v>2413818</v>
      </c>
      <c r="AU192" t="s">
        <v>37</v>
      </c>
      <c r="AV192">
        <v>869577</v>
      </c>
      <c r="AW192" t="s">
        <v>37</v>
      </c>
      <c r="AX192">
        <v>364783</v>
      </c>
      <c r="AY192" t="s">
        <v>37</v>
      </c>
      <c r="AZ192">
        <v>383437</v>
      </c>
      <c r="BA192" t="s">
        <v>37</v>
      </c>
      <c r="BB192">
        <v>57199</v>
      </c>
      <c r="BC192" t="s">
        <v>37</v>
      </c>
      <c r="BD192">
        <v>102385</v>
      </c>
      <c r="BE192" t="s">
        <v>37</v>
      </c>
      <c r="BF192">
        <v>13208</v>
      </c>
      <c r="BG192" t="s">
        <v>37</v>
      </c>
      <c r="BI192" t="s">
        <v>37</v>
      </c>
      <c r="BJ192">
        <v>923644</v>
      </c>
      <c r="BK192" t="s">
        <v>37</v>
      </c>
      <c r="BM192" t="s">
        <v>37</v>
      </c>
      <c r="BO192" t="s">
        <v>37</v>
      </c>
      <c r="BP192">
        <v>62732</v>
      </c>
      <c r="BQ192" t="s">
        <v>37</v>
      </c>
      <c r="BR192">
        <v>227542</v>
      </c>
      <c r="BS192" t="s">
        <v>37</v>
      </c>
      <c r="BT192">
        <v>89066</v>
      </c>
      <c r="BU192" t="s">
        <v>37</v>
      </c>
      <c r="BW192" t="s">
        <v>37</v>
      </c>
      <c r="BX192">
        <v>398211</v>
      </c>
      <c r="BY192" t="s">
        <v>37</v>
      </c>
      <c r="BZ192">
        <v>115318</v>
      </c>
      <c r="CA192" t="s">
        <v>37</v>
      </c>
      <c r="CC192" t="s">
        <v>37</v>
      </c>
      <c r="CD192">
        <v>201308</v>
      </c>
      <c r="CE192" t="s">
        <v>37</v>
      </c>
      <c r="CF192">
        <v>303799</v>
      </c>
      <c r="CG192" t="s">
        <v>37</v>
      </c>
      <c r="CH192">
        <v>670334</v>
      </c>
      <c r="CI192" t="s">
        <v>37</v>
      </c>
      <c r="CJ192">
        <v>52241</v>
      </c>
      <c r="CK192" t="s">
        <v>37</v>
      </c>
      <c r="CL192">
        <v>330955</v>
      </c>
      <c r="CM192" t="s">
        <v>37</v>
      </c>
      <c r="CN192">
        <v>29161</v>
      </c>
      <c r="CO192" t="s">
        <v>37</v>
      </c>
      <c r="CP192">
        <v>49457</v>
      </c>
      <c r="CQ192" t="s">
        <v>37</v>
      </c>
      <c r="CR192">
        <v>396997</v>
      </c>
      <c r="CS192" t="s">
        <v>37</v>
      </c>
      <c r="CT192">
        <v>2864310</v>
      </c>
      <c r="CU192" t="s">
        <v>37</v>
      </c>
      <c r="CV192">
        <v>312088</v>
      </c>
      <c r="CW192" t="s">
        <v>37</v>
      </c>
      <c r="CX192">
        <v>30765</v>
      </c>
      <c r="CY192" t="s">
        <v>37</v>
      </c>
      <c r="CZ192">
        <v>53731</v>
      </c>
      <c r="DA192" t="s">
        <v>37</v>
      </c>
      <c r="DC192" t="s">
        <v>37</v>
      </c>
      <c r="DD192">
        <v>116123</v>
      </c>
      <c r="DE192" t="s">
        <v>37</v>
      </c>
      <c r="DF192">
        <v>114098</v>
      </c>
      <c r="DG192" t="s">
        <v>37</v>
      </c>
      <c r="DH192">
        <v>1045741</v>
      </c>
      <c r="DI192" t="s">
        <v>37</v>
      </c>
      <c r="DJ192">
        <v>254324</v>
      </c>
      <c r="DK192" t="s">
        <v>37</v>
      </c>
      <c r="DL192">
        <v>590521</v>
      </c>
      <c r="DM192" t="s">
        <v>37</v>
      </c>
      <c r="DN192">
        <v>619947</v>
      </c>
      <c r="DO192" t="s">
        <v>37</v>
      </c>
      <c r="DP192">
        <v>15409</v>
      </c>
      <c r="DQ192" t="s">
        <v>37</v>
      </c>
      <c r="DR192">
        <v>280751</v>
      </c>
      <c r="DS192" t="s">
        <v>37</v>
      </c>
      <c r="DT192">
        <v>228768</v>
      </c>
      <c r="DU192" t="s">
        <v>37</v>
      </c>
      <c r="DV192">
        <v>647890</v>
      </c>
      <c r="DW192" t="s">
        <v>37</v>
      </c>
      <c r="DX192">
        <v>357629</v>
      </c>
      <c r="DY192" t="s">
        <v>37</v>
      </c>
      <c r="DZ192">
        <v>89152</v>
      </c>
      <c r="EA192" t="s">
        <v>37</v>
      </c>
      <c r="EB192">
        <v>198159</v>
      </c>
      <c r="EC192" t="s">
        <v>37</v>
      </c>
      <c r="ED192">
        <v>405721</v>
      </c>
      <c r="EE192" t="s">
        <v>37</v>
      </c>
      <c r="EF192">
        <v>44885</v>
      </c>
      <c r="EG192" t="s">
        <v>37</v>
      </c>
      <c r="EI192" t="s">
        <v>37</v>
      </c>
      <c r="EJ192">
        <v>256466</v>
      </c>
      <c r="EK192" t="s">
        <v>37</v>
      </c>
      <c r="EL192">
        <v>152815</v>
      </c>
      <c r="EM192" t="s">
        <v>37</v>
      </c>
      <c r="EN192">
        <v>76648</v>
      </c>
      <c r="EO192" t="s">
        <v>37</v>
      </c>
      <c r="EQ192" t="s">
        <v>37</v>
      </c>
      <c r="ER192">
        <v>237221</v>
      </c>
      <c r="ES192" t="s">
        <v>37</v>
      </c>
      <c r="ET192">
        <v>270319</v>
      </c>
      <c r="EU192" t="s">
        <v>37</v>
      </c>
      <c r="EV192">
        <v>341830</v>
      </c>
      <c r="EW192" t="s">
        <v>37</v>
      </c>
      <c r="EY192" t="s">
        <v>37</v>
      </c>
      <c r="EZ192">
        <v>287034</v>
      </c>
      <c r="FA192" t="s">
        <v>37</v>
      </c>
      <c r="FB192">
        <v>214218</v>
      </c>
      <c r="FC192" t="s">
        <v>37</v>
      </c>
      <c r="FD192">
        <v>330301</v>
      </c>
      <c r="FE192" t="s">
        <v>37</v>
      </c>
      <c r="FG192" t="s">
        <v>37</v>
      </c>
      <c r="FH192">
        <v>551281</v>
      </c>
      <c r="FI192" t="s">
        <v>37</v>
      </c>
      <c r="FJ192">
        <v>1323471</v>
      </c>
      <c r="FK192" t="s">
        <v>37</v>
      </c>
      <c r="FL192">
        <v>997576</v>
      </c>
      <c r="FM192" t="s">
        <v>37</v>
      </c>
      <c r="FN192">
        <v>118612</v>
      </c>
      <c r="FO192" t="s">
        <v>37</v>
      </c>
      <c r="FP192">
        <v>134883</v>
      </c>
      <c r="FQ192" t="s">
        <v>37</v>
      </c>
      <c r="FR192">
        <v>252582</v>
      </c>
      <c r="FS192" t="s">
        <v>37</v>
      </c>
      <c r="FT192">
        <v>122187</v>
      </c>
      <c r="FU192" t="s">
        <v>37</v>
      </c>
      <c r="FV192">
        <v>153627</v>
      </c>
      <c r="FW192" t="s">
        <v>37</v>
      </c>
      <c r="FX192">
        <v>296388</v>
      </c>
      <c r="FY192" t="s">
        <v>37</v>
      </c>
      <c r="FZ192">
        <v>488046</v>
      </c>
      <c r="GA192" t="s">
        <v>37</v>
      </c>
      <c r="GB192">
        <v>425011</v>
      </c>
      <c r="GC192" t="s">
        <v>37</v>
      </c>
      <c r="GE192" t="s">
        <v>37</v>
      </c>
      <c r="GG192" t="s">
        <v>37</v>
      </c>
      <c r="GI192" t="s">
        <v>37</v>
      </c>
      <c r="GJ192">
        <v>664439</v>
      </c>
      <c r="GK192" t="s">
        <v>37</v>
      </c>
      <c r="GL192">
        <v>120779</v>
      </c>
      <c r="GM192" t="s">
        <v>37</v>
      </c>
      <c r="GO192" t="s">
        <v>37</v>
      </c>
      <c r="GP192">
        <v>147988</v>
      </c>
      <c r="GQ192" t="s">
        <v>37</v>
      </c>
      <c r="GR192">
        <v>115881</v>
      </c>
      <c r="GS192" t="s">
        <v>37</v>
      </c>
      <c r="GT192">
        <v>158839</v>
      </c>
      <c r="GU192" t="s">
        <v>37</v>
      </c>
      <c r="GW192" t="s">
        <v>37</v>
      </c>
      <c r="GX192">
        <v>666134</v>
      </c>
      <c r="GY192" t="s">
        <v>37</v>
      </c>
      <c r="GZ192">
        <v>137024</v>
      </c>
      <c r="HA192" t="s">
        <v>37</v>
      </c>
      <c r="HC192" t="s">
        <v>37</v>
      </c>
      <c r="HE192" t="s">
        <v>37</v>
      </c>
      <c r="HF192">
        <v>30501110</v>
      </c>
      <c r="HG192" t="s">
        <v>37</v>
      </c>
      <c r="HI192" t="s">
        <v>37</v>
      </c>
      <c r="HJ192">
        <v>30501110</v>
      </c>
      <c r="HK192" t="s">
        <v>37</v>
      </c>
    </row>
    <row r="193" spans="1:219">
      <c r="A193">
        <v>3588</v>
      </c>
      <c r="B193" t="s">
        <v>212</v>
      </c>
      <c r="C193" t="s">
        <v>37</v>
      </c>
      <c r="D193">
        <v>28820</v>
      </c>
      <c r="E193" t="s">
        <v>37</v>
      </c>
      <c r="F193">
        <v>89056</v>
      </c>
      <c r="G193" t="s">
        <v>37</v>
      </c>
      <c r="H193">
        <v>6942</v>
      </c>
      <c r="I193" t="s">
        <v>37</v>
      </c>
      <c r="K193" s="48" t="s">
        <v>37</v>
      </c>
      <c r="L193" s="51">
        <v>69817</v>
      </c>
      <c r="M193" s="48" t="s">
        <v>37</v>
      </c>
      <c r="N193" s="51">
        <v>2959</v>
      </c>
      <c r="O193" s="48" t="s">
        <v>37</v>
      </c>
      <c r="P193" s="51">
        <v>6082</v>
      </c>
      <c r="Q193" s="48" t="s">
        <v>37</v>
      </c>
      <c r="R193" s="51">
        <v>25327</v>
      </c>
      <c r="S193" s="48" t="s">
        <v>37</v>
      </c>
      <c r="T193">
        <v>54175</v>
      </c>
      <c r="U193" t="s">
        <v>37</v>
      </c>
      <c r="W193" t="s">
        <v>37</v>
      </c>
      <c r="X193">
        <v>20064</v>
      </c>
      <c r="Y193" t="s">
        <v>37</v>
      </c>
      <c r="Z193">
        <v>3377</v>
      </c>
      <c r="AA193" t="s">
        <v>37</v>
      </c>
      <c r="AC193" t="s">
        <v>37</v>
      </c>
      <c r="AD193">
        <v>1166</v>
      </c>
      <c r="AE193" t="s">
        <v>37</v>
      </c>
      <c r="AF193">
        <v>5929</v>
      </c>
      <c r="AG193" t="s">
        <v>37</v>
      </c>
      <c r="AH193">
        <v>12382</v>
      </c>
      <c r="AI193" t="s">
        <v>37</v>
      </c>
      <c r="AJ193">
        <v>8176</v>
      </c>
      <c r="AK193" t="s">
        <v>37</v>
      </c>
      <c r="AL193">
        <v>23217</v>
      </c>
      <c r="AM193" t="s">
        <v>37</v>
      </c>
      <c r="AN193">
        <v>6939</v>
      </c>
      <c r="AO193" t="s">
        <v>37</v>
      </c>
      <c r="AP193">
        <v>30487</v>
      </c>
      <c r="AQ193" t="s">
        <v>37</v>
      </c>
      <c r="AR193">
        <v>7954</v>
      </c>
      <c r="AS193" t="s">
        <v>37</v>
      </c>
      <c r="AT193">
        <v>231307</v>
      </c>
      <c r="AU193" t="s">
        <v>37</v>
      </c>
      <c r="AV193">
        <v>14392</v>
      </c>
      <c r="AW193" t="s">
        <v>37</v>
      </c>
      <c r="AX193">
        <v>858</v>
      </c>
      <c r="AY193" t="s">
        <v>37</v>
      </c>
      <c r="AZ193">
        <v>44496</v>
      </c>
      <c r="BA193" t="s">
        <v>37</v>
      </c>
      <c r="BB193">
        <v>1846</v>
      </c>
      <c r="BC193" t="s">
        <v>37</v>
      </c>
      <c r="BD193">
        <v>15029</v>
      </c>
      <c r="BE193" t="s">
        <v>37</v>
      </c>
      <c r="BG193" t="s">
        <v>37</v>
      </c>
      <c r="BI193" t="s">
        <v>37</v>
      </c>
      <c r="BJ193">
        <v>18309</v>
      </c>
      <c r="BK193" t="s">
        <v>37</v>
      </c>
      <c r="BL193">
        <v>21567</v>
      </c>
      <c r="BM193" t="s">
        <v>37</v>
      </c>
      <c r="BO193" t="s">
        <v>37</v>
      </c>
      <c r="BQ193" t="s">
        <v>37</v>
      </c>
      <c r="BR193">
        <v>17769</v>
      </c>
      <c r="BS193" t="s">
        <v>37</v>
      </c>
      <c r="BT193">
        <v>12587</v>
      </c>
      <c r="BU193" t="s">
        <v>37</v>
      </c>
      <c r="BV193">
        <v>4901</v>
      </c>
      <c r="BW193" t="s">
        <v>37</v>
      </c>
      <c r="BX193">
        <v>120016</v>
      </c>
      <c r="BY193" t="s">
        <v>37</v>
      </c>
      <c r="CA193" t="s">
        <v>37</v>
      </c>
      <c r="CC193" t="s">
        <v>37</v>
      </c>
      <c r="CD193">
        <v>19181</v>
      </c>
      <c r="CE193" t="s">
        <v>37</v>
      </c>
      <c r="CF193">
        <v>1547</v>
      </c>
      <c r="CG193" t="s">
        <v>37</v>
      </c>
      <c r="CH193">
        <v>18161</v>
      </c>
      <c r="CI193" t="s">
        <v>37</v>
      </c>
      <c r="CJ193">
        <v>6715</v>
      </c>
      <c r="CK193" t="s">
        <v>37</v>
      </c>
      <c r="CL193">
        <v>2395</v>
      </c>
      <c r="CM193" t="s">
        <v>37</v>
      </c>
      <c r="CO193" t="s">
        <v>37</v>
      </c>
      <c r="CQ193" t="s">
        <v>37</v>
      </c>
      <c r="CR193">
        <v>28477</v>
      </c>
      <c r="CS193" t="s">
        <v>37</v>
      </c>
      <c r="CT193">
        <v>291907</v>
      </c>
      <c r="CU193" t="s">
        <v>37</v>
      </c>
      <c r="CV193">
        <v>12262</v>
      </c>
      <c r="CW193" t="s">
        <v>37</v>
      </c>
      <c r="CX193">
        <v>9523</v>
      </c>
      <c r="CY193" t="s">
        <v>37</v>
      </c>
      <c r="CZ193">
        <v>13133</v>
      </c>
      <c r="DA193" t="s">
        <v>37</v>
      </c>
      <c r="DB193">
        <v>26693</v>
      </c>
      <c r="DC193" t="s">
        <v>37</v>
      </c>
      <c r="DD193">
        <v>13350</v>
      </c>
      <c r="DE193" t="s">
        <v>37</v>
      </c>
      <c r="DG193" t="s">
        <v>37</v>
      </c>
      <c r="DH193">
        <v>130179</v>
      </c>
      <c r="DI193" t="s">
        <v>37</v>
      </c>
      <c r="DJ193">
        <v>5614</v>
      </c>
      <c r="DK193" t="s">
        <v>37</v>
      </c>
      <c r="DL193">
        <v>43226</v>
      </c>
      <c r="DM193" t="s">
        <v>37</v>
      </c>
      <c r="DN193">
        <v>22001</v>
      </c>
      <c r="DO193" t="s">
        <v>37</v>
      </c>
      <c r="DP193">
        <v>5383</v>
      </c>
      <c r="DQ193" t="s">
        <v>37</v>
      </c>
      <c r="DR193">
        <v>6286</v>
      </c>
      <c r="DS193" t="s">
        <v>37</v>
      </c>
      <c r="DT193">
        <v>9748</v>
      </c>
      <c r="DU193" t="s">
        <v>37</v>
      </c>
      <c r="DV193">
        <v>157448</v>
      </c>
      <c r="DW193" t="s">
        <v>37</v>
      </c>
      <c r="DX193">
        <v>14220</v>
      </c>
      <c r="DY193" t="s">
        <v>37</v>
      </c>
      <c r="EA193" t="s">
        <v>37</v>
      </c>
      <c r="EB193">
        <v>11301</v>
      </c>
      <c r="EC193" t="s">
        <v>37</v>
      </c>
      <c r="ED193">
        <v>169045</v>
      </c>
      <c r="EE193" t="s">
        <v>37</v>
      </c>
      <c r="EG193" t="s">
        <v>37</v>
      </c>
      <c r="EI193" t="s">
        <v>37</v>
      </c>
      <c r="EK193" t="s">
        <v>37</v>
      </c>
      <c r="EM193" t="s">
        <v>37</v>
      </c>
      <c r="EO193" t="s">
        <v>37</v>
      </c>
      <c r="EQ193" t="s">
        <v>37</v>
      </c>
      <c r="ER193">
        <v>10533</v>
      </c>
      <c r="ES193" t="s">
        <v>37</v>
      </c>
      <c r="ET193">
        <v>22070</v>
      </c>
      <c r="EU193" t="s">
        <v>37</v>
      </c>
      <c r="EV193">
        <v>54113</v>
      </c>
      <c r="EW193" t="s">
        <v>37</v>
      </c>
      <c r="EY193" t="s">
        <v>37</v>
      </c>
      <c r="FA193" t="s">
        <v>37</v>
      </c>
      <c r="FB193">
        <v>7306</v>
      </c>
      <c r="FC193" t="s">
        <v>37</v>
      </c>
      <c r="FD193">
        <v>36942</v>
      </c>
      <c r="FE193" t="s">
        <v>37</v>
      </c>
      <c r="FF193">
        <v>1134</v>
      </c>
      <c r="FG193" t="s">
        <v>37</v>
      </c>
      <c r="FH193">
        <v>91992</v>
      </c>
      <c r="FI193" t="s">
        <v>37</v>
      </c>
      <c r="FJ193">
        <v>80712</v>
      </c>
      <c r="FK193" t="s">
        <v>37</v>
      </c>
      <c r="FL193">
        <v>109657</v>
      </c>
      <c r="FM193" t="s">
        <v>37</v>
      </c>
      <c r="FN193">
        <v>3665</v>
      </c>
      <c r="FO193" t="s">
        <v>37</v>
      </c>
      <c r="FP193">
        <v>28674</v>
      </c>
      <c r="FQ193" t="s">
        <v>37</v>
      </c>
      <c r="FR193">
        <v>51941</v>
      </c>
      <c r="FS193" t="s">
        <v>37</v>
      </c>
      <c r="FT193">
        <v>14220</v>
      </c>
      <c r="FU193" t="s">
        <v>37</v>
      </c>
      <c r="FV193">
        <v>10549</v>
      </c>
      <c r="FW193" t="s">
        <v>37</v>
      </c>
      <c r="FX193">
        <v>22376</v>
      </c>
      <c r="FY193" t="s">
        <v>37</v>
      </c>
      <c r="FZ193">
        <v>2057</v>
      </c>
      <c r="GA193" t="s">
        <v>37</v>
      </c>
      <c r="GB193">
        <v>25725</v>
      </c>
      <c r="GC193" t="s">
        <v>37</v>
      </c>
      <c r="GD193">
        <v>15349</v>
      </c>
      <c r="GE193" t="s">
        <v>37</v>
      </c>
      <c r="GF193">
        <v>21452</v>
      </c>
      <c r="GG193" t="s">
        <v>37</v>
      </c>
      <c r="GH193">
        <v>17439</v>
      </c>
      <c r="GI193" t="s">
        <v>37</v>
      </c>
      <c r="GJ193">
        <v>20055</v>
      </c>
      <c r="GK193" t="s">
        <v>37</v>
      </c>
      <c r="GM193" t="s">
        <v>37</v>
      </c>
      <c r="GO193" t="s">
        <v>37</v>
      </c>
      <c r="GP193">
        <v>9524</v>
      </c>
      <c r="GQ193" t="s">
        <v>37</v>
      </c>
      <c r="GR193">
        <v>23402</v>
      </c>
      <c r="GS193" t="s">
        <v>37</v>
      </c>
      <c r="GT193">
        <v>21810</v>
      </c>
      <c r="GU193" t="s">
        <v>37</v>
      </c>
      <c r="GV193">
        <v>50866</v>
      </c>
      <c r="GW193" t="s">
        <v>37</v>
      </c>
      <c r="GX193">
        <v>54134</v>
      </c>
      <c r="GY193" t="s">
        <v>37</v>
      </c>
      <c r="GZ193">
        <v>78695</v>
      </c>
      <c r="HA193" t="s">
        <v>37</v>
      </c>
      <c r="HB193">
        <v>20064</v>
      </c>
      <c r="HC193" t="s">
        <v>37</v>
      </c>
      <c r="HD193">
        <v>13560</v>
      </c>
      <c r="HE193" t="s">
        <v>37</v>
      </c>
      <c r="HF193">
        <v>2810133</v>
      </c>
      <c r="HG193" t="s">
        <v>37</v>
      </c>
      <c r="HH193">
        <v>33624</v>
      </c>
      <c r="HI193" t="s">
        <v>37</v>
      </c>
      <c r="HJ193">
        <v>2843757</v>
      </c>
      <c r="HK193" t="s">
        <v>37</v>
      </c>
    </row>
    <row r="194" spans="1:219">
      <c r="A194">
        <v>3590</v>
      </c>
      <c r="B194" t="s">
        <v>213</v>
      </c>
      <c r="C194" t="s">
        <v>37</v>
      </c>
      <c r="E194" t="s">
        <v>37</v>
      </c>
      <c r="F194">
        <v>619056</v>
      </c>
      <c r="G194" t="s">
        <v>37</v>
      </c>
      <c r="I194" t="s">
        <v>37</v>
      </c>
      <c r="K194" s="48" t="s">
        <v>37</v>
      </c>
      <c r="L194" s="50"/>
      <c r="M194" s="48" t="s">
        <v>37</v>
      </c>
      <c r="N194" s="50"/>
      <c r="O194" s="48" t="s">
        <v>37</v>
      </c>
      <c r="P194" s="50"/>
      <c r="Q194" s="48" t="s">
        <v>37</v>
      </c>
      <c r="R194" s="50"/>
      <c r="S194" s="48" t="s">
        <v>37</v>
      </c>
      <c r="U194" t="s">
        <v>37</v>
      </c>
      <c r="W194" t="s">
        <v>37</v>
      </c>
      <c r="Y194" t="s">
        <v>37</v>
      </c>
      <c r="Z194">
        <v>16586</v>
      </c>
      <c r="AA194" t="s">
        <v>37</v>
      </c>
      <c r="AB194">
        <v>35278</v>
      </c>
      <c r="AC194" t="s">
        <v>37</v>
      </c>
      <c r="AD194">
        <v>49390</v>
      </c>
      <c r="AE194" t="s">
        <v>37</v>
      </c>
      <c r="AF194">
        <v>54878</v>
      </c>
      <c r="AG194" t="s">
        <v>37</v>
      </c>
      <c r="AI194" t="s">
        <v>37</v>
      </c>
      <c r="AK194" t="s">
        <v>37</v>
      </c>
      <c r="AM194" t="s">
        <v>37</v>
      </c>
      <c r="AO194" t="s">
        <v>37</v>
      </c>
      <c r="AQ194" t="s">
        <v>37</v>
      </c>
      <c r="AS194" t="s">
        <v>37</v>
      </c>
      <c r="AU194" t="s">
        <v>37</v>
      </c>
      <c r="AW194" t="s">
        <v>37</v>
      </c>
      <c r="AX194">
        <v>105049</v>
      </c>
      <c r="AY194" t="s">
        <v>37</v>
      </c>
      <c r="BA194" t="s">
        <v>37</v>
      </c>
      <c r="BC194" t="s">
        <v>37</v>
      </c>
      <c r="BE194" t="s">
        <v>37</v>
      </c>
      <c r="BG194" t="s">
        <v>37</v>
      </c>
      <c r="BI194" t="s">
        <v>37</v>
      </c>
      <c r="BK194" t="s">
        <v>37</v>
      </c>
      <c r="BM194" t="s">
        <v>37</v>
      </c>
      <c r="BO194" t="s">
        <v>37</v>
      </c>
      <c r="BP194">
        <v>42000</v>
      </c>
      <c r="BQ194" t="s">
        <v>37</v>
      </c>
      <c r="BS194" t="s">
        <v>37</v>
      </c>
      <c r="BU194" t="s">
        <v>37</v>
      </c>
      <c r="BW194" t="s">
        <v>37</v>
      </c>
      <c r="BY194" t="s">
        <v>37</v>
      </c>
      <c r="CA194" t="s">
        <v>37</v>
      </c>
      <c r="CC194" t="s">
        <v>37</v>
      </c>
      <c r="CE194" t="s">
        <v>37</v>
      </c>
      <c r="CF194">
        <v>141410</v>
      </c>
      <c r="CG194" t="s">
        <v>37</v>
      </c>
      <c r="CH194">
        <v>179834</v>
      </c>
      <c r="CI194" t="s">
        <v>37</v>
      </c>
      <c r="CK194" t="s">
        <v>37</v>
      </c>
      <c r="CM194" t="s">
        <v>37</v>
      </c>
      <c r="CO194" t="s">
        <v>37</v>
      </c>
      <c r="CQ194" t="s">
        <v>37</v>
      </c>
      <c r="CS194" t="s">
        <v>37</v>
      </c>
      <c r="CU194" t="s">
        <v>37</v>
      </c>
      <c r="CV194">
        <v>268667</v>
      </c>
      <c r="CW194" t="s">
        <v>37</v>
      </c>
      <c r="CX194">
        <v>69493</v>
      </c>
      <c r="CY194" t="s">
        <v>37</v>
      </c>
      <c r="CZ194">
        <v>97979</v>
      </c>
      <c r="DA194" t="s">
        <v>37</v>
      </c>
      <c r="DC194" t="s">
        <v>37</v>
      </c>
      <c r="DE194" t="s">
        <v>37</v>
      </c>
      <c r="DF194">
        <v>23356</v>
      </c>
      <c r="DG194" t="s">
        <v>37</v>
      </c>
      <c r="DI194" t="s">
        <v>37</v>
      </c>
      <c r="DJ194">
        <v>65961</v>
      </c>
      <c r="DK194" t="s">
        <v>37</v>
      </c>
      <c r="DL194">
        <v>155346</v>
      </c>
      <c r="DM194" t="s">
        <v>37</v>
      </c>
      <c r="DN194">
        <v>652045</v>
      </c>
      <c r="DO194" t="s">
        <v>37</v>
      </c>
      <c r="DQ194" t="s">
        <v>37</v>
      </c>
      <c r="DS194" t="s">
        <v>37</v>
      </c>
      <c r="DU194" t="s">
        <v>37</v>
      </c>
      <c r="DV194">
        <v>560234</v>
      </c>
      <c r="DW194" t="s">
        <v>37</v>
      </c>
      <c r="DY194" t="s">
        <v>37</v>
      </c>
      <c r="EA194" t="s">
        <v>37</v>
      </c>
      <c r="EC194" t="s">
        <v>37</v>
      </c>
      <c r="EE194" t="s">
        <v>37</v>
      </c>
      <c r="EG194" t="s">
        <v>37</v>
      </c>
      <c r="EI194" t="s">
        <v>37</v>
      </c>
      <c r="EK194" t="s">
        <v>37</v>
      </c>
      <c r="EM194" t="s">
        <v>37</v>
      </c>
      <c r="EO194" t="s">
        <v>37</v>
      </c>
      <c r="EQ194" t="s">
        <v>37</v>
      </c>
      <c r="ES194" t="s">
        <v>37</v>
      </c>
      <c r="EU194" t="s">
        <v>37</v>
      </c>
      <c r="EV194">
        <v>311528</v>
      </c>
      <c r="EW194" t="s">
        <v>37</v>
      </c>
      <c r="EY194" t="s">
        <v>37</v>
      </c>
      <c r="EZ194">
        <v>198400</v>
      </c>
      <c r="FA194" t="s">
        <v>37</v>
      </c>
      <c r="FC194" t="s">
        <v>37</v>
      </c>
      <c r="FE194" t="s">
        <v>37</v>
      </c>
      <c r="FG194" t="s">
        <v>37</v>
      </c>
      <c r="FI194" t="s">
        <v>37</v>
      </c>
      <c r="FK194" t="s">
        <v>37</v>
      </c>
      <c r="FL194">
        <v>594433</v>
      </c>
      <c r="FM194" t="s">
        <v>37</v>
      </c>
      <c r="FN194">
        <v>13841</v>
      </c>
      <c r="FO194" t="s">
        <v>37</v>
      </c>
      <c r="FQ194" t="s">
        <v>37</v>
      </c>
      <c r="FS194" t="s">
        <v>37</v>
      </c>
      <c r="FT194">
        <v>180046</v>
      </c>
      <c r="FU194" t="s">
        <v>37</v>
      </c>
      <c r="FV194">
        <v>171407</v>
      </c>
      <c r="FW194" t="s">
        <v>37</v>
      </c>
      <c r="FX194">
        <v>377190</v>
      </c>
      <c r="FY194" t="s">
        <v>37</v>
      </c>
      <c r="FZ194">
        <v>563981</v>
      </c>
      <c r="GA194" t="s">
        <v>37</v>
      </c>
      <c r="GC194" t="s">
        <v>37</v>
      </c>
      <c r="GE194" t="s">
        <v>37</v>
      </c>
      <c r="GG194" t="s">
        <v>37</v>
      </c>
      <c r="GI194" t="s">
        <v>37</v>
      </c>
      <c r="GJ194">
        <v>267133</v>
      </c>
      <c r="GK194" t="s">
        <v>37</v>
      </c>
      <c r="GL194">
        <v>132891</v>
      </c>
      <c r="GM194" t="s">
        <v>37</v>
      </c>
      <c r="GO194" t="s">
        <v>37</v>
      </c>
      <c r="GP194">
        <v>26706</v>
      </c>
      <c r="GQ194" t="s">
        <v>37</v>
      </c>
      <c r="GR194">
        <v>191860</v>
      </c>
      <c r="GS194" t="s">
        <v>37</v>
      </c>
      <c r="GU194" t="s">
        <v>37</v>
      </c>
      <c r="GW194" t="s">
        <v>37</v>
      </c>
      <c r="GY194" t="s">
        <v>37</v>
      </c>
      <c r="GZ194">
        <v>248920</v>
      </c>
      <c r="HA194" t="s">
        <v>37</v>
      </c>
      <c r="HC194" t="s">
        <v>37</v>
      </c>
      <c r="HE194" t="s">
        <v>37</v>
      </c>
      <c r="HF194">
        <v>6414898</v>
      </c>
      <c r="HG194" t="s">
        <v>37</v>
      </c>
      <c r="HI194" t="s">
        <v>37</v>
      </c>
      <c r="HJ194">
        <v>6414898</v>
      </c>
      <c r="HK194" t="s">
        <v>37</v>
      </c>
    </row>
    <row r="195" spans="1:219">
      <c r="A195">
        <v>3591</v>
      </c>
      <c r="B195" t="s">
        <v>140</v>
      </c>
      <c r="C195" t="s">
        <v>37</v>
      </c>
      <c r="D195">
        <v>29852</v>
      </c>
      <c r="E195" t="s">
        <v>37</v>
      </c>
      <c r="F195">
        <v>201465</v>
      </c>
      <c r="G195" t="s">
        <v>37</v>
      </c>
      <c r="H195">
        <v>20500</v>
      </c>
      <c r="I195" t="s">
        <v>37</v>
      </c>
      <c r="K195" s="48" t="s">
        <v>37</v>
      </c>
      <c r="L195" s="51">
        <v>72519</v>
      </c>
      <c r="M195" s="48" t="s">
        <v>37</v>
      </c>
      <c r="N195" s="51">
        <v>41000</v>
      </c>
      <c r="O195" s="48" t="s">
        <v>37</v>
      </c>
      <c r="P195" s="51">
        <v>20500</v>
      </c>
      <c r="Q195" s="48" t="s">
        <v>37</v>
      </c>
      <c r="R195" s="51">
        <v>20500</v>
      </c>
      <c r="S195" s="48" t="s">
        <v>37</v>
      </c>
      <c r="T195">
        <v>61500</v>
      </c>
      <c r="U195" t="s">
        <v>37</v>
      </c>
      <c r="W195" t="s">
        <v>37</v>
      </c>
      <c r="Y195" t="s">
        <v>37</v>
      </c>
      <c r="Z195">
        <v>20500</v>
      </c>
      <c r="AA195" t="s">
        <v>37</v>
      </c>
      <c r="AB195">
        <v>17524</v>
      </c>
      <c r="AC195" t="s">
        <v>37</v>
      </c>
      <c r="AD195">
        <v>18880</v>
      </c>
      <c r="AE195" t="s">
        <v>37</v>
      </c>
      <c r="AF195">
        <v>20500</v>
      </c>
      <c r="AG195" t="s">
        <v>37</v>
      </c>
      <c r="AH195">
        <v>20500</v>
      </c>
      <c r="AI195" t="s">
        <v>37</v>
      </c>
      <c r="AK195" t="s">
        <v>37</v>
      </c>
      <c r="AM195" t="s">
        <v>37</v>
      </c>
      <c r="AO195" t="s">
        <v>37</v>
      </c>
      <c r="AP195">
        <v>183648</v>
      </c>
      <c r="AQ195" t="s">
        <v>37</v>
      </c>
      <c r="AR195">
        <v>19923</v>
      </c>
      <c r="AS195" t="s">
        <v>37</v>
      </c>
      <c r="AT195">
        <v>361761</v>
      </c>
      <c r="AU195" t="s">
        <v>37</v>
      </c>
      <c r="AV195">
        <v>82000</v>
      </c>
      <c r="AW195" t="s">
        <v>37</v>
      </c>
      <c r="AX195">
        <v>53399</v>
      </c>
      <c r="AY195" t="s">
        <v>37</v>
      </c>
      <c r="AZ195">
        <v>70573</v>
      </c>
      <c r="BA195" t="s">
        <v>37</v>
      </c>
      <c r="BB195">
        <v>18294</v>
      </c>
      <c r="BC195" t="s">
        <v>37</v>
      </c>
      <c r="BD195">
        <v>20500</v>
      </c>
      <c r="BE195" t="s">
        <v>37</v>
      </c>
      <c r="BF195">
        <v>20500</v>
      </c>
      <c r="BG195" t="s">
        <v>37</v>
      </c>
      <c r="BI195" t="s">
        <v>37</v>
      </c>
      <c r="BJ195">
        <v>61500</v>
      </c>
      <c r="BK195" t="s">
        <v>37</v>
      </c>
      <c r="BL195">
        <v>52151</v>
      </c>
      <c r="BM195" t="s">
        <v>37</v>
      </c>
      <c r="BO195" t="s">
        <v>37</v>
      </c>
      <c r="BP195">
        <v>20500</v>
      </c>
      <c r="BQ195" t="s">
        <v>37</v>
      </c>
      <c r="BR195">
        <v>20500</v>
      </c>
      <c r="BS195" t="s">
        <v>37</v>
      </c>
      <c r="BT195">
        <v>20500</v>
      </c>
      <c r="BU195" t="s">
        <v>37</v>
      </c>
      <c r="BW195" t="s">
        <v>37</v>
      </c>
      <c r="BX195">
        <v>116862</v>
      </c>
      <c r="BY195" t="s">
        <v>37</v>
      </c>
      <c r="BZ195">
        <v>25654</v>
      </c>
      <c r="CA195" t="s">
        <v>37</v>
      </c>
      <c r="CC195" t="s">
        <v>37</v>
      </c>
      <c r="CD195">
        <v>40136</v>
      </c>
      <c r="CE195" t="s">
        <v>37</v>
      </c>
      <c r="CF195">
        <v>41000</v>
      </c>
      <c r="CG195" t="s">
        <v>37</v>
      </c>
      <c r="CH195">
        <v>61500</v>
      </c>
      <c r="CI195" t="s">
        <v>37</v>
      </c>
      <c r="CJ195">
        <v>20500</v>
      </c>
      <c r="CK195" t="s">
        <v>37</v>
      </c>
      <c r="CL195">
        <v>41834</v>
      </c>
      <c r="CM195" t="s">
        <v>37</v>
      </c>
      <c r="CN195">
        <v>20500</v>
      </c>
      <c r="CO195" t="s">
        <v>37</v>
      </c>
      <c r="CP195">
        <v>20500</v>
      </c>
      <c r="CQ195" t="s">
        <v>37</v>
      </c>
      <c r="CR195">
        <v>82000</v>
      </c>
      <c r="CS195" t="s">
        <v>37</v>
      </c>
      <c r="CT195">
        <v>355984</v>
      </c>
      <c r="CU195" t="s">
        <v>37</v>
      </c>
      <c r="CV195">
        <v>61500</v>
      </c>
      <c r="CW195" t="s">
        <v>37</v>
      </c>
      <c r="CX195">
        <v>17892</v>
      </c>
      <c r="CY195" t="s">
        <v>37</v>
      </c>
      <c r="CZ195">
        <v>20500</v>
      </c>
      <c r="DA195" t="s">
        <v>37</v>
      </c>
      <c r="DC195" t="s">
        <v>37</v>
      </c>
      <c r="DD195">
        <v>20500</v>
      </c>
      <c r="DE195" t="s">
        <v>37</v>
      </c>
      <c r="DF195">
        <v>20500</v>
      </c>
      <c r="DG195" t="s">
        <v>37</v>
      </c>
      <c r="DH195">
        <v>176162</v>
      </c>
      <c r="DI195" t="s">
        <v>37</v>
      </c>
      <c r="DJ195">
        <v>29326</v>
      </c>
      <c r="DK195" t="s">
        <v>37</v>
      </c>
      <c r="DL195">
        <v>82000</v>
      </c>
      <c r="DM195" t="s">
        <v>37</v>
      </c>
      <c r="DN195">
        <v>98449</v>
      </c>
      <c r="DO195" t="s">
        <v>37</v>
      </c>
      <c r="DP195">
        <v>142496</v>
      </c>
      <c r="DQ195" t="s">
        <v>37</v>
      </c>
      <c r="DR195">
        <v>20500</v>
      </c>
      <c r="DS195" t="s">
        <v>37</v>
      </c>
      <c r="DT195">
        <v>34118</v>
      </c>
      <c r="DU195" t="s">
        <v>37</v>
      </c>
      <c r="DV195">
        <v>104052</v>
      </c>
      <c r="DW195" t="s">
        <v>37</v>
      </c>
      <c r="DX195">
        <v>82000</v>
      </c>
      <c r="DY195" t="s">
        <v>37</v>
      </c>
      <c r="DZ195">
        <v>20500</v>
      </c>
      <c r="EA195" t="s">
        <v>37</v>
      </c>
      <c r="EB195">
        <v>20500</v>
      </c>
      <c r="EC195" t="s">
        <v>37</v>
      </c>
      <c r="ED195">
        <v>61500</v>
      </c>
      <c r="EE195" t="s">
        <v>37</v>
      </c>
      <c r="EG195" t="s">
        <v>37</v>
      </c>
      <c r="EI195" t="s">
        <v>37</v>
      </c>
      <c r="EJ195">
        <v>20500</v>
      </c>
      <c r="EK195" t="s">
        <v>37</v>
      </c>
      <c r="EL195">
        <v>20500</v>
      </c>
      <c r="EM195" t="s">
        <v>37</v>
      </c>
      <c r="EN195">
        <v>20500</v>
      </c>
      <c r="EO195" t="s">
        <v>37</v>
      </c>
      <c r="EQ195" t="s">
        <v>37</v>
      </c>
      <c r="ER195">
        <v>46536</v>
      </c>
      <c r="ES195" t="s">
        <v>37</v>
      </c>
      <c r="ET195">
        <v>45503</v>
      </c>
      <c r="EU195" t="s">
        <v>37</v>
      </c>
      <c r="EV195">
        <v>87507</v>
      </c>
      <c r="EW195" t="s">
        <v>37</v>
      </c>
      <c r="EY195" t="s">
        <v>37</v>
      </c>
      <c r="EZ195">
        <v>26806</v>
      </c>
      <c r="FA195" t="s">
        <v>37</v>
      </c>
      <c r="FB195">
        <v>36304</v>
      </c>
      <c r="FC195" t="s">
        <v>37</v>
      </c>
      <c r="FD195">
        <v>53211</v>
      </c>
      <c r="FE195" t="s">
        <v>37</v>
      </c>
      <c r="FG195" t="s">
        <v>37</v>
      </c>
      <c r="FH195">
        <v>102500</v>
      </c>
      <c r="FI195" t="s">
        <v>37</v>
      </c>
      <c r="FJ195">
        <v>193124</v>
      </c>
      <c r="FK195" t="s">
        <v>37</v>
      </c>
      <c r="FL195">
        <v>102500</v>
      </c>
      <c r="FM195" t="s">
        <v>37</v>
      </c>
      <c r="FN195">
        <v>20500</v>
      </c>
      <c r="FO195" t="s">
        <v>37</v>
      </c>
      <c r="FP195">
        <v>48149</v>
      </c>
      <c r="FQ195" t="s">
        <v>37</v>
      </c>
      <c r="FR195">
        <v>41000</v>
      </c>
      <c r="FS195" t="s">
        <v>37</v>
      </c>
      <c r="FT195">
        <v>29598</v>
      </c>
      <c r="FU195" t="s">
        <v>37</v>
      </c>
      <c r="FV195">
        <v>20500</v>
      </c>
      <c r="FW195" t="s">
        <v>37</v>
      </c>
      <c r="FX195">
        <v>41000</v>
      </c>
      <c r="FY195" t="s">
        <v>37</v>
      </c>
      <c r="FZ195">
        <v>61500</v>
      </c>
      <c r="GA195" t="s">
        <v>37</v>
      </c>
      <c r="GB195">
        <v>61500</v>
      </c>
      <c r="GC195" t="s">
        <v>37</v>
      </c>
      <c r="GE195" t="s">
        <v>37</v>
      </c>
      <c r="GG195" t="s">
        <v>37</v>
      </c>
      <c r="GI195" t="s">
        <v>37</v>
      </c>
      <c r="GJ195">
        <v>69384</v>
      </c>
      <c r="GK195" t="s">
        <v>37</v>
      </c>
      <c r="GL195">
        <v>67746</v>
      </c>
      <c r="GM195" t="s">
        <v>37</v>
      </c>
      <c r="GO195" t="s">
        <v>37</v>
      </c>
      <c r="GP195">
        <v>28860</v>
      </c>
      <c r="GQ195" t="s">
        <v>37</v>
      </c>
      <c r="GR195">
        <v>36315</v>
      </c>
      <c r="GS195" t="s">
        <v>37</v>
      </c>
      <c r="GT195">
        <v>20500</v>
      </c>
      <c r="GU195" t="s">
        <v>37</v>
      </c>
      <c r="GV195">
        <v>20500</v>
      </c>
      <c r="GW195" t="s">
        <v>37</v>
      </c>
      <c r="GX195">
        <v>82270</v>
      </c>
      <c r="GY195" t="s">
        <v>37</v>
      </c>
      <c r="GZ195">
        <v>61500</v>
      </c>
      <c r="HA195" t="s">
        <v>37</v>
      </c>
      <c r="HB195">
        <v>20500</v>
      </c>
      <c r="HC195" t="s">
        <v>37</v>
      </c>
      <c r="HE195" t="s">
        <v>37</v>
      </c>
      <c r="HF195">
        <v>4876767</v>
      </c>
      <c r="HG195" t="s">
        <v>37</v>
      </c>
      <c r="HH195">
        <v>20500</v>
      </c>
      <c r="HI195" t="s">
        <v>37</v>
      </c>
      <c r="HJ195">
        <v>4897267</v>
      </c>
      <c r="HK195" t="s">
        <v>37</v>
      </c>
    </row>
    <row r="196" spans="1:219">
      <c r="A196">
        <v>3592</v>
      </c>
      <c r="B196" t="s">
        <v>214</v>
      </c>
      <c r="C196" t="s">
        <v>37</v>
      </c>
      <c r="D196">
        <v>21829</v>
      </c>
      <c r="E196" t="s">
        <v>37</v>
      </c>
      <c r="F196">
        <v>152133</v>
      </c>
      <c r="G196" t="s">
        <v>37</v>
      </c>
      <c r="H196">
        <v>4456</v>
      </c>
      <c r="I196" t="s">
        <v>37</v>
      </c>
      <c r="K196" s="48" t="s">
        <v>37</v>
      </c>
      <c r="L196" s="51">
        <v>46242</v>
      </c>
      <c r="M196" s="48" t="s">
        <v>37</v>
      </c>
      <c r="N196" s="51">
        <v>23236</v>
      </c>
      <c r="O196" s="48" t="s">
        <v>37</v>
      </c>
      <c r="P196" s="51">
        <v>15397</v>
      </c>
      <c r="Q196" s="48" t="s">
        <v>37</v>
      </c>
      <c r="R196" s="51">
        <v>6872</v>
      </c>
      <c r="S196" s="48" t="s">
        <v>37</v>
      </c>
      <c r="T196">
        <v>64135</v>
      </c>
      <c r="U196" t="s">
        <v>37</v>
      </c>
      <c r="W196" t="s">
        <v>37</v>
      </c>
      <c r="Y196" t="s">
        <v>37</v>
      </c>
      <c r="Z196">
        <v>46410</v>
      </c>
      <c r="AA196" t="s">
        <v>37</v>
      </c>
      <c r="AB196">
        <v>5308</v>
      </c>
      <c r="AC196" t="s">
        <v>37</v>
      </c>
      <c r="AD196">
        <v>6368</v>
      </c>
      <c r="AE196" t="s">
        <v>37</v>
      </c>
      <c r="AF196">
        <v>5301</v>
      </c>
      <c r="AG196" t="s">
        <v>37</v>
      </c>
      <c r="AH196">
        <v>17378</v>
      </c>
      <c r="AI196" t="s">
        <v>37</v>
      </c>
      <c r="AK196" t="s">
        <v>37</v>
      </c>
      <c r="AM196" t="s">
        <v>37</v>
      </c>
      <c r="AN196">
        <v>21576</v>
      </c>
      <c r="AO196" t="s">
        <v>37</v>
      </c>
      <c r="AP196">
        <v>207003</v>
      </c>
      <c r="AQ196" t="s">
        <v>37</v>
      </c>
      <c r="AR196">
        <v>999</v>
      </c>
      <c r="AS196" t="s">
        <v>37</v>
      </c>
      <c r="AT196">
        <v>106366</v>
      </c>
      <c r="AU196" t="s">
        <v>37</v>
      </c>
      <c r="AV196">
        <v>51579</v>
      </c>
      <c r="AW196" t="s">
        <v>37</v>
      </c>
      <c r="AX196">
        <v>31330</v>
      </c>
      <c r="AY196" t="s">
        <v>37</v>
      </c>
      <c r="AZ196">
        <v>85569</v>
      </c>
      <c r="BA196" t="s">
        <v>37</v>
      </c>
      <c r="BB196">
        <v>32250</v>
      </c>
      <c r="BC196" t="s">
        <v>37</v>
      </c>
      <c r="BE196" t="s">
        <v>37</v>
      </c>
      <c r="BF196">
        <v>8577</v>
      </c>
      <c r="BG196" t="s">
        <v>37</v>
      </c>
      <c r="BI196" t="s">
        <v>37</v>
      </c>
      <c r="BJ196">
        <v>41011</v>
      </c>
      <c r="BK196" t="s">
        <v>37</v>
      </c>
      <c r="BL196">
        <v>65426</v>
      </c>
      <c r="BM196" t="s">
        <v>37</v>
      </c>
      <c r="BO196" t="s">
        <v>37</v>
      </c>
      <c r="BP196">
        <v>6856</v>
      </c>
      <c r="BQ196" t="s">
        <v>37</v>
      </c>
      <c r="BR196">
        <v>23093</v>
      </c>
      <c r="BS196" t="s">
        <v>37</v>
      </c>
      <c r="BT196">
        <v>9968</v>
      </c>
      <c r="BU196" t="s">
        <v>37</v>
      </c>
      <c r="BW196" t="s">
        <v>37</v>
      </c>
      <c r="BX196">
        <v>123968</v>
      </c>
      <c r="BY196" t="s">
        <v>37</v>
      </c>
      <c r="BZ196">
        <v>13245</v>
      </c>
      <c r="CA196" t="s">
        <v>37</v>
      </c>
      <c r="CC196" t="s">
        <v>37</v>
      </c>
      <c r="CD196">
        <v>17673</v>
      </c>
      <c r="CE196" t="s">
        <v>37</v>
      </c>
      <c r="CF196">
        <v>15808</v>
      </c>
      <c r="CG196" t="s">
        <v>37</v>
      </c>
      <c r="CH196">
        <v>77293</v>
      </c>
      <c r="CI196" t="s">
        <v>37</v>
      </c>
      <c r="CJ196">
        <v>7633</v>
      </c>
      <c r="CK196" t="s">
        <v>37</v>
      </c>
      <c r="CL196">
        <v>23042</v>
      </c>
      <c r="CM196" t="s">
        <v>37</v>
      </c>
      <c r="CN196">
        <v>6222</v>
      </c>
      <c r="CO196" t="s">
        <v>37</v>
      </c>
      <c r="CP196">
        <v>9908</v>
      </c>
      <c r="CQ196" t="s">
        <v>37</v>
      </c>
      <c r="CR196">
        <v>53808</v>
      </c>
      <c r="CS196" t="s">
        <v>37</v>
      </c>
      <c r="CT196">
        <v>361986</v>
      </c>
      <c r="CU196" t="s">
        <v>37</v>
      </c>
      <c r="CW196" t="s">
        <v>37</v>
      </c>
      <c r="CX196">
        <v>7532</v>
      </c>
      <c r="CY196" t="s">
        <v>37</v>
      </c>
      <c r="CZ196">
        <v>6131</v>
      </c>
      <c r="DA196" t="s">
        <v>37</v>
      </c>
      <c r="DB196">
        <v>51844</v>
      </c>
      <c r="DC196" t="s">
        <v>37</v>
      </c>
      <c r="DD196">
        <v>16971</v>
      </c>
      <c r="DE196" t="s">
        <v>37</v>
      </c>
      <c r="DF196">
        <v>29981</v>
      </c>
      <c r="DG196" t="s">
        <v>37</v>
      </c>
      <c r="DH196">
        <v>134135</v>
      </c>
      <c r="DI196" t="s">
        <v>37</v>
      </c>
      <c r="DJ196">
        <v>9799</v>
      </c>
      <c r="DK196" t="s">
        <v>37</v>
      </c>
      <c r="DL196">
        <v>58501</v>
      </c>
      <c r="DM196" t="s">
        <v>37</v>
      </c>
      <c r="DN196">
        <v>63847</v>
      </c>
      <c r="DO196" t="s">
        <v>37</v>
      </c>
      <c r="DP196">
        <v>31694</v>
      </c>
      <c r="DQ196" t="s">
        <v>37</v>
      </c>
      <c r="DR196">
        <v>20638</v>
      </c>
      <c r="DS196" t="s">
        <v>37</v>
      </c>
      <c r="DT196">
        <v>12463</v>
      </c>
      <c r="DU196" t="s">
        <v>37</v>
      </c>
      <c r="DV196">
        <v>121312</v>
      </c>
      <c r="DW196" t="s">
        <v>37</v>
      </c>
      <c r="DX196">
        <v>46674</v>
      </c>
      <c r="DY196" t="s">
        <v>37</v>
      </c>
      <c r="DZ196">
        <v>12749</v>
      </c>
      <c r="EA196" t="s">
        <v>37</v>
      </c>
      <c r="EB196">
        <v>57770</v>
      </c>
      <c r="EC196" t="s">
        <v>37</v>
      </c>
      <c r="ED196">
        <v>82595</v>
      </c>
      <c r="EE196" t="s">
        <v>37</v>
      </c>
      <c r="EF196">
        <v>8524</v>
      </c>
      <c r="EG196" t="s">
        <v>37</v>
      </c>
      <c r="EI196" t="s">
        <v>37</v>
      </c>
      <c r="EK196" t="s">
        <v>37</v>
      </c>
      <c r="EM196" t="s">
        <v>37</v>
      </c>
      <c r="EO196" t="s">
        <v>37</v>
      </c>
      <c r="EP196">
        <v>38583</v>
      </c>
      <c r="EQ196" t="s">
        <v>37</v>
      </c>
      <c r="ER196">
        <v>29907</v>
      </c>
      <c r="ES196" t="s">
        <v>37</v>
      </c>
      <c r="ET196">
        <v>34012</v>
      </c>
      <c r="EU196" t="s">
        <v>37</v>
      </c>
      <c r="EV196">
        <v>44083</v>
      </c>
      <c r="EW196" t="s">
        <v>37</v>
      </c>
      <c r="EY196" t="s">
        <v>37</v>
      </c>
      <c r="EZ196">
        <v>24691</v>
      </c>
      <c r="FA196" t="s">
        <v>37</v>
      </c>
      <c r="FB196">
        <v>24896</v>
      </c>
      <c r="FC196" t="s">
        <v>37</v>
      </c>
      <c r="FD196">
        <v>38500</v>
      </c>
      <c r="FE196" t="s">
        <v>37</v>
      </c>
      <c r="FG196" t="s">
        <v>37</v>
      </c>
      <c r="FH196">
        <v>87819</v>
      </c>
      <c r="FI196" t="s">
        <v>37</v>
      </c>
      <c r="FJ196">
        <v>123269</v>
      </c>
      <c r="FK196" t="s">
        <v>37</v>
      </c>
      <c r="FL196">
        <v>103401</v>
      </c>
      <c r="FM196" t="s">
        <v>37</v>
      </c>
      <c r="FN196">
        <v>12400</v>
      </c>
      <c r="FO196" t="s">
        <v>37</v>
      </c>
      <c r="FP196">
        <v>27242</v>
      </c>
      <c r="FQ196" t="s">
        <v>37</v>
      </c>
      <c r="FR196">
        <v>51638</v>
      </c>
      <c r="FS196" t="s">
        <v>37</v>
      </c>
      <c r="FT196">
        <v>17262</v>
      </c>
      <c r="FU196" t="s">
        <v>37</v>
      </c>
      <c r="FV196">
        <v>17108</v>
      </c>
      <c r="FW196" t="s">
        <v>37</v>
      </c>
      <c r="FX196">
        <v>79799</v>
      </c>
      <c r="FY196" t="s">
        <v>37</v>
      </c>
      <c r="FZ196">
        <v>36488</v>
      </c>
      <c r="GA196" t="s">
        <v>37</v>
      </c>
      <c r="GB196">
        <v>54334</v>
      </c>
      <c r="GC196" t="s">
        <v>37</v>
      </c>
      <c r="GE196" t="s">
        <v>37</v>
      </c>
      <c r="GG196" t="s">
        <v>37</v>
      </c>
      <c r="GI196" t="s">
        <v>37</v>
      </c>
      <c r="GJ196">
        <v>51066</v>
      </c>
      <c r="GK196" t="s">
        <v>37</v>
      </c>
      <c r="GL196">
        <v>52113</v>
      </c>
      <c r="GM196" t="s">
        <v>37</v>
      </c>
      <c r="GO196" t="s">
        <v>37</v>
      </c>
      <c r="GP196">
        <v>30200</v>
      </c>
      <c r="GQ196" t="s">
        <v>37</v>
      </c>
      <c r="GR196">
        <v>72218</v>
      </c>
      <c r="GS196" t="s">
        <v>37</v>
      </c>
      <c r="GT196">
        <v>30282</v>
      </c>
      <c r="GU196" t="s">
        <v>37</v>
      </c>
      <c r="GV196">
        <v>17414</v>
      </c>
      <c r="GW196" t="s">
        <v>37</v>
      </c>
      <c r="GX196">
        <v>118587</v>
      </c>
      <c r="GY196" t="s">
        <v>37</v>
      </c>
      <c r="GZ196">
        <v>34803</v>
      </c>
      <c r="HA196" t="s">
        <v>37</v>
      </c>
      <c r="HB196">
        <v>7115</v>
      </c>
      <c r="HC196" t="s">
        <v>37</v>
      </c>
      <c r="HE196" t="s">
        <v>37</v>
      </c>
      <c r="HF196">
        <v>3842529</v>
      </c>
      <c r="HG196" t="s">
        <v>37</v>
      </c>
      <c r="HH196">
        <v>7115</v>
      </c>
      <c r="HI196" t="s">
        <v>37</v>
      </c>
      <c r="HJ196">
        <v>3849644</v>
      </c>
      <c r="HK196" t="s">
        <v>37</v>
      </c>
    </row>
    <row r="197" spans="1:219">
      <c r="A197">
        <v>3593</v>
      </c>
      <c r="B197" t="s">
        <v>215</v>
      </c>
      <c r="C197" t="s">
        <v>37</v>
      </c>
      <c r="D197">
        <v>198618</v>
      </c>
      <c r="E197" t="s">
        <v>37</v>
      </c>
      <c r="F197">
        <v>1175535</v>
      </c>
      <c r="G197" t="s">
        <v>37</v>
      </c>
      <c r="H197">
        <v>476072</v>
      </c>
      <c r="I197" t="s">
        <v>37</v>
      </c>
      <c r="K197" s="48" t="s">
        <v>37</v>
      </c>
      <c r="L197" s="51">
        <v>280877</v>
      </c>
      <c r="M197" s="48" t="s">
        <v>37</v>
      </c>
      <c r="N197" s="51">
        <v>161355</v>
      </c>
      <c r="O197" s="48" t="s">
        <v>37</v>
      </c>
      <c r="P197" s="50"/>
      <c r="Q197" s="48" t="s">
        <v>37</v>
      </c>
      <c r="R197" s="51">
        <v>110382</v>
      </c>
      <c r="S197" s="48" t="s">
        <v>37</v>
      </c>
      <c r="T197">
        <v>557887</v>
      </c>
      <c r="U197" t="s">
        <v>37</v>
      </c>
      <c r="W197" t="s">
        <v>37</v>
      </c>
      <c r="Y197" t="s">
        <v>37</v>
      </c>
      <c r="Z197">
        <v>80853</v>
      </c>
      <c r="AA197" t="s">
        <v>37</v>
      </c>
      <c r="AB197">
        <v>380858</v>
      </c>
      <c r="AC197" t="s">
        <v>37</v>
      </c>
      <c r="AD197">
        <v>91755</v>
      </c>
      <c r="AE197" t="s">
        <v>37</v>
      </c>
      <c r="AF197">
        <v>38463</v>
      </c>
      <c r="AG197" t="s">
        <v>37</v>
      </c>
      <c r="AH197">
        <v>138154</v>
      </c>
      <c r="AI197" t="s">
        <v>37</v>
      </c>
      <c r="AK197" t="s">
        <v>37</v>
      </c>
      <c r="AL197">
        <v>831382</v>
      </c>
      <c r="AM197" t="s">
        <v>37</v>
      </c>
      <c r="AO197" t="s">
        <v>37</v>
      </c>
      <c r="AP197">
        <v>1288378</v>
      </c>
      <c r="AQ197" t="s">
        <v>37</v>
      </c>
      <c r="AR197">
        <v>126201</v>
      </c>
      <c r="AS197" t="s">
        <v>37</v>
      </c>
      <c r="AT197">
        <v>1918330</v>
      </c>
      <c r="AU197" t="s">
        <v>37</v>
      </c>
      <c r="AV197">
        <v>818853</v>
      </c>
      <c r="AW197" t="s">
        <v>37</v>
      </c>
      <c r="AX197">
        <v>303375</v>
      </c>
      <c r="AY197" t="s">
        <v>37</v>
      </c>
      <c r="AZ197">
        <v>440474</v>
      </c>
      <c r="BA197" t="s">
        <v>37</v>
      </c>
      <c r="BB197">
        <v>380858</v>
      </c>
      <c r="BC197" t="s">
        <v>37</v>
      </c>
      <c r="BD197">
        <v>188274</v>
      </c>
      <c r="BE197" t="s">
        <v>37</v>
      </c>
      <c r="BF197">
        <v>60464</v>
      </c>
      <c r="BG197" t="s">
        <v>37</v>
      </c>
      <c r="BI197" t="s">
        <v>37</v>
      </c>
      <c r="BJ197">
        <v>715311</v>
      </c>
      <c r="BK197" t="s">
        <v>37</v>
      </c>
      <c r="BL197">
        <v>679870</v>
      </c>
      <c r="BM197" t="s">
        <v>37</v>
      </c>
      <c r="BO197" t="s">
        <v>37</v>
      </c>
      <c r="BP197">
        <v>51676</v>
      </c>
      <c r="BQ197" t="s">
        <v>37</v>
      </c>
      <c r="BR197">
        <v>271737</v>
      </c>
      <c r="BS197" t="s">
        <v>37</v>
      </c>
      <c r="BT197">
        <v>84369</v>
      </c>
      <c r="BU197" t="s">
        <v>37</v>
      </c>
      <c r="BW197" t="s">
        <v>37</v>
      </c>
      <c r="BX197">
        <v>571597</v>
      </c>
      <c r="BY197" t="s">
        <v>37</v>
      </c>
      <c r="BZ197">
        <v>134943</v>
      </c>
      <c r="CA197" t="s">
        <v>37</v>
      </c>
      <c r="CC197" t="s">
        <v>37</v>
      </c>
      <c r="CD197">
        <v>214437</v>
      </c>
      <c r="CE197" t="s">
        <v>37</v>
      </c>
      <c r="CF197">
        <v>220764</v>
      </c>
      <c r="CG197" t="s">
        <v>37</v>
      </c>
      <c r="CH197">
        <v>741740</v>
      </c>
      <c r="CI197" t="s">
        <v>37</v>
      </c>
      <c r="CK197" t="s">
        <v>37</v>
      </c>
      <c r="CL197">
        <v>251425</v>
      </c>
      <c r="CM197" t="s">
        <v>37</v>
      </c>
      <c r="CN197">
        <v>434477</v>
      </c>
      <c r="CO197" t="s">
        <v>37</v>
      </c>
      <c r="CP197">
        <v>68901</v>
      </c>
      <c r="CQ197" t="s">
        <v>37</v>
      </c>
      <c r="CR197">
        <v>525546</v>
      </c>
      <c r="CS197" t="s">
        <v>37</v>
      </c>
      <c r="CT197">
        <v>2456052</v>
      </c>
      <c r="CU197" t="s">
        <v>37</v>
      </c>
      <c r="CV197">
        <v>453129</v>
      </c>
      <c r="CW197" t="s">
        <v>37</v>
      </c>
      <c r="CX197">
        <v>54410</v>
      </c>
      <c r="CY197" t="s">
        <v>37</v>
      </c>
      <c r="CZ197">
        <v>59761</v>
      </c>
      <c r="DA197" t="s">
        <v>37</v>
      </c>
      <c r="DC197" t="s">
        <v>37</v>
      </c>
      <c r="DD197">
        <v>147996</v>
      </c>
      <c r="DE197" t="s">
        <v>37</v>
      </c>
      <c r="DF197">
        <v>74115</v>
      </c>
      <c r="DG197" t="s">
        <v>37</v>
      </c>
      <c r="DH197">
        <v>1619525</v>
      </c>
      <c r="DI197" t="s">
        <v>37</v>
      </c>
      <c r="DJ197">
        <v>761715</v>
      </c>
      <c r="DK197" t="s">
        <v>37</v>
      </c>
      <c r="DL197">
        <v>498017</v>
      </c>
      <c r="DM197" t="s">
        <v>37</v>
      </c>
      <c r="DN197">
        <v>474573</v>
      </c>
      <c r="DO197" t="s">
        <v>37</v>
      </c>
      <c r="DP197">
        <v>275983</v>
      </c>
      <c r="DQ197" t="s">
        <v>37</v>
      </c>
      <c r="DR197">
        <v>168737</v>
      </c>
      <c r="DS197" t="s">
        <v>37</v>
      </c>
      <c r="DT197">
        <v>904538</v>
      </c>
      <c r="DU197" t="s">
        <v>37</v>
      </c>
      <c r="DV197">
        <v>548747</v>
      </c>
      <c r="DW197" t="s">
        <v>37</v>
      </c>
      <c r="DX197">
        <v>487580</v>
      </c>
      <c r="DY197" t="s">
        <v>37</v>
      </c>
      <c r="DZ197">
        <v>113546</v>
      </c>
      <c r="EA197" t="s">
        <v>37</v>
      </c>
      <c r="EB197">
        <v>204242</v>
      </c>
      <c r="EC197" t="s">
        <v>37</v>
      </c>
      <c r="ED197">
        <v>332201</v>
      </c>
      <c r="EE197" t="s">
        <v>37</v>
      </c>
      <c r="EF197">
        <v>56246</v>
      </c>
      <c r="EG197" t="s">
        <v>37</v>
      </c>
      <c r="EI197" t="s">
        <v>37</v>
      </c>
      <c r="EJ197">
        <v>203891</v>
      </c>
      <c r="EK197" t="s">
        <v>37</v>
      </c>
      <c r="EL197">
        <v>136396</v>
      </c>
      <c r="EM197" t="s">
        <v>37</v>
      </c>
      <c r="EN197">
        <v>252837</v>
      </c>
      <c r="EO197" t="s">
        <v>37</v>
      </c>
      <c r="EQ197" t="s">
        <v>37</v>
      </c>
      <c r="ER197">
        <v>340638</v>
      </c>
      <c r="ES197" t="s">
        <v>37</v>
      </c>
      <c r="ET197">
        <v>313921</v>
      </c>
      <c r="EU197" t="s">
        <v>37</v>
      </c>
      <c r="EV197">
        <v>524491</v>
      </c>
      <c r="EW197" t="s">
        <v>37</v>
      </c>
      <c r="EY197" t="s">
        <v>37</v>
      </c>
      <c r="EZ197">
        <v>188341</v>
      </c>
      <c r="FA197" t="s">
        <v>37</v>
      </c>
      <c r="FB197">
        <v>241857</v>
      </c>
      <c r="FC197" t="s">
        <v>37</v>
      </c>
      <c r="FD197">
        <v>506211</v>
      </c>
      <c r="FE197" t="s">
        <v>37</v>
      </c>
      <c r="FG197" t="s">
        <v>37</v>
      </c>
      <c r="FH197">
        <v>642959</v>
      </c>
      <c r="FI197" t="s">
        <v>37</v>
      </c>
      <c r="FJ197">
        <v>1658689</v>
      </c>
      <c r="FK197" t="s">
        <v>37</v>
      </c>
      <c r="FL197">
        <v>768105</v>
      </c>
      <c r="FM197" t="s">
        <v>37</v>
      </c>
      <c r="FN197">
        <v>237222</v>
      </c>
      <c r="FO197" t="s">
        <v>37</v>
      </c>
      <c r="FP197">
        <v>206703</v>
      </c>
      <c r="FQ197" t="s">
        <v>37</v>
      </c>
      <c r="FR197">
        <v>359269</v>
      </c>
      <c r="FS197" t="s">
        <v>37</v>
      </c>
      <c r="FT197">
        <v>131826</v>
      </c>
      <c r="FU197" t="s">
        <v>37</v>
      </c>
      <c r="FV197">
        <v>133232</v>
      </c>
      <c r="FW197" t="s">
        <v>37</v>
      </c>
      <c r="FX197">
        <v>242560</v>
      </c>
      <c r="FY197" t="s">
        <v>37</v>
      </c>
      <c r="FZ197">
        <v>387041</v>
      </c>
      <c r="GA197" t="s">
        <v>37</v>
      </c>
      <c r="GB197">
        <v>411650</v>
      </c>
      <c r="GC197" t="s">
        <v>37</v>
      </c>
      <c r="GE197" t="s">
        <v>37</v>
      </c>
      <c r="GG197" t="s">
        <v>37</v>
      </c>
      <c r="GI197" t="s">
        <v>37</v>
      </c>
      <c r="GJ197">
        <v>491716</v>
      </c>
      <c r="GK197" t="s">
        <v>37</v>
      </c>
      <c r="GL197">
        <v>523788</v>
      </c>
      <c r="GM197" t="s">
        <v>37</v>
      </c>
      <c r="GO197" t="s">
        <v>37</v>
      </c>
      <c r="GP197">
        <v>266816</v>
      </c>
      <c r="GQ197" t="s">
        <v>37</v>
      </c>
      <c r="GR197">
        <v>429225</v>
      </c>
      <c r="GS197" t="s">
        <v>37</v>
      </c>
      <c r="GU197" t="s">
        <v>37</v>
      </c>
      <c r="GV197">
        <v>140263</v>
      </c>
      <c r="GW197" t="s">
        <v>37</v>
      </c>
      <c r="GX197">
        <v>660184</v>
      </c>
      <c r="GY197" t="s">
        <v>37</v>
      </c>
      <c r="GZ197">
        <v>115655</v>
      </c>
      <c r="HA197" t="s">
        <v>37</v>
      </c>
      <c r="HC197" t="s">
        <v>37</v>
      </c>
      <c r="HE197" t="s">
        <v>37</v>
      </c>
      <c r="HF197">
        <v>35220790</v>
      </c>
      <c r="HG197" t="s">
        <v>37</v>
      </c>
      <c r="HI197" t="s">
        <v>37</v>
      </c>
      <c r="HJ197">
        <v>35220790</v>
      </c>
      <c r="HK197" t="s">
        <v>37</v>
      </c>
    </row>
    <row r="198" spans="1:219">
      <c r="A198">
        <v>3595</v>
      </c>
      <c r="B198" t="s">
        <v>216</v>
      </c>
      <c r="C198" t="s">
        <v>37</v>
      </c>
      <c r="E198" t="s">
        <v>37</v>
      </c>
      <c r="F198">
        <v>14784</v>
      </c>
      <c r="G198" t="s">
        <v>37</v>
      </c>
      <c r="H198">
        <v>11043</v>
      </c>
      <c r="I198" t="s">
        <v>37</v>
      </c>
      <c r="K198" s="48" t="s">
        <v>37</v>
      </c>
      <c r="L198" s="50"/>
      <c r="M198" s="48" t="s">
        <v>37</v>
      </c>
      <c r="N198" s="50"/>
      <c r="O198" s="48" t="s">
        <v>37</v>
      </c>
      <c r="P198" s="50"/>
      <c r="Q198" s="48" t="s">
        <v>37</v>
      </c>
      <c r="R198" s="50"/>
      <c r="S198" s="48" t="s">
        <v>37</v>
      </c>
      <c r="U198" t="s">
        <v>37</v>
      </c>
      <c r="W198" t="s">
        <v>37</v>
      </c>
      <c r="Y198" t="s">
        <v>37</v>
      </c>
      <c r="AA198" t="s">
        <v>37</v>
      </c>
      <c r="AB198">
        <v>36417</v>
      </c>
      <c r="AC198" t="s">
        <v>37</v>
      </c>
      <c r="AD198">
        <v>24199</v>
      </c>
      <c r="AE198" t="s">
        <v>37</v>
      </c>
      <c r="AG198" t="s">
        <v>37</v>
      </c>
      <c r="AI198" t="s">
        <v>37</v>
      </c>
      <c r="AK198" t="s">
        <v>37</v>
      </c>
      <c r="AL198">
        <v>74484</v>
      </c>
      <c r="AM198" t="s">
        <v>37</v>
      </c>
      <c r="AO198" t="s">
        <v>37</v>
      </c>
      <c r="AP198">
        <v>32072</v>
      </c>
      <c r="AQ198" t="s">
        <v>37</v>
      </c>
      <c r="AS198" t="s">
        <v>37</v>
      </c>
      <c r="AT198">
        <v>460445</v>
      </c>
      <c r="AU198" t="s">
        <v>37</v>
      </c>
      <c r="AW198" t="s">
        <v>37</v>
      </c>
      <c r="AX198">
        <v>87313</v>
      </c>
      <c r="AY198" t="s">
        <v>37</v>
      </c>
      <c r="AZ198">
        <v>13840</v>
      </c>
      <c r="BA198" t="s">
        <v>37</v>
      </c>
      <c r="BB198">
        <v>23503</v>
      </c>
      <c r="BC198" t="s">
        <v>37</v>
      </c>
      <c r="BE198" t="s">
        <v>37</v>
      </c>
      <c r="BF198">
        <v>31634</v>
      </c>
      <c r="BG198" t="s">
        <v>37</v>
      </c>
      <c r="BI198" t="s">
        <v>37</v>
      </c>
      <c r="BJ198">
        <v>20200</v>
      </c>
      <c r="BK198" t="s">
        <v>37</v>
      </c>
      <c r="BL198">
        <v>66048</v>
      </c>
      <c r="BM198" t="s">
        <v>37</v>
      </c>
      <c r="BO198" t="s">
        <v>37</v>
      </c>
      <c r="BP198">
        <v>9129</v>
      </c>
      <c r="BQ198" t="s">
        <v>37</v>
      </c>
      <c r="BS198" t="s">
        <v>37</v>
      </c>
      <c r="BU198" t="s">
        <v>37</v>
      </c>
      <c r="BW198" t="s">
        <v>37</v>
      </c>
      <c r="BY198" t="s">
        <v>37</v>
      </c>
      <c r="BZ198">
        <v>16455</v>
      </c>
      <c r="CA198" t="s">
        <v>37</v>
      </c>
      <c r="CC198" t="s">
        <v>37</v>
      </c>
      <c r="CE198" t="s">
        <v>37</v>
      </c>
      <c r="CF198">
        <v>43104</v>
      </c>
      <c r="CG198" t="s">
        <v>37</v>
      </c>
      <c r="CH198">
        <v>31883</v>
      </c>
      <c r="CI198" t="s">
        <v>37</v>
      </c>
      <c r="CK198" t="s">
        <v>37</v>
      </c>
      <c r="CL198">
        <v>31674</v>
      </c>
      <c r="CM198" t="s">
        <v>37</v>
      </c>
      <c r="CN198">
        <v>33111</v>
      </c>
      <c r="CO198" t="s">
        <v>37</v>
      </c>
      <c r="CQ198" t="s">
        <v>37</v>
      </c>
      <c r="CR198">
        <v>43613</v>
      </c>
      <c r="CS198" t="s">
        <v>37</v>
      </c>
      <c r="CT198">
        <v>92906</v>
      </c>
      <c r="CU198" t="s">
        <v>37</v>
      </c>
      <c r="CV198">
        <v>29335</v>
      </c>
      <c r="CW198" t="s">
        <v>37</v>
      </c>
      <c r="CX198">
        <v>15674</v>
      </c>
      <c r="CY198" t="s">
        <v>37</v>
      </c>
      <c r="DA198" t="s">
        <v>37</v>
      </c>
      <c r="DC198" t="s">
        <v>37</v>
      </c>
      <c r="DD198">
        <v>39124</v>
      </c>
      <c r="DE198" t="s">
        <v>37</v>
      </c>
      <c r="DF198">
        <v>225</v>
      </c>
      <c r="DG198" t="s">
        <v>37</v>
      </c>
      <c r="DI198" t="s">
        <v>37</v>
      </c>
      <c r="DJ198">
        <v>1165</v>
      </c>
      <c r="DK198" t="s">
        <v>37</v>
      </c>
      <c r="DL198">
        <v>32919</v>
      </c>
      <c r="DM198" t="s">
        <v>37</v>
      </c>
      <c r="DN198">
        <v>3790</v>
      </c>
      <c r="DO198" t="s">
        <v>37</v>
      </c>
      <c r="DQ198" t="s">
        <v>37</v>
      </c>
      <c r="DR198">
        <v>41669</v>
      </c>
      <c r="DS198" t="s">
        <v>37</v>
      </c>
      <c r="DT198">
        <v>118853</v>
      </c>
      <c r="DU198" t="s">
        <v>37</v>
      </c>
      <c r="DW198" t="s">
        <v>37</v>
      </c>
      <c r="DY198" t="s">
        <v>37</v>
      </c>
      <c r="EA198" t="s">
        <v>37</v>
      </c>
      <c r="EB198">
        <v>43868</v>
      </c>
      <c r="EC198" t="s">
        <v>37</v>
      </c>
      <c r="EE198" t="s">
        <v>37</v>
      </c>
      <c r="EF198">
        <v>10614</v>
      </c>
      <c r="EG198" t="s">
        <v>37</v>
      </c>
      <c r="EI198" t="s">
        <v>37</v>
      </c>
      <c r="EJ198">
        <v>1473</v>
      </c>
      <c r="EK198" t="s">
        <v>37</v>
      </c>
      <c r="EM198" t="s">
        <v>37</v>
      </c>
      <c r="EO198" t="s">
        <v>37</v>
      </c>
      <c r="EQ198" t="s">
        <v>37</v>
      </c>
      <c r="ER198">
        <v>130978</v>
      </c>
      <c r="ES198" t="s">
        <v>37</v>
      </c>
      <c r="ET198">
        <v>20012</v>
      </c>
      <c r="EU198" t="s">
        <v>37</v>
      </c>
      <c r="EW198" t="s">
        <v>37</v>
      </c>
      <c r="EY198" t="s">
        <v>37</v>
      </c>
      <c r="FA198" t="s">
        <v>37</v>
      </c>
      <c r="FB198">
        <v>34340</v>
      </c>
      <c r="FC198" t="s">
        <v>37</v>
      </c>
      <c r="FD198">
        <v>64560</v>
      </c>
      <c r="FE198" t="s">
        <v>37</v>
      </c>
      <c r="FG198" t="s">
        <v>37</v>
      </c>
      <c r="FI198" t="s">
        <v>37</v>
      </c>
      <c r="FJ198">
        <v>185211</v>
      </c>
      <c r="FK198" t="s">
        <v>37</v>
      </c>
      <c r="FM198" t="s">
        <v>37</v>
      </c>
      <c r="FN198">
        <v>46346</v>
      </c>
      <c r="FO198" t="s">
        <v>37</v>
      </c>
      <c r="FQ198" t="s">
        <v>37</v>
      </c>
      <c r="FS198" t="s">
        <v>37</v>
      </c>
      <c r="FU198" t="s">
        <v>37</v>
      </c>
      <c r="FW198" t="s">
        <v>37</v>
      </c>
      <c r="FY198" t="s">
        <v>37</v>
      </c>
      <c r="GA198" t="s">
        <v>37</v>
      </c>
      <c r="GB198">
        <v>7468</v>
      </c>
      <c r="GC198" t="s">
        <v>37</v>
      </c>
      <c r="GE198" t="s">
        <v>37</v>
      </c>
      <c r="GG198" t="s">
        <v>37</v>
      </c>
      <c r="GI198" t="s">
        <v>37</v>
      </c>
      <c r="GJ198">
        <v>13542</v>
      </c>
      <c r="GK198" t="s">
        <v>37</v>
      </c>
      <c r="GM198" t="s">
        <v>37</v>
      </c>
      <c r="GO198" t="s">
        <v>37</v>
      </c>
      <c r="GP198">
        <v>24958</v>
      </c>
      <c r="GQ198" t="s">
        <v>37</v>
      </c>
      <c r="GR198">
        <v>10768</v>
      </c>
      <c r="GS198" t="s">
        <v>37</v>
      </c>
      <c r="GU198" t="s">
        <v>37</v>
      </c>
      <c r="GW198" t="s">
        <v>37</v>
      </c>
      <c r="GY198" t="s">
        <v>37</v>
      </c>
      <c r="HA198" t="s">
        <v>37</v>
      </c>
      <c r="HC198" t="s">
        <v>37</v>
      </c>
      <c r="HE198" t="s">
        <v>37</v>
      </c>
      <c r="HF198">
        <v>2074749</v>
      </c>
      <c r="HG198" t="s">
        <v>37</v>
      </c>
      <c r="HI198" t="s">
        <v>37</v>
      </c>
      <c r="HJ198">
        <v>2074749</v>
      </c>
      <c r="HK198" t="s">
        <v>37</v>
      </c>
    </row>
    <row r="199" spans="1:219">
      <c r="A199">
        <v>3596</v>
      </c>
      <c r="B199" t="s">
        <v>217</v>
      </c>
      <c r="C199" t="s">
        <v>37</v>
      </c>
      <c r="D199">
        <v>89623</v>
      </c>
      <c r="E199" t="s">
        <v>37</v>
      </c>
      <c r="F199">
        <v>308978</v>
      </c>
      <c r="G199" t="s">
        <v>37</v>
      </c>
      <c r="H199">
        <v>84326</v>
      </c>
      <c r="I199" t="s">
        <v>37</v>
      </c>
      <c r="J199">
        <v>350000</v>
      </c>
      <c r="K199" s="48" t="s">
        <v>37</v>
      </c>
      <c r="L199" s="51">
        <v>110896</v>
      </c>
      <c r="M199" s="48" t="s">
        <v>37</v>
      </c>
      <c r="N199" s="51">
        <v>21843</v>
      </c>
      <c r="O199" s="48" t="s">
        <v>37</v>
      </c>
      <c r="P199" s="51">
        <v>11127</v>
      </c>
      <c r="Q199" s="48" t="s">
        <v>37</v>
      </c>
      <c r="R199" s="51">
        <v>6671</v>
      </c>
      <c r="S199" s="48" t="s">
        <v>37</v>
      </c>
      <c r="T199">
        <v>33665</v>
      </c>
      <c r="U199" t="s">
        <v>37</v>
      </c>
      <c r="W199" t="s">
        <v>37</v>
      </c>
      <c r="Y199" t="s">
        <v>37</v>
      </c>
      <c r="Z199">
        <v>3044</v>
      </c>
      <c r="AA199" t="s">
        <v>37</v>
      </c>
      <c r="AB199">
        <v>48975</v>
      </c>
      <c r="AC199" t="s">
        <v>37</v>
      </c>
      <c r="AD199">
        <v>64214</v>
      </c>
      <c r="AE199" t="s">
        <v>37</v>
      </c>
      <c r="AF199">
        <v>55257</v>
      </c>
      <c r="AG199" t="s">
        <v>37</v>
      </c>
      <c r="AH199">
        <v>62631</v>
      </c>
      <c r="AI199" t="s">
        <v>37</v>
      </c>
      <c r="AK199" t="s">
        <v>37</v>
      </c>
      <c r="AM199" t="s">
        <v>37</v>
      </c>
      <c r="AO199" t="s">
        <v>37</v>
      </c>
      <c r="AP199">
        <v>262736</v>
      </c>
      <c r="AQ199" t="s">
        <v>37</v>
      </c>
      <c r="AR199">
        <v>114098</v>
      </c>
      <c r="AS199" t="s">
        <v>37</v>
      </c>
      <c r="AT199">
        <v>319975</v>
      </c>
      <c r="AU199" t="s">
        <v>37</v>
      </c>
      <c r="AV199">
        <v>218202</v>
      </c>
      <c r="AW199" t="s">
        <v>37</v>
      </c>
      <c r="AX199">
        <v>159102</v>
      </c>
      <c r="AY199" t="s">
        <v>37</v>
      </c>
      <c r="AZ199">
        <v>167603</v>
      </c>
      <c r="BA199" t="s">
        <v>37</v>
      </c>
      <c r="BB199">
        <v>36786</v>
      </c>
      <c r="BC199" t="s">
        <v>37</v>
      </c>
      <c r="BD199">
        <v>84582</v>
      </c>
      <c r="BE199" t="s">
        <v>37</v>
      </c>
      <c r="BF199">
        <v>52981</v>
      </c>
      <c r="BG199" t="s">
        <v>37</v>
      </c>
      <c r="BI199" t="s">
        <v>37</v>
      </c>
      <c r="BJ199">
        <v>260125</v>
      </c>
      <c r="BK199" t="s">
        <v>37</v>
      </c>
      <c r="BL199">
        <v>280834</v>
      </c>
      <c r="BM199" t="s">
        <v>37</v>
      </c>
      <c r="BO199" t="s">
        <v>37</v>
      </c>
      <c r="BP199">
        <v>146744</v>
      </c>
      <c r="BQ199" t="s">
        <v>37</v>
      </c>
      <c r="BR199">
        <v>24699</v>
      </c>
      <c r="BS199" t="s">
        <v>37</v>
      </c>
      <c r="BT199">
        <v>7342</v>
      </c>
      <c r="BU199" t="s">
        <v>37</v>
      </c>
      <c r="BW199" t="s">
        <v>37</v>
      </c>
      <c r="BX199">
        <v>308082</v>
      </c>
      <c r="BY199" t="s">
        <v>37</v>
      </c>
      <c r="BZ199">
        <v>96550</v>
      </c>
      <c r="CA199" t="s">
        <v>37</v>
      </c>
      <c r="CC199" t="s">
        <v>37</v>
      </c>
      <c r="CD199">
        <v>169863</v>
      </c>
      <c r="CE199" t="s">
        <v>37</v>
      </c>
      <c r="CF199">
        <v>124081</v>
      </c>
      <c r="CG199" t="s">
        <v>37</v>
      </c>
      <c r="CH199">
        <v>174278</v>
      </c>
      <c r="CI199" t="s">
        <v>37</v>
      </c>
      <c r="CJ199">
        <v>65712</v>
      </c>
      <c r="CK199" t="s">
        <v>37</v>
      </c>
      <c r="CL199">
        <v>106836</v>
      </c>
      <c r="CM199" t="s">
        <v>37</v>
      </c>
      <c r="CN199">
        <v>53871</v>
      </c>
      <c r="CO199" t="s">
        <v>37</v>
      </c>
      <c r="CP199">
        <v>48529</v>
      </c>
      <c r="CQ199" t="s">
        <v>37</v>
      </c>
      <c r="CR199">
        <v>155580</v>
      </c>
      <c r="CS199" t="s">
        <v>37</v>
      </c>
      <c r="CT199">
        <v>275638</v>
      </c>
      <c r="CU199" t="s">
        <v>37</v>
      </c>
      <c r="CV199">
        <v>143906</v>
      </c>
      <c r="CW199" t="s">
        <v>37</v>
      </c>
      <c r="CX199">
        <v>52757</v>
      </c>
      <c r="CY199" t="s">
        <v>37</v>
      </c>
      <c r="CZ199">
        <v>51405</v>
      </c>
      <c r="DA199" t="s">
        <v>37</v>
      </c>
      <c r="DC199" t="s">
        <v>37</v>
      </c>
      <c r="DD199">
        <v>72764</v>
      </c>
      <c r="DE199" t="s">
        <v>37</v>
      </c>
      <c r="DF199">
        <v>46608</v>
      </c>
      <c r="DG199" t="s">
        <v>37</v>
      </c>
      <c r="DH199">
        <v>310363</v>
      </c>
      <c r="DI199" t="s">
        <v>37</v>
      </c>
      <c r="DJ199">
        <v>93667</v>
      </c>
      <c r="DK199" t="s">
        <v>37</v>
      </c>
      <c r="DL199">
        <v>299082</v>
      </c>
      <c r="DM199" t="s">
        <v>37</v>
      </c>
      <c r="DN199">
        <v>142040</v>
      </c>
      <c r="DO199" t="s">
        <v>37</v>
      </c>
      <c r="DP199">
        <v>128602</v>
      </c>
      <c r="DQ199" t="s">
        <v>37</v>
      </c>
      <c r="DR199">
        <v>80201</v>
      </c>
      <c r="DS199" t="s">
        <v>37</v>
      </c>
      <c r="DT199">
        <v>174528</v>
      </c>
      <c r="DU199" t="s">
        <v>37</v>
      </c>
      <c r="DV199">
        <v>160191</v>
      </c>
      <c r="DW199" t="s">
        <v>37</v>
      </c>
      <c r="DX199">
        <v>180494</v>
      </c>
      <c r="DY199" t="s">
        <v>37</v>
      </c>
      <c r="DZ199">
        <v>84233</v>
      </c>
      <c r="EA199" t="s">
        <v>37</v>
      </c>
      <c r="EB199">
        <v>105913</v>
      </c>
      <c r="EC199" t="s">
        <v>37</v>
      </c>
      <c r="ED199">
        <v>160591</v>
      </c>
      <c r="EE199" t="s">
        <v>37</v>
      </c>
      <c r="EF199">
        <v>86094</v>
      </c>
      <c r="EG199" t="s">
        <v>37</v>
      </c>
      <c r="EH199">
        <v>195626</v>
      </c>
      <c r="EI199" t="s">
        <v>37</v>
      </c>
      <c r="EJ199">
        <v>68328</v>
      </c>
      <c r="EK199" t="s">
        <v>37</v>
      </c>
      <c r="EL199">
        <v>6387</v>
      </c>
      <c r="EM199" t="s">
        <v>37</v>
      </c>
      <c r="EN199">
        <v>7102</v>
      </c>
      <c r="EO199" t="s">
        <v>37</v>
      </c>
      <c r="EQ199" t="s">
        <v>37</v>
      </c>
      <c r="ER199">
        <v>155680</v>
      </c>
      <c r="ES199" t="s">
        <v>37</v>
      </c>
      <c r="ET199">
        <v>203791</v>
      </c>
      <c r="EU199" t="s">
        <v>37</v>
      </c>
      <c r="EV199">
        <v>235104</v>
      </c>
      <c r="EW199" t="s">
        <v>37</v>
      </c>
      <c r="EY199" t="s">
        <v>37</v>
      </c>
      <c r="EZ199">
        <v>83617</v>
      </c>
      <c r="FA199" t="s">
        <v>37</v>
      </c>
      <c r="FB199">
        <v>168391</v>
      </c>
      <c r="FC199" t="s">
        <v>37</v>
      </c>
      <c r="FD199">
        <v>140512</v>
      </c>
      <c r="FE199" t="s">
        <v>37</v>
      </c>
      <c r="FG199" t="s">
        <v>37</v>
      </c>
      <c r="FH199">
        <v>185311</v>
      </c>
      <c r="FI199" t="s">
        <v>37</v>
      </c>
      <c r="FJ199">
        <v>304323</v>
      </c>
      <c r="FK199" t="s">
        <v>37</v>
      </c>
      <c r="FL199">
        <v>46494</v>
      </c>
      <c r="FM199" t="s">
        <v>37</v>
      </c>
      <c r="FN199">
        <v>118131</v>
      </c>
      <c r="FO199" t="s">
        <v>37</v>
      </c>
      <c r="FP199">
        <v>95492</v>
      </c>
      <c r="FQ199" t="s">
        <v>37</v>
      </c>
      <c r="FR199">
        <v>101341</v>
      </c>
      <c r="FS199" t="s">
        <v>37</v>
      </c>
      <c r="FT199">
        <v>99485</v>
      </c>
      <c r="FU199" t="s">
        <v>37</v>
      </c>
      <c r="FV199">
        <v>63517</v>
      </c>
      <c r="FW199" t="s">
        <v>37</v>
      </c>
      <c r="FX199">
        <v>96155</v>
      </c>
      <c r="FY199" t="s">
        <v>37</v>
      </c>
      <c r="FZ199">
        <v>144198</v>
      </c>
      <c r="GA199" t="s">
        <v>37</v>
      </c>
      <c r="GB199">
        <v>165316</v>
      </c>
      <c r="GC199" t="s">
        <v>37</v>
      </c>
      <c r="GE199" t="s">
        <v>37</v>
      </c>
      <c r="GG199" t="s">
        <v>37</v>
      </c>
      <c r="GI199" t="s">
        <v>37</v>
      </c>
      <c r="GJ199">
        <v>177526</v>
      </c>
      <c r="GK199" t="s">
        <v>37</v>
      </c>
      <c r="GL199">
        <v>195911</v>
      </c>
      <c r="GM199" t="s">
        <v>37</v>
      </c>
      <c r="GO199" t="s">
        <v>37</v>
      </c>
      <c r="GP199">
        <v>174676</v>
      </c>
      <c r="GQ199" t="s">
        <v>37</v>
      </c>
      <c r="GR199">
        <v>153946</v>
      </c>
      <c r="GS199" t="s">
        <v>37</v>
      </c>
      <c r="GT199">
        <v>90791</v>
      </c>
      <c r="GU199" t="s">
        <v>37</v>
      </c>
      <c r="GV199">
        <v>103529</v>
      </c>
      <c r="GW199" t="s">
        <v>37</v>
      </c>
      <c r="GX199">
        <v>115315</v>
      </c>
      <c r="GY199" t="s">
        <v>37</v>
      </c>
      <c r="GZ199">
        <v>118576</v>
      </c>
      <c r="HA199" t="s">
        <v>37</v>
      </c>
      <c r="HC199" t="s">
        <v>37</v>
      </c>
      <c r="HE199" t="s">
        <v>37</v>
      </c>
      <c r="HF199">
        <v>11154089</v>
      </c>
      <c r="HG199" t="s">
        <v>37</v>
      </c>
      <c r="HI199" t="s">
        <v>37</v>
      </c>
      <c r="HJ199">
        <v>11154089</v>
      </c>
      <c r="HK199" t="s">
        <v>37</v>
      </c>
    </row>
    <row r="200" spans="1:219">
      <c r="A200">
        <v>3598</v>
      </c>
      <c r="B200" t="s">
        <v>218</v>
      </c>
      <c r="C200" t="s">
        <v>37</v>
      </c>
      <c r="D200">
        <v>2588</v>
      </c>
      <c r="E200" t="s">
        <v>37</v>
      </c>
      <c r="F200">
        <v>16564</v>
      </c>
      <c r="G200" t="s">
        <v>37</v>
      </c>
      <c r="I200" t="s">
        <v>37</v>
      </c>
      <c r="K200" s="48" t="s">
        <v>37</v>
      </c>
      <c r="L200" s="51">
        <v>4137</v>
      </c>
      <c r="M200" s="48" t="s">
        <v>37</v>
      </c>
      <c r="N200" s="51">
        <v>2225</v>
      </c>
      <c r="O200" s="48" t="s">
        <v>37</v>
      </c>
      <c r="P200" s="51">
        <v>2593</v>
      </c>
      <c r="Q200" s="48" t="s">
        <v>37</v>
      </c>
      <c r="R200" s="51">
        <v>2176</v>
      </c>
      <c r="S200" s="48" t="s">
        <v>37</v>
      </c>
      <c r="T200">
        <v>7488</v>
      </c>
      <c r="U200" t="s">
        <v>37</v>
      </c>
      <c r="W200" t="s">
        <v>37</v>
      </c>
      <c r="Y200" t="s">
        <v>37</v>
      </c>
      <c r="Z200">
        <v>1235</v>
      </c>
      <c r="AA200" t="s">
        <v>37</v>
      </c>
      <c r="AB200">
        <v>912</v>
      </c>
      <c r="AC200" t="s">
        <v>37</v>
      </c>
      <c r="AD200">
        <v>503</v>
      </c>
      <c r="AE200" t="s">
        <v>37</v>
      </c>
      <c r="AF200">
        <v>688</v>
      </c>
      <c r="AG200" t="s">
        <v>37</v>
      </c>
      <c r="AH200">
        <v>1910</v>
      </c>
      <c r="AI200" t="s">
        <v>37</v>
      </c>
      <c r="AK200" t="s">
        <v>37</v>
      </c>
      <c r="AL200">
        <v>10558</v>
      </c>
      <c r="AM200" t="s">
        <v>37</v>
      </c>
      <c r="AO200" t="s">
        <v>37</v>
      </c>
      <c r="AP200">
        <v>18808</v>
      </c>
      <c r="AQ200" t="s">
        <v>37</v>
      </c>
      <c r="AS200" t="s">
        <v>37</v>
      </c>
      <c r="AT200">
        <v>-146</v>
      </c>
      <c r="AU200" t="s">
        <v>37</v>
      </c>
      <c r="AV200">
        <v>5271</v>
      </c>
      <c r="AW200" t="s">
        <v>37</v>
      </c>
      <c r="AX200">
        <v>4646</v>
      </c>
      <c r="AY200" t="s">
        <v>37</v>
      </c>
      <c r="AZ200">
        <v>7268</v>
      </c>
      <c r="BA200" t="s">
        <v>37</v>
      </c>
      <c r="BC200" t="s">
        <v>37</v>
      </c>
      <c r="BD200">
        <v>2180</v>
      </c>
      <c r="BE200" t="s">
        <v>37</v>
      </c>
      <c r="BF200">
        <v>1093</v>
      </c>
      <c r="BG200" t="s">
        <v>37</v>
      </c>
      <c r="BI200" t="s">
        <v>37</v>
      </c>
      <c r="BJ200">
        <v>8614</v>
      </c>
      <c r="BK200" t="s">
        <v>37</v>
      </c>
      <c r="BL200">
        <v>10002</v>
      </c>
      <c r="BM200" t="s">
        <v>37</v>
      </c>
      <c r="BO200" t="s">
        <v>37</v>
      </c>
      <c r="BP200">
        <v>1123</v>
      </c>
      <c r="BQ200" t="s">
        <v>37</v>
      </c>
      <c r="BR200">
        <v>1976</v>
      </c>
      <c r="BS200" t="s">
        <v>37</v>
      </c>
      <c r="BT200">
        <v>1080</v>
      </c>
      <c r="BU200" t="s">
        <v>37</v>
      </c>
      <c r="BW200" t="s">
        <v>37</v>
      </c>
      <c r="BX200">
        <v>11934</v>
      </c>
      <c r="BY200" t="s">
        <v>37</v>
      </c>
      <c r="BZ200">
        <v>3515</v>
      </c>
      <c r="CA200" t="s">
        <v>37</v>
      </c>
      <c r="CC200" t="s">
        <v>37</v>
      </c>
      <c r="CD200">
        <v>3791</v>
      </c>
      <c r="CE200" t="s">
        <v>37</v>
      </c>
      <c r="CF200">
        <v>4360</v>
      </c>
      <c r="CG200" t="s">
        <v>37</v>
      </c>
      <c r="CH200">
        <v>14833</v>
      </c>
      <c r="CI200" t="s">
        <v>37</v>
      </c>
      <c r="CJ200">
        <v>967</v>
      </c>
      <c r="CK200" t="s">
        <v>37</v>
      </c>
      <c r="CL200">
        <v>2829</v>
      </c>
      <c r="CM200" t="s">
        <v>37</v>
      </c>
      <c r="CN200">
        <v>790</v>
      </c>
      <c r="CO200" t="s">
        <v>37</v>
      </c>
      <c r="CP200">
        <v>669</v>
      </c>
      <c r="CQ200" t="s">
        <v>37</v>
      </c>
      <c r="CR200">
        <v>7783</v>
      </c>
      <c r="CS200" t="s">
        <v>37</v>
      </c>
      <c r="CT200">
        <v>28063</v>
      </c>
      <c r="CU200" t="s">
        <v>37</v>
      </c>
      <c r="CV200">
        <v>5087</v>
      </c>
      <c r="CW200" t="s">
        <v>37</v>
      </c>
      <c r="CX200">
        <v>714</v>
      </c>
      <c r="CY200" t="s">
        <v>37</v>
      </c>
      <c r="CZ200">
        <v>769</v>
      </c>
      <c r="DA200" t="s">
        <v>37</v>
      </c>
      <c r="DC200" t="s">
        <v>37</v>
      </c>
      <c r="DD200">
        <v>2266</v>
      </c>
      <c r="DE200" t="s">
        <v>37</v>
      </c>
      <c r="DF200">
        <v>1451</v>
      </c>
      <c r="DG200" t="s">
        <v>37</v>
      </c>
      <c r="DH200">
        <v>23640</v>
      </c>
      <c r="DI200" t="s">
        <v>37</v>
      </c>
      <c r="DJ200">
        <v>2864</v>
      </c>
      <c r="DK200" t="s">
        <v>37</v>
      </c>
      <c r="DL200">
        <v>7700</v>
      </c>
      <c r="DM200" t="s">
        <v>37</v>
      </c>
      <c r="DN200">
        <v>7479</v>
      </c>
      <c r="DO200" t="s">
        <v>37</v>
      </c>
      <c r="DP200">
        <v>4105</v>
      </c>
      <c r="DQ200" t="s">
        <v>37</v>
      </c>
      <c r="DR200">
        <v>2227</v>
      </c>
      <c r="DS200" t="s">
        <v>37</v>
      </c>
      <c r="DT200">
        <v>3355</v>
      </c>
      <c r="DU200" t="s">
        <v>37</v>
      </c>
      <c r="DV200">
        <v>15083</v>
      </c>
      <c r="DW200" t="s">
        <v>37</v>
      </c>
      <c r="DX200">
        <v>5759</v>
      </c>
      <c r="DY200" t="s">
        <v>37</v>
      </c>
      <c r="DZ200">
        <v>1818</v>
      </c>
      <c r="EA200" t="s">
        <v>37</v>
      </c>
      <c r="EB200">
        <v>2962</v>
      </c>
      <c r="EC200" t="s">
        <v>37</v>
      </c>
      <c r="ED200">
        <v>7301</v>
      </c>
      <c r="EE200" t="s">
        <v>37</v>
      </c>
      <c r="EF200">
        <v>1211</v>
      </c>
      <c r="EG200" t="s">
        <v>37</v>
      </c>
      <c r="EI200" t="s">
        <v>37</v>
      </c>
      <c r="EJ200">
        <v>2317</v>
      </c>
      <c r="EK200" t="s">
        <v>37</v>
      </c>
      <c r="EL200">
        <v>1038</v>
      </c>
      <c r="EM200" t="s">
        <v>37</v>
      </c>
      <c r="EN200">
        <v>1425</v>
      </c>
      <c r="EO200" t="s">
        <v>37</v>
      </c>
      <c r="EQ200" t="s">
        <v>37</v>
      </c>
      <c r="ER200">
        <v>4891</v>
      </c>
      <c r="ES200" t="s">
        <v>37</v>
      </c>
      <c r="ET200">
        <v>4735</v>
      </c>
      <c r="EU200" t="s">
        <v>37</v>
      </c>
      <c r="EV200">
        <v>8249</v>
      </c>
      <c r="EW200" t="s">
        <v>37</v>
      </c>
      <c r="EY200" t="s">
        <v>37</v>
      </c>
      <c r="EZ200">
        <v>4235</v>
      </c>
      <c r="FA200" t="s">
        <v>37</v>
      </c>
      <c r="FB200">
        <v>3805</v>
      </c>
      <c r="FC200" t="s">
        <v>37</v>
      </c>
      <c r="FD200">
        <v>5017</v>
      </c>
      <c r="FE200" t="s">
        <v>37</v>
      </c>
      <c r="FG200" t="s">
        <v>37</v>
      </c>
      <c r="FH200">
        <v>10659</v>
      </c>
      <c r="FI200" t="s">
        <v>37</v>
      </c>
      <c r="FJ200">
        <v>15800</v>
      </c>
      <c r="FK200" t="s">
        <v>37</v>
      </c>
      <c r="FL200">
        <v>8298</v>
      </c>
      <c r="FM200" t="s">
        <v>37</v>
      </c>
      <c r="FN200">
        <v>2447</v>
      </c>
      <c r="FO200" t="s">
        <v>37</v>
      </c>
      <c r="FP200">
        <v>2402</v>
      </c>
      <c r="FQ200" t="s">
        <v>37</v>
      </c>
      <c r="FR200">
        <v>4303</v>
      </c>
      <c r="FS200" t="s">
        <v>37</v>
      </c>
      <c r="FT200">
        <v>1902</v>
      </c>
      <c r="FU200" t="s">
        <v>37</v>
      </c>
      <c r="FV200">
        <v>1650</v>
      </c>
      <c r="FW200" t="s">
        <v>37</v>
      </c>
      <c r="FX200">
        <v>2831</v>
      </c>
      <c r="FY200" t="s">
        <v>37</v>
      </c>
      <c r="FZ200">
        <v>4248</v>
      </c>
      <c r="GA200" t="s">
        <v>37</v>
      </c>
      <c r="GB200">
        <v>5530</v>
      </c>
      <c r="GC200" t="s">
        <v>37</v>
      </c>
      <c r="GE200" t="s">
        <v>37</v>
      </c>
      <c r="GG200" t="s">
        <v>37</v>
      </c>
      <c r="GI200" t="s">
        <v>37</v>
      </c>
      <c r="GJ200">
        <v>8828</v>
      </c>
      <c r="GK200" t="s">
        <v>37</v>
      </c>
      <c r="GM200" t="s">
        <v>37</v>
      </c>
      <c r="GO200" t="s">
        <v>37</v>
      </c>
      <c r="GP200">
        <v>3344</v>
      </c>
      <c r="GQ200" t="s">
        <v>37</v>
      </c>
      <c r="GR200">
        <v>6793</v>
      </c>
      <c r="GS200" t="s">
        <v>37</v>
      </c>
      <c r="GT200">
        <v>4519</v>
      </c>
      <c r="GU200" t="s">
        <v>37</v>
      </c>
      <c r="GV200">
        <v>3436</v>
      </c>
      <c r="GW200" t="s">
        <v>37</v>
      </c>
      <c r="GX200">
        <v>8135</v>
      </c>
      <c r="GY200" t="s">
        <v>37</v>
      </c>
      <c r="GZ200">
        <v>3200</v>
      </c>
      <c r="HA200" t="s">
        <v>37</v>
      </c>
      <c r="HC200" t="s">
        <v>37</v>
      </c>
      <c r="HE200" t="s">
        <v>37</v>
      </c>
      <c r="HF200">
        <v>424854</v>
      </c>
      <c r="HG200" t="s">
        <v>37</v>
      </c>
      <c r="HI200" t="s">
        <v>37</v>
      </c>
      <c r="HJ200">
        <v>424854</v>
      </c>
      <c r="HK200" t="s">
        <v>37</v>
      </c>
    </row>
    <row r="201" spans="1:219">
      <c r="A201">
        <v>3599</v>
      </c>
      <c r="B201" t="s">
        <v>219</v>
      </c>
      <c r="C201" t="s">
        <v>37</v>
      </c>
      <c r="E201" t="s">
        <v>37</v>
      </c>
      <c r="G201" t="s">
        <v>37</v>
      </c>
      <c r="H201">
        <v>13250</v>
      </c>
      <c r="I201" t="s">
        <v>37</v>
      </c>
      <c r="K201" s="48" t="s">
        <v>37</v>
      </c>
      <c r="L201" s="50"/>
      <c r="M201" s="48" t="s">
        <v>37</v>
      </c>
      <c r="N201" s="51">
        <v>4500</v>
      </c>
      <c r="O201" s="48" t="s">
        <v>37</v>
      </c>
      <c r="P201" s="50"/>
      <c r="Q201" s="48" t="s">
        <v>37</v>
      </c>
      <c r="R201" s="50"/>
      <c r="S201" s="48" t="s">
        <v>37</v>
      </c>
      <c r="U201" t="s">
        <v>37</v>
      </c>
      <c r="W201" t="s">
        <v>37</v>
      </c>
      <c r="Y201" t="s">
        <v>37</v>
      </c>
      <c r="AA201" t="s">
        <v>37</v>
      </c>
      <c r="AB201">
        <v>1169</v>
      </c>
      <c r="AC201" t="s">
        <v>37</v>
      </c>
      <c r="AE201" t="s">
        <v>37</v>
      </c>
      <c r="AG201" t="s">
        <v>37</v>
      </c>
      <c r="AH201">
        <v>4475</v>
      </c>
      <c r="AI201" t="s">
        <v>37</v>
      </c>
      <c r="AK201" t="s">
        <v>37</v>
      </c>
      <c r="AL201">
        <v>191528</v>
      </c>
      <c r="AM201" t="s">
        <v>37</v>
      </c>
      <c r="AO201" t="s">
        <v>37</v>
      </c>
      <c r="AP201">
        <v>1000</v>
      </c>
      <c r="AQ201" t="s">
        <v>37</v>
      </c>
      <c r="AS201" t="s">
        <v>37</v>
      </c>
      <c r="AT201">
        <v>1555</v>
      </c>
      <c r="AU201" t="s">
        <v>37</v>
      </c>
      <c r="AV201">
        <v>2700</v>
      </c>
      <c r="AW201" t="s">
        <v>37</v>
      </c>
      <c r="AX201">
        <v>4500</v>
      </c>
      <c r="AY201" t="s">
        <v>37</v>
      </c>
      <c r="AZ201">
        <v>150</v>
      </c>
      <c r="BA201" t="s">
        <v>37</v>
      </c>
      <c r="BC201" t="s">
        <v>37</v>
      </c>
      <c r="BE201" t="s">
        <v>37</v>
      </c>
      <c r="BF201">
        <v>982</v>
      </c>
      <c r="BG201" t="s">
        <v>37</v>
      </c>
      <c r="BI201" t="s">
        <v>37</v>
      </c>
      <c r="BJ201">
        <v>13542</v>
      </c>
      <c r="BK201" t="s">
        <v>37</v>
      </c>
      <c r="BM201" t="s">
        <v>37</v>
      </c>
      <c r="BO201" t="s">
        <v>37</v>
      </c>
      <c r="BQ201" t="s">
        <v>37</v>
      </c>
      <c r="BR201">
        <v>1745</v>
      </c>
      <c r="BS201" t="s">
        <v>37</v>
      </c>
      <c r="BU201" t="s">
        <v>37</v>
      </c>
      <c r="BW201" t="s">
        <v>37</v>
      </c>
      <c r="BX201">
        <v>14948</v>
      </c>
      <c r="BY201" t="s">
        <v>37</v>
      </c>
      <c r="BZ201">
        <v>862</v>
      </c>
      <c r="CA201" t="s">
        <v>37</v>
      </c>
      <c r="CC201" t="s">
        <v>37</v>
      </c>
      <c r="CD201">
        <v>10000</v>
      </c>
      <c r="CE201" t="s">
        <v>37</v>
      </c>
      <c r="CG201" t="s">
        <v>37</v>
      </c>
      <c r="CH201">
        <v>24646</v>
      </c>
      <c r="CI201" t="s">
        <v>37</v>
      </c>
      <c r="CJ201">
        <v>1000</v>
      </c>
      <c r="CK201" t="s">
        <v>37</v>
      </c>
      <c r="CM201" t="s">
        <v>37</v>
      </c>
      <c r="CO201" t="s">
        <v>37</v>
      </c>
      <c r="CQ201" t="s">
        <v>37</v>
      </c>
      <c r="CS201" t="s">
        <v>37</v>
      </c>
      <c r="CT201">
        <v>14000</v>
      </c>
      <c r="CU201" t="s">
        <v>37</v>
      </c>
      <c r="CV201">
        <v>58</v>
      </c>
      <c r="CW201" t="s">
        <v>37</v>
      </c>
      <c r="CY201" t="s">
        <v>37</v>
      </c>
      <c r="DA201" t="s">
        <v>37</v>
      </c>
      <c r="DC201" t="s">
        <v>37</v>
      </c>
      <c r="DE201" t="s">
        <v>37</v>
      </c>
      <c r="DF201">
        <v>2455</v>
      </c>
      <c r="DG201" t="s">
        <v>37</v>
      </c>
      <c r="DH201">
        <v>14000</v>
      </c>
      <c r="DI201" t="s">
        <v>37</v>
      </c>
      <c r="DK201" t="s">
        <v>37</v>
      </c>
      <c r="DL201">
        <v>4500</v>
      </c>
      <c r="DM201" t="s">
        <v>37</v>
      </c>
      <c r="DO201" t="s">
        <v>37</v>
      </c>
      <c r="DQ201" t="s">
        <v>37</v>
      </c>
      <c r="DR201">
        <v>33019</v>
      </c>
      <c r="DS201" t="s">
        <v>37</v>
      </c>
      <c r="DT201">
        <v>3551</v>
      </c>
      <c r="DU201" t="s">
        <v>37</v>
      </c>
      <c r="DV201">
        <v>9500</v>
      </c>
      <c r="DW201" t="s">
        <v>37</v>
      </c>
      <c r="DY201" t="s">
        <v>37</v>
      </c>
      <c r="DZ201">
        <v>130</v>
      </c>
      <c r="EA201" t="s">
        <v>37</v>
      </c>
      <c r="EC201" t="s">
        <v>37</v>
      </c>
      <c r="ED201">
        <v>12034</v>
      </c>
      <c r="EE201" t="s">
        <v>37</v>
      </c>
      <c r="EG201" t="s">
        <v>37</v>
      </c>
      <c r="EI201" t="s">
        <v>37</v>
      </c>
      <c r="EK201" t="s">
        <v>37</v>
      </c>
      <c r="EM201" t="s">
        <v>37</v>
      </c>
      <c r="EO201" t="s">
        <v>37</v>
      </c>
      <c r="EQ201" t="s">
        <v>37</v>
      </c>
      <c r="ER201">
        <v>12988</v>
      </c>
      <c r="ES201" t="s">
        <v>37</v>
      </c>
      <c r="EU201" t="s">
        <v>37</v>
      </c>
      <c r="EV201">
        <v>9150</v>
      </c>
      <c r="EW201" t="s">
        <v>37</v>
      </c>
      <c r="EY201" t="s">
        <v>37</v>
      </c>
      <c r="FA201" t="s">
        <v>37</v>
      </c>
      <c r="FB201">
        <v>16000</v>
      </c>
      <c r="FC201" t="s">
        <v>37</v>
      </c>
      <c r="FE201" t="s">
        <v>37</v>
      </c>
      <c r="FG201" t="s">
        <v>37</v>
      </c>
      <c r="FH201">
        <v>475</v>
      </c>
      <c r="FI201" t="s">
        <v>37</v>
      </c>
      <c r="FJ201">
        <v>150</v>
      </c>
      <c r="FK201" t="s">
        <v>37</v>
      </c>
      <c r="FL201">
        <v>2983</v>
      </c>
      <c r="FM201" t="s">
        <v>37</v>
      </c>
      <c r="FO201" t="s">
        <v>37</v>
      </c>
      <c r="FQ201" t="s">
        <v>37</v>
      </c>
      <c r="FR201">
        <v>1200</v>
      </c>
      <c r="FS201" t="s">
        <v>37</v>
      </c>
      <c r="FU201" t="s">
        <v>37</v>
      </c>
      <c r="FW201" t="s">
        <v>37</v>
      </c>
      <c r="FX201">
        <v>9000</v>
      </c>
      <c r="FY201" t="s">
        <v>37</v>
      </c>
      <c r="FZ201">
        <v>4500</v>
      </c>
      <c r="GA201" t="s">
        <v>37</v>
      </c>
      <c r="GB201">
        <v>8126</v>
      </c>
      <c r="GC201" t="s">
        <v>37</v>
      </c>
      <c r="GE201" t="s">
        <v>37</v>
      </c>
      <c r="GG201" t="s">
        <v>37</v>
      </c>
      <c r="GI201" t="s">
        <v>37</v>
      </c>
      <c r="GJ201">
        <v>585</v>
      </c>
      <c r="GK201" t="s">
        <v>37</v>
      </c>
      <c r="GM201" t="s">
        <v>37</v>
      </c>
      <c r="GO201" t="s">
        <v>37</v>
      </c>
      <c r="GQ201" t="s">
        <v>37</v>
      </c>
      <c r="GR201">
        <v>2488</v>
      </c>
      <c r="GS201" t="s">
        <v>37</v>
      </c>
      <c r="GU201" t="s">
        <v>37</v>
      </c>
      <c r="GV201">
        <v>3500</v>
      </c>
      <c r="GW201" t="s">
        <v>37</v>
      </c>
      <c r="GX201">
        <v>47500</v>
      </c>
      <c r="GY201" t="s">
        <v>37</v>
      </c>
      <c r="HA201" t="s">
        <v>37</v>
      </c>
      <c r="HC201" t="s">
        <v>37</v>
      </c>
      <c r="HE201" t="s">
        <v>37</v>
      </c>
      <c r="HF201">
        <v>504444</v>
      </c>
      <c r="HG201" t="s">
        <v>37</v>
      </c>
      <c r="HI201" t="s">
        <v>37</v>
      </c>
      <c r="HJ201">
        <v>504444</v>
      </c>
      <c r="HK201" t="s">
        <v>37</v>
      </c>
    </row>
    <row r="202" spans="1:219">
      <c r="A202">
        <v>3600</v>
      </c>
      <c r="B202" t="s">
        <v>220</v>
      </c>
      <c r="C202" t="s">
        <v>37</v>
      </c>
      <c r="E202" t="s">
        <v>37</v>
      </c>
      <c r="G202" t="s">
        <v>37</v>
      </c>
      <c r="I202" t="s">
        <v>37</v>
      </c>
      <c r="K202" s="48" t="s">
        <v>37</v>
      </c>
      <c r="L202" s="50"/>
      <c r="M202" s="48" t="s">
        <v>37</v>
      </c>
      <c r="N202" s="50"/>
      <c r="O202" s="48" t="s">
        <v>37</v>
      </c>
      <c r="P202" s="50"/>
      <c r="Q202" s="48" t="s">
        <v>37</v>
      </c>
      <c r="R202" s="50"/>
      <c r="S202" s="48" t="s">
        <v>37</v>
      </c>
      <c r="U202" t="s">
        <v>37</v>
      </c>
      <c r="W202" t="s">
        <v>37</v>
      </c>
      <c r="Y202" t="s">
        <v>37</v>
      </c>
      <c r="AA202" t="s">
        <v>37</v>
      </c>
      <c r="AC202" t="s">
        <v>37</v>
      </c>
      <c r="AE202" t="s">
        <v>37</v>
      </c>
      <c r="AG202" t="s">
        <v>37</v>
      </c>
      <c r="AI202" t="s">
        <v>37</v>
      </c>
      <c r="AK202" t="s">
        <v>37</v>
      </c>
      <c r="AM202" t="s">
        <v>37</v>
      </c>
      <c r="AO202" t="s">
        <v>37</v>
      </c>
      <c r="AQ202" t="s">
        <v>37</v>
      </c>
      <c r="AS202" t="s">
        <v>37</v>
      </c>
      <c r="AU202" t="s">
        <v>37</v>
      </c>
      <c r="AW202" t="s">
        <v>37</v>
      </c>
      <c r="AY202" t="s">
        <v>37</v>
      </c>
      <c r="BA202" t="s">
        <v>37</v>
      </c>
      <c r="BC202" t="s">
        <v>37</v>
      </c>
      <c r="BE202" t="s">
        <v>37</v>
      </c>
      <c r="BG202" t="s">
        <v>37</v>
      </c>
      <c r="BI202" t="s">
        <v>37</v>
      </c>
      <c r="BK202" t="s">
        <v>37</v>
      </c>
      <c r="BM202" t="s">
        <v>37</v>
      </c>
      <c r="BO202" t="s">
        <v>37</v>
      </c>
      <c r="BQ202" t="s">
        <v>37</v>
      </c>
      <c r="BS202" t="s">
        <v>37</v>
      </c>
      <c r="BU202" t="s">
        <v>37</v>
      </c>
      <c r="BW202" t="s">
        <v>37</v>
      </c>
      <c r="BY202" t="s">
        <v>37</v>
      </c>
      <c r="CA202" t="s">
        <v>37</v>
      </c>
      <c r="CC202" t="s">
        <v>37</v>
      </c>
      <c r="CE202" t="s">
        <v>37</v>
      </c>
      <c r="CG202" t="s">
        <v>37</v>
      </c>
      <c r="CI202" t="s">
        <v>37</v>
      </c>
      <c r="CK202" t="s">
        <v>37</v>
      </c>
      <c r="CM202" t="s">
        <v>37</v>
      </c>
      <c r="CO202" t="s">
        <v>37</v>
      </c>
      <c r="CQ202" t="s">
        <v>37</v>
      </c>
      <c r="CS202" t="s">
        <v>37</v>
      </c>
      <c r="CU202" t="s">
        <v>37</v>
      </c>
      <c r="CW202" t="s">
        <v>37</v>
      </c>
      <c r="CY202" t="s">
        <v>37</v>
      </c>
      <c r="DA202" t="s">
        <v>37</v>
      </c>
      <c r="DC202" t="s">
        <v>37</v>
      </c>
      <c r="DE202" t="s">
        <v>37</v>
      </c>
      <c r="DG202" t="s">
        <v>37</v>
      </c>
      <c r="DI202" t="s">
        <v>37</v>
      </c>
      <c r="DK202" t="s">
        <v>37</v>
      </c>
      <c r="DM202" t="s">
        <v>37</v>
      </c>
      <c r="DO202" t="s">
        <v>37</v>
      </c>
      <c r="DQ202" t="s">
        <v>37</v>
      </c>
      <c r="DS202" t="s">
        <v>37</v>
      </c>
      <c r="DU202" t="s">
        <v>37</v>
      </c>
      <c r="DW202" t="s">
        <v>37</v>
      </c>
      <c r="DY202" t="s">
        <v>37</v>
      </c>
      <c r="EA202" t="s">
        <v>37</v>
      </c>
      <c r="EC202" t="s">
        <v>37</v>
      </c>
      <c r="EE202" t="s">
        <v>37</v>
      </c>
      <c r="EG202" t="s">
        <v>37</v>
      </c>
      <c r="EI202" t="s">
        <v>37</v>
      </c>
      <c r="EK202" t="s">
        <v>37</v>
      </c>
      <c r="EM202" t="s">
        <v>37</v>
      </c>
      <c r="EO202" t="s">
        <v>37</v>
      </c>
      <c r="EQ202" t="s">
        <v>37</v>
      </c>
      <c r="ES202" t="s">
        <v>37</v>
      </c>
      <c r="EU202" t="s">
        <v>37</v>
      </c>
      <c r="EW202" t="s">
        <v>37</v>
      </c>
      <c r="EY202" t="s">
        <v>37</v>
      </c>
      <c r="FA202" t="s">
        <v>37</v>
      </c>
      <c r="FC202" t="s">
        <v>37</v>
      </c>
      <c r="FE202" t="s">
        <v>37</v>
      </c>
      <c r="FG202" t="s">
        <v>37</v>
      </c>
      <c r="FI202" t="s">
        <v>37</v>
      </c>
      <c r="FK202" t="s">
        <v>37</v>
      </c>
      <c r="FM202" t="s">
        <v>37</v>
      </c>
      <c r="FO202" t="s">
        <v>37</v>
      </c>
      <c r="FQ202" t="s">
        <v>37</v>
      </c>
      <c r="FS202" t="s">
        <v>37</v>
      </c>
      <c r="FU202" t="s">
        <v>37</v>
      </c>
      <c r="FW202" t="s">
        <v>37</v>
      </c>
      <c r="FY202" t="s">
        <v>37</v>
      </c>
      <c r="GA202" t="s">
        <v>37</v>
      </c>
      <c r="GC202" t="s">
        <v>37</v>
      </c>
      <c r="GE202" t="s">
        <v>37</v>
      </c>
      <c r="GG202" t="s">
        <v>37</v>
      </c>
      <c r="GI202" t="s">
        <v>37</v>
      </c>
      <c r="GK202" t="s">
        <v>37</v>
      </c>
      <c r="GM202" t="s">
        <v>37</v>
      </c>
      <c r="GO202" t="s">
        <v>37</v>
      </c>
      <c r="GQ202" t="s">
        <v>37</v>
      </c>
      <c r="GS202" t="s">
        <v>37</v>
      </c>
      <c r="GU202" t="s">
        <v>37</v>
      </c>
      <c r="GW202" t="s">
        <v>37</v>
      </c>
      <c r="GY202" t="s">
        <v>37</v>
      </c>
      <c r="HA202" t="s">
        <v>37</v>
      </c>
      <c r="HC202" t="s">
        <v>37</v>
      </c>
      <c r="HE202" t="s">
        <v>37</v>
      </c>
      <c r="HG202" t="s">
        <v>37</v>
      </c>
      <c r="HI202" t="s">
        <v>37</v>
      </c>
      <c r="HK202" t="s">
        <v>37</v>
      </c>
    </row>
    <row r="203" spans="1:219">
      <c r="A203">
        <v>3603</v>
      </c>
      <c r="B203" t="s">
        <v>221</v>
      </c>
      <c r="C203" t="s">
        <v>37</v>
      </c>
      <c r="E203" t="s">
        <v>37</v>
      </c>
      <c r="F203">
        <v>18081</v>
      </c>
      <c r="G203" t="s">
        <v>37</v>
      </c>
      <c r="I203" t="s">
        <v>37</v>
      </c>
      <c r="K203" s="48" t="s">
        <v>37</v>
      </c>
      <c r="L203" s="50"/>
      <c r="M203" s="48" t="s">
        <v>37</v>
      </c>
      <c r="N203" s="50"/>
      <c r="O203" s="48" t="s">
        <v>37</v>
      </c>
      <c r="P203" s="50"/>
      <c r="Q203" s="48" t="s">
        <v>37</v>
      </c>
      <c r="R203" s="50"/>
      <c r="S203" s="48" t="s">
        <v>37</v>
      </c>
      <c r="U203" t="s">
        <v>37</v>
      </c>
      <c r="W203" t="s">
        <v>37</v>
      </c>
      <c r="Y203" t="s">
        <v>37</v>
      </c>
      <c r="AA203" t="s">
        <v>37</v>
      </c>
      <c r="AC203" t="s">
        <v>37</v>
      </c>
      <c r="AE203" t="s">
        <v>37</v>
      </c>
      <c r="AG203" t="s">
        <v>37</v>
      </c>
      <c r="AI203" t="s">
        <v>37</v>
      </c>
      <c r="AK203" t="s">
        <v>37</v>
      </c>
      <c r="AM203" t="s">
        <v>37</v>
      </c>
      <c r="AO203" t="s">
        <v>37</v>
      </c>
      <c r="AQ203" t="s">
        <v>37</v>
      </c>
      <c r="AS203" t="s">
        <v>37</v>
      </c>
      <c r="AU203" t="s">
        <v>37</v>
      </c>
      <c r="AW203" t="s">
        <v>37</v>
      </c>
      <c r="AY203" t="s">
        <v>37</v>
      </c>
      <c r="BA203" t="s">
        <v>37</v>
      </c>
      <c r="BB203">
        <v>5000</v>
      </c>
      <c r="BC203" t="s">
        <v>37</v>
      </c>
      <c r="BE203" t="s">
        <v>37</v>
      </c>
      <c r="BG203" t="s">
        <v>37</v>
      </c>
      <c r="BI203" t="s">
        <v>37</v>
      </c>
      <c r="BK203" t="s">
        <v>37</v>
      </c>
      <c r="BL203">
        <v>9703</v>
      </c>
      <c r="BM203" t="s">
        <v>37</v>
      </c>
      <c r="BO203" t="s">
        <v>37</v>
      </c>
      <c r="BQ203" t="s">
        <v>37</v>
      </c>
      <c r="BS203" t="s">
        <v>37</v>
      </c>
      <c r="BU203" t="s">
        <v>37</v>
      </c>
      <c r="BW203" t="s">
        <v>37</v>
      </c>
      <c r="BY203" t="s">
        <v>37</v>
      </c>
      <c r="CA203" t="s">
        <v>37</v>
      </c>
      <c r="CC203" t="s">
        <v>37</v>
      </c>
      <c r="CE203" t="s">
        <v>37</v>
      </c>
      <c r="CF203">
        <v>52745</v>
      </c>
      <c r="CG203" t="s">
        <v>37</v>
      </c>
      <c r="CH203">
        <v>15315</v>
      </c>
      <c r="CI203" t="s">
        <v>37</v>
      </c>
      <c r="CK203" t="s">
        <v>37</v>
      </c>
      <c r="CM203" t="s">
        <v>37</v>
      </c>
      <c r="CO203" t="s">
        <v>37</v>
      </c>
      <c r="CQ203" t="s">
        <v>37</v>
      </c>
      <c r="CS203" t="s">
        <v>37</v>
      </c>
      <c r="CU203" t="s">
        <v>37</v>
      </c>
      <c r="CW203" t="s">
        <v>37</v>
      </c>
      <c r="CY203" t="s">
        <v>37</v>
      </c>
      <c r="DA203" t="s">
        <v>37</v>
      </c>
      <c r="DC203" t="s">
        <v>37</v>
      </c>
      <c r="DE203" t="s">
        <v>37</v>
      </c>
      <c r="DG203" t="s">
        <v>37</v>
      </c>
      <c r="DI203" t="s">
        <v>37</v>
      </c>
      <c r="DJ203">
        <v>138271</v>
      </c>
      <c r="DK203" t="s">
        <v>37</v>
      </c>
      <c r="DM203" t="s">
        <v>37</v>
      </c>
      <c r="DO203" t="s">
        <v>37</v>
      </c>
      <c r="DQ203" t="s">
        <v>37</v>
      </c>
      <c r="DS203" t="s">
        <v>37</v>
      </c>
      <c r="DU203" t="s">
        <v>37</v>
      </c>
      <c r="DW203" t="s">
        <v>37</v>
      </c>
      <c r="DY203" t="s">
        <v>37</v>
      </c>
      <c r="EA203" t="s">
        <v>37</v>
      </c>
      <c r="EC203" t="s">
        <v>37</v>
      </c>
      <c r="EE203" t="s">
        <v>37</v>
      </c>
      <c r="EG203" t="s">
        <v>37</v>
      </c>
      <c r="EI203" t="s">
        <v>37</v>
      </c>
      <c r="EK203" t="s">
        <v>37</v>
      </c>
      <c r="EM203" t="s">
        <v>37</v>
      </c>
      <c r="EO203" t="s">
        <v>37</v>
      </c>
      <c r="EQ203" t="s">
        <v>37</v>
      </c>
      <c r="ES203" t="s">
        <v>37</v>
      </c>
      <c r="EU203" t="s">
        <v>37</v>
      </c>
      <c r="EW203" t="s">
        <v>37</v>
      </c>
      <c r="EY203" t="s">
        <v>37</v>
      </c>
      <c r="FA203" t="s">
        <v>37</v>
      </c>
      <c r="FC203" t="s">
        <v>37</v>
      </c>
      <c r="FE203" t="s">
        <v>37</v>
      </c>
      <c r="FG203" t="s">
        <v>37</v>
      </c>
      <c r="FI203" t="s">
        <v>37</v>
      </c>
      <c r="FK203" t="s">
        <v>37</v>
      </c>
      <c r="FM203" t="s">
        <v>37</v>
      </c>
      <c r="FO203" t="s">
        <v>37</v>
      </c>
      <c r="FQ203" t="s">
        <v>37</v>
      </c>
      <c r="FS203" t="s">
        <v>37</v>
      </c>
      <c r="FU203" t="s">
        <v>37</v>
      </c>
      <c r="FW203" t="s">
        <v>37</v>
      </c>
      <c r="FY203" t="s">
        <v>37</v>
      </c>
      <c r="GA203" t="s">
        <v>37</v>
      </c>
      <c r="GB203">
        <v>6418</v>
      </c>
      <c r="GC203" t="s">
        <v>37</v>
      </c>
      <c r="GE203" t="s">
        <v>37</v>
      </c>
      <c r="GG203" t="s">
        <v>37</v>
      </c>
      <c r="GI203" t="s">
        <v>37</v>
      </c>
      <c r="GK203" t="s">
        <v>37</v>
      </c>
      <c r="GM203" t="s">
        <v>37</v>
      </c>
      <c r="GO203" t="s">
        <v>37</v>
      </c>
      <c r="GQ203" t="s">
        <v>37</v>
      </c>
      <c r="GS203" t="s">
        <v>37</v>
      </c>
      <c r="GU203" t="s">
        <v>37</v>
      </c>
      <c r="GW203" t="s">
        <v>37</v>
      </c>
      <c r="GY203" t="s">
        <v>37</v>
      </c>
      <c r="HA203" t="s">
        <v>37</v>
      </c>
      <c r="HC203" t="s">
        <v>37</v>
      </c>
      <c r="HE203" t="s">
        <v>37</v>
      </c>
      <c r="HF203">
        <v>245533</v>
      </c>
      <c r="HG203" t="s">
        <v>37</v>
      </c>
      <c r="HI203" t="s">
        <v>37</v>
      </c>
      <c r="HJ203">
        <v>245533</v>
      </c>
      <c r="HK203" t="s">
        <v>37</v>
      </c>
    </row>
    <row r="204" spans="1:219">
      <c r="A204">
        <v>3604</v>
      </c>
      <c r="B204" t="s">
        <v>222</v>
      </c>
      <c r="C204" t="s">
        <v>37</v>
      </c>
      <c r="E204" t="s">
        <v>37</v>
      </c>
      <c r="G204" t="s">
        <v>37</v>
      </c>
      <c r="I204" t="s">
        <v>37</v>
      </c>
      <c r="K204" s="48" t="s">
        <v>37</v>
      </c>
      <c r="L204" s="50"/>
      <c r="M204" s="48" t="s">
        <v>37</v>
      </c>
      <c r="N204" s="50"/>
      <c r="O204" s="48" t="s">
        <v>37</v>
      </c>
      <c r="P204" s="50"/>
      <c r="Q204" s="48" t="s">
        <v>37</v>
      </c>
      <c r="R204" s="50"/>
      <c r="S204" s="48" t="s">
        <v>37</v>
      </c>
      <c r="U204" t="s">
        <v>37</v>
      </c>
      <c r="W204" t="s">
        <v>37</v>
      </c>
      <c r="Y204" t="s">
        <v>37</v>
      </c>
      <c r="AA204" t="s">
        <v>37</v>
      </c>
      <c r="AC204" t="s">
        <v>37</v>
      </c>
      <c r="AE204" t="s">
        <v>37</v>
      </c>
      <c r="AG204" t="s">
        <v>37</v>
      </c>
      <c r="AI204" t="s">
        <v>37</v>
      </c>
      <c r="AK204" t="s">
        <v>37</v>
      </c>
      <c r="AM204" t="s">
        <v>37</v>
      </c>
      <c r="AO204" t="s">
        <v>37</v>
      </c>
      <c r="AQ204" t="s">
        <v>37</v>
      </c>
      <c r="AS204" t="s">
        <v>37</v>
      </c>
      <c r="AU204" t="s">
        <v>37</v>
      </c>
      <c r="AW204" t="s">
        <v>37</v>
      </c>
      <c r="AY204" t="s">
        <v>37</v>
      </c>
      <c r="BA204" t="s">
        <v>37</v>
      </c>
      <c r="BC204" t="s">
        <v>37</v>
      </c>
      <c r="BD204">
        <v>221</v>
      </c>
      <c r="BE204" t="s">
        <v>37</v>
      </c>
      <c r="BG204" t="s">
        <v>37</v>
      </c>
      <c r="BI204" t="s">
        <v>37</v>
      </c>
      <c r="BK204" t="s">
        <v>37</v>
      </c>
      <c r="BL204">
        <v>16437</v>
      </c>
      <c r="BM204" t="s">
        <v>37</v>
      </c>
      <c r="BO204" t="s">
        <v>37</v>
      </c>
      <c r="BQ204" t="s">
        <v>37</v>
      </c>
      <c r="BR204">
        <v>799</v>
      </c>
      <c r="BS204" t="s">
        <v>37</v>
      </c>
      <c r="BU204" t="s">
        <v>37</v>
      </c>
      <c r="BW204" t="s">
        <v>37</v>
      </c>
      <c r="BY204" t="s">
        <v>37</v>
      </c>
      <c r="CA204" t="s">
        <v>37</v>
      </c>
      <c r="CC204" t="s">
        <v>37</v>
      </c>
      <c r="CE204" t="s">
        <v>37</v>
      </c>
      <c r="CF204">
        <v>47875</v>
      </c>
      <c r="CG204" t="s">
        <v>37</v>
      </c>
      <c r="CI204" t="s">
        <v>37</v>
      </c>
      <c r="CK204" t="s">
        <v>37</v>
      </c>
      <c r="CM204" t="s">
        <v>37</v>
      </c>
      <c r="CO204" t="s">
        <v>37</v>
      </c>
      <c r="CQ204" t="s">
        <v>37</v>
      </c>
      <c r="CS204" t="s">
        <v>37</v>
      </c>
      <c r="CU204" t="s">
        <v>37</v>
      </c>
      <c r="CW204" t="s">
        <v>37</v>
      </c>
      <c r="CY204" t="s">
        <v>37</v>
      </c>
      <c r="DA204" t="s">
        <v>37</v>
      </c>
      <c r="DC204" t="s">
        <v>37</v>
      </c>
      <c r="DE204" t="s">
        <v>37</v>
      </c>
      <c r="DG204" t="s">
        <v>37</v>
      </c>
      <c r="DI204" t="s">
        <v>37</v>
      </c>
      <c r="DK204" t="s">
        <v>37</v>
      </c>
      <c r="DM204" t="s">
        <v>37</v>
      </c>
      <c r="DO204" t="s">
        <v>37</v>
      </c>
      <c r="DQ204" t="s">
        <v>37</v>
      </c>
      <c r="DS204" t="s">
        <v>37</v>
      </c>
      <c r="DU204" t="s">
        <v>37</v>
      </c>
      <c r="DW204" t="s">
        <v>37</v>
      </c>
      <c r="DY204" t="s">
        <v>37</v>
      </c>
      <c r="EA204" t="s">
        <v>37</v>
      </c>
      <c r="EC204" t="s">
        <v>37</v>
      </c>
      <c r="EE204" t="s">
        <v>37</v>
      </c>
      <c r="EG204" t="s">
        <v>37</v>
      </c>
      <c r="EI204" t="s">
        <v>37</v>
      </c>
      <c r="EK204" t="s">
        <v>37</v>
      </c>
      <c r="EM204" t="s">
        <v>37</v>
      </c>
      <c r="EN204">
        <v>39815</v>
      </c>
      <c r="EO204" t="s">
        <v>37</v>
      </c>
      <c r="EQ204" t="s">
        <v>37</v>
      </c>
      <c r="ES204" t="s">
        <v>37</v>
      </c>
      <c r="EU204" t="s">
        <v>37</v>
      </c>
      <c r="EW204" t="s">
        <v>37</v>
      </c>
      <c r="EY204" t="s">
        <v>37</v>
      </c>
      <c r="FA204" t="s">
        <v>37</v>
      </c>
      <c r="FC204" t="s">
        <v>37</v>
      </c>
      <c r="FE204" t="s">
        <v>37</v>
      </c>
      <c r="FG204" t="s">
        <v>37</v>
      </c>
      <c r="FI204" t="s">
        <v>37</v>
      </c>
      <c r="FK204" t="s">
        <v>37</v>
      </c>
      <c r="FM204" t="s">
        <v>37</v>
      </c>
      <c r="FO204" t="s">
        <v>37</v>
      </c>
      <c r="FQ204" t="s">
        <v>37</v>
      </c>
      <c r="FS204" t="s">
        <v>37</v>
      </c>
      <c r="FU204" t="s">
        <v>37</v>
      </c>
      <c r="FW204" t="s">
        <v>37</v>
      </c>
      <c r="FY204" t="s">
        <v>37</v>
      </c>
      <c r="GA204" t="s">
        <v>37</v>
      </c>
      <c r="GC204" t="s">
        <v>37</v>
      </c>
      <c r="GE204" t="s">
        <v>37</v>
      </c>
      <c r="GG204" t="s">
        <v>37</v>
      </c>
      <c r="GI204" t="s">
        <v>37</v>
      </c>
      <c r="GK204" t="s">
        <v>37</v>
      </c>
      <c r="GL204">
        <v>15778</v>
      </c>
      <c r="GM204" t="s">
        <v>37</v>
      </c>
      <c r="GO204" t="s">
        <v>37</v>
      </c>
      <c r="GQ204" t="s">
        <v>37</v>
      </c>
      <c r="GS204" t="s">
        <v>37</v>
      </c>
      <c r="GU204" t="s">
        <v>37</v>
      </c>
      <c r="GW204" t="s">
        <v>37</v>
      </c>
      <c r="GY204" t="s">
        <v>37</v>
      </c>
      <c r="HA204" t="s">
        <v>37</v>
      </c>
      <c r="HC204" t="s">
        <v>37</v>
      </c>
      <c r="HE204" t="s">
        <v>37</v>
      </c>
      <c r="HF204">
        <v>120925</v>
      </c>
      <c r="HG204" t="s">
        <v>37</v>
      </c>
      <c r="HI204" t="s">
        <v>37</v>
      </c>
      <c r="HJ204">
        <v>120925</v>
      </c>
      <c r="HK204" t="s">
        <v>37</v>
      </c>
    </row>
    <row r="205" spans="1:219">
      <c r="A205">
        <v>3605</v>
      </c>
      <c r="B205" t="s">
        <v>223</v>
      </c>
      <c r="C205" t="s">
        <v>37</v>
      </c>
      <c r="E205" t="s">
        <v>37</v>
      </c>
      <c r="G205" t="s">
        <v>37</v>
      </c>
      <c r="I205" t="s">
        <v>37</v>
      </c>
      <c r="K205" s="48" t="s">
        <v>37</v>
      </c>
      <c r="L205" s="50"/>
      <c r="M205" s="48" t="s">
        <v>37</v>
      </c>
      <c r="N205" s="50"/>
      <c r="O205" s="48" t="s">
        <v>37</v>
      </c>
      <c r="P205" s="50"/>
      <c r="Q205" s="48" t="s">
        <v>37</v>
      </c>
      <c r="R205" s="50"/>
      <c r="S205" s="48" t="s">
        <v>37</v>
      </c>
      <c r="U205" t="s">
        <v>37</v>
      </c>
      <c r="W205" t="s">
        <v>37</v>
      </c>
      <c r="Y205" t="s">
        <v>37</v>
      </c>
      <c r="AA205" t="s">
        <v>37</v>
      </c>
      <c r="AC205" t="s">
        <v>37</v>
      </c>
      <c r="AE205" t="s">
        <v>37</v>
      </c>
      <c r="AG205" t="s">
        <v>37</v>
      </c>
      <c r="AI205" t="s">
        <v>37</v>
      </c>
      <c r="AK205" t="s">
        <v>37</v>
      </c>
      <c r="AM205" t="s">
        <v>37</v>
      </c>
      <c r="AO205" t="s">
        <v>37</v>
      </c>
      <c r="AQ205" t="s">
        <v>37</v>
      </c>
      <c r="AS205" t="s">
        <v>37</v>
      </c>
      <c r="AU205" t="s">
        <v>37</v>
      </c>
      <c r="AW205" t="s">
        <v>37</v>
      </c>
      <c r="AY205" t="s">
        <v>37</v>
      </c>
      <c r="BA205" t="s">
        <v>37</v>
      </c>
      <c r="BB205">
        <v>234</v>
      </c>
      <c r="BC205" t="s">
        <v>37</v>
      </c>
      <c r="BE205" t="s">
        <v>37</v>
      </c>
      <c r="BG205" t="s">
        <v>37</v>
      </c>
      <c r="BI205" t="s">
        <v>37</v>
      </c>
      <c r="BK205" t="s">
        <v>37</v>
      </c>
      <c r="BM205" t="s">
        <v>37</v>
      </c>
      <c r="BO205" t="s">
        <v>37</v>
      </c>
      <c r="BQ205" t="s">
        <v>37</v>
      </c>
      <c r="BS205" t="s">
        <v>37</v>
      </c>
      <c r="BU205" t="s">
        <v>37</v>
      </c>
      <c r="BW205" t="s">
        <v>37</v>
      </c>
      <c r="BY205" t="s">
        <v>37</v>
      </c>
      <c r="CA205" t="s">
        <v>37</v>
      </c>
      <c r="CB205">
        <v>16469</v>
      </c>
      <c r="CC205" t="s">
        <v>37</v>
      </c>
      <c r="CE205" t="s">
        <v>37</v>
      </c>
      <c r="CF205">
        <v>284</v>
      </c>
      <c r="CG205" t="s">
        <v>37</v>
      </c>
      <c r="CH205">
        <v>751</v>
      </c>
      <c r="CI205" t="s">
        <v>37</v>
      </c>
      <c r="CK205" t="s">
        <v>37</v>
      </c>
      <c r="CM205" t="s">
        <v>37</v>
      </c>
      <c r="CO205" t="s">
        <v>37</v>
      </c>
      <c r="CQ205" t="s">
        <v>37</v>
      </c>
      <c r="CS205" t="s">
        <v>37</v>
      </c>
      <c r="CU205" t="s">
        <v>37</v>
      </c>
      <c r="CW205" t="s">
        <v>37</v>
      </c>
      <c r="CY205" t="s">
        <v>37</v>
      </c>
      <c r="DA205" t="s">
        <v>37</v>
      </c>
      <c r="DC205" t="s">
        <v>37</v>
      </c>
      <c r="DE205" t="s">
        <v>37</v>
      </c>
      <c r="DG205" t="s">
        <v>37</v>
      </c>
      <c r="DI205" t="s">
        <v>37</v>
      </c>
      <c r="DK205" t="s">
        <v>37</v>
      </c>
      <c r="DM205" t="s">
        <v>37</v>
      </c>
      <c r="DO205" t="s">
        <v>37</v>
      </c>
      <c r="DQ205" t="s">
        <v>37</v>
      </c>
      <c r="DS205" t="s">
        <v>37</v>
      </c>
      <c r="DU205" t="s">
        <v>37</v>
      </c>
      <c r="DW205" t="s">
        <v>37</v>
      </c>
      <c r="DY205" t="s">
        <v>37</v>
      </c>
      <c r="EA205" t="s">
        <v>37</v>
      </c>
      <c r="EC205" t="s">
        <v>37</v>
      </c>
      <c r="EE205" t="s">
        <v>37</v>
      </c>
      <c r="EG205" t="s">
        <v>37</v>
      </c>
      <c r="EI205" t="s">
        <v>37</v>
      </c>
      <c r="EK205" t="s">
        <v>37</v>
      </c>
      <c r="EM205" t="s">
        <v>37</v>
      </c>
      <c r="EO205" t="s">
        <v>37</v>
      </c>
      <c r="EQ205" t="s">
        <v>37</v>
      </c>
      <c r="ES205" t="s">
        <v>37</v>
      </c>
      <c r="EU205" t="s">
        <v>37</v>
      </c>
      <c r="EW205" t="s">
        <v>37</v>
      </c>
      <c r="EY205" t="s">
        <v>37</v>
      </c>
      <c r="FA205" t="s">
        <v>37</v>
      </c>
      <c r="FC205" t="s">
        <v>37</v>
      </c>
      <c r="FE205" t="s">
        <v>37</v>
      </c>
      <c r="FG205" t="s">
        <v>37</v>
      </c>
      <c r="FI205" t="s">
        <v>37</v>
      </c>
      <c r="FK205" t="s">
        <v>37</v>
      </c>
      <c r="FM205" t="s">
        <v>37</v>
      </c>
      <c r="FO205" t="s">
        <v>37</v>
      </c>
      <c r="FQ205" t="s">
        <v>37</v>
      </c>
      <c r="FS205" t="s">
        <v>37</v>
      </c>
      <c r="FU205" t="s">
        <v>37</v>
      </c>
      <c r="FW205" t="s">
        <v>37</v>
      </c>
      <c r="FY205" t="s">
        <v>37</v>
      </c>
      <c r="GA205" t="s">
        <v>37</v>
      </c>
      <c r="GB205">
        <v>4298</v>
      </c>
      <c r="GC205" t="s">
        <v>37</v>
      </c>
      <c r="GE205" t="s">
        <v>37</v>
      </c>
      <c r="GG205" t="s">
        <v>37</v>
      </c>
      <c r="GI205" t="s">
        <v>37</v>
      </c>
      <c r="GK205" t="s">
        <v>37</v>
      </c>
      <c r="GM205" t="s">
        <v>37</v>
      </c>
      <c r="GO205" t="s">
        <v>37</v>
      </c>
      <c r="GQ205" t="s">
        <v>37</v>
      </c>
      <c r="GS205" t="s">
        <v>37</v>
      </c>
      <c r="GU205" t="s">
        <v>37</v>
      </c>
      <c r="GV205">
        <v>1438</v>
      </c>
      <c r="GW205" t="s">
        <v>37</v>
      </c>
      <c r="GY205" t="s">
        <v>37</v>
      </c>
      <c r="HA205" t="s">
        <v>37</v>
      </c>
      <c r="HC205" t="s">
        <v>37</v>
      </c>
      <c r="HE205" t="s">
        <v>37</v>
      </c>
      <c r="HF205">
        <v>23474</v>
      </c>
      <c r="HG205" t="s">
        <v>37</v>
      </c>
      <c r="HI205" t="s">
        <v>37</v>
      </c>
      <c r="HJ205">
        <v>23474</v>
      </c>
      <c r="HK205" t="s">
        <v>37</v>
      </c>
    </row>
    <row r="206" spans="1:219">
      <c r="A206">
        <v>3606</v>
      </c>
      <c r="B206" t="s">
        <v>224</v>
      </c>
      <c r="C206" t="s">
        <v>37</v>
      </c>
      <c r="E206" t="s">
        <v>37</v>
      </c>
      <c r="G206" t="s">
        <v>37</v>
      </c>
      <c r="I206" t="s">
        <v>37</v>
      </c>
      <c r="K206" s="48" t="s">
        <v>37</v>
      </c>
      <c r="L206" s="50"/>
      <c r="M206" s="48" t="s">
        <v>37</v>
      </c>
      <c r="N206" s="50"/>
      <c r="O206" s="48" t="s">
        <v>37</v>
      </c>
      <c r="P206" s="50"/>
      <c r="Q206" s="48" t="s">
        <v>37</v>
      </c>
      <c r="R206" s="50"/>
      <c r="S206" s="48" t="s">
        <v>37</v>
      </c>
      <c r="U206" t="s">
        <v>37</v>
      </c>
      <c r="W206" t="s">
        <v>37</v>
      </c>
      <c r="Y206" t="s">
        <v>37</v>
      </c>
      <c r="AA206" t="s">
        <v>37</v>
      </c>
      <c r="AC206" t="s">
        <v>37</v>
      </c>
      <c r="AE206" t="s">
        <v>37</v>
      </c>
      <c r="AG206" t="s">
        <v>37</v>
      </c>
      <c r="AI206" t="s">
        <v>37</v>
      </c>
      <c r="AK206" t="s">
        <v>37</v>
      </c>
      <c r="AM206" t="s">
        <v>37</v>
      </c>
      <c r="AO206" t="s">
        <v>37</v>
      </c>
      <c r="AQ206" t="s">
        <v>37</v>
      </c>
      <c r="AS206" t="s">
        <v>37</v>
      </c>
      <c r="AU206" t="s">
        <v>37</v>
      </c>
      <c r="AW206" t="s">
        <v>37</v>
      </c>
      <c r="AY206" t="s">
        <v>37</v>
      </c>
      <c r="BA206" t="s">
        <v>37</v>
      </c>
      <c r="BC206" t="s">
        <v>37</v>
      </c>
      <c r="BE206" t="s">
        <v>37</v>
      </c>
      <c r="BG206" t="s">
        <v>37</v>
      </c>
      <c r="BI206" t="s">
        <v>37</v>
      </c>
      <c r="BK206" t="s">
        <v>37</v>
      </c>
      <c r="BM206" t="s">
        <v>37</v>
      </c>
      <c r="BO206" t="s">
        <v>37</v>
      </c>
      <c r="BQ206" t="s">
        <v>37</v>
      </c>
      <c r="BS206" t="s">
        <v>37</v>
      </c>
      <c r="BU206" t="s">
        <v>37</v>
      </c>
      <c r="BW206" t="s">
        <v>37</v>
      </c>
      <c r="BY206" t="s">
        <v>37</v>
      </c>
      <c r="CA206" t="s">
        <v>37</v>
      </c>
      <c r="CC206" t="s">
        <v>37</v>
      </c>
      <c r="CE206" t="s">
        <v>37</v>
      </c>
      <c r="CG206" t="s">
        <v>37</v>
      </c>
      <c r="CI206" t="s">
        <v>37</v>
      </c>
      <c r="CJ206">
        <v>4000</v>
      </c>
      <c r="CK206" t="s">
        <v>37</v>
      </c>
      <c r="CM206" t="s">
        <v>37</v>
      </c>
      <c r="CO206" t="s">
        <v>37</v>
      </c>
      <c r="CQ206" t="s">
        <v>37</v>
      </c>
      <c r="CS206" t="s">
        <v>37</v>
      </c>
      <c r="CT206">
        <v>62400</v>
      </c>
      <c r="CU206" t="s">
        <v>37</v>
      </c>
      <c r="CW206" t="s">
        <v>37</v>
      </c>
      <c r="CY206" t="s">
        <v>37</v>
      </c>
      <c r="DA206" t="s">
        <v>37</v>
      </c>
      <c r="DC206" t="s">
        <v>37</v>
      </c>
      <c r="DE206" t="s">
        <v>37</v>
      </c>
      <c r="DG206" t="s">
        <v>37</v>
      </c>
      <c r="DI206" t="s">
        <v>37</v>
      </c>
      <c r="DK206" t="s">
        <v>37</v>
      </c>
      <c r="DM206" t="s">
        <v>37</v>
      </c>
      <c r="DO206" t="s">
        <v>37</v>
      </c>
      <c r="DQ206" t="s">
        <v>37</v>
      </c>
      <c r="DS206" t="s">
        <v>37</v>
      </c>
      <c r="DU206" t="s">
        <v>37</v>
      </c>
      <c r="DW206" t="s">
        <v>37</v>
      </c>
      <c r="DY206" t="s">
        <v>37</v>
      </c>
      <c r="EA206" t="s">
        <v>37</v>
      </c>
      <c r="EC206" t="s">
        <v>37</v>
      </c>
      <c r="EE206" t="s">
        <v>37</v>
      </c>
      <c r="EG206" t="s">
        <v>37</v>
      </c>
      <c r="EI206" t="s">
        <v>37</v>
      </c>
      <c r="EK206" t="s">
        <v>37</v>
      </c>
      <c r="EM206" t="s">
        <v>37</v>
      </c>
      <c r="EO206" t="s">
        <v>37</v>
      </c>
      <c r="EQ206" t="s">
        <v>37</v>
      </c>
      <c r="ES206" t="s">
        <v>37</v>
      </c>
      <c r="EU206" t="s">
        <v>37</v>
      </c>
      <c r="EW206" t="s">
        <v>37</v>
      </c>
      <c r="EY206" t="s">
        <v>37</v>
      </c>
      <c r="FA206" t="s">
        <v>37</v>
      </c>
      <c r="FC206" t="s">
        <v>37</v>
      </c>
      <c r="FE206" t="s">
        <v>37</v>
      </c>
      <c r="FG206" t="s">
        <v>37</v>
      </c>
      <c r="FI206" t="s">
        <v>37</v>
      </c>
      <c r="FK206" t="s">
        <v>37</v>
      </c>
      <c r="FM206" t="s">
        <v>37</v>
      </c>
      <c r="FO206" t="s">
        <v>37</v>
      </c>
      <c r="FQ206" t="s">
        <v>37</v>
      </c>
      <c r="FS206" t="s">
        <v>37</v>
      </c>
      <c r="FU206" t="s">
        <v>37</v>
      </c>
      <c r="FW206" t="s">
        <v>37</v>
      </c>
      <c r="FY206" t="s">
        <v>37</v>
      </c>
      <c r="GA206" t="s">
        <v>37</v>
      </c>
      <c r="GC206" t="s">
        <v>37</v>
      </c>
      <c r="GE206" t="s">
        <v>37</v>
      </c>
      <c r="GG206" t="s">
        <v>37</v>
      </c>
      <c r="GI206" t="s">
        <v>37</v>
      </c>
      <c r="GK206" t="s">
        <v>37</v>
      </c>
      <c r="GM206" t="s">
        <v>37</v>
      </c>
      <c r="GO206" t="s">
        <v>37</v>
      </c>
      <c r="GQ206" t="s">
        <v>37</v>
      </c>
      <c r="GS206" t="s">
        <v>37</v>
      </c>
      <c r="GU206" t="s">
        <v>37</v>
      </c>
      <c r="GW206" t="s">
        <v>37</v>
      </c>
      <c r="GX206">
        <v>54530</v>
      </c>
      <c r="GY206" t="s">
        <v>37</v>
      </c>
      <c r="HA206" t="s">
        <v>37</v>
      </c>
      <c r="HC206" t="s">
        <v>37</v>
      </c>
      <c r="HE206" t="s">
        <v>37</v>
      </c>
      <c r="HF206">
        <v>120930</v>
      </c>
      <c r="HG206" t="s">
        <v>37</v>
      </c>
      <c r="HI206" t="s">
        <v>37</v>
      </c>
      <c r="HJ206">
        <v>120930</v>
      </c>
      <c r="HK206" t="s">
        <v>37</v>
      </c>
    </row>
    <row r="207" spans="1:219">
      <c r="A207">
        <v>3607</v>
      </c>
      <c r="B207" t="s">
        <v>225</v>
      </c>
      <c r="C207" t="s">
        <v>37</v>
      </c>
      <c r="D207">
        <v>5986</v>
      </c>
      <c r="E207" t="s">
        <v>37</v>
      </c>
      <c r="F207">
        <v>66910</v>
      </c>
      <c r="G207" t="s">
        <v>37</v>
      </c>
      <c r="I207" t="s">
        <v>37</v>
      </c>
      <c r="K207" s="48" t="s">
        <v>37</v>
      </c>
      <c r="L207" s="51">
        <v>27508</v>
      </c>
      <c r="M207" s="48" t="s">
        <v>37</v>
      </c>
      <c r="N207" s="51">
        <v>9400</v>
      </c>
      <c r="O207" s="48" t="s">
        <v>37</v>
      </c>
      <c r="P207" s="51">
        <v>1830</v>
      </c>
      <c r="Q207" s="48" t="s">
        <v>37</v>
      </c>
      <c r="R207" s="51">
        <v>2469</v>
      </c>
      <c r="S207" s="48" t="s">
        <v>37</v>
      </c>
      <c r="T207">
        <v>23804</v>
      </c>
      <c r="U207" t="s">
        <v>37</v>
      </c>
      <c r="W207" t="s">
        <v>37</v>
      </c>
      <c r="Y207" t="s">
        <v>37</v>
      </c>
      <c r="Z207">
        <v>4900</v>
      </c>
      <c r="AA207" t="s">
        <v>37</v>
      </c>
      <c r="AB207">
        <v>2768</v>
      </c>
      <c r="AC207" t="s">
        <v>37</v>
      </c>
      <c r="AD207">
        <v>4000</v>
      </c>
      <c r="AE207" t="s">
        <v>37</v>
      </c>
      <c r="AF207">
        <v>1791</v>
      </c>
      <c r="AG207" t="s">
        <v>37</v>
      </c>
      <c r="AI207" t="s">
        <v>37</v>
      </c>
      <c r="AK207" t="s">
        <v>37</v>
      </c>
      <c r="AL207">
        <v>46400</v>
      </c>
      <c r="AM207" t="s">
        <v>37</v>
      </c>
      <c r="AO207" t="s">
        <v>37</v>
      </c>
      <c r="AP207">
        <v>57681</v>
      </c>
      <c r="AQ207" t="s">
        <v>37</v>
      </c>
      <c r="AR207">
        <v>5200</v>
      </c>
      <c r="AS207" t="s">
        <v>37</v>
      </c>
      <c r="AT207">
        <v>125631</v>
      </c>
      <c r="AU207" t="s">
        <v>37</v>
      </c>
      <c r="AV207">
        <v>34946</v>
      </c>
      <c r="AW207" t="s">
        <v>37</v>
      </c>
      <c r="AX207">
        <v>9026</v>
      </c>
      <c r="AY207" t="s">
        <v>37</v>
      </c>
      <c r="AZ207">
        <v>31431</v>
      </c>
      <c r="BA207" t="s">
        <v>37</v>
      </c>
      <c r="BB207">
        <v>4230</v>
      </c>
      <c r="BC207" t="s">
        <v>37</v>
      </c>
      <c r="BD207">
        <v>7330</v>
      </c>
      <c r="BE207" t="s">
        <v>37</v>
      </c>
      <c r="BF207">
        <v>4200</v>
      </c>
      <c r="BG207" t="s">
        <v>37</v>
      </c>
      <c r="BI207" t="s">
        <v>37</v>
      </c>
      <c r="BJ207">
        <v>20351</v>
      </c>
      <c r="BK207" t="s">
        <v>37</v>
      </c>
      <c r="BL207">
        <v>45301</v>
      </c>
      <c r="BM207" t="s">
        <v>37</v>
      </c>
      <c r="BO207" t="s">
        <v>37</v>
      </c>
      <c r="BP207">
        <v>4100</v>
      </c>
      <c r="BQ207" t="s">
        <v>37</v>
      </c>
      <c r="BS207" t="s">
        <v>37</v>
      </c>
      <c r="BT207">
        <v>5100</v>
      </c>
      <c r="BU207" t="s">
        <v>37</v>
      </c>
      <c r="BW207" t="s">
        <v>37</v>
      </c>
      <c r="BX207">
        <v>79600</v>
      </c>
      <c r="BY207" t="s">
        <v>37</v>
      </c>
      <c r="BZ207">
        <v>8646</v>
      </c>
      <c r="CA207" t="s">
        <v>37</v>
      </c>
      <c r="CC207" t="s">
        <v>37</v>
      </c>
      <c r="CD207">
        <v>13268</v>
      </c>
      <c r="CE207" t="s">
        <v>37</v>
      </c>
      <c r="CF207">
        <v>18252</v>
      </c>
      <c r="CG207" t="s">
        <v>37</v>
      </c>
      <c r="CH207">
        <v>29018</v>
      </c>
      <c r="CI207" t="s">
        <v>37</v>
      </c>
      <c r="CJ207">
        <v>111500</v>
      </c>
      <c r="CK207" t="s">
        <v>37</v>
      </c>
      <c r="CL207">
        <v>7039</v>
      </c>
      <c r="CM207" t="s">
        <v>37</v>
      </c>
      <c r="CN207">
        <v>11014</v>
      </c>
      <c r="CO207" t="s">
        <v>37</v>
      </c>
      <c r="CP207">
        <v>4300</v>
      </c>
      <c r="CQ207" t="s">
        <v>37</v>
      </c>
      <c r="CR207">
        <v>32180</v>
      </c>
      <c r="CS207" t="s">
        <v>37</v>
      </c>
      <c r="CT207">
        <v>191683</v>
      </c>
      <c r="CU207" t="s">
        <v>37</v>
      </c>
      <c r="CV207">
        <v>19034</v>
      </c>
      <c r="CW207" t="s">
        <v>37</v>
      </c>
      <c r="CX207">
        <v>3903</v>
      </c>
      <c r="CY207" t="s">
        <v>37</v>
      </c>
      <c r="CZ207">
        <v>4628</v>
      </c>
      <c r="DA207" t="s">
        <v>37</v>
      </c>
      <c r="DC207" t="s">
        <v>37</v>
      </c>
      <c r="DD207">
        <v>7500</v>
      </c>
      <c r="DE207" t="s">
        <v>37</v>
      </c>
      <c r="DF207">
        <v>8500</v>
      </c>
      <c r="DG207" t="s">
        <v>37</v>
      </c>
      <c r="DH207">
        <v>38709</v>
      </c>
      <c r="DI207" t="s">
        <v>37</v>
      </c>
      <c r="DK207" t="s">
        <v>37</v>
      </c>
      <c r="DL207">
        <v>54094</v>
      </c>
      <c r="DM207" t="s">
        <v>37</v>
      </c>
      <c r="DN207">
        <v>20658</v>
      </c>
      <c r="DO207" t="s">
        <v>37</v>
      </c>
      <c r="DP207">
        <v>14507</v>
      </c>
      <c r="DQ207" t="s">
        <v>37</v>
      </c>
      <c r="DR207">
        <v>10336</v>
      </c>
      <c r="DS207" t="s">
        <v>37</v>
      </c>
      <c r="DT207">
        <v>17578</v>
      </c>
      <c r="DU207" t="s">
        <v>37</v>
      </c>
      <c r="DV207">
        <v>47800</v>
      </c>
      <c r="DW207" t="s">
        <v>37</v>
      </c>
      <c r="DX207">
        <v>14264</v>
      </c>
      <c r="DY207" t="s">
        <v>37</v>
      </c>
      <c r="DZ207">
        <v>10010</v>
      </c>
      <c r="EA207" t="s">
        <v>37</v>
      </c>
      <c r="EB207">
        <v>9300</v>
      </c>
      <c r="EC207" t="s">
        <v>37</v>
      </c>
      <c r="ED207">
        <v>42188</v>
      </c>
      <c r="EE207" t="s">
        <v>37</v>
      </c>
      <c r="EG207" t="s">
        <v>37</v>
      </c>
      <c r="EI207" t="s">
        <v>37</v>
      </c>
      <c r="EJ207">
        <v>8700</v>
      </c>
      <c r="EK207" t="s">
        <v>37</v>
      </c>
      <c r="EL207">
        <v>6060</v>
      </c>
      <c r="EM207" t="s">
        <v>37</v>
      </c>
      <c r="EN207">
        <v>7200</v>
      </c>
      <c r="EO207" t="s">
        <v>37</v>
      </c>
      <c r="EQ207" t="s">
        <v>37</v>
      </c>
      <c r="ER207">
        <v>20429</v>
      </c>
      <c r="ES207" t="s">
        <v>37</v>
      </c>
      <c r="ET207">
        <v>14800</v>
      </c>
      <c r="EU207" t="s">
        <v>37</v>
      </c>
      <c r="EV207">
        <v>25932</v>
      </c>
      <c r="EW207" t="s">
        <v>37</v>
      </c>
      <c r="EY207" t="s">
        <v>37</v>
      </c>
      <c r="EZ207">
        <v>894</v>
      </c>
      <c r="FA207" t="s">
        <v>37</v>
      </c>
      <c r="FB207">
        <v>15000</v>
      </c>
      <c r="FC207" t="s">
        <v>37</v>
      </c>
      <c r="FD207">
        <v>19702</v>
      </c>
      <c r="FE207" t="s">
        <v>37</v>
      </c>
      <c r="FG207" t="s">
        <v>37</v>
      </c>
      <c r="FH207">
        <v>20640</v>
      </c>
      <c r="FI207" t="s">
        <v>37</v>
      </c>
      <c r="FJ207">
        <v>70753</v>
      </c>
      <c r="FK207" t="s">
        <v>37</v>
      </c>
      <c r="FL207">
        <v>114621</v>
      </c>
      <c r="FM207" t="s">
        <v>37</v>
      </c>
      <c r="FN207">
        <v>6300</v>
      </c>
      <c r="FO207" t="s">
        <v>37</v>
      </c>
      <c r="FQ207" t="s">
        <v>37</v>
      </c>
      <c r="FS207" t="s">
        <v>37</v>
      </c>
      <c r="FT207">
        <v>8700</v>
      </c>
      <c r="FU207" t="s">
        <v>37</v>
      </c>
      <c r="FV207">
        <v>8400</v>
      </c>
      <c r="FW207" t="s">
        <v>37</v>
      </c>
      <c r="FX207">
        <v>14813</v>
      </c>
      <c r="FY207" t="s">
        <v>37</v>
      </c>
      <c r="FZ207">
        <v>34178</v>
      </c>
      <c r="GA207" t="s">
        <v>37</v>
      </c>
      <c r="GB207">
        <v>8113</v>
      </c>
      <c r="GC207" t="s">
        <v>37</v>
      </c>
      <c r="GE207" t="s">
        <v>37</v>
      </c>
      <c r="GG207" t="s">
        <v>37</v>
      </c>
      <c r="GI207" t="s">
        <v>37</v>
      </c>
      <c r="GJ207">
        <v>30765</v>
      </c>
      <c r="GK207" t="s">
        <v>37</v>
      </c>
      <c r="GL207">
        <v>26489</v>
      </c>
      <c r="GM207" t="s">
        <v>37</v>
      </c>
      <c r="GO207" t="s">
        <v>37</v>
      </c>
      <c r="GP207">
        <v>16730</v>
      </c>
      <c r="GQ207" t="s">
        <v>37</v>
      </c>
      <c r="GR207">
        <v>35186</v>
      </c>
      <c r="GS207" t="s">
        <v>37</v>
      </c>
      <c r="GT207">
        <v>9355</v>
      </c>
      <c r="GU207" t="s">
        <v>37</v>
      </c>
      <c r="GV207">
        <v>25550</v>
      </c>
      <c r="GW207" t="s">
        <v>37</v>
      </c>
      <c r="GY207" t="s">
        <v>37</v>
      </c>
      <c r="GZ207">
        <v>18300</v>
      </c>
      <c r="HA207" t="s">
        <v>37</v>
      </c>
      <c r="HB207">
        <v>4300</v>
      </c>
      <c r="HC207" t="s">
        <v>37</v>
      </c>
      <c r="HE207" t="s">
        <v>37</v>
      </c>
      <c r="HF207">
        <v>1949412</v>
      </c>
      <c r="HG207" t="s">
        <v>37</v>
      </c>
      <c r="HH207">
        <v>4300</v>
      </c>
      <c r="HI207" t="s">
        <v>37</v>
      </c>
      <c r="HJ207">
        <v>1953712</v>
      </c>
      <c r="HK207" t="s">
        <v>37</v>
      </c>
    </row>
    <row r="208" spans="1:219">
      <c r="A208">
        <v>3608</v>
      </c>
      <c r="B208" t="s">
        <v>209</v>
      </c>
      <c r="C208" t="s">
        <v>37</v>
      </c>
      <c r="E208" t="s">
        <v>37</v>
      </c>
      <c r="G208" t="s">
        <v>37</v>
      </c>
      <c r="I208" t="s">
        <v>37</v>
      </c>
      <c r="K208" s="48" t="s">
        <v>37</v>
      </c>
      <c r="L208" s="50"/>
      <c r="M208" s="48" t="s">
        <v>37</v>
      </c>
      <c r="N208" s="50"/>
      <c r="O208" s="48" t="s">
        <v>37</v>
      </c>
      <c r="P208" s="50"/>
      <c r="Q208" s="48" t="s">
        <v>37</v>
      </c>
      <c r="R208" s="50"/>
      <c r="S208" s="48" t="s">
        <v>37</v>
      </c>
      <c r="U208" t="s">
        <v>37</v>
      </c>
      <c r="W208" t="s">
        <v>37</v>
      </c>
      <c r="Y208" t="s">
        <v>37</v>
      </c>
      <c r="AA208" t="s">
        <v>37</v>
      </c>
      <c r="AC208" t="s">
        <v>37</v>
      </c>
      <c r="AE208" t="s">
        <v>37</v>
      </c>
      <c r="AG208" t="s">
        <v>37</v>
      </c>
      <c r="AI208" t="s">
        <v>37</v>
      </c>
      <c r="AK208" t="s">
        <v>37</v>
      </c>
      <c r="AM208" t="s">
        <v>37</v>
      </c>
      <c r="AO208" t="s">
        <v>37</v>
      </c>
      <c r="AQ208" t="s">
        <v>37</v>
      </c>
      <c r="AS208" t="s">
        <v>37</v>
      </c>
      <c r="AU208" t="s">
        <v>37</v>
      </c>
      <c r="AW208" t="s">
        <v>37</v>
      </c>
      <c r="AY208" t="s">
        <v>37</v>
      </c>
      <c r="BA208" t="s">
        <v>37</v>
      </c>
      <c r="BC208" t="s">
        <v>37</v>
      </c>
      <c r="BE208" t="s">
        <v>37</v>
      </c>
      <c r="BG208" t="s">
        <v>37</v>
      </c>
      <c r="BI208" t="s">
        <v>37</v>
      </c>
      <c r="BK208" t="s">
        <v>37</v>
      </c>
      <c r="BM208" t="s">
        <v>37</v>
      </c>
      <c r="BO208" t="s">
        <v>37</v>
      </c>
      <c r="BQ208" t="s">
        <v>37</v>
      </c>
      <c r="BS208" t="s">
        <v>37</v>
      </c>
      <c r="BU208" t="s">
        <v>37</v>
      </c>
      <c r="BW208" t="s">
        <v>37</v>
      </c>
      <c r="BY208" t="s">
        <v>37</v>
      </c>
      <c r="CA208" t="s">
        <v>37</v>
      </c>
      <c r="CC208" t="s">
        <v>37</v>
      </c>
      <c r="CE208" t="s">
        <v>37</v>
      </c>
      <c r="CG208" t="s">
        <v>37</v>
      </c>
      <c r="CI208" t="s">
        <v>37</v>
      </c>
      <c r="CK208" t="s">
        <v>37</v>
      </c>
      <c r="CM208" t="s">
        <v>37</v>
      </c>
      <c r="CO208" t="s">
        <v>37</v>
      </c>
      <c r="CQ208" t="s">
        <v>37</v>
      </c>
      <c r="CS208" t="s">
        <v>37</v>
      </c>
      <c r="CU208" t="s">
        <v>37</v>
      </c>
      <c r="CW208" t="s">
        <v>37</v>
      </c>
      <c r="CY208" t="s">
        <v>37</v>
      </c>
      <c r="DA208" t="s">
        <v>37</v>
      </c>
      <c r="DC208" t="s">
        <v>37</v>
      </c>
      <c r="DE208" t="s">
        <v>37</v>
      </c>
      <c r="DG208" t="s">
        <v>37</v>
      </c>
      <c r="DI208" t="s">
        <v>37</v>
      </c>
      <c r="DK208" t="s">
        <v>37</v>
      </c>
      <c r="DM208" t="s">
        <v>37</v>
      </c>
      <c r="DO208" t="s">
        <v>37</v>
      </c>
      <c r="DQ208" t="s">
        <v>37</v>
      </c>
      <c r="DS208" t="s">
        <v>37</v>
      </c>
      <c r="DU208" t="s">
        <v>37</v>
      </c>
      <c r="DW208" t="s">
        <v>37</v>
      </c>
      <c r="DY208" t="s">
        <v>37</v>
      </c>
      <c r="EA208" t="s">
        <v>37</v>
      </c>
      <c r="EC208" t="s">
        <v>37</v>
      </c>
      <c r="EE208" t="s">
        <v>37</v>
      </c>
      <c r="EG208" t="s">
        <v>37</v>
      </c>
      <c r="EI208" t="s">
        <v>37</v>
      </c>
      <c r="EK208" t="s">
        <v>37</v>
      </c>
      <c r="EM208" t="s">
        <v>37</v>
      </c>
      <c r="EO208" t="s">
        <v>37</v>
      </c>
      <c r="EQ208" t="s">
        <v>37</v>
      </c>
      <c r="ES208" t="s">
        <v>37</v>
      </c>
      <c r="EU208" t="s">
        <v>37</v>
      </c>
      <c r="EW208" t="s">
        <v>37</v>
      </c>
      <c r="EY208" t="s">
        <v>37</v>
      </c>
      <c r="FA208" t="s">
        <v>37</v>
      </c>
      <c r="FC208" t="s">
        <v>37</v>
      </c>
      <c r="FE208" t="s">
        <v>37</v>
      </c>
      <c r="FG208" t="s">
        <v>37</v>
      </c>
      <c r="FI208" t="s">
        <v>37</v>
      </c>
      <c r="FK208" t="s">
        <v>37</v>
      </c>
      <c r="FM208" t="s">
        <v>37</v>
      </c>
      <c r="FO208" t="s">
        <v>37</v>
      </c>
      <c r="FQ208" t="s">
        <v>37</v>
      </c>
      <c r="FS208" t="s">
        <v>37</v>
      </c>
      <c r="FU208" t="s">
        <v>37</v>
      </c>
      <c r="FW208" t="s">
        <v>37</v>
      </c>
      <c r="FY208" t="s">
        <v>37</v>
      </c>
      <c r="GA208" t="s">
        <v>37</v>
      </c>
      <c r="GC208" t="s">
        <v>37</v>
      </c>
      <c r="GE208" t="s">
        <v>37</v>
      </c>
      <c r="GG208" t="s">
        <v>37</v>
      </c>
      <c r="GI208" t="s">
        <v>37</v>
      </c>
      <c r="GK208" t="s">
        <v>37</v>
      </c>
      <c r="GM208" t="s">
        <v>37</v>
      </c>
      <c r="GO208" t="s">
        <v>37</v>
      </c>
      <c r="GQ208" t="s">
        <v>37</v>
      </c>
      <c r="GS208" t="s">
        <v>37</v>
      </c>
      <c r="GU208" t="s">
        <v>37</v>
      </c>
      <c r="GV208">
        <v>1590</v>
      </c>
      <c r="GW208" t="s">
        <v>37</v>
      </c>
      <c r="GY208" t="s">
        <v>37</v>
      </c>
      <c r="HA208" t="s">
        <v>37</v>
      </c>
      <c r="HC208" t="s">
        <v>37</v>
      </c>
      <c r="HE208" t="s">
        <v>37</v>
      </c>
      <c r="HF208">
        <v>1590</v>
      </c>
      <c r="HG208" t="s">
        <v>37</v>
      </c>
      <c r="HI208" t="s">
        <v>37</v>
      </c>
      <c r="HJ208">
        <v>1590</v>
      </c>
      <c r="HK208" t="s">
        <v>37</v>
      </c>
    </row>
    <row r="209" spans="1:219">
      <c r="A209">
        <v>3610</v>
      </c>
      <c r="B209" t="s">
        <v>226</v>
      </c>
      <c r="C209" t="s">
        <v>37</v>
      </c>
      <c r="D209">
        <v>179023</v>
      </c>
      <c r="E209" t="s">
        <v>37</v>
      </c>
      <c r="F209">
        <v>1559252</v>
      </c>
      <c r="G209" t="s">
        <v>37</v>
      </c>
      <c r="H209">
        <v>36710</v>
      </c>
      <c r="I209" t="s">
        <v>37</v>
      </c>
      <c r="K209" s="48" t="s">
        <v>37</v>
      </c>
      <c r="L209" s="51">
        <v>465306</v>
      </c>
      <c r="M209" s="48" t="s">
        <v>37</v>
      </c>
      <c r="N209" s="51">
        <v>264783</v>
      </c>
      <c r="O209" s="48" t="s">
        <v>37</v>
      </c>
      <c r="P209" s="51">
        <v>293238</v>
      </c>
      <c r="Q209" s="48" t="s">
        <v>37</v>
      </c>
      <c r="R209" s="51">
        <v>269588</v>
      </c>
      <c r="S209" s="48" t="s">
        <v>37</v>
      </c>
      <c r="T209">
        <v>758198</v>
      </c>
      <c r="U209" t="s">
        <v>37</v>
      </c>
      <c r="W209" t="s">
        <v>37</v>
      </c>
      <c r="Y209" t="s">
        <v>37</v>
      </c>
      <c r="Z209">
        <v>183373</v>
      </c>
      <c r="AA209" t="s">
        <v>37</v>
      </c>
      <c r="AB209">
        <v>67878</v>
      </c>
      <c r="AC209" t="s">
        <v>37</v>
      </c>
      <c r="AD209">
        <v>111545</v>
      </c>
      <c r="AE209" t="s">
        <v>37</v>
      </c>
      <c r="AF209">
        <v>117852</v>
      </c>
      <c r="AG209" t="s">
        <v>37</v>
      </c>
      <c r="AH209">
        <v>244400</v>
      </c>
      <c r="AI209" t="s">
        <v>37</v>
      </c>
      <c r="AK209" t="s">
        <v>37</v>
      </c>
      <c r="AL209">
        <v>993761</v>
      </c>
      <c r="AM209" t="s">
        <v>37</v>
      </c>
      <c r="AO209" t="s">
        <v>37</v>
      </c>
      <c r="AP209">
        <v>1330157</v>
      </c>
      <c r="AQ209" t="s">
        <v>37</v>
      </c>
      <c r="AR209">
        <v>267635</v>
      </c>
      <c r="AS209" t="s">
        <v>37</v>
      </c>
      <c r="AT209">
        <v>1956060</v>
      </c>
      <c r="AU209" t="s">
        <v>37</v>
      </c>
      <c r="AV209">
        <v>757999</v>
      </c>
      <c r="AW209" t="s">
        <v>37</v>
      </c>
      <c r="AX209">
        <v>497149</v>
      </c>
      <c r="AY209" t="s">
        <v>37</v>
      </c>
      <c r="AZ209">
        <v>544447</v>
      </c>
      <c r="BA209" t="s">
        <v>37</v>
      </c>
      <c r="BB209">
        <v>226423</v>
      </c>
      <c r="BC209" t="s">
        <v>37</v>
      </c>
      <c r="BD209">
        <v>260905</v>
      </c>
      <c r="BE209" t="s">
        <v>37</v>
      </c>
      <c r="BF209">
        <v>114900</v>
      </c>
      <c r="BG209" t="s">
        <v>37</v>
      </c>
      <c r="BI209" t="s">
        <v>37</v>
      </c>
      <c r="BJ209">
        <v>564554</v>
      </c>
      <c r="BK209" t="s">
        <v>37</v>
      </c>
      <c r="BM209" t="s">
        <v>37</v>
      </c>
      <c r="BO209" t="s">
        <v>37</v>
      </c>
      <c r="BP209">
        <v>121528</v>
      </c>
      <c r="BQ209" t="s">
        <v>37</v>
      </c>
      <c r="BR209">
        <v>286481</v>
      </c>
      <c r="BS209" t="s">
        <v>37</v>
      </c>
      <c r="BT209">
        <v>160200</v>
      </c>
      <c r="BU209" t="s">
        <v>37</v>
      </c>
      <c r="BW209" t="s">
        <v>37</v>
      </c>
      <c r="BX209">
        <v>832375</v>
      </c>
      <c r="BY209" t="s">
        <v>37</v>
      </c>
      <c r="BZ209">
        <v>238211</v>
      </c>
      <c r="CA209" t="s">
        <v>37</v>
      </c>
      <c r="CC209" t="s">
        <v>37</v>
      </c>
      <c r="CD209">
        <v>360937</v>
      </c>
      <c r="CE209" t="s">
        <v>37</v>
      </c>
      <c r="CF209">
        <v>334385</v>
      </c>
      <c r="CG209" t="s">
        <v>37</v>
      </c>
      <c r="CH209">
        <v>983644</v>
      </c>
      <c r="CI209" t="s">
        <v>37</v>
      </c>
      <c r="CK209" t="s">
        <v>37</v>
      </c>
      <c r="CL209">
        <v>272860</v>
      </c>
      <c r="CM209" t="s">
        <v>37</v>
      </c>
      <c r="CN209">
        <v>198653</v>
      </c>
      <c r="CO209" t="s">
        <v>37</v>
      </c>
      <c r="CP209">
        <v>127000</v>
      </c>
      <c r="CQ209" t="s">
        <v>37</v>
      </c>
      <c r="CR209">
        <v>509088</v>
      </c>
      <c r="CS209" t="s">
        <v>37</v>
      </c>
      <c r="CT209">
        <v>3995169</v>
      </c>
      <c r="CU209" t="s">
        <v>37</v>
      </c>
      <c r="CV209">
        <v>720927</v>
      </c>
      <c r="CW209" t="s">
        <v>37</v>
      </c>
      <c r="CX209">
        <v>120217</v>
      </c>
      <c r="CY209" t="s">
        <v>37</v>
      </c>
      <c r="CZ209">
        <v>115918</v>
      </c>
      <c r="DA209" t="s">
        <v>37</v>
      </c>
      <c r="DC209" t="s">
        <v>37</v>
      </c>
      <c r="DD209">
        <v>192347</v>
      </c>
      <c r="DE209" t="s">
        <v>37</v>
      </c>
      <c r="DF209">
        <v>225200</v>
      </c>
      <c r="DG209" t="s">
        <v>37</v>
      </c>
      <c r="DH209">
        <v>1910221</v>
      </c>
      <c r="DI209" t="s">
        <v>37</v>
      </c>
      <c r="DJ209">
        <v>254564</v>
      </c>
      <c r="DK209" t="s">
        <v>37</v>
      </c>
      <c r="DL209">
        <v>789216</v>
      </c>
      <c r="DM209" t="s">
        <v>37</v>
      </c>
      <c r="DN209">
        <v>573792</v>
      </c>
      <c r="DO209" t="s">
        <v>37</v>
      </c>
      <c r="DP209">
        <v>751605</v>
      </c>
      <c r="DQ209" t="s">
        <v>37</v>
      </c>
      <c r="DR209">
        <v>268134</v>
      </c>
      <c r="DS209" t="s">
        <v>37</v>
      </c>
      <c r="DT209">
        <v>228619</v>
      </c>
      <c r="DU209" t="s">
        <v>37</v>
      </c>
      <c r="DV209">
        <v>1291791</v>
      </c>
      <c r="DW209" t="s">
        <v>37</v>
      </c>
      <c r="DX209">
        <v>768984</v>
      </c>
      <c r="DY209" t="s">
        <v>37</v>
      </c>
      <c r="DZ209">
        <v>167000</v>
      </c>
      <c r="EA209" t="s">
        <v>37</v>
      </c>
      <c r="EB209">
        <v>445714</v>
      </c>
      <c r="EC209" t="s">
        <v>37</v>
      </c>
      <c r="ED209">
        <v>1428188</v>
      </c>
      <c r="EE209" t="s">
        <v>37</v>
      </c>
      <c r="EF209">
        <v>110676</v>
      </c>
      <c r="EG209" t="s">
        <v>37</v>
      </c>
      <c r="EI209" t="s">
        <v>37</v>
      </c>
      <c r="EJ209">
        <v>279013</v>
      </c>
      <c r="EK209" t="s">
        <v>37</v>
      </c>
      <c r="EL209">
        <v>187499</v>
      </c>
      <c r="EM209" t="s">
        <v>37</v>
      </c>
      <c r="EN209">
        <v>155500</v>
      </c>
      <c r="EO209" t="s">
        <v>37</v>
      </c>
      <c r="EQ209" t="s">
        <v>37</v>
      </c>
      <c r="ER209">
        <v>405466</v>
      </c>
      <c r="ES209" t="s">
        <v>37</v>
      </c>
      <c r="ET209">
        <v>393600</v>
      </c>
      <c r="EU209" t="s">
        <v>37</v>
      </c>
      <c r="EV209">
        <v>922732</v>
      </c>
      <c r="EW209" t="s">
        <v>37</v>
      </c>
      <c r="EY209" t="s">
        <v>37</v>
      </c>
      <c r="EZ209">
        <v>330695</v>
      </c>
      <c r="FA209" t="s">
        <v>37</v>
      </c>
      <c r="FB209">
        <v>307824</v>
      </c>
      <c r="FC209" t="s">
        <v>37</v>
      </c>
      <c r="FD209">
        <v>428163</v>
      </c>
      <c r="FE209" t="s">
        <v>37</v>
      </c>
      <c r="FG209" t="s">
        <v>37</v>
      </c>
      <c r="FH209">
        <v>1023865</v>
      </c>
      <c r="FI209" t="s">
        <v>37</v>
      </c>
      <c r="FJ209">
        <v>1350249</v>
      </c>
      <c r="FK209" t="s">
        <v>37</v>
      </c>
      <c r="FL209">
        <v>1144102</v>
      </c>
      <c r="FM209" t="s">
        <v>37</v>
      </c>
      <c r="FN209">
        <v>166600</v>
      </c>
      <c r="FO209" t="s">
        <v>37</v>
      </c>
      <c r="FP209">
        <v>445000</v>
      </c>
      <c r="FQ209" t="s">
        <v>37</v>
      </c>
      <c r="FR209">
        <v>553018</v>
      </c>
      <c r="FS209" t="s">
        <v>37</v>
      </c>
      <c r="FT209">
        <v>265200</v>
      </c>
      <c r="FU209" t="s">
        <v>37</v>
      </c>
      <c r="FV209">
        <v>204039</v>
      </c>
      <c r="FW209" t="s">
        <v>37</v>
      </c>
      <c r="FX209">
        <v>437118</v>
      </c>
      <c r="FY209" t="s">
        <v>37</v>
      </c>
      <c r="FZ209">
        <v>611000</v>
      </c>
      <c r="GA209" t="s">
        <v>37</v>
      </c>
      <c r="GB209">
        <v>511897</v>
      </c>
      <c r="GC209" t="s">
        <v>37</v>
      </c>
      <c r="GE209" t="s">
        <v>37</v>
      </c>
      <c r="GG209" t="s">
        <v>37</v>
      </c>
      <c r="GI209" t="s">
        <v>37</v>
      </c>
      <c r="GJ209">
        <v>670907</v>
      </c>
      <c r="GK209" t="s">
        <v>37</v>
      </c>
      <c r="GL209">
        <v>615922</v>
      </c>
      <c r="GM209" t="s">
        <v>37</v>
      </c>
      <c r="GO209" t="s">
        <v>37</v>
      </c>
      <c r="GP209">
        <v>467408</v>
      </c>
      <c r="GQ209" t="s">
        <v>37</v>
      </c>
      <c r="GR209">
        <v>366189</v>
      </c>
      <c r="GS209" t="s">
        <v>37</v>
      </c>
      <c r="GT209">
        <v>312111</v>
      </c>
      <c r="GU209" t="s">
        <v>37</v>
      </c>
      <c r="GV209">
        <v>312390</v>
      </c>
      <c r="GW209" t="s">
        <v>37</v>
      </c>
      <c r="GX209">
        <v>1105895</v>
      </c>
      <c r="GY209" t="s">
        <v>37</v>
      </c>
      <c r="GZ209">
        <v>419700</v>
      </c>
      <c r="HA209" t="s">
        <v>37</v>
      </c>
      <c r="HC209" t="s">
        <v>37</v>
      </c>
      <c r="HE209" t="s">
        <v>37</v>
      </c>
      <c r="HF209">
        <v>45241882</v>
      </c>
      <c r="HG209" t="s">
        <v>37</v>
      </c>
      <c r="HI209" t="s">
        <v>37</v>
      </c>
      <c r="HJ209">
        <v>45241882</v>
      </c>
      <c r="HK209" t="s">
        <v>37</v>
      </c>
    </row>
    <row r="210" spans="1:219">
      <c r="A210">
        <v>3615</v>
      </c>
      <c r="B210" t="s">
        <v>204</v>
      </c>
      <c r="C210" t="s">
        <v>37</v>
      </c>
      <c r="E210" t="s">
        <v>37</v>
      </c>
      <c r="G210" t="s">
        <v>37</v>
      </c>
      <c r="I210" t="s">
        <v>37</v>
      </c>
      <c r="K210" s="48" t="s">
        <v>37</v>
      </c>
      <c r="L210" s="50"/>
      <c r="M210" s="48" t="s">
        <v>37</v>
      </c>
      <c r="N210" s="50"/>
      <c r="O210" s="48" t="s">
        <v>37</v>
      </c>
      <c r="P210" s="50"/>
      <c r="Q210" s="48" t="s">
        <v>37</v>
      </c>
      <c r="R210" s="50"/>
      <c r="S210" s="48" t="s">
        <v>37</v>
      </c>
      <c r="U210" t="s">
        <v>37</v>
      </c>
      <c r="W210" t="s">
        <v>37</v>
      </c>
      <c r="Y210" t="s">
        <v>37</v>
      </c>
      <c r="AA210" t="s">
        <v>37</v>
      </c>
      <c r="AC210" t="s">
        <v>37</v>
      </c>
      <c r="AE210" t="s">
        <v>37</v>
      </c>
      <c r="AG210" t="s">
        <v>37</v>
      </c>
      <c r="AI210" t="s">
        <v>37</v>
      </c>
      <c r="AK210" t="s">
        <v>37</v>
      </c>
      <c r="AM210" t="s">
        <v>37</v>
      </c>
      <c r="AO210" t="s">
        <v>37</v>
      </c>
      <c r="AQ210" t="s">
        <v>37</v>
      </c>
      <c r="AS210" t="s">
        <v>37</v>
      </c>
      <c r="AT210">
        <v>3060193</v>
      </c>
      <c r="AU210" t="s">
        <v>37</v>
      </c>
      <c r="AW210" t="s">
        <v>37</v>
      </c>
      <c r="AY210" t="s">
        <v>37</v>
      </c>
      <c r="BA210" t="s">
        <v>37</v>
      </c>
      <c r="BC210" t="s">
        <v>37</v>
      </c>
      <c r="BE210" t="s">
        <v>37</v>
      </c>
      <c r="BG210" t="s">
        <v>37</v>
      </c>
      <c r="BI210" t="s">
        <v>37</v>
      </c>
      <c r="BJ210">
        <v>419930</v>
      </c>
      <c r="BK210" t="s">
        <v>37</v>
      </c>
      <c r="BM210" t="s">
        <v>37</v>
      </c>
      <c r="BO210" t="s">
        <v>37</v>
      </c>
      <c r="BQ210" t="s">
        <v>37</v>
      </c>
      <c r="BS210" t="s">
        <v>37</v>
      </c>
      <c r="BU210" t="s">
        <v>37</v>
      </c>
      <c r="BW210" t="s">
        <v>37</v>
      </c>
      <c r="BY210" t="s">
        <v>37</v>
      </c>
      <c r="CA210" t="s">
        <v>37</v>
      </c>
      <c r="CC210" t="s">
        <v>37</v>
      </c>
      <c r="CE210" t="s">
        <v>37</v>
      </c>
      <c r="CG210" t="s">
        <v>37</v>
      </c>
      <c r="CI210" t="s">
        <v>37</v>
      </c>
      <c r="CK210" t="s">
        <v>37</v>
      </c>
      <c r="CM210" t="s">
        <v>37</v>
      </c>
      <c r="CO210" t="s">
        <v>37</v>
      </c>
      <c r="CQ210" t="s">
        <v>37</v>
      </c>
      <c r="CS210" t="s">
        <v>37</v>
      </c>
      <c r="CT210">
        <v>1537605</v>
      </c>
      <c r="CU210" t="s">
        <v>37</v>
      </c>
      <c r="CW210" t="s">
        <v>37</v>
      </c>
      <c r="CY210" t="s">
        <v>37</v>
      </c>
      <c r="DA210" t="s">
        <v>37</v>
      </c>
      <c r="DC210" t="s">
        <v>37</v>
      </c>
      <c r="DE210" t="s">
        <v>37</v>
      </c>
      <c r="DG210" t="s">
        <v>37</v>
      </c>
      <c r="DI210" t="s">
        <v>37</v>
      </c>
      <c r="DJ210">
        <v>611701</v>
      </c>
      <c r="DK210" t="s">
        <v>37</v>
      </c>
      <c r="DM210" t="s">
        <v>37</v>
      </c>
      <c r="DO210" t="s">
        <v>37</v>
      </c>
      <c r="DQ210" t="s">
        <v>37</v>
      </c>
      <c r="DS210" t="s">
        <v>37</v>
      </c>
      <c r="DT210">
        <v>882730</v>
      </c>
      <c r="DU210" t="s">
        <v>37</v>
      </c>
      <c r="DW210" t="s">
        <v>37</v>
      </c>
      <c r="DY210" t="s">
        <v>37</v>
      </c>
      <c r="EA210" t="s">
        <v>37</v>
      </c>
      <c r="EC210" t="s">
        <v>37</v>
      </c>
      <c r="EE210" t="s">
        <v>37</v>
      </c>
      <c r="EG210" t="s">
        <v>37</v>
      </c>
      <c r="EI210" t="s">
        <v>37</v>
      </c>
      <c r="EK210" t="s">
        <v>37</v>
      </c>
      <c r="EM210" t="s">
        <v>37</v>
      </c>
      <c r="EO210" t="s">
        <v>37</v>
      </c>
      <c r="EQ210" t="s">
        <v>37</v>
      </c>
      <c r="ER210">
        <v>942060</v>
      </c>
      <c r="ES210" t="s">
        <v>37</v>
      </c>
      <c r="EU210" t="s">
        <v>37</v>
      </c>
      <c r="EW210" t="s">
        <v>37</v>
      </c>
      <c r="EY210" t="s">
        <v>37</v>
      </c>
      <c r="FA210" t="s">
        <v>37</v>
      </c>
      <c r="FC210" t="s">
        <v>37</v>
      </c>
      <c r="FE210" t="s">
        <v>37</v>
      </c>
      <c r="FG210" t="s">
        <v>37</v>
      </c>
      <c r="FI210" t="s">
        <v>37</v>
      </c>
      <c r="FJ210">
        <v>1412027</v>
      </c>
      <c r="FK210" t="s">
        <v>37</v>
      </c>
      <c r="FM210" t="s">
        <v>37</v>
      </c>
      <c r="FO210" t="s">
        <v>37</v>
      </c>
      <c r="FQ210" t="s">
        <v>37</v>
      </c>
      <c r="FS210" t="s">
        <v>37</v>
      </c>
      <c r="FU210" t="s">
        <v>37</v>
      </c>
      <c r="FW210" t="s">
        <v>37</v>
      </c>
      <c r="FY210" t="s">
        <v>37</v>
      </c>
      <c r="GA210" t="s">
        <v>37</v>
      </c>
      <c r="GB210">
        <v>303864</v>
      </c>
      <c r="GC210" t="s">
        <v>37</v>
      </c>
      <c r="GE210" t="s">
        <v>37</v>
      </c>
      <c r="GG210" t="s">
        <v>37</v>
      </c>
      <c r="GI210" t="s">
        <v>37</v>
      </c>
      <c r="GK210" t="s">
        <v>37</v>
      </c>
      <c r="GM210" t="s">
        <v>37</v>
      </c>
      <c r="GO210" t="s">
        <v>37</v>
      </c>
      <c r="GQ210" t="s">
        <v>37</v>
      </c>
      <c r="GS210" t="s">
        <v>37</v>
      </c>
      <c r="GU210" t="s">
        <v>37</v>
      </c>
      <c r="GW210" t="s">
        <v>37</v>
      </c>
      <c r="GY210" t="s">
        <v>37</v>
      </c>
      <c r="HA210" t="s">
        <v>37</v>
      </c>
      <c r="HC210" t="s">
        <v>37</v>
      </c>
      <c r="HE210" t="s">
        <v>37</v>
      </c>
      <c r="HF210">
        <v>9170110</v>
      </c>
      <c r="HG210" t="s">
        <v>37</v>
      </c>
      <c r="HI210" t="s">
        <v>37</v>
      </c>
      <c r="HJ210">
        <v>9170110</v>
      </c>
      <c r="HK210" t="s">
        <v>37</v>
      </c>
    </row>
    <row r="211" spans="1:219">
      <c r="A211">
        <v>3699</v>
      </c>
      <c r="B211" t="s">
        <v>227</v>
      </c>
      <c r="C211" t="s">
        <v>37</v>
      </c>
      <c r="E211" t="s">
        <v>37</v>
      </c>
      <c r="F211">
        <v>80</v>
      </c>
      <c r="G211" t="s">
        <v>37</v>
      </c>
      <c r="H211">
        <v>4476</v>
      </c>
      <c r="I211" t="s">
        <v>37</v>
      </c>
      <c r="K211" s="48" t="s">
        <v>37</v>
      </c>
      <c r="L211" s="51">
        <v>24911</v>
      </c>
      <c r="M211" s="48" t="s">
        <v>37</v>
      </c>
      <c r="N211" s="50"/>
      <c r="O211" s="48" t="s">
        <v>37</v>
      </c>
      <c r="P211" s="51">
        <v>2400</v>
      </c>
      <c r="Q211" s="48" t="s">
        <v>37</v>
      </c>
      <c r="R211" s="50"/>
      <c r="S211" s="48" t="s">
        <v>37</v>
      </c>
      <c r="T211">
        <v>475</v>
      </c>
      <c r="U211" t="s">
        <v>37</v>
      </c>
      <c r="W211" t="s">
        <v>37</v>
      </c>
      <c r="Y211" t="s">
        <v>37</v>
      </c>
      <c r="Z211">
        <v>1193</v>
      </c>
      <c r="AA211" t="s">
        <v>37</v>
      </c>
      <c r="AC211" t="s">
        <v>37</v>
      </c>
      <c r="AE211" t="s">
        <v>37</v>
      </c>
      <c r="AF211">
        <v>2803</v>
      </c>
      <c r="AG211" t="s">
        <v>37</v>
      </c>
      <c r="AI211" t="s">
        <v>37</v>
      </c>
      <c r="AK211" t="s">
        <v>37</v>
      </c>
      <c r="AM211" t="s">
        <v>37</v>
      </c>
      <c r="AO211" t="s">
        <v>37</v>
      </c>
      <c r="AQ211" t="s">
        <v>37</v>
      </c>
      <c r="AS211" t="s">
        <v>37</v>
      </c>
      <c r="AT211">
        <v>5366</v>
      </c>
      <c r="AU211" t="s">
        <v>37</v>
      </c>
      <c r="AW211" t="s">
        <v>37</v>
      </c>
      <c r="AY211" t="s">
        <v>37</v>
      </c>
      <c r="AZ211">
        <v>9571</v>
      </c>
      <c r="BA211" t="s">
        <v>37</v>
      </c>
      <c r="BB211">
        <v>4149</v>
      </c>
      <c r="BC211" t="s">
        <v>37</v>
      </c>
      <c r="BE211" t="s">
        <v>37</v>
      </c>
      <c r="BG211" t="s">
        <v>37</v>
      </c>
      <c r="BI211" t="s">
        <v>37</v>
      </c>
      <c r="BJ211">
        <v>21227</v>
      </c>
      <c r="BK211" t="s">
        <v>37</v>
      </c>
      <c r="BL211">
        <v>11853</v>
      </c>
      <c r="BM211" t="s">
        <v>37</v>
      </c>
      <c r="BO211" t="s">
        <v>37</v>
      </c>
      <c r="BP211">
        <v>1267</v>
      </c>
      <c r="BQ211" t="s">
        <v>37</v>
      </c>
      <c r="BS211" t="s">
        <v>37</v>
      </c>
      <c r="BU211" t="s">
        <v>37</v>
      </c>
      <c r="BW211" t="s">
        <v>37</v>
      </c>
      <c r="BY211" t="s">
        <v>37</v>
      </c>
      <c r="BZ211">
        <v>7399</v>
      </c>
      <c r="CA211" t="s">
        <v>37</v>
      </c>
      <c r="CC211" t="s">
        <v>37</v>
      </c>
      <c r="CE211" t="s">
        <v>37</v>
      </c>
      <c r="CG211" t="s">
        <v>37</v>
      </c>
      <c r="CI211" t="s">
        <v>37</v>
      </c>
      <c r="CK211" t="s">
        <v>37</v>
      </c>
      <c r="CM211" t="s">
        <v>37</v>
      </c>
      <c r="CO211" t="s">
        <v>37</v>
      </c>
      <c r="CQ211" t="s">
        <v>37</v>
      </c>
      <c r="CR211">
        <v>793</v>
      </c>
      <c r="CS211" t="s">
        <v>37</v>
      </c>
      <c r="CU211" t="s">
        <v>37</v>
      </c>
      <c r="CV211">
        <v>2689</v>
      </c>
      <c r="CW211" t="s">
        <v>37</v>
      </c>
      <c r="CY211" t="s">
        <v>37</v>
      </c>
      <c r="DA211" t="s">
        <v>37</v>
      </c>
      <c r="DC211" t="s">
        <v>37</v>
      </c>
      <c r="DD211">
        <v>22</v>
      </c>
      <c r="DE211" t="s">
        <v>37</v>
      </c>
      <c r="DG211" t="s">
        <v>37</v>
      </c>
      <c r="DH211">
        <v>7539</v>
      </c>
      <c r="DI211" t="s">
        <v>37</v>
      </c>
      <c r="DK211" t="s">
        <v>37</v>
      </c>
      <c r="DL211">
        <v>15119</v>
      </c>
      <c r="DM211" t="s">
        <v>37</v>
      </c>
      <c r="DO211" t="s">
        <v>37</v>
      </c>
      <c r="DQ211" t="s">
        <v>37</v>
      </c>
      <c r="DS211" t="s">
        <v>37</v>
      </c>
      <c r="DT211">
        <v>4500</v>
      </c>
      <c r="DU211" t="s">
        <v>37</v>
      </c>
      <c r="DV211">
        <v>899</v>
      </c>
      <c r="DW211" t="s">
        <v>37</v>
      </c>
      <c r="DX211">
        <v>7000</v>
      </c>
      <c r="DY211" t="s">
        <v>37</v>
      </c>
      <c r="EA211" t="s">
        <v>37</v>
      </c>
      <c r="EB211">
        <v>170612</v>
      </c>
      <c r="EC211" t="s">
        <v>37</v>
      </c>
      <c r="EE211" t="s">
        <v>37</v>
      </c>
      <c r="EG211" t="s">
        <v>37</v>
      </c>
      <c r="EI211" t="s">
        <v>37</v>
      </c>
      <c r="EJ211">
        <v>3693</v>
      </c>
      <c r="EK211" t="s">
        <v>37</v>
      </c>
      <c r="EL211">
        <v>1129</v>
      </c>
      <c r="EM211" t="s">
        <v>37</v>
      </c>
      <c r="EO211" t="s">
        <v>37</v>
      </c>
      <c r="EQ211" t="s">
        <v>37</v>
      </c>
      <c r="ER211">
        <v>6300</v>
      </c>
      <c r="ES211" t="s">
        <v>37</v>
      </c>
      <c r="ET211">
        <v>2533</v>
      </c>
      <c r="EU211" t="s">
        <v>37</v>
      </c>
      <c r="EV211">
        <v>2353</v>
      </c>
      <c r="EW211" t="s">
        <v>37</v>
      </c>
      <c r="EY211" t="s">
        <v>37</v>
      </c>
      <c r="FA211" t="s">
        <v>37</v>
      </c>
      <c r="FB211">
        <v>1461</v>
      </c>
      <c r="FC211" t="s">
        <v>37</v>
      </c>
      <c r="FE211" t="s">
        <v>37</v>
      </c>
      <c r="FG211" t="s">
        <v>37</v>
      </c>
      <c r="FH211">
        <v>3370</v>
      </c>
      <c r="FI211" t="s">
        <v>37</v>
      </c>
      <c r="FJ211">
        <v>432898</v>
      </c>
      <c r="FK211" t="s">
        <v>37</v>
      </c>
      <c r="FL211">
        <v>17772</v>
      </c>
      <c r="FM211" t="s">
        <v>37</v>
      </c>
      <c r="FN211">
        <v>47254</v>
      </c>
      <c r="FO211" t="s">
        <v>37</v>
      </c>
      <c r="FQ211" t="s">
        <v>37</v>
      </c>
      <c r="FS211" t="s">
        <v>37</v>
      </c>
      <c r="FU211" t="s">
        <v>37</v>
      </c>
      <c r="FW211" t="s">
        <v>37</v>
      </c>
      <c r="FY211" t="s">
        <v>37</v>
      </c>
      <c r="FZ211">
        <v>24303</v>
      </c>
      <c r="GA211" t="s">
        <v>37</v>
      </c>
      <c r="GB211">
        <v>209553</v>
      </c>
      <c r="GC211" t="s">
        <v>37</v>
      </c>
      <c r="GE211" t="s">
        <v>37</v>
      </c>
      <c r="GG211" t="s">
        <v>37</v>
      </c>
      <c r="GI211" t="s">
        <v>37</v>
      </c>
      <c r="GJ211">
        <v>59298</v>
      </c>
      <c r="GK211" t="s">
        <v>37</v>
      </c>
      <c r="GL211">
        <v>26717</v>
      </c>
      <c r="GM211" t="s">
        <v>37</v>
      </c>
      <c r="GO211" t="s">
        <v>37</v>
      </c>
      <c r="GP211">
        <v>90247</v>
      </c>
      <c r="GQ211" t="s">
        <v>37</v>
      </c>
      <c r="GR211">
        <v>54874</v>
      </c>
      <c r="GS211" t="s">
        <v>37</v>
      </c>
      <c r="GT211">
        <v>4695</v>
      </c>
      <c r="GU211" t="s">
        <v>37</v>
      </c>
      <c r="GW211" t="s">
        <v>37</v>
      </c>
      <c r="GX211">
        <v>39740</v>
      </c>
      <c r="GY211" t="s">
        <v>37</v>
      </c>
      <c r="HA211" t="s">
        <v>37</v>
      </c>
      <c r="HC211" t="s">
        <v>37</v>
      </c>
      <c r="HE211" t="s">
        <v>37</v>
      </c>
      <c r="HF211">
        <v>1334533</v>
      </c>
      <c r="HG211" t="s">
        <v>37</v>
      </c>
      <c r="HI211" t="s">
        <v>37</v>
      </c>
      <c r="HJ211">
        <v>1334533</v>
      </c>
      <c r="HK211" t="s">
        <v>37</v>
      </c>
    </row>
    <row r="212" spans="1:219">
      <c r="A212">
        <v>3800</v>
      </c>
      <c r="B212" t="s">
        <v>228</v>
      </c>
      <c r="C212" t="s">
        <v>37</v>
      </c>
      <c r="E212" t="s">
        <v>37</v>
      </c>
      <c r="G212" t="s">
        <v>37</v>
      </c>
      <c r="I212" t="s">
        <v>37</v>
      </c>
      <c r="K212" s="48" t="s">
        <v>37</v>
      </c>
      <c r="L212" s="50"/>
      <c r="M212" s="48" t="s">
        <v>37</v>
      </c>
      <c r="N212" s="50"/>
      <c r="O212" s="48" t="s">
        <v>37</v>
      </c>
      <c r="P212" s="50"/>
      <c r="Q212" s="48" t="s">
        <v>37</v>
      </c>
      <c r="R212" s="50"/>
      <c r="S212" s="48" t="s">
        <v>37</v>
      </c>
      <c r="U212" t="s">
        <v>37</v>
      </c>
      <c r="W212" t="s">
        <v>37</v>
      </c>
      <c r="Y212" t="s">
        <v>37</v>
      </c>
      <c r="AA212" t="s">
        <v>37</v>
      </c>
      <c r="AC212" t="s">
        <v>37</v>
      </c>
      <c r="AE212" t="s">
        <v>37</v>
      </c>
      <c r="AG212" t="s">
        <v>37</v>
      </c>
      <c r="AI212" t="s">
        <v>37</v>
      </c>
      <c r="AK212" t="s">
        <v>37</v>
      </c>
      <c r="AM212" t="s">
        <v>37</v>
      </c>
      <c r="AO212" t="s">
        <v>37</v>
      </c>
      <c r="AQ212" t="s">
        <v>37</v>
      </c>
      <c r="AS212" t="s">
        <v>37</v>
      </c>
      <c r="AU212" t="s">
        <v>37</v>
      </c>
      <c r="AW212" t="s">
        <v>37</v>
      </c>
      <c r="AY212" t="s">
        <v>37</v>
      </c>
      <c r="BA212" t="s">
        <v>37</v>
      </c>
      <c r="BC212" t="s">
        <v>37</v>
      </c>
      <c r="BE212" t="s">
        <v>37</v>
      </c>
      <c r="BG212" t="s">
        <v>37</v>
      </c>
      <c r="BI212" t="s">
        <v>37</v>
      </c>
      <c r="BK212" t="s">
        <v>37</v>
      </c>
      <c r="BM212" t="s">
        <v>37</v>
      </c>
      <c r="BO212" t="s">
        <v>37</v>
      </c>
      <c r="BQ212" t="s">
        <v>37</v>
      </c>
      <c r="BS212" t="s">
        <v>37</v>
      </c>
      <c r="BU212" t="s">
        <v>37</v>
      </c>
      <c r="BW212" t="s">
        <v>37</v>
      </c>
      <c r="BY212" t="s">
        <v>37</v>
      </c>
      <c r="CA212" t="s">
        <v>37</v>
      </c>
      <c r="CC212" t="s">
        <v>37</v>
      </c>
      <c r="CE212" t="s">
        <v>37</v>
      </c>
      <c r="CG212" t="s">
        <v>37</v>
      </c>
      <c r="CI212" t="s">
        <v>37</v>
      </c>
      <c r="CK212" t="s">
        <v>37</v>
      </c>
      <c r="CM212" t="s">
        <v>37</v>
      </c>
      <c r="CO212" t="s">
        <v>37</v>
      </c>
      <c r="CQ212" t="s">
        <v>37</v>
      </c>
      <c r="CS212" t="s">
        <v>37</v>
      </c>
      <c r="CU212" t="s">
        <v>37</v>
      </c>
      <c r="CW212" t="s">
        <v>37</v>
      </c>
      <c r="CY212" t="s">
        <v>37</v>
      </c>
      <c r="DA212" t="s">
        <v>37</v>
      </c>
      <c r="DC212" t="s">
        <v>37</v>
      </c>
      <c r="DE212" t="s">
        <v>37</v>
      </c>
      <c r="DG212" t="s">
        <v>37</v>
      </c>
      <c r="DI212" t="s">
        <v>37</v>
      </c>
      <c r="DK212" t="s">
        <v>37</v>
      </c>
      <c r="DM212" t="s">
        <v>37</v>
      </c>
      <c r="DO212" t="s">
        <v>37</v>
      </c>
      <c r="DQ212" t="s">
        <v>37</v>
      </c>
      <c r="DS212" t="s">
        <v>37</v>
      </c>
      <c r="DU212" t="s">
        <v>37</v>
      </c>
      <c r="DW212" t="s">
        <v>37</v>
      </c>
      <c r="DY212" t="s">
        <v>37</v>
      </c>
      <c r="EA212" t="s">
        <v>37</v>
      </c>
      <c r="EC212" t="s">
        <v>37</v>
      </c>
      <c r="EE212" t="s">
        <v>37</v>
      </c>
      <c r="EG212" t="s">
        <v>37</v>
      </c>
      <c r="EI212" t="s">
        <v>37</v>
      </c>
      <c r="EK212" t="s">
        <v>37</v>
      </c>
      <c r="EM212" t="s">
        <v>37</v>
      </c>
      <c r="EO212" t="s">
        <v>37</v>
      </c>
      <c r="EQ212" t="s">
        <v>37</v>
      </c>
      <c r="ES212" t="s">
        <v>37</v>
      </c>
      <c r="EU212" t="s">
        <v>37</v>
      </c>
      <c r="EW212" t="s">
        <v>37</v>
      </c>
      <c r="EY212" t="s">
        <v>37</v>
      </c>
      <c r="FA212" t="s">
        <v>37</v>
      </c>
      <c r="FC212" t="s">
        <v>37</v>
      </c>
      <c r="FE212" t="s">
        <v>37</v>
      </c>
      <c r="FG212" t="s">
        <v>37</v>
      </c>
      <c r="FI212" t="s">
        <v>37</v>
      </c>
      <c r="FK212" t="s">
        <v>37</v>
      </c>
      <c r="FM212" t="s">
        <v>37</v>
      </c>
      <c r="FO212" t="s">
        <v>37</v>
      </c>
      <c r="FQ212" t="s">
        <v>37</v>
      </c>
      <c r="FS212" t="s">
        <v>37</v>
      </c>
      <c r="FU212" t="s">
        <v>37</v>
      </c>
      <c r="FW212" t="s">
        <v>37</v>
      </c>
      <c r="FY212" t="s">
        <v>37</v>
      </c>
      <c r="GA212" t="s">
        <v>37</v>
      </c>
      <c r="GC212" t="s">
        <v>37</v>
      </c>
      <c r="GE212" t="s">
        <v>37</v>
      </c>
      <c r="GG212" t="s">
        <v>37</v>
      </c>
      <c r="GI212" t="s">
        <v>37</v>
      </c>
      <c r="GK212" t="s">
        <v>37</v>
      </c>
      <c r="GM212" t="s">
        <v>37</v>
      </c>
      <c r="GO212" t="s">
        <v>37</v>
      </c>
      <c r="GQ212" t="s">
        <v>37</v>
      </c>
      <c r="GS212" t="s">
        <v>37</v>
      </c>
      <c r="GU212" t="s">
        <v>37</v>
      </c>
      <c r="GW212" t="s">
        <v>37</v>
      </c>
      <c r="GY212" t="s">
        <v>37</v>
      </c>
      <c r="HA212" t="s">
        <v>37</v>
      </c>
      <c r="HC212" t="s">
        <v>37</v>
      </c>
      <c r="HE212" t="s">
        <v>37</v>
      </c>
      <c r="HG212" t="s">
        <v>37</v>
      </c>
      <c r="HI212" t="s">
        <v>37</v>
      </c>
      <c r="HK212" t="s">
        <v>37</v>
      </c>
    </row>
    <row r="213" spans="1:219">
      <c r="A213">
        <v>3810</v>
      </c>
      <c r="B213" t="s">
        <v>229</v>
      </c>
      <c r="C213" t="s">
        <v>37</v>
      </c>
      <c r="D213">
        <v>1321955</v>
      </c>
      <c r="E213" t="s">
        <v>37</v>
      </c>
      <c r="F213">
        <v>8147500</v>
      </c>
      <c r="G213" t="s">
        <v>37</v>
      </c>
      <c r="H213">
        <v>413385</v>
      </c>
      <c r="I213" t="s">
        <v>37</v>
      </c>
      <c r="J213">
        <v>45432</v>
      </c>
      <c r="K213" s="48" t="s">
        <v>37</v>
      </c>
      <c r="L213" s="51">
        <v>1717987</v>
      </c>
      <c r="M213" s="48" t="s">
        <v>37</v>
      </c>
      <c r="N213" s="51">
        <v>958028</v>
      </c>
      <c r="O213" s="48" t="s">
        <v>37</v>
      </c>
      <c r="P213" s="51">
        <v>539881</v>
      </c>
      <c r="Q213" s="48" t="s">
        <v>37</v>
      </c>
      <c r="R213" s="51">
        <v>1045976</v>
      </c>
      <c r="S213" s="48" t="s">
        <v>37</v>
      </c>
      <c r="T213">
        <v>3707699</v>
      </c>
      <c r="U213" t="s">
        <v>37</v>
      </c>
      <c r="V213">
        <v>181347</v>
      </c>
      <c r="W213" t="s">
        <v>37</v>
      </c>
      <c r="X213">
        <v>411803</v>
      </c>
      <c r="Y213" t="s">
        <v>37</v>
      </c>
      <c r="Z213">
        <v>474587</v>
      </c>
      <c r="AA213" t="s">
        <v>37</v>
      </c>
      <c r="AB213">
        <v>349410</v>
      </c>
      <c r="AC213" t="s">
        <v>37</v>
      </c>
      <c r="AD213">
        <v>183447</v>
      </c>
      <c r="AE213" t="s">
        <v>37</v>
      </c>
      <c r="AF213">
        <v>232270</v>
      </c>
      <c r="AG213" t="s">
        <v>37</v>
      </c>
      <c r="AH213">
        <v>597820</v>
      </c>
      <c r="AI213" t="s">
        <v>37</v>
      </c>
      <c r="AK213" t="s">
        <v>37</v>
      </c>
      <c r="AL213">
        <v>7036261</v>
      </c>
      <c r="AM213" t="s">
        <v>37</v>
      </c>
      <c r="AO213" t="s">
        <v>37</v>
      </c>
      <c r="AP213">
        <v>8124018</v>
      </c>
      <c r="AQ213" t="s">
        <v>37</v>
      </c>
      <c r="AR213">
        <v>785314</v>
      </c>
      <c r="AS213" t="s">
        <v>37</v>
      </c>
      <c r="AT213">
        <v>16955782</v>
      </c>
      <c r="AU213" t="s">
        <v>37</v>
      </c>
      <c r="AV213">
        <v>2842750</v>
      </c>
      <c r="AW213" t="s">
        <v>37</v>
      </c>
      <c r="AX213">
        <v>2027221</v>
      </c>
      <c r="AY213" t="s">
        <v>37</v>
      </c>
      <c r="AZ213">
        <v>1858326</v>
      </c>
      <c r="BA213" t="s">
        <v>37</v>
      </c>
      <c r="BB213">
        <v>322096</v>
      </c>
      <c r="BC213" t="s">
        <v>37</v>
      </c>
      <c r="BD213">
        <v>581142</v>
      </c>
      <c r="BE213" t="s">
        <v>37</v>
      </c>
      <c r="BF213">
        <v>288106</v>
      </c>
      <c r="BG213" t="s">
        <v>37</v>
      </c>
      <c r="BH213">
        <v>41143</v>
      </c>
      <c r="BI213" t="s">
        <v>37</v>
      </c>
      <c r="BJ213">
        <v>2098075</v>
      </c>
      <c r="BK213" t="s">
        <v>37</v>
      </c>
      <c r="BL213">
        <v>3748257</v>
      </c>
      <c r="BM213" t="s">
        <v>37</v>
      </c>
      <c r="BN213">
        <v>53077</v>
      </c>
      <c r="BO213" t="s">
        <v>37</v>
      </c>
      <c r="BP213">
        <v>142946</v>
      </c>
      <c r="BQ213" t="s">
        <v>37</v>
      </c>
      <c r="BR213">
        <v>517989</v>
      </c>
      <c r="BS213" t="s">
        <v>37</v>
      </c>
      <c r="BT213">
        <v>184116</v>
      </c>
      <c r="BU213" t="s">
        <v>37</v>
      </c>
      <c r="BV213">
        <v>185463</v>
      </c>
      <c r="BW213" t="s">
        <v>37</v>
      </c>
      <c r="BX213">
        <v>6075787</v>
      </c>
      <c r="BY213" t="s">
        <v>37</v>
      </c>
      <c r="BZ213">
        <v>888604</v>
      </c>
      <c r="CA213" t="s">
        <v>37</v>
      </c>
      <c r="CC213" t="s">
        <v>37</v>
      </c>
      <c r="CD213">
        <v>1553034</v>
      </c>
      <c r="CE213" t="s">
        <v>37</v>
      </c>
      <c r="CF213">
        <v>1395634</v>
      </c>
      <c r="CG213" t="s">
        <v>37</v>
      </c>
      <c r="CH213">
        <v>4230371</v>
      </c>
      <c r="CI213" t="s">
        <v>37</v>
      </c>
      <c r="CJ213">
        <v>290640</v>
      </c>
      <c r="CK213" t="s">
        <v>37</v>
      </c>
      <c r="CL213">
        <v>802083</v>
      </c>
      <c r="CM213" t="s">
        <v>37</v>
      </c>
      <c r="CN213">
        <v>309117</v>
      </c>
      <c r="CO213" t="s">
        <v>37</v>
      </c>
      <c r="CP213">
        <v>276138</v>
      </c>
      <c r="CQ213" t="s">
        <v>37</v>
      </c>
      <c r="CR213">
        <v>4615361</v>
      </c>
      <c r="CS213" t="s">
        <v>37</v>
      </c>
      <c r="CT213">
        <v>23410334</v>
      </c>
      <c r="CU213" t="s">
        <v>37</v>
      </c>
      <c r="CV213">
        <v>2163644</v>
      </c>
      <c r="CW213" t="s">
        <v>37</v>
      </c>
      <c r="CX213">
        <v>325627</v>
      </c>
      <c r="CY213" t="s">
        <v>37</v>
      </c>
      <c r="CZ213">
        <v>164380</v>
      </c>
      <c r="DA213" t="s">
        <v>37</v>
      </c>
      <c r="DB213">
        <v>75853</v>
      </c>
      <c r="DC213" t="s">
        <v>37</v>
      </c>
      <c r="DD213">
        <v>839282</v>
      </c>
      <c r="DE213" t="s">
        <v>37</v>
      </c>
      <c r="DF213">
        <v>493246</v>
      </c>
      <c r="DG213" t="s">
        <v>37</v>
      </c>
      <c r="DH213">
        <v>11696932</v>
      </c>
      <c r="DI213" t="s">
        <v>37</v>
      </c>
      <c r="DJ213">
        <v>980937</v>
      </c>
      <c r="DK213" t="s">
        <v>37</v>
      </c>
      <c r="DL213">
        <v>3705358</v>
      </c>
      <c r="DM213" t="s">
        <v>37</v>
      </c>
      <c r="DN213">
        <v>3724743</v>
      </c>
      <c r="DO213" t="s">
        <v>37</v>
      </c>
      <c r="DP213">
        <v>1824066</v>
      </c>
      <c r="DQ213" t="s">
        <v>37</v>
      </c>
      <c r="DR213">
        <v>933593</v>
      </c>
      <c r="DS213" t="s">
        <v>37</v>
      </c>
      <c r="DT213">
        <v>908086</v>
      </c>
      <c r="DU213" t="s">
        <v>37</v>
      </c>
      <c r="DV213">
        <v>8055568</v>
      </c>
      <c r="DW213" t="s">
        <v>37</v>
      </c>
      <c r="DX213">
        <v>4999144</v>
      </c>
      <c r="DY213" t="s">
        <v>37</v>
      </c>
      <c r="DZ213">
        <v>992749</v>
      </c>
      <c r="EA213" t="s">
        <v>37</v>
      </c>
      <c r="EB213">
        <v>913225</v>
      </c>
      <c r="EC213" t="s">
        <v>37</v>
      </c>
      <c r="ED213">
        <v>10580071</v>
      </c>
      <c r="EE213" t="s">
        <v>37</v>
      </c>
      <c r="EF213">
        <v>404119</v>
      </c>
      <c r="EG213" t="s">
        <v>37</v>
      </c>
      <c r="EH213">
        <v>104952</v>
      </c>
      <c r="EI213" t="s">
        <v>37</v>
      </c>
      <c r="EJ213">
        <v>777587</v>
      </c>
      <c r="EK213" t="s">
        <v>37</v>
      </c>
      <c r="EL213">
        <v>489668</v>
      </c>
      <c r="EM213" t="s">
        <v>37</v>
      </c>
      <c r="EN213">
        <v>321595</v>
      </c>
      <c r="EO213" t="s">
        <v>37</v>
      </c>
      <c r="EP213">
        <v>172368</v>
      </c>
      <c r="EQ213" t="s">
        <v>37</v>
      </c>
      <c r="ER213">
        <v>990059</v>
      </c>
      <c r="ES213" t="s">
        <v>37</v>
      </c>
      <c r="ET213">
        <v>2148612</v>
      </c>
      <c r="EU213" t="s">
        <v>37</v>
      </c>
      <c r="EV213">
        <v>3948128</v>
      </c>
      <c r="EW213" t="s">
        <v>37</v>
      </c>
      <c r="EY213" t="s">
        <v>37</v>
      </c>
      <c r="EZ213">
        <v>1180108</v>
      </c>
      <c r="FA213" t="s">
        <v>37</v>
      </c>
      <c r="FB213">
        <v>941588</v>
      </c>
      <c r="FC213" t="s">
        <v>37</v>
      </c>
      <c r="FD213">
        <v>3520353</v>
      </c>
      <c r="FE213" t="s">
        <v>37</v>
      </c>
      <c r="FG213" t="s">
        <v>37</v>
      </c>
      <c r="FH213">
        <v>5897452</v>
      </c>
      <c r="FI213" t="s">
        <v>37</v>
      </c>
      <c r="FJ213">
        <v>13184416</v>
      </c>
      <c r="FK213" t="s">
        <v>37</v>
      </c>
      <c r="FL213">
        <v>8759333</v>
      </c>
      <c r="FM213" t="s">
        <v>37</v>
      </c>
      <c r="FN213">
        <v>832712</v>
      </c>
      <c r="FO213" t="s">
        <v>37</v>
      </c>
      <c r="FP213">
        <v>2081756</v>
      </c>
      <c r="FQ213" t="s">
        <v>37</v>
      </c>
      <c r="FR213">
        <v>3198243</v>
      </c>
      <c r="FS213" t="s">
        <v>37</v>
      </c>
      <c r="FT213">
        <v>1091770</v>
      </c>
      <c r="FU213" t="s">
        <v>37</v>
      </c>
      <c r="FV213">
        <v>892411</v>
      </c>
      <c r="FW213" t="s">
        <v>37</v>
      </c>
      <c r="FX213">
        <v>1681807</v>
      </c>
      <c r="FY213" t="s">
        <v>37</v>
      </c>
      <c r="FZ213">
        <v>3175730</v>
      </c>
      <c r="GA213" t="s">
        <v>37</v>
      </c>
      <c r="GB213">
        <v>4896380</v>
      </c>
      <c r="GC213" t="s">
        <v>37</v>
      </c>
      <c r="GD213">
        <v>212647</v>
      </c>
      <c r="GE213" t="s">
        <v>37</v>
      </c>
      <c r="GG213" t="s">
        <v>37</v>
      </c>
      <c r="GI213" t="s">
        <v>37</v>
      </c>
      <c r="GJ213">
        <v>1808552</v>
      </c>
      <c r="GK213" t="s">
        <v>37</v>
      </c>
      <c r="GL213">
        <v>2452050</v>
      </c>
      <c r="GM213" t="s">
        <v>37</v>
      </c>
      <c r="GO213" t="s">
        <v>37</v>
      </c>
      <c r="GP213">
        <v>1564231</v>
      </c>
      <c r="GQ213" t="s">
        <v>37</v>
      </c>
      <c r="GR213">
        <v>1366370</v>
      </c>
      <c r="GS213" t="s">
        <v>37</v>
      </c>
      <c r="GT213">
        <v>1805466</v>
      </c>
      <c r="GU213" t="s">
        <v>37</v>
      </c>
      <c r="GV213">
        <v>1655984</v>
      </c>
      <c r="GW213" t="s">
        <v>37</v>
      </c>
      <c r="GX213">
        <v>5991204</v>
      </c>
      <c r="GY213" t="s">
        <v>37</v>
      </c>
      <c r="GZ213">
        <v>2081523</v>
      </c>
      <c r="HA213" t="s">
        <v>37</v>
      </c>
      <c r="HC213" t="s">
        <v>37</v>
      </c>
      <c r="HE213" t="s">
        <v>37</v>
      </c>
      <c r="HF213">
        <v>244973390</v>
      </c>
      <c r="HG213" t="s">
        <v>37</v>
      </c>
      <c r="HI213" t="s">
        <v>37</v>
      </c>
      <c r="HJ213">
        <v>244973390</v>
      </c>
      <c r="HK213" t="s">
        <v>37</v>
      </c>
    </row>
    <row r="214" spans="1:219">
      <c r="A214">
        <v>3820</v>
      </c>
      <c r="B214" t="s">
        <v>230</v>
      </c>
      <c r="C214" t="s">
        <v>37</v>
      </c>
      <c r="D214">
        <v>837366</v>
      </c>
      <c r="E214" t="s">
        <v>37</v>
      </c>
      <c r="G214" t="s">
        <v>37</v>
      </c>
      <c r="H214">
        <v>304127</v>
      </c>
      <c r="I214" t="s">
        <v>37</v>
      </c>
      <c r="J214">
        <v>27559</v>
      </c>
      <c r="K214" s="48" t="s">
        <v>37</v>
      </c>
      <c r="L214" s="51">
        <v>882249</v>
      </c>
      <c r="M214" s="48" t="s">
        <v>37</v>
      </c>
      <c r="N214" s="51">
        <v>791024</v>
      </c>
      <c r="O214" s="48" t="s">
        <v>37</v>
      </c>
      <c r="P214" s="51">
        <v>371997</v>
      </c>
      <c r="Q214" s="48" t="s">
        <v>37</v>
      </c>
      <c r="R214" s="51">
        <v>592880</v>
      </c>
      <c r="S214" s="48" t="s">
        <v>37</v>
      </c>
      <c r="T214">
        <v>2171654</v>
      </c>
      <c r="U214" t="s">
        <v>37</v>
      </c>
      <c r="V214">
        <v>55214</v>
      </c>
      <c r="W214" t="s">
        <v>37</v>
      </c>
      <c r="X214">
        <v>150151</v>
      </c>
      <c r="Y214" t="s">
        <v>37</v>
      </c>
      <c r="Z214">
        <v>330844</v>
      </c>
      <c r="AA214" t="s">
        <v>37</v>
      </c>
      <c r="AB214">
        <v>240388</v>
      </c>
      <c r="AC214" t="s">
        <v>37</v>
      </c>
      <c r="AD214">
        <v>123417</v>
      </c>
      <c r="AE214" t="s">
        <v>37</v>
      </c>
      <c r="AF214">
        <v>115085</v>
      </c>
      <c r="AG214" t="s">
        <v>37</v>
      </c>
      <c r="AH214">
        <v>301635</v>
      </c>
      <c r="AI214" t="s">
        <v>37</v>
      </c>
      <c r="AJ214">
        <v>63654</v>
      </c>
      <c r="AK214" t="s">
        <v>37</v>
      </c>
      <c r="AL214">
        <v>2439630</v>
      </c>
      <c r="AM214" t="s">
        <v>37</v>
      </c>
      <c r="AO214" t="s">
        <v>37</v>
      </c>
      <c r="AP214">
        <v>2705991</v>
      </c>
      <c r="AQ214" t="s">
        <v>37</v>
      </c>
      <c r="AR214">
        <v>301400</v>
      </c>
      <c r="AS214" t="s">
        <v>37</v>
      </c>
      <c r="AT214">
        <v>3592450</v>
      </c>
      <c r="AU214" t="s">
        <v>37</v>
      </c>
      <c r="AV214">
        <v>1367886</v>
      </c>
      <c r="AW214" t="s">
        <v>37</v>
      </c>
      <c r="AX214">
        <v>1094721</v>
      </c>
      <c r="AY214" t="s">
        <v>37</v>
      </c>
      <c r="AZ214">
        <v>888965</v>
      </c>
      <c r="BA214" t="s">
        <v>37</v>
      </c>
      <c r="BB214">
        <v>227465</v>
      </c>
      <c r="BC214" t="s">
        <v>37</v>
      </c>
      <c r="BD214">
        <v>1830835</v>
      </c>
      <c r="BE214" t="s">
        <v>37</v>
      </c>
      <c r="BF214">
        <v>143021</v>
      </c>
      <c r="BG214" t="s">
        <v>37</v>
      </c>
      <c r="BI214" t="s">
        <v>37</v>
      </c>
      <c r="BJ214">
        <v>727201</v>
      </c>
      <c r="BK214" t="s">
        <v>37</v>
      </c>
      <c r="BL214">
        <v>1637395</v>
      </c>
      <c r="BM214" t="s">
        <v>37</v>
      </c>
      <c r="BN214">
        <v>22203</v>
      </c>
      <c r="BO214" t="s">
        <v>37</v>
      </c>
      <c r="BP214">
        <v>56405</v>
      </c>
      <c r="BQ214" t="s">
        <v>37</v>
      </c>
      <c r="BR214">
        <v>248374</v>
      </c>
      <c r="BS214" t="s">
        <v>37</v>
      </c>
      <c r="BT214">
        <v>103148</v>
      </c>
      <c r="BU214" t="s">
        <v>37</v>
      </c>
      <c r="BV214">
        <v>55978</v>
      </c>
      <c r="BW214" t="s">
        <v>37</v>
      </c>
      <c r="BX214">
        <v>1490744</v>
      </c>
      <c r="BY214" t="s">
        <v>37</v>
      </c>
      <c r="BZ214">
        <v>634879</v>
      </c>
      <c r="CA214" t="s">
        <v>37</v>
      </c>
      <c r="CC214" t="s">
        <v>37</v>
      </c>
      <c r="CD214">
        <v>613681</v>
      </c>
      <c r="CE214" t="s">
        <v>37</v>
      </c>
      <c r="CF214">
        <v>673986</v>
      </c>
      <c r="CG214" t="s">
        <v>37</v>
      </c>
      <c r="CH214">
        <v>1763548</v>
      </c>
      <c r="CI214" t="s">
        <v>37</v>
      </c>
      <c r="CJ214">
        <v>274744</v>
      </c>
      <c r="CK214" t="s">
        <v>37</v>
      </c>
      <c r="CL214">
        <v>473576</v>
      </c>
      <c r="CM214" t="s">
        <v>37</v>
      </c>
      <c r="CN214">
        <v>170795</v>
      </c>
      <c r="CO214" t="s">
        <v>37</v>
      </c>
      <c r="CP214">
        <v>170328</v>
      </c>
      <c r="CQ214" t="s">
        <v>37</v>
      </c>
      <c r="CR214">
        <v>1198330</v>
      </c>
      <c r="CS214" t="s">
        <v>37</v>
      </c>
      <c r="CT214">
        <v>8172065</v>
      </c>
      <c r="CU214" t="s">
        <v>37</v>
      </c>
      <c r="CV214">
        <v>1918798</v>
      </c>
      <c r="CW214" t="s">
        <v>37</v>
      </c>
      <c r="CX214">
        <v>232645</v>
      </c>
      <c r="CY214" t="s">
        <v>37</v>
      </c>
      <c r="CZ214">
        <v>259918</v>
      </c>
      <c r="DA214" t="s">
        <v>37</v>
      </c>
      <c r="DB214">
        <v>71870</v>
      </c>
      <c r="DC214" t="s">
        <v>37</v>
      </c>
      <c r="DD214">
        <v>460727</v>
      </c>
      <c r="DE214" t="s">
        <v>37</v>
      </c>
      <c r="DF214">
        <v>266112</v>
      </c>
      <c r="DG214" t="s">
        <v>37</v>
      </c>
      <c r="DH214">
        <v>5072503</v>
      </c>
      <c r="DI214" t="s">
        <v>37</v>
      </c>
      <c r="DJ214">
        <v>298506</v>
      </c>
      <c r="DK214" t="s">
        <v>37</v>
      </c>
      <c r="DL214">
        <v>1345884</v>
      </c>
      <c r="DM214" t="s">
        <v>37</v>
      </c>
      <c r="DN214">
        <v>1572993</v>
      </c>
      <c r="DO214" t="s">
        <v>37</v>
      </c>
      <c r="DP214">
        <v>788798</v>
      </c>
      <c r="DQ214" t="s">
        <v>37</v>
      </c>
      <c r="DR214">
        <v>524196</v>
      </c>
      <c r="DS214" t="s">
        <v>37</v>
      </c>
      <c r="DT214">
        <v>906298</v>
      </c>
      <c r="DU214" t="s">
        <v>37</v>
      </c>
      <c r="DV214">
        <v>2860310</v>
      </c>
      <c r="DW214" t="s">
        <v>37</v>
      </c>
      <c r="DX214">
        <v>1534444</v>
      </c>
      <c r="DY214" t="s">
        <v>37</v>
      </c>
      <c r="DZ214">
        <v>506051</v>
      </c>
      <c r="EA214" t="s">
        <v>37</v>
      </c>
      <c r="EB214">
        <v>404589</v>
      </c>
      <c r="EC214" t="s">
        <v>37</v>
      </c>
      <c r="ED214">
        <v>2153750</v>
      </c>
      <c r="EE214" t="s">
        <v>37</v>
      </c>
      <c r="EF214">
        <v>331519</v>
      </c>
      <c r="EG214" t="s">
        <v>37</v>
      </c>
      <c r="EH214">
        <v>76575</v>
      </c>
      <c r="EI214" t="s">
        <v>37</v>
      </c>
      <c r="EJ214">
        <v>327818</v>
      </c>
      <c r="EK214" t="s">
        <v>37</v>
      </c>
      <c r="EL214">
        <v>217196</v>
      </c>
      <c r="EM214" t="s">
        <v>37</v>
      </c>
      <c r="EN214">
        <v>134326</v>
      </c>
      <c r="EO214" t="s">
        <v>37</v>
      </c>
      <c r="EP214">
        <v>67445</v>
      </c>
      <c r="EQ214" t="s">
        <v>37</v>
      </c>
      <c r="ER214">
        <v>665842</v>
      </c>
      <c r="ES214" t="s">
        <v>37</v>
      </c>
      <c r="ET214">
        <v>1549572</v>
      </c>
      <c r="EU214" t="s">
        <v>37</v>
      </c>
      <c r="EV214">
        <v>1849424</v>
      </c>
      <c r="EW214" t="s">
        <v>37</v>
      </c>
      <c r="EY214" t="s">
        <v>37</v>
      </c>
      <c r="EZ214">
        <v>657680</v>
      </c>
      <c r="FA214" t="s">
        <v>37</v>
      </c>
      <c r="FB214">
        <v>445795</v>
      </c>
      <c r="FC214" t="s">
        <v>37</v>
      </c>
      <c r="FD214">
        <v>1326604</v>
      </c>
      <c r="FE214" t="s">
        <v>37</v>
      </c>
      <c r="FG214" t="s">
        <v>37</v>
      </c>
      <c r="FH214">
        <v>2218752</v>
      </c>
      <c r="FI214" t="s">
        <v>37</v>
      </c>
      <c r="FJ214">
        <v>4777289</v>
      </c>
      <c r="FK214" t="s">
        <v>37</v>
      </c>
      <c r="FM214" t="s">
        <v>37</v>
      </c>
      <c r="FN214">
        <v>445048</v>
      </c>
      <c r="FO214" t="s">
        <v>37</v>
      </c>
      <c r="FP214">
        <v>930351</v>
      </c>
      <c r="FQ214" t="s">
        <v>37</v>
      </c>
      <c r="FR214">
        <v>1012754</v>
      </c>
      <c r="FS214" t="s">
        <v>37</v>
      </c>
      <c r="FT214">
        <v>580080</v>
      </c>
      <c r="FU214" t="s">
        <v>37</v>
      </c>
      <c r="FV214">
        <v>367139</v>
      </c>
      <c r="FW214" t="s">
        <v>37</v>
      </c>
      <c r="FX214">
        <v>913844</v>
      </c>
      <c r="FY214" t="s">
        <v>37</v>
      </c>
      <c r="FZ214">
        <v>1188759</v>
      </c>
      <c r="GA214" t="s">
        <v>37</v>
      </c>
      <c r="GB214">
        <v>1749540</v>
      </c>
      <c r="GC214" t="s">
        <v>37</v>
      </c>
      <c r="GD214">
        <v>67505</v>
      </c>
      <c r="GE214" t="s">
        <v>37</v>
      </c>
      <c r="GF214">
        <v>67370</v>
      </c>
      <c r="GG214" t="s">
        <v>37</v>
      </c>
      <c r="GH214">
        <v>101632</v>
      </c>
      <c r="GI214" t="s">
        <v>37</v>
      </c>
      <c r="GJ214">
        <v>698050</v>
      </c>
      <c r="GK214" t="s">
        <v>37</v>
      </c>
      <c r="GL214">
        <v>879843</v>
      </c>
      <c r="GM214" t="s">
        <v>37</v>
      </c>
      <c r="GO214" t="s">
        <v>37</v>
      </c>
      <c r="GP214">
        <v>903969</v>
      </c>
      <c r="GQ214" t="s">
        <v>37</v>
      </c>
      <c r="GR214">
        <v>656438</v>
      </c>
      <c r="GS214" t="s">
        <v>37</v>
      </c>
      <c r="GT214">
        <v>710678</v>
      </c>
      <c r="GU214" t="s">
        <v>37</v>
      </c>
      <c r="GV214">
        <v>668537</v>
      </c>
      <c r="GW214" t="s">
        <v>37</v>
      </c>
      <c r="GX214">
        <v>2205422</v>
      </c>
      <c r="GY214" t="s">
        <v>37</v>
      </c>
      <c r="GZ214">
        <v>728059</v>
      </c>
      <c r="HA214" t="s">
        <v>37</v>
      </c>
      <c r="HC214" t="s">
        <v>37</v>
      </c>
      <c r="HE214" t="s">
        <v>37</v>
      </c>
      <c r="HF214">
        <v>91138235</v>
      </c>
      <c r="HG214" t="s">
        <v>37</v>
      </c>
      <c r="HI214" t="s">
        <v>37</v>
      </c>
      <c r="HJ214">
        <v>91138235</v>
      </c>
      <c r="HK214" t="s">
        <v>37</v>
      </c>
    </row>
    <row r="215" spans="1:219">
      <c r="A215">
        <v>3830</v>
      </c>
      <c r="B215" t="s">
        <v>231</v>
      </c>
      <c r="C215" t="s">
        <v>37</v>
      </c>
      <c r="E215" t="s">
        <v>37</v>
      </c>
      <c r="G215" t="s">
        <v>37</v>
      </c>
      <c r="H215">
        <v>30430</v>
      </c>
      <c r="I215" t="s">
        <v>37</v>
      </c>
      <c r="J215">
        <v>3409</v>
      </c>
      <c r="K215" s="48" t="s">
        <v>37</v>
      </c>
      <c r="L215" s="51">
        <v>58160</v>
      </c>
      <c r="M215" s="48" t="s">
        <v>37</v>
      </c>
      <c r="N215" s="51">
        <v>66073</v>
      </c>
      <c r="O215" s="48" t="s">
        <v>37</v>
      </c>
      <c r="P215" s="51">
        <v>8665</v>
      </c>
      <c r="Q215" s="48" t="s">
        <v>37</v>
      </c>
      <c r="R215" s="51">
        <v>28731</v>
      </c>
      <c r="S215" s="48" t="s">
        <v>37</v>
      </c>
      <c r="T215">
        <v>366910</v>
      </c>
      <c r="U215" t="s">
        <v>37</v>
      </c>
      <c r="W215" t="s">
        <v>37</v>
      </c>
      <c r="X215">
        <v>15145</v>
      </c>
      <c r="Y215" t="s">
        <v>37</v>
      </c>
      <c r="Z215">
        <v>21584</v>
      </c>
      <c r="AA215" t="s">
        <v>37</v>
      </c>
      <c r="AB215">
        <v>35396</v>
      </c>
      <c r="AC215" t="s">
        <v>37</v>
      </c>
      <c r="AD215">
        <v>4578</v>
      </c>
      <c r="AE215" t="s">
        <v>37</v>
      </c>
      <c r="AF215">
        <v>14104</v>
      </c>
      <c r="AG215" t="s">
        <v>37</v>
      </c>
      <c r="AH215">
        <v>48022</v>
      </c>
      <c r="AI215" t="s">
        <v>37</v>
      </c>
      <c r="AJ215">
        <v>8429</v>
      </c>
      <c r="AK215" t="s">
        <v>37</v>
      </c>
      <c r="AL215">
        <v>418067</v>
      </c>
      <c r="AM215" t="s">
        <v>37</v>
      </c>
      <c r="AO215" t="s">
        <v>37</v>
      </c>
      <c r="AP215">
        <v>245768</v>
      </c>
      <c r="AQ215" t="s">
        <v>37</v>
      </c>
      <c r="AR215">
        <v>27261</v>
      </c>
      <c r="AS215" t="s">
        <v>37</v>
      </c>
      <c r="AT215">
        <v>2394290</v>
      </c>
      <c r="AU215" t="s">
        <v>37</v>
      </c>
      <c r="AV215">
        <v>158686</v>
      </c>
      <c r="AW215" t="s">
        <v>37</v>
      </c>
      <c r="AX215">
        <v>129377</v>
      </c>
      <c r="AY215" t="s">
        <v>37</v>
      </c>
      <c r="AZ215">
        <v>113390</v>
      </c>
      <c r="BA215" t="s">
        <v>37</v>
      </c>
      <c r="BB215">
        <v>6889</v>
      </c>
      <c r="BC215" t="s">
        <v>37</v>
      </c>
      <c r="BD215">
        <v>57864</v>
      </c>
      <c r="BE215" t="s">
        <v>37</v>
      </c>
      <c r="BF215">
        <v>5511</v>
      </c>
      <c r="BG215" t="s">
        <v>37</v>
      </c>
      <c r="BI215" t="s">
        <v>37</v>
      </c>
      <c r="BJ215">
        <v>154242</v>
      </c>
      <c r="BK215" t="s">
        <v>37</v>
      </c>
      <c r="BL215">
        <v>330263</v>
      </c>
      <c r="BM215" t="s">
        <v>37</v>
      </c>
      <c r="BN215">
        <v>2498</v>
      </c>
      <c r="BO215" t="s">
        <v>37</v>
      </c>
      <c r="BP215">
        <v>5547</v>
      </c>
      <c r="BQ215" t="s">
        <v>37</v>
      </c>
      <c r="BR215">
        <v>49077</v>
      </c>
      <c r="BS215" t="s">
        <v>37</v>
      </c>
      <c r="BT215">
        <v>20874</v>
      </c>
      <c r="BU215" t="s">
        <v>37</v>
      </c>
      <c r="BV215">
        <v>7955</v>
      </c>
      <c r="BW215" t="s">
        <v>37</v>
      </c>
      <c r="BX215">
        <v>247186</v>
      </c>
      <c r="BY215" t="s">
        <v>37</v>
      </c>
      <c r="BZ215">
        <v>54802</v>
      </c>
      <c r="CA215" t="s">
        <v>37</v>
      </c>
      <c r="CC215" t="s">
        <v>37</v>
      </c>
      <c r="CD215">
        <v>56168</v>
      </c>
      <c r="CE215" t="s">
        <v>37</v>
      </c>
      <c r="CF215">
        <v>31732</v>
      </c>
      <c r="CG215" t="s">
        <v>37</v>
      </c>
      <c r="CH215">
        <v>616403</v>
      </c>
      <c r="CI215" t="s">
        <v>37</v>
      </c>
      <c r="CJ215">
        <v>7342</v>
      </c>
      <c r="CK215" t="s">
        <v>37</v>
      </c>
      <c r="CL215">
        <v>116404</v>
      </c>
      <c r="CM215" t="s">
        <v>37</v>
      </c>
      <c r="CN215">
        <v>31327</v>
      </c>
      <c r="CO215" t="s">
        <v>37</v>
      </c>
      <c r="CP215">
        <v>7905</v>
      </c>
      <c r="CQ215" t="s">
        <v>37</v>
      </c>
      <c r="CR215">
        <v>267627</v>
      </c>
      <c r="CS215" t="s">
        <v>37</v>
      </c>
      <c r="CT215">
        <v>2562785</v>
      </c>
      <c r="CU215" t="s">
        <v>37</v>
      </c>
      <c r="CV215">
        <v>218383</v>
      </c>
      <c r="CW215" t="s">
        <v>37</v>
      </c>
      <c r="CX215">
        <v>17072</v>
      </c>
      <c r="CY215" t="s">
        <v>37</v>
      </c>
      <c r="CZ215">
        <v>18481</v>
      </c>
      <c r="DA215" t="s">
        <v>37</v>
      </c>
      <c r="DB215">
        <v>9332</v>
      </c>
      <c r="DC215" t="s">
        <v>37</v>
      </c>
      <c r="DD215">
        <v>91463</v>
      </c>
      <c r="DE215" t="s">
        <v>37</v>
      </c>
      <c r="DF215">
        <v>61038</v>
      </c>
      <c r="DG215" t="s">
        <v>37</v>
      </c>
      <c r="DH215">
        <v>903809</v>
      </c>
      <c r="DI215" t="s">
        <v>37</v>
      </c>
      <c r="DJ215">
        <v>49139</v>
      </c>
      <c r="DK215" t="s">
        <v>37</v>
      </c>
      <c r="DL215">
        <v>177216</v>
      </c>
      <c r="DM215" t="s">
        <v>37</v>
      </c>
      <c r="DN215">
        <v>198382</v>
      </c>
      <c r="DO215" t="s">
        <v>37</v>
      </c>
      <c r="DP215">
        <v>100918</v>
      </c>
      <c r="DQ215" t="s">
        <v>37</v>
      </c>
      <c r="DR215">
        <v>74052</v>
      </c>
      <c r="DS215" t="s">
        <v>37</v>
      </c>
      <c r="DT215">
        <v>43976</v>
      </c>
      <c r="DU215" t="s">
        <v>37</v>
      </c>
      <c r="DV215">
        <v>326648</v>
      </c>
      <c r="DW215" t="s">
        <v>37</v>
      </c>
      <c r="DX215">
        <v>670297</v>
      </c>
      <c r="DY215" t="s">
        <v>37</v>
      </c>
      <c r="DZ215">
        <v>88912</v>
      </c>
      <c r="EA215" t="s">
        <v>37</v>
      </c>
      <c r="EB215">
        <v>10877</v>
      </c>
      <c r="EC215" t="s">
        <v>37</v>
      </c>
      <c r="ED215">
        <v>285273</v>
      </c>
      <c r="EE215" t="s">
        <v>37</v>
      </c>
      <c r="EF215">
        <v>8870</v>
      </c>
      <c r="EG215" t="s">
        <v>37</v>
      </c>
      <c r="EH215">
        <v>5974</v>
      </c>
      <c r="EI215" t="s">
        <v>37</v>
      </c>
      <c r="EJ215">
        <v>71311</v>
      </c>
      <c r="EK215" t="s">
        <v>37</v>
      </c>
      <c r="EL215">
        <v>52931</v>
      </c>
      <c r="EM215" t="s">
        <v>37</v>
      </c>
      <c r="EN215">
        <v>23375</v>
      </c>
      <c r="EO215" t="s">
        <v>37</v>
      </c>
      <c r="EP215">
        <v>13143</v>
      </c>
      <c r="EQ215" t="s">
        <v>37</v>
      </c>
      <c r="ER215">
        <v>148012</v>
      </c>
      <c r="ES215" t="s">
        <v>37</v>
      </c>
      <c r="ET215">
        <v>168635</v>
      </c>
      <c r="EU215" t="s">
        <v>37</v>
      </c>
      <c r="EV215">
        <v>169330</v>
      </c>
      <c r="EW215" t="s">
        <v>37</v>
      </c>
      <c r="EY215" t="s">
        <v>37</v>
      </c>
      <c r="EZ215">
        <v>358025</v>
      </c>
      <c r="FA215" t="s">
        <v>37</v>
      </c>
      <c r="FB215">
        <v>15061</v>
      </c>
      <c r="FC215" t="s">
        <v>37</v>
      </c>
      <c r="FD215">
        <v>440970</v>
      </c>
      <c r="FE215" t="s">
        <v>37</v>
      </c>
      <c r="FG215" t="s">
        <v>37</v>
      </c>
      <c r="FH215">
        <v>345878</v>
      </c>
      <c r="FI215" t="s">
        <v>37</v>
      </c>
      <c r="FJ215">
        <v>2186865</v>
      </c>
      <c r="FK215" t="s">
        <v>37</v>
      </c>
      <c r="FM215" t="s">
        <v>37</v>
      </c>
      <c r="FN215">
        <v>25888</v>
      </c>
      <c r="FO215" t="s">
        <v>37</v>
      </c>
      <c r="FP215">
        <v>71357</v>
      </c>
      <c r="FQ215" t="s">
        <v>37</v>
      </c>
      <c r="FR215">
        <v>94079</v>
      </c>
      <c r="FS215" t="s">
        <v>37</v>
      </c>
      <c r="FT215">
        <v>65610</v>
      </c>
      <c r="FU215" t="s">
        <v>37</v>
      </c>
      <c r="FV215">
        <v>34263</v>
      </c>
      <c r="FW215" t="s">
        <v>37</v>
      </c>
      <c r="FX215">
        <v>89177</v>
      </c>
      <c r="FY215" t="s">
        <v>37</v>
      </c>
      <c r="FZ215">
        <v>652335</v>
      </c>
      <c r="GA215" t="s">
        <v>37</v>
      </c>
      <c r="GB215">
        <v>1157797</v>
      </c>
      <c r="GC215" t="s">
        <v>37</v>
      </c>
      <c r="GD215">
        <v>36209</v>
      </c>
      <c r="GE215" t="s">
        <v>37</v>
      </c>
      <c r="GF215">
        <v>29747</v>
      </c>
      <c r="GG215" t="s">
        <v>37</v>
      </c>
      <c r="GH215">
        <v>11562</v>
      </c>
      <c r="GI215" t="s">
        <v>37</v>
      </c>
      <c r="GJ215">
        <v>125906</v>
      </c>
      <c r="GK215" t="s">
        <v>37</v>
      </c>
      <c r="GL215">
        <v>437432</v>
      </c>
      <c r="GM215" t="s">
        <v>37</v>
      </c>
      <c r="GO215" t="s">
        <v>37</v>
      </c>
      <c r="GP215">
        <v>119642</v>
      </c>
      <c r="GQ215" t="s">
        <v>37</v>
      </c>
      <c r="GR215">
        <v>95087</v>
      </c>
      <c r="GS215" t="s">
        <v>37</v>
      </c>
      <c r="GT215">
        <v>71699</v>
      </c>
      <c r="GU215" t="s">
        <v>37</v>
      </c>
      <c r="GV215">
        <v>40615</v>
      </c>
      <c r="GW215" t="s">
        <v>37</v>
      </c>
      <c r="GX215">
        <v>350681</v>
      </c>
      <c r="GY215" t="s">
        <v>37</v>
      </c>
      <c r="GZ215">
        <v>175567</v>
      </c>
      <c r="HA215" t="s">
        <v>37</v>
      </c>
      <c r="HC215" t="s">
        <v>37</v>
      </c>
      <c r="HE215" t="s">
        <v>37</v>
      </c>
      <c r="HF215">
        <v>19875177</v>
      </c>
      <c r="HG215" t="s">
        <v>37</v>
      </c>
      <c r="HI215" t="s">
        <v>37</v>
      </c>
      <c r="HJ215">
        <v>19875177</v>
      </c>
      <c r="HK215" t="s">
        <v>37</v>
      </c>
    </row>
    <row r="216" spans="1:219">
      <c r="A216">
        <v>3840</v>
      </c>
      <c r="B216" t="s">
        <v>232</v>
      </c>
      <c r="C216" t="s">
        <v>37</v>
      </c>
      <c r="D216">
        <v>371398</v>
      </c>
      <c r="E216" t="s">
        <v>37</v>
      </c>
      <c r="G216" t="s">
        <v>37</v>
      </c>
      <c r="H216">
        <v>177794</v>
      </c>
      <c r="I216" t="s">
        <v>37</v>
      </c>
      <c r="J216">
        <v>8240</v>
      </c>
      <c r="K216" s="48" t="s">
        <v>37</v>
      </c>
      <c r="L216" s="51">
        <v>421979</v>
      </c>
      <c r="M216" s="48" t="s">
        <v>37</v>
      </c>
      <c r="N216" s="51">
        <v>176544</v>
      </c>
      <c r="O216" s="48" t="s">
        <v>37</v>
      </c>
      <c r="P216" s="51">
        <v>198198</v>
      </c>
      <c r="Q216" s="48" t="s">
        <v>37</v>
      </c>
      <c r="R216" s="51">
        <v>233588</v>
      </c>
      <c r="S216" s="48" t="s">
        <v>37</v>
      </c>
      <c r="T216">
        <v>355045</v>
      </c>
      <c r="U216" t="s">
        <v>37</v>
      </c>
      <c r="V216">
        <v>16538</v>
      </c>
      <c r="W216" t="s">
        <v>37</v>
      </c>
      <c r="X216">
        <v>56629</v>
      </c>
      <c r="Y216" t="s">
        <v>37</v>
      </c>
      <c r="Z216">
        <v>21826</v>
      </c>
      <c r="AA216" t="s">
        <v>37</v>
      </c>
      <c r="AC216" t="s">
        <v>37</v>
      </c>
      <c r="AD216">
        <v>3230</v>
      </c>
      <c r="AE216" t="s">
        <v>37</v>
      </c>
      <c r="AF216">
        <v>102297</v>
      </c>
      <c r="AG216" t="s">
        <v>37</v>
      </c>
      <c r="AH216">
        <v>102410</v>
      </c>
      <c r="AI216" t="s">
        <v>37</v>
      </c>
      <c r="AJ216">
        <v>25170</v>
      </c>
      <c r="AK216" t="s">
        <v>37</v>
      </c>
      <c r="AM216" t="s">
        <v>37</v>
      </c>
      <c r="AO216" t="s">
        <v>37</v>
      </c>
      <c r="AP216">
        <v>1048813</v>
      </c>
      <c r="AQ216" t="s">
        <v>37</v>
      </c>
      <c r="AR216">
        <v>785647</v>
      </c>
      <c r="AS216" t="s">
        <v>37</v>
      </c>
      <c r="AT216">
        <v>949316</v>
      </c>
      <c r="AU216" t="s">
        <v>37</v>
      </c>
      <c r="AW216" t="s">
        <v>37</v>
      </c>
      <c r="AX216">
        <v>535615</v>
      </c>
      <c r="AY216" t="s">
        <v>37</v>
      </c>
      <c r="AZ216">
        <v>689606</v>
      </c>
      <c r="BA216" t="s">
        <v>37</v>
      </c>
      <c r="BC216" t="s">
        <v>37</v>
      </c>
      <c r="BD216">
        <v>11585</v>
      </c>
      <c r="BE216" t="s">
        <v>37</v>
      </c>
      <c r="BF216">
        <v>2549</v>
      </c>
      <c r="BG216" t="s">
        <v>37</v>
      </c>
      <c r="BI216" t="s">
        <v>37</v>
      </c>
      <c r="BJ216">
        <v>65366</v>
      </c>
      <c r="BK216" t="s">
        <v>37</v>
      </c>
      <c r="BM216" t="s">
        <v>37</v>
      </c>
      <c r="BN216">
        <v>6746</v>
      </c>
      <c r="BO216" t="s">
        <v>37</v>
      </c>
      <c r="BP216">
        <v>17138</v>
      </c>
      <c r="BQ216" t="s">
        <v>37</v>
      </c>
      <c r="BR216">
        <v>75466</v>
      </c>
      <c r="BS216" t="s">
        <v>37</v>
      </c>
      <c r="BT216">
        <v>31341</v>
      </c>
      <c r="BU216" t="s">
        <v>37</v>
      </c>
      <c r="BV216">
        <v>17008</v>
      </c>
      <c r="BW216" t="s">
        <v>37</v>
      </c>
      <c r="BX216">
        <v>363111</v>
      </c>
      <c r="BY216" t="s">
        <v>37</v>
      </c>
      <c r="CA216" t="s">
        <v>37</v>
      </c>
      <c r="CC216" t="s">
        <v>37</v>
      </c>
      <c r="CD216">
        <v>112968</v>
      </c>
      <c r="CE216" t="s">
        <v>37</v>
      </c>
      <c r="CF216">
        <v>3260</v>
      </c>
      <c r="CG216" t="s">
        <v>37</v>
      </c>
      <c r="CH216">
        <v>799377</v>
      </c>
      <c r="CI216" t="s">
        <v>37</v>
      </c>
      <c r="CJ216">
        <v>23918</v>
      </c>
      <c r="CK216" t="s">
        <v>37</v>
      </c>
      <c r="CL216">
        <v>674100</v>
      </c>
      <c r="CM216" t="s">
        <v>37</v>
      </c>
      <c r="CN216">
        <v>30323</v>
      </c>
      <c r="CO216" t="s">
        <v>37</v>
      </c>
      <c r="CP216">
        <v>226268</v>
      </c>
      <c r="CQ216" t="s">
        <v>37</v>
      </c>
      <c r="CR216">
        <v>858114</v>
      </c>
      <c r="CS216" t="s">
        <v>37</v>
      </c>
      <c r="CT216">
        <v>2933703</v>
      </c>
      <c r="CU216" t="s">
        <v>37</v>
      </c>
      <c r="CW216" t="s">
        <v>37</v>
      </c>
      <c r="CX216">
        <v>70507</v>
      </c>
      <c r="CY216" t="s">
        <v>37</v>
      </c>
      <c r="DA216" t="s">
        <v>37</v>
      </c>
      <c r="DC216" t="s">
        <v>37</v>
      </c>
      <c r="DD216">
        <v>34452</v>
      </c>
      <c r="DE216" t="s">
        <v>37</v>
      </c>
      <c r="DF216">
        <v>29601</v>
      </c>
      <c r="DG216" t="s">
        <v>37</v>
      </c>
      <c r="DH216">
        <v>346392</v>
      </c>
      <c r="DI216" t="s">
        <v>37</v>
      </c>
      <c r="DK216" t="s">
        <v>37</v>
      </c>
      <c r="DL216">
        <v>313139</v>
      </c>
      <c r="DM216" t="s">
        <v>37</v>
      </c>
      <c r="DN216">
        <v>530331</v>
      </c>
      <c r="DO216" t="s">
        <v>37</v>
      </c>
      <c r="DP216">
        <v>214824</v>
      </c>
      <c r="DQ216" t="s">
        <v>37</v>
      </c>
      <c r="DR216">
        <v>142091</v>
      </c>
      <c r="DS216" t="s">
        <v>37</v>
      </c>
      <c r="DU216" t="s">
        <v>37</v>
      </c>
      <c r="DV216">
        <v>290712</v>
      </c>
      <c r="DW216" t="s">
        <v>37</v>
      </c>
      <c r="DX216">
        <v>232753</v>
      </c>
      <c r="DY216" t="s">
        <v>37</v>
      </c>
      <c r="DZ216">
        <v>87841</v>
      </c>
      <c r="EA216" t="s">
        <v>37</v>
      </c>
      <c r="EB216">
        <v>5296</v>
      </c>
      <c r="EC216" t="s">
        <v>37</v>
      </c>
      <c r="ED216">
        <v>335247</v>
      </c>
      <c r="EE216" t="s">
        <v>37</v>
      </c>
      <c r="EF216">
        <v>37259</v>
      </c>
      <c r="EG216" t="s">
        <v>37</v>
      </c>
      <c r="EH216">
        <v>28014</v>
      </c>
      <c r="EI216" t="s">
        <v>37</v>
      </c>
      <c r="EJ216">
        <v>130140</v>
      </c>
      <c r="EK216" t="s">
        <v>37</v>
      </c>
      <c r="EL216">
        <v>76746</v>
      </c>
      <c r="EM216" t="s">
        <v>37</v>
      </c>
      <c r="EO216" t="s">
        <v>37</v>
      </c>
      <c r="EP216">
        <v>24719</v>
      </c>
      <c r="EQ216" t="s">
        <v>37</v>
      </c>
      <c r="ER216">
        <v>280941</v>
      </c>
      <c r="ES216" t="s">
        <v>37</v>
      </c>
      <c r="ET216">
        <v>304393</v>
      </c>
      <c r="EU216" t="s">
        <v>37</v>
      </c>
      <c r="EV216">
        <v>462897</v>
      </c>
      <c r="EW216" t="s">
        <v>37</v>
      </c>
      <c r="EY216" t="s">
        <v>37</v>
      </c>
      <c r="EZ216">
        <v>160037</v>
      </c>
      <c r="FA216" t="s">
        <v>37</v>
      </c>
      <c r="FB216">
        <v>369730</v>
      </c>
      <c r="FC216" t="s">
        <v>37</v>
      </c>
      <c r="FD216">
        <v>633808</v>
      </c>
      <c r="FE216" t="s">
        <v>37</v>
      </c>
      <c r="FG216" t="s">
        <v>37</v>
      </c>
      <c r="FH216">
        <v>299144</v>
      </c>
      <c r="FI216" t="s">
        <v>37</v>
      </c>
      <c r="FK216" t="s">
        <v>37</v>
      </c>
      <c r="FM216" t="s">
        <v>37</v>
      </c>
      <c r="FN216">
        <v>24552</v>
      </c>
      <c r="FO216" t="s">
        <v>37</v>
      </c>
      <c r="FP216">
        <v>99989</v>
      </c>
      <c r="FQ216" t="s">
        <v>37</v>
      </c>
      <c r="FR216">
        <v>150467</v>
      </c>
      <c r="FS216" t="s">
        <v>37</v>
      </c>
      <c r="FT216">
        <v>448797</v>
      </c>
      <c r="FU216" t="s">
        <v>37</v>
      </c>
      <c r="FV216">
        <v>87495</v>
      </c>
      <c r="FW216" t="s">
        <v>37</v>
      </c>
      <c r="FX216">
        <v>768735</v>
      </c>
      <c r="FY216" t="s">
        <v>37</v>
      </c>
      <c r="FZ216">
        <v>496181</v>
      </c>
      <c r="GA216" t="s">
        <v>37</v>
      </c>
      <c r="GB216">
        <v>273779</v>
      </c>
      <c r="GC216" t="s">
        <v>37</v>
      </c>
      <c r="GD216">
        <v>19624</v>
      </c>
      <c r="GE216" t="s">
        <v>37</v>
      </c>
      <c r="GF216">
        <v>39460</v>
      </c>
      <c r="GG216" t="s">
        <v>37</v>
      </c>
      <c r="GH216">
        <v>13753</v>
      </c>
      <c r="GI216" t="s">
        <v>37</v>
      </c>
      <c r="GJ216">
        <v>395193</v>
      </c>
      <c r="GK216" t="s">
        <v>37</v>
      </c>
      <c r="GL216">
        <v>132695</v>
      </c>
      <c r="GM216" t="s">
        <v>37</v>
      </c>
      <c r="GO216" t="s">
        <v>37</v>
      </c>
      <c r="GP216">
        <v>308686</v>
      </c>
      <c r="GQ216" t="s">
        <v>37</v>
      </c>
      <c r="GR216">
        <v>201243</v>
      </c>
      <c r="GS216" t="s">
        <v>37</v>
      </c>
      <c r="GU216" t="s">
        <v>37</v>
      </c>
      <c r="GV216">
        <v>91335</v>
      </c>
      <c r="GW216" t="s">
        <v>37</v>
      </c>
      <c r="GX216">
        <v>1427723</v>
      </c>
      <c r="GY216" t="s">
        <v>37</v>
      </c>
      <c r="GZ216">
        <v>160650</v>
      </c>
      <c r="HA216" t="s">
        <v>37</v>
      </c>
      <c r="HC216" t="s">
        <v>37</v>
      </c>
      <c r="HE216" t="s">
        <v>37</v>
      </c>
      <c r="HF216">
        <v>23113595</v>
      </c>
      <c r="HG216" t="s">
        <v>37</v>
      </c>
      <c r="HI216" t="s">
        <v>37</v>
      </c>
      <c r="HJ216">
        <v>23113595</v>
      </c>
      <c r="HK216" t="s">
        <v>37</v>
      </c>
    </row>
    <row r="217" spans="1:219">
      <c r="A217">
        <v>3890</v>
      </c>
      <c r="B217" t="s">
        <v>233</v>
      </c>
      <c r="C217" t="s">
        <v>37</v>
      </c>
      <c r="D217">
        <v>5583</v>
      </c>
      <c r="E217" t="s">
        <v>37</v>
      </c>
      <c r="G217" t="s">
        <v>37</v>
      </c>
      <c r="I217" t="s">
        <v>37</v>
      </c>
      <c r="J217">
        <v>3122</v>
      </c>
      <c r="K217" s="48" t="s">
        <v>37</v>
      </c>
      <c r="L217" s="51">
        <v>89823</v>
      </c>
      <c r="M217" s="48" t="s">
        <v>37</v>
      </c>
      <c r="N217" s="51">
        <v>78209</v>
      </c>
      <c r="O217" s="48" t="s">
        <v>37</v>
      </c>
      <c r="P217" s="51">
        <v>22975</v>
      </c>
      <c r="Q217" s="48" t="s">
        <v>37</v>
      </c>
      <c r="R217" s="51">
        <v>50980</v>
      </c>
      <c r="S217" s="48" t="s">
        <v>37</v>
      </c>
      <c r="T217">
        <v>193143</v>
      </c>
      <c r="U217" t="s">
        <v>37</v>
      </c>
      <c r="V217">
        <v>5469</v>
      </c>
      <c r="W217" t="s">
        <v>37</v>
      </c>
      <c r="X217">
        <v>17055</v>
      </c>
      <c r="Y217" t="s">
        <v>37</v>
      </c>
      <c r="Z217">
        <v>76702</v>
      </c>
      <c r="AA217" t="s">
        <v>37</v>
      </c>
      <c r="AB217">
        <v>75241</v>
      </c>
      <c r="AC217" t="s">
        <v>37</v>
      </c>
      <c r="AD217">
        <v>21777</v>
      </c>
      <c r="AE217" t="s">
        <v>37</v>
      </c>
      <c r="AF217">
        <v>27435</v>
      </c>
      <c r="AG217" t="s">
        <v>37</v>
      </c>
      <c r="AH217">
        <v>71494</v>
      </c>
      <c r="AI217" t="s">
        <v>37</v>
      </c>
      <c r="AJ217">
        <v>13658</v>
      </c>
      <c r="AK217" t="s">
        <v>37</v>
      </c>
      <c r="AL217">
        <v>140530</v>
      </c>
      <c r="AM217" t="s">
        <v>37</v>
      </c>
      <c r="AO217" t="s">
        <v>37</v>
      </c>
      <c r="AQ217" t="s">
        <v>37</v>
      </c>
      <c r="AR217">
        <v>101498</v>
      </c>
      <c r="AS217" t="s">
        <v>37</v>
      </c>
      <c r="AT217">
        <v>28502</v>
      </c>
      <c r="AU217" t="s">
        <v>37</v>
      </c>
      <c r="AV217">
        <v>128241</v>
      </c>
      <c r="AW217" t="s">
        <v>37</v>
      </c>
      <c r="AX217">
        <v>139307</v>
      </c>
      <c r="AY217" t="s">
        <v>37</v>
      </c>
      <c r="AZ217">
        <v>104496</v>
      </c>
      <c r="BA217" t="s">
        <v>37</v>
      </c>
      <c r="BC217" t="s">
        <v>37</v>
      </c>
      <c r="BD217">
        <v>63619</v>
      </c>
      <c r="BE217" t="s">
        <v>37</v>
      </c>
      <c r="BF217">
        <v>24283</v>
      </c>
      <c r="BG217" t="s">
        <v>37</v>
      </c>
      <c r="BI217" t="s">
        <v>37</v>
      </c>
      <c r="BJ217">
        <v>159550</v>
      </c>
      <c r="BK217" t="s">
        <v>37</v>
      </c>
      <c r="BL217">
        <v>194477</v>
      </c>
      <c r="BM217" t="s">
        <v>37</v>
      </c>
      <c r="BN217">
        <v>84799</v>
      </c>
      <c r="BO217" t="s">
        <v>37</v>
      </c>
      <c r="BP217">
        <v>14444</v>
      </c>
      <c r="BQ217" t="s">
        <v>37</v>
      </c>
      <c r="BR217">
        <v>54562</v>
      </c>
      <c r="BS217" t="s">
        <v>37</v>
      </c>
      <c r="BT217">
        <v>23070</v>
      </c>
      <c r="BU217" t="s">
        <v>37</v>
      </c>
      <c r="BV217">
        <v>12552</v>
      </c>
      <c r="BW217" t="s">
        <v>37</v>
      </c>
      <c r="BX217">
        <v>158590</v>
      </c>
      <c r="BY217" t="s">
        <v>37</v>
      </c>
      <c r="BZ217">
        <v>342795</v>
      </c>
      <c r="CA217" t="s">
        <v>37</v>
      </c>
      <c r="CC217" t="s">
        <v>37</v>
      </c>
      <c r="CD217">
        <v>146691</v>
      </c>
      <c r="CE217" t="s">
        <v>37</v>
      </c>
      <c r="CF217">
        <v>8403</v>
      </c>
      <c r="CG217" t="s">
        <v>37</v>
      </c>
      <c r="CH217">
        <v>260554</v>
      </c>
      <c r="CI217" t="s">
        <v>37</v>
      </c>
      <c r="CK217" t="s">
        <v>37</v>
      </c>
      <c r="CL217">
        <v>29219</v>
      </c>
      <c r="CM217" t="s">
        <v>37</v>
      </c>
      <c r="CO217" t="s">
        <v>37</v>
      </c>
      <c r="CP217">
        <v>11069</v>
      </c>
      <c r="CQ217" t="s">
        <v>37</v>
      </c>
      <c r="CR217">
        <v>167206</v>
      </c>
      <c r="CS217" t="s">
        <v>37</v>
      </c>
      <c r="CT217">
        <v>434763</v>
      </c>
      <c r="CU217" t="s">
        <v>37</v>
      </c>
      <c r="CV217">
        <v>1176484</v>
      </c>
      <c r="CW217" t="s">
        <v>37</v>
      </c>
      <c r="CX217">
        <v>99377</v>
      </c>
      <c r="CY217" t="s">
        <v>37</v>
      </c>
      <c r="DA217" t="s">
        <v>37</v>
      </c>
      <c r="DB217">
        <v>51208</v>
      </c>
      <c r="DC217" t="s">
        <v>37</v>
      </c>
      <c r="DD217">
        <v>75401</v>
      </c>
      <c r="DE217" t="s">
        <v>37</v>
      </c>
      <c r="DF217">
        <v>44254</v>
      </c>
      <c r="DG217" t="s">
        <v>37</v>
      </c>
      <c r="DH217">
        <v>437674</v>
      </c>
      <c r="DI217" t="s">
        <v>37</v>
      </c>
      <c r="DJ217">
        <v>64398</v>
      </c>
      <c r="DK217" t="s">
        <v>37</v>
      </c>
      <c r="DL217">
        <v>153907</v>
      </c>
      <c r="DM217" t="s">
        <v>37</v>
      </c>
      <c r="DN217">
        <v>204196</v>
      </c>
      <c r="DO217" t="s">
        <v>37</v>
      </c>
      <c r="DP217">
        <v>137211</v>
      </c>
      <c r="DQ217" t="s">
        <v>37</v>
      </c>
      <c r="DR217">
        <v>76519</v>
      </c>
      <c r="DS217" t="s">
        <v>37</v>
      </c>
      <c r="DU217" t="s">
        <v>37</v>
      </c>
      <c r="DV217">
        <v>229855</v>
      </c>
      <c r="DW217" t="s">
        <v>37</v>
      </c>
      <c r="DX217">
        <v>85679</v>
      </c>
      <c r="DY217" t="s">
        <v>37</v>
      </c>
      <c r="DZ217">
        <v>39504</v>
      </c>
      <c r="EA217" t="s">
        <v>37</v>
      </c>
      <c r="EB217">
        <v>16503</v>
      </c>
      <c r="EC217" t="s">
        <v>37</v>
      </c>
      <c r="ED217">
        <v>187596</v>
      </c>
      <c r="EE217" t="s">
        <v>37</v>
      </c>
      <c r="EF217">
        <v>140215</v>
      </c>
      <c r="EG217" t="s">
        <v>37</v>
      </c>
      <c r="EH217">
        <v>6717</v>
      </c>
      <c r="EI217" t="s">
        <v>37</v>
      </c>
      <c r="EJ217">
        <v>53149</v>
      </c>
      <c r="EK217" t="s">
        <v>37</v>
      </c>
      <c r="EL217">
        <v>30887</v>
      </c>
      <c r="EM217" t="s">
        <v>37</v>
      </c>
      <c r="EO217" t="s">
        <v>37</v>
      </c>
      <c r="EP217">
        <v>11962</v>
      </c>
      <c r="EQ217" t="s">
        <v>37</v>
      </c>
      <c r="ER217">
        <v>163934</v>
      </c>
      <c r="ES217" t="s">
        <v>37</v>
      </c>
      <c r="ET217">
        <v>162525</v>
      </c>
      <c r="EU217" t="s">
        <v>37</v>
      </c>
      <c r="EV217">
        <v>291248</v>
      </c>
      <c r="EW217" t="s">
        <v>37</v>
      </c>
      <c r="EY217" t="s">
        <v>37</v>
      </c>
      <c r="EZ217">
        <v>59926</v>
      </c>
      <c r="FA217" t="s">
        <v>37</v>
      </c>
      <c r="FB217">
        <v>93788</v>
      </c>
      <c r="FC217" t="s">
        <v>37</v>
      </c>
      <c r="FD217">
        <v>213056</v>
      </c>
      <c r="FE217" t="s">
        <v>37</v>
      </c>
      <c r="FG217" t="s">
        <v>37</v>
      </c>
      <c r="FH217">
        <v>302718</v>
      </c>
      <c r="FI217" t="s">
        <v>37</v>
      </c>
      <c r="FK217" t="s">
        <v>37</v>
      </c>
      <c r="FM217" t="s">
        <v>37</v>
      </c>
      <c r="FN217">
        <v>124564</v>
      </c>
      <c r="FO217" t="s">
        <v>37</v>
      </c>
      <c r="FP217">
        <v>47667</v>
      </c>
      <c r="FQ217" t="s">
        <v>37</v>
      </c>
      <c r="FR217">
        <v>68791</v>
      </c>
      <c r="FS217" t="s">
        <v>37</v>
      </c>
      <c r="FT217">
        <v>35226</v>
      </c>
      <c r="FU217" t="s">
        <v>37</v>
      </c>
      <c r="FV217">
        <v>19358</v>
      </c>
      <c r="FW217" t="s">
        <v>37</v>
      </c>
      <c r="FX217">
        <v>79603</v>
      </c>
      <c r="FY217" t="s">
        <v>37</v>
      </c>
      <c r="FZ217">
        <v>106708</v>
      </c>
      <c r="GA217" t="s">
        <v>37</v>
      </c>
      <c r="GC217" t="s">
        <v>37</v>
      </c>
      <c r="GE217" t="s">
        <v>37</v>
      </c>
      <c r="GG217" t="s">
        <v>37</v>
      </c>
      <c r="GI217" t="s">
        <v>37</v>
      </c>
      <c r="GJ217">
        <v>29763</v>
      </c>
      <c r="GK217" t="s">
        <v>37</v>
      </c>
      <c r="GM217" t="s">
        <v>37</v>
      </c>
      <c r="GO217" t="s">
        <v>37</v>
      </c>
      <c r="GP217">
        <v>129857</v>
      </c>
      <c r="GQ217" t="s">
        <v>37</v>
      </c>
      <c r="GR217">
        <v>11583</v>
      </c>
      <c r="GS217" t="s">
        <v>37</v>
      </c>
      <c r="GU217" t="s">
        <v>37</v>
      </c>
      <c r="GV217">
        <v>90539</v>
      </c>
      <c r="GW217" t="s">
        <v>37</v>
      </c>
      <c r="GX217">
        <v>33607</v>
      </c>
      <c r="GY217" t="s">
        <v>37</v>
      </c>
      <c r="GZ217">
        <v>71126</v>
      </c>
      <c r="HA217" t="s">
        <v>37</v>
      </c>
      <c r="HC217" t="s">
        <v>37</v>
      </c>
      <c r="HE217" t="s">
        <v>37</v>
      </c>
      <c r="HF217">
        <v>9044169</v>
      </c>
      <c r="HG217" t="s">
        <v>37</v>
      </c>
      <c r="HI217" t="s">
        <v>37</v>
      </c>
      <c r="HJ217">
        <v>9044169</v>
      </c>
      <c r="HK217" t="s">
        <v>37</v>
      </c>
    </row>
    <row r="218" spans="1:219">
      <c r="A218">
        <v>3990</v>
      </c>
      <c r="B218" t="s">
        <v>234</v>
      </c>
      <c r="C218" t="s">
        <v>37</v>
      </c>
      <c r="E218" t="s">
        <v>37</v>
      </c>
      <c r="G218" t="s">
        <v>37</v>
      </c>
      <c r="I218" t="s">
        <v>37</v>
      </c>
      <c r="K218" s="48" t="s">
        <v>37</v>
      </c>
      <c r="L218" s="50"/>
      <c r="M218" s="48" t="s">
        <v>37</v>
      </c>
      <c r="N218" s="50"/>
      <c r="O218" s="48" t="s">
        <v>37</v>
      </c>
      <c r="P218" s="50"/>
      <c r="Q218" s="48" t="s">
        <v>37</v>
      </c>
      <c r="R218" s="50"/>
      <c r="S218" s="48" t="s">
        <v>37</v>
      </c>
      <c r="U218" t="s">
        <v>37</v>
      </c>
      <c r="W218" t="s">
        <v>37</v>
      </c>
      <c r="Y218" t="s">
        <v>37</v>
      </c>
      <c r="AA218" t="s">
        <v>37</v>
      </c>
      <c r="AC218" t="s">
        <v>37</v>
      </c>
      <c r="AE218" t="s">
        <v>37</v>
      </c>
      <c r="AG218" t="s">
        <v>37</v>
      </c>
      <c r="AI218" t="s">
        <v>37</v>
      </c>
      <c r="AK218" t="s">
        <v>37</v>
      </c>
      <c r="AM218" t="s">
        <v>37</v>
      </c>
      <c r="AO218" t="s">
        <v>37</v>
      </c>
      <c r="AQ218" t="s">
        <v>37</v>
      </c>
      <c r="AS218" t="s">
        <v>37</v>
      </c>
      <c r="AU218" t="s">
        <v>37</v>
      </c>
      <c r="AW218" t="s">
        <v>37</v>
      </c>
      <c r="AY218" t="s">
        <v>37</v>
      </c>
      <c r="BA218" t="s">
        <v>37</v>
      </c>
      <c r="BC218" t="s">
        <v>37</v>
      </c>
      <c r="BE218" t="s">
        <v>37</v>
      </c>
      <c r="BG218" t="s">
        <v>37</v>
      </c>
      <c r="BI218" t="s">
        <v>37</v>
      </c>
      <c r="BK218" t="s">
        <v>37</v>
      </c>
      <c r="BM218" t="s">
        <v>37</v>
      </c>
      <c r="BO218" t="s">
        <v>37</v>
      </c>
      <c r="BQ218" t="s">
        <v>37</v>
      </c>
      <c r="BS218" t="s">
        <v>37</v>
      </c>
      <c r="BU218" t="s">
        <v>37</v>
      </c>
      <c r="BW218" t="s">
        <v>37</v>
      </c>
      <c r="BY218" t="s">
        <v>37</v>
      </c>
      <c r="CA218" t="s">
        <v>37</v>
      </c>
      <c r="CC218" t="s">
        <v>37</v>
      </c>
      <c r="CE218" t="s">
        <v>37</v>
      </c>
      <c r="CG218" t="s">
        <v>37</v>
      </c>
      <c r="CI218" t="s">
        <v>37</v>
      </c>
      <c r="CK218" t="s">
        <v>37</v>
      </c>
      <c r="CM218" t="s">
        <v>37</v>
      </c>
      <c r="CO218" t="s">
        <v>37</v>
      </c>
      <c r="CQ218" t="s">
        <v>37</v>
      </c>
      <c r="CS218" t="s">
        <v>37</v>
      </c>
      <c r="CU218" t="s">
        <v>37</v>
      </c>
      <c r="CW218" t="s">
        <v>37</v>
      </c>
      <c r="CY218" t="s">
        <v>37</v>
      </c>
      <c r="DA218" t="s">
        <v>37</v>
      </c>
      <c r="DC218" t="s">
        <v>37</v>
      </c>
      <c r="DE218" t="s">
        <v>37</v>
      </c>
      <c r="DG218" t="s">
        <v>37</v>
      </c>
      <c r="DI218" t="s">
        <v>37</v>
      </c>
      <c r="DK218" t="s">
        <v>37</v>
      </c>
      <c r="DM218" t="s">
        <v>37</v>
      </c>
      <c r="DO218" t="s">
        <v>37</v>
      </c>
      <c r="DQ218" t="s">
        <v>37</v>
      </c>
      <c r="DS218" t="s">
        <v>37</v>
      </c>
      <c r="DU218" t="s">
        <v>37</v>
      </c>
      <c r="DW218" t="s">
        <v>37</v>
      </c>
      <c r="DY218" t="s">
        <v>37</v>
      </c>
      <c r="EA218" t="s">
        <v>37</v>
      </c>
      <c r="EC218" t="s">
        <v>37</v>
      </c>
      <c r="EE218" t="s">
        <v>37</v>
      </c>
      <c r="EG218" t="s">
        <v>37</v>
      </c>
      <c r="EI218" t="s">
        <v>37</v>
      </c>
      <c r="EK218" t="s">
        <v>37</v>
      </c>
      <c r="EM218" t="s">
        <v>37</v>
      </c>
      <c r="EO218" t="s">
        <v>37</v>
      </c>
      <c r="EQ218" t="s">
        <v>37</v>
      </c>
      <c r="ES218" t="s">
        <v>37</v>
      </c>
      <c r="EU218" t="s">
        <v>37</v>
      </c>
      <c r="EW218" t="s">
        <v>37</v>
      </c>
      <c r="EY218" t="s">
        <v>37</v>
      </c>
      <c r="FA218" t="s">
        <v>37</v>
      </c>
      <c r="FC218" t="s">
        <v>37</v>
      </c>
      <c r="FE218" t="s">
        <v>37</v>
      </c>
      <c r="FG218" t="s">
        <v>37</v>
      </c>
      <c r="FI218" t="s">
        <v>37</v>
      </c>
      <c r="FK218" t="s">
        <v>37</v>
      </c>
      <c r="FM218" t="s">
        <v>37</v>
      </c>
      <c r="FO218" t="s">
        <v>37</v>
      </c>
      <c r="FQ218" t="s">
        <v>37</v>
      </c>
      <c r="FS218" t="s">
        <v>37</v>
      </c>
      <c r="FU218" t="s">
        <v>37</v>
      </c>
      <c r="FW218" t="s">
        <v>37</v>
      </c>
      <c r="FY218" t="s">
        <v>37</v>
      </c>
      <c r="GA218" t="s">
        <v>37</v>
      </c>
      <c r="GC218" t="s">
        <v>37</v>
      </c>
      <c r="GE218" t="s">
        <v>37</v>
      </c>
      <c r="GG218" t="s">
        <v>37</v>
      </c>
      <c r="GI218" t="s">
        <v>37</v>
      </c>
      <c r="GK218" t="s">
        <v>37</v>
      </c>
      <c r="GM218" t="s">
        <v>37</v>
      </c>
      <c r="GO218" t="s">
        <v>37</v>
      </c>
      <c r="GQ218" t="s">
        <v>37</v>
      </c>
      <c r="GS218" t="s">
        <v>37</v>
      </c>
      <c r="GU218" t="s">
        <v>37</v>
      </c>
      <c r="GW218" t="s">
        <v>37</v>
      </c>
      <c r="GY218" t="s">
        <v>37</v>
      </c>
      <c r="HA218" t="s">
        <v>37</v>
      </c>
      <c r="HC218" t="s">
        <v>37</v>
      </c>
      <c r="HE218" t="s">
        <v>37</v>
      </c>
      <c r="HG218" t="s">
        <v>37</v>
      </c>
      <c r="HI218" t="s">
        <v>37</v>
      </c>
      <c r="HK218" t="s">
        <v>37</v>
      </c>
    </row>
    <row r="219" spans="1:219">
      <c r="A219">
        <v>3991</v>
      </c>
      <c r="B219" t="s">
        <v>235</v>
      </c>
      <c r="C219" t="s">
        <v>37</v>
      </c>
      <c r="D219">
        <v>16333</v>
      </c>
      <c r="E219" t="s">
        <v>37</v>
      </c>
      <c r="F219">
        <v>69354</v>
      </c>
      <c r="G219" t="s">
        <v>37</v>
      </c>
      <c r="H219">
        <v>7361</v>
      </c>
      <c r="I219" t="s">
        <v>37</v>
      </c>
      <c r="K219" s="48" t="s">
        <v>37</v>
      </c>
      <c r="L219" s="51">
        <v>19249</v>
      </c>
      <c r="M219" s="48" t="s">
        <v>37</v>
      </c>
      <c r="N219" s="51">
        <v>3245</v>
      </c>
      <c r="O219" s="48" t="s">
        <v>37</v>
      </c>
      <c r="P219" s="51">
        <v>9244</v>
      </c>
      <c r="Q219" s="48" t="s">
        <v>37</v>
      </c>
      <c r="R219" s="51">
        <v>12173</v>
      </c>
      <c r="S219" s="48" t="s">
        <v>37</v>
      </c>
      <c r="T219">
        <v>56026</v>
      </c>
      <c r="U219" t="s">
        <v>37</v>
      </c>
      <c r="W219" t="s">
        <v>37</v>
      </c>
      <c r="X219">
        <v>583</v>
      </c>
      <c r="Y219" t="s">
        <v>37</v>
      </c>
      <c r="Z219">
        <v>3500</v>
      </c>
      <c r="AA219" t="s">
        <v>37</v>
      </c>
      <c r="AB219">
        <v>3299</v>
      </c>
      <c r="AC219" t="s">
        <v>37</v>
      </c>
      <c r="AD219">
        <v>590</v>
      </c>
      <c r="AE219" t="s">
        <v>37</v>
      </c>
      <c r="AF219">
        <v>5047</v>
      </c>
      <c r="AG219" t="s">
        <v>37</v>
      </c>
      <c r="AH219">
        <v>2333</v>
      </c>
      <c r="AI219" t="s">
        <v>37</v>
      </c>
      <c r="AK219" t="s">
        <v>37</v>
      </c>
      <c r="AL219">
        <v>40249</v>
      </c>
      <c r="AM219" t="s">
        <v>37</v>
      </c>
      <c r="AO219" t="s">
        <v>37</v>
      </c>
      <c r="AP219">
        <v>51996</v>
      </c>
      <c r="AQ219" t="s">
        <v>37</v>
      </c>
      <c r="AR219">
        <v>7170</v>
      </c>
      <c r="AS219" t="s">
        <v>37</v>
      </c>
      <c r="AT219">
        <v>124240</v>
      </c>
      <c r="AU219" t="s">
        <v>37</v>
      </c>
      <c r="AV219">
        <v>31518</v>
      </c>
      <c r="AW219" t="s">
        <v>37</v>
      </c>
      <c r="AX219">
        <v>11710</v>
      </c>
      <c r="AY219" t="s">
        <v>37</v>
      </c>
      <c r="AZ219">
        <v>8666</v>
      </c>
      <c r="BA219" t="s">
        <v>37</v>
      </c>
      <c r="BB219">
        <v>4557</v>
      </c>
      <c r="BC219" t="s">
        <v>37</v>
      </c>
      <c r="BD219">
        <v>6212</v>
      </c>
      <c r="BE219" t="s">
        <v>37</v>
      </c>
      <c r="BF219">
        <v>1750</v>
      </c>
      <c r="BG219" t="s">
        <v>37</v>
      </c>
      <c r="BI219" t="s">
        <v>37</v>
      </c>
      <c r="BJ219">
        <v>19206</v>
      </c>
      <c r="BK219" t="s">
        <v>37</v>
      </c>
      <c r="BL219">
        <v>17702</v>
      </c>
      <c r="BM219" t="s">
        <v>37</v>
      </c>
      <c r="BO219" t="s">
        <v>37</v>
      </c>
      <c r="BP219">
        <v>1131</v>
      </c>
      <c r="BQ219" t="s">
        <v>37</v>
      </c>
      <c r="BS219" t="s">
        <v>37</v>
      </c>
      <c r="BT219">
        <v>5250</v>
      </c>
      <c r="BU219" t="s">
        <v>37</v>
      </c>
      <c r="BW219" t="s">
        <v>37</v>
      </c>
      <c r="BX219">
        <v>96705</v>
      </c>
      <c r="BY219" t="s">
        <v>37</v>
      </c>
      <c r="BZ219">
        <v>13763</v>
      </c>
      <c r="CA219" t="s">
        <v>37</v>
      </c>
      <c r="CB219">
        <v>583</v>
      </c>
      <c r="CC219" t="s">
        <v>37</v>
      </c>
      <c r="CD219">
        <v>5833</v>
      </c>
      <c r="CE219" t="s">
        <v>37</v>
      </c>
      <c r="CF219">
        <v>26886</v>
      </c>
      <c r="CG219" t="s">
        <v>37</v>
      </c>
      <c r="CH219">
        <v>33691</v>
      </c>
      <c r="CI219" t="s">
        <v>37</v>
      </c>
      <c r="CJ219">
        <v>1750</v>
      </c>
      <c r="CK219" t="s">
        <v>37</v>
      </c>
      <c r="CL219">
        <v>18713</v>
      </c>
      <c r="CM219" t="s">
        <v>37</v>
      </c>
      <c r="CN219">
        <v>4667</v>
      </c>
      <c r="CO219" t="s">
        <v>37</v>
      </c>
      <c r="CP219">
        <v>1167</v>
      </c>
      <c r="CQ219" t="s">
        <v>37</v>
      </c>
      <c r="CR219">
        <v>24273</v>
      </c>
      <c r="CS219" t="s">
        <v>37</v>
      </c>
      <c r="CT219">
        <v>243801</v>
      </c>
      <c r="CU219" t="s">
        <v>37</v>
      </c>
      <c r="CV219">
        <v>24178</v>
      </c>
      <c r="CW219" t="s">
        <v>37</v>
      </c>
      <c r="CX219">
        <v>4816</v>
      </c>
      <c r="CY219" t="s">
        <v>37</v>
      </c>
      <c r="DA219" t="s">
        <v>37</v>
      </c>
      <c r="DB219">
        <v>583</v>
      </c>
      <c r="DC219" t="s">
        <v>37</v>
      </c>
      <c r="DD219">
        <v>10870</v>
      </c>
      <c r="DE219" t="s">
        <v>37</v>
      </c>
      <c r="DF219">
        <v>9484</v>
      </c>
      <c r="DG219" t="s">
        <v>37</v>
      </c>
      <c r="DH219">
        <v>86672</v>
      </c>
      <c r="DI219" t="s">
        <v>37</v>
      </c>
      <c r="DJ219">
        <v>8305</v>
      </c>
      <c r="DK219" t="s">
        <v>37</v>
      </c>
      <c r="DL219">
        <v>23511</v>
      </c>
      <c r="DM219" t="s">
        <v>37</v>
      </c>
      <c r="DN219">
        <v>29841</v>
      </c>
      <c r="DO219" t="s">
        <v>37</v>
      </c>
      <c r="DP219">
        <v>18075</v>
      </c>
      <c r="DQ219" t="s">
        <v>37</v>
      </c>
      <c r="DR219">
        <v>23558</v>
      </c>
      <c r="DS219" t="s">
        <v>37</v>
      </c>
      <c r="DT219">
        <v>11619</v>
      </c>
      <c r="DU219" t="s">
        <v>37</v>
      </c>
      <c r="DV219">
        <v>50302</v>
      </c>
      <c r="DW219" t="s">
        <v>37</v>
      </c>
      <c r="DX219">
        <v>33832</v>
      </c>
      <c r="DY219" t="s">
        <v>37</v>
      </c>
      <c r="DZ219">
        <v>2333</v>
      </c>
      <c r="EA219" t="s">
        <v>37</v>
      </c>
      <c r="EB219">
        <v>11070</v>
      </c>
      <c r="EC219" t="s">
        <v>37</v>
      </c>
      <c r="ED219">
        <v>34052</v>
      </c>
      <c r="EE219" t="s">
        <v>37</v>
      </c>
      <c r="EF219">
        <v>3596</v>
      </c>
      <c r="EG219" t="s">
        <v>37</v>
      </c>
      <c r="EI219" t="s">
        <v>37</v>
      </c>
      <c r="EJ219">
        <v>7513</v>
      </c>
      <c r="EK219" t="s">
        <v>37</v>
      </c>
      <c r="EL219">
        <v>1112</v>
      </c>
      <c r="EM219" t="s">
        <v>37</v>
      </c>
      <c r="EN219">
        <v>4083</v>
      </c>
      <c r="EO219" t="s">
        <v>37</v>
      </c>
      <c r="EQ219" t="s">
        <v>37</v>
      </c>
      <c r="ER219">
        <v>2916</v>
      </c>
      <c r="ES219" t="s">
        <v>37</v>
      </c>
      <c r="ET219">
        <v>9872</v>
      </c>
      <c r="EU219" t="s">
        <v>37</v>
      </c>
      <c r="EV219">
        <v>27614</v>
      </c>
      <c r="EW219" t="s">
        <v>37</v>
      </c>
      <c r="EY219" t="s">
        <v>37</v>
      </c>
      <c r="EZ219">
        <v>11083</v>
      </c>
      <c r="FA219" t="s">
        <v>37</v>
      </c>
      <c r="FB219">
        <v>5443</v>
      </c>
      <c r="FC219" t="s">
        <v>37</v>
      </c>
      <c r="FD219">
        <v>27161</v>
      </c>
      <c r="FE219" t="s">
        <v>37</v>
      </c>
      <c r="FG219" t="s">
        <v>37</v>
      </c>
      <c r="FH219">
        <v>47917</v>
      </c>
      <c r="FI219" t="s">
        <v>37</v>
      </c>
      <c r="FJ219">
        <v>79331</v>
      </c>
      <c r="FK219" t="s">
        <v>37</v>
      </c>
      <c r="FL219">
        <v>83534</v>
      </c>
      <c r="FM219" t="s">
        <v>37</v>
      </c>
      <c r="FN219">
        <v>11083</v>
      </c>
      <c r="FO219" t="s">
        <v>37</v>
      </c>
      <c r="FP219">
        <v>10346</v>
      </c>
      <c r="FQ219" t="s">
        <v>37</v>
      </c>
      <c r="FR219">
        <v>17304</v>
      </c>
      <c r="FS219" t="s">
        <v>37</v>
      </c>
      <c r="FT219">
        <v>8166</v>
      </c>
      <c r="FU219" t="s">
        <v>37</v>
      </c>
      <c r="FV219">
        <v>5083</v>
      </c>
      <c r="FW219" t="s">
        <v>37</v>
      </c>
      <c r="FX219">
        <v>16916</v>
      </c>
      <c r="FY219" t="s">
        <v>37</v>
      </c>
      <c r="FZ219">
        <v>29457</v>
      </c>
      <c r="GA219" t="s">
        <v>37</v>
      </c>
      <c r="GB219">
        <v>9731</v>
      </c>
      <c r="GC219" t="s">
        <v>37</v>
      </c>
      <c r="GE219" t="s">
        <v>37</v>
      </c>
      <c r="GG219" t="s">
        <v>37</v>
      </c>
      <c r="GI219" t="s">
        <v>37</v>
      </c>
      <c r="GJ219">
        <v>36627</v>
      </c>
      <c r="GK219" t="s">
        <v>37</v>
      </c>
      <c r="GL219">
        <v>45242</v>
      </c>
      <c r="GM219" t="s">
        <v>37</v>
      </c>
      <c r="GO219" t="s">
        <v>37</v>
      </c>
      <c r="GP219">
        <v>16611</v>
      </c>
      <c r="GQ219" t="s">
        <v>37</v>
      </c>
      <c r="GR219">
        <v>22166</v>
      </c>
      <c r="GS219" t="s">
        <v>37</v>
      </c>
      <c r="GT219">
        <v>9916</v>
      </c>
      <c r="GU219" t="s">
        <v>37</v>
      </c>
      <c r="GV219">
        <v>14583</v>
      </c>
      <c r="GW219" t="s">
        <v>37</v>
      </c>
      <c r="GX219">
        <v>32666</v>
      </c>
      <c r="GY219" t="s">
        <v>37</v>
      </c>
      <c r="GZ219">
        <v>18666</v>
      </c>
      <c r="HA219" t="s">
        <v>37</v>
      </c>
      <c r="HB219">
        <v>1750</v>
      </c>
      <c r="HC219" t="s">
        <v>37</v>
      </c>
      <c r="HE219" t="s">
        <v>37</v>
      </c>
      <c r="HF219">
        <v>2010365</v>
      </c>
      <c r="HG219" t="s">
        <v>37</v>
      </c>
      <c r="HH219">
        <v>1750</v>
      </c>
      <c r="HI219" t="s">
        <v>37</v>
      </c>
      <c r="HJ219">
        <v>2012115</v>
      </c>
      <c r="HK219" t="s">
        <v>37</v>
      </c>
    </row>
    <row r="220" spans="1:219">
      <c r="A220">
        <v>3992</v>
      </c>
      <c r="B220" t="s">
        <v>236</v>
      </c>
      <c r="C220" t="s">
        <v>37</v>
      </c>
      <c r="E220" t="s">
        <v>37</v>
      </c>
      <c r="G220" t="s">
        <v>37</v>
      </c>
      <c r="I220" t="s">
        <v>37</v>
      </c>
      <c r="K220" s="48" t="s">
        <v>37</v>
      </c>
      <c r="L220" s="50"/>
      <c r="M220" s="48" t="s">
        <v>37</v>
      </c>
      <c r="N220" s="50"/>
      <c r="O220" s="48" t="s">
        <v>37</v>
      </c>
      <c r="P220" s="50"/>
      <c r="Q220" s="48" t="s">
        <v>37</v>
      </c>
      <c r="R220" s="50"/>
      <c r="S220" s="48" t="s">
        <v>37</v>
      </c>
      <c r="U220" t="s">
        <v>37</v>
      </c>
      <c r="W220" t="s">
        <v>37</v>
      </c>
      <c r="Y220" t="s">
        <v>37</v>
      </c>
      <c r="AA220" t="s">
        <v>37</v>
      </c>
      <c r="AC220" t="s">
        <v>37</v>
      </c>
      <c r="AE220" t="s">
        <v>37</v>
      </c>
      <c r="AG220" t="s">
        <v>37</v>
      </c>
      <c r="AI220" t="s">
        <v>37</v>
      </c>
      <c r="AK220" t="s">
        <v>37</v>
      </c>
      <c r="AM220" t="s">
        <v>37</v>
      </c>
      <c r="AO220" t="s">
        <v>37</v>
      </c>
      <c r="AQ220" t="s">
        <v>37</v>
      </c>
      <c r="AS220" t="s">
        <v>37</v>
      </c>
      <c r="AU220" t="s">
        <v>37</v>
      </c>
      <c r="AW220" t="s">
        <v>37</v>
      </c>
      <c r="AY220" t="s">
        <v>37</v>
      </c>
      <c r="AZ220">
        <v>338667</v>
      </c>
      <c r="BA220" t="s">
        <v>37</v>
      </c>
      <c r="BC220" t="s">
        <v>37</v>
      </c>
      <c r="BE220" t="s">
        <v>37</v>
      </c>
      <c r="BG220" t="s">
        <v>37</v>
      </c>
      <c r="BI220" t="s">
        <v>37</v>
      </c>
      <c r="BK220" t="s">
        <v>37</v>
      </c>
      <c r="BL220">
        <v>7454</v>
      </c>
      <c r="BM220" t="s">
        <v>37</v>
      </c>
      <c r="BO220" t="s">
        <v>37</v>
      </c>
      <c r="BQ220" t="s">
        <v>37</v>
      </c>
      <c r="BS220" t="s">
        <v>37</v>
      </c>
      <c r="BU220" t="s">
        <v>37</v>
      </c>
      <c r="BW220" t="s">
        <v>37</v>
      </c>
      <c r="BY220" t="s">
        <v>37</v>
      </c>
      <c r="CA220" t="s">
        <v>37</v>
      </c>
      <c r="CC220" t="s">
        <v>37</v>
      </c>
      <c r="CE220" t="s">
        <v>37</v>
      </c>
      <c r="CG220" t="s">
        <v>37</v>
      </c>
      <c r="CI220" t="s">
        <v>37</v>
      </c>
      <c r="CK220" t="s">
        <v>37</v>
      </c>
      <c r="CM220" t="s">
        <v>37</v>
      </c>
      <c r="CO220" t="s">
        <v>37</v>
      </c>
      <c r="CQ220" t="s">
        <v>37</v>
      </c>
      <c r="CS220" t="s">
        <v>37</v>
      </c>
      <c r="CU220" t="s">
        <v>37</v>
      </c>
      <c r="CW220" t="s">
        <v>37</v>
      </c>
      <c r="CY220" t="s">
        <v>37</v>
      </c>
      <c r="DA220" t="s">
        <v>37</v>
      </c>
      <c r="DC220" t="s">
        <v>37</v>
      </c>
      <c r="DE220" t="s">
        <v>37</v>
      </c>
      <c r="DG220" t="s">
        <v>37</v>
      </c>
      <c r="DI220" t="s">
        <v>37</v>
      </c>
      <c r="DK220" t="s">
        <v>37</v>
      </c>
      <c r="DM220" t="s">
        <v>37</v>
      </c>
      <c r="DO220" t="s">
        <v>37</v>
      </c>
      <c r="DQ220" t="s">
        <v>37</v>
      </c>
      <c r="DS220" t="s">
        <v>37</v>
      </c>
      <c r="DU220" t="s">
        <v>37</v>
      </c>
      <c r="DW220" t="s">
        <v>37</v>
      </c>
      <c r="DY220" t="s">
        <v>37</v>
      </c>
      <c r="EA220" t="s">
        <v>37</v>
      </c>
      <c r="EC220" t="s">
        <v>37</v>
      </c>
      <c r="ED220">
        <v>11162</v>
      </c>
      <c r="EE220" t="s">
        <v>37</v>
      </c>
      <c r="EG220" t="s">
        <v>37</v>
      </c>
      <c r="EI220" t="s">
        <v>37</v>
      </c>
      <c r="EK220" t="s">
        <v>37</v>
      </c>
      <c r="EM220" t="s">
        <v>37</v>
      </c>
      <c r="EO220" t="s">
        <v>37</v>
      </c>
      <c r="EQ220" t="s">
        <v>37</v>
      </c>
      <c r="ER220">
        <v>91</v>
      </c>
      <c r="ES220" t="s">
        <v>37</v>
      </c>
      <c r="EU220" t="s">
        <v>37</v>
      </c>
      <c r="EW220" t="s">
        <v>37</v>
      </c>
      <c r="EY220" t="s">
        <v>37</v>
      </c>
      <c r="FA220" t="s">
        <v>37</v>
      </c>
      <c r="FC220" t="s">
        <v>37</v>
      </c>
      <c r="FE220" t="s">
        <v>37</v>
      </c>
      <c r="FG220" t="s">
        <v>37</v>
      </c>
      <c r="FI220" t="s">
        <v>37</v>
      </c>
      <c r="FK220" t="s">
        <v>37</v>
      </c>
      <c r="FM220" t="s">
        <v>37</v>
      </c>
      <c r="FO220" t="s">
        <v>37</v>
      </c>
      <c r="FQ220" t="s">
        <v>37</v>
      </c>
      <c r="FS220" t="s">
        <v>37</v>
      </c>
      <c r="FU220" t="s">
        <v>37</v>
      </c>
      <c r="FW220" t="s">
        <v>37</v>
      </c>
      <c r="FY220" t="s">
        <v>37</v>
      </c>
      <c r="GA220" t="s">
        <v>37</v>
      </c>
      <c r="GC220" t="s">
        <v>37</v>
      </c>
      <c r="GE220" t="s">
        <v>37</v>
      </c>
      <c r="GG220" t="s">
        <v>37</v>
      </c>
      <c r="GI220" t="s">
        <v>37</v>
      </c>
      <c r="GJ220">
        <v>247309</v>
      </c>
      <c r="GK220" t="s">
        <v>37</v>
      </c>
      <c r="GM220" t="s">
        <v>37</v>
      </c>
      <c r="GO220" t="s">
        <v>37</v>
      </c>
      <c r="GQ220" t="s">
        <v>37</v>
      </c>
      <c r="GR220">
        <v>7628</v>
      </c>
      <c r="GS220" t="s">
        <v>37</v>
      </c>
      <c r="GU220" t="s">
        <v>37</v>
      </c>
      <c r="GW220" t="s">
        <v>37</v>
      </c>
      <c r="GY220" t="s">
        <v>37</v>
      </c>
      <c r="HA220" t="s">
        <v>37</v>
      </c>
      <c r="HC220" t="s">
        <v>37</v>
      </c>
      <c r="HE220" t="s">
        <v>37</v>
      </c>
      <c r="HF220">
        <v>612311</v>
      </c>
      <c r="HG220" t="s">
        <v>37</v>
      </c>
      <c r="HI220" t="s">
        <v>37</v>
      </c>
      <c r="HJ220">
        <v>612311</v>
      </c>
      <c r="HK220" t="s">
        <v>37</v>
      </c>
    </row>
    <row r="221" spans="1:219">
      <c r="A221">
        <v>3999</v>
      </c>
      <c r="B221" t="s">
        <v>237</v>
      </c>
      <c r="C221" t="s">
        <v>37</v>
      </c>
      <c r="D221">
        <v>52627</v>
      </c>
      <c r="E221" t="s">
        <v>37</v>
      </c>
      <c r="F221">
        <v>827606</v>
      </c>
      <c r="G221" t="s">
        <v>37</v>
      </c>
      <c r="H221">
        <v>43708</v>
      </c>
      <c r="I221" t="s">
        <v>37</v>
      </c>
      <c r="K221" s="48" t="s">
        <v>37</v>
      </c>
      <c r="L221" s="51">
        <v>75640</v>
      </c>
      <c r="M221" s="48" t="s">
        <v>37</v>
      </c>
      <c r="N221" s="51">
        <v>74688</v>
      </c>
      <c r="O221" s="48" t="s">
        <v>37</v>
      </c>
      <c r="P221" s="50"/>
      <c r="Q221" s="48" t="s">
        <v>37</v>
      </c>
      <c r="R221" s="51">
        <v>71152</v>
      </c>
      <c r="S221" s="48" t="s">
        <v>37</v>
      </c>
      <c r="U221" t="s">
        <v>37</v>
      </c>
      <c r="W221" t="s">
        <v>37</v>
      </c>
      <c r="Y221" t="s">
        <v>37</v>
      </c>
      <c r="AA221" t="s">
        <v>37</v>
      </c>
      <c r="AB221">
        <v>15012</v>
      </c>
      <c r="AC221" t="s">
        <v>37</v>
      </c>
      <c r="AD221">
        <v>250000</v>
      </c>
      <c r="AE221" t="s">
        <v>37</v>
      </c>
      <c r="AF221">
        <v>250000</v>
      </c>
      <c r="AG221" t="s">
        <v>37</v>
      </c>
      <c r="AH221">
        <v>1175450</v>
      </c>
      <c r="AI221" t="s">
        <v>37</v>
      </c>
      <c r="AK221" t="s">
        <v>37</v>
      </c>
      <c r="AL221">
        <v>34563</v>
      </c>
      <c r="AM221" t="s">
        <v>37</v>
      </c>
      <c r="AO221" t="s">
        <v>37</v>
      </c>
      <c r="AP221">
        <v>18735</v>
      </c>
      <c r="AQ221" t="s">
        <v>37</v>
      </c>
      <c r="AR221">
        <v>9447</v>
      </c>
      <c r="AS221" t="s">
        <v>37</v>
      </c>
      <c r="AT221">
        <v>439782</v>
      </c>
      <c r="AU221" t="s">
        <v>37</v>
      </c>
      <c r="AV221">
        <v>90105</v>
      </c>
      <c r="AW221" t="s">
        <v>37</v>
      </c>
      <c r="AY221" t="s">
        <v>37</v>
      </c>
      <c r="AZ221">
        <v>2000</v>
      </c>
      <c r="BA221" t="s">
        <v>37</v>
      </c>
      <c r="BB221">
        <v>3074</v>
      </c>
      <c r="BC221" t="s">
        <v>37</v>
      </c>
      <c r="BD221">
        <v>18698</v>
      </c>
      <c r="BE221" t="s">
        <v>37</v>
      </c>
      <c r="BG221" t="s">
        <v>37</v>
      </c>
      <c r="BI221" t="s">
        <v>37</v>
      </c>
      <c r="BJ221">
        <v>137886</v>
      </c>
      <c r="BK221" t="s">
        <v>37</v>
      </c>
      <c r="BL221">
        <v>60</v>
      </c>
      <c r="BM221" t="s">
        <v>37</v>
      </c>
      <c r="BO221" t="s">
        <v>37</v>
      </c>
      <c r="BP221">
        <v>1319</v>
      </c>
      <c r="BQ221" t="s">
        <v>37</v>
      </c>
      <c r="BR221">
        <v>16761</v>
      </c>
      <c r="BS221" t="s">
        <v>37</v>
      </c>
      <c r="BU221" t="s">
        <v>37</v>
      </c>
      <c r="BW221" t="s">
        <v>37</v>
      </c>
      <c r="BX221">
        <v>2660</v>
      </c>
      <c r="BY221" t="s">
        <v>37</v>
      </c>
      <c r="BZ221">
        <v>48736</v>
      </c>
      <c r="CA221" t="s">
        <v>37</v>
      </c>
      <c r="CC221" t="s">
        <v>37</v>
      </c>
      <c r="CE221" t="s">
        <v>37</v>
      </c>
      <c r="CG221" t="s">
        <v>37</v>
      </c>
      <c r="CH221">
        <v>143700</v>
      </c>
      <c r="CI221" t="s">
        <v>37</v>
      </c>
      <c r="CK221" t="s">
        <v>37</v>
      </c>
      <c r="CL221">
        <v>53878</v>
      </c>
      <c r="CM221" t="s">
        <v>37</v>
      </c>
      <c r="CO221" t="s">
        <v>37</v>
      </c>
      <c r="CQ221" t="s">
        <v>37</v>
      </c>
      <c r="CR221">
        <v>1837</v>
      </c>
      <c r="CS221" t="s">
        <v>37</v>
      </c>
      <c r="CT221">
        <v>903207</v>
      </c>
      <c r="CU221" t="s">
        <v>37</v>
      </c>
      <c r="CV221">
        <v>34750</v>
      </c>
      <c r="CW221" t="s">
        <v>37</v>
      </c>
      <c r="CY221" t="s">
        <v>37</v>
      </c>
      <c r="DA221" t="s">
        <v>37</v>
      </c>
      <c r="DC221" t="s">
        <v>37</v>
      </c>
      <c r="DD221">
        <v>6768</v>
      </c>
      <c r="DE221" t="s">
        <v>37</v>
      </c>
      <c r="DG221" t="s">
        <v>37</v>
      </c>
      <c r="DH221">
        <v>447205</v>
      </c>
      <c r="DI221" t="s">
        <v>37</v>
      </c>
      <c r="DJ221">
        <v>57566</v>
      </c>
      <c r="DK221" t="s">
        <v>37</v>
      </c>
      <c r="DL221">
        <v>99509</v>
      </c>
      <c r="DM221" t="s">
        <v>37</v>
      </c>
      <c r="DN221">
        <v>104587</v>
      </c>
      <c r="DO221" t="s">
        <v>37</v>
      </c>
      <c r="DP221">
        <v>5235</v>
      </c>
      <c r="DQ221" t="s">
        <v>37</v>
      </c>
      <c r="DS221" t="s">
        <v>37</v>
      </c>
      <c r="DT221">
        <v>88</v>
      </c>
      <c r="DU221" t="s">
        <v>37</v>
      </c>
      <c r="DV221">
        <v>28279</v>
      </c>
      <c r="DW221" t="s">
        <v>37</v>
      </c>
      <c r="DX221">
        <v>112286</v>
      </c>
      <c r="DY221" t="s">
        <v>37</v>
      </c>
      <c r="DZ221">
        <v>2000</v>
      </c>
      <c r="EA221" t="s">
        <v>37</v>
      </c>
      <c r="EC221" t="s">
        <v>37</v>
      </c>
      <c r="ED221">
        <v>187067</v>
      </c>
      <c r="EE221" t="s">
        <v>37</v>
      </c>
      <c r="EF221">
        <v>4452</v>
      </c>
      <c r="EG221" t="s">
        <v>37</v>
      </c>
      <c r="EH221">
        <v>7557</v>
      </c>
      <c r="EI221" t="s">
        <v>37</v>
      </c>
      <c r="EK221" t="s">
        <v>37</v>
      </c>
      <c r="EM221" t="s">
        <v>37</v>
      </c>
      <c r="EO221" t="s">
        <v>37</v>
      </c>
      <c r="EP221">
        <v>39403</v>
      </c>
      <c r="EQ221" t="s">
        <v>37</v>
      </c>
      <c r="ER221">
        <v>5667</v>
      </c>
      <c r="ES221" t="s">
        <v>37</v>
      </c>
      <c r="EU221" t="s">
        <v>37</v>
      </c>
      <c r="EV221">
        <v>4706</v>
      </c>
      <c r="EW221" t="s">
        <v>37</v>
      </c>
      <c r="EY221" t="s">
        <v>37</v>
      </c>
      <c r="FA221" t="s">
        <v>37</v>
      </c>
      <c r="FB221">
        <v>1858</v>
      </c>
      <c r="FC221" t="s">
        <v>37</v>
      </c>
      <c r="FD221">
        <v>692406</v>
      </c>
      <c r="FE221" t="s">
        <v>37</v>
      </c>
      <c r="FG221" t="s">
        <v>37</v>
      </c>
      <c r="FI221" t="s">
        <v>37</v>
      </c>
      <c r="FK221" t="s">
        <v>37</v>
      </c>
      <c r="FL221">
        <v>100822</v>
      </c>
      <c r="FM221" t="s">
        <v>37</v>
      </c>
      <c r="FO221" t="s">
        <v>37</v>
      </c>
      <c r="FQ221" t="s">
        <v>37</v>
      </c>
      <c r="FS221" t="s">
        <v>37</v>
      </c>
      <c r="FU221" t="s">
        <v>37</v>
      </c>
      <c r="FV221">
        <v>9225</v>
      </c>
      <c r="FW221" t="s">
        <v>37</v>
      </c>
      <c r="FY221" t="s">
        <v>37</v>
      </c>
      <c r="GA221" t="s">
        <v>37</v>
      </c>
      <c r="GB221">
        <v>6244</v>
      </c>
      <c r="GC221" t="s">
        <v>37</v>
      </c>
      <c r="GE221" t="s">
        <v>37</v>
      </c>
      <c r="GG221" t="s">
        <v>37</v>
      </c>
      <c r="GI221" t="s">
        <v>37</v>
      </c>
      <c r="GJ221">
        <v>13872</v>
      </c>
      <c r="GK221" t="s">
        <v>37</v>
      </c>
      <c r="GL221">
        <v>1700</v>
      </c>
      <c r="GM221" t="s">
        <v>37</v>
      </c>
      <c r="GO221" t="s">
        <v>37</v>
      </c>
      <c r="GP221">
        <v>21024</v>
      </c>
      <c r="GQ221" t="s">
        <v>37</v>
      </c>
      <c r="GR221">
        <v>11393</v>
      </c>
      <c r="GS221" t="s">
        <v>37</v>
      </c>
      <c r="GT221">
        <v>23236</v>
      </c>
      <c r="GU221" t="s">
        <v>37</v>
      </c>
      <c r="GV221">
        <v>55003</v>
      </c>
      <c r="GW221" t="s">
        <v>37</v>
      </c>
      <c r="GX221">
        <v>2250</v>
      </c>
      <c r="GY221" t="s">
        <v>37</v>
      </c>
      <c r="GZ221">
        <v>3714</v>
      </c>
      <c r="HA221" t="s">
        <v>37</v>
      </c>
      <c r="HB221">
        <v>464256</v>
      </c>
      <c r="HC221" t="s">
        <v>37</v>
      </c>
      <c r="HE221" t="s">
        <v>37</v>
      </c>
      <c r="HF221">
        <v>6852203</v>
      </c>
      <c r="HG221" t="s">
        <v>37</v>
      </c>
      <c r="HH221">
        <v>464256</v>
      </c>
      <c r="HI221" t="s">
        <v>37</v>
      </c>
      <c r="HJ221">
        <v>7316459</v>
      </c>
      <c r="HK221" t="s">
        <v>37</v>
      </c>
    </row>
    <row r="222" spans="1:219">
      <c r="C222" t="s">
        <v>37</v>
      </c>
      <c r="E222" t="s">
        <v>37</v>
      </c>
      <c r="G222" t="s">
        <v>37</v>
      </c>
      <c r="I222" t="s">
        <v>37</v>
      </c>
      <c r="K222" s="48" t="s">
        <v>37</v>
      </c>
      <c r="L222" s="51"/>
      <c r="M222" s="48" t="s">
        <v>37</v>
      </c>
      <c r="N222" s="51"/>
      <c r="O222" s="48" t="s">
        <v>37</v>
      </c>
      <c r="P222" s="50"/>
      <c r="Q222" s="48" t="s">
        <v>37</v>
      </c>
      <c r="R222" s="51"/>
      <c r="S222" s="48" t="s">
        <v>37</v>
      </c>
      <c r="U222" t="s">
        <v>37</v>
      </c>
      <c r="W222" t="s">
        <v>37</v>
      </c>
      <c r="Y222" t="s">
        <v>37</v>
      </c>
      <c r="AA222" t="s">
        <v>37</v>
      </c>
      <c r="AC222" t="s">
        <v>37</v>
      </c>
      <c r="AE222" t="s">
        <v>37</v>
      </c>
      <c r="AG222" t="s">
        <v>37</v>
      </c>
      <c r="AI222" t="s">
        <v>37</v>
      </c>
      <c r="AK222" t="s">
        <v>37</v>
      </c>
      <c r="AM222" t="s">
        <v>37</v>
      </c>
      <c r="AO222" t="s">
        <v>37</v>
      </c>
      <c r="AQ222" t="s">
        <v>37</v>
      </c>
      <c r="AS222" t="s">
        <v>37</v>
      </c>
      <c r="AU222" t="s">
        <v>37</v>
      </c>
      <c r="AW222" t="s">
        <v>37</v>
      </c>
      <c r="AY222" t="s">
        <v>37</v>
      </c>
      <c r="BA222" t="s">
        <v>37</v>
      </c>
      <c r="BC222" t="s">
        <v>37</v>
      </c>
      <c r="BE222" t="s">
        <v>37</v>
      </c>
      <c r="BG222" t="s">
        <v>37</v>
      </c>
      <c r="BI222" t="s">
        <v>37</v>
      </c>
      <c r="BK222" t="s">
        <v>37</v>
      </c>
      <c r="BM222" t="s">
        <v>37</v>
      </c>
      <c r="BO222" t="s">
        <v>37</v>
      </c>
      <c r="BQ222" t="s">
        <v>37</v>
      </c>
      <c r="BS222" t="s">
        <v>37</v>
      </c>
      <c r="BU222" t="s">
        <v>37</v>
      </c>
      <c r="BW222" t="s">
        <v>37</v>
      </c>
      <c r="BY222" t="s">
        <v>37</v>
      </c>
      <c r="CA222" t="s">
        <v>37</v>
      </c>
      <c r="CC222" t="s">
        <v>37</v>
      </c>
      <c r="CE222" t="s">
        <v>37</v>
      </c>
      <c r="CG222" t="s">
        <v>37</v>
      </c>
      <c r="CI222" t="s">
        <v>37</v>
      </c>
      <c r="CK222" t="s">
        <v>37</v>
      </c>
      <c r="CM222" t="s">
        <v>37</v>
      </c>
      <c r="CO222" t="s">
        <v>37</v>
      </c>
      <c r="CQ222" t="s">
        <v>37</v>
      </c>
      <c r="CS222" t="s">
        <v>37</v>
      </c>
      <c r="CU222" t="s">
        <v>37</v>
      </c>
      <c r="CW222" t="s">
        <v>37</v>
      </c>
      <c r="CY222" t="s">
        <v>37</v>
      </c>
      <c r="DA222" t="s">
        <v>37</v>
      </c>
      <c r="DC222" t="s">
        <v>37</v>
      </c>
      <c r="DE222" t="s">
        <v>37</v>
      </c>
      <c r="DG222" t="s">
        <v>37</v>
      </c>
      <c r="DI222" t="s">
        <v>37</v>
      </c>
      <c r="DK222" t="s">
        <v>37</v>
      </c>
      <c r="DM222" t="s">
        <v>37</v>
      </c>
      <c r="DO222" t="s">
        <v>37</v>
      </c>
      <c r="DQ222" t="s">
        <v>37</v>
      </c>
      <c r="DS222" t="s">
        <v>37</v>
      </c>
      <c r="DU222" t="s">
        <v>37</v>
      </c>
      <c r="DW222" t="s">
        <v>37</v>
      </c>
      <c r="DY222" t="s">
        <v>37</v>
      </c>
      <c r="EA222" t="s">
        <v>37</v>
      </c>
      <c r="EC222" t="s">
        <v>37</v>
      </c>
      <c r="EE222" t="s">
        <v>37</v>
      </c>
      <c r="EG222" t="s">
        <v>37</v>
      </c>
      <c r="EI222" t="s">
        <v>37</v>
      </c>
      <c r="EK222" t="s">
        <v>37</v>
      </c>
      <c r="EM222" t="s">
        <v>37</v>
      </c>
      <c r="EO222" t="s">
        <v>37</v>
      </c>
      <c r="EQ222" t="s">
        <v>37</v>
      </c>
      <c r="ES222" t="s">
        <v>37</v>
      </c>
      <c r="EU222" t="s">
        <v>37</v>
      </c>
      <c r="EW222" t="s">
        <v>37</v>
      </c>
      <c r="EY222" t="s">
        <v>37</v>
      </c>
      <c r="FA222" t="s">
        <v>37</v>
      </c>
      <c r="FC222" t="s">
        <v>37</v>
      </c>
      <c r="FE222" t="s">
        <v>37</v>
      </c>
      <c r="FG222" t="s">
        <v>37</v>
      </c>
      <c r="FI222" t="s">
        <v>37</v>
      </c>
      <c r="FK222" t="s">
        <v>37</v>
      </c>
      <c r="FM222" t="s">
        <v>37</v>
      </c>
      <c r="FO222" t="s">
        <v>37</v>
      </c>
      <c r="FQ222" t="s">
        <v>37</v>
      </c>
      <c r="FS222" t="s">
        <v>37</v>
      </c>
      <c r="FU222" t="s">
        <v>37</v>
      </c>
      <c r="FW222" t="s">
        <v>37</v>
      </c>
      <c r="FY222" t="s">
        <v>37</v>
      </c>
      <c r="GA222" t="s">
        <v>37</v>
      </c>
      <c r="GC222" t="s">
        <v>37</v>
      </c>
      <c r="GE222" t="s">
        <v>37</v>
      </c>
      <c r="GG222" t="s">
        <v>37</v>
      </c>
      <c r="GI222" t="s">
        <v>37</v>
      </c>
      <c r="GK222" t="s">
        <v>37</v>
      </c>
      <c r="GM222" t="s">
        <v>37</v>
      </c>
      <c r="GO222" t="s">
        <v>37</v>
      </c>
      <c r="GQ222" t="s">
        <v>37</v>
      </c>
      <c r="GS222" t="s">
        <v>37</v>
      </c>
      <c r="GU222" t="s">
        <v>37</v>
      </c>
      <c r="GW222" t="s">
        <v>37</v>
      </c>
      <c r="GY222" t="s">
        <v>37</v>
      </c>
      <c r="HA222" t="s">
        <v>37</v>
      </c>
      <c r="HC222" t="s">
        <v>37</v>
      </c>
      <c r="HE222" t="s">
        <v>37</v>
      </c>
      <c r="HG222" t="s">
        <v>37</v>
      </c>
      <c r="HI222" t="s">
        <v>37</v>
      </c>
      <c r="HK222" t="s">
        <v>37</v>
      </c>
    </row>
    <row r="223" spans="1:219">
      <c r="A223" t="s">
        <v>90</v>
      </c>
      <c r="B223" t="s">
        <v>238</v>
      </c>
      <c r="C223" t="s">
        <v>37</v>
      </c>
      <c r="D223">
        <v>18654097</v>
      </c>
      <c r="E223" t="s">
        <v>37</v>
      </c>
      <c r="F223">
        <v>104927868</v>
      </c>
      <c r="G223" t="s">
        <v>37</v>
      </c>
      <c r="H223">
        <v>11242454</v>
      </c>
      <c r="I223" t="s">
        <v>37</v>
      </c>
      <c r="J223">
        <v>524098</v>
      </c>
      <c r="K223" s="48" t="s">
        <v>37</v>
      </c>
      <c r="L223" s="51">
        <v>36870125</v>
      </c>
      <c r="M223" s="48" t="s">
        <v>37</v>
      </c>
      <c r="N223" s="51">
        <v>17702542</v>
      </c>
      <c r="O223" s="48" t="s">
        <v>37</v>
      </c>
      <c r="P223" s="51">
        <v>12580738</v>
      </c>
      <c r="Q223" s="48" t="s">
        <v>37</v>
      </c>
      <c r="R223" s="51">
        <v>11478574</v>
      </c>
      <c r="S223" s="48" t="s">
        <v>37</v>
      </c>
      <c r="T223">
        <v>53409518</v>
      </c>
      <c r="U223" t="s">
        <v>37</v>
      </c>
      <c r="V223">
        <v>677455</v>
      </c>
      <c r="W223" t="s">
        <v>37</v>
      </c>
      <c r="X223">
        <v>1243249</v>
      </c>
      <c r="Y223" t="s">
        <v>37</v>
      </c>
      <c r="Z223">
        <v>8557834</v>
      </c>
      <c r="AA223" t="s">
        <v>37</v>
      </c>
      <c r="AB223">
        <v>5958221</v>
      </c>
      <c r="AC223" t="s">
        <v>37</v>
      </c>
      <c r="AD223">
        <v>5072720</v>
      </c>
      <c r="AE223" t="s">
        <v>37</v>
      </c>
      <c r="AF223">
        <v>5193746</v>
      </c>
      <c r="AG223" t="s">
        <v>37</v>
      </c>
      <c r="AH223">
        <v>14540605</v>
      </c>
      <c r="AI223" t="s">
        <v>37</v>
      </c>
      <c r="AJ223">
        <v>217178</v>
      </c>
      <c r="AK223" t="s">
        <v>37</v>
      </c>
      <c r="AL223">
        <v>28053387</v>
      </c>
      <c r="AM223" t="s">
        <v>37</v>
      </c>
      <c r="AN223">
        <v>183013</v>
      </c>
      <c r="AO223" t="s">
        <v>37</v>
      </c>
      <c r="AP223">
        <v>122324302</v>
      </c>
      <c r="AQ223" t="s">
        <v>37</v>
      </c>
      <c r="AR223">
        <v>9172325</v>
      </c>
      <c r="AS223" t="s">
        <v>37</v>
      </c>
      <c r="AT223">
        <v>128541187</v>
      </c>
      <c r="AU223" t="s">
        <v>37</v>
      </c>
      <c r="AV223">
        <v>42800456</v>
      </c>
      <c r="AW223" t="s">
        <v>37</v>
      </c>
      <c r="AX223">
        <v>28926519</v>
      </c>
      <c r="AY223" t="s">
        <v>37</v>
      </c>
      <c r="AZ223">
        <v>38780715</v>
      </c>
      <c r="BA223" t="s">
        <v>37</v>
      </c>
      <c r="BB223">
        <v>5635106</v>
      </c>
      <c r="BC223" t="s">
        <v>37</v>
      </c>
      <c r="BD223">
        <v>16885809</v>
      </c>
      <c r="BE223" t="s">
        <v>37</v>
      </c>
      <c r="BF223">
        <v>6573858</v>
      </c>
      <c r="BG223" t="s">
        <v>37</v>
      </c>
      <c r="BH223">
        <v>491728</v>
      </c>
      <c r="BI223" t="s">
        <v>37</v>
      </c>
      <c r="BJ223">
        <v>31239338</v>
      </c>
      <c r="BK223" t="s">
        <v>37</v>
      </c>
      <c r="BL223">
        <v>53095241</v>
      </c>
      <c r="BM223" t="s">
        <v>37</v>
      </c>
      <c r="BN223">
        <v>748803</v>
      </c>
      <c r="BO223" t="s">
        <v>37</v>
      </c>
      <c r="BP223">
        <v>4579669</v>
      </c>
      <c r="BQ223" t="s">
        <v>37</v>
      </c>
      <c r="BR223">
        <v>17428535</v>
      </c>
      <c r="BS223" t="s">
        <v>37</v>
      </c>
      <c r="BT223">
        <v>7518630</v>
      </c>
      <c r="BU223" t="s">
        <v>37</v>
      </c>
      <c r="BV223">
        <v>353295</v>
      </c>
      <c r="BW223" t="s">
        <v>37</v>
      </c>
      <c r="BX223">
        <v>85250154</v>
      </c>
      <c r="BY223" t="s">
        <v>37</v>
      </c>
      <c r="BZ223">
        <v>11661093</v>
      </c>
      <c r="CA223" t="s">
        <v>37</v>
      </c>
      <c r="CB223">
        <v>148045</v>
      </c>
      <c r="CC223" t="s">
        <v>37</v>
      </c>
      <c r="CD223">
        <v>20698194</v>
      </c>
      <c r="CE223" t="s">
        <v>37</v>
      </c>
      <c r="CF223">
        <v>16017071</v>
      </c>
      <c r="CG223" t="s">
        <v>37</v>
      </c>
      <c r="CH223">
        <v>67849377</v>
      </c>
      <c r="CI223" t="s">
        <v>37</v>
      </c>
      <c r="CJ223">
        <v>6245687</v>
      </c>
      <c r="CK223" t="s">
        <v>37</v>
      </c>
      <c r="CL223">
        <v>19906027</v>
      </c>
      <c r="CM223" t="s">
        <v>37</v>
      </c>
      <c r="CN223">
        <v>6430095</v>
      </c>
      <c r="CO223" t="s">
        <v>37</v>
      </c>
      <c r="CP223">
        <v>7687191</v>
      </c>
      <c r="CQ223" t="s">
        <v>37</v>
      </c>
      <c r="CR223">
        <v>38725750</v>
      </c>
      <c r="CS223" t="s">
        <v>37</v>
      </c>
      <c r="CT223">
        <v>279061391</v>
      </c>
      <c r="CU223" t="s">
        <v>37</v>
      </c>
      <c r="CV223">
        <v>42458501</v>
      </c>
      <c r="CW223" t="s">
        <v>37</v>
      </c>
      <c r="CX223">
        <v>5986637</v>
      </c>
      <c r="CY223" t="s">
        <v>37</v>
      </c>
      <c r="CZ223">
        <v>5455921</v>
      </c>
      <c r="DA223" t="s">
        <v>37</v>
      </c>
      <c r="DB223">
        <v>592160</v>
      </c>
      <c r="DC223" t="s">
        <v>37</v>
      </c>
      <c r="DD223">
        <v>14354250</v>
      </c>
      <c r="DE223" t="s">
        <v>37</v>
      </c>
      <c r="DF223">
        <v>8434601</v>
      </c>
      <c r="DG223" t="s">
        <v>37</v>
      </c>
      <c r="DH223">
        <v>127393311</v>
      </c>
      <c r="DI223" t="s">
        <v>37</v>
      </c>
      <c r="DJ223">
        <v>15208859</v>
      </c>
      <c r="DK223" t="s">
        <v>37</v>
      </c>
      <c r="DL223">
        <v>48789949</v>
      </c>
      <c r="DM223" t="s">
        <v>37</v>
      </c>
      <c r="DN223">
        <v>52440113</v>
      </c>
      <c r="DO223" t="s">
        <v>37</v>
      </c>
      <c r="DP223">
        <v>28242771</v>
      </c>
      <c r="DQ223" t="s">
        <v>37</v>
      </c>
      <c r="DR223">
        <v>16509835</v>
      </c>
      <c r="DS223" t="s">
        <v>37</v>
      </c>
      <c r="DT223">
        <v>17088122</v>
      </c>
      <c r="DU223" t="s">
        <v>37</v>
      </c>
      <c r="DV223">
        <v>91304906</v>
      </c>
      <c r="DW223" t="s">
        <v>37</v>
      </c>
      <c r="DX223">
        <v>42265658</v>
      </c>
      <c r="DY223" t="s">
        <v>37</v>
      </c>
      <c r="DZ223">
        <v>10868863</v>
      </c>
      <c r="EA223" t="s">
        <v>37</v>
      </c>
      <c r="EB223">
        <v>18506569</v>
      </c>
      <c r="EC223" t="s">
        <v>37</v>
      </c>
      <c r="ED223">
        <v>77028601</v>
      </c>
      <c r="EE223" t="s">
        <v>37</v>
      </c>
      <c r="EF223">
        <v>4579559</v>
      </c>
      <c r="EG223" t="s">
        <v>37</v>
      </c>
      <c r="EH223">
        <v>651931</v>
      </c>
      <c r="EI223" t="s">
        <v>37</v>
      </c>
      <c r="EJ223">
        <v>14778860</v>
      </c>
      <c r="EK223" t="s">
        <v>37</v>
      </c>
      <c r="EL223">
        <v>10275974</v>
      </c>
      <c r="EM223" t="s">
        <v>37</v>
      </c>
      <c r="EN223">
        <v>5902586</v>
      </c>
      <c r="EO223" t="s">
        <v>37</v>
      </c>
      <c r="EP223">
        <v>452446</v>
      </c>
      <c r="EQ223" t="s">
        <v>37</v>
      </c>
      <c r="ER223">
        <v>26425792</v>
      </c>
      <c r="ES223" t="s">
        <v>37</v>
      </c>
      <c r="ET223">
        <v>29779280</v>
      </c>
      <c r="EU223" t="s">
        <v>37</v>
      </c>
      <c r="EV223">
        <v>41481188</v>
      </c>
      <c r="EW223" t="s">
        <v>37</v>
      </c>
      <c r="EY223" t="s">
        <v>37</v>
      </c>
      <c r="EZ223">
        <v>18414455</v>
      </c>
      <c r="FA223" t="s">
        <v>37</v>
      </c>
      <c r="FB223">
        <v>20540012</v>
      </c>
      <c r="FC223" t="s">
        <v>37</v>
      </c>
      <c r="FD223">
        <v>37061360</v>
      </c>
      <c r="FE223" t="s">
        <v>37</v>
      </c>
      <c r="FF223">
        <v>20095</v>
      </c>
      <c r="FG223" t="s">
        <v>37</v>
      </c>
      <c r="FH223">
        <v>70066036</v>
      </c>
      <c r="FI223" t="s">
        <v>37</v>
      </c>
      <c r="FJ223">
        <v>115006763</v>
      </c>
      <c r="FK223" t="s">
        <v>37</v>
      </c>
      <c r="FL223">
        <v>96245328</v>
      </c>
      <c r="FM223" t="s">
        <v>37</v>
      </c>
      <c r="FN223">
        <v>10955022</v>
      </c>
      <c r="FO223" t="s">
        <v>37</v>
      </c>
      <c r="FP223">
        <v>22906337</v>
      </c>
      <c r="FQ223" t="s">
        <v>37</v>
      </c>
      <c r="FR223">
        <v>40397515</v>
      </c>
      <c r="FS223" t="s">
        <v>37</v>
      </c>
      <c r="FT223">
        <v>14746972</v>
      </c>
      <c r="FU223" t="s">
        <v>37</v>
      </c>
      <c r="FV223">
        <v>13296318</v>
      </c>
      <c r="FW223" t="s">
        <v>37</v>
      </c>
      <c r="FX223">
        <v>27535052</v>
      </c>
      <c r="FY223" t="s">
        <v>37</v>
      </c>
      <c r="FZ223">
        <v>42614268</v>
      </c>
      <c r="GA223" t="s">
        <v>37</v>
      </c>
      <c r="GB223">
        <v>40742680</v>
      </c>
      <c r="GC223" t="s">
        <v>37</v>
      </c>
      <c r="GD223">
        <v>496154</v>
      </c>
      <c r="GE223" t="s">
        <v>37</v>
      </c>
      <c r="GF223">
        <v>316312</v>
      </c>
      <c r="GG223" t="s">
        <v>37</v>
      </c>
      <c r="GH223">
        <v>300675</v>
      </c>
      <c r="GI223" t="s">
        <v>37</v>
      </c>
      <c r="GJ223">
        <v>42718877</v>
      </c>
      <c r="GK223" t="s">
        <v>37</v>
      </c>
      <c r="GL223">
        <v>41369109</v>
      </c>
      <c r="GM223" t="s">
        <v>37</v>
      </c>
      <c r="GO223" t="s">
        <v>37</v>
      </c>
      <c r="GP223">
        <v>24808289</v>
      </c>
      <c r="GQ223" t="s">
        <v>37</v>
      </c>
      <c r="GR223">
        <v>28469389</v>
      </c>
      <c r="GS223" t="s">
        <v>37</v>
      </c>
      <c r="GT223">
        <v>23339328</v>
      </c>
      <c r="GU223" t="s">
        <v>37</v>
      </c>
      <c r="GV223">
        <v>18463832</v>
      </c>
      <c r="GW223" t="s">
        <v>37</v>
      </c>
      <c r="GX223">
        <v>75448546</v>
      </c>
      <c r="GY223" t="s">
        <v>37</v>
      </c>
      <c r="GZ223">
        <v>32077870</v>
      </c>
      <c r="HA223" t="s">
        <v>37</v>
      </c>
      <c r="HB223">
        <v>5801081</v>
      </c>
      <c r="HC223" t="s">
        <v>37</v>
      </c>
      <c r="HD223">
        <v>3489714</v>
      </c>
      <c r="HE223" t="s">
        <v>37</v>
      </c>
      <c r="HF223">
        <v>3027476850</v>
      </c>
      <c r="HG223" t="s">
        <v>37</v>
      </c>
      <c r="HH223">
        <v>9290795</v>
      </c>
      <c r="HI223" t="s">
        <v>37</v>
      </c>
      <c r="HJ223">
        <v>3036767645</v>
      </c>
      <c r="HK223" t="s">
        <v>37</v>
      </c>
    </row>
    <row r="224" spans="1:219">
      <c r="C224" t="s">
        <v>37</v>
      </c>
      <c r="E224" t="s">
        <v>37</v>
      </c>
      <c r="G224" t="s">
        <v>37</v>
      </c>
      <c r="I224" t="s">
        <v>37</v>
      </c>
      <c r="K224" s="48" t="s">
        <v>37</v>
      </c>
      <c r="L224" s="51"/>
      <c r="M224" s="48" t="s">
        <v>37</v>
      </c>
      <c r="N224" s="51"/>
      <c r="O224" s="48" t="s">
        <v>37</v>
      </c>
      <c r="P224" s="51"/>
      <c r="Q224" s="48" t="s">
        <v>37</v>
      </c>
      <c r="R224" s="51"/>
      <c r="S224" s="48" t="s">
        <v>37</v>
      </c>
      <c r="U224" t="s">
        <v>37</v>
      </c>
      <c r="W224" t="s">
        <v>37</v>
      </c>
      <c r="Y224" t="s">
        <v>37</v>
      </c>
      <c r="AA224" t="s">
        <v>37</v>
      </c>
      <c r="AC224" t="s">
        <v>37</v>
      </c>
      <c r="AE224" t="s">
        <v>37</v>
      </c>
      <c r="AG224" t="s">
        <v>37</v>
      </c>
      <c r="AI224" t="s">
        <v>37</v>
      </c>
      <c r="AK224" t="s">
        <v>37</v>
      </c>
      <c r="AM224" t="s">
        <v>37</v>
      </c>
      <c r="AO224" t="s">
        <v>37</v>
      </c>
      <c r="AQ224" t="s">
        <v>37</v>
      </c>
      <c r="AS224" t="s">
        <v>37</v>
      </c>
      <c r="AU224" t="s">
        <v>37</v>
      </c>
      <c r="AW224" t="s">
        <v>37</v>
      </c>
      <c r="AY224" t="s">
        <v>37</v>
      </c>
      <c r="BA224" t="s">
        <v>37</v>
      </c>
      <c r="BC224" t="s">
        <v>37</v>
      </c>
      <c r="BE224" t="s">
        <v>37</v>
      </c>
      <c r="BG224" t="s">
        <v>37</v>
      </c>
      <c r="BI224" t="s">
        <v>37</v>
      </c>
      <c r="BK224" t="s">
        <v>37</v>
      </c>
      <c r="BM224" t="s">
        <v>37</v>
      </c>
      <c r="BO224" t="s">
        <v>37</v>
      </c>
      <c r="BQ224" t="s">
        <v>37</v>
      </c>
      <c r="BS224" t="s">
        <v>37</v>
      </c>
      <c r="BU224" t="s">
        <v>37</v>
      </c>
      <c r="BW224" t="s">
        <v>37</v>
      </c>
      <c r="BY224" t="s">
        <v>37</v>
      </c>
      <c r="CA224" t="s">
        <v>37</v>
      </c>
      <c r="CC224" t="s">
        <v>37</v>
      </c>
      <c r="CE224" t="s">
        <v>37</v>
      </c>
      <c r="CG224" t="s">
        <v>37</v>
      </c>
      <c r="CI224" t="s">
        <v>37</v>
      </c>
      <c r="CK224" t="s">
        <v>37</v>
      </c>
      <c r="CM224" t="s">
        <v>37</v>
      </c>
      <c r="CO224" t="s">
        <v>37</v>
      </c>
      <c r="CQ224" t="s">
        <v>37</v>
      </c>
      <c r="CS224" t="s">
        <v>37</v>
      </c>
      <c r="CU224" t="s">
        <v>37</v>
      </c>
      <c r="CW224" t="s">
        <v>37</v>
      </c>
      <c r="CY224" t="s">
        <v>37</v>
      </c>
      <c r="DA224" t="s">
        <v>37</v>
      </c>
      <c r="DC224" t="s">
        <v>37</v>
      </c>
      <c r="DE224" t="s">
        <v>37</v>
      </c>
      <c r="DG224" t="s">
        <v>37</v>
      </c>
      <c r="DI224" t="s">
        <v>37</v>
      </c>
      <c r="DK224" t="s">
        <v>37</v>
      </c>
      <c r="DM224" t="s">
        <v>37</v>
      </c>
      <c r="DO224" t="s">
        <v>37</v>
      </c>
      <c r="DQ224" t="s">
        <v>37</v>
      </c>
      <c r="DS224" t="s">
        <v>37</v>
      </c>
      <c r="DU224" t="s">
        <v>37</v>
      </c>
      <c r="DW224" t="s">
        <v>37</v>
      </c>
      <c r="DY224" t="s">
        <v>37</v>
      </c>
      <c r="EA224" t="s">
        <v>37</v>
      </c>
      <c r="EC224" t="s">
        <v>37</v>
      </c>
      <c r="EE224" t="s">
        <v>37</v>
      </c>
      <c r="EG224" t="s">
        <v>37</v>
      </c>
      <c r="EI224" t="s">
        <v>37</v>
      </c>
      <c r="EK224" t="s">
        <v>37</v>
      </c>
      <c r="EM224" t="s">
        <v>37</v>
      </c>
      <c r="EO224" t="s">
        <v>37</v>
      </c>
      <c r="EQ224" t="s">
        <v>37</v>
      </c>
      <c r="ES224" t="s">
        <v>37</v>
      </c>
      <c r="EU224" t="s">
        <v>37</v>
      </c>
      <c r="EW224" t="s">
        <v>37</v>
      </c>
      <c r="EY224" t="s">
        <v>37</v>
      </c>
      <c r="FA224" t="s">
        <v>37</v>
      </c>
      <c r="FC224" t="s">
        <v>37</v>
      </c>
      <c r="FE224" t="s">
        <v>37</v>
      </c>
      <c r="FG224" t="s">
        <v>37</v>
      </c>
      <c r="FI224" t="s">
        <v>37</v>
      </c>
      <c r="FK224" t="s">
        <v>37</v>
      </c>
      <c r="FM224" t="s">
        <v>37</v>
      </c>
      <c r="FO224" t="s">
        <v>37</v>
      </c>
      <c r="FQ224" t="s">
        <v>37</v>
      </c>
      <c r="FS224" t="s">
        <v>37</v>
      </c>
      <c r="FU224" t="s">
        <v>37</v>
      </c>
      <c r="FW224" t="s">
        <v>37</v>
      </c>
      <c r="FY224" t="s">
        <v>37</v>
      </c>
      <c r="GA224" t="s">
        <v>37</v>
      </c>
      <c r="GC224" t="s">
        <v>37</v>
      </c>
      <c r="GE224" t="s">
        <v>37</v>
      </c>
      <c r="GG224" t="s">
        <v>37</v>
      </c>
      <c r="GI224" t="s">
        <v>37</v>
      </c>
      <c r="GK224" t="s">
        <v>37</v>
      </c>
      <c r="GM224" t="s">
        <v>37</v>
      </c>
      <c r="GO224" t="s">
        <v>37</v>
      </c>
      <c r="GQ224" t="s">
        <v>37</v>
      </c>
      <c r="GS224" t="s">
        <v>37</v>
      </c>
      <c r="GU224" t="s">
        <v>37</v>
      </c>
      <c r="GW224" t="s">
        <v>37</v>
      </c>
      <c r="GY224" t="s">
        <v>37</v>
      </c>
      <c r="HA224" t="s">
        <v>37</v>
      </c>
      <c r="HC224" t="s">
        <v>37</v>
      </c>
      <c r="HE224" t="s">
        <v>37</v>
      </c>
      <c r="HG224" t="s">
        <v>37</v>
      </c>
      <c r="HI224" t="s">
        <v>37</v>
      </c>
      <c r="HK224" t="s">
        <v>37</v>
      </c>
    </row>
    <row r="225" spans="1:219">
      <c r="C225" t="s">
        <v>37</v>
      </c>
      <c r="D225" t="s">
        <v>38</v>
      </c>
      <c r="E225" t="s">
        <v>37</v>
      </c>
      <c r="F225" t="s">
        <v>39</v>
      </c>
      <c r="G225" t="s">
        <v>37</v>
      </c>
      <c r="H225" t="s">
        <v>40</v>
      </c>
      <c r="I225" t="s">
        <v>37</v>
      </c>
      <c r="J225" t="s">
        <v>41</v>
      </c>
      <c r="K225" s="48" t="s">
        <v>37</v>
      </c>
      <c r="L225" s="49" t="s">
        <v>303</v>
      </c>
      <c r="M225" s="48" t="s">
        <v>37</v>
      </c>
      <c r="N225" s="49" t="s">
        <v>304</v>
      </c>
      <c r="O225" s="48" t="s">
        <v>37</v>
      </c>
      <c r="P225" s="49" t="s">
        <v>305</v>
      </c>
      <c r="Q225" s="48" t="s">
        <v>37</v>
      </c>
      <c r="R225" s="49" t="s">
        <v>306</v>
      </c>
      <c r="S225" s="48" t="s">
        <v>37</v>
      </c>
      <c r="T225" t="s">
        <v>307</v>
      </c>
      <c r="U225" t="s">
        <v>37</v>
      </c>
      <c r="V225" t="s">
        <v>308</v>
      </c>
      <c r="W225" t="s">
        <v>37</v>
      </c>
      <c r="X225" t="s">
        <v>309</v>
      </c>
      <c r="Y225" t="s">
        <v>37</v>
      </c>
      <c r="Z225" t="s">
        <v>310</v>
      </c>
      <c r="AA225" t="s">
        <v>37</v>
      </c>
      <c r="AB225" t="s">
        <v>311</v>
      </c>
      <c r="AC225" t="s">
        <v>37</v>
      </c>
      <c r="AD225" t="s">
        <v>312</v>
      </c>
      <c r="AE225" t="s">
        <v>37</v>
      </c>
      <c r="AF225" t="s">
        <v>313</v>
      </c>
      <c r="AG225" t="s">
        <v>37</v>
      </c>
      <c r="AH225" t="s">
        <v>314</v>
      </c>
      <c r="AI225" t="s">
        <v>37</v>
      </c>
      <c r="AJ225" t="s">
        <v>315</v>
      </c>
      <c r="AK225" t="s">
        <v>37</v>
      </c>
      <c r="AL225" t="s">
        <v>316</v>
      </c>
      <c r="AM225" t="s">
        <v>37</v>
      </c>
      <c r="AN225" t="s">
        <v>317</v>
      </c>
      <c r="AO225" t="s">
        <v>37</v>
      </c>
      <c r="AP225" t="s">
        <v>318</v>
      </c>
      <c r="AQ225" t="s">
        <v>37</v>
      </c>
      <c r="AR225" t="s">
        <v>319</v>
      </c>
      <c r="AS225" t="s">
        <v>37</v>
      </c>
      <c r="AT225" t="s">
        <v>320</v>
      </c>
      <c r="AU225" t="s">
        <v>37</v>
      </c>
      <c r="AV225" t="s">
        <v>321</v>
      </c>
      <c r="AW225" t="s">
        <v>37</v>
      </c>
      <c r="AX225" t="s">
        <v>322</v>
      </c>
      <c r="AY225" t="s">
        <v>37</v>
      </c>
      <c r="AZ225" t="s">
        <v>323</v>
      </c>
      <c r="BA225" t="s">
        <v>37</v>
      </c>
      <c r="BB225" t="s">
        <v>324</v>
      </c>
      <c r="BC225" t="s">
        <v>37</v>
      </c>
      <c r="BD225" t="s">
        <v>325</v>
      </c>
      <c r="BE225" t="s">
        <v>37</v>
      </c>
      <c r="BF225" t="s">
        <v>326</v>
      </c>
      <c r="BG225" t="s">
        <v>37</v>
      </c>
      <c r="BH225" t="s">
        <v>327</v>
      </c>
      <c r="BI225" t="s">
        <v>37</v>
      </c>
      <c r="BJ225" t="s">
        <v>328</v>
      </c>
      <c r="BK225" t="s">
        <v>37</v>
      </c>
      <c r="BL225" t="s">
        <v>329</v>
      </c>
      <c r="BM225" t="s">
        <v>37</v>
      </c>
      <c r="BN225" t="s">
        <v>330</v>
      </c>
      <c r="BO225" t="s">
        <v>37</v>
      </c>
      <c r="BP225" t="s">
        <v>331</v>
      </c>
      <c r="BQ225" t="s">
        <v>37</v>
      </c>
      <c r="BR225" t="s">
        <v>332</v>
      </c>
      <c r="BS225" t="s">
        <v>37</v>
      </c>
      <c r="BT225" t="s">
        <v>333</v>
      </c>
      <c r="BU225" t="s">
        <v>37</v>
      </c>
      <c r="BV225" t="s">
        <v>334</v>
      </c>
      <c r="BW225" t="s">
        <v>37</v>
      </c>
      <c r="BX225" t="s">
        <v>335</v>
      </c>
      <c r="BY225" t="s">
        <v>37</v>
      </c>
      <c r="BZ225" t="s">
        <v>336</v>
      </c>
      <c r="CA225" t="s">
        <v>37</v>
      </c>
      <c r="CB225" t="s">
        <v>337</v>
      </c>
      <c r="CC225" t="s">
        <v>37</v>
      </c>
      <c r="CD225" t="s">
        <v>338</v>
      </c>
      <c r="CE225" t="s">
        <v>37</v>
      </c>
      <c r="CF225" t="s">
        <v>339</v>
      </c>
      <c r="CG225" t="s">
        <v>37</v>
      </c>
      <c r="CH225" t="s">
        <v>340</v>
      </c>
      <c r="CI225" t="s">
        <v>37</v>
      </c>
      <c r="CJ225" t="s">
        <v>341</v>
      </c>
      <c r="CK225" t="s">
        <v>37</v>
      </c>
      <c r="CL225" t="s">
        <v>342</v>
      </c>
      <c r="CM225" t="s">
        <v>37</v>
      </c>
      <c r="CN225" t="s">
        <v>343</v>
      </c>
      <c r="CO225" t="s">
        <v>37</v>
      </c>
      <c r="CP225" t="s">
        <v>344</v>
      </c>
      <c r="CQ225" t="s">
        <v>37</v>
      </c>
      <c r="CR225" t="s">
        <v>345</v>
      </c>
      <c r="CS225" t="s">
        <v>37</v>
      </c>
      <c r="CT225" t="s">
        <v>346</v>
      </c>
      <c r="CU225" t="s">
        <v>37</v>
      </c>
      <c r="CV225" t="s">
        <v>347</v>
      </c>
      <c r="CW225" t="s">
        <v>37</v>
      </c>
      <c r="CX225" t="s">
        <v>348</v>
      </c>
      <c r="CY225" t="s">
        <v>37</v>
      </c>
      <c r="CZ225" t="s">
        <v>349</v>
      </c>
      <c r="DA225" t="s">
        <v>37</v>
      </c>
      <c r="DB225" t="s">
        <v>350</v>
      </c>
      <c r="DC225" t="s">
        <v>37</v>
      </c>
      <c r="DD225" t="s">
        <v>351</v>
      </c>
      <c r="DE225" t="s">
        <v>37</v>
      </c>
      <c r="DF225" t="s">
        <v>352</v>
      </c>
      <c r="DG225" t="s">
        <v>37</v>
      </c>
      <c r="DH225" t="s">
        <v>353</v>
      </c>
      <c r="DI225" t="s">
        <v>37</v>
      </c>
      <c r="DJ225" t="s">
        <v>354</v>
      </c>
      <c r="DK225" t="s">
        <v>37</v>
      </c>
      <c r="DL225" t="s">
        <v>355</v>
      </c>
      <c r="DM225" t="s">
        <v>37</v>
      </c>
      <c r="DN225" t="s">
        <v>356</v>
      </c>
      <c r="DO225" t="s">
        <v>37</v>
      </c>
      <c r="DP225" t="s">
        <v>357</v>
      </c>
      <c r="DQ225" t="s">
        <v>37</v>
      </c>
      <c r="DR225" t="s">
        <v>358</v>
      </c>
      <c r="DS225" t="s">
        <v>37</v>
      </c>
      <c r="DT225" t="s">
        <v>359</v>
      </c>
      <c r="DU225" t="s">
        <v>37</v>
      </c>
      <c r="DV225" t="s">
        <v>360</v>
      </c>
      <c r="DW225" t="s">
        <v>37</v>
      </c>
      <c r="DX225" t="s">
        <v>361</v>
      </c>
      <c r="DY225" t="s">
        <v>37</v>
      </c>
      <c r="DZ225" t="s">
        <v>362</v>
      </c>
      <c r="EA225" t="s">
        <v>37</v>
      </c>
      <c r="EB225" t="s">
        <v>363</v>
      </c>
      <c r="EC225" t="s">
        <v>37</v>
      </c>
      <c r="ED225" t="s">
        <v>364</v>
      </c>
      <c r="EE225" t="s">
        <v>37</v>
      </c>
      <c r="EF225" t="s">
        <v>365</v>
      </c>
      <c r="EG225" t="s">
        <v>37</v>
      </c>
      <c r="EH225" t="s">
        <v>366</v>
      </c>
      <c r="EI225" t="s">
        <v>37</v>
      </c>
      <c r="EJ225" t="s">
        <v>367</v>
      </c>
      <c r="EK225" t="s">
        <v>37</v>
      </c>
      <c r="EL225" t="s">
        <v>368</v>
      </c>
      <c r="EM225" t="s">
        <v>37</v>
      </c>
      <c r="EN225" t="s">
        <v>369</v>
      </c>
      <c r="EO225" t="s">
        <v>37</v>
      </c>
      <c r="EP225" t="s">
        <v>370</v>
      </c>
      <c r="EQ225" t="s">
        <v>37</v>
      </c>
      <c r="ER225" t="s">
        <v>371</v>
      </c>
      <c r="ES225" t="s">
        <v>37</v>
      </c>
      <c r="ET225" t="s">
        <v>372</v>
      </c>
      <c r="EU225" t="s">
        <v>37</v>
      </c>
      <c r="EV225" t="s">
        <v>373</v>
      </c>
      <c r="EW225" t="s">
        <v>37</v>
      </c>
      <c r="EX225" t="s">
        <v>374</v>
      </c>
      <c r="EY225" t="s">
        <v>37</v>
      </c>
      <c r="EZ225" t="s">
        <v>375</v>
      </c>
      <c r="FA225" t="s">
        <v>37</v>
      </c>
      <c r="FB225" t="s">
        <v>376</v>
      </c>
      <c r="FC225" t="s">
        <v>37</v>
      </c>
      <c r="FD225" t="s">
        <v>377</v>
      </c>
      <c r="FE225" t="s">
        <v>37</v>
      </c>
      <c r="FF225" t="s">
        <v>378</v>
      </c>
      <c r="FG225" t="s">
        <v>37</v>
      </c>
      <c r="FH225" t="s">
        <v>379</v>
      </c>
      <c r="FI225" t="s">
        <v>37</v>
      </c>
      <c r="FJ225" t="s">
        <v>380</v>
      </c>
      <c r="FK225" t="s">
        <v>37</v>
      </c>
      <c r="FL225" t="s">
        <v>381</v>
      </c>
      <c r="FM225" t="s">
        <v>37</v>
      </c>
      <c r="FN225" t="s">
        <v>382</v>
      </c>
      <c r="FO225" t="s">
        <v>37</v>
      </c>
      <c r="FP225" t="s">
        <v>383</v>
      </c>
      <c r="FQ225" t="s">
        <v>37</v>
      </c>
      <c r="FR225" t="s">
        <v>384</v>
      </c>
      <c r="FS225" t="s">
        <v>37</v>
      </c>
      <c r="FT225" t="s">
        <v>385</v>
      </c>
      <c r="FU225" t="s">
        <v>37</v>
      </c>
      <c r="FV225" t="s">
        <v>386</v>
      </c>
      <c r="FW225" t="s">
        <v>37</v>
      </c>
      <c r="FX225" t="s">
        <v>387</v>
      </c>
      <c r="FY225" t="s">
        <v>37</v>
      </c>
      <c r="FZ225" t="s">
        <v>388</v>
      </c>
      <c r="GA225" t="s">
        <v>37</v>
      </c>
      <c r="GB225" t="s">
        <v>389</v>
      </c>
      <c r="GC225" t="s">
        <v>37</v>
      </c>
      <c r="GD225" t="s">
        <v>390</v>
      </c>
      <c r="GE225" t="s">
        <v>37</v>
      </c>
      <c r="GF225" t="s">
        <v>391</v>
      </c>
      <c r="GG225" t="s">
        <v>37</v>
      </c>
      <c r="GH225" t="s">
        <v>392</v>
      </c>
      <c r="GI225" t="s">
        <v>37</v>
      </c>
      <c r="GJ225" t="s">
        <v>393</v>
      </c>
      <c r="GK225" t="s">
        <v>37</v>
      </c>
      <c r="GL225" t="s">
        <v>394</v>
      </c>
      <c r="GM225" t="s">
        <v>37</v>
      </c>
      <c r="GN225" t="s">
        <v>395</v>
      </c>
      <c r="GO225" t="s">
        <v>37</v>
      </c>
      <c r="GP225" t="s">
        <v>396</v>
      </c>
      <c r="GQ225" t="s">
        <v>37</v>
      </c>
      <c r="GR225" t="s">
        <v>397</v>
      </c>
      <c r="GS225" t="s">
        <v>37</v>
      </c>
      <c r="GT225" t="s">
        <v>398</v>
      </c>
      <c r="GU225" t="s">
        <v>37</v>
      </c>
      <c r="GV225" t="s">
        <v>399</v>
      </c>
      <c r="GW225" t="s">
        <v>37</v>
      </c>
      <c r="GX225" t="s">
        <v>400</v>
      </c>
      <c r="GY225" t="s">
        <v>37</v>
      </c>
      <c r="GZ225" t="s">
        <v>401</v>
      </c>
      <c r="HA225" t="s">
        <v>37</v>
      </c>
      <c r="HB225" t="s">
        <v>29</v>
      </c>
      <c r="HC225" t="s">
        <v>37</v>
      </c>
      <c r="HD225" t="s">
        <v>402</v>
      </c>
      <c r="HE225" t="s">
        <v>37</v>
      </c>
      <c r="HF225" t="s">
        <v>403</v>
      </c>
      <c r="HG225" t="s">
        <v>37</v>
      </c>
      <c r="HH225" t="s">
        <v>404</v>
      </c>
      <c r="HI225" t="s">
        <v>37</v>
      </c>
      <c r="HJ225" t="s">
        <v>405</v>
      </c>
      <c r="HK225" t="s">
        <v>37</v>
      </c>
    </row>
    <row r="226" spans="1:219">
      <c r="C226" t="s">
        <v>37</v>
      </c>
      <c r="E226" t="s">
        <v>37</v>
      </c>
      <c r="G226" t="s">
        <v>37</v>
      </c>
      <c r="I226" t="s">
        <v>37</v>
      </c>
      <c r="K226" s="48" t="s">
        <v>37</v>
      </c>
      <c r="L226" s="51"/>
      <c r="M226" s="48" t="s">
        <v>37</v>
      </c>
      <c r="N226" s="51"/>
      <c r="O226" s="48" t="s">
        <v>37</v>
      </c>
      <c r="P226" s="51"/>
      <c r="Q226" s="48" t="s">
        <v>37</v>
      </c>
      <c r="R226" s="51"/>
      <c r="S226" s="48" t="s">
        <v>37</v>
      </c>
      <c r="U226" t="s">
        <v>37</v>
      </c>
      <c r="W226" t="s">
        <v>37</v>
      </c>
      <c r="Y226" t="s">
        <v>37</v>
      </c>
      <c r="AA226" t="s">
        <v>37</v>
      </c>
      <c r="AC226" t="s">
        <v>37</v>
      </c>
      <c r="AE226" t="s">
        <v>37</v>
      </c>
      <c r="AG226" t="s">
        <v>37</v>
      </c>
      <c r="AI226" t="s">
        <v>37</v>
      </c>
      <c r="AK226" t="s">
        <v>37</v>
      </c>
      <c r="AM226" t="s">
        <v>37</v>
      </c>
      <c r="AO226" t="s">
        <v>37</v>
      </c>
      <c r="AQ226" t="s">
        <v>37</v>
      </c>
      <c r="AS226" t="s">
        <v>37</v>
      </c>
      <c r="AU226" t="s">
        <v>37</v>
      </c>
      <c r="AW226" t="s">
        <v>37</v>
      </c>
      <c r="AY226" t="s">
        <v>37</v>
      </c>
      <c r="BA226" t="s">
        <v>37</v>
      </c>
      <c r="BC226" t="s">
        <v>37</v>
      </c>
      <c r="BE226" t="s">
        <v>37</v>
      </c>
      <c r="BG226" t="s">
        <v>37</v>
      </c>
      <c r="BI226" t="s">
        <v>37</v>
      </c>
      <c r="BK226" t="s">
        <v>37</v>
      </c>
      <c r="BM226" t="s">
        <v>37</v>
      </c>
      <c r="BO226" t="s">
        <v>37</v>
      </c>
      <c r="BQ226" t="s">
        <v>37</v>
      </c>
      <c r="BS226" t="s">
        <v>37</v>
      </c>
      <c r="BU226" t="s">
        <v>37</v>
      </c>
      <c r="BW226" t="s">
        <v>37</v>
      </c>
      <c r="BY226" t="s">
        <v>37</v>
      </c>
      <c r="CA226" t="s">
        <v>37</v>
      </c>
      <c r="CC226" t="s">
        <v>37</v>
      </c>
      <c r="CE226" t="s">
        <v>37</v>
      </c>
      <c r="CG226" t="s">
        <v>37</v>
      </c>
      <c r="CI226" t="s">
        <v>37</v>
      </c>
      <c r="CK226" t="s">
        <v>37</v>
      </c>
      <c r="CM226" t="s">
        <v>37</v>
      </c>
      <c r="CO226" t="s">
        <v>37</v>
      </c>
      <c r="CQ226" t="s">
        <v>37</v>
      </c>
      <c r="CS226" t="s">
        <v>37</v>
      </c>
      <c r="CU226" t="s">
        <v>37</v>
      </c>
      <c r="CW226" t="s">
        <v>37</v>
      </c>
      <c r="CY226" t="s">
        <v>37</v>
      </c>
      <c r="DA226" t="s">
        <v>37</v>
      </c>
      <c r="DC226" t="s">
        <v>37</v>
      </c>
      <c r="DE226" t="s">
        <v>37</v>
      </c>
      <c r="DG226" t="s">
        <v>37</v>
      </c>
      <c r="DI226" t="s">
        <v>37</v>
      </c>
      <c r="DK226" t="s">
        <v>37</v>
      </c>
      <c r="DM226" t="s">
        <v>37</v>
      </c>
      <c r="DO226" t="s">
        <v>37</v>
      </c>
      <c r="DQ226" t="s">
        <v>37</v>
      </c>
      <c r="DS226" t="s">
        <v>37</v>
      </c>
      <c r="DU226" t="s">
        <v>37</v>
      </c>
      <c r="DW226" t="s">
        <v>37</v>
      </c>
      <c r="DY226" t="s">
        <v>37</v>
      </c>
      <c r="EA226" t="s">
        <v>37</v>
      </c>
      <c r="EC226" t="s">
        <v>37</v>
      </c>
      <c r="EE226" t="s">
        <v>37</v>
      </c>
      <c r="EG226" t="s">
        <v>37</v>
      </c>
      <c r="EI226" t="s">
        <v>37</v>
      </c>
      <c r="EK226" t="s">
        <v>37</v>
      </c>
      <c r="EM226" t="s">
        <v>37</v>
      </c>
      <c r="EO226" t="s">
        <v>37</v>
      </c>
      <c r="EQ226" t="s">
        <v>37</v>
      </c>
      <c r="ES226" t="s">
        <v>37</v>
      </c>
      <c r="EU226" t="s">
        <v>37</v>
      </c>
      <c r="EW226" t="s">
        <v>37</v>
      </c>
      <c r="EY226" t="s">
        <v>37</v>
      </c>
      <c r="FA226" t="s">
        <v>37</v>
      </c>
      <c r="FC226" t="s">
        <v>37</v>
      </c>
      <c r="FE226" t="s">
        <v>37</v>
      </c>
      <c r="FG226" t="s">
        <v>37</v>
      </c>
      <c r="FI226" t="s">
        <v>37</v>
      </c>
      <c r="FK226" t="s">
        <v>37</v>
      </c>
      <c r="FM226" t="s">
        <v>37</v>
      </c>
      <c r="FO226" t="s">
        <v>37</v>
      </c>
      <c r="FQ226" t="s">
        <v>37</v>
      </c>
      <c r="FS226" t="s">
        <v>37</v>
      </c>
      <c r="FU226" t="s">
        <v>37</v>
      </c>
      <c r="FW226" t="s">
        <v>37</v>
      </c>
      <c r="FY226" t="s">
        <v>37</v>
      </c>
      <c r="GA226" t="s">
        <v>37</v>
      </c>
      <c r="GC226" t="s">
        <v>37</v>
      </c>
      <c r="GE226" t="s">
        <v>37</v>
      </c>
      <c r="GG226" t="s">
        <v>37</v>
      </c>
      <c r="GI226" t="s">
        <v>37</v>
      </c>
      <c r="GK226" t="s">
        <v>37</v>
      </c>
      <c r="GM226" t="s">
        <v>37</v>
      </c>
      <c r="GO226" t="s">
        <v>37</v>
      </c>
      <c r="GQ226" t="s">
        <v>37</v>
      </c>
      <c r="GS226" t="s">
        <v>37</v>
      </c>
      <c r="GU226" t="s">
        <v>37</v>
      </c>
      <c r="GW226" t="s">
        <v>37</v>
      </c>
      <c r="GY226" t="s">
        <v>37</v>
      </c>
      <c r="HA226" t="s">
        <v>37</v>
      </c>
      <c r="HC226" t="s">
        <v>37</v>
      </c>
      <c r="HE226" t="s">
        <v>37</v>
      </c>
      <c r="HG226" t="s">
        <v>37</v>
      </c>
      <c r="HI226" t="s">
        <v>37</v>
      </c>
      <c r="HK226" t="s">
        <v>37</v>
      </c>
    </row>
    <row r="227" spans="1:219">
      <c r="A227">
        <v>4000</v>
      </c>
      <c r="B227" t="s">
        <v>239</v>
      </c>
      <c r="C227" t="s">
        <v>37</v>
      </c>
      <c r="E227" t="s">
        <v>37</v>
      </c>
      <c r="G227" t="s">
        <v>37</v>
      </c>
      <c r="I227" t="s">
        <v>37</v>
      </c>
      <c r="K227" s="48" t="s">
        <v>37</v>
      </c>
      <c r="L227" s="50"/>
      <c r="M227" s="48" t="s">
        <v>37</v>
      </c>
      <c r="N227" s="50"/>
      <c r="O227" s="48" t="s">
        <v>37</v>
      </c>
      <c r="P227" s="50"/>
      <c r="Q227" s="48" t="s">
        <v>37</v>
      </c>
      <c r="R227" s="50"/>
      <c r="S227" s="48" t="s">
        <v>37</v>
      </c>
      <c r="U227" t="s">
        <v>37</v>
      </c>
      <c r="W227" t="s">
        <v>37</v>
      </c>
      <c r="Y227" t="s">
        <v>37</v>
      </c>
      <c r="AA227" t="s">
        <v>37</v>
      </c>
      <c r="AC227" t="s">
        <v>37</v>
      </c>
      <c r="AE227" t="s">
        <v>37</v>
      </c>
      <c r="AG227" t="s">
        <v>37</v>
      </c>
      <c r="AI227" t="s">
        <v>37</v>
      </c>
      <c r="AK227" t="s">
        <v>37</v>
      </c>
      <c r="AM227" t="s">
        <v>37</v>
      </c>
      <c r="AO227" t="s">
        <v>37</v>
      </c>
      <c r="AQ227" t="s">
        <v>37</v>
      </c>
      <c r="AS227" t="s">
        <v>37</v>
      </c>
      <c r="AU227" t="s">
        <v>37</v>
      </c>
      <c r="AW227" t="s">
        <v>37</v>
      </c>
      <c r="AY227" t="s">
        <v>37</v>
      </c>
      <c r="BA227" t="s">
        <v>37</v>
      </c>
      <c r="BC227" t="s">
        <v>37</v>
      </c>
      <c r="BE227" t="s">
        <v>37</v>
      </c>
      <c r="BG227" t="s">
        <v>37</v>
      </c>
      <c r="BI227" t="s">
        <v>37</v>
      </c>
      <c r="BK227" t="s">
        <v>37</v>
      </c>
      <c r="BM227" t="s">
        <v>37</v>
      </c>
      <c r="BO227" t="s">
        <v>37</v>
      </c>
      <c r="BQ227" t="s">
        <v>37</v>
      </c>
      <c r="BS227" t="s">
        <v>37</v>
      </c>
      <c r="BU227" t="s">
        <v>37</v>
      </c>
      <c r="BW227" t="s">
        <v>37</v>
      </c>
      <c r="BY227" t="s">
        <v>37</v>
      </c>
      <c r="CA227" t="s">
        <v>37</v>
      </c>
      <c r="CC227" t="s">
        <v>37</v>
      </c>
      <c r="CE227" t="s">
        <v>37</v>
      </c>
      <c r="CG227" t="s">
        <v>37</v>
      </c>
      <c r="CI227" t="s">
        <v>37</v>
      </c>
      <c r="CK227" t="s">
        <v>37</v>
      </c>
      <c r="CM227" t="s">
        <v>37</v>
      </c>
      <c r="CO227" t="s">
        <v>37</v>
      </c>
      <c r="CQ227" t="s">
        <v>37</v>
      </c>
      <c r="CS227" t="s">
        <v>37</v>
      </c>
      <c r="CU227" t="s">
        <v>37</v>
      </c>
      <c r="CW227" t="s">
        <v>37</v>
      </c>
      <c r="CY227" t="s">
        <v>37</v>
      </c>
      <c r="DA227" t="s">
        <v>37</v>
      </c>
      <c r="DC227" t="s">
        <v>37</v>
      </c>
      <c r="DE227" t="s">
        <v>37</v>
      </c>
      <c r="DG227" t="s">
        <v>37</v>
      </c>
      <c r="DI227" t="s">
        <v>37</v>
      </c>
      <c r="DK227" t="s">
        <v>37</v>
      </c>
      <c r="DM227" t="s">
        <v>37</v>
      </c>
      <c r="DO227" t="s">
        <v>37</v>
      </c>
      <c r="DQ227" t="s">
        <v>37</v>
      </c>
      <c r="DS227" t="s">
        <v>37</v>
      </c>
      <c r="DU227" t="s">
        <v>37</v>
      </c>
      <c r="DW227" t="s">
        <v>37</v>
      </c>
      <c r="DY227" t="s">
        <v>37</v>
      </c>
      <c r="EA227" t="s">
        <v>37</v>
      </c>
      <c r="EC227" t="s">
        <v>37</v>
      </c>
      <c r="EE227" t="s">
        <v>37</v>
      </c>
      <c r="EG227" t="s">
        <v>37</v>
      </c>
      <c r="EI227" t="s">
        <v>37</v>
      </c>
      <c r="EK227" t="s">
        <v>37</v>
      </c>
      <c r="EM227" t="s">
        <v>37</v>
      </c>
      <c r="EO227" t="s">
        <v>37</v>
      </c>
      <c r="EQ227" t="s">
        <v>37</v>
      </c>
      <c r="ES227" t="s">
        <v>37</v>
      </c>
      <c r="EU227" t="s">
        <v>37</v>
      </c>
      <c r="EW227" t="s">
        <v>37</v>
      </c>
      <c r="EY227" t="s">
        <v>37</v>
      </c>
      <c r="FA227" t="s">
        <v>37</v>
      </c>
      <c r="FC227" t="s">
        <v>37</v>
      </c>
      <c r="FE227" t="s">
        <v>37</v>
      </c>
      <c r="FG227" t="s">
        <v>37</v>
      </c>
      <c r="FI227" t="s">
        <v>37</v>
      </c>
      <c r="FK227" t="s">
        <v>37</v>
      </c>
      <c r="FM227" t="s">
        <v>37</v>
      </c>
      <c r="FO227" t="s">
        <v>37</v>
      </c>
      <c r="FQ227" t="s">
        <v>37</v>
      </c>
      <c r="FS227" t="s">
        <v>37</v>
      </c>
      <c r="FU227" t="s">
        <v>37</v>
      </c>
      <c r="FW227" t="s">
        <v>37</v>
      </c>
      <c r="FY227" t="s">
        <v>37</v>
      </c>
      <c r="GA227" t="s">
        <v>37</v>
      </c>
      <c r="GC227" t="s">
        <v>37</v>
      </c>
      <c r="GE227" t="s">
        <v>37</v>
      </c>
      <c r="GG227" t="s">
        <v>37</v>
      </c>
      <c r="GI227" t="s">
        <v>37</v>
      </c>
      <c r="GK227" t="s">
        <v>37</v>
      </c>
      <c r="GM227" t="s">
        <v>37</v>
      </c>
      <c r="GO227" t="s">
        <v>37</v>
      </c>
      <c r="GQ227" t="s">
        <v>37</v>
      </c>
      <c r="GS227" t="s">
        <v>37</v>
      </c>
      <c r="GU227" t="s">
        <v>37</v>
      </c>
      <c r="GW227" t="s">
        <v>37</v>
      </c>
      <c r="GY227" t="s">
        <v>37</v>
      </c>
      <c r="HA227" t="s">
        <v>37</v>
      </c>
      <c r="HC227" t="s">
        <v>37</v>
      </c>
      <c r="HE227" t="s">
        <v>37</v>
      </c>
      <c r="HG227" t="s">
        <v>37</v>
      </c>
      <c r="HI227" t="s">
        <v>37</v>
      </c>
      <c r="HK227" t="s">
        <v>37</v>
      </c>
    </row>
    <row r="228" spans="1:219">
      <c r="A228">
        <v>4100</v>
      </c>
      <c r="B228" t="s">
        <v>240</v>
      </c>
      <c r="C228" t="s">
        <v>37</v>
      </c>
      <c r="E228" t="s">
        <v>37</v>
      </c>
      <c r="G228" t="s">
        <v>37</v>
      </c>
      <c r="I228" t="s">
        <v>37</v>
      </c>
      <c r="K228" s="48" t="s">
        <v>37</v>
      </c>
      <c r="L228" s="50"/>
      <c r="M228" s="48" t="s">
        <v>37</v>
      </c>
      <c r="N228" s="50"/>
      <c r="O228" s="48" t="s">
        <v>37</v>
      </c>
      <c r="P228" s="50"/>
      <c r="Q228" s="48" t="s">
        <v>37</v>
      </c>
      <c r="R228" s="50"/>
      <c r="S228" s="48" t="s">
        <v>37</v>
      </c>
      <c r="U228" t="s">
        <v>37</v>
      </c>
      <c r="W228" t="s">
        <v>37</v>
      </c>
      <c r="Y228" t="s">
        <v>37</v>
      </c>
      <c r="AA228" t="s">
        <v>37</v>
      </c>
      <c r="AC228" t="s">
        <v>37</v>
      </c>
      <c r="AE228" t="s">
        <v>37</v>
      </c>
      <c r="AG228" t="s">
        <v>37</v>
      </c>
      <c r="AI228" t="s">
        <v>37</v>
      </c>
      <c r="AK228" t="s">
        <v>37</v>
      </c>
      <c r="AM228" t="s">
        <v>37</v>
      </c>
      <c r="AO228" t="s">
        <v>37</v>
      </c>
      <c r="AQ228" t="s">
        <v>37</v>
      </c>
      <c r="AS228" t="s">
        <v>37</v>
      </c>
      <c r="AU228" t="s">
        <v>37</v>
      </c>
      <c r="AW228" t="s">
        <v>37</v>
      </c>
      <c r="AY228" t="s">
        <v>37</v>
      </c>
      <c r="BA228" t="s">
        <v>37</v>
      </c>
      <c r="BC228" t="s">
        <v>37</v>
      </c>
      <c r="BE228" t="s">
        <v>37</v>
      </c>
      <c r="BG228" t="s">
        <v>37</v>
      </c>
      <c r="BI228" t="s">
        <v>37</v>
      </c>
      <c r="BK228" t="s">
        <v>37</v>
      </c>
      <c r="BM228" t="s">
        <v>37</v>
      </c>
      <c r="BO228" t="s">
        <v>37</v>
      </c>
      <c r="BQ228" t="s">
        <v>37</v>
      </c>
      <c r="BS228" t="s">
        <v>37</v>
      </c>
      <c r="BU228" t="s">
        <v>37</v>
      </c>
      <c r="BW228" t="s">
        <v>37</v>
      </c>
      <c r="BY228" t="s">
        <v>37</v>
      </c>
      <c r="CA228" t="s">
        <v>37</v>
      </c>
      <c r="CC228" t="s">
        <v>37</v>
      </c>
      <c r="CE228" t="s">
        <v>37</v>
      </c>
      <c r="CG228" t="s">
        <v>37</v>
      </c>
      <c r="CI228" t="s">
        <v>37</v>
      </c>
      <c r="CK228" t="s">
        <v>37</v>
      </c>
      <c r="CM228" t="s">
        <v>37</v>
      </c>
      <c r="CO228" t="s">
        <v>37</v>
      </c>
      <c r="CQ228" t="s">
        <v>37</v>
      </c>
      <c r="CS228" t="s">
        <v>37</v>
      </c>
      <c r="CU228" t="s">
        <v>37</v>
      </c>
      <c r="CW228" t="s">
        <v>37</v>
      </c>
      <c r="CY228" t="s">
        <v>37</v>
      </c>
      <c r="DA228" t="s">
        <v>37</v>
      </c>
      <c r="DC228" t="s">
        <v>37</v>
      </c>
      <c r="DE228" t="s">
        <v>37</v>
      </c>
      <c r="DG228" t="s">
        <v>37</v>
      </c>
      <c r="DI228" t="s">
        <v>37</v>
      </c>
      <c r="DK228" t="s">
        <v>37</v>
      </c>
      <c r="DM228" t="s">
        <v>37</v>
      </c>
      <c r="DO228" t="s">
        <v>37</v>
      </c>
      <c r="DQ228" t="s">
        <v>37</v>
      </c>
      <c r="DS228" t="s">
        <v>37</v>
      </c>
      <c r="DU228" t="s">
        <v>37</v>
      </c>
      <c r="DW228" t="s">
        <v>37</v>
      </c>
      <c r="DY228" t="s">
        <v>37</v>
      </c>
      <c r="EA228" t="s">
        <v>37</v>
      </c>
      <c r="EC228" t="s">
        <v>37</v>
      </c>
      <c r="EE228" t="s">
        <v>37</v>
      </c>
      <c r="EG228" t="s">
        <v>37</v>
      </c>
      <c r="EI228" t="s">
        <v>37</v>
      </c>
      <c r="EK228" t="s">
        <v>37</v>
      </c>
      <c r="EM228" t="s">
        <v>37</v>
      </c>
      <c r="EO228" t="s">
        <v>37</v>
      </c>
      <c r="EQ228" t="s">
        <v>37</v>
      </c>
      <c r="ES228" t="s">
        <v>37</v>
      </c>
      <c r="EU228" t="s">
        <v>37</v>
      </c>
      <c r="EW228" t="s">
        <v>37</v>
      </c>
      <c r="EY228" t="s">
        <v>37</v>
      </c>
      <c r="FA228" t="s">
        <v>37</v>
      </c>
      <c r="FC228" t="s">
        <v>37</v>
      </c>
      <c r="FE228" t="s">
        <v>37</v>
      </c>
      <c r="FG228" t="s">
        <v>37</v>
      </c>
      <c r="FI228" t="s">
        <v>37</v>
      </c>
      <c r="FK228" t="s">
        <v>37</v>
      </c>
      <c r="FM228" t="s">
        <v>37</v>
      </c>
      <c r="FO228" t="s">
        <v>37</v>
      </c>
      <c r="FQ228" t="s">
        <v>37</v>
      </c>
      <c r="FS228" t="s">
        <v>37</v>
      </c>
      <c r="FU228" t="s">
        <v>37</v>
      </c>
      <c r="FW228" t="s">
        <v>37</v>
      </c>
      <c r="FY228" t="s">
        <v>37</v>
      </c>
      <c r="GA228" t="s">
        <v>37</v>
      </c>
      <c r="GC228" t="s">
        <v>37</v>
      </c>
      <c r="GE228" t="s">
        <v>37</v>
      </c>
      <c r="GG228" t="s">
        <v>37</v>
      </c>
      <c r="GI228" t="s">
        <v>37</v>
      </c>
      <c r="GK228" t="s">
        <v>37</v>
      </c>
      <c r="GM228" t="s">
        <v>37</v>
      </c>
      <c r="GO228" t="s">
        <v>37</v>
      </c>
      <c r="GQ228" t="s">
        <v>37</v>
      </c>
      <c r="GS228" t="s">
        <v>37</v>
      </c>
      <c r="GU228" t="s">
        <v>37</v>
      </c>
      <c r="GW228" t="s">
        <v>37</v>
      </c>
      <c r="GY228" t="s">
        <v>37</v>
      </c>
      <c r="HA228" t="s">
        <v>37</v>
      </c>
      <c r="HC228" t="s">
        <v>37</v>
      </c>
      <c r="HE228" t="s">
        <v>37</v>
      </c>
      <c r="HG228" t="s">
        <v>37</v>
      </c>
      <c r="HI228" t="s">
        <v>37</v>
      </c>
      <c r="HK228" t="s">
        <v>37</v>
      </c>
    </row>
    <row r="229" spans="1:219">
      <c r="A229">
        <v>4110</v>
      </c>
      <c r="B229" t="s">
        <v>241</v>
      </c>
      <c r="C229" t="s">
        <v>37</v>
      </c>
      <c r="E229" t="s">
        <v>37</v>
      </c>
      <c r="F229">
        <v>127702</v>
      </c>
      <c r="G229" t="s">
        <v>37</v>
      </c>
      <c r="I229" t="s">
        <v>37</v>
      </c>
      <c r="K229" s="48" t="s">
        <v>37</v>
      </c>
      <c r="L229" s="50"/>
      <c r="M229" s="48" t="s">
        <v>37</v>
      </c>
      <c r="N229" s="50"/>
      <c r="O229" s="48" t="s">
        <v>37</v>
      </c>
      <c r="P229" s="50"/>
      <c r="Q229" s="48" t="s">
        <v>37</v>
      </c>
      <c r="R229" s="51">
        <v>217630</v>
      </c>
      <c r="S229" s="48" t="s">
        <v>37</v>
      </c>
      <c r="U229" t="s">
        <v>37</v>
      </c>
      <c r="W229" t="s">
        <v>37</v>
      </c>
      <c r="Y229" t="s">
        <v>37</v>
      </c>
      <c r="AA229" t="s">
        <v>37</v>
      </c>
      <c r="AC229" t="s">
        <v>37</v>
      </c>
      <c r="AE229" t="s">
        <v>37</v>
      </c>
      <c r="AF229">
        <v>31774</v>
      </c>
      <c r="AG229" t="s">
        <v>37</v>
      </c>
      <c r="AH229">
        <v>21282</v>
      </c>
      <c r="AI229" t="s">
        <v>37</v>
      </c>
      <c r="AK229" t="s">
        <v>37</v>
      </c>
      <c r="AL229">
        <v>28179</v>
      </c>
      <c r="AM229" t="s">
        <v>37</v>
      </c>
      <c r="AO229" t="s">
        <v>37</v>
      </c>
      <c r="AP229">
        <v>873241</v>
      </c>
      <c r="AQ229" t="s">
        <v>37</v>
      </c>
      <c r="AS229" t="s">
        <v>37</v>
      </c>
      <c r="AT229">
        <v>95774</v>
      </c>
      <c r="AU229" t="s">
        <v>37</v>
      </c>
      <c r="AW229" t="s">
        <v>37</v>
      </c>
      <c r="AY229" t="s">
        <v>37</v>
      </c>
      <c r="BA229" t="s">
        <v>37</v>
      </c>
      <c r="BC229" t="s">
        <v>37</v>
      </c>
      <c r="BE229" t="s">
        <v>37</v>
      </c>
      <c r="BG229" t="s">
        <v>37</v>
      </c>
      <c r="BI229" t="s">
        <v>37</v>
      </c>
      <c r="BK229" t="s">
        <v>37</v>
      </c>
      <c r="BM229" t="s">
        <v>37</v>
      </c>
      <c r="BO229" t="s">
        <v>37</v>
      </c>
      <c r="BQ229" t="s">
        <v>37</v>
      </c>
      <c r="BS229" t="s">
        <v>37</v>
      </c>
      <c r="BU229" t="s">
        <v>37</v>
      </c>
      <c r="BW229" t="s">
        <v>37</v>
      </c>
      <c r="BX229">
        <v>143937</v>
      </c>
      <c r="BY229" t="s">
        <v>37</v>
      </c>
      <c r="CA229" t="s">
        <v>37</v>
      </c>
      <c r="CC229" t="s">
        <v>37</v>
      </c>
      <c r="CE229" t="s">
        <v>37</v>
      </c>
      <c r="CG229" t="s">
        <v>37</v>
      </c>
      <c r="CI229" t="s">
        <v>37</v>
      </c>
      <c r="CK229" t="s">
        <v>37</v>
      </c>
      <c r="CL229">
        <v>41613</v>
      </c>
      <c r="CM229" t="s">
        <v>37</v>
      </c>
      <c r="CO229" t="s">
        <v>37</v>
      </c>
      <c r="CQ229" t="s">
        <v>37</v>
      </c>
      <c r="CS229" t="s">
        <v>37</v>
      </c>
      <c r="CT229">
        <v>6047</v>
      </c>
      <c r="CU229" t="s">
        <v>37</v>
      </c>
      <c r="CW229" t="s">
        <v>37</v>
      </c>
      <c r="CY229" t="s">
        <v>37</v>
      </c>
      <c r="DA229" t="s">
        <v>37</v>
      </c>
      <c r="DC229" t="s">
        <v>37</v>
      </c>
      <c r="DE229" t="s">
        <v>37</v>
      </c>
      <c r="DG229" t="s">
        <v>37</v>
      </c>
      <c r="DI229" t="s">
        <v>37</v>
      </c>
      <c r="DK229" t="s">
        <v>37</v>
      </c>
      <c r="DM229" t="s">
        <v>37</v>
      </c>
      <c r="DO229" t="s">
        <v>37</v>
      </c>
      <c r="DQ229" t="s">
        <v>37</v>
      </c>
      <c r="DS229" t="s">
        <v>37</v>
      </c>
      <c r="DU229" t="s">
        <v>37</v>
      </c>
      <c r="DW229" t="s">
        <v>37</v>
      </c>
      <c r="DY229" t="s">
        <v>37</v>
      </c>
      <c r="EA229" t="s">
        <v>37</v>
      </c>
      <c r="EC229" t="s">
        <v>37</v>
      </c>
      <c r="EE229" t="s">
        <v>37</v>
      </c>
      <c r="EG229" t="s">
        <v>37</v>
      </c>
      <c r="EI229" t="s">
        <v>37</v>
      </c>
      <c r="EJ229">
        <v>22587</v>
      </c>
      <c r="EK229" t="s">
        <v>37</v>
      </c>
      <c r="EM229" t="s">
        <v>37</v>
      </c>
      <c r="EO229" t="s">
        <v>37</v>
      </c>
      <c r="EQ229" t="s">
        <v>37</v>
      </c>
      <c r="ES229" t="s">
        <v>37</v>
      </c>
      <c r="EU229" t="s">
        <v>37</v>
      </c>
      <c r="EW229" t="s">
        <v>37</v>
      </c>
      <c r="EY229" t="s">
        <v>37</v>
      </c>
      <c r="FA229" t="s">
        <v>37</v>
      </c>
      <c r="FC229" t="s">
        <v>37</v>
      </c>
      <c r="FE229" t="s">
        <v>37</v>
      </c>
      <c r="FG229" t="s">
        <v>37</v>
      </c>
      <c r="FI229" t="s">
        <v>37</v>
      </c>
      <c r="FK229" t="s">
        <v>37</v>
      </c>
      <c r="FL229">
        <v>501241</v>
      </c>
      <c r="FM229" t="s">
        <v>37</v>
      </c>
      <c r="FO229" t="s">
        <v>37</v>
      </c>
      <c r="FQ229" t="s">
        <v>37</v>
      </c>
      <c r="FS229" t="s">
        <v>37</v>
      </c>
      <c r="FU229" t="s">
        <v>37</v>
      </c>
      <c r="FW229" t="s">
        <v>37</v>
      </c>
      <c r="FY229" t="s">
        <v>37</v>
      </c>
      <c r="GA229" t="s">
        <v>37</v>
      </c>
      <c r="GB229">
        <v>11256</v>
      </c>
      <c r="GC229" t="s">
        <v>37</v>
      </c>
      <c r="GE229" t="s">
        <v>37</v>
      </c>
      <c r="GG229" t="s">
        <v>37</v>
      </c>
      <c r="GI229" t="s">
        <v>37</v>
      </c>
      <c r="GJ229">
        <v>815482</v>
      </c>
      <c r="GK229" t="s">
        <v>37</v>
      </c>
      <c r="GL229">
        <v>137328</v>
      </c>
      <c r="GM229" t="s">
        <v>37</v>
      </c>
      <c r="GO229" t="s">
        <v>37</v>
      </c>
      <c r="GQ229" t="s">
        <v>37</v>
      </c>
      <c r="GS229" t="s">
        <v>37</v>
      </c>
      <c r="GU229" t="s">
        <v>37</v>
      </c>
      <c r="GW229" t="s">
        <v>37</v>
      </c>
      <c r="GY229" t="s">
        <v>37</v>
      </c>
      <c r="HA229" t="s">
        <v>37</v>
      </c>
      <c r="HC229" t="s">
        <v>37</v>
      </c>
      <c r="HE229" t="s">
        <v>37</v>
      </c>
      <c r="HF229">
        <v>3075073</v>
      </c>
      <c r="HG229" t="s">
        <v>37</v>
      </c>
      <c r="HI229" t="s">
        <v>37</v>
      </c>
      <c r="HJ229">
        <v>3075073</v>
      </c>
      <c r="HK229" t="s">
        <v>37</v>
      </c>
    </row>
    <row r="230" spans="1:219">
      <c r="A230">
        <v>4200</v>
      </c>
      <c r="B230" t="s">
        <v>100</v>
      </c>
      <c r="C230" t="s">
        <v>37</v>
      </c>
      <c r="E230" t="s">
        <v>37</v>
      </c>
      <c r="G230" t="s">
        <v>37</v>
      </c>
      <c r="I230" t="s">
        <v>37</v>
      </c>
      <c r="K230" s="48" t="s">
        <v>37</v>
      </c>
      <c r="L230" s="50"/>
      <c r="M230" s="48" t="s">
        <v>37</v>
      </c>
      <c r="N230" s="50"/>
      <c r="O230" s="48" t="s">
        <v>37</v>
      </c>
      <c r="P230" s="50"/>
      <c r="Q230" s="48" t="s">
        <v>37</v>
      </c>
      <c r="R230" s="50"/>
      <c r="S230" s="48" t="s">
        <v>37</v>
      </c>
      <c r="U230" t="s">
        <v>37</v>
      </c>
      <c r="W230" t="s">
        <v>37</v>
      </c>
      <c r="Y230" t="s">
        <v>37</v>
      </c>
      <c r="AA230" t="s">
        <v>37</v>
      </c>
      <c r="AC230" t="s">
        <v>37</v>
      </c>
      <c r="AE230" t="s">
        <v>37</v>
      </c>
      <c r="AG230" t="s">
        <v>37</v>
      </c>
      <c r="AI230" t="s">
        <v>37</v>
      </c>
      <c r="AK230" t="s">
        <v>37</v>
      </c>
      <c r="AM230" t="s">
        <v>37</v>
      </c>
      <c r="AO230" t="s">
        <v>37</v>
      </c>
      <c r="AQ230" t="s">
        <v>37</v>
      </c>
      <c r="AS230" t="s">
        <v>37</v>
      </c>
      <c r="AU230" t="s">
        <v>37</v>
      </c>
      <c r="AW230" t="s">
        <v>37</v>
      </c>
      <c r="AY230" t="s">
        <v>37</v>
      </c>
      <c r="BA230" t="s">
        <v>37</v>
      </c>
      <c r="BC230" t="s">
        <v>37</v>
      </c>
      <c r="BE230" t="s">
        <v>37</v>
      </c>
      <c r="BG230" t="s">
        <v>37</v>
      </c>
      <c r="BI230" t="s">
        <v>37</v>
      </c>
      <c r="BK230" t="s">
        <v>37</v>
      </c>
      <c r="BM230" t="s">
        <v>37</v>
      </c>
      <c r="BO230" t="s">
        <v>37</v>
      </c>
      <c r="BQ230" t="s">
        <v>37</v>
      </c>
      <c r="BS230" t="s">
        <v>37</v>
      </c>
      <c r="BU230" t="s">
        <v>37</v>
      </c>
      <c r="BW230" t="s">
        <v>37</v>
      </c>
      <c r="BY230" t="s">
        <v>37</v>
      </c>
      <c r="CA230" t="s">
        <v>37</v>
      </c>
      <c r="CC230" t="s">
        <v>37</v>
      </c>
      <c r="CE230" t="s">
        <v>37</v>
      </c>
      <c r="CG230" t="s">
        <v>37</v>
      </c>
      <c r="CI230" t="s">
        <v>37</v>
      </c>
      <c r="CK230" t="s">
        <v>37</v>
      </c>
      <c r="CM230" t="s">
        <v>37</v>
      </c>
      <c r="CO230" t="s">
        <v>37</v>
      </c>
      <c r="CQ230" t="s">
        <v>37</v>
      </c>
      <c r="CS230" t="s">
        <v>37</v>
      </c>
      <c r="CU230" t="s">
        <v>37</v>
      </c>
      <c r="CW230" t="s">
        <v>37</v>
      </c>
      <c r="CY230" t="s">
        <v>37</v>
      </c>
      <c r="DA230" t="s">
        <v>37</v>
      </c>
      <c r="DC230" t="s">
        <v>37</v>
      </c>
      <c r="DE230" t="s">
        <v>37</v>
      </c>
      <c r="DG230" t="s">
        <v>37</v>
      </c>
      <c r="DI230" t="s">
        <v>37</v>
      </c>
      <c r="DK230" t="s">
        <v>37</v>
      </c>
      <c r="DM230" t="s">
        <v>37</v>
      </c>
      <c r="DO230" t="s">
        <v>37</v>
      </c>
      <c r="DQ230" t="s">
        <v>37</v>
      </c>
      <c r="DS230" t="s">
        <v>37</v>
      </c>
      <c r="DU230" t="s">
        <v>37</v>
      </c>
      <c r="DW230" t="s">
        <v>37</v>
      </c>
      <c r="DY230" t="s">
        <v>37</v>
      </c>
      <c r="EA230" t="s">
        <v>37</v>
      </c>
      <c r="EC230" t="s">
        <v>37</v>
      </c>
      <c r="EE230" t="s">
        <v>37</v>
      </c>
      <c r="EG230" t="s">
        <v>37</v>
      </c>
      <c r="EI230" t="s">
        <v>37</v>
      </c>
      <c r="EK230" t="s">
        <v>37</v>
      </c>
      <c r="EM230" t="s">
        <v>37</v>
      </c>
      <c r="EO230" t="s">
        <v>37</v>
      </c>
      <c r="EQ230" t="s">
        <v>37</v>
      </c>
      <c r="ES230" t="s">
        <v>37</v>
      </c>
      <c r="EU230" t="s">
        <v>37</v>
      </c>
      <c r="EW230" t="s">
        <v>37</v>
      </c>
      <c r="EY230" t="s">
        <v>37</v>
      </c>
      <c r="FA230" t="s">
        <v>37</v>
      </c>
      <c r="FC230" t="s">
        <v>37</v>
      </c>
      <c r="FE230" t="s">
        <v>37</v>
      </c>
      <c r="FG230" t="s">
        <v>37</v>
      </c>
      <c r="FI230" t="s">
        <v>37</v>
      </c>
      <c r="FK230" t="s">
        <v>37</v>
      </c>
      <c r="FM230" t="s">
        <v>37</v>
      </c>
      <c r="FO230" t="s">
        <v>37</v>
      </c>
      <c r="FQ230" t="s">
        <v>37</v>
      </c>
      <c r="FS230" t="s">
        <v>37</v>
      </c>
      <c r="FU230" t="s">
        <v>37</v>
      </c>
      <c r="FW230" t="s">
        <v>37</v>
      </c>
      <c r="FY230" t="s">
        <v>37</v>
      </c>
      <c r="GA230" t="s">
        <v>37</v>
      </c>
      <c r="GC230" t="s">
        <v>37</v>
      </c>
      <c r="GE230" t="s">
        <v>37</v>
      </c>
      <c r="GG230" t="s">
        <v>37</v>
      </c>
      <c r="GI230" t="s">
        <v>37</v>
      </c>
      <c r="GK230" t="s">
        <v>37</v>
      </c>
      <c r="GM230" t="s">
        <v>37</v>
      </c>
      <c r="GO230" t="s">
        <v>37</v>
      </c>
      <c r="GQ230" t="s">
        <v>37</v>
      </c>
      <c r="GS230" t="s">
        <v>37</v>
      </c>
      <c r="GU230" t="s">
        <v>37</v>
      </c>
      <c r="GW230" t="s">
        <v>37</v>
      </c>
      <c r="GY230" t="s">
        <v>37</v>
      </c>
      <c r="HA230" t="s">
        <v>37</v>
      </c>
      <c r="HC230" t="s">
        <v>37</v>
      </c>
      <c r="HE230" t="s">
        <v>37</v>
      </c>
      <c r="HG230" t="s">
        <v>37</v>
      </c>
      <c r="HI230" t="s">
        <v>37</v>
      </c>
      <c r="HK230" t="s">
        <v>37</v>
      </c>
    </row>
    <row r="231" spans="1:219">
      <c r="A231">
        <v>4210</v>
      </c>
      <c r="B231" t="s">
        <v>242</v>
      </c>
      <c r="C231" t="s">
        <v>37</v>
      </c>
      <c r="D231">
        <v>70323</v>
      </c>
      <c r="E231" t="s">
        <v>37</v>
      </c>
      <c r="F231">
        <v>441669</v>
      </c>
      <c r="G231" t="s">
        <v>37</v>
      </c>
      <c r="H231">
        <v>57070</v>
      </c>
      <c r="I231" t="s">
        <v>37</v>
      </c>
      <c r="K231" s="48" t="s">
        <v>37</v>
      </c>
      <c r="L231" s="51">
        <v>26657</v>
      </c>
      <c r="M231" s="48" t="s">
        <v>37</v>
      </c>
      <c r="N231" s="51">
        <v>22947</v>
      </c>
      <c r="O231" s="48" t="s">
        <v>37</v>
      </c>
      <c r="P231" s="51">
        <v>38218</v>
      </c>
      <c r="Q231" s="48" t="s">
        <v>37</v>
      </c>
      <c r="R231" s="51">
        <v>47734</v>
      </c>
      <c r="S231" s="48" t="s">
        <v>37</v>
      </c>
      <c r="T231">
        <v>199031</v>
      </c>
      <c r="U231" t="s">
        <v>37</v>
      </c>
      <c r="W231" t="s">
        <v>37</v>
      </c>
      <c r="X231">
        <v>86380</v>
      </c>
      <c r="Y231" t="s">
        <v>37</v>
      </c>
      <c r="Z231">
        <v>34293</v>
      </c>
      <c r="AA231" t="s">
        <v>37</v>
      </c>
      <c r="AB231">
        <v>20480</v>
      </c>
      <c r="AC231" t="s">
        <v>37</v>
      </c>
      <c r="AD231">
        <v>13862</v>
      </c>
      <c r="AE231" t="s">
        <v>37</v>
      </c>
      <c r="AF231">
        <v>16442</v>
      </c>
      <c r="AG231" t="s">
        <v>37</v>
      </c>
      <c r="AH231">
        <v>38927</v>
      </c>
      <c r="AI231" t="s">
        <v>37</v>
      </c>
      <c r="AJ231">
        <v>12912</v>
      </c>
      <c r="AK231" t="s">
        <v>37</v>
      </c>
      <c r="AL231">
        <v>259918</v>
      </c>
      <c r="AM231" t="s">
        <v>37</v>
      </c>
      <c r="AN231">
        <v>91400</v>
      </c>
      <c r="AO231" t="s">
        <v>37</v>
      </c>
      <c r="AP231">
        <v>397582</v>
      </c>
      <c r="AQ231" t="s">
        <v>37</v>
      </c>
      <c r="AR231">
        <v>38874</v>
      </c>
      <c r="AS231" t="s">
        <v>37</v>
      </c>
      <c r="AT231">
        <v>793429</v>
      </c>
      <c r="AU231" t="s">
        <v>37</v>
      </c>
      <c r="AV231">
        <v>162277</v>
      </c>
      <c r="AW231" t="s">
        <v>37</v>
      </c>
      <c r="AX231">
        <v>113780</v>
      </c>
      <c r="AY231" t="s">
        <v>37</v>
      </c>
      <c r="AZ231">
        <v>141459</v>
      </c>
      <c r="BA231" t="s">
        <v>37</v>
      </c>
      <c r="BB231">
        <v>34061</v>
      </c>
      <c r="BC231" t="s">
        <v>37</v>
      </c>
      <c r="BD231">
        <v>65625</v>
      </c>
      <c r="BE231" t="s">
        <v>37</v>
      </c>
      <c r="BF231">
        <v>17063</v>
      </c>
      <c r="BG231" t="s">
        <v>37</v>
      </c>
      <c r="BI231" t="s">
        <v>37</v>
      </c>
      <c r="BJ231">
        <v>157749</v>
      </c>
      <c r="BK231" t="s">
        <v>37</v>
      </c>
      <c r="BL231">
        <v>232904</v>
      </c>
      <c r="BM231" t="s">
        <v>37</v>
      </c>
      <c r="BO231" t="s">
        <v>37</v>
      </c>
      <c r="BQ231" t="s">
        <v>37</v>
      </c>
      <c r="BS231" t="s">
        <v>37</v>
      </c>
      <c r="BU231" t="s">
        <v>37</v>
      </c>
      <c r="BV231">
        <v>139914</v>
      </c>
      <c r="BW231" t="s">
        <v>37</v>
      </c>
      <c r="BX231">
        <v>219822</v>
      </c>
      <c r="BY231" t="s">
        <v>37</v>
      </c>
      <c r="BZ231">
        <v>61625</v>
      </c>
      <c r="CA231" t="s">
        <v>37</v>
      </c>
      <c r="CC231" t="s">
        <v>37</v>
      </c>
      <c r="CD231">
        <v>69609</v>
      </c>
      <c r="CE231" t="s">
        <v>37</v>
      </c>
      <c r="CF231">
        <v>76103</v>
      </c>
      <c r="CG231" t="s">
        <v>37</v>
      </c>
      <c r="CH231">
        <v>265411</v>
      </c>
      <c r="CI231" t="s">
        <v>37</v>
      </c>
      <c r="CJ231">
        <v>21771</v>
      </c>
      <c r="CK231" t="s">
        <v>37</v>
      </c>
      <c r="CL231">
        <v>91490</v>
      </c>
      <c r="CM231" t="s">
        <v>37</v>
      </c>
      <c r="CN231">
        <v>22921</v>
      </c>
      <c r="CO231" t="s">
        <v>37</v>
      </c>
      <c r="CP231">
        <v>21558</v>
      </c>
      <c r="CQ231" t="s">
        <v>37</v>
      </c>
      <c r="CR231">
        <v>169258</v>
      </c>
      <c r="CS231" t="s">
        <v>37</v>
      </c>
      <c r="CT231">
        <v>1021142</v>
      </c>
      <c r="CU231" t="s">
        <v>37</v>
      </c>
      <c r="CW231" t="s">
        <v>37</v>
      </c>
      <c r="CX231">
        <v>15516</v>
      </c>
      <c r="CY231" t="s">
        <v>37</v>
      </c>
      <c r="CZ231">
        <v>10776</v>
      </c>
      <c r="DA231" t="s">
        <v>37</v>
      </c>
      <c r="DC231" t="s">
        <v>37</v>
      </c>
      <c r="DD231">
        <v>42758</v>
      </c>
      <c r="DE231" t="s">
        <v>37</v>
      </c>
      <c r="DF231">
        <v>40488</v>
      </c>
      <c r="DG231" t="s">
        <v>37</v>
      </c>
      <c r="DH231">
        <v>550906</v>
      </c>
      <c r="DI231" t="s">
        <v>37</v>
      </c>
      <c r="DJ231">
        <v>86902</v>
      </c>
      <c r="DK231" t="s">
        <v>37</v>
      </c>
      <c r="DL231">
        <v>154370</v>
      </c>
      <c r="DM231" t="s">
        <v>37</v>
      </c>
      <c r="DN231">
        <v>165977</v>
      </c>
      <c r="DO231" t="s">
        <v>37</v>
      </c>
      <c r="DP231">
        <v>99140</v>
      </c>
      <c r="DQ231" t="s">
        <v>37</v>
      </c>
      <c r="DR231">
        <v>75885</v>
      </c>
      <c r="DS231" t="s">
        <v>37</v>
      </c>
      <c r="DT231">
        <v>63706</v>
      </c>
      <c r="DU231" t="s">
        <v>37</v>
      </c>
      <c r="DV231">
        <v>195469</v>
      </c>
      <c r="DW231" t="s">
        <v>37</v>
      </c>
      <c r="DX231">
        <v>181374</v>
      </c>
      <c r="DY231" t="s">
        <v>37</v>
      </c>
      <c r="DZ231">
        <v>37045</v>
      </c>
      <c r="EA231" t="s">
        <v>37</v>
      </c>
      <c r="EB231">
        <v>59495</v>
      </c>
      <c r="EC231" t="s">
        <v>37</v>
      </c>
      <c r="ED231">
        <v>147471</v>
      </c>
      <c r="EE231" t="s">
        <v>37</v>
      </c>
      <c r="EF231">
        <v>22839</v>
      </c>
      <c r="EG231" t="s">
        <v>37</v>
      </c>
      <c r="EI231" t="s">
        <v>37</v>
      </c>
      <c r="EJ231">
        <v>66683</v>
      </c>
      <c r="EK231" t="s">
        <v>37</v>
      </c>
      <c r="EL231">
        <v>53581</v>
      </c>
      <c r="EM231" t="s">
        <v>37</v>
      </c>
      <c r="EN231">
        <v>21650</v>
      </c>
      <c r="EO231" t="s">
        <v>37</v>
      </c>
      <c r="EQ231" t="s">
        <v>37</v>
      </c>
      <c r="ER231">
        <v>107057</v>
      </c>
      <c r="ES231" t="s">
        <v>37</v>
      </c>
      <c r="ET231">
        <v>145390</v>
      </c>
      <c r="EU231" t="s">
        <v>37</v>
      </c>
      <c r="EV231">
        <v>185247</v>
      </c>
      <c r="EW231" t="s">
        <v>37</v>
      </c>
      <c r="EY231" t="s">
        <v>37</v>
      </c>
      <c r="EZ231">
        <v>92384</v>
      </c>
      <c r="FA231" t="s">
        <v>37</v>
      </c>
      <c r="FB231">
        <v>70029</v>
      </c>
      <c r="FC231" t="s">
        <v>37</v>
      </c>
      <c r="FD231">
        <v>175759</v>
      </c>
      <c r="FE231" t="s">
        <v>37</v>
      </c>
      <c r="FG231" t="s">
        <v>37</v>
      </c>
      <c r="FH231">
        <v>234833</v>
      </c>
      <c r="FI231" t="s">
        <v>37</v>
      </c>
      <c r="FJ231">
        <v>649517</v>
      </c>
      <c r="FK231" t="s">
        <v>37</v>
      </c>
      <c r="FL231">
        <v>181754</v>
      </c>
      <c r="FM231" t="s">
        <v>37</v>
      </c>
      <c r="FN231">
        <v>39274</v>
      </c>
      <c r="FO231" t="s">
        <v>37</v>
      </c>
      <c r="FP231">
        <v>186452</v>
      </c>
      <c r="FQ231" t="s">
        <v>37</v>
      </c>
      <c r="FR231">
        <v>109891</v>
      </c>
      <c r="FS231" t="s">
        <v>37</v>
      </c>
      <c r="FT231">
        <v>51132</v>
      </c>
      <c r="FU231" t="s">
        <v>37</v>
      </c>
      <c r="FV231">
        <v>36711</v>
      </c>
      <c r="FW231" t="s">
        <v>37</v>
      </c>
      <c r="FX231">
        <v>79298</v>
      </c>
      <c r="FY231" t="s">
        <v>37</v>
      </c>
      <c r="FZ231">
        <v>115548</v>
      </c>
      <c r="GA231" t="s">
        <v>37</v>
      </c>
      <c r="GB231">
        <v>189685</v>
      </c>
      <c r="GC231" t="s">
        <v>37</v>
      </c>
      <c r="GD231">
        <v>866</v>
      </c>
      <c r="GE231" t="s">
        <v>37</v>
      </c>
      <c r="GF231">
        <v>840</v>
      </c>
      <c r="GG231" t="s">
        <v>37</v>
      </c>
      <c r="GI231" t="s">
        <v>37</v>
      </c>
      <c r="GJ231">
        <v>211891</v>
      </c>
      <c r="GK231" t="s">
        <v>37</v>
      </c>
      <c r="GL231">
        <v>163113</v>
      </c>
      <c r="GM231" t="s">
        <v>37</v>
      </c>
      <c r="GO231" t="s">
        <v>37</v>
      </c>
      <c r="GP231">
        <v>83918</v>
      </c>
      <c r="GQ231" t="s">
        <v>37</v>
      </c>
      <c r="GR231">
        <v>232840</v>
      </c>
      <c r="GS231" t="s">
        <v>37</v>
      </c>
      <c r="GT231">
        <v>96587</v>
      </c>
      <c r="GU231" t="s">
        <v>37</v>
      </c>
      <c r="GV231">
        <v>63935</v>
      </c>
      <c r="GW231" t="s">
        <v>37</v>
      </c>
      <c r="GX231">
        <v>228493</v>
      </c>
      <c r="GY231" t="s">
        <v>37</v>
      </c>
      <c r="GZ231">
        <v>66827</v>
      </c>
      <c r="HA231" t="s">
        <v>37</v>
      </c>
      <c r="HB231">
        <v>66108</v>
      </c>
      <c r="HC231" t="s">
        <v>37</v>
      </c>
      <c r="HD231">
        <v>21551</v>
      </c>
      <c r="HE231" t="s">
        <v>37</v>
      </c>
      <c r="HF231">
        <v>11704992</v>
      </c>
      <c r="HG231" t="s">
        <v>37</v>
      </c>
      <c r="HH231">
        <v>87659</v>
      </c>
      <c r="HI231" t="s">
        <v>37</v>
      </c>
      <c r="HJ231">
        <v>11792651</v>
      </c>
      <c r="HK231" t="s">
        <v>37</v>
      </c>
    </row>
    <row r="232" spans="1:219">
      <c r="A232">
        <v>4220</v>
      </c>
      <c r="B232" t="s">
        <v>243</v>
      </c>
      <c r="C232" t="s">
        <v>37</v>
      </c>
      <c r="E232" t="s">
        <v>37</v>
      </c>
      <c r="G232" t="s">
        <v>37</v>
      </c>
      <c r="I232" t="s">
        <v>37</v>
      </c>
      <c r="K232" s="48" t="s">
        <v>37</v>
      </c>
      <c r="L232" s="50"/>
      <c r="M232" s="48" t="s">
        <v>37</v>
      </c>
      <c r="N232" s="50"/>
      <c r="O232" s="48" t="s">
        <v>37</v>
      </c>
      <c r="P232" s="50"/>
      <c r="Q232" s="48" t="s">
        <v>37</v>
      </c>
      <c r="R232" s="50"/>
      <c r="S232" s="48" t="s">
        <v>37</v>
      </c>
      <c r="U232" t="s">
        <v>37</v>
      </c>
      <c r="W232" t="s">
        <v>37</v>
      </c>
      <c r="Y232" t="s">
        <v>37</v>
      </c>
      <c r="Z232">
        <v>66730</v>
      </c>
      <c r="AA232" t="s">
        <v>37</v>
      </c>
      <c r="AC232" t="s">
        <v>37</v>
      </c>
      <c r="AE232" t="s">
        <v>37</v>
      </c>
      <c r="AG232" t="s">
        <v>37</v>
      </c>
      <c r="AI232" t="s">
        <v>37</v>
      </c>
      <c r="AK232" t="s">
        <v>37</v>
      </c>
      <c r="AM232" t="s">
        <v>37</v>
      </c>
      <c r="AN232">
        <v>91081</v>
      </c>
      <c r="AO232" t="s">
        <v>37</v>
      </c>
      <c r="AP232">
        <v>142569</v>
      </c>
      <c r="AQ232" t="s">
        <v>37</v>
      </c>
      <c r="AS232" t="s">
        <v>37</v>
      </c>
      <c r="AU232" t="s">
        <v>37</v>
      </c>
      <c r="AW232" t="s">
        <v>37</v>
      </c>
      <c r="AY232" t="s">
        <v>37</v>
      </c>
      <c r="AZ232">
        <v>74767</v>
      </c>
      <c r="BA232" t="s">
        <v>37</v>
      </c>
      <c r="BC232" t="s">
        <v>37</v>
      </c>
      <c r="BE232" t="s">
        <v>37</v>
      </c>
      <c r="BG232" t="s">
        <v>37</v>
      </c>
      <c r="BI232" t="s">
        <v>37</v>
      </c>
      <c r="BK232" t="s">
        <v>37</v>
      </c>
      <c r="BL232">
        <v>4857</v>
      </c>
      <c r="BM232" t="s">
        <v>37</v>
      </c>
      <c r="BO232" t="s">
        <v>37</v>
      </c>
      <c r="BQ232" t="s">
        <v>37</v>
      </c>
      <c r="BS232" t="s">
        <v>37</v>
      </c>
      <c r="BU232" t="s">
        <v>37</v>
      </c>
      <c r="BW232" t="s">
        <v>37</v>
      </c>
      <c r="BY232" t="s">
        <v>37</v>
      </c>
      <c r="CA232" t="s">
        <v>37</v>
      </c>
      <c r="CC232" t="s">
        <v>37</v>
      </c>
      <c r="CE232" t="s">
        <v>37</v>
      </c>
      <c r="CG232" t="s">
        <v>37</v>
      </c>
      <c r="CH232">
        <v>5624</v>
      </c>
      <c r="CI232" t="s">
        <v>37</v>
      </c>
      <c r="CK232" t="s">
        <v>37</v>
      </c>
      <c r="CL232">
        <v>96839</v>
      </c>
      <c r="CM232" t="s">
        <v>37</v>
      </c>
      <c r="CO232" t="s">
        <v>37</v>
      </c>
      <c r="CQ232" t="s">
        <v>37</v>
      </c>
      <c r="CR232">
        <v>93254</v>
      </c>
      <c r="CS232" t="s">
        <v>37</v>
      </c>
      <c r="CT232">
        <v>106254</v>
      </c>
      <c r="CU232" t="s">
        <v>37</v>
      </c>
      <c r="CW232" t="s">
        <v>37</v>
      </c>
      <c r="CY232" t="s">
        <v>37</v>
      </c>
      <c r="DA232" t="s">
        <v>37</v>
      </c>
      <c r="DC232" t="s">
        <v>37</v>
      </c>
      <c r="DE232" t="s">
        <v>37</v>
      </c>
      <c r="DG232" t="s">
        <v>37</v>
      </c>
      <c r="DI232" t="s">
        <v>37</v>
      </c>
      <c r="DK232" t="s">
        <v>37</v>
      </c>
      <c r="DM232" t="s">
        <v>37</v>
      </c>
      <c r="DO232" t="s">
        <v>37</v>
      </c>
      <c r="DQ232" t="s">
        <v>37</v>
      </c>
      <c r="DS232" t="s">
        <v>37</v>
      </c>
      <c r="DU232" t="s">
        <v>37</v>
      </c>
      <c r="DW232" t="s">
        <v>37</v>
      </c>
      <c r="DY232" t="s">
        <v>37</v>
      </c>
      <c r="EA232" t="s">
        <v>37</v>
      </c>
      <c r="EB232">
        <v>142203</v>
      </c>
      <c r="EC232" t="s">
        <v>37</v>
      </c>
      <c r="EE232" t="s">
        <v>37</v>
      </c>
      <c r="EG232" t="s">
        <v>37</v>
      </c>
      <c r="EI232" t="s">
        <v>37</v>
      </c>
      <c r="EK232" t="s">
        <v>37</v>
      </c>
      <c r="EM232" t="s">
        <v>37</v>
      </c>
      <c r="EO232" t="s">
        <v>37</v>
      </c>
      <c r="EQ232" t="s">
        <v>37</v>
      </c>
      <c r="ES232" t="s">
        <v>37</v>
      </c>
      <c r="EU232" t="s">
        <v>37</v>
      </c>
      <c r="EW232" t="s">
        <v>37</v>
      </c>
      <c r="EY232" t="s">
        <v>37</v>
      </c>
      <c r="FA232" t="s">
        <v>37</v>
      </c>
      <c r="FC232" t="s">
        <v>37</v>
      </c>
      <c r="FE232" t="s">
        <v>37</v>
      </c>
      <c r="FG232" t="s">
        <v>37</v>
      </c>
      <c r="FI232" t="s">
        <v>37</v>
      </c>
      <c r="FK232" t="s">
        <v>37</v>
      </c>
      <c r="FM232" t="s">
        <v>37</v>
      </c>
      <c r="FO232" t="s">
        <v>37</v>
      </c>
      <c r="FQ232" t="s">
        <v>37</v>
      </c>
      <c r="FS232" t="s">
        <v>37</v>
      </c>
      <c r="FU232" t="s">
        <v>37</v>
      </c>
      <c r="FW232" t="s">
        <v>37</v>
      </c>
      <c r="FX232">
        <v>107862</v>
      </c>
      <c r="FY232" t="s">
        <v>37</v>
      </c>
      <c r="GA232" t="s">
        <v>37</v>
      </c>
      <c r="GC232" t="s">
        <v>37</v>
      </c>
      <c r="GE232" t="s">
        <v>37</v>
      </c>
      <c r="GG232" t="s">
        <v>37</v>
      </c>
      <c r="GI232" t="s">
        <v>37</v>
      </c>
      <c r="GK232" t="s">
        <v>37</v>
      </c>
      <c r="GM232" t="s">
        <v>37</v>
      </c>
      <c r="GO232" t="s">
        <v>37</v>
      </c>
      <c r="GQ232" t="s">
        <v>37</v>
      </c>
      <c r="GS232" t="s">
        <v>37</v>
      </c>
      <c r="GU232" t="s">
        <v>37</v>
      </c>
      <c r="GW232" t="s">
        <v>37</v>
      </c>
      <c r="GX232">
        <v>92305</v>
      </c>
      <c r="GY232" t="s">
        <v>37</v>
      </c>
      <c r="HA232" t="s">
        <v>37</v>
      </c>
      <c r="HC232" t="s">
        <v>37</v>
      </c>
      <c r="HE232" t="s">
        <v>37</v>
      </c>
      <c r="HF232">
        <v>1024345</v>
      </c>
      <c r="HG232" t="s">
        <v>37</v>
      </c>
      <c r="HI232" t="s">
        <v>37</v>
      </c>
      <c r="HJ232">
        <v>1024345</v>
      </c>
      <c r="HK232" t="s">
        <v>37</v>
      </c>
    </row>
    <row r="233" spans="1:219">
      <c r="A233">
        <v>4240</v>
      </c>
      <c r="B233" t="s">
        <v>244</v>
      </c>
      <c r="C233" t="s">
        <v>37</v>
      </c>
      <c r="E233" t="s">
        <v>37</v>
      </c>
      <c r="G233" t="s">
        <v>37</v>
      </c>
      <c r="I233" t="s">
        <v>37</v>
      </c>
      <c r="K233" s="48" t="s">
        <v>37</v>
      </c>
      <c r="L233" s="50"/>
      <c r="M233" s="48" t="s">
        <v>37</v>
      </c>
      <c r="N233" s="50"/>
      <c r="O233" s="48" t="s">
        <v>37</v>
      </c>
      <c r="P233" s="50"/>
      <c r="Q233" s="48" t="s">
        <v>37</v>
      </c>
      <c r="R233" s="50"/>
      <c r="S233" s="48" t="s">
        <v>37</v>
      </c>
      <c r="U233" t="s">
        <v>37</v>
      </c>
      <c r="W233" t="s">
        <v>37</v>
      </c>
      <c r="Y233" t="s">
        <v>37</v>
      </c>
      <c r="AA233" t="s">
        <v>37</v>
      </c>
      <c r="AC233" t="s">
        <v>37</v>
      </c>
      <c r="AE233" t="s">
        <v>37</v>
      </c>
      <c r="AG233" t="s">
        <v>37</v>
      </c>
      <c r="AI233" t="s">
        <v>37</v>
      </c>
      <c r="AK233" t="s">
        <v>37</v>
      </c>
      <c r="AM233" t="s">
        <v>37</v>
      </c>
      <c r="AO233" t="s">
        <v>37</v>
      </c>
      <c r="AQ233" t="s">
        <v>37</v>
      </c>
      <c r="AS233" t="s">
        <v>37</v>
      </c>
      <c r="AU233" t="s">
        <v>37</v>
      </c>
      <c r="AW233" t="s">
        <v>37</v>
      </c>
      <c r="AY233" t="s">
        <v>37</v>
      </c>
      <c r="BA233" t="s">
        <v>37</v>
      </c>
      <c r="BC233" t="s">
        <v>37</v>
      </c>
      <c r="BE233" t="s">
        <v>37</v>
      </c>
      <c r="BG233" t="s">
        <v>37</v>
      </c>
      <c r="BI233" t="s">
        <v>37</v>
      </c>
      <c r="BK233" t="s">
        <v>37</v>
      </c>
      <c r="BM233" t="s">
        <v>37</v>
      </c>
      <c r="BO233" t="s">
        <v>37</v>
      </c>
      <c r="BQ233" t="s">
        <v>37</v>
      </c>
      <c r="BS233" t="s">
        <v>37</v>
      </c>
      <c r="BU233" t="s">
        <v>37</v>
      </c>
      <c r="BW233" t="s">
        <v>37</v>
      </c>
      <c r="BY233" t="s">
        <v>37</v>
      </c>
      <c r="CA233" t="s">
        <v>37</v>
      </c>
      <c r="CC233" t="s">
        <v>37</v>
      </c>
      <c r="CE233" t="s">
        <v>37</v>
      </c>
      <c r="CG233" t="s">
        <v>37</v>
      </c>
      <c r="CI233" t="s">
        <v>37</v>
      </c>
      <c r="CK233" t="s">
        <v>37</v>
      </c>
      <c r="CM233" t="s">
        <v>37</v>
      </c>
      <c r="CN233">
        <v>502</v>
      </c>
      <c r="CO233" t="s">
        <v>37</v>
      </c>
      <c r="CQ233" t="s">
        <v>37</v>
      </c>
      <c r="CS233" t="s">
        <v>37</v>
      </c>
      <c r="CU233" t="s">
        <v>37</v>
      </c>
      <c r="CW233" t="s">
        <v>37</v>
      </c>
      <c r="CY233" t="s">
        <v>37</v>
      </c>
      <c r="DA233" t="s">
        <v>37</v>
      </c>
      <c r="DC233" t="s">
        <v>37</v>
      </c>
      <c r="DE233" t="s">
        <v>37</v>
      </c>
      <c r="DG233" t="s">
        <v>37</v>
      </c>
      <c r="DI233" t="s">
        <v>37</v>
      </c>
      <c r="DK233" t="s">
        <v>37</v>
      </c>
      <c r="DM233" t="s">
        <v>37</v>
      </c>
      <c r="DO233" t="s">
        <v>37</v>
      </c>
      <c r="DQ233" t="s">
        <v>37</v>
      </c>
      <c r="DS233" t="s">
        <v>37</v>
      </c>
      <c r="DU233" t="s">
        <v>37</v>
      </c>
      <c r="DW233" t="s">
        <v>37</v>
      </c>
      <c r="DY233" t="s">
        <v>37</v>
      </c>
      <c r="EA233" t="s">
        <v>37</v>
      </c>
      <c r="EC233" t="s">
        <v>37</v>
      </c>
      <c r="EE233" t="s">
        <v>37</v>
      </c>
      <c r="EG233" t="s">
        <v>37</v>
      </c>
      <c r="EI233" t="s">
        <v>37</v>
      </c>
      <c r="EK233" t="s">
        <v>37</v>
      </c>
      <c r="EM233" t="s">
        <v>37</v>
      </c>
      <c r="EO233" t="s">
        <v>37</v>
      </c>
      <c r="EQ233" t="s">
        <v>37</v>
      </c>
      <c r="ES233" t="s">
        <v>37</v>
      </c>
      <c r="EU233" t="s">
        <v>37</v>
      </c>
      <c r="EW233" t="s">
        <v>37</v>
      </c>
      <c r="EY233" t="s">
        <v>37</v>
      </c>
      <c r="FA233" t="s">
        <v>37</v>
      </c>
      <c r="FC233" t="s">
        <v>37</v>
      </c>
      <c r="FE233" t="s">
        <v>37</v>
      </c>
      <c r="FG233" t="s">
        <v>37</v>
      </c>
      <c r="FI233" t="s">
        <v>37</v>
      </c>
      <c r="FK233" t="s">
        <v>37</v>
      </c>
      <c r="FM233" t="s">
        <v>37</v>
      </c>
      <c r="FO233" t="s">
        <v>37</v>
      </c>
      <c r="FQ233" t="s">
        <v>37</v>
      </c>
      <c r="FS233" t="s">
        <v>37</v>
      </c>
      <c r="FU233" t="s">
        <v>37</v>
      </c>
      <c r="FW233" t="s">
        <v>37</v>
      </c>
      <c r="FY233" t="s">
        <v>37</v>
      </c>
      <c r="GA233" t="s">
        <v>37</v>
      </c>
      <c r="GC233" t="s">
        <v>37</v>
      </c>
      <c r="GE233" t="s">
        <v>37</v>
      </c>
      <c r="GG233" t="s">
        <v>37</v>
      </c>
      <c r="GI233" t="s">
        <v>37</v>
      </c>
      <c r="GK233" t="s">
        <v>37</v>
      </c>
      <c r="GM233" t="s">
        <v>37</v>
      </c>
      <c r="GO233" t="s">
        <v>37</v>
      </c>
      <c r="GQ233" t="s">
        <v>37</v>
      </c>
      <c r="GS233" t="s">
        <v>37</v>
      </c>
      <c r="GU233" t="s">
        <v>37</v>
      </c>
      <c r="GW233" t="s">
        <v>37</v>
      </c>
      <c r="GY233" t="s">
        <v>37</v>
      </c>
      <c r="HA233" t="s">
        <v>37</v>
      </c>
      <c r="HC233" t="s">
        <v>37</v>
      </c>
      <c r="HE233" t="s">
        <v>37</v>
      </c>
      <c r="HF233">
        <v>502</v>
      </c>
      <c r="HG233" t="s">
        <v>37</v>
      </c>
      <c r="HI233" t="s">
        <v>37</v>
      </c>
      <c r="HJ233">
        <v>502</v>
      </c>
      <c r="HK233" t="s">
        <v>37</v>
      </c>
    </row>
    <row r="234" spans="1:219">
      <c r="A234">
        <v>4300</v>
      </c>
      <c r="B234" t="s">
        <v>245</v>
      </c>
      <c r="C234" t="s">
        <v>37</v>
      </c>
      <c r="E234" t="s">
        <v>37</v>
      </c>
      <c r="G234" t="s">
        <v>37</v>
      </c>
      <c r="I234" t="s">
        <v>37</v>
      </c>
      <c r="K234" s="48" t="s">
        <v>37</v>
      </c>
      <c r="L234" s="50"/>
      <c r="M234" s="48" t="s">
        <v>37</v>
      </c>
      <c r="N234" s="50"/>
      <c r="O234" s="48" t="s">
        <v>37</v>
      </c>
      <c r="P234" s="50"/>
      <c r="Q234" s="48" t="s">
        <v>37</v>
      </c>
      <c r="R234" s="50"/>
      <c r="S234" s="48" t="s">
        <v>37</v>
      </c>
      <c r="U234" t="s">
        <v>37</v>
      </c>
      <c r="W234" t="s">
        <v>37</v>
      </c>
      <c r="Y234" t="s">
        <v>37</v>
      </c>
      <c r="AA234" t="s">
        <v>37</v>
      </c>
      <c r="AC234" t="s">
        <v>37</v>
      </c>
      <c r="AE234" t="s">
        <v>37</v>
      </c>
      <c r="AG234" t="s">
        <v>37</v>
      </c>
      <c r="AI234" t="s">
        <v>37</v>
      </c>
      <c r="AK234" t="s">
        <v>37</v>
      </c>
      <c r="AM234" t="s">
        <v>37</v>
      </c>
      <c r="AO234" t="s">
        <v>37</v>
      </c>
      <c r="AQ234" t="s">
        <v>37</v>
      </c>
      <c r="AS234" t="s">
        <v>37</v>
      </c>
      <c r="AU234" t="s">
        <v>37</v>
      </c>
      <c r="AW234" t="s">
        <v>37</v>
      </c>
      <c r="AY234" t="s">
        <v>37</v>
      </c>
      <c r="BA234" t="s">
        <v>37</v>
      </c>
      <c r="BC234" t="s">
        <v>37</v>
      </c>
      <c r="BE234" t="s">
        <v>37</v>
      </c>
      <c r="BG234" t="s">
        <v>37</v>
      </c>
      <c r="BI234" t="s">
        <v>37</v>
      </c>
      <c r="BK234" t="s">
        <v>37</v>
      </c>
      <c r="BM234" t="s">
        <v>37</v>
      </c>
      <c r="BO234" t="s">
        <v>37</v>
      </c>
      <c r="BQ234" t="s">
        <v>37</v>
      </c>
      <c r="BS234" t="s">
        <v>37</v>
      </c>
      <c r="BU234" t="s">
        <v>37</v>
      </c>
      <c r="BW234" t="s">
        <v>37</v>
      </c>
      <c r="BY234" t="s">
        <v>37</v>
      </c>
      <c r="CA234" t="s">
        <v>37</v>
      </c>
      <c r="CC234" t="s">
        <v>37</v>
      </c>
      <c r="CE234" t="s">
        <v>37</v>
      </c>
      <c r="CG234" t="s">
        <v>37</v>
      </c>
      <c r="CI234" t="s">
        <v>37</v>
      </c>
      <c r="CK234" t="s">
        <v>37</v>
      </c>
      <c r="CM234" t="s">
        <v>37</v>
      </c>
      <c r="CO234" t="s">
        <v>37</v>
      </c>
      <c r="CQ234" t="s">
        <v>37</v>
      </c>
      <c r="CS234" t="s">
        <v>37</v>
      </c>
      <c r="CU234" t="s">
        <v>37</v>
      </c>
      <c r="CW234" t="s">
        <v>37</v>
      </c>
      <c r="CY234" t="s">
        <v>37</v>
      </c>
      <c r="DA234" t="s">
        <v>37</v>
      </c>
      <c r="DC234" t="s">
        <v>37</v>
      </c>
      <c r="DE234" t="s">
        <v>37</v>
      </c>
      <c r="DG234" t="s">
        <v>37</v>
      </c>
      <c r="DI234" t="s">
        <v>37</v>
      </c>
      <c r="DK234" t="s">
        <v>37</v>
      </c>
      <c r="DM234" t="s">
        <v>37</v>
      </c>
      <c r="DO234" t="s">
        <v>37</v>
      </c>
      <c r="DQ234" t="s">
        <v>37</v>
      </c>
      <c r="DS234" t="s">
        <v>37</v>
      </c>
      <c r="DU234" t="s">
        <v>37</v>
      </c>
      <c r="DW234" t="s">
        <v>37</v>
      </c>
      <c r="DY234" t="s">
        <v>37</v>
      </c>
      <c r="EA234" t="s">
        <v>37</v>
      </c>
      <c r="EC234" t="s">
        <v>37</v>
      </c>
      <c r="EE234" t="s">
        <v>37</v>
      </c>
      <c r="EG234" t="s">
        <v>37</v>
      </c>
      <c r="EI234" t="s">
        <v>37</v>
      </c>
      <c r="EK234" t="s">
        <v>37</v>
      </c>
      <c r="EM234" t="s">
        <v>37</v>
      </c>
      <c r="EO234" t="s">
        <v>37</v>
      </c>
      <c r="EQ234" t="s">
        <v>37</v>
      </c>
      <c r="ES234" t="s">
        <v>37</v>
      </c>
      <c r="EU234" t="s">
        <v>37</v>
      </c>
      <c r="EW234" t="s">
        <v>37</v>
      </c>
      <c r="EY234" t="s">
        <v>37</v>
      </c>
      <c r="FA234" t="s">
        <v>37</v>
      </c>
      <c r="FC234" t="s">
        <v>37</v>
      </c>
      <c r="FE234" t="s">
        <v>37</v>
      </c>
      <c r="FG234" t="s">
        <v>37</v>
      </c>
      <c r="FI234" t="s">
        <v>37</v>
      </c>
      <c r="FK234" t="s">
        <v>37</v>
      </c>
      <c r="FM234" t="s">
        <v>37</v>
      </c>
      <c r="FO234" t="s">
        <v>37</v>
      </c>
      <c r="FQ234" t="s">
        <v>37</v>
      </c>
      <c r="FS234" t="s">
        <v>37</v>
      </c>
      <c r="FU234" t="s">
        <v>37</v>
      </c>
      <c r="FW234" t="s">
        <v>37</v>
      </c>
      <c r="FY234" t="s">
        <v>37</v>
      </c>
      <c r="GA234" t="s">
        <v>37</v>
      </c>
      <c r="GC234" t="s">
        <v>37</v>
      </c>
      <c r="GE234" t="s">
        <v>37</v>
      </c>
      <c r="GG234" t="s">
        <v>37</v>
      </c>
      <c r="GI234" t="s">
        <v>37</v>
      </c>
      <c r="GK234" t="s">
        <v>37</v>
      </c>
      <c r="GM234" t="s">
        <v>37</v>
      </c>
      <c r="GO234" t="s">
        <v>37</v>
      </c>
      <c r="GQ234" t="s">
        <v>37</v>
      </c>
      <c r="GS234" t="s">
        <v>37</v>
      </c>
      <c r="GU234" t="s">
        <v>37</v>
      </c>
      <c r="GW234" t="s">
        <v>37</v>
      </c>
      <c r="GY234" t="s">
        <v>37</v>
      </c>
      <c r="HA234" t="s">
        <v>37</v>
      </c>
      <c r="HC234" t="s">
        <v>37</v>
      </c>
      <c r="HE234" t="s">
        <v>37</v>
      </c>
      <c r="HG234" t="s">
        <v>37</v>
      </c>
      <c r="HI234" t="s">
        <v>37</v>
      </c>
      <c r="HK234" t="s">
        <v>37</v>
      </c>
    </row>
    <row r="235" spans="1:219">
      <c r="A235">
        <v>4310</v>
      </c>
      <c r="B235" t="s">
        <v>246</v>
      </c>
      <c r="C235" t="s">
        <v>37</v>
      </c>
      <c r="D235">
        <v>881557</v>
      </c>
      <c r="E235" t="s">
        <v>37</v>
      </c>
      <c r="F235">
        <v>6280589</v>
      </c>
      <c r="G235" t="s">
        <v>37</v>
      </c>
      <c r="H235">
        <v>1168627</v>
      </c>
      <c r="I235" t="s">
        <v>37</v>
      </c>
      <c r="K235" s="48" t="s">
        <v>37</v>
      </c>
      <c r="L235" s="51">
        <v>805739</v>
      </c>
      <c r="M235" s="48" t="s">
        <v>37</v>
      </c>
      <c r="N235" s="51">
        <v>552829</v>
      </c>
      <c r="O235" s="48" t="s">
        <v>37</v>
      </c>
      <c r="P235" s="51">
        <v>584385</v>
      </c>
      <c r="Q235" s="48" t="s">
        <v>37</v>
      </c>
      <c r="R235" s="51">
        <v>518442</v>
      </c>
      <c r="S235" s="48" t="s">
        <v>37</v>
      </c>
      <c r="T235">
        <v>2518542</v>
      </c>
      <c r="U235" t="s">
        <v>37</v>
      </c>
      <c r="W235" t="s">
        <v>37</v>
      </c>
      <c r="Y235" t="s">
        <v>37</v>
      </c>
      <c r="Z235">
        <v>554577</v>
      </c>
      <c r="AA235" t="s">
        <v>37</v>
      </c>
      <c r="AB235">
        <v>590348</v>
      </c>
      <c r="AC235" t="s">
        <v>37</v>
      </c>
      <c r="AD235">
        <v>609851</v>
      </c>
      <c r="AE235" t="s">
        <v>37</v>
      </c>
      <c r="AF235">
        <v>217221</v>
      </c>
      <c r="AG235" t="s">
        <v>37</v>
      </c>
      <c r="AH235">
        <v>533737</v>
      </c>
      <c r="AI235" t="s">
        <v>37</v>
      </c>
      <c r="AK235" t="s">
        <v>37</v>
      </c>
      <c r="AL235">
        <v>6027331</v>
      </c>
      <c r="AM235" t="s">
        <v>37</v>
      </c>
      <c r="AO235" t="s">
        <v>37</v>
      </c>
      <c r="AP235">
        <v>6125083</v>
      </c>
      <c r="AQ235" t="s">
        <v>37</v>
      </c>
      <c r="AR235">
        <v>462916</v>
      </c>
      <c r="AS235" t="s">
        <v>37</v>
      </c>
      <c r="AT235">
        <v>16439915</v>
      </c>
      <c r="AU235" t="s">
        <v>37</v>
      </c>
      <c r="AV235">
        <v>2334801</v>
      </c>
      <c r="AW235" t="s">
        <v>37</v>
      </c>
      <c r="AX235">
        <v>1728186</v>
      </c>
      <c r="AY235" t="s">
        <v>37</v>
      </c>
      <c r="AZ235">
        <v>2252931</v>
      </c>
      <c r="BA235" t="s">
        <v>37</v>
      </c>
      <c r="BB235">
        <v>645487</v>
      </c>
      <c r="BC235" t="s">
        <v>37</v>
      </c>
      <c r="BD235">
        <v>1294546</v>
      </c>
      <c r="BE235" t="s">
        <v>37</v>
      </c>
      <c r="BF235">
        <v>308336</v>
      </c>
      <c r="BG235" t="s">
        <v>37</v>
      </c>
      <c r="BI235" t="s">
        <v>37</v>
      </c>
      <c r="BJ235">
        <v>3028868</v>
      </c>
      <c r="BK235" t="s">
        <v>37</v>
      </c>
      <c r="BL235">
        <v>4130488</v>
      </c>
      <c r="BM235" t="s">
        <v>37</v>
      </c>
      <c r="BO235" t="s">
        <v>37</v>
      </c>
      <c r="BP235">
        <v>315847</v>
      </c>
      <c r="BQ235" t="s">
        <v>37</v>
      </c>
      <c r="BR235">
        <v>1539952</v>
      </c>
      <c r="BS235" t="s">
        <v>37</v>
      </c>
      <c r="BT235">
        <v>461920</v>
      </c>
      <c r="BU235" t="s">
        <v>37</v>
      </c>
      <c r="BW235" t="s">
        <v>37</v>
      </c>
      <c r="BX235">
        <v>2309146</v>
      </c>
      <c r="BY235" t="s">
        <v>37</v>
      </c>
      <c r="BZ235">
        <v>1164859</v>
      </c>
      <c r="CA235" t="s">
        <v>37</v>
      </c>
      <c r="CC235" t="s">
        <v>37</v>
      </c>
      <c r="CD235">
        <v>845220</v>
      </c>
      <c r="CE235" t="s">
        <v>37</v>
      </c>
      <c r="CF235">
        <v>1282273</v>
      </c>
      <c r="CG235" t="s">
        <v>37</v>
      </c>
      <c r="CH235">
        <v>3833305</v>
      </c>
      <c r="CI235" t="s">
        <v>37</v>
      </c>
      <c r="CJ235">
        <v>339376</v>
      </c>
      <c r="CK235" t="s">
        <v>37</v>
      </c>
      <c r="CL235">
        <v>1945748</v>
      </c>
      <c r="CM235" t="s">
        <v>37</v>
      </c>
      <c r="CN235">
        <v>486216</v>
      </c>
      <c r="CO235" t="s">
        <v>37</v>
      </c>
      <c r="CP235">
        <v>285583</v>
      </c>
      <c r="CQ235" t="s">
        <v>37</v>
      </c>
      <c r="CR235">
        <v>2682228</v>
      </c>
      <c r="CS235" t="s">
        <v>37</v>
      </c>
      <c r="CT235">
        <v>14818858</v>
      </c>
      <c r="CU235" t="s">
        <v>37</v>
      </c>
      <c r="CV235">
        <v>2346879</v>
      </c>
      <c r="CW235" t="s">
        <v>37</v>
      </c>
      <c r="CX235">
        <v>254887</v>
      </c>
      <c r="CY235" t="s">
        <v>37</v>
      </c>
      <c r="CZ235">
        <v>163373</v>
      </c>
      <c r="DA235" t="s">
        <v>37</v>
      </c>
      <c r="DC235" t="s">
        <v>37</v>
      </c>
      <c r="DD235">
        <v>558415</v>
      </c>
      <c r="DE235" t="s">
        <v>37</v>
      </c>
      <c r="DF235">
        <v>848218</v>
      </c>
      <c r="DG235" t="s">
        <v>37</v>
      </c>
      <c r="DH235">
        <v>9142974</v>
      </c>
      <c r="DI235" t="s">
        <v>37</v>
      </c>
      <c r="DJ235">
        <v>1865134</v>
      </c>
      <c r="DK235" t="s">
        <v>37</v>
      </c>
      <c r="DL235">
        <v>2072540</v>
      </c>
      <c r="DM235" t="s">
        <v>37</v>
      </c>
      <c r="DN235">
        <v>2482383</v>
      </c>
      <c r="DO235" t="s">
        <v>37</v>
      </c>
      <c r="DP235">
        <v>1501328</v>
      </c>
      <c r="DQ235" t="s">
        <v>37</v>
      </c>
      <c r="DR235">
        <v>1041334</v>
      </c>
      <c r="DS235" t="s">
        <v>37</v>
      </c>
      <c r="DT235">
        <v>1167720</v>
      </c>
      <c r="DU235" t="s">
        <v>37</v>
      </c>
      <c r="DV235">
        <v>1923639</v>
      </c>
      <c r="DW235" t="s">
        <v>37</v>
      </c>
      <c r="DX235">
        <v>2539330</v>
      </c>
      <c r="DY235" t="s">
        <v>37</v>
      </c>
      <c r="DZ235">
        <v>658336</v>
      </c>
      <c r="EA235" t="s">
        <v>37</v>
      </c>
      <c r="EB235">
        <v>913673</v>
      </c>
      <c r="EC235" t="s">
        <v>37</v>
      </c>
      <c r="ED235">
        <v>1162915</v>
      </c>
      <c r="EE235" t="s">
        <v>37</v>
      </c>
      <c r="EF235">
        <v>370317</v>
      </c>
      <c r="EG235" t="s">
        <v>37</v>
      </c>
      <c r="EI235" t="s">
        <v>37</v>
      </c>
      <c r="EJ235">
        <v>1308814</v>
      </c>
      <c r="EK235" t="s">
        <v>37</v>
      </c>
      <c r="EL235">
        <v>870449</v>
      </c>
      <c r="EM235" t="s">
        <v>37</v>
      </c>
      <c r="EN235">
        <v>408261</v>
      </c>
      <c r="EO235" t="s">
        <v>37</v>
      </c>
      <c r="EQ235" t="s">
        <v>37</v>
      </c>
      <c r="ER235">
        <v>2338407</v>
      </c>
      <c r="ES235" t="s">
        <v>37</v>
      </c>
      <c r="ET235">
        <v>1430669</v>
      </c>
      <c r="EU235" t="s">
        <v>37</v>
      </c>
      <c r="EV235">
        <v>2592201</v>
      </c>
      <c r="EW235" t="s">
        <v>37</v>
      </c>
      <c r="EY235" t="s">
        <v>37</v>
      </c>
      <c r="EZ235">
        <v>1620247</v>
      </c>
      <c r="FA235" t="s">
        <v>37</v>
      </c>
      <c r="FB235">
        <v>1185114</v>
      </c>
      <c r="FC235" t="s">
        <v>37</v>
      </c>
      <c r="FD235">
        <v>2789311</v>
      </c>
      <c r="FE235" t="s">
        <v>37</v>
      </c>
      <c r="FG235" t="s">
        <v>37</v>
      </c>
      <c r="FH235">
        <v>2892905</v>
      </c>
      <c r="FI235" t="s">
        <v>37</v>
      </c>
      <c r="FJ235">
        <v>11564177</v>
      </c>
      <c r="FK235" t="s">
        <v>37</v>
      </c>
      <c r="FL235">
        <v>1521783</v>
      </c>
      <c r="FM235" t="s">
        <v>37</v>
      </c>
      <c r="FN235">
        <v>542494</v>
      </c>
      <c r="FO235" t="s">
        <v>37</v>
      </c>
      <c r="FP235">
        <v>538180</v>
      </c>
      <c r="FQ235" t="s">
        <v>37</v>
      </c>
      <c r="FR235">
        <v>1074229</v>
      </c>
      <c r="FS235" t="s">
        <v>37</v>
      </c>
      <c r="FT235">
        <v>459090</v>
      </c>
      <c r="FU235" t="s">
        <v>37</v>
      </c>
      <c r="FV235">
        <v>389648</v>
      </c>
      <c r="FW235" t="s">
        <v>37</v>
      </c>
      <c r="FX235">
        <v>1041526</v>
      </c>
      <c r="FY235" t="s">
        <v>37</v>
      </c>
      <c r="FZ235">
        <v>1174389</v>
      </c>
      <c r="GA235" t="s">
        <v>37</v>
      </c>
      <c r="GB235">
        <v>2681297</v>
      </c>
      <c r="GC235" t="s">
        <v>37</v>
      </c>
      <c r="GE235" t="s">
        <v>37</v>
      </c>
      <c r="GG235" t="s">
        <v>37</v>
      </c>
      <c r="GI235" t="s">
        <v>37</v>
      </c>
      <c r="GJ235">
        <v>3339992</v>
      </c>
      <c r="GK235" t="s">
        <v>37</v>
      </c>
      <c r="GL235">
        <v>3110140</v>
      </c>
      <c r="GM235" t="s">
        <v>37</v>
      </c>
      <c r="GO235" t="s">
        <v>37</v>
      </c>
      <c r="GP235">
        <v>1174958</v>
      </c>
      <c r="GQ235" t="s">
        <v>37</v>
      </c>
      <c r="GR235">
        <v>3472770</v>
      </c>
      <c r="GS235" t="s">
        <v>37</v>
      </c>
      <c r="GT235">
        <v>1678347</v>
      </c>
      <c r="GU235" t="s">
        <v>37</v>
      </c>
      <c r="GV235">
        <v>517903</v>
      </c>
      <c r="GW235" t="s">
        <v>37</v>
      </c>
      <c r="GX235">
        <v>2560962</v>
      </c>
      <c r="GY235" t="s">
        <v>37</v>
      </c>
      <c r="GZ235">
        <v>606167</v>
      </c>
      <c r="HA235" t="s">
        <v>37</v>
      </c>
      <c r="HB235">
        <v>434618</v>
      </c>
      <c r="HC235" t="s">
        <v>37</v>
      </c>
      <c r="HD235">
        <v>669115</v>
      </c>
      <c r="HE235" t="s">
        <v>37</v>
      </c>
      <c r="HF235">
        <v>178803688</v>
      </c>
      <c r="HG235" t="s">
        <v>37</v>
      </c>
      <c r="HH235">
        <v>1103733</v>
      </c>
      <c r="HI235" t="s">
        <v>37</v>
      </c>
      <c r="HJ235">
        <v>179907421</v>
      </c>
      <c r="HK235" t="s">
        <v>37</v>
      </c>
    </row>
    <row r="236" spans="1:219">
      <c r="A236">
        <v>4312</v>
      </c>
      <c r="B236" t="s">
        <v>247</v>
      </c>
      <c r="C236" t="s">
        <v>37</v>
      </c>
      <c r="E236" t="s">
        <v>37</v>
      </c>
      <c r="G236" t="s">
        <v>37</v>
      </c>
      <c r="H236">
        <v>31002</v>
      </c>
      <c r="I236" t="s">
        <v>37</v>
      </c>
      <c r="K236" s="48" t="s">
        <v>37</v>
      </c>
      <c r="L236" s="50"/>
      <c r="M236" s="48" t="s">
        <v>37</v>
      </c>
      <c r="N236" s="50"/>
      <c r="O236" s="48" t="s">
        <v>37</v>
      </c>
      <c r="P236" s="50"/>
      <c r="Q236" s="48" t="s">
        <v>37</v>
      </c>
      <c r="R236" s="50"/>
      <c r="S236" s="48" t="s">
        <v>37</v>
      </c>
      <c r="U236" t="s">
        <v>37</v>
      </c>
      <c r="W236" t="s">
        <v>37</v>
      </c>
      <c r="Y236" t="s">
        <v>37</v>
      </c>
      <c r="Z236">
        <v>27228</v>
      </c>
      <c r="AA236" t="s">
        <v>37</v>
      </c>
      <c r="AB236">
        <v>35588</v>
      </c>
      <c r="AC236" t="s">
        <v>37</v>
      </c>
      <c r="AD236">
        <v>51540</v>
      </c>
      <c r="AE236" t="s">
        <v>37</v>
      </c>
      <c r="AF236">
        <v>27016</v>
      </c>
      <c r="AG236" t="s">
        <v>37</v>
      </c>
      <c r="AI236" t="s">
        <v>37</v>
      </c>
      <c r="AK236" t="s">
        <v>37</v>
      </c>
      <c r="AM236" t="s">
        <v>37</v>
      </c>
      <c r="AO236" t="s">
        <v>37</v>
      </c>
      <c r="AQ236" t="s">
        <v>37</v>
      </c>
      <c r="AS236" t="s">
        <v>37</v>
      </c>
      <c r="AU236" t="s">
        <v>37</v>
      </c>
      <c r="AW236" t="s">
        <v>37</v>
      </c>
      <c r="AX236">
        <v>149590</v>
      </c>
      <c r="AY236" t="s">
        <v>37</v>
      </c>
      <c r="AZ236">
        <v>220946</v>
      </c>
      <c r="BA236" t="s">
        <v>37</v>
      </c>
      <c r="BB236">
        <v>26596</v>
      </c>
      <c r="BC236" t="s">
        <v>37</v>
      </c>
      <c r="BD236">
        <v>126093</v>
      </c>
      <c r="BE236" t="s">
        <v>37</v>
      </c>
      <c r="BF236">
        <v>26676</v>
      </c>
      <c r="BG236" t="s">
        <v>37</v>
      </c>
      <c r="BI236" t="s">
        <v>37</v>
      </c>
      <c r="BJ236">
        <v>250612</v>
      </c>
      <c r="BK236" t="s">
        <v>37</v>
      </c>
      <c r="BM236" t="s">
        <v>37</v>
      </c>
      <c r="BO236" t="s">
        <v>37</v>
      </c>
      <c r="BP236">
        <v>24854</v>
      </c>
      <c r="BQ236" t="s">
        <v>37</v>
      </c>
      <c r="BR236">
        <v>112054</v>
      </c>
      <c r="BS236" t="s">
        <v>37</v>
      </c>
      <c r="BT236">
        <v>44354</v>
      </c>
      <c r="BU236" t="s">
        <v>37</v>
      </c>
      <c r="BW236" t="s">
        <v>37</v>
      </c>
      <c r="BY236" t="s">
        <v>37</v>
      </c>
      <c r="BZ236">
        <v>56822</v>
      </c>
      <c r="CA236" t="s">
        <v>37</v>
      </c>
      <c r="CC236" t="s">
        <v>37</v>
      </c>
      <c r="CE236" t="s">
        <v>37</v>
      </c>
      <c r="CG236" t="s">
        <v>37</v>
      </c>
      <c r="CI236" t="s">
        <v>37</v>
      </c>
      <c r="CJ236">
        <v>34431</v>
      </c>
      <c r="CK236" t="s">
        <v>37</v>
      </c>
      <c r="CM236" t="s">
        <v>37</v>
      </c>
      <c r="CN236">
        <v>31306</v>
      </c>
      <c r="CO236" t="s">
        <v>37</v>
      </c>
      <c r="CP236">
        <v>41557</v>
      </c>
      <c r="CQ236" t="s">
        <v>37</v>
      </c>
      <c r="CR236">
        <v>216059</v>
      </c>
      <c r="CS236" t="s">
        <v>37</v>
      </c>
      <c r="CU236" t="s">
        <v>37</v>
      </c>
      <c r="CW236" t="s">
        <v>37</v>
      </c>
      <c r="CY236" t="s">
        <v>37</v>
      </c>
      <c r="DA236" t="s">
        <v>37</v>
      </c>
      <c r="DC236" t="s">
        <v>37</v>
      </c>
      <c r="DD236">
        <v>55979</v>
      </c>
      <c r="DE236" t="s">
        <v>37</v>
      </c>
      <c r="DF236">
        <v>50750</v>
      </c>
      <c r="DG236" t="s">
        <v>37</v>
      </c>
      <c r="DI236" t="s">
        <v>37</v>
      </c>
      <c r="DJ236">
        <v>137591</v>
      </c>
      <c r="DK236" t="s">
        <v>37</v>
      </c>
      <c r="DM236" t="s">
        <v>37</v>
      </c>
      <c r="DO236" t="s">
        <v>37</v>
      </c>
      <c r="DQ236" t="s">
        <v>37</v>
      </c>
      <c r="DS236" t="s">
        <v>37</v>
      </c>
      <c r="DT236">
        <v>79224</v>
      </c>
      <c r="DU236" t="s">
        <v>37</v>
      </c>
      <c r="DW236" t="s">
        <v>37</v>
      </c>
      <c r="DY236" t="s">
        <v>37</v>
      </c>
      <c r="EA236" t="s">
        <v>37</v>
      </c>
      <c r="EB236">
        <v>75589</v>
      </c>
      <c r="EC236" t="s">
        <v>37</v>
      </c>
      <c r="EE236" t="s">
        <v>37</v>
      </c>
      <c r="EG236" t="s">
        <v>37</v>
      </c>
      <c r="EI236" t="s">
        <v>37</v>
      </c>
      <c r="EJ236">
        <v>95625</v>
      </c>
      <c r="EK236" t="s">
        <v>37</v>
      </c>
      <c r="EL236">
        <v>61114</v>
      </c>
      <c r="EM236" t="s">
        <v>37</v>
      </c>
      <c r="EN236">
        <v>30411</v>
      </c>
      <c r="EO236" t="s">
        <v>37</v>
      </c>
      <c r="EQ236" t="s">
        <v>37</v>
      </c>
      <c r="ER236">
        <v>146440</v>
      </c>
      <c r="ES236" t="s">
        <v>37</v>
      </c>
      <c r="ET236">
        <v>167310</v>
      </c>
      <c r="EU236" t="s">
        <v>37</v>
      </c>
      <c r="EW236" t="s">
        <v>37</v>
      </c>
      <c r="EY236" t="s">
        <v>37</v>
      </c>
      <c r="EZ236">
        <v>145435</v>
      </c>
      <c r="FA236" t="s">
        <v>37</v>
      </c>
      <c r="FB236">
        <v>116943</v>
      </c>
      <c r="FC236" t="s">
        <v>37</v>
      </c>
      <c r="FD236">
        <v>200025</v>
      </c>
      <c r="FE236" t="s">
        <v>37</v>
      </c>
      <c r="FG236" t="s">
        <v>37</v>
      </c>
      <c r="FI236" t="s">
        <v>37</v>
      </c>
      <c r="FK236" t="s">
        <v>37</v>
      </c>
      <c r="FM236" t="s">
        <v>37</v>
      </c>
      <c r="FO236" t="s">
        <v>37</v>
      </c>
      <c r="FQ236" t="s">
        <v>37</v>
      </c>
      <c r="FS236" t="s">
        <v>37</v>
      </c>
      <c r="FU236" t="s">
        <v>37</v>
      </c>
      <c r="FW236" t="s">
        <v>37</v>
      </c>
      <c r="FY236" t="s">
        <v>37</v>
      </c>
      <c r="GA236" t="s">
        <v>37</v>
      </c>
      <c r="GC236" t="s">
        <v>37</v>
      </c>
      <c r="GE236" t="s">
        <v>37</v>
      </c>
      <c r="GG236" t="s">
        <v>37</v>
      </c>
      <c r="GI236" t="s">
        <v>37</v>
      </c>
      <c r="GK236" t="s">
        <v>37</v>
      </c>
      <c r="GM236" t="s">
        <v>37</v>
      </c>
      <c r="GO236" t="s">
        <v>37</v>
      </c>
      <c r="GP236">
        <v>128607</v>
      </c>
      <c r="GQ236" t="s">
        <v>37</v>
      </c>
      <c r="GR236">
        <v>209152</v>
      </c>
      <c r="GS236" t="s">
        <v>37</v>
      </c>
      <c r="GU236" t="s">
        <v>37</v>
      </c>
      <c r="GW236" t="s">
        <v>37</v>
      </c>
      <c r="GY236" t="s">
        <v>37</v>
      </c>
      <c r="HA236" t="s">
        <v>37</v>
      </c>
      <c r="HC236" t="s">
        <v>37</v>
      </c>
      <c r="HE236" t="s">
        <v>37</v>
      </c>
      <c r="HF236">
        <v>3234519</v>
      </c>
      <c r="HG236" t="s">
        <v>37</v>
      </c>
      <c r="HI236" t="s">
        <v>37</v>
      </c>
      <c r="HJ236">
        <v>3234519</v>
      </c>
      <c r="HK236" t="s">
        <v>37</v>
      </c>
    </row>
    <row r="237" spans="1:219">
      <c r="A237">
        <v>4318</v>
      </c>
      <c r="B237" t="s">
        <v>248</v>
      </c>
      <c r="C237" t="s">
        <v>37</v>
      </c>
      <c r="E237" t="s">
        <v>37</v>
      </c>
      <c r="F237">
        <v>604229</v>
      </c>
      <c r="G237" t="s">
        <v>37</v>
      </c>
      <c r="I237" t="s">
        <v>37</v>
      </c>
      <c r="K237" s="48" t="s">
        <v>37</v>
      </c>
      <c r="L237" s="50"/>
      <c r="M237" s="48" t="s">
        <v>37</v>
      </c>
      <c r="N237" s="50"/>
      <c r="O237" s="48" t="s">
        <v>37</v>
      </c>
      <c r="P237" s="50"/>
      <c r="Q237" s="48" t="s">
        <v>37</v>
      </c>
      <c r="R237" s="50"/>
      <c r="S237" s="48" t="s">
        <v>37</v>
      </c>
      <c r="U237" t="s">
        <v>37</v>
      </c>
      <c r="W237" t="s">
        <v>37</v>
      </c>
      <c r="Y237" t="s">
        <v>37</v>
      </c>
      <c r="Z237">
        <v>436097</v>
      </c>
      <c r="AA237" t="s">
        <v>37</v>
      </c>
      <c r="AB237">
        <v>219629</v>
      </c>
      <c r="AC237" t="s">
        <v>37</v>
      </c>
      <c r="AE237" t="s">
        <v>37</v>
      </c>
      <c r="AG237" t="s">
        <v>37</v>
      </c>
      <c r="AI237" t="s">
        <v>37</v>
      </c>
      <c r="AK237" t="s">
        <v>37</v>
      </c>
      <c r="AL237">
        <v>547732</v>
      </c>
      <c r="AM237" t="s">
        <v>37</v>
      </c>
      <c r="AO237" t="s">
        <v>37</v>
      </c>
      <c r="AQ237" t="s">
        <v>37</v>
      </c>
      <c r="AS237" t="s">
        <v>37</v>
      </c>
      <c r="AT237">
        <v>1601237</v>
      </c>
      <c r="AU237" t="s">
        <v>37</v>
      </c>
      <c r="AV237">
        <v>597745</v>
      </c>
      <c r="AW237" t="s">
        <v>37</v>
      </c>
      <c r="AY237" t="s">
        <v>37</v>
      </c>
      <c r="BA237" t="s">
        <v>37</v>
      </c>
      <c r="BC237" t="s">
        <v>37</v>
      </c>
      <c r="BD237">
        <v>212655</v>
      </c>
      <c r="BE237" t="s">
        <v>37</v>
      </c>
      <c r="BG237" t="s">
        <v>37</v>
      </c>
      <c r="BI237" t="s">
        <v>37</v>
      </c>
      <c r="BJ237">
        <v>469260</v>
      </c>
      <c r="BK237" t="s">
        <v>37</v>
      </c>
      <c r="BL237">
        <v>642870</v>
      </c>
      <c r="BM237" t="s">
        <v>37</v>
      </c>
      <c r="BO237" t="s">
        <v>37</v>
      </c>
      <c r="BQ237" t="s">
        <v>37</v>
      </c>
      <c r="BR237">
        <v>628459</v>
      </c>
      <c r="BS237" t="s">
        <v>37</v>
      </c>
      <c r="BU237" t="s">
        <v>37</v>
      </c>
      <c r="BW237" t="s">
        <v>37</v>
      </c>
      <c r="BY237" t="s">
        <v>37</v>
      </c>
      <c r="BZ237">
        <v>250000</v>
      </c>
      <c r="CA237" t="s">
        <v>37</v>
      </c>
      <c r="CC237" t="s">
        <v>37</v>
      </c>
      <c r="CE237" t="s">
        <v>37</v>
      </c>
      <c r="CF237">
        <v>479255</v>
      </c>
      <c r="CG237" t="s">
        <v>37</v>
      </c>
      <c r="CH237">
        <v>461001</v>
      </c>
      <c r="CI237" t="s">
        <v>37</v>
      </c>
      <c r="CK237" t="s">
        <v>37</v>
      </c>
      <c r="CL237">
        <v>492795</v>
      </c>
      <c r="CM237" t="s">
        <v>37</v>
      </c>
      <c r="CO237" t="s">
        <v>37</v>
      </c>
      <c r="CQ237" t="s">
        <v>37</v>
      </c>
      <c r="CS237" t="s">
        <v>37</v>
      </c>
      <c r="CU237" t="s">
        <v>37</v>
      </c>
      <c r="CW237" t="s">
        <v>37</v>
      </c>
      <c r="CY237" t="s">
        <v>37</v>
      </c>
      <c r="DA237" t="s">
        <v>37</v>
      </c>
      <c r="DC237" t="s">
        <v>37</v>
      </c>
      <c r="DD237">
        <v>464458</v>
      </c>
      <c r="DE237" t="s">
        <v>37</v>
      </c>
      <c r="DG237" t="s">
        <v>37</v>
      </c>
      <c r="DI237" t="s">
        <v>37</v>
      </c>
      <c r="DK237" t="s">
        <v>37</v>
      </c>
      <c r="DM237" t="s">
        <v>37</v>
      </c>
      <c r="DN237">
        <v>342218</v>
      </c>
      <c r="DO237" t="s">
        <v>37</v>
      </c>
      <c r="DQ237" t="s">
        <v>37</v>
      </c>
      <c r="DR237">
        <v>558978</v>
      </c>
      <c r="DS237" t="s">
        <v>37</v>
      </c>
      <c r="DT237">
        <v>245192</v>
      </c>
      <c r="DU237" t="s">
        <v>37</v>
      </c>
      <c r="DW237" t="s">
        <v>37</v>
      </c>
      <c r="DY237" t="s">
        <v>37</v>
      </c>
      <c r="EA237" t="s">
        <v>37</v>
      </c>
      <c r="EB237">
        <v>1001051</v>
      </c>
      <c r="EC237" t="s">
        <v>37</v>
      </c>
      <c r="EE237" t="s">
        <v>37</v>
      </c>
      <c r="EG237" t="s">
        <v>37</v>
      </c>
      <c r="EI237" t="s">
        <v>37</v>
      </c>
      <c r="EK237" t="s">
        <v>37</v>
      </c>
      <c r="EL237">
        <v>400359</v>
      </c>
      <c r="EM237" t="s">
        <v>37</v>
      </c>
      <c r="EN237">
        <v>425320</v>
      </c>
      <c r="EO237" t="s">
        <v>37</v>
      </c>
      <c r="EQ237" t="s">
        <v>37</v>
      </c>
      <c r="ES237" t="s">
        <v>37</v>
      </c>
      <c r="ET237">
        <v>725639</v>
      </c>
      <c r="EU237" t="s">
        <v>37</v>
      </c>
      <c r="EW237" t="s">
        <v>37</v>
      </c>
      <c r="EY237" t="s">
        <v>37</v>
      </c>
      <c r="FA237" t="s">
        <v>37</v>
      </c>
      <c r="FC237" t="s">
        <v>37</v>
      </c>
      <c r="FE237" t="s">
        <v>37</v>
      </c>
      <c r="FG237" t="s">
        <v>37</v>
      </c>
      <c r="FI237" t="s">
        <v>37</v>
      </c>
      <c r="FJ237">
        <v>1100000</v>
      </c>
      <c r="FK237" t="s">
        <v>37</v>
      </c>
      <c r="FM237" t="s">
        <v>37</v>
      </c>
      <c r="FO237" t="s">
        <v>37</v>
      </c>
      <c r="FQ237" t="s">
        <v>37</v>
      </c>
      <c r="FS237" t="s">
        <v>37</v>
      </c>
      <c r="FU237" t="s">
        <v>37</v>
      </c>
      <c r="FW237" t="s">
        <v>37</v>
      </c>
      <c r="FY237" t="s">
        <v>37</v>
      </c>
      <c r="GA237" t="s">
        <v>37</v>
      </c>
      <c r="GB237">
        <v>539105</v>
      </c>
      <c r="GC237" t="s">
        <v>37</v>
      </c>
      <c r="GE237" t="s">
        <v>37</v>
      </c>
      <c r="GG237" t="s">
        <v>37</v>
      </c>
      <c r="GI237" t="s">
        <v>37</v>
      </c>
      <c r="GK237" t="s">
        <v>37</v>
      </c>
      <c r="GM237" t="s">
        <v>37</v>
      </c>
      <c r="GO237" t="s">
        <v>37</v>
      </c>
      <c r="GQ237" t="s">
        <v>37</v>
      </c>
      <c r="GR237">
        <v>500000</v>
      </c>
      <c r="GS237" t="s">
        <v>37</v>
      </c>
      <c r="GU237" t="s">
        <v>37</v>
      </c>
      <c r="GW237" t="s">
        <v>37</v>
      </c>
      <c r="GY237" t="s">
        <v>37</v>
      </c>
      <c r="HA237" t="s">
        <v>37</v>
      </c>
      <c r="HC237" t="s">
        <v>37</v>
      </c>
      <c r="HE237" t="s">
        <v>37</v>
      </c>
      <c r="HF237">
        <v>13945284</v>
      </c>
      <c r="HG237" t="s">
        <v>37</v>
      </c>
      <c r="HI237" t="s">
        <v>37</v>
      </c>
      <c r="HJ237">
        <v>13945284</v>
      </c>
      <c r="HK237" t="s">
        <v>37</v>
      </c>
    </row>
    <row r="238" spans="1:219">
      <c r="A238">
        <v>4320</v>
      </c>
      <c r="B238" t="s">
        <v>249</v>
      </c>
      <c r="C238" t="s">
        <v>37</v>
      </c>
      <c r="E238" t="s">
        <v>37</v>
      </c>
      <c r="G238" t="s">
        <v>37</v>
      </c>
      <c r="I238" t="s">
        <v>37</v>
      </c>
      <c r="K238" s="48" t="s">
        <v>37</v>
      </c>
      <c r="L238" s="50"/>
      <c r="M238" s="48" t="s">
        <v>37</v>
      </c>
      <c r="N238" s="50"/>
      <c r="O238" s="48" t="s">
        <v>37</v>
      </c>
      <c r="P238" s="50"/>
      <c r="Q238" s="48" t="s">
        <v>37</v>
      </c>
      <c r="R238" s="50"/>
      <c r="S238" s="48" t="s">
        <v>37</v>
      </c>
      <c r="U238" t="s">
        <v>37</v>
      </c>
      <c r="W238" t="s">
        <v>37</v>
      </c>
      <c r="Y238" t="s">
        <v>37</v>
      </c>
      <c r="AA238" t="s">
        <v>37</v>
      </c>
      <c r="AC238" t="s">
        <v>37</v>
      </c>
      <c r="AE238" t="s">
        <v>37</v>
      </c>
      <c r="AG238" t="s">
        <v>37</v>
      </c>
      <c r="AI238" t="s">
        <v>37</v>
      </c>
      <c r="AK238" t="s">
        <v>37</v>
      </c>
      <c r="AM238" t="s">
        <v>37</v>
      </c>
      <c r="AO238" t="s">
        <v>37</v>
      </c>
      <c r="AQ238" t="s">
        <v>37</v>
      </c>
      <c r="AS238" t="s">
        <v>37</v>
      </c>
      <c r="AU238" t="s">
        <v>37</v>
      </c>
      <c r="AW238" t="s">
        <v>37</v>
      </c>
      <c r="AX238">
        <v>164444</v>
      </c>
      <c r="AY238" t="s">
        <v>37</v>
      </c>
      <c r="BA238" t="s">
        <v>37</v>
      </c>
      <c r="BC238" t="s">
        <v>37</v>
      </c>
      <c r="BE238" t="s">
        <v>37</v>
      </c>
      <c r="BG238" t="s">
        <v>37</v>
      </c>
      <c r="BI238" t="s">
        <v>37</v>
      </c>
      <c r="BK238" t="s">
        <v>37</v>
      </c>
      <c r="BM238" t="s">
        <v>37</v>
      </c>
      <c r="BO238" t="s">
        <v>37</v>
      </c>
      <c r="BQ238" t="s">
        <v>37</v>
      </c>
      <c r="BS238" t="s">
        <v>37</v>
      </c>
      <c r="BU238" t="s">
        <v>37</v>
      </c>
      <c r="BW238" t="s">
        <v>37</v>
      </c>
      <c r="BY238" t="s">
        <v>37</v>
      </c>
      <c r="CA238" t="s">
        <v>37</v>
      </c>
      <c r="CC238" t="s">
        <v>37</v>
      </c>
      <c r="CE238" t="s">
        <v>37</v>
      </c>
      <c r="CG238" t="s">
        <v>37</v>
      </c>
      <c r="CI238" t="s">
        <v>37</v>
      </c>
      <c r="CK238" t="s">
        <v>37</v>
      </c>
      <c r="CM238" t="s">
        <v>37</v>
      </c>
      <c r="CO238" t="s">
        <v>37</v>
      </c>
      <c r="CQ238" t="s">
        <v>37</v>
      </c>
      <c r="CS238" t="s">
        <v>37</v>
      </c>
      <c r="CT238">
        <v>513415</v>
      </c>
      <c r="CU238" t="s">
        <v>37</v>
      </c>
      <c r="CW238" t="s">
        <v>37</v>
      </c>
      <c r="CY238" t="s">
        <v>37</v>
      </c>
      <c r="DA238" t="s">
        <v>37</v>
      </c>
      <c r="DC238" t="s">
        <v>37</v>
      </c>
      <c r="DE238" t="s">
        <v>37</v>
      </c>
      <c r="DG238" t="s">
        <v>37</v>
      </c>
      <c r="DI238" t="s">
        <v>37</v>
      </c>
      <c r="DK238" t="s">
        <v>37</v>
      </c>
      <c r="DM238" t="s">
        <v>37</v>
      </c>
      <c r="DO238" t="s">
        <v>37</v>
      </c>
      <c r="DQ238" t="s">
        <v>37</v>
      </c>
      <c r="DS238" t="s">
        <v>37</v>
      </c>
      <c r="DT238">
        <v>177116</v>
      </c>
      <c r="DU238" t="s">
        <v>37</v>
      </c>
      <c r="DW238" t="s">
        <v>37</v>
      </c>
      <c r="DY238" t="s">
        <v>37</v>
      </c>
      <c r="EA238" t="s">
        <v>37</v>
      </c>
      <c r="EC238" t="s">
        <v>37</v>
      </c>
      <c r="EE238" t="s">
        <v>37</v>
      </c>
      <c r="EG238" t="s">
        <v>37</v>
      </c>
      <c r="EI238" t="s">
        <v>37</v>
      </c>
      <c r="EK238" t="s">
        <v>37</v>
      </c>
      <c r="EM238" t="s">
        <v>37</v>
      </c>
      <c r="EO238" t="s">
        <v>37</v>
      </c>
      <c r="EQ238" t="s">
        <v>37</v>
      </c>
      <c r="ES238" t="s">
        <v>37</v>
      </c>
      <c r="EU238" t="s">
        <v>37</v>
      </c>
      <c r="EW238" t="s">
        <v>37</v>
      </c>
      <c r="EY238" t="s">
        <v>37</v>
      </c>
      <c r="FA238" t="s">
        <v>37</v>
      </c>
      <c r="FC238" t="s">
        <v>37</v>
      </c>
      <c r="FE238" t="s">
        <v>37</v>
      </c>
      <c r="FG238" t="s">
        <v>37</v>
      </c>
      <c r="FI238" t="s">
        <v>37</v>
      </c>
      <c r="FJ238">
        <v>131000</v>
      </c>
      <c r="FK238" t="s">
        <v>37</v>
      </c>
      <c r="FM238" t="s">
        <v>37</v>
      </c>
      <c r="FO238" t="s">
        <v>37</v>
      </c>
      <c r="FQ238" t="s">
        <v>37</v>
      </c>
      <c r="FS238" t="s">
        <v>37</v>
      </c>
      <c r="FU238" t="s">
        <v>37</v>
      </c>
      <c r="FW238" t="s">
        <v>37</v>
      </c>
      <c r="FY238" t="s">
        <v>37</v>
      </c>
      <c r="GA238" t="s">
        <v>37</v>
      </c>
      <c r="GC238" t="s">
        <v>37</v>
      </c>
      <c r="GE238" t="s">
        <v>37</v>
      </c>
      <c r="GG238" t="s">
        <v>37</v>
      </c>
      <c r="GI238" t="s">
        <v>37</v>
      </c>
      <c r="GK238" t="s">
        <v>37</v>
      </c>
      <c r="GM238" t="s">
        <v>37</v>
      </c>
      <c r="GO238" t="s">
        <v>37</v>
      </c>
      <c r="GQ238" t="s">
        <v>37</v>
      </c>
      <c r="GS238" t="s">
        <v>37</v>
      </c>
      <c r="GU238" t="s">
        <v>37</v>
      </c>
      <c r="GW238" t="s">
        <v>37</v>
      </c>
      <c r="GY238" t="s">
        <v>37</v>
      </c>
      <c r="HA238" t="s">
        <v>37</v>
      </c>
      <c r="HC238" t="s">
        <v>37</v>
      </c>
      <c r="HE238" t="s">
        <v>37</v>
      </c>
      <c r="HF238">
        <v>985975</v>
      </c>
      <c r="HG238" t="s">
        <v>37</v>
      </c>
      <c r="HI238" t="s">
        <v>37</v>
      </c>
      <c r="HJ238">
        <v>985975</v>
      </c>
      <c r="HK238" t="s">
        <v>37</v>
      </c>
    </row>
    <row r="239" spans="1:219">
      <c r="A239">
        <v>4325</v>
      </c>
      <c r="B239" t="s">
        <v>250</v>
      </c>
      <c r="C239" t="s">
        <v>37</v>
      </c>
      <c r="E239" t="s">
        <v>37</v>
      </c>
      <c r="G239" t="s">
        <v>37</v>
      </c>
      <c r="I239" t="s">
        <v>37</v>
      </c>
      <c r="K239" s="48" t="s">
        <v>37</v>
      </c>
      <c r="L239" s="50"/>
      <c r="M239" s="48" t="s">
        <v>37</v>
      </c>
      <c r="N239" s="50"/>
      <c r="O239" s="48" t="s">
        <v>37</v>
      </c>
      <c r="P239" s="50"/>
      <c r="Q239" s="48" t="s">
        <v>37</v>
      </c>
      <c r="R239" s="50"/>
      <c r="S239" s="48" t="s">
        <v>37</v>
      </c>
      <c r="T239">
        <v>203612</v>
      </c>
      <c r="U239" t="s">
        <v>37</v>
      </c>
      <c r="W239" t="s">
        <v>37</v>
      </c>
      <c r="Y239" t="s">
        <v>37</v>
      </c>
      <c r="AA239" t="s">
        <v>37</v>
      </c>
      <c r="AC239" t="s">
        <v>37</v>
      </c>
      <c r="AE239" t="s">
        <v>37</v>
      </c>
      <c r="AG239" t="s">
        <v>37</v>
      </c>
      <c r="AI239" t="s">
        <v>37</v>
      </c>
      <c r="AK239" t="s">
        <v>37</v>
      </c>
      <c r="AM239" t="s">
        <v>37</v>
      </c>
      <c r="AO239" t="s">
        <v>37</v>
      </c>
      <c r="AP239">
        <v>7141</v>
      </c>
      <c r="AQ239" t="s">
        <v>37</v>
      </c>
      <c r="AS239" t="s">
        <v>37</v>
      </c>
      <c r="AU239" t="s">
        <v>37</v>
      </c>
      <c r="AW239" t="s">
        <v>37</v>
      </c>
      <c r="AY239" t="s">
        <v>37</v>
      </c>
      <c r="BA239" t="s">
        <v>37</v>
      </c>
      <c r="BC239" t="s">
        <v>37</v>
      </c>
      <c r="BE239" t="s">
        <v>37</v>
      </c>
      <c r="BG239" t="s">
        <v>37</v>
      </c>
      <c r="BI239" t="s">
        <v>37</v>
      </c>
      <c r="BK239" t="s">
        <v>37</v>
      </c>
      <c r="BM239" t="s">
        <v>37</v>
      </c>
      <c r="BO239" t="s">
        <v>37</v>
      </c>
      <c r="BQ239" t="s">
        <v>37</v>
      </c>
      <c r="BS239" t="s">
        <v>37</v>
      </c>
      <c r="BU239" t="s">
        <v>37</v>
      </c>
      <c r="BW239" t="s">
        <v>37</v>
      </c>
      <c r="BY239" t="s">
        <v>37</v>
      </c>
      <c r="CA239" t="s">
        <v>37</v>
      </c>
      <c r="CC239" t="s">
        <v>37</v>
      </c>
      <c r="CE239" t="s">
        <v>37</v>
      </c>
      <c r="CG239" t="s">
        <v>37</v>
      </c>
      <c r="CI239" t="s">
        <v>37</v>
      </c>
      <c r="CK239" t="s">
        <v>37</v>
      </c>
      <c r="CM239" t="s">
        <v>37</v>
      </c>
      <c r="CO239" t="s">
        <v>37</v>
      </c>
      <c r="CQ239" t="s">
        <v>37</v>
      </c>
      <c r="CS239" t="s">
        <v>37</v>
      </c>
      <c r="CU239" t="s">
        <v>37</v>
      </c>
      <c r="CW239" t="s">
        <v>37</v>
      </c>
      <c r="CY239" t="s">
        <v>37</v>
      </c>
      <c r="DA239" t="s">
        <v>37</v>
      </c>
      <c r="DC239" t="s">
        <v>37</v>
      </c>
      <c r="DE239" t="s">
        <v>37</v>
      </c>
      <c r="DG239" t="s">
        <v>37</v>
      </c>
      <c r="DI239" t="s">
        <v>37</v>
      </c>
      <c r="DK239" t="s">
        <v>37</v>
      </c>
      <c r="DM239" t="s">
        <v>37</v>
      </c>
      <c r="DO239" t="s">
        <v>37</v>
      </c>
      <c r="DQ239" t="s">
        <v>37</v>
      </c>
      <c r="DR239">
        <v>38800</v>
      </c>
      <c r="DS239" t="s">
        <v>37</v>
      </c>
      <c r="DU239" t="s">
        <v>37</v>
      </c>
      <c r="DW239" t="s">
        <v>37</v>
      </c>
      <c r="DY239" t="s">
        <v>37</v>
      </c>
      <c r="EA239" t="s">
        <v>37</v>
      </c>
      <c r="EC239" t="s">
        <v>37</v>
      </c>
      <c r="EE239" t="s">
        <v>37</v>
      </c>
      <c r="EG239" t="s">
        <v>37</v>
      </c>
      <c r="EI239" t="s">
        <v>37</v>
      </c>
      <c r="EK239" t="s">
        <v>37</v>
      </c>
      <c r="EM239" t="s">
        <v>37</v>
      </c>
      <c r="EO239" t="s">
        <v>37</v>
      </c>
      <c r="EQ239" t="s">
        <v>37</v>
      </c>
      <c r="ES239" t="s">
        <v>37</v>
      </c>
      <c r="EU239" t="s">
        <v>37</v>
      </c>
      <c r="EW239" t="s">
        <v>37</v>
      </c>
      <c r="EY239" t="s">
        <v>37</v>
      </c>
      <c r="FA239" t="s">
        <v>37</v>
      </c>
      <c r="FC239" t="s">
        <v>37</v>
      </c>
      <c r="FD239">
        <v>186909</v>
      </c>
      <c r="FE239" t="s">
        <v>37</v>
      </c>
      <c r="FG239" t="s">
        <v>37</v>
      </c>
      <c r="FI239" t="s">
        <v>37</v>
      </c>
      <c r="FK239" t="s">
        <v>37</v>
      </c>
      <c r="FM239" t="s">
        <v>37</v>
      </c>
      <c r="FO239" t="s">
        <v>37</v>
      </c>
      <c r="FQ239" t="s">
        <v>37</v>
      </c>
      <c r="FR239">
        <v>60000</v>
      </c>
      <c r="FS239" t="s">
        <v>37</v>
      </c>
      <c r="FU239" t="s">
        <v>37</v>
      </c>
      <c r="FW239" t="s">
        <v>37</v>
      </c>
      <c r="FX239">
        <v>52413</v>
      </c>
      <c r="FY239" t="s">
        <v>37</v>
      </c>
      <c r="GA239" t="s">
        <v>37</v>
      </c>
      <c r="GC239" t="s">
        <v>37</v>
      </c>
      <c r="GE239" t="s">
        <v>37</v>
      </c>
      <c r="GG239" t="s">
        <v>37</v>
      </c>
      <c r="GI239" t="s">
        <v>37</v>
      </c>
      <c r="GK239" t="s">
        <v>37</v>
      </c>
      <c r="GM239" t="s">
        <v>37</v>
      </c>
      <c r="GO239" t="s">
        <v>37</v>
      </c>
      <c r="GQ239" t="s">
        <v>37</v>
      </c>
      <c r="GS239" t="s">
        <v>37</v>
      </c>
      <c r="GU239" t="s">
        <v>37</v>
      </c>
      <c r="GW239" t="s">
        <v>37</v>
      </c>
      <c r="GX239">
        <v>19374</v>
      </c>
      <c r="GY239" t="s">
        <v>37</v>
      </c>
      <c r="HA239" t="s">
        <v>37</v>
      </c>
      <c r="HC239" t="s">
        <v>37</v>
      </c>
      <c r="HE239" t="s">
        <v>37</v>
      </c>
      <c r="HF239">
        <v>568249</v>
      </c>
      <c r="HG239" t="s">
        <v>37</v>
      </c>
      <c r="HI239" t="s">
        <v>37</v>
      </c>
      <c r="HJ239">
        <v>568249</v>
      </c>
      <c r="HK239" t="s">
        <v>37</v>
      </c>
    </row>
    <row r="240" spans="1:219">
      <c r="A240">
        <v>4331</v>
      </c>
      <c r="B240" t="s">
        <v>251</v>
      </c>
      <c r="C240" t="s">
        <v>37</v>
      </c>
      <c r="D240">
        <v>8257</v>
      </c>
      <c r="E240" t="s">
        <v>37</v>
      </c>
      <c r="F240">
        <v>136857</v>
      </c>
      <c r="G240" t="s">
        <v>37</v>
      </c>
      <c r="H240">
        <v>11018</v>
      </c>
      <c r="I240" t="s">
        <v>37</v>
      </c>
      <c r="K240" s="48" t="s">
        <v>37</v>
      </c>
      <c r="L240" s="51">
        <v>8127</v>
      </c>
      <c r="M240" s="48" t="s">
        <v>37</v>
      </c>
      <c r="N240" s="51">
        <v>5710</v>
      </c>
      <c r="O240" s="48" t="s">
        <v>37</v>
      </c>
      <c r="P240" s="51">
        <v>12077</v>
      </c>
      <c r="Q240" s="48" t="s">
        <v>37</v>
      </c>
      <c r="R240" s="51">
        <v>5979</v>
      </c>
      <c r="S240" s="48" t="s">
        <v>37</v>
      </c>
      <c r="T240">
        <v>27024</v>
      </c>
      <c r="U240" t="s">
        <v>37</v>
      </c>
      <c r="W240" t="s">
        <v>37</v>
      </c>
      <c r="Y240" t="s">
        <v>37</v>
      </c>
      <c r="Z240">
        <v>5559</v>
      </c>
      <c r="AA240" t="s">
        <v>37</v>
      </c>
      <c r="AC240" t="s">
        <v>37</v>
      </c>
      <c r="AD240">
        <v>5111</v>
      </c>
      <c r="AE240" t="s">
        <v>37</v>
      </c>
      <c r="AF240">
        <v>157896</v>
      </c>
      <c r="AG240" t="s">
        <v>37</v>
      </c>
      <c r="AH240">
        <v>16403</v>
      </c>
      <c r="AI240" t="s">
        <v>37</v>
      </c>
      <c r="AK240" t="s">
        <v>37</v>
      </c>
      <c r="AL240">
        <v>59696</v>
      </c>
      <c r="AM240" t="s">
        <v>37</v>
      </c>
      <c r="AO240" t="s">
        <v>37</v>
      </c>
      <c r="AP240">
        <v>51295</v>
      </c>
      <c r="AQ240" t="s">
        <v>37</v>
      </c>
      <c r="AR240">
        <v>6320</v>
      </c>
      <c r="AS240" t="s">
        <v>37</v>
      </c>
      <c r="AT240">
        <v>141130</v>
      </c>
      <c r="AU240" t="s">
        <v>37</v>
      </c>
      <c r="AV240">
        <v>22132</v>
      </c>
      <c r="AW240" t="s">
        <v>37</v>
      </c>
      <c r="AX240">
        <v>28952</v>
      </c>
      <c r="AY240" t="s">
        <v>37</v>
      </c>
      <c r="AZ240">
        <v>233701</v>
      </c>
      <c r="BA240" t="s">
        <v>37</v>
      </c>
      <c r="BB240">
        <v>22457</v>
      </c>
      <c r="BC240" t="s">
        <v>37</v>
      </c>
      <c r="BD240">
        <v>12421</v>
      </c>
      <c r="BE240" t="s">
        <v>37</v>
      </c>
      <c r="BF240">
        <v>1780</v>
      </c>
      <c r="BG240" t="s">
        <v>37</v>
      </c>
      <c r="BI240" t="s">
        <v>37</v>
      </c>
      <c r="BJ240">
        <v>27208</v>
      </c>
      <c r="BK240" t="s">
        <v>37</v>
      </c>
      <c r="BL240">
        <v>40106</v>
      </c>
      <c r="BM240" t="s">
        <v>37</v>
      </c>
      <c r="BO240" t="s">
        <v>37</v>
      </c>
      <c r="BP240">
        <v>131243</v>
      </c>
      <c r="BQ240" t="s">
        <v>37</v>
      </c>
      <c r="BR240">
        <v>15377</v>
      </c>
      <c r="BS240" t="s">
        <v>37</v>
      </c>
      <c r="BT240">
        <v>5008</v>
      </c>
      <c r="BU240" t="s">
        <v>37</v>
      </c>
      <c r="BW240" t="s">
        <v>37</v>
      </c>
      <c r="BX240">
        <v>29867</v>
      </c>
      <c r="BY240" t="s">
        <v>37</v>
      </c>
      <c r="BZ240">
        <v>10456</v>
      </c>
      <c r="CA240" t="s">
        <v>37</v>
      </c>
      <c r="CC240" t="s">
        <v>37</v>
      </c>
      <c r="CD240">
        <v>4487</v>
      </c>
      <c r="CE240" t="s">
        <v>37</v>
      </c>
      <c r="CF240">
        <v>10605</v>
      </c>
      <c r="CG240" t="s">
        <v>37</v>
      </c>
      <c r="CH240">
        <v>25037</v>
      </c>
      <c r="CI240" t="s">
        <v>37</v>
      </c>
      <c r="CJ240">
        <v>3072</v>
      </c>
      <c r="CK240" t="s">
        <v>37</v>
      </c>
      <c r="CL240">
        <v>68914</v>
      </c>
      <c r="CM240" t="s">
        <v>37</v>
      </c>
      <c r="CN240">
        <v>3249</v>
      </c>
      <c r="CO240" t="s">
        <v>37</v>
      </c>
      <c r="CP240">
        <v>3072</v>
      </c>
      <c r="CQ240" t="s">
        <v>37</v>
      </c>
      <c r="CR240">
        <v>37308</v>
      </c>
      <c r="CS240" t="s">
        <v>37</v>
      </c>
      <c r="CT240">
        <v>182657</v>
      </c>
      <c r="CU240" t="s">
        <v>37</v>
      </c>
      <c r="CV240">
        <v>93073</v>
      </c>
      <c r="CW240" t="s">
        <v>37</v>
      </c>
      <c r="CX240">
        <v>2613</v>
      </c>
      <c r="CY240" t="s">
        <v>37</v>
      </c>
      <c r="CZ240">
        <v>3730</v>
      </c>
      <c r="DA240" t="s">
        <v>37</v>
      </c>
      <c r="DC240" t="s">
        <v>37</v>
      </c>
      <c r="DD240">
        <v>6109</v>
      </c>
      <c r="DE240" t="s">
        <v>37</v>
      </c>
      <c r="DF240">
        <v>19758</v>
      </c>
      <c r="DG240" t="s">
        <v>37</v>
      </c>
      <c r="DH240">
        <v>88785</v>
      </c>
      <c r="DI240" t="s">
        <v>37</v>
      </c>
      <c r="DJ240">
        <v>29375</v>
      </c>
      <c r="DK240" t="s">
        <v>37</v>
      </c>
      <c r="DL240">
        <v>18822</v>
      </c>
      <c r="DM240" t="s">
        <v>37</v>
      </c>
      <c r="DN240">
        <v>25899</v>
      </c>
      <c r="DO240" t="s">
        <v>37</v>
      </c>
      <c r="DP240">
        <v>18072</v>
      </c>
      <c r="DQ240" t="s">
        <v>37</v>
      </c>
      <c r="DR240">
        <v>16717</v>
      </c>
      <c r="DS240" t="s">
        <v>37</v>
      </c>
      <c r="DT240">
        <v>60130</v>
      </c>
      <c r="DU240" t="s">
        <v>37</v>
      </c>
      <c r="DV240">
        <v>24190</v>
      </c>
      <c r="DW240" t="s">
        <v>37</v>
      </c>
      <c r="DX240">
        <v>13682</v>
      </c>
      <c r="DY240" t="s">
        <v>37</v>
      </c>
      <c r="DZ240">
        <v>5797</v>
      </c>
      <c r="EA240" t="s">
        <v>37</v>
      </c>
      <c r="EB240">
        <v>139947</v>
      </c>
      <c r="EC240" t="s">
        <v>37</v>
      </c>
      <c r="ED240">
        <v>4150</v>
      </c>
      <c r="EE240" t="s">
        <v>37</v>
      </c>
      <c r="EF240">
        <v>3949</v>
      </c>
      <c r="EG240" t="s">
        <v>37</v>
      </c>
      <c r="EI240" t="s">
        <v>37</v>
      </c>
      <c r="EJ240">
        <v>12198</v>
      </c>
      <c r="EK240" t="s">
        <v>37</v>
      </c>
      <c r="EL240">
        <v>7135</v>
      </c>
      <c r="EM240" t="s">
        <v>37</v>
      </c>
      <c r="EN240">
        <v>135125</v>
      </c>
      <c r="EO240" t="s">
        <v>37</v>
      </c>
      <c r="EQ240" t="s">
        <v>37</v>
      </c>
      <c r="ER240">
        <v>18200</v>
      </c>
      <c r="ES240" t="s">
        <v>37</v>
      </c>
      <c r="ET240">
        <v>17745</v>
      </c>
      <c r="EU240" t="s">
        <v>37</v>
      </c>
      <c r="EV240">
        <v>58020</v>
      </c>
      <c r="EW240" t="s">
        <v>37</v>
      </c>
      <c r="EY240" t="s">
        <v>37</v>
      </c>
      <c r="EZ240">
        <v>7277</v>
      </c>
      <c r="FA240" t="s">
        <v>37</v>
      </c>
      <c r="FB240">
        <v>11083</v>
      </c>
      <c r="FC240" t="s">
        <v>37</v>
      </c>
      <c r="FD240">
        <v>19973</v>
      </c>
      <c r="FE240" t="s">
        <v>37</v>
      </c>
      <c r="FG240" t="s">
        <v>37</v>
      </c>
      <c r="FH240">
        <v>28839</v>
      </c>
      <c r="FI240" t="s">
        <v>37</v>
      </c>
      <c r="FJ240">
        <v>275124</v>
      </c>
      <c r="FK240" t="s">
        <v>37</v>
      </c>
      <c r="FL240">
        <v>14680</v>
      </c>
      <c r="FM240" t="s">
        <v>37</v>
      </c>
      <c r="FN240">
        <v>5366</v>
      </c>
      <c r="FO240" t="s">
        <v>37</v>
      </c>
      <c r="FP240">
        <v>2877</v>
      </c>
      <c r="FQ240" t="s">
        <v>37</v>
      </c>
      <c r="FS240" t="s">
        <v>37</v>
      </c>
      <c r="FT240">
        <v>4500</v>
      </c>
      <c r="FU240" t="s">
        <v>37</v>
      </c>
      <c r="FV240">
        <v>3768</v>
      </c>
      <c r="FW240" t="s">
        <v>37</v>
      </c>
      <c r="FX240">
        <v>13500</v>
      </c>
      <c r="FY240" t="s">
        <v>37</v>
      </c>
      <c r="FZ240">
        <v>12043</v>
      </c>
      <c r="GA240" t="s">
        <v>37</v>
      </c>
      <c r="GB240">
        <v>15827</v>
      </c>
      <c r="GC240" t="s">
        <v>37</v>
      </c>
      <c r="GE240" t="s">
        <v>37</v>
      </c>
      <c r="GG240" t="s">
        <v>37</v>
      </c>
      <c r="GI240" t="s">
        <v>37</v>
      </c>
      <c r="GJ240">
        <v>34754</v>
      </c>
      <c r="GK240" t="s">
        <v>37</v>
      </c>
      <c r="GL240">
        <v>6308</v>
      </c>
      <c r="GM240" t="s">
        <v>37</v>
      </c>
      <c r="GO240" t="s">
        <v>37</v>
      </c>
      <c r="GP240">
        <v>19214</v>
      </c>
      <c r="GQ240" t="s">
        <v>37</v>
      </c>
      <c r="GR240">
        <v>27545</v>
      </c>
      <c r="GS240" t="s">
        <v>37</v>
      </c>
      <c r="GT240">
        <v>26438</v>
      </c>
      <c r="GU240" t="s">
        <v>37</v>
      </c>
      <c r="GV240">
        <v>4990</v>
      </c>
      <c r="GW240" t="s">
        <v>37</v>
      </c>
      <c r="GX240">
        <v>33830</v>
      </c>
      <c r="GY240" t="s">
        <v>37</v>
      </c>
      <c r="GZ240">
        <v>13935</v>
      </c>
      <c r="HA240" t="s">
        <v>37</v>
      </c>
      <c r="HC240" t="s">
        <v>37</v>
      </c>
      <c r="HE240" t="s">
        <v>37</v>
      </c>
      <c r="HF240">
        <v>2982660</v>
      </c>
      <c r="HG240" t="s">
        <v>37</v>
      </c>
      <c r="HI240" t="s">
        <v>37</v>
      </c>
      <c r="HJ240">
        <v>2982660</v>
      </c>
      <c r="HK240" t="s">
        <v>37</v>
      </c>
    </row>
    <row r="241" spans="1:219">
      <c r="A241">
        <v>4340</v>
      </c>
      <c r="B241" t="s">
        <v>252</v>
      </c>
      <c r="C241" t="s">
        <v>37</v>
      </c>
      <c r="D241">
        <v>7411</v>
      </c>
      <c r="E241" t="s">
        <v>37</v>
      </c>
      <c r="F241">
        <v>41994</v>
      </c>
      <c r="G241" t="s">
        <v>37</v>
      </c>
      <c r="H241">
        <v>3935</v>
      </c>
      <c r="I241" t="s">
        <v>37</v>
      </c>
      <c r="K241" s="48" t="s">
        <v>37</v>
      </c>
      <c r="L241" s="51">
        <v>11509</v>
      </c>
      <c r="M241" s="48" t="s">
        <v>37</v>
      </c>
      <c r="N241" s="51">
        <v>4158</v>
      </c>
      <c r="O241" s="48" t="s">
        <v>37</v>
      </c>
      <c r="P241" s="51">
        <v>2962</v>
      </c>
      <c r="Q241" s="48" t="s">
        <v>37</v>
      </c>
      <c r="R241" s="51">
        <v>3864</v>
      </c>
      <c r="S241" s="48" t="s">
        <v>37</v>
      </c>
      <c r="T241">
        <v>31833</v>
      </c>
      <c r="U241" t="s">
        <v>37</v>
      </c>
      <c r="W241" t="s">
        <v>37</v>
      </c>
      <c r="Y241" t="s">
        <v>37</v>
      </c>
      <c r="Z241">
        <v>4774</v>
      </c>
      <c r="AA241" t="s">
        <v>37</v>
      </c>
      <c r="AB241">
        <v>3926</v>
      </c>
      <c r="AC241" t="s">
        <v>37</v>
      </c>
      <c r="AD241">
        <v>2329</v>
      </c>
      <c r="AE241" t="s">
        <v>37</v>
      </c>
      <c r="AF241">
        <v>1142</v>
      </c>
      <c r="AG241" t="s">
        <v>37</v>
      </c>
      <c r="AH241">
        <v>2959</v>
      </c>
      <c r="AI241" t="s">
        <v>37</v>
      </c>
      <c r="AK241" t="s">
        <v>37</v>
      </c>
      <c r="AL241">
        <v>56164</v>
      </c>
      <c r="AM241" t="s">
        <v>37</v>
      </c>
      <c r="AO241" t="s">
        <v>37</v>
      </c>
      <c r="AP241">
        <v>4973</v>
      </c>
      <c r="AQ241" t="s">
        <v>37</v>
      </c>
      <c r="AR241">
        <v>3805</v>
      </c>
      <c r="AS241" t="s">
        <v>37</v>
      </c>
      <c r="AT241">
        <v>70089</v>
      </c>
      <c r="AU241" t="s">
        <v>37</v>
      </c>
      <c r="AV241">
        <v>17569</v>
      </c>
      <c r="AW241" t="s">
        <v>37</v>
      </c>
      <c r="AX241">
        <v>12513</v>
      </c>
      <c r="AY241" t="s">
        <v>37</v>
      </c>
      <c r="AZ241">
        <v>16792</v>
      </c>
      <c r="BA241" t="s">
        <v>37</v>
      </c>
      <c r="BB241">
        <v>7233</v>
      </c>
      <c r="BC241" t="s">
        <v>37</v>
      </c>
      <c r="BD241">
        <v>9281</v>
      </c>
      <c r="BE241" t="s">
        <v>37</v>
      </c>
      <c r="BF241">
        <v>3113</v>
      </c>
      <c r="BG241" t="s">
        <v>37</v>
      </c>
      <c r="BI241" t="s">
        <v>37</v>
      </c>
      <c r="BJ241">
        <v>21664</v>
      </c>
      <c r="BK241" t="s">
        <v>37</v>
      </c>
      <c r="BL241">
        <v>24560</v>
      </c>
      <c r="BM241" t="s">
        <v>37</v>
      </c>
      <c r="BO241" t="s">
        <v>37</v>
      </c>
      <c r="BP241">
        <v>4931</v>
      </c>
      <c r="BQ241" t="s">
        <v>37</v>
      </c>
      <c r="BR241">
        <v>5647</v>
      </c>
      <c r="BS241" t="s">
        <v>37</v>
      </c>
      <c r="BT241">
        <v>2715</v>
      </c>
      <c r="BU241" t="s">
        <v>37</v>
      </c>
      <c r="BW241" t="s">
        <v>37</v>
      </c>
      <c r="BX241">
        <v>26620</v>
      </c>
      <c r="BY241" t="s">
        <v>37</v>
      </c>
      <c r="BZ241">
        <v>6231</v>
      </c>
      <c r="CA241" t="s">
        <v>37</v>
      </c>
      <c r="CC241" t="s">
        <v>37</v>
      </c>
      <c r="CD241">
        <v>1751</v>
      </c>
      <c r="CE241" t="s">
        <v>37</v>
      </c>
      <c r="CG241" t="s">
        <v>37</v>
      </c>
      <c r="CH241">
        <v>26327</v>
      </c>
      <c r="CI241" t="s">
        <v>37</v>
      </c>
      <c r="CJ241">
        <v>2012</v>
      </c>
      <c r="CK241" t="s">
        <v>37</v>
      </c>
      <c r="CL241">
        <v>30042</v>
      </c>
      <c r="CM241" t="s">
        <v>37</v>
      </c>
      <c r="CN241">
        <v>2817</v>
      </c>
      <c r="CO241" t="s">
        <v>37</v>
      </c>
      <c r="CP241">
        <v>1640</v>
      </c>
      <c r="CQ241" t="s">
        <v>37</v>
      </c>
      <c r="CR241">
        <v>20490</v>
      </c>
      <c r="CS241" t="s">
        <v>37</v>
      </c>
      <c r="CT241">
        <v>139554</v>
      </c>
      <c r="CU241" t="s">
        <v>37</v>
      </c>
      <c r="CV241">
        <v>30712</v>
      </c>
      <c r="CW241" t="s">
        <v>37</v>
      </c>
      <c r="CX241">
        <v>1940</v>
      </c>
      <c r="CY241" t="s">
        <v>37</v>
      </c>
      <c r="CZ241">
        <v>1843</v>
      </c>
      <c r="DA241" t="s">
        <v>37</v>
      </c>
      <c r="DC241" t="s">
        <v>37</v>
      </c>
      <c r="DD241">
        <v>3008</v>
      </c>
      <c r="DE241" t="s">
        <v>37</v>
      </c>
      <c r="DF241">
        <v>29050</v>
      </c>
      <c r="DG241" t="s">
        <v>37</v>
      </c>
      <c r="DH241">
        <v>66118</v>
      </c>
      <c r="DI241" t="s">
        <v>37</v>
      </c>
      <c r="DJ241">
        <v>6063</v>
      </c>
      <c r="DK241" t="s">
        <v>37</v>
      </c>
      <c r="DL241">
        <v>28157</v>
      </c>
      <c r="DM241" t="s">
        <v>37</v>
      </c>
      <c r="DN241">
        <v>17109</v>
      </c>
      <c r="DO241" t="s">
        <v>37</v>
      </c>
      <c r="DP241">
        <v>11614</v>
      </c>
      <c r="DQ241" t="s">
        <v>37</v>
      </c>
      <c r="DR241">
        <v>7244</v>
      </c>
      <c r="DS241" t="s">
        <v>37</v>
      </c>
      <c r="DT241">
        <v>7026</v>
      </c>
      <c r="DU241" t="s">
        <v>37</v>
      </c>
      <c r="DV241">
        <v>26082</v>
      </c>
      <c r="DW241" t="s">
        <v>37</v>
      </c>
      <c r="DX241">
        <v>15682</v>
      </c>
      <c r="DY241" t="s">
        <v>37</v>
      </c>
      <c r="DZ241">
        <v>3552</v>
      </c>
      <c r="EA241" t="s">
        <v>37</v>
      </c>
      <c r="EB241">
        <v>8290</v>
      </c>
      <c r="EC241" t="s">
        <v>37</v>
      </c>
      <c r="ED241">
        <v>18870</v>
      </c>
      <c r="EE241" t="s">
        <v>37</v>
      </c>
      <c r="EF241">
        <v>2969</v>
      </c>
      <c r="EG241" t="s">
        <v>37</v>
      </c>
      <c r="EI241" t="s">
        <v>37</v>
      </c>
      <c r="EJ241">
        <v>6372</v>
      </c>
      <c r="EK241" t="s">
        <v>37</v>
      </c>
      <c r="EL241">
        <v>6254</v>
      </c>
      <c r="EM241" t="s">
        <v>37</v>
      </c>
      <c r="EN241">
        <v>2629</v>
      </c>
      <c r="EO241" t="s">
        <v>37</v>
      </c>
      <c r="EQ241" t="s">
        <v>37</v>
      </c>
      <c r="ER241">
        <v>28293</v>
      </c>
      <c r="ES241" t="s">
        <v>37</v>
      </c>
      <c r="ET241">
        <v>11761</v>
      </c>
      <c r="EU241" t="s">
        <v>37</v>
      </c>
      <c r="EV241">
        <v>19636</v>
      </c>
      <c r="EW241" t="s">
        <v>37</v>
      </c>
      <c r="EY241" t="s">
        <v>37</v>
      </c>
      <c r="EZ241">
        <v>10320</v>
      </c>
      <c r="FA241" t="s">
        <v>37</v>
      </c>
      <c r="FB241">
        <v>9572</v>
      </c>
      <c r="FC241" t="s">
        <v>37</v>
      </c>
      <c r="FD241">
        <v>13154</v>
      </c>
      <c r="FE241" t="s">
        <v>37</v>
      </c>
      <c r="FG241" t="s">
        <v>37</v>
      </c>
      <c r="FH241">
        <v>28420</v>
      </c>
      <c r="FI241" t="s">
        <v>37</v>
      </c>
      <c r="FJ241">
        <v>20016</v>
      </c>
      <c r="FK241" t="s">
        <v>37</v>
      </c>
      <c r="FL241">
        <v>58310</v>
      </c>
      <c r="FM241" t="s">
        <v>37</v>
      </c>
      <c r="FN241">
        <v>4207</v>
      </c>
      <c r="FO241" t="s">
        <v>37</v>
      </c>
      <c r="FP241">
        <v>6464</v>
      </c>
      <c r="FQ241" t="s">
        <v>37</v>
      </c>
      <c r="FR241">
        <v>9769</v>
      </c>
      <c r="FS241" t="s">
        <v>37</v>
      </c>
      <c r="FU241" t="s">
        <v>37</v>
      </c>
      <c r="FV241">
        <v>3224</v>
      </c>
      <c r="FW241" t="s">
        <v>37</v>
      </c>
      <c r="FX241">
        <v>7996</v>
      </c>
      <c r="FY241" t="s">
        <v>37</v>
      </c>
      <c r="FZ241">
        <v>13436</v>
      </c>
      <c r="GA241" t="s">
        <v>37</v>
      </c>
      <c r="GB241">
        <v>18458</v>
      </c>
      <c r="GC241" t="s">
        <v>37</v>
      </c>
      <c r="GE241" t="s">
        <v>37</v>
      </c>
      <c r="GG241" t="s">
        <v>37</v>
      </c>
      <c r="GI241" t="s">
        <v>37</v>
      </c>
      <c r="GJ241">
        <v>37014</v>
      </c>
      <c r="GK241" t="s">
        <v>37</v>
      </c>
      <c r="GL241">
        <v>16825</v>
      </c>
      <c r="GM241" t="s">
        <v>37</v>
      </c>
      <c r="GO241" t="s">
        <v>37</v>
      </c>
      <c r="GP241">
        <v>8605</v>
      </c>
      <c r="GQ241" t="s">
        <v>37</v>
      </c>
      <c r="GR241">
        <v>14872</v>
      </c>
      <c r="GS241" t="s">
        <v>37</v>
      </c>
      <c r="GT241">
        <v>11531</v>
      </c>
      <c r="GU241" t="s">
        <v>37</v>
      </c>
      <c r="GV241">
        <v>6262</v>
      </c>
      <c r="GW241" t="s">
        <v>37</v>
      </c>
      <c r="GX241">
        <v>26221</v>
      </c>
      <c r="GY241" t="s">
        <v>37</v>
      </c>
      <c r="GZ241">
        <v>9638</v>
      </c>
      <c r="HA241" t="s">
        <v>37</v>
      </c>
      <c r="HB241">
        <v>4896</v>
      </c>
      <c r="HC241" t="s">
        <v>37</v>
      </c>
      <c r="HD241">
        <v>1694</v>
      </c>
      <c r="HE241" t="s">
        <v>37</v>
      </c>
      <c r="HF241">
        <v>1335917</v>
      </c>
      <c r="HG241" t="s">
        <v>37</v>
      </c>
      <c r="HH241">
        <v>6590</v>
      </c>
      <c r="HI241" t="s">
        <v>37</v>
      </c>
      <c r="HJ241">
        <v>1342507</v>
      </c>
      <c r="HK241" t="s">
        <v>37</v>
      </c>
    </row>
    <row r="242" spans="1:219">
      <c r="A242">
        <v>4341</v>
      </c>
      <c r="B242" t="s">
        <v>253</v>
      </c>
      <c r="C242" t="s">
        <v>37</v>
      </c>
      <c r="D242">
        <v>7626</v>
      </c>
      <c r="E242" t="s">
        <v>37</v>
      </c>
      <c r="F242">
        <v>59599</v>
      </c>
      <c r="G242" t="s">
        <v>37</v>
      </c>
      <c r="H242">
        <v>15839</v>
      </c>
      <c r="I242" t="s">
        <v>37</v>
      </c>
      <c r="K242" s="48" t="s">
        <v>37</v>
      </c>
      <c r="L242" s="51">
        <v>22530</v>
      </c>
      <c r="M242" s="48" t="s">
        <v>37</v>
      </c>
      <c r="N242" s="51">
        <v>2664</v>
      </c>
      <c r="O242" s="48" t="s">
        <v>37</v>
      </c>
      <c r="P242" s="51">
        <v>1229</v>
      </c>
      <c r="Q242" s="48" t="s">
        <v>37</v>
      </c>
      <c r="R242" s="50"/>
      <c r="S242" s="48" t="s">
        <v>37</v>
      </c>
      <c r="T242">
        <v>45744</v>
      </c>
      <c r="U242" t="s">
        <v>37</v>
      </c>
      <c r="W242" t="s">
        <v>37</v>
      </c>
      <c r="Y242" t="s">
        <v>37</v>
      </c>
      <c r="AA242" t="s">
        <v>37</v>
      </c>
      <c r="AC242" t="s">
        <v>37</v>
      </c>
      <c r="AE242" t="s">
        <v>37</v>
      </c>
      <c r="AG242" t="s">
        <v>37</v>
      </c>
      <c r="AI242" t="s">
        <v>37</v>
      </c>
      <c r="AK242" t="s">
        <v>37</v>
      </c>
      <c r="AL242">
        <v>206335</v>
      </c>
      <c r="AM242" t="s">
        <v>37</v>
      </c>
      <c r="AO242" t="s">
        <v>37</v>
      </c>
      <c r="AP242">
        <v>47672</v>
      </c>
      <c r="AQ242" t="s">
        <v>37</v>
      </c>
      <c r="AS242" t="s">
        <v>37</v>
      </c>
      <c r="AT242">
        <v>147545</v>
      </c>
      <c r="AU242" t="s">
        <v>37</v>
      </c>
      <c r="AV242">
        <v>23328</v>
      </c>
      <c r="AW242" t="s">
        <v>37</v>
      </c>
      <c r="AX242">
        <v>2843</v>
      </c>
      <c r="AY242" t="s">
        <v>37</v>
      </c>
      <c r="AZ242">
        <v>14018</v>
      </c>
      <c r="BA242" t="s">
        <v>37</v>
      </c>
      <c r="BC242" t="s">
        <v>37</v>
      </c>
      <c r="BD242">
        <v>510</v>
      </c>
      <c r="BE242" t="s">
        <v>37</v>
      </c>
      <c r="BG242" t="s">
        <v>37</v>
      </c>
      <c r="BI242" t="s">
        <v>37</v>
      </c>
      <c r="BK242" t="s">
        <v>37</v>
      </c>
      <c r="BM242" t="s">
        <v>37</v>
      </c>
      <c r="BO242" t="s">
        <v>37</v>
      </c>
      <c r="BQ242" t="s">
        <v>37</v>
      </c>
      <c r="BS242" t="s">
        <v>37</v>
      </c>
      <c r="BU242" t="s">
        <v>37</v>
      </c>
      <c r="BW242" t="s">
        <v>37</v>
      </c>
      <c r="BX242">
        <v>24662</v>
      </c>
      <c r="BY242" t="s">
        <v>37</v>
      </c>
      <c r="CA242" t="s">
        <v>37</v>
      </c>
      <c r="CC242" t="s">
        <v>37</v>
      </c>
      <c r="CE242" t="s">
        <v>37</v>
      </c>
      <c r="CF242">
        <v>2354</v>
      </c>
      <c r="CG242" t="s">
        <v>37</v>
      </c>
      <c r="CH242">
        <v>26929</v>
      </c>
      <c r="CI242" t="s">
        <v>37</v>
      </c>
      <c r="CK242" t="s">
        <v>37</v>
      </c>
      <c r="CM242" t="s">
        <v>37</v>
      </c>
      <c r="CO242" t="s">
        <v>37</v>
      </c>
      <c r="CQ242" t="s">
        <v>37</v>
      </c>
      <c r="CR242">
        <v>20440</v>
      </c>
      <c r="CS242" t="s">
        <v>37</v>
      </c>
      <c r="CT242">
        <v>320156</v>
      </c>
      <c r="CU242" t="s">
        <v>37</v>
      </c>
      <c r="CV242">
        <v>62327</v>
      </c>
      <c r="CW242" t="s">
        <v>37</v>
      </c>
      <c r="CY242" t="s">
        <v>37</v>
      </c>
      <c r="DA242" t="s">
        <v>37</v>
      </c>
      <c r="DC242" t="s">
        <v>37</v>
      </c>
      <c r="DE242" t="s">
        <v>37</v>
      </c>
      <c r="DG242" t="s">
        <v>37</v>
      </c>
      <c r="DH242">
        <v>145067</v>
      </c>
      <c r="DI242" t="s">
        <v>37</v>
      </c>
      <c r="DJ242">
        <v>61561</v>
      </c>
      <c r="DK242" t="s">
        <v>37</v>
      </c>
      <c r="DL242">
        <v>21603</v>
      </c>
      <c r="DM242" t="s">
        <v>37</v>
      </c>
      <c r="DN242">
        <v>29785</v>
      </c>
      <c r="DO242" t="s">
        <v>37</v>
      </c>
      <c r="DP242">
        <v>22296</v>
      </c>
      <c r="DQ242" t="s">
        <v>37</v>
      </c>
      <c r="DS242" t="s">
        <v>37</v>
      </c>
      <c r="DU242" t="s">
        <v>37</v>
      </c>
      <c r="DV242">
        <v>34740</v>
      </c>
      <c r="DW242" t="s">
        <v>37</v>
      </c>
      <c r="DX242">
        <v>44082</v>
      </c>
      <c r="DY242" t="s">
        <v>37</v>
      </c>
      <c r="EA242" t="s">
        <v>37</v>
      </c>
      <c r="EC242" t="s">
        <v>37</v>
      </c>
      <c r="ED242">
        <v>28353</v>
      </c>
      <c r="EE242" t="s">
        <v>37</v>
      </c>
      <c r="EG242" t="s">
        <v>37</v>
      </c>
      <c r="EI242" t="s">
        <v>37</v>
      </c>
      <c r="EK242" t="s">
        <v>37</v>
      </c>
      <c r="EM242" t="s">
        <v>37</v>
      </c>
      <c r="EN242">
        <v>18020</v>
      </c>
      <c r="EO242" t="s">
        <v>37</v>
      </c>
      <c r="EQ242" t="s">
        <v>37</v>
      </c>
      <c r="ES242" t="s">
        <v>37</v>
      </c>
      <c r="ET242">
        <v>44181</v>
      </c>
      <c r="EU242" t="s">
        <v>37</v>
      </c>
      <c r="EV242">
        <v>43724</v>
      </c>
      <c r="EW242" t="s">
        <v>37</v>
      </c>
      <c r="EY242" t="s">
        <v>37</v>
      </c>
      <c r="FA242" t="s">
        <v>37</v>
      </c>
      <c r="FC242" t="s">
        <v>37</v>
      </c>
      <c r="FD242">
        <v>20215</v>
      </c>
      <c r="FE242" t="s">
        <v>37</v>
      </c>
      <c r="FG242" t="s">
        <v>37</v>
      </c>
      <c r="FH242">
        <v>46354</v>
      </c>
      <c r="FI242" t="s">
        <v>37</v>
      </c>
      <c r="FJ242">
        <v>30152</v>
      </c>
      <c r="FK242" t="s">
        <v>37</v>
      </c>
      <c r="FL242">
        <v>98823</v>
      </c>
      <c r="FM242" t="s">
        <v>37</v>
      </c>
      <c r="FN242">
        <v>20740</v>
      </c>
      <c r="FO242" t="s">
        <v>37</v>
      </c>
      <c r="FP242">
        <v>27350</v>
      </c>
      <c r="FQ242" t="s">
        <v>37</v>
      </c>
      <c r="FR242">
        <v>77751</v>
      </c>
      <c r="FS242" t="s">
        <v>37</v>
      </c>
      <c r="FT242">
        <v>7881</v>
      </c>
      <c r="FU242" t="s">
        <v>37</v>
      </c>
      <c r="FW242" t="s">
        <v>37</v>
      </c>
      <c r="FX242">
        <v>21921</v>
      </c>
      <c r="FY242" t="s">
        <v>37</v>
      </c>
      <c r="FZ242">
        <v>60270</v>
      </c>
      <c r="GA242" t="s">
        <v>37</v>
      </c>
      <c r="GB242">
        <v>41366</v>
      </c>
      <c r="GC242" t="s">
        <v>37</v>
      </c>
      <c r="GE242" t="s">
        <v>37</v>
      </c>
      <c r="GG242" t="s">
        <v>37</v>
      </c>
      <c r="GI242" t="s">
        <v>37</v>
      </c>
      <c r="GJ242">
        <v>25006</v>
      </c>
      <c r="GK242" t="s">
        <v>37</v>
      </c>
      <c r="GM242" t="s">
        <v>37</v>
      </c>
      <c r="GO242" t="s">
        <v>37</v>
      </c>
      <c r="GQ242" t="s">
        <v>37</v>
      </c>
      <c r="GS242" t="s">
        <v>37</v>
      </c>
      <c r="GT242">
        <v>12561</v>
      </c>
      <c r="GU242" t="s">
        <v>37</v>
      </c>
      <c r="GV242">
        <v>12731</v>
      </c>
      <c r="GW242" t="s">
        <v>37</v>
      </c>
      <c r="GX242">
        <v>78459</v>
      </c>
      <c r="GY242" t="s">
        <v>37</v>
      </c>
      <c r="GZ242">
        <v>6961</v>
      </c>
      <c r="HA242" t="s">
        <v>37</v>
      </c>
      <c r="HC242" t="s">
        <v>37</v>
      </c>
      <c r="HE242" t="s">
        <v>37</v>
      </c>
      <c r="HF242">
        <v>2136303</v>
      </c>
      <c r="HG242" t="s">
        <v>37</v>
      </c>
      <c r="HI242" t="s">
        <v>37</v>
      </c>
      <c r="HJ242">
        <v>2136303</v>
      </c>
      <c r="HK242" t="s">
        <v>37</v>
      </c>
    </row>
    <row r="243" spans="1:219">
      <c r="A243">
        <v>4342</v>
      </c>
      <c r="B243" t="s">
        <v>254</v>
      </c>
      <c r="C243" t="s">
        <v>37</v>
      </c>
      <c r="E243" t="s">
        <v>37</v>
      </c>
      <c r="G243" t="s">
        <v>37</v>
      </c>
      <c r="I243" t="s">
        <v>37</v>
      </c>
      <c r="K243" s="48" t="s">
        <v>37</v>
      </c>
      <c r="L243" s="50"/>
      <c r="M243" s="48" t="s">
        <v>37</v>
      </c>
      <c r="N243" s="50"/>
      <c r="O243" s="48" t="s">
        <v>37</v>
      </c>
      <c r="P243" s="50"/>
      <c r="Q243" s="48" t="s">
        <v>37</v>
      </c>
      <c r="R243" s="50"/>
      <c r="S243" s="48" t="s">
        <v>37</v>
      </c>
      <c r="U243" t="s">
        <v>37</v>
      </c>
      <c r="W243" t="s">
        <v>37</v>
      </c>
      <c r="Y243" t="s">
        <v>37</v>
      </c>
      <c r="AA243" t="s">
        <v>37</v>
      </c>
      <c r="AC243" t="s">
        <v>37</v>
      </c>
      <c r="AE243" t="s">
        <v>37</v>
      </c>
      <c r="AG243" t="s">
        <v>37</v>
      </c>
      <c r="AI243" t="s">
        <v>37</v>
      </c>
      <c r="AK243" t="s">
        <v>37</v>
      </c>
      <c r="AM243" t="s">
        <v>37</v>
      </c>
      <c r="AO243" t="s">
        <v>37</v>
      </c>
      <c r="AQ243" t="s">
        <v>37</v>
      </c>
      <c r="AS243" t="s">
        <v>37</v>
      </c>
      <c r="AU243" t="s">
        <v>37</v>
      </c>
      <c r="AW243" t="s">
        <v>37</v>
      </c>
      <c r="AY243" t="s">
        <v>37</v>
      </c>
      <c r="BA243" t="s">
        <v>37</v>
      </c>
      <c r="BC243" t="s">
        <v>37</v>
      </c>
      <c r="BE243" t="s">
        <v>37</v>
      </c>
      <c r="BG243" t="s">
        <v>37</v>
      </c>
      <c r="BI243" t="s">
        <v>37</v>
      </c>
      <c r="BK243" t="s">
        <v>37</v>
      </c>
      <c r="BL243">
        <v>34523</v>
      </c>
      <c r="BM243" t="s">
        <v>37</v>
      </c>
      <c r="BO243" t="s">
        <v>37</v>
      </c>
      <c r="BQ243" t="s">
        <v>37</v>
      </c>
      <c r="BS243" t="s">
        <v>37</v>
      </c>
      <c r="BU243" t="s">
        <v>37</v>
      </c>
      <c r="BW243" t="s">
        <v>37</v>
      </c>
      <c r="BY243" t="s">
        <v>37</v>
      </c>
      <c r="CA243" t="s">
        <v>37</v>
      </c>
      <c r="CC243" t="s">
        <v>37</v>
      </c>
      <c r="CE243" t="s">
        <v>37</v>
      </c>
      <c r="CG243" t="s">
        <v>37</v>
      </c>
      <c r="CI243" t="s">
        <v>37</v>
      </c>
      <c r="CK243" t="s">
        <v>37</v>
      </c>
      <c r="CL243">
        <v>346829</v>
      </c>
      <c r="CM243" t="s">
        <v>37</v>
      </c>
      <c r="CO243" t="s">
        <v>37</v>
      </c>
      <c r="CQ243" t="s">
        <v>37</v>
      </c>
      <c r="CR243">
        <v>132948</v>
      </c>
      <c r="CS243" t="s">
        <v>37</v>
      </c>
      <c r="CU243" t="s">
        <v>37</v>
      </c>
      <c r="CW243" t="s">
        <v>37</v>
      </c>
      <c r="CY243" t="s">
        <v>37</v>
      </c>
      <c r="DA243" t="s">
        <v>37</v>
      </c>
      <c r="DC243" t="s">
        <v>37</v>
      </c>
      <c r="DE243" t="s">
        <v>37</v>
      </c>
      <c r="DG243" t="s">
        <v>37</v>
      </c>
      <c r="DI243" t="s">
        <v>37</v>
      </c>
      <c r="DK243" t="s">
        <v>37</v>
      </c>
      <c r="DM243" t="s">
        <v>37</v>
      </c>
      <c r="DO243" t="s">
        <v>37</v>
      </c>
      <c r="DQ243" t="s">
        <v>37</v>
      </c>
      <c r="DR243">
        <v>125372</v>
      </c>
      <c r="DS243" t="s">
        <v>37</v>
      </c>
      <c r="DU243" t="s">
        <v>37</v>
      </c>
      <c r="DW243" t="s">
        <v>37</v>
      </c>
      <c r="DY243" t="s">
        <v>37</v>
      </c>
      <c r="EA243" t="s">
        <v>37</v>
      </c>
      <c r="EC243" t="s">
        <v>37</v>
      </c>
      <c r="EE243" t="s">
        <v>37</v>
      </c>
      <c r="EG243" t="s">
        <v>37</v>
      </c>
      <c r="EI243" t="s">
        <v>37</v>
      </c>
      <c r="EK243" t="s">
        <v>37</v>
      </c>
      <c r="EM243" t="s">
        <v>37</v>
      </c>
      <c r="EO243" t="s">
        <v>37</v>
      </c>
      <c r="EQ243" t="s">
        <v>37</v>
      </c>
      <c r="ER243">
        <v>490213</v>
      </c>
      <c r="ES243" t="s">
        <v>37</v>
      </c>
      <c r="EU243" t="s">
        <v>37</v>
      </c>
      <c r="EW243" t="s">
        <v>37</v>
      </c>
      <c r="EY243" t="s">
        <v>37</v>
      </c>
      <c r="FA243" t="s">
        <v>37</v>
      </c>
      <c r="FC243" t="s">
        <v>37</v>
      </c>
      <c r="FE243" t="s">
        <v>37</v>
      </c>
      <c r="FG243" t="s">
        <v>37</v>
      </c>
      <c r="FI243" t="s">
        <v>37</v>
      </c>
      <c r="FK243" t="s">
        <v>37</v>
      </c>
      <c r="FM243" t="s">
        <v>37</v>
      </c>
      <c r="FO243" t="s">
        <v>37</v>
      </c>
      <c r="FQ243" t="s">
        <v>37</v>
      </c>
      <c r="FS243" t="s">
        <v>37</v>
      </c>
      <c r="FU243" t="s">
        <v>37</v>
      </c>
      <c r="FW243" t="s">
        <v>37</v>
      </c>
      <c r="FY243" t="s">
        <v>37</v>
      </c>
      <c r="GA243" t="s">
        <v>37</v>
      </c>
      <c r="GB243">
        <v>819591</v>
      </c>
      <c r="GC243" t="s">
        <v>37</v>
      </c>
      <c r="GE243" t="s">
        <v>37</v>
      </c>
      <c r="GG243" t="s">
        <v>37</v>
      </c>
      <c r="GI243" t="s">
        <v>37</v>
      </c>
      <c r="GK243" t="s">
        <v>37</v>
      </c>
      <c r="GM243" t="s">
        <v>37</v>
      </c>
      <c r="GO243" t="s">
        <v>37</v>
      </c>
      <c r="GQ243" t="s">
        <v>37</v>
      </c>
      <c r="GS243" t="s">
        <v>37</v>
      </c>
      <c r="GU243" t="s">
        <v>37</v>
      </c>
      <c r="GW243" t="s">
        <v>37</v>
      </c>
      <c r="GY243" t="s">
        <v>37</v>
      </c>
      <c r="HA243" t="s">
        <v>37</v>
      </c>
      <c r="HC243" t="s">
        <v>37</v>
      </c>
      <c r="HE243" t="s">
        <v>37</v>
      </c>
      <c r="HF243">
        <v>1949476</v>
      </c>
      <c r="HG243" t="s">
        <v>37</v>
      </c>
      <c r="HI243" t="s">
        <v>37</v>
      </c>
      <c r="HJ243">
        <v>1949476</v>
      </c>
      <c r="HK243" t="s">
        <v>37</v>
      </c>
    </row>
    <row r="244" spans="1:219">
      <c r="A244">
        <v>4351</v>
      </c>
      <c r="B244" t="s">
        <v>255</v>
      </c>
      <c r="C244" t="s">
        <v>37</v>
      </c>
      <c r="D244">
        <v>199450</v>
      </c>
      <c r="E244" t="s">
        <v>37</v>
      </c>
      <c r="F244">
        <v>1290642</v>
      </c>
      <c r="G244" t="s">
        <v>37</v>
      </c>
      <c r="H244">
        <v>169097</v>
      </c>
      <c r="I244" t="s">
        <v>37</v>
      </c>
      <c r="K244" s="48" t="s">
        <v>37</v>
      </c>
      <c r="L244" s="51">
        <v>256043</v>
      </c>
      <c r="M244" s="48" t="s">
        <v>37</v>
      </c>
      <c r="N244" s="51">
        <v>140829</v>
      </c>
      <c r="O244" s="48" t="s">
        <v>37</v>
      </c>
      <c r="P244" s="51">
        <v>104791</v>
      </c>
      <c r="Q244" s="48" t="s">
        <v>37</v>
      </c>
      <c r="R244" s="51">
        <v>121806</v>
      </c>
      <c r="S244" s="48" t="s">
        <v>37</v>
      </c>
      <c r="T244">
        <v>720966</v>
      </c>
      <c r="U244" t="s">
        <v>37</v>
      </c>
      <c r="W244" t="s">
        <v>37</v>
      </c>
      <c r="Y244" t="s">
        <v>37</v>
      </c>
      <c r="Z244">
        <v>139323</v>
      </c>
      <c r="AA244" t="s">
        <v>37</v>
      </c>
      <c r="AB244">
        <v>111936</v>
      </c>
      <c r="AC244" t="s">
        <v>37</v>
      </c>
      <c r="AD244">
        <v>84528</v>
      </c>
      <c r="AE244" t="s">
        <v>37</v>
      </c>
      <c r="AF244">
        <v>57322</v>
      </c>
      <c r="AG244" t="s">
        <v>37</v>
      </c>
      <c r="AH244">
        <v>167504</v>
      </c>
      <c r="AI244" t="s">
        <v>37</v>
      </c>
      <c r="AK244" t="s">
        <v>37</v>
      </c>
      <c r="AL244">
        <v>767725</v>
      </c>
      <c r="AM244" t="s">
        <v>37</v>
      </c>
      <c r="AO244" t="s">
        <v>37</v>
      </c>
      <c r="AP244">
        <v>1263167</v>
      </c>
      <c r="AQ244" t="s">
        <v>37</v>
      </c>
      <c r="AR244">
        <v>148900</v>
      </c>
      <c r="AS244" t="s">
        <v>37</v>
      </c>
      <c r="AT244">
        <v>2915065</v>
      </c>
      <c r="AU244" t="s">
        <v>37</v>
      </c>
      <c r="AV244">
        <v>392954</v>
      </c>
      <c r="AW244" t="s">
        <v>37</v>
      </c>
      <c r="AX244">
        <v>428214</v>
      </c>
      <c r="AY244" t="s">
        <v>37</v>
      </c>
      <c r="AZ244">
        <v>447250</v>
      </c>
      <c r="BA244" t="s">
        <v>37</v>
      </c>
      <c r="BB244">
        <v>7862</v>
      </c>
      <c r="BC244" t="s">
        <v>37</v>
      </c>
      <c r="BD244">
        <v>275376</v>
      </c>
      <c r="BE244" t="s">
        <v>37</v>
      </c>
      <c r="BF244">
        <v>76387</v>
      </c>
      <c r="BG244" t="s">
        <v>37</v>
      </c>
      <c r="BI244" t="s">
        <v>37</v>
      </c>
      <c r="BJ244">
        <v>554952</v>
      </c>
      <c r="BK244" t="s">
        <v>37</v>
      </c>
      <c r="BL244">
        <v>941982</v>
      </c>
      <c r="BM244" t="s">
        <v>37</v>
      </c>
      <c r="BO244" t="s">
        <v>37</v>
      </c>
      <c r="BP244">
        <v>63895</v>
      </c>
      <c r="BQ244" t="s">
        <v>37</v>
      </c>
      <c r="BR244">
        <v>325190</v>
      </c>
      <c r="BS244" t="s">
        <v>37</v>
      </c>
      <c r="BT244">
        <v>125402</v>
      </c>
      <c r="BU244" t="s">
        <v>37</v>
      </c>
      <c r="BW244" t="s">
        <v>37</v>
      </c>
      <c r="BX244">
        <v>544383</v>
      </c>
      <c r="BY244" t="s">
        <v>37</v>
      </c>
      <c r="BZ244">
        <v>178953</v>
      </c>
      <c r="CA244" t="s">
        <v>37</v>
      </c>
      <c r="CC244" t="s">
        <v>37</v>
      </c>
      <c r="CD244">
        <v>125717</v>
      </c>
      <c r="CE244" t="s">
        <v>37</v>
      </c>
      <c r="CF244">
        <v>272910</v>
      </c>
      <c r="CG244" t="s">
        <v>37</v>
      </c>
      <c r="CH244">
        <v>828543</v>
      </c>
      <c r="CI244" t="s">
        <v>37</v>
      </c>
      <c r="CJ244">
        <v>76551</v>
      </c>
      <c r="CK244" t="s">
        <v>37</v>
      </c>
      <c r="CL244">
        <v>396790</v>
      </c>
      <c r="CM244" t="s">
        <v>37</v>
      </c>
      <c r="CN244">
        <v>90956</v>
      </c>
      <c r="CO244" t="s">
        <v>37</v>
      </c>
      <c r="CP244">
        <v>80279</v>
      </c>
      <c r="CQ244" t="s">
        <v>37</v>
      </c>
      <c r="CR244">
        <v>665557</v>
      </c>
      <c r="CS244" t="s">
        <v>37</v>
      </c>
      <c r="CT244">
        <v>2685119</v>
      </c>
      <c r="CU244" t="s">
        <v>37</v>
      </c>
      <c r="CV244">
        <v>471677</v>
      </c>
      <c r="CW244" t="s">
        <v>37</v>
      </c>
      <c r="CX244">
        <v>44677</v>
      </c>
      <c r="CY244" t="s">
        <v>37</v>
      </c>
      <c r="CZ244">
        <v>53008</v>
      </c>
      <c r="DA244" t="s">
        <v>37</v>
      </c>
      <c r="DC244" t="s">
        <v>37</v>
      </c>
      <c r="DD244">
        <v>174958</v>
      </c>
      <c r="DE244" t="s">
        <v>37</v>
      </c>
      <c r="DF244">
        <v>151468</v>
      </c>
      <c r="DG244" t="s">
        <v>37</v>
      </c>
      <c r="DH244">
        <v>1685153</v>
      </c>
      <c r="DI244" t="s">
        <v>37</v>
      </c>
      <c r="DJ244">
        <v>197413</v>
      </c>
      <c r="DK244" t="s">
        <v>37</v>
      </c>
      <c r="DL244">
        <v>303772</v>
      </c>
      <c r="DM244" t="s">
        <v>37</v>
      </c>
      <c r="DN244">
        <v>548330</v>
      </c>
      <c r="DO244" t="s">
        <v>37</v>
      </c>
      <c r="DP244">
        <v>291737</v>
      </c>
      <c r="DQ244" t="s">
        <v>37</v>
      </c>
      <c r="DR244">
        <v>325235</v>
      </c>
      <c r="DS244" t="s">
        <v>37</v>
      </c>
      <c r="DT244">
        <v>232431</v>
      </c>
      <c r="DU244" t="s">
        <v>37</v>
      </c>
      <c r="DV244">
        <v>508399</v>
      </c>
      <c r="DW244" t="s">
        <v>37</v>
      </c>
      <c r="DX244">
        <v>438259</v>
      </c>
      <c r="DY244" t="s">
        <v>37</v>
      </c>
      <c r="DZ244">
        <v>122451</v>
      </c>
      <c r="EA244" t="s">
        <v>37</v>
      </c>
      <c r="EB244">
        <v>128061</v>
      </c>
      <c r="EC244" t="s">
        <v>37</v>
      </c>
      <c r="ED244">
        <v>301533</v>
      </c>
      <c r="EE244" t="s">
        <v>37</v>
      </c>
      <c r="EF244">
        <v>89187</v>
      </c>
      <c r="EG244" t="s">
        <v>37</v>
      </c>
      <c r="EI244" t="s">
        <v>37</v>
      </c>
      <c r="EJ244">
        <v>269646</v>
      </c>
      <c r="EK244" t="s">
        <v>37</v>
      </c>
      <c r="EL244">
        <v>210696</v>
      </c>
      <c r="EM244" t="s">
        <v>37</v>
      </c>
      <c r="EN244">
        <v>95100</v>
      </c>
      <c r="EO244" t="s">
        <v>37</v>
      </c>
      <c r="EQ244" t="s">
        <v>37</v>
      </c>
      <c r="ER244">
        <v>484691</v>
      </c>
      <c r="ES244" t="s">
        <v>37</v>
      </c>
      <c r="ET244">
        <v>291108</v>
      </c>
      <c r="EU244" t="s">
        <v>37</v>
      </c>
      <c r="EV244">
        <v>358668</v>
      </c>
      <c r="EW244" t="s">
        <v>37</v>
      </c>
      <c r="EY244" t="s">
        <v>37</v>
      </c>
      <c r="EZ244">
        <v>384956</v>
      </c>
      <c r="FA244" t="s">
        <v>37</v>
      </c>
      <c r="FB244">
        <v>241133</v>
      </c>
      <c r="FC244" t="s">
        <v>37</v>
      </c>
      <c r="FD244">
        <v>624861</v>
      </c>
      <c r="FE244" t="s">
        <v>37</v>
      </c>
      <c r="FG244" t="s">
        <v>37</v>
      </c>
      <c r="FH244">
        <v>598418</v>
      </c>
      <c r="FI244" t="s">
        <v>37</v>
      </c>
      <c r="FJ244">
        <v>2480402</v>
      </c>
      <c r="FK244" t="s">
        <v>37</v>
      </c>
      <c r="FL244">
        <v>527739</v>
      </c>
      <c r="FM244" t="s">
        <v>37</v>
      </c>
      <c r="FN244">
        <v>156234</v>
      </c>
      <c r="FO244" t="s">
        <v>37</v>
      </c>
      <c r="FP244">
        <v>146873</v>
      </c>
      <c r="FQ244" t="s">
        <v>37</v>
      </c>
      <c r="FR244">
        <v>240040</v>
      </c>
      <c r="FS244" t="s">
        <v>37</v>
      </c>
      <c r="FT244">
        <v>146016</v>
      </c>
      <c r="FU244" t="s">
        <v>37</v>
      </c>
      <c r="FV244">
        <v>136139</v>
      </c>
      <c r="FW244" t="s">
        <v>37</v>
      </c>
      <c r="FX244">
        <v>236778</v>
      </c>
      <c r="FY244" t="s">
        <v>37</v>
      </c>
      <c r="FZ244">
        <v>287697</v>
      </c>
      <c r="GA244" t="s">
        <v>37</v>
      </c>
      <c r="GB244">
        <v>640469</v>
      </c>
      <c r="GC244" t="s">
        <v>37</v>
      </c>
      <c r="GE244" t="s">
        <v>37</v>
      </c>
      <c r="GG244" t="s">
        <v>37</v>
      </c>
      <c r="GI244" t="s">
        <v>37</v>
      </c>
      <c r="GJ244">
        <v>565596</v>
      </c>
      <c r="GK244" t="s">
        <v>37</v>
      </c>
      <c r="GL244">
        <v>604768</v>
      </c>
      <c r="GM244" t="s">
        <v>37</v>
      </c>
      <c r="GO244" t="s">
        <v>37</v>
      </c>
      <c r="GP244">
        <v>268554</v>
      </c>
      <c r="GQ244" t="s">
        <v>37</v>
      </c>
      <c r="GR244">
        <v>834689</v>
      </c>
      <c r="GS244" t="s">
        <v>37</v>
      </c>
      <c r="GT244">
        <v>227418</v>
      </c>
      <c r="GU244" t="s">
        <v>37</v>
      </c>
      <c r="GV244">
        <v>130710</v>
      </c>
      <c r="GW244" t="s">
        <v>37</v>
      </c>
      <c r="GX244">
        <v>580168</v>
      </c>
      <c r="GY244" t="s">
        <v>37</v>
      </c>
      <c r="GZ244">
        <v>147182</v>
      </c>
      <c r="HA244" t="s">
        <v>37</v>
      </c>
      <c r="HB244">
        <v>24100</v>
      </c>
      <c r="HC244" t="s">
        <v>37</v>
      </c>
      <c r="HD244">
        <v>50068</v>
      </c>
      <c r="HE244" t="s">
        <v>37</v>
      </c>
      <c r="HF244">
        <v>36228814</v>
      </c>
      <c r="HG244" t="s">
        <v>37</v>
      </c>
      <c r="HH244">
        <v>74168</v>
      </c>
      <c r="HI244" t="s">
        <v>37</v>
      </c>
      <c r="HJ244">
        <v>36302982</v>
      </c>
      <c r="HK244" t="s">
        <v>37</v>
      </c>
    </row>
    <row r="245" spans="1:219">
      <c r="A245">
        <v>4360</v>
      </c>
      <c r="B245" t="s">
        <v>256</v>
      </c>
      <c r="C245" t="s">
        <v>37</v>
      </c>
      <c r="E245" t="s">
        <v>37</v>
      </c>
      <c r="G245" t="s">
        <v>37</v>
      </c>
      <c r="H245">
        <v>81839</v>
      </c>
      <c r="I245" t="s">
        <v>37</v>
      </c>
      <c r="K245" s="48" t="s">
        <v>37</v>
      </c>
      <c r="L245" s="51">
        <v>34275</v>
      </c>
      <c r="M245" s="48" t="s">
        <v>37</v>
      </c>
      <c r="N245" s="50"/>
      <c r="O245" s="48" t="s">
        <v>37</v>
      </c>
      <c r="P245" s="50"/>
      <c r="Q245" s="48" t="s">
        <v>37</v>
      </c>
      <c r="R245" s="51">
        <v>94733</v>
      </c>
      <c r="S245" s="48" t="s">
        <v>37</v>
      </c>
      <c r="U245" t="s">
        <v>37</v>
      </c>
      <c r="W245" t="s">
        <v>37</v>
      </c>
      <c r="Y245" t="s">
        <v>37</v>
      </c>
      <c r="AA245" t="s">
        <v>37</v>
      </c>
      <c r="AC245" t="s">
        <v>37</v>
      </c>
      <c r="AE245" t="s">
        <v>37</v>
      </c>
      <c r="AG245" t="s">
        <v>37</v>
      </c>
      <c r="AI245" t="s">
        <v>37</v>
      </c>
      <c r="AK245" t="s">
        <v>37</v>
      </c>
      <c r="AM245" t="s">
        <v>37</v>
      </c>
      <c r="AO245" t="s">
        <v>37</v>
      </c>
      <c r="AP245">
        <v>85119</v>
      </c>
      <c r="AQ245" t="s">
        <v>37</v>
      </c>
      <c r="AS245" t="s">
        <v>37</v>
      </c>
      <c r="AU245" t="s">
        <v>37</v>
      </c>
      <c r="AW245" t="s">
        <v>37</v>
      </c>
      <c r="AY245" t="s">
        <v>37</v>
      </c>
      <c r="BA245" t="s">
        <v>37</v>
      </c>
      <c r="BC245" t="s">
        <v>37</v>
      </c>
      <c r="BE245" t="s">
        <v>37</v>
      </c>
      <c r="BG245" t="s">
        <v>37</v>
      </c>
      <c r="BI245" t="s">
        <v>37</v>
      </c>
      <c r="BK245" t="s">
        <v>37</v>
      </c>
      <c r="BM245" t="s">
        <v>37</v>
      </c>
      <c r="BO245" t="s">
        <v>37</v>
      </c>
      <c r="BQ245" t="s">
        <v>37</v>
      </c>
      <c r="BS245" t="s">
        <v>37</v>
      </c>
      <c r="BU245" t="s">
        <v>37</v>
      </c>
      <c r="BW245" t="s">
        <v>37</v>
      </c>
      <c r="BY245" t="s">
        <v>37</v>
      </c>
      <c r="CA245" t="s">
        <v>37</v>
      </c>
      <c r="CC245" t="s">
        <v>37</v>
      </c>
      <c r="CD245">
        <v>82610</v>
      </c>
      <c r="CE245" t="s">
        <v>37</v>
      </c>
      <c r="CG245" t="s">
        <v>37</v>
      </c>
      <c r="CH245">
        <v>90000</v>
      </c>
      <c r="CI245" t="s">
        <v>37</v>
      </c>
      <c r="CK245" t="s">
        <v>37</v>
      </c>
      <c r="CL245">
        <v>90000</v>
      </c>
      <c r="CM245" t="s">
        <v>37</v>
      </c>
      <c r="CO245" t="s">
        <v>37</v>
      </c>
      <c r="CQ245" t="s">
        <v>37</v>
      </c>
      <c r="CR245">
        <v>90000</v>
      </c>
      <c r="CS245" t="s">
        <v>37</v>
      </c>
      <c r="CT245">
        <v>90000</v>
      </c>
      <c r="CU245" t="s">
        <v>37</v>
      </c>
      <c r="CV245">
        <v>90000</v>
      </c>
      <c r="CW245" t="s">
        <v>37</v>
      </c>
      <c r="CY245" t="s">
        <v>37</v>
      </c>
      <c r="DA245" t="s">
        <v>37</v>
      </c>
      <c r="DC245" t="s">
        <v>37</v>
      </c>
      <c r="DE245" t="s">
        <v>37</v>
      </c>
      <c r="DG245" t="s">
        <v>37</v>
      </c>
      <c r="DI245" t="s">
        <v>37</v>
      </c>
      <c r="DK245" t="s">
        <v>37</v>
      </c>
      <c r="DM245" t="s">
        <v>37</v>
      </c>
      <c r="DO245" t="s">
        <v>37</v>
      </c>
      <c r="DQ245" t="s">
        <v>37</v>
      </c>
      <c r="DS245" t="s">
        <v>37</v>
      </c>
      <c r="DT245">
        <v>79591</v>
      </c>
      <c r="DU245" t="s">
        <v>37</v>
      </c>
      <c r="DW245" t="s">
        <v>37</v>
      </c>
      <c r="DY245" t="s">
        <v>37</v>
      </c>
      <c r="EA245" t="s">
        <v>37</v>
      </c>
      <c r="EC245" t="s">
        <v>37</v>
      </c>
      <c r="EE245" t="s">
        <v>37</v>
      </c>
      <c r="EF245">
        <v>87912</v>
      </c>
      <c r="EG245" t="s">
        <v>37</v>
      </c>
      <c r="EI245" t="s">
        <v>37</v>
      </c>
      <c r="EK245" t="s">
        <v>37</v>
      </c>
      <c r="EM245" t="s">
        <v>37</v>
      </c>
      <c r="EO245" t="s">
        <v>37</v>
      </c>
      <c r="EQ245" t="s">
        <v>37</v>
      </c>
      <c r="ES245" t="s">
        <v>37</v>
      </c>
      <c r="EU245" t="s">
        <v>37</v>
      </c>
      <c r="EV245">
        <v>81682</v>
      </c>
      <c r="EW245" t="s">
        <v>37</v>
      </c>
      <c r="EY245" t="s">
        <v>37</v>
      </c>
      <c r="FA245" t="s">
        <v>37</v>
      </c>
      <c r="FC245" t="s">
        <v>37</v>
      </c>
      <c r="FE245" t="s">
        <v>37</v>
      </c>
      <c r="FG245" t="s">
        <v>37</v>
      </c>
      <c r="FH245">
        <v>90000</v>
      </c>
      <c r="FI245" t="s">
        <v>37</v>
      </c>
      <c r="FK245" t="s">
        <v>37</v>
      </c>
      <c r="FM245" t="s">
        <v>37</v>
      </c>
      <c r="FO245" t="s">
        <v>37</v>
      </c>
      <c r="FQ245" t="s">
        <v>37</v>
      </c>
      <c r="FS245" t="s">
        <v>37</v>
      </c>
      <c r="FU245" t="s">
        <v>37</v>
      </c>
      <c r="FW245" t="s">
        <v>37</v>
      </c>
      <c r="FX245">
        <v>90000</v>
      </c>
      <c r="FY245" t="s">
        <v>37</v>
      </c>
      <c r="GA245" t="s">
        <v>37</v>
      </c>
      <c r="GB245">
        <v>88250</v>
      </c>
      <c r="GC245" t="s">
        <v>37</v>
      </c>
      <c r="GE245" t="s">
        <v>37</v>
      </c>
      <c r="GG245" t="s">
        <v>37</v>
      </c>
      <c r="GI245" t="s">
        <v>37</v>
      </c>
      <c r="GK245" t="s">
        <v>37</v>
      </c>
      <c r="GM245" t="s">
        <v>37</v>
      </c>
      <c r="GO245" t="s">
        <v>37</v>
      </c>
      <c r="GQ245" t="s">
        <v>37</v>
      </c>
      <c r="GS245" t="s">
        <v>37</v>
      </c>
      <c r="GU245" t="s">
        <v>37</v>
      </c>
      <c r="GW245" t="s">
        <v>37</v>
      </c>
      <c r="GY245" t="s">
        <v>37</v>
      </c>
      <c r="HA245" t="s">
        <v>37</v>
      </c>
      <c r="HC245" t="s">
        <v>37</v>
      </c>
      <c r="HE245" t="s">
        <v>37</v>
      </c>
      <c r="HF245">
        <v>1346011</v>
      </c>
      <c r="HG245" t="s">
        <v>37</v>
      </c>
      <c r="HI245" t="s">
        <v>37</v>
      </c>
      <c r="HJ245">
        <v>1346011</v>
      </c>
      <c r="HK245" t="s">
        <v>37</v>
      </c>
    </row>
    <row r="246" spans="1:219">
      <c r="A246">
        <v>4370</v>
      </c>
      <c r="B246" t="s">
        <v>257</v>
      </c>
      <c r="C246" t="s">
        <v>37</v>
      </c>
      <c r="E246" t="s">
        <v>37</v>
      </c>
      <c r="F246">
        <v>64792</v>
      </c>
      <c r="G246" t="s">
        <v>37</v>
      </c>
      <c r="I246" t="s">
        <v>37</v>
      </c>
      <c r="K246" s="48" t="s">
        <v>37</v>
      </c>
      <c r="L246" s="50"/>
      <c r="M246" s="48" t="s">
        <v>37</v>
      </c>
      <c r="N246" s="50"/>
      <c r="O246" s="48" t="s">
        <v>37</v>
      </c>
      <c r="P246" s="50"/>
      <c r="Q246" s="48" t="s">
        <v>37</v>
      </c>
      <c r="R246" s="50"/>
      <c r="S246" s="48" t="s">
        <v>37</v>
      </c>
      <c r="U246" t="s">
        <v>37</v>
      </c>
      <c r="W246" t="s">
        <v>37</v>
      </c>
      <c r="Y246" t="s">
        <v>37</v>
      </c>
      <c r="AA246" t="s">
        <v>37</v>
      </c>
      <c r="AC246" t="s">
        <v>37</v>
      </c>
      <c r="AE246" t="s">
        <v>37</v>
      </c>
      <c r="AG246" t="s">
        <v>37</v>
      </c>
      <c r="AH246">
        <v>41336</v>
      </c>
      <c r="AI246" t="s">
        <v>37</v>
      </c>
      <c r="AK246" t="s">
        <v>37</v>
      </c>
      <c r="AL246">
        <v>3961</v>
      </c>
      <c r="AM246" t="s">
        <v>37</v>
      </c>
      <c r="AO246" t="s">
        <v>37</v>
      </c>
      <c r="AQ246" t="s">
        <v>37</v>
      </c>
      <c r="AS246" t="s">
        <v>37</v>
      </c>
      <c r="AT246">
        <v>656027</v>
      </c>
      <c r="AU246" t="s">
        <v>37</v>
      </c>
      <c r="AW246" t="s">
        <v>37</v>
      </c>
      <c r="AY246" t="s">
        <v>37</v>
      </c>
      <c r="BA246" t="s">
        <v>37</v>
      </c>
      <c r="BB246">
        <v>1419</v>
      </c>
      <c r="BC246" t="s">
        <v>37</v>
      </c>
      <c r="BE246" t="s">
        <v>37</v>
      </c>
      <c r="BG246" t="s">
        <v>37</v>
      </c>
      <c r="BI246" t="s">
        <v>37</v>
      </c>
      <c r="BJ246">
        <v>12192</v>
      </c>
      <c r="BK246" t="s">
        <v>37</v>
      </c>
      <c r="BL246">
        <v>4106</v>
      </c>
      <c r="BM246" t="s">
        <v>37</v>
      </c>
      <c r="BO246" t="s">
        <v>37</v>
      </c>
      <c r="BQ246" t="s">
        <v>37</v>
      </c>
      <c r="BS246" t="s">
        <v>37</v>
      </c>
      <c r="BU246" t="s">
        <v>37</v>
      </c>
      <c r="BW246" t="s">
        <v>37</v>
      </c>
      <c r="BY246" t="s">
        <v>37</v>
      </c>
      <c r="BZ246">
        <v>57857</v>
      </c>
      <c r="CA246" t="s">
        <v>37</v>
      </c>
      <c r="CC246" t="s">
        <v>37</v>
      </c>
      <c r="CE246" t="s">
        <v>37</v>
      </c>
      <c r="CG246" t="s">
        <v>37</v>
      </c>
      <c r="CI246" t="s">
        <v>37</v>
      </c>
      <c r="CK246" t="s">
        <v>37</v>
      </c>
      <c r="CM246" t="s">
        <v>37</v>
      </c>
      <c r="CO246" t="s">
        <v>37</v>
      </c>
      <c r="CQ246" t="s">
        <v>37</v>
      </c>
      <c r="CS246" t="s">
        <v>37</v>
      </c>
      <c r="CT246">
        <v>47484</v>
      </c>
      <c r="CU246" t="s">
        <v>37</v>
      </c>
      <c r="CW246" t="s">
        <v>37</v>
      </c>
      <c r="CY246" t="s">
        <v>37</v>
      </c>
      <c r="DA246" t="s">
        <v>37</v>
      </c>
      <c r="DC246" t="s">
        <v>37</v>
      </c>
      <c r="DE246" t="s">
        <v>37</v>
      </c>
      <c r="DF246">
        <v>15527</v>
      </c>
      <c r="DG246" t="s">
        <v>37</v>
      </c>
      <c r="DI246" t="s">
        <v>37</v>
      </c>
      <c r="DJ246">
        <v>16829</v>
      </c>
      <c r="DK246" t="s">
        <v>37</v>
      </c>
      <c r="DM246" t="s">
        <v>37</v>
      </c>
      <c r="DO246" t="s">
        <v>37</v>
      </c>
      <c r="DQ246" t="s">
        <v>37</v>
      </c>
      <c r="DS246" t="s">
        <v>37</v>
      </c>
      <c r="DU246" t="s">
        <v>37</v>
      </c>
      <c r="DW246" t="s">
        <v>37</v>
      </c>
      <c r="DY246" t="s">
        <v>37</v>
      </c>
      <c r="DZ246">
        <v>56272</v>
      </c>
      <c r="EA246" t="s">
        <v>37</v>
      </c>
      <c r="EC246" t="s">
        <v>37</v>
      </c>
      <c r="EE246" t="s">
        <v>37</v>
      </c>
      <c r="EG246" t="s">
        <v>37</v>
      </c>
      <c r="EI246" t="s">
        <v>37</v>
      </c>
      <c r="EK246" t="s">
        <v>37</v>
      </c>
      <c r="EM246" t="s">
        <v>37</v>
      </c>
      <c r="EO246" t="s">
        <v>37</v>
      </c>
      <c r="EQ246" t="s">
        <v>37</v>
      </c>
      <c r="ER246">
        <v>29519</v>
      </c>
      <c r="ES246" t="s">
        <v>37</v>
      </c>
      <c r="EU246" t="s">
        <v>37</v>
      </c>
      <c r="EV246">
        <v>24209</v>
      </c>
      <c r="EW246" t="s">
        <v>37</v>
      </c>
      <c r="EY246" t="s">
        <v>37</v>
      </c>
      <c r="FA246" t="s">
        <v>37</v>
      </c>
      <c r="FC246" t="s">
        <v>37</v>
      </c>
      <c r="FD246">
        <v>19428</v>
      </c>
      <c r="FE246" t="s">
        <v>37</v>
      </c>
      <c r="FG246" t="s">
        <v>37</v>
      </c>
      <c r="FH246">
        <v>4894</v>
      </c>
      <c r="FI246" t="s">
        <v>37</v>
      </c>
      <c r="FJ246">
        <v>64283</v>
      </c>
      <c r="FK246" t="s">
        <v>37</v>
      </c>
      <c r="FM246" t="s">
        <v>37</v>
      </c>
      <c r="FO246" t="s">
        <v>37</v>
      </c>
      <c r="FQ246" t="s">
        <v>37</v>
      </c>
      <c r="FS246" t="s">
        <v>37</v>
      </c>
      <c r="FU246" t="s">
        <v>37</v>
      </c>
      <c r="FW246" t="s">
        <v>37</v>
      </c>
      <c r="FY246" t="s">
        <v>37</v>
      </c>
      <c r="FZ246">
        <v>47798</v>
      </c>
      <c r="GA246" t="s">
        <v>37</v>
      </c>
      <c r="GC246" t="s">
        <v>37</v>
      </c>
      <c r="GE246" t="s">
        <v>37</v>
      </c>
      <c r="GG246" t="s">
        <v>37</v>
      </c>
      <c r="GI246" t="s">
        <v>37</v>
      </c>
      <c r="GK246" t="s">
        <v>37</v>
      </c>
      <c r="GM246" t="s">
        <v>37</v>
      </c>
      <c r="GO246" t="s">
        <v>37</v>
      </c>
      <c r="GP246">
        <v>14356</v>
      </c>
      <c r="GQ246" t="s">
        <v>37</v>
      </c>
      <c r="GR246">
        <v>26375</v>
      </c>
      <c r="GS246" t="s">
        <v>37</v>
      </c>
      <c r="GU246" t="s">
        <v>37</v>
      </c>
      <c r="GW246" t="s">
        <v>37</v>
      </c>
      <c r="GY246" t="s">
        <v>37</v>
      </c>
      <c r="HA246" t="s">
        <v>37</v>
      </c>
      <c r="HC246" t="s">
        <v>37</v>
      </c>
      <c r="HE246" t="s">
        <v>37</v>
      </c>
      <c r="HF246">
        <v>1208664</v>
      </c>
      <c r="HG246" t="s">
        <v>37</v>
      </c>
      <c r="HI246" t="s">
        <v>37</v>
      </c>
      <c r="HJ246">
        <v>1208664</v>
      </c>
      <c r="HK246" t="s">
        <v>37</v>
      </c>
    </row>
    <row r="247" spans="1:219">
      <c r="A247">
        <v>4390</v>
      </c>
      <c r="B247" t="s">
        <v>258</v>
      </c>
      <c r="C247" t="s">
        <v>37</v>
      </c>
      <c r="E247" t="s">
        <v>37</v>
      </c>
      <c r="G247" t="s">
        <v>37</v>
      </c>
      <c r="I247" t="s">
        <v>37</v>
      </c>
      <c r="K247" s="48" t="s">
        <v>37</v>
      </c>
      <c r="L247" s="50"/>
      <c r="M247" s="48" t="s">
        <v>37</v>
      </c>
      <c r="N247" s="50"/>
      <c r="O247" s="48" t="s">
        <v>37</v>
      </c>
      <c r="P247" s="50"/>
      <c r="Q247" s="48" t="s">
        <v>37</v>
      </c>
      <c r="R247" s="50"/>
      <c r="S247" s="48" t="s">
        <v>37</v>
      </c>
      <c r="U247" t="s">
        <v>37</v>
      </c>
      <c r="W247" t="s">
        <v>37</v>
      </c>
      <c r="Y247" t="s">
        <v>37</v>
      </c>
      <c r="AA247" t="s">
        <v>37</v>
      </c>
      <c r="AC247" t="s">
        <v>37</v>
      </c>
      <c r="AE247" t="s">
        <v>37</v>
      </c>
      <c r="AG247" t="s">
        <v>37</v>
      </c>
      <c r="AI247" t="s">
        <v>37</v>
      </c>
      <c r="AK247" t="s">
        <v>37</v>
      </c>
      <c r="AM247" t="s">
        <v>37</v>
      </c>
      <c r="AO247" t="s">
        <v>37</v>
      </c>
      <c r="AQ247" t="s">
        <v>37</v>
      </c>
      <c r="AS247" t="s">
        <v>37</v>
      </c>
      <c r="AU247" t="s">
        <v>37</v>
      </c>
      <c r="AW247" t="s">
        <v>37</v>
      </c>
      <c r="AY247" t="s">
        <v>37</v>
      </c>
      <c r="BA247" t="s">
        <v>37</v>
      </c>
      <c r="BC247" t="s">
        <v>37</v>
      </c>
      <c r="BE247" t="s">
        <v>37</v>
      </c>
      <c r="BG247" t="s">
        <v>37</v>
      </c>
      <c r="BI247" t="s">
        <v>37</v>
      </c>
      <c r="BK247" t="s">
        <v>37</v>
      </c>
      <c r="BM247" t="s">
        <v>37</v>
      </c>
      <c r="BO247" t="s">
        <v>37</v>
      </c>
      <c r="BQ247" t="s">
        <v>37</v>
      </c>
      <c r="BS247" t="s">
        <v>37</v>
      </c>
      <c r="BU247" t="s">
        <v>37</v>
      </c>
      <c r="BW247" t="s">
        <v>37</v>
      </c>
      <c r="BY247" t="s">
        <v>37</v>
      </c>
      <c r="CA247" t="s">
        <v>37</v>
      </c>
      <c r="CC247" t="s">
        <v>37</v>
      </c>
      <c r="CE247" t="s">
        <v>37</v>
      </c>
      <c r="CG247" t="s">
        <v>37</v>
      </c>
      <c r="CI247" t="s">
        <v>37</v>
      </c>
      <c r="CK247" t="s">
        <v>37</v>
      </c>
      <c r="CM247" t="s">
        <v>37</v>
      </c>
      <c r="CO247" t="s">
        <v>37</v>
      </c>
      <c r="CQ247" t="s">
        <v>37</v>
      </c>
      <c r="CS247" t="s">
        <v>37</v>
      </c>
      <c r="CU247" t="s">
        <v>37</v>
      </c>
      <c r="CW247" t="s">
        <v>37</v>
      </c>
      <c r="CY247" t="s">
        <v>37</v>
      </c>
      <c r="DA247" t="s">
        <v>37</v>
      </c>
      <c r="DC247" t="s">
        <v>37</v>
      </c>
      <c r="DE247" t="s">
        <v>37</v>
      </c>
      <c r="DG247" t="s">
        <v>37</v>
      </c>
      <c r="DI247" t="s">
        <v>37</v>
      </c>
      <c r="DK247" t="s">
        <v>37</v>
      </c>
      <c r="DL247">
        <v>10687</v>
      </c>
      <c r="DM247" t="s">
        <v>37</v>
      </c>
      <c r="DO247" t="s">
        <v>37</v>
      </c>
      <c r="DQ247" t="s">
        <v>37</v>
      </c>
      <c r="DS247" t="s">
        <v>37</v>
      </c>
      <c r="DU247" t="s">
        <v>37</v>
      </c>
      <c r="DW247" t="s">
        <v>37</v>
      </c>
      <c r="DY247" t="s">
        <v>37</v>
      </c>
      <c r="EA247" t="s">
        <v>37</v>
      </c>
      <c r="EC247" t="s">
        <v>37</v>
      </c>
      <c r="EE247" t="s">
        <v>37</v>
      </c>
      <c r="EG247" t="s">
        <v>37</v>
      </c>
      <c r="EI247" t="s">
        <v>37</v>
      </c>
      <c r="EK247" t="s">
        <v>37</v>
      </c>
      <c r="EM247" t="s">
        <v>37</v>
      </c>
      <c r="EO247" t="s">
        <v>37</v>
      </c>
      <c r="EQ247" t="s">
        <v>37</v>
      </c>
      <c r="ES247" t="s">
        <v>37</v>
      </c>
      <c r="EU247" t="s">
        <v>37</v>
      </c>
      <c r="EW247" t="s">
        <v>37</v>
      </c>
      <c r="EY247" t="s">
        <v>37</v>
      </c>
      <c r="FA247" t="s">
        <v>37</v>
      </c>
      <c r="FC247" t="s">
        <v>37</v>
      </c>
      <c r="FE247" t="s">
        <v>37</v>
      </c>
      <c r="FG247" t="s">
        <v>37</v>
      </c>
      <c r="FI247" t="s">
        <v>37</v>
      </c>
      <c r="FK247" t="s">
        <v>37</v>
      </c>
      <c r="FM247" t="s">
        <v>37</v>
      </c>
      <c r="FO247" t="s">
        <v>37</v>
      </c>
      <c r="FQ247" t="s">
        <v>37</v>
      </c>
      <c r="FS247" t="s">
        <v>37</v>
      </c>
      <c r="FU247" t="s">
        <v>37</v>
      </c>
      <c r="FW247" t="s">
        <v>37</v>
      </c>
      <c r="FY247" t="s">
        <v>37</v>
      </c>
      <c r="GA247" t="s">
        <v>37</v>
      </c>
      <c r="GC247" t="s">
        <v>37</v>
      </c>
      <c r="GE247" t="s">
        <v>37</v>
      </c>
      <c r="GG247" t="s">
        <v>37</v>
      </c>
      <c r="GI247" t="s">
        <v>37</v>
      </c>
      <c r="GK247" t="s">
        <v>37</v>
      </c>
      <c r="GL247">
        <v>10875</v>
      </c>
      <c r="GM247" t="s">
        <v>37</v>
      </c>
      <c r="GO247" t="s">
        <v>37</v>
      </c>
      <c r="GQ247" t="s">
        <v>37</v>
      </c>
      <c r="GS247" t="s">
        <v>37</v>
      </c>
      <c r="GU247" t="s">
        <v>37</v>
      </c>
      <c r="GW247" t="s">
        <v>37</v>
      </c>
      <c r="GY247" t="s">
        <v>37</v>
      </c>
      <c r="HA247" t="s">
        <v>37</v>
      </c>
      <c r="HC247" t="s">
        <v>37</v>
      </c>
      <c r="HE247" t="s">
        <v>37</v>
      </c>
      <c r="HF247">
        <v>21562</v>
      </c>
      <c r="HG247" t="s">
        <v>37</v>
      </c>
      <c r="HI247" t="s">
        <v>37</v>
      </c>
      <c r="HJ247">
        <v>21562</v>
      </c>
      <c r="HK247" t="s">
        <v>37</v>
      </c>
    </row>
    <row r="248" spans="1:219">
      <c r="A248">
        <v>4400</v>
      </c>
      <c r="B248" t="s">
        <v>122</v>
      </c>
      <c r="C248" t="s">
        <v>37</v>
      </c>
      <c r="E248" t="s">
        <v>37</v>
      </c>
      <c r="G248" t="s">
        <v>37</v>
      </c>
      <c r="I248" t="s">
        <v>37</v>
      </c>
      <c r="K248" s="48" t="s">
        <v>37</v>
      </c>
      <c r="L248" s="50"/>
      <c r="M248" s="48" t="s">
        <v>37</v>
      </c>
      <c r="N248" s="50"/>
      <c r="O248" s="48" t="s">
        <v>37</v>
      </c>
      <c r="P248" s="50"/>
      <c r="Q248" s="48" t="s">
        <v>37</v>
      </c>
      <c r="R248" s="50"/>
      <c r="S248" s="48" t="s">
        <v>37</v>
      </c>
      <c r="U248" t="s">
        <v>37</v>
      </c>
      <c r="W248" t="s">
        <v>37</v>
      </c>
      <c r="Y248" t="s">
        <v>37</v>
      </c>
      <c r="AA248" t="s">
        <v>37</v>
      </c>
      <c r="AC248" t="s">
        <v>37</v>
      </c>
      <c r="AE248" t="s">
        <v>37</v>
      </c>
      <c r="AG248" t="s">
        <v>37</v>
      </c>
      <c r="AI248" t="s">
        <v>37</v>
      </c>
      <c r="AK248" t="s">
        <v>37</v>
      </c>
      <c r="AM248" t="s">
        <v>37</v>
      </c>
      <c r="AO248" t="s">
        <v>37</v>
      </c>
      <c r="AQ248" t="s">
        <v>37</v>
      </c>
      <c r="AS248" t="s">
        <v>37</v>
      </c>
      <c r="AU248" t="s">
        <v>37</v>
      </c>
      <c r="AW248" t="s">
        <v>37</v>
      </c>
      <c r="AY248" t="s">
        <v>37</v>
      </c>
      <c r="BA248" t="s">
        <v>37</v>
      </c>
      <c r="BC248" t="s">
        <v>37</v>
      </c>
      <c r="BE248" t="s">
        <v>37</v>
      </c>
      <c r="BG248" t="s">
        <v>37</v>
      </c>
      <c r="BI248" t="s">
        <v>37</v>
      </c>
      <c r="BK248" t="s">
        <v>37</v>
      </c>
      <c r="BM248" t="s">
        <v>37</v>
      </c>
      <c r="BO248" t="s">
        <v>37</v>
      </c>
      <c r="BQ248" t="s">
        <v>37</v>
      </c>
      <c r="BS248" t="s">
        <v>37</v>
      </c>
      <c r="BU248" t="s">
        <v>37</v>
      </c>
      <c r="BW248" t="s">
        <v>37</v>
      </c>
      <c r="BY248" t="s">
        <v>37</v>
      </c>
      <c r="CA248" t="s">
        <v>37</v>
      </c>
      <c r="CC248" t="s">
        <v>37</v>
      </c>
      <c r="CE248" t="s">
        <v>37</v>
      </c>
      <c r="CG248" t="s">
        <v>37</v>
      </c>
      <c r="CI248" t="s">
        <v>37</v>
      </c>
      <c r="CK248" t="s">
        <v>37</v>
      </c>
      <c r="CM248" t="s">
        <v>37</v>
      </c>
      <c r="CO248" t="s">
        <v>37</v>
      </c>
      <c r="CQ248" t="s">
        <v>37</v>
      </c>
      <c r="CS248" t="s">
        <v>37</v>
      </c>
      <c r="CU248" t="s">
        <v>37</v>
      </c>
      <c r="CW248" t="s">
        <v>37</v>
      </c>
      <c r="CY248" t="s">
        <v>37</v>
      </c>
      <c r="DA248" t="s">
        <v>37</v>
      </c>
      <c r="DC248" t="s">
        <v>37</v>
      </c>
      <c r="DE248" t="s">
        <v>37</v>
      </c>
      <c r="DG248" t="s">
        <v>37</v>
      </c>
      <c r="DI248" t="s">
        <v>37</v>
      </c>
      <c r="DK248" t="s">
        <v>37</v>
      </c>
      <c r="DM248" t="s">
        <v>37</v>
      </c>
      <c r="DO248" t="s">
        <v>37</v>
      </c>
      <c r="DQ248" t="s">
        <v>37</v>
      </c>
      <c r="DS248" t="s">
        <v>37</v>
      </c>
      <c r="DU248" t="s">
        <v>37</v>
      </c>
      <c r="DW248" t="s">
        <v>37</v>
      </c>
      <c r="DY248" t="s">
        <v>37</v>
      </c>
      <c r="EA248" t="s">
        <v>37</v>
      </c>
      <c r="EC248" t="s">
        <v>37</v>
      </c>
      <c r="EE248" t="s">
        <v>37</v>
      </c>
      <c r="EG248" t="s">
        <v>37</v>
      </c>
      <c r="EI248" t="s">
        <v>37</v>
      </c>
      <c r="EK248" t="s">
        <v>37</v>
      </c>
      <c r="EM248" t="s">
        <v>37</v>
      </c>
      <c r="EO248" t="s">
        <v>37</v>
      </c>
      <c r="EQ248" t="s">
        <v>37</v>
      </c>
      <c r="ES248" t="s">
        <v>37</v>
      </c>
      <c r="EU248" t="s">
        <v>37</v>
      </c>
      <c r="EW248" t="s">
        <v>37</v>
      </c>
      <c r="EY248" t="s">
        <v>37</v>
      </c>
      <c r="FA248" t="s">
        <v>37</v>
      </c>
      <c r="FC248" t="s">
        <v>37</v>
      </c>
      <c r="FE248" t="s">
        <v>37</v>
      </c>
      <c r="FG248" t="s">
        <v>37</v>
      </c>
      <c r="FI248" t="s">
        <v>37</v>
      </c>
      <c r="FK248" t="s">
        <v>37</v>
      </c>
      <c r="FM248" t="s">
        <v>37</v>
      </c>
      <c r="FO248" t="s">
        <v>37</v>
      </c>
      <c r="FQ248" t="s">
        <v>37</v>
      </c>
      <c r="FS248" t="s">
        <v>37</v>
      </c>
      <c r="FU248" t="s">
        <v>37</v>
      </c>
      <c r="FW248" t="s">
        <v>37</v>
      </c>
      <c r="FY248" t="s">
        <v>37</v>
      </c>
      <c r="GA248" t="s">
        <v>37</v>
      </c>
      <c r="GC248" t="s">
        <v>37</v>
      </c>
      <c r="GE248" t="s">
        <v>37</v>
      </c>
      <c r="GG248" t="s">
        <v>37</v>
      </c>
      <c r="GI248" t="s">
        <v>37</v>
      </c>
      <c r="GK248" t="s">
        <v>37</v>
      </c>
      <c r="GM248" t="s">
        <v>37</v>
      </c>
      <c r="GO248" t="s">
        <v>37</v>
      </c>
      <c r="GQ248" t="s">
        <v>37</v>
      </c>
      <c r="GS248" t="s">
        <v>37</v>
      </c>
      <c r="GU248" t="s">
        <v>37</v>
      </c>
      <c r="GW248" t="s">
        <v>37</v>
      </c>
      <c r="GY248" t="s">
        <v>37</v>
      </c>
      <c r="HA248" t="s">
        <v>37</v>
      </c>
      <c r="HC248" t="s">
        <v>37</v>
      </c>
      <c r="HE248" t="s">
        <v>37</v>
      </c>
      <c r="HG248" t="s">
        <v>37</v>
      </c>
      <c r="HI248" t="s">
        <v>37</v>
      </c>
      <c r="HK248" t="s">
        <v>37</v>
      </c>
    </row>
    <row r="249" spans="1:219">
      <c r="A249">
        <v>4410</v>
      </c>
      <c r="B249" t="s">
        <v>123</v>
      </c>
      <c r="C249" t="s">
        <v>37</v>
      </c>
      <c r="D249">
        <v>54705</v>
      </c>
      <c r="E249" t="s">
        <v>37</v>
      </c>
      <c r="F249">
        <v>150431</v>
      </c>
      <c r="G249" t="s">
        <v>37</v>
      </c>
      <c r="H249">
        <v>85084</v>
      </c>
      <c r="I249" t="s">
        <v>37</v>
      </c>
      <c r="K249" s="48" t="s">
        <v>37</v>
      </c>
      <c r="L249" s="50"/>
      <c r="M249" s="48" t="s">
        <v>37</v>
      </c>
      <c r="N249" s="50"/>
      <c r="O249" s="48" t="s">
        <v>37</v>
      </c>
      <c r="P249" s="50"/>
      <c r="Q249" s="48" t="s">
        <v>37</v>
      </c>
      <c r="R249" s="50"/>
      <c r="S249" s="48" t="s">
        <v>37</v>
      </c>
      <c r="T249">
        <v>127321</v>
      </c>
      <c r="U249" t="s">
        <v>37</v>
      </c>
      <c r="W249" t="s">
        <v>37</v>
      </c>
      <c r="X249">
        <v>39128</v>
      </c>
      <c r="Y249" t="s">
        <v>37</v>
      </c>
      <c r="AA249" t="s">
        <v>37</v>
      </c>
      <c r="AC249" t="s">
        <v>37</v>
      </c>
      <c r="AE249" t="s">
        <v>37</v>
      </c>
      <c r="AG249" t="s">
        <v>37</v>
      </c>
      <c r="AI249" t="s">
        <v>37</v>
      </c>
      <c r="AK249" t="s">
        <v>37</v>
      </c>
      <c r="AL249">
        <v>128891</v>
      </c>
      <c r="AM249" t="s">
        <v>37</v>
      </c>
      <c r="AO249" t="s">
        <v>37</v>
      </c>
      <c r="AP249">
        <v>180720</v>
      </c>
      <c r="AQ249" t="s">
        <v>37</v>
      </c>
      <c r="AR249">
        <v>69250</v>
      </c>
      <c r="AS249" t="s">
        <v>37</v>
      </c>
      <c r="AT249">
        <v>242565</v>
      </c>
      <c r="AU249" t="s">
        <v>37</v>
      </c>
      <c r="AV249">
        <v>112013</v>
      </c>
      <c r="AW249" t="s">
        <v>37</v>
      </c>
      <c r="AX249">
        <v>49717</v>
      </c>
      <c r="AY249" t="s">
        <v>37</v>
      </c>
      <c r="AZ249">
        <v>57273</v>
      </c>
      <c r="BA249" t="s">
        <v>37</v>
      </c>
      <c r="BC249" t="s">
        <v>37</v>
      </c>
      <c r="BE249" t="s">
        <v>37</v>
      </c>
      <c r="BG249" t="s">
        <v>37</v>
      </c>
      <c r="BH249">
        <v>127268</v>
      </c>
      <c r="BI249" t="s">
        <v>37</v>
      </c>
      <c r="BJ249">
        <v>79788</v>
      </c>
      <c r="BK249" t="s">
        <v>37</v>
      </c>
      <c r="BL249">
        <v>92032</v>
      </c>
      <c r="BM249" t="s">
        <v>37</v>
      </c>
      <c r="BO249" t="s">
        <v>37</v>
      </c>
      <c r="BQ249" t="s">
        <v>37</v>
      </c>
      <c r="BR249">
        <v>22902</v>
      </c>
      <c r="BS249" t="s">
        <v>37</v>
      </c>
      <c r="BU249" t="s">
        <v>37</v>
      </c>
      <c r="BW249" t="s">
        <v>37</v>
      </c>
      <c r="BX249">
        <v>322804</v>
      </c>
      <c r="BY249" t="s">
        <v>37</v>
      </c>
      <c r="CA249" t="s">
        <v>37</v>
      </c>
      <c r="CC249" t="s">
        <v>37</v>
      </c>
      <c r="CD249">
        <v>49675</v>
      </c>
      <c r="CE249" t="s">
        <v>37</v>
      </c>
      <c r="CG249" t="s">
        <v>37</v>
      </c>
      <c r="CH249">
        <v>389715</v>
      </c>
      <c r="CI249" t="s">
        <v>37</v>
      </c>
      <c r="CK249" t="s">
        <v>37</v>
      </c>
      <c r="CL249">
        <v>51798</v>
      </c>
      <c r="CM249" t="s">
        <v>37</v>
      </c>
      <c r="CO249" t="s">
        <v>37</v>
      </c>
      <c r="CQ249" t="s">
        <v>37</v>
      </c>
      <c r="CR249">
        <v>97683</v>
      </c>
      <c r="CS249" t="s">
        <v>37</v>
      </c>
      <c r="CT249">
        <v>463192</v>
      </c>
      <c r="CU249" t="s">
        <v>37</v>
      </c>
      <c r="CV249">
        <v>61959</v>
      </c>
      <c r="CW249" t="s">
        <v>37</v>
      </c>
      <c r="CY249" t="s">
        <v>37</v>
      </c>
      <c r="DA249" t="s">
        <v>37</v>
      </c>
      <c r="DC249" t="s">
        <v>37</v>
      </c>
      <c r="DD249">
        <v>52599</v>
      </c>
      <c r="DE249" t="s">
        <v>37</v>
      </c>
      <c r="DG249" t="s">
        <v>37</v>
      </c>
      <c r="DH249">
        <v>121069</v>
      </c>
      <c r="DI249" t="s">
        <v>37</v>
      </c>
      <c r="DK249" t="s">
        <v>37</v>
      </c>
      <c r="DL249">
        <v>100573</v>
      </c>
      <c r="DM249" t="s">
        <v>37</v>
      </c>
      <c r="DN249">
        <v>88918</v>
      </c>
      <c r="DO249" t="s">
        <v>37</v>
      </c>
      <c r="DP249">
        <v>103975</v>
      </c>
      <c r="DQ249" t="s">
        <v>37</v>
      </c>
      <c r="DS249" t="s">
        <v>37</v>
      </c>
      <c r="DU249" t="s">
        <v>37</v>
      </c>
      <c r="DV249">
        <v>97251</v>
      </c>
      <c r="DW249" t="s">
        <v>37</v>
      </c>
      <c r="DX249">
        <v>117864</v>
      </c>
      <c r="DY249" t="s">
        <v>37</v>
      </c>
      <c r="DZ249">
        <v>47191</v>
      </c>
      <c r="EA249" t="s">
        <v>37</v>
      </c>
      <c r="EC249" t="s">
        <v>37</v>
      </c>
      <c r="ED249">
        <v>93780</v>
      </c>
      <c r="EE249" t="s">
        <v>37</v>
      </c>
      <c r="EF249">
        <v>68522</v>
      </c>
      <c r="EG249" t="s">
        <v>37</v>
      </c>
      <c r="EH249">
        <v>46376</v>
      </c>
      <c r="EI249" t="s">
        <v>37</v>
      </c>
      <c r="EK249" t="s">
        <v>37</v>
      </c>
      <c r="EM249" t="s">
        <v>37</v>
      </c>
      <c r="EO249" t="s">
        <v>37</v>
      </c>
      <c r="EQ249" t="s">
        <v>37</v>
      </c>
      <c r="ER249">
        <v>166354</v>
      </c>
      <c r="ES249" t="s">
        <v>37</v>
      </c>
      <c r="ET249">
        <v>89517</v>
      </c>
      <c r="EU249" t="s">
        <v>37</v>
      </c>
      <c r="EV249">
        <v>76960</v>
      </c>
      <c r="EW249" t="s">
        <v>37</v>
      </c>
      <c r="EY249" t="s">
        <v>37</v>
      </c>
      <c r="FA249" t="s">
        <v>37</v>
      </c>
      <c r="FC249" t="s">
        <v>37</v>
      </c>
      <c r="FE249" t="s">
        <v>37</v>
      </c>
      <c r="FG249" t="s">
        <v>37</v>
      </c>
      <c r="FH249">
        <v>112389</v>
      </c>
      <c r="FI249" t="s">
        <v>37</v>
      </c>
      <c r="FJ249">
        <v>297666</v>
      </c>
      <c r="FK249" t="s">
        <v>37</v>
      </c>
      <c r="FL249">
        <v>92066</v>
      </c>
      <c r="FM249" t="s">
        <v>37</v>
      </c>
      <c r="FN249">
        <v>24334</v>
      </c>
      <c r="FO249" t="s">
        <v>37</v>
      </c>
      <c r="FQ249" t="s">
        <v>37</v>
      </c>
      <c r="FS249" t="s">
        <v>37</v>
      </c>
      <c r="FU249" t="s">
        <v>37</v>
      </c>
      <c r="FW249" t="s">
        <v>37</v>
      </c>
      <c r="FY249" t="s">
        <v>37</v>
      </c>
      <c r="GA249" t="s">
        <v>37</v>
      </c>
      <c r="GB249">
        <v>135558</v>
      </c>
      <c r="GC249" t="s">
        <v>37</v>
      </c>
      <c r="GE249" t="s">
        <v>37</v>
      </c>
      <c r="GG249" t="s">
        <v>37</v>
      </c>
      <c r="GI249" t="s">
        <v>37</v>
      </c>
      <c r="GK249" t="s">
        <v>37</v>
      </c>
      <c r="GL249">
        <v>547873</v>
      </c>
      <c r="GM249" t="s">
        <v>37</v>
      </c>
      <c r="GO249" t="s">
        <v>37</v>
      </c>
      <c r="GP249">
        <v>155265</v>
      </c>
      <c r="GQ249" t="s">
        <v>37</v>
      </c>
      <c r="GR249">
        <v>51363</v>
      </c>
      <c r="GS249" t="s">
        <v>37</v>
      </c>
      <c r="GU249" t="s">
        <v>37</v>
      </c>
      <c r="GV249">
        <v>58403</v>
      </c>
      <c r="GW249" t="s">
        <v>37</v>
      </c>
      <c r="GX249">
        <v>111829</v>
      </c>
      <c r="GY249" t="s">
        <v>37</v>
      </c>
      <c r="HA249" t="s">
        <v>37</v>
      </c>
      <c r="HC249" t="s">
        <v>37</v>
      </c>
      <c r="HD249">
        <v>117227</v>
      </c>
      <c r="HE249" t="s">
        <v>37</v>
      </c>
      <c r="HF249">
        <v>5913609</v>
      </c>
      <c r="HG249" t="s">
        <v>37</v>
      </c>
      <c r="HH249">
        <v>117227</v>
      </c>
      <c r="HI249" t="s">
        <v>37</v>
      </c>
      <c r="HJ249">
        <v>6030836</v>
      </c>
      <c r="HK249" t="s">
        <v>37</v>
      </c>
    </row>
    <row r="250" spans="1:219">
      <c r="A250">
        <v>4490</v>
      </c>
      <c r="B250" t="s">
        <v>259</v>
      </c>
      <c r="C250" t="s">
        <v>37</v>
      </c>
      <c r="E250" t="s">
        <v>37</v>
      </c>
      <c r="G250" t="s">
        <v>37</v>
      </c>
      <c r="I250" t="s">
        <v>37</v>
      </c>
      <c r="K250" s="48" t="s">
        <v>37</v>
      </c>
      <c r="L250" s="50"/>
      <c r="M250" s="48" t="s">
        <v>37</v>
      </c>
      <c r="N250" s="50"/>
      <c r="O250" s="48" t="s">
        <v>37</v>
      </c>
      <c r="P250" s="50"/>
      <c r="Q250" s="48" t="s">
        <v>37</v>
      </c>
      <c r="R250" s="50"/>
      <c r="S250" s="48" t="s">
        <v>37</v>
      </c>
      <c r="U250" t="s">
        <v>37</v>
      </c>
      <c r="W250" t="s">
        <v>37</v>
      </c>
      <c r="Y250" t="s">
        <v>37</v>
      </c>
      <c r="AA250" t="s">
        <v>37</v>
      </c>
      <c r="AC250" t="s">
        <v>37</v>
      </c>
      <c r="AE250" t="s">
        <v>37</v>
      </c>
      <c r="AG250" t="s">
        <v>37</v>
      </c>
      <c r="AI250" t="s">
        <v>37</v>
      </c>
      <c r="AK250" t="s">
        <v>37</v>
      </c>
      <c r="AM250" t="s">
        <v>37</v>
      </c>
      <c r="AO250" t="s">
        <v>37</v>
      </c>
      <c r="AQ250" t="s">
        <v>37</v>
      </c>
      <c r="AS250" t="s">
        <v>37</v>
      </c>
      <c r="AU250" t="s">
        <v>37</v>
      </c>
      <c r="AW250" t="s">
        <v>37</v>
      </c>
      <c r="AY250" t="s">
        <v>37</v>
      </c>
      <c r="BA250" t="s">
        <v>37</v>
      </c>
      <c r="BC250" t="s">
        <v>37</v>
      </c>
      <c r="BE250" t="s">
        <v>37</v>
      </c>
      <c r="BG250" t="s">
        <v>37</v>
      </c>
      <c r="BI250" t="s">
        <v>37</v>
      </c>
      <c r="BK250" t="s">
        <v>37</v>
      </c>
      <c r="BM250" t="s">
        <v>37</v>
      </c>
      <c r="BO250" t="s">
        <v>37</v>
      </c>
      <c r="BQ250" t="s">
        <v>37</v>
      </c>
      <c r="BS250" t="s">
        <v>37</v>
      </c>
      <c r="BU250" t="s">
        <v>37</v>
      </c>
      <c r="BW250" t="s">
        <v>37</v>
      </c>
      <c r="BY250" t="s">
        <v>37</v>
      </c>
      <c r="CA250" t="s">
        <v>37</v>
      </c>
      <c r="CC250" t="s">
        <v>37</v>
      </c>
      <c r="CE250" t="s">
        <v>37</v>
      </c>
      <c r="CG250" t="s">
        <v>37</v>
      </c>
      <c r="CI250" t="s">
        <v>37</v>
      </c>
      <c r="CK250" t="s">
        <v>37</v>
      </c>
      <c r="CM250" t="s">
        <v>37</v>
      </c>
      <c r="CO250" t="s">
        <v>37</v>
      </c>
      <c r="CQ250" t="s">
        <v>37</v>
      </c>
      <c r="CS250" t="s">
        <v>37</v>
      </c>
      <c r="CU250" t="s">
        <v>37</v>
      </c>
      <c r="CW250" t="s">
        <v>37</v>
      </c>
      <c r="CY250" t="s">
        <v>37</v>
      </c>
      <c r="DA250" t="s">
        <v>37</v>
      </c>
      <c r="DC250" t="s">
        <v>37</v>
      </c>
      <c r="DE250" t="s">
        <v>37</v>
      </c>
      <c r="DG250" t="s">
        <v>37</v>
      </c>
      <c r="DI250" t="s">
        <v>37</v>
      </c>
      <c r="DK250" t="s">
        <v>37</v>
      </c>
      <c r="DM250" t="s">
        <v>37</v>
      </c>
      <c r="DO250" t="s">
        <v>37</v>
      </c>
      <c r="DQ250" t="s">
        <v>37</v>
      </c>
      <c r="DS250" t="s">
        <v>37</v>
      </c>
      <c r="DU250" t="s">
        <v>37</v>
      </c>
      <c r="DW250" t="s">
        <v>37</v>
      </c>
      <c r="DY250" t="s">
        <v>37</v>
      </c>
      <c r="EA250" t="s">
        <v>37</v>
      </c>
      <c r="EC250" t="s">
        <v>37</v>
      </c>
      <c r="EE250" t="s">
        <v>37</v>
      </c>
      <c r="EG250" t="s">
        <v>37</v>
      </c>
      <c r="EI250" t="s">
        <v>37</v>
      </c>
      <c r="EK250" t="s">
        <v>37</v>
      </c>
      <c r="EM250" t="s">
        <v>37</v>
      </c>
      <c r="EO250" t="s">
        <v>37</v>
      </c>
      <c r="EQ250" t="s">
        <v>37</v>
      </c>
      <c r="ES250" t="s">
        <v>37</v>
      </c>
      <c r="EU250" t="s">
        <v>37</v>
      </c>
      <c r="EW250" t="s">
        <v>37</v>
      </c>
      <c r="EY250" t="s">
        <v>37</v>
      </c>
      <c r="FA250" t="s">
        <v>37</v>
      </c>
      <c r="FC250" t="s">
        <v>37</v>
      </c>
      <c r="FE250" t="s">
        <v>37</v>
      </c>
      <c r="FG250" t="s">
        <v>37</v>
      </c>
      <c r="FI250" t="s">
        <v>37</v>
      </c>
      <c r="FK250" t="s">
        <v>37</v>
      </c>
      <c r="FM250" t="s">
        <v>37</v>
      </c>
      <c r="FO250" t="s">
        <v>37</v>
      </c>
      <c r="FQ250" t="s">
        <v>37</v>
      </c>
      <c r="FS250" t="s">
        <v>37</v>
      </c>
      <c r="FU250" t="s">
        <v>37</v>
      </c>
      <c r="FW250" t="s">
        <v>37</v>
      </c>
      <c r="FY250" t="s">
        <v>37</v>
      </c>
      <c r="GA250" t="s">
        <v>37</v>
      </c>
      <c r="GC250" t="s">
        <v>37</v>
      </c>
      <c r="GE250" t="s">
        <v>37</v>
      </c>
      <c r="GG250" t="s">
        <v>37</v>
      </c>
      <c r="GI250" t="s">
        <v>37</v>
      </c>
      <c r="GK250" t="s">
        <v>37</v>
      </c>
      <c r="GM250" t="s">
        <v>37</v>
      </c>
      <c r="GO250" t="s">
        <v>37</v>
      </c>
      <c r="GQ250" t="s">
        <v>37</v>
      </c>
      <c r="GS250" t="s">
        <v>37</v>
      </c>
      <c r="GU250" t="s">
        <v>37</v>
      </c>
      <c r="GW250" t="s">
        <v>37</v>
      </c>
      <c r="GY250" t="s">
        <v>37</v>
      </c>
      <c r="HA250" t="s">
        <v>37</v>
      </c>
      <c r="HC250" t="s">
        <v>37</v>
      </c>
      <c r="HD250">
        <v>26304</v>
      </c>
      <c r="HE250" t="s">
        <v>37</v>
      </c>
      <c r="HG250" t="s">
        <v>37</v>
      </c>
      <c r="HH250">
        <v>26304</v>
      </c>
      <c r="HI250" t="s">
        <v>37</v>
      </c>
      <c r="HJ250">
        <v>26304</v>
      </c>
      <c r="HK250" t="s">
        <v>37</v>
      </c>
    </row>
    <row r="251" spans="1:219">
      <c r="A251">
        <v>4500</v>
      </c>
      <c r="B251" t="s">
        <v>260</v>
      </c>
      <c r="C251" t="s">
        <v>37</v>
      </c>
      <c r="E251" t="s">
        <v>37</v>
      </c>
      <c r="G251" t="s">
        <v>37</v>
      </c>
      <c r="I251" t="s">
        <v>37</v>
      </c>
      <c r="K251" s="48" t="s">
        <v>37</v>
      </c>
      <c r="L251" s="50"/>
      <c r="M251" s="48" t="s">
        <v>37</v>
      </c>
      <c r="N251" s="50"/>
      <c r="O251" s="48" t="s">
        <v>37</v>
      </c>
      <c r="P251" s="50"/>
      <c r="Q251" s="48" t="s">
        <v>37</v>
      </c>
      <c r="R251" s="50"/>
      <c r="S251" s="48" t="s">
        <v>37</v>
      </c>
      <c r="U251" t="s">
        <v>37</v>
      </c>
      <c r="W251" t="s">
        <v>37</v>
      </c>
      <c r="Y251" t="s">
        <v>37</v>
      </c>
      <c r="AA251" t="s">
        <v>37</v>
      </c>
      <c r="AC251" t="s">
        <v>37</v>
      </c>
      <c r="AE251" t="s">
        <v>37</v>
      </c>
      <c r="AG251" t="s">
        <v>37</v>
      </c>
      <c r="AI251" t="s">
        <v>37</v>
      </c>
      <c r="AK251" t="s">
        <v>37</v>
      </c>
      <c r="AM251" t="s">
        <v>37</v>
      </c>
      <c r="AO251" t="s">
        <v>37</v>
      </c>
      <c r="AQ251" t="s">
        <v>37</v>
      </c>
      <c r="AS251" t="s">
        <v>37</v>
      </c>
      <c r="AU251" t="s">
        <v>37</v>
      </c>
      <c r="AW251" t="s">
        <v>37</v>
      </c>
      <c r="AY251" t="s">
        <v>37</v>
      </c>
      <c r="BA251" t="s">
        <v>37</v>
      </c>
      <c r="BC251" t="s">
        <v>37</v>
      </c>
      <c r="BE251" t="s">
        <v>37</v>
      </c>
      <c r="BG251" t="s">
        <v>37</v>
      </c>
      <c r="BI251" t="s">
        <v>37</v>
      </c>
      <c r="BK251" t="s">
        <v>37</v>
      </c>
      <c r="BM251" t="s">
        <v>37</v>
      </c>
      <c r="BO251" t="s">
        <v>37</v>
      </c>
      <c r="BQ251" t="s">
        <v>37</v>
      </c>
      <c r="BS251" t="s">
        <v>37</v>
      </c>
      <c r="BU251" t="s">
        <v>37</v>
      </c>
      <c r="BW251" t="s">
        <v>37</v>
      </c>
      <c r="BY251" t="s">
        <v>37</v>
      </c>
      <c r="CA251" t="s">
        <v>37</v>
      </c>
      <c r="CC251" t="s">
        <v>37</v>
      </c>
      <c r="CE251" t="s">
        <v>37</v>
      </c>
      <c r="CG251" t="s">
        <v>37</v>
      </c>
      <c r="CI251" t="s">
        <v>37</v>
      </c>
      <c r="CK251" t="s">
        <v>37</v>
      </c>
      <c r="CM251" t="s">
        <v>37</v>
      </c>
      <c r="CO251" t="s">
        <v>37</v>
      </c>
      <c r="CQ251" t="s">
        <v>37</v>
      </c>
      <c r="CS251" t="s">
        <v>37</v>
      </c>
      <c r="CU251" t="s">
        <v>37</v>
      </c>
      <c r="CW251" t="s">
        <v>37</v>
      </c>
      <c r="CY251" t="s">
        <v>37</v>
      </c>
      <c r="DA251" t="s">
        <v>37</v>
      </c>
      <c r="DC251" t="s">
        <v>37</v>
      </c>
      <c r="DE251" t="s">
        <v>37</v>
      </c>
      <c r="DG251" t="s">
        <v>37</v>
      </c>
      <c r="DI251" t="s">
        <v>37</v>
      </c>
      <c r="DK251" t="s">
        <v>37</v>
      </c>
      <c r="DM251" t="s">
        <v>37</v>
      </c>
      <c r="DO251" t="s">
        <v>37</v>
      </c>
      <c r="DQ251" t="s">
        <v>37</v>
      </c>
      <c r="DS251" t="s">
        <v>37</v>
      </c>
      <c r="DU251" t="s">
        <v>37</v>
      </c>
      <c r="DW251" t="s">
        <v>37</v>
      </c>
      <c r="DY251" t="s">
        <v>37</v>
      </c>
      <c r="EA251" t="s">
        <v>37</v>
      </c>
      <c r="EC251" t="s">
        <v>37</v>
      </c>
      <c r="EE251" t="s">
        <v>37</v>
      </c>
      <c r="EG251" t="s">
        <v>37</v>
      </c>
      <c r="EI251" t="s">
        <v>37</v>
      </c>
      <c r="EK251" t="s">
        <v>37</v>
      </c>
      <c r="EM251" t="s">
        <v>37</v>
      </c>
      <c r="EO251" t="s">
        <v>37</v>
      </c>
      <c r="EQ251" t="s">
        <v>37</v>
      </c>
      <c r="ES251" t="s">
        <v>37</v>
      </c>
      <c r="EU251" t="s">
        <v>37</v>
      </c>
      <c r="EW251" t="s">
        <v>37</v>
      </c>
      <c r="EY251" t="s">
        <v>37</v>
      </c>
      <c r="FA251" t="s">
        <v>37</v>
      </c>
      <c r="FC251" t="s">
        <v>37</v>
      </c>
      <c r="FE251" t="s">
        <v>37</v>
      </c>
      <c r="FG251" t="s">
        <v>37</v>
      </c>
      <c r="FI251" t="s">
        <v>37</v>
      </c>
      <c r="FK251" t="s">
        <v>37</v>
      </c>
      <c r="FM251" t="s">
        <v>37</v>
      </c>
      <c r="FO251" t="s">
        <v>37</v>
      </c>
      <c r="FQ251" t="s">
        <v>37</v>
      </c>
      <c r="FS251" t="s">
        <v>37</v>
      </c>
      <c r="FU251" t="s">
        <v>37</v>
      </c>
      <c r="FW251" t="s">
        <v>37</v>
      </c>
      <c r="FY251" t="s">
        <v>37</v>
      </c>
      <c r="GA251" t="s">
        <v>37</v>
      </c>
      <c r="GC251" t="s">
        <v>37</v>
      </c>
      <c r="GE251" t="s">
        <v>37</v>
      </c>
      <c r="GG251" t="s">
        <v>37</v>
      </c>
      <c r="GI251" t="s">
        <v>37</v>
      </c>
      <c r="GK251" t="s">
        <v>37</v>
      </c>
      <c r="GM251" t="s">
        <v>37</v>
      </c>
      <c r="GO251" t="s">
        <v>37</v>
      </c>
      <c r="GQ251" t="s">
        <v>37</v>
      </c>
      <c r="GS251" t="s">
        <v>37</v>
      </c>
      <c r="GU251" t="s">
        <v>37</v>
      </c>
      <c r="GW251" t="s">
        <v>37</v>
      </c>
      <c r="GY251" t="s">
        <v>37</v>
      </c>
      <c r="HA251" t="s">
        <v>37</v>
      </c>
      <c r="HC251" t="s">
        <v>37</v>
      </c>
      <c r="HE251" t="s">
        <v>37</v>
      </c>
      <c r="HG251" t="s">
        <v>37</v>
      </c>
      <c r="HI251" t="s">
        <v>37</v>
      </c>
      <c r="HK251" t="s">
        <v>37</v>
      </c>
    </row>
    <row r="252" spans="1:219">
      <c r="A252">
        <v>4500</v>
      </c>
      <c r="B252" t="s">
        <v>261</v>
      </c>
      <c r="C252" t="s">
        <v>37</v>
      </c>
      <c r="E252" t="s">
        <v>37</v>
      </c>
      <c r="G252" t="s">
        <v>37</v>
      </c>
      <c r="I252" t="s">
        <v>37</v>
      </c>
      <c r="K252" s="48" t="s">
        <v>37</v>
      </c>
      <c r="L252" s="50"/>
      <c r="M252" s="48" t="s">
        <v>37</v>
      </c>
      <c r="N252" s="50"/>
      <c r="O252" s="48" t="s">
        <v>37</v>
      </c>
      <c r="P252" s="50"/>
      <c r="Q252" s="48" t="s">
        <v>37</v>
      </c>
      <c r="R252" s="50"/>
      <c r="S252" s="48" t="s">
        <v>37</v>
      </c>
      <c r="U252" t="s">
        <v>37</v>
      </c>
      <c r="W252" t="s">
        <v>37</v>
      </c>
      <c r="Y252" t="s">
        <v>37</v>
      </c>
      <c r="AA252" t="s">
        <v>37</v>
      </c>
      <c r="AC252" t="s">
        <v>37</v>
      </c>
      <c r="AE252" t="s">
        <v>37</v>
      </c>
      <c r="AG252" t="s">
        <v>37</v>
      </c>
      <c r="AI252" t="s">
        <v>37</v>
      </c>
      <c r="AK252" t="s">
        <v>37</v>
      </c>
      <c r="AM252" t="s">
        <v>37</v>
      </c>
      <c r="AO252" t="s">
        <v>37</v>
      </c>
      <c r="AQ252" t="s">
        <v>37</v>
      </c>
      <c r="AS252" t="s">
        <v>37</v>
      </c>
      <c r="AU252" t="s">
        <v>37</v>
      </c>
      <c r="AW252" t="s">
        <v>37</v>
      </c>
      <c r="AY252" t="s">
        <v>37</v>
      </c>
      <c r="BA252" t="s">
        <v>37</v>
      </c>
      <c r="BC252" t="s">
        <v>37</v>
      </c>
      <c r="BE252" t="s">
        <v>37</v>
      </c>
      <c r="BG252" t="s">
        <v>37</v>
      </c>
      <c r="BI252" t="s">
        <v>37</v>
      </c>
      <c r="BK252" t="s">
        <v>37</v>
      </c>
      <c r="BM252" t="s">
        <v>37</v>
      </c>
      <c r="BO252" t="s">
        <v>37</v>
      </c>
      <c r="BQ252" t="s">
        <v>37</v>
      </c>
      <c r="BS252" t="s">
        <v>37</v>
      </c>
      <c r="BU252" t="s">
        <v>37</v>
      </c>
      <c r="BW252" t="s">
        <v>37</v>
      </c>
      <c r="BY252" t="s">
        <v>37</v>
      </c>
      <c r="CA252" t="s">
        <v>37</v>
      </c>
      <c r="CC252" t="s">
        <v>37</v>
      </c>
      <c r="CE252" t="s">
        <v>37</v>
      </c>
      <c r="CG252" t="s">
        <v>37</v>
      </c>
      <c r="CI252" t="s">
        <v>37</v>
      </c>
      <c r="CK252" t="s">
        <v>37</v>
      </c>
      <c r="CM252" t="s">
        <v>37</v>
      </c>
      <c r="CO252" t="s">
        <v>37</v>
      </c>
      <c r="CQ252" t="s">
        <v>37</v>
      </c>
      <c r="CS252" t="s">
        <v>37</v>
      </c>
      <c r="CU252" t="s">
        <v>37</v>
      </c>
      <c r="CW252" t="s">
        <v>37</v>
      </c>
      <c r="CY252" t="s">
        <v>37</v>
      </c>
      <c r="DA252" t="s">
        <v>37</v>
      </c>
      <c r="DC252" t="s">
        <v>37</v>
      </c>
      <c r="DE252" t="s">
        <v>37</v>
      </c>
      <c r="DG252" t="s">
        <v>37</v>
      </c>
      <c r="DI252" t="s">
        <v>37</v>
      </c>
      <c r="DK252" t="s">
        <v>37</v>
      </c>
      <c r="DM252" t="s">
        <v>37</v>
      </c>
      <c r="DO252" t="s">
        <v>37</v>
      </c>
      <c r="DQ252" t="s">
        <v>37</v>
      </c>
      <c r="DS252" t="s">
        <v>37</v>
      </c>
      <c r="DU252" t="s">
        <v>37</v>
      </c>
      <c r="DW252" t="s">
        <v>37</v>
      </c>
      <c r="DY252" t="s">
        <v>37</v>
      </c>
      <c r="EA252" t="s">
        <v>37</v>
      </c>
      <c r="EC252" t="s">
        <v>37</v>
      </c>
      <c r="EE252" t="s">
        <v>37</v>
      </c>
      <c r="EG252" t="s">
        <v>37</v>
      </c>
      <c r="EI252" t="s">
        <v>37</v>
      </c>
      <c r="EK252" t="s">
        <v>37</v>
      </c>
      <c r="EM252" t="s">
        <v>37</v>
      </c>
      <c r="EO252" t="s">
        <v>37</v>
      </c>
      <c r="EQ252" t="s">
        <v>37</v>
      </c>
      <c r="ES252" t="s">
        <v>37</v>
      </c>
      <c r="EU252" t="s">
        <v>37</v>
      </c>
      <c r="EW252" t="s">
        <v>37</v>
      </c>
      <c r="EY252" t="s">
        <v>37</v>
      </c>
      <c r="FA252" t="s">
        <v>37</v>
      </c>
      <c r="FC252" t="s">
        <v>37</v>
      </c>
      <c r="FE252" t="s">
        <v>37</v>
      </c>
      <c r="FG252" t="s">
        <v>37</v>
      </c>
      <c r="FI252" t="s">
        <v>37</v>
      </c>
      <c r="FK252" t="s">
        <v>37</v>
      </c>
      <c r="FM252" t="s">
        <v>37</v>
      </c>
      <c r="FO252" t="s">
        <v>37</v>
      </c>
      <c r="FQ252" t="s">
        <v>37</v>
      </c>
      <c r="FS252" t="s">
        <v>37</v>
      </c>
      <c r="FU252" t="s">
        <v>37</v>
      </c>
      <c r="FW252" t="s">
        <v>37</v>
      </c>
      <c r="FY252" t="s">
        <v>37</v>
      </c>
      <c r="GA252" t="s">
        <v>37</v>
      </c>
      <c r="GC252" t="s">
        <v>37</v>
      </c>
      <c r="GE252" t="s">
        <v>37</v>
      </c>
      <c r="GG252" t="s">
        <v>37</v>
      </c>
      <c r="GI252" t="s">
        <v>37</v>
      </c>
      <c r="GK252" t="s">
        <v>37</v>
      </c>
      <c r="GM252" t="s">
        <v>37</v>
      </c>
      <c r="GO252" t="s">
        <v>37</v>
      </c>
      <c r="GQ252" t="s">
        <v>37</v>
      </c>
      <c r="GS252" t="s">
        <v>37</v>
      </c>
      <c r="GU252" t="s">
        <v>37</v>
      </c>
      <c r="GW252" t="s">
        <v>37</v>
      </c>
      <c r="GY252" t="s">
        <v>37</v>
      </c>
      <c r="HA252" t="s">
        <v>37</v>
      </c>
      <c r="HC252" t="s">
        <v>37</v>
      </c>
      <c r="HE252" t="s">
        <v>37</v>
      </c>
      <c r="HG252" t="s">
        <v>37</v>
      </c>
      <c r="HI252" t="s">
        <v>37</v>
      </c>
      <c r="HK252" t="s">
        <v>37</v>
      </c>
    </row>
    <row r="253" spans="1:219">
      <c r="A253">
        <v>4510</v>
      </c>
      <c r="B253" t="s">
        <v>262</v>
      </c>
      <c r="C253" t="s">
        <v>37</v>
      </c>
      <c r="D253">
        <v>924492</v>
      </c>
      <c r="E253" t="s">
        <v>37</v>
      </c>
      <c r="F253">
        <v>6426686</v>
      </c>
      <c r="G253" t="s">
        <v>37</v>
      </c>
      <c r="H253">
        <v>365953</v>
      </c>
      <c r="I253" t="s">
        <v>37</v>
      </c>
      <c r="K253" s="48" t="s">
        <v>37</v>
      </c>
      <c r="L253" s="51">
        <v>1641725</v>
      </c>
      <c r="M253" s="48" t="s">
        <v>37</v>
      </c>
      <c r="N253" s="51">
        <v>877953</v>
      </c>
      <c r="O253" s="48" t="s">
        <v>37</v>
      </c>
      <c r="P253" s="51">
        <v>638760</v>
      </c>
      <c r="Q253" s="48" t="s">
        <v>37</v>
      </c>
      <c r="R253" s="51">
        <v>679168</v>
      </c>
      <c r="S253" s="48" t="s">
        <v>37</v>
      </c>
      <c r="T253">
        <v>3050265</v>
      </c>
      <c r="U253" t="s">
        <v>37</v>
      </c>
      <c r="W253" t="s">
        <v>37</v>
      </c>
      <c r="Y253" t="s">
        <v>37</v>
      </c>
      <c r="Z253">
        <v>409791</v>
      </c>
      <c r="AA253" t="s">
        <v>37</v>
      </c>
      <c r="AB253">
        <v>247597</v>
      </c>
      <c r="AC253" t="s">
        <v>37</v>
      </c>
      <c r="AD253">
        <v>327470</v>
      </c>
      <c r="AE253" t="s">
        <v>37</v>
      </c>
      <c r="AF253">
        <v>265301</v>
      </c>
      <c r="AG253" t="s">
        <v>37</v>
      </c>
      <c r="AH253">
        <v>593997</v>
      </c>
      <c r="AI253" t="s">
        <v>37</v>
      </c>
      <c r="AK253" t="s">
        <v>37</v>
      </c>
      <c r="AL253">
        <v>4682256</v>
      </c>
      <c r="AM253" t="s">
        <v>37</v>
      </c>
      <c r="AO253" t="s">
        <v>37</v>
      </c>
      <c r="AP253">
        <v>5476511</v>
      </c>
      <c r="AQ253" t="s">
        <v>37</v>
      </c>
      <c r="AR253">
        <v>578918</v>
      </c>
      <c r="AS253" t="s">
        <v>37</v>
      </c>
      <c r="AT253">
        <v>12069416</v>
      </c>
      <c r="AU253" t="s">
        <v>37</v>
      </c>
      <c r="AV253">
        <v>2318052</v>
      </c>
      <c r="AW253" t="s">
        <v>37</v>
      </c>
      <c r="AX253">
        <v>1663745</v>
      </c>
      <c r="AY253" t="s">
        <v>37</v>
      </c>
      <c r="AZ253">
        <v>1725529</v>
      </c>
      <c r="BA253" t="s">
        <v>37</v>
      </c>
      <c r="BB253">
        <v>324964</v>
      </c>
      <c r="BC253" t="s">
        <v>37</v>
      </c>
      <c r="BD253">
        <v>964538</v>
      </c>
      <c r="BE253" t="s">
        <v>37</v>
      </c>
      <c r="BF253">
        <v>282677</v>
      </c>
      <c r="BG253" t="s">
        <v>37</v>
      </c>
      <c r="BI253" t="s">
        <v>37</v>
      </c>
      <c r="BJ253">
        <v>1527923</v>
      </c>
      <c r="BK253" t="s">
        <v>37</v>
      </c>
      <c r="BL253">
        <v>3089639</v>
      </c>
      <c r="BM253" t="s">
        <v>37</v>
      </c>
      <c r="BO253" t="s">
        <v>37</v>
      </c>
      <c r="BP253">
        <v>176356</v>
      </c>
      <c r="BQ253" t="s">
        <v>37</v>
      </c>
      <c r="BR253">
        <v>813231</v>
      </c>
      <c r="BS253" t="s">
        <v>37</v>
      </c>
      <c r="BT253">
        <v>330687</v>
      </c>
      <c r="BU253" t="s">
        <v>37</v>
      </c>
      <c r="BW253" t="s">
        <v>37</v>
      </c>
      <c r="BX253">
        <v>3231590</v>
      </c>
      <c r="BY253" t="s">
        <v>37</v>
      </c>
      <c r="BZ253">
        <v>462448</v>
      </c>
      <c r="CA253" t="s">
        <v>37</v>
      </c>
      <c r="CC253" t="s">
        <v>37</v>
      </c>
      <c r="CD253">
        <v>1092435</v>
      </c>
      <c r="CE253" t="s">
        <v>37</v>
      </c>
      <c r="CF253">
        <v>1074572</v>
      </c>
      <c r="CG253" t="s">
        <v>37</v>
      </c>
      <c r="CH253">
        <v>4025470</v>
      </c>
      <c r="CI253" t="s">
        <v>37</v>
      </c>
      <c r="CJ253">
        <v>305086</v>
      </c>
      <c r="CK253" t="s">
        <v>37</v>
      </c>
      <c r="CL253">
        <v>1002272</v>
      </c>
      <c r="CM253" t="s">
        <v>37</v>
      </c>
      <c r="CN253">
        <v>238913</v>
      </c>
      <c r="CO253" t="s">
        <v>37</v>
      </c>
      <c r="CP253">
        <v>406360</v>
      </c>
      <c r="CQ253" t="s">
        <v>37</v>
      </c>
      <c r="CR253">
        <v>2910638</v>
      </c>
      <c r="CS253" t="s">
        <v>37</v>
      </c>
      <c r="CT253">
        <v>15818021</v>
      </c>
      <c r="CU253" t="s">
        <v>37</v>
      </c>
      <c r="CV253">
        <v>2206199</v>
      </c>
      <c r="CW253" t="s">
        <v>37</v>
      </c>
      <c r="CX253">
        <v>294785</v>
      </c>
      <c r="CY253" t="s">
        <v>37</v>
      </c>
      <c r="CZ253">
        <v>410797</v>
      </c>
      <c r="DA253" t="s">
        <v>37</v>
      </c>
      <c r="DC253" t="s">
        <v>37</v>
      </c>
      <c r="DD253">
        <v>623806</v>
      </c>
      <c r="DE253" t="s">
        <v>37</v>
      </c>
      <c r="DF253">
        <v>351803</v>
      </c>
      <c r="DG253" t="s">
        <v>37</v>
      </c>
      <c r="DH253">
        <v>8745318</v>
      </c>
      <c r="DI253" t="s">
        <v>37</v>
      </c>
      <c r="DJ253">
        <v>814844</v>
      </c>
      <c r="DK253" t="s">
        <v>37</v>
      </c>
      <c r="DL253">
        <v>2398087</v>
      </c>
      <c r="DM253" t="s">
        <v>37</v>
      </c>
      <c r="DN253">
        <v>2315458</v>
      </c>
      <c r="DO253" t="s">
        <v>37</v>
      </c>
      <c r="DP253">
        <v>1365097</v>
      </c>
      <c r="DQ253" t="s">
        <v>37</v>
      </c>
      <c r="DR253">
        <v>894612</v>
      </c>
      <c r="DS253" t="s">
        <v>37</v>
      </c>
      <c r="DT253">
        <v>715015</v>
      </c>
      <c r="DU253" t="s">
        <v>37</v>
      </c>
      <c r="DV253">
        <v>4195793</v>
      </c>
      <c r="DW253" t="s">
        <v>37</v>
      </c>
      <c r="DX253">
        <v>2172747</v>
      </c>
      <c r="DY253" t="s">
        <v>37</v>
      </c>
      <c r="DZ253">
        <v>515371</v>
      </c>
      <c r="EA253" t="s">
        <v>37</v>
      </c>
      <c r="EB253">
        <v>860216</v>
      </c>
      <c r="EC253" t="s">
        <v>37</v>
      </c>
      <c r="ED253">
        <v>2975537</v>
      </c>
      <c r="EE253" t="s">
        <v>37</v>
      </c>
      <c r="EF253">
        <v>251253</v>
      </c>
      <c r="EG253" t="s">
        <v>37</v>
      </c>
      <c r="EI253" t="s">
        <v>37</v>
      </c>
      <c r="EJ253">
        <v>843583</v>
      </c>
      <c r="EK253" t="s">
        <v>37</v>
      </c>
      <c r="EL253">
        <v>547742</v>
      </c>
      <c r="EM253" t="s">
        <v>37</v>
      </c>
      <c r="EN253">
        <v>254075</v>
      </c>
      <c r="EO253" t="s">
        <v>37</v>
      </c>
      <c r="EQ253" t="s">
        <v>37</v>
      </c>
      <c r="ER253">
        <v>1440073</v>
      </c>
      <c r="ES253" t="s">
        <v>37</v>
      </c>
      <c r="ET253">
        <v>1640306</v>
      </c>
      <c r="EU253" t="s">
        <v>37</v>
      </c>
      <c r="EV253">
        <v>2758223</v>
      </c>
      <c r="EW253" t="s">
        <v>37</v>
      </c>
      <c r="EY253" t="s">
        <v>37</v>
      </c>
      <c r="EZ253">
        <v>1109358</v>
      </c>
      <c r="FA253" t="s">
        <v>37</v>
      </c>
      <c r="FB253">
        <v>1015309</v>
      </c>
      <c r="FC253" t="s">
        <v>37</v>
      </c>
      <c r="FD253">
        <v>2017587</v>
      </c>
      <c r="FE253" t="s">
        <v>37</v>
      </c>
      <c r="FG253" t="s">
        <v>37</v>
      </c>
      <c r="FH253">
        <v>3694865</v>
      </c>
      <c r="FI253" t="s">
        <v>37</v>
      </c>
      <c r="FJ253">
        <v>6933056</v>
      </c>
      <c r="FK253" t="s">
        <v>37</v>
      </c>
      <c r="FL253">
        <v>3914728</v>
      </c>
      <c r="FM253" t="s">
        <v>37</v>
      </c>
      <c r="FN253">
        <v>590168</v>
      </c>
      <c r="FO253" t="s">
        <v>37</v>
      </c>
      <c r="FP253">
        <v>1051506</v>
      </c>
      <c r="FQ253" t="s">
        <v>37</v>
      </c>
      <c r="FR253">
        <v>2080885</v>
      </c>
      <c r="FS253" t="s">
        <v>37</v>
      </c>
      <c r="FT253">
        <v>632655</v>
      </c>
      <c r="FU253" t="s">
        <v>37</v>
      </c>
      <c r="FV253">
        <v>604746</v>
      </c>
      <c r="FW253" t="s">
        <v>37</v>
      </c>
      <c r="FX253">
        <v>1321824</v>
      </c>
      <c r="FY253" t="s">
        <v>37</v>
      </c>
      <c r="FZ253">
        <v>2019886</v>
      </c>
      <c r="GA253" t="s">
        <v>37</v>
      </c>
      <c r="GB253">
        <v>2550521</v>
      </c>
      <c r="GC253" t="s">
        <v>37</v>
      </c>
      <c r="GE253" t="s">
        <v>37</v>
      </c>
      <c r="GG253" t="s">
        <v>37</v>
      </c>
      <c r="GI253" t="s">
        <v>37</v>
      </c>
      <c r="GJ253">
        <v>2542739</v>
      </c>
      <c r="GK253" t="s">
        <v>37</v>
      </c>
      <c r="GL253">
        <v>2697264</v>
      </c>
      <c r="GM253" t="s">
        <v>37</v>
      </c>
      <c r="GO253" t="s">
        <v>37</v>
      </c>
      <c r="GP253">
        <v>1042735</v>
      </c>
      <c r="GQ253" t="s">
        <v>37</v>
      </c>
      <c r="GR253">
        <v>1908654</v>
      </c>
      <c r="GS253" t="s">
        <v>37</v>
      </c>
      <c r="GT253">
        <v>1082705</v>
      </c>
      <c r="GU253" t="s">
        <v>37</v>
      </c>
      <c r="GV253">
        <v>965380</v>
      </c>
      <c r="GW253" t="s">
        <v>37</v>
      </c>
      <c r="GX253">
        <v>3426320</v>
      </c>
      <c r="GY253" t="s">
        <v>37</v>
      </c>
      <c r="GZ253">
        <v>1182179</v>
      </c>
      <c r="HA253" t="s">
        <v>37</v>
      </c>
      <c r="HB253">
        <v>446328</v>
      </c>
      <c r="HC253" t="s">
        <v>37</v>
      </c>
      <c r="HD253">
        <v>147339</v>
      </c>
      <c r="HE253" t="s">
        <v>37</v>
      </c>
      <c r="HF253">
        <v>167017215</v>
      </c>
      <c r="HG253" t="s">
        <v>37</v>
      </c>
      <c r="HH253">
        <v>593667</v>
      </c>
      <c r="HI253" t="s">
        <v>37</v>
      </c>
      <c r="HJ253">
        <v>167610882</v>
      </c>
      <c r="HK253" t="s">
        <v>37</v>
      </c>
    </row>
    <row r="254" spans="1:219">
      <c r="A254">
        <v>4520</v>
      </c>
      <c r="B254" s="44" t="s">
        <v>687</v>
      </c>
      <c r="C254" t="s">
        <v>37</v>
      </c>
      <c r="D254">
        <v>62401</v>
      </c>
      <c r="E254" t="s">
        <v>37</v>
      </c>
      <c r="F254">
        <v>206055</v>
      </c>
      <c r="G254" t="s">
        <v>37</v>
      </c>
      <c r="H254">
        <v>18079</v>
      </c>
      <c r="I254" t="s">
        <v>37</v>
      </c>
      <c r="K254" s="48" t="s">
        <v>37</v>
      </c>
      <c r="L254" s="51">
        <v>79406</v>
      </c>
      <c r="M254" s="48" t="s">
        <v>37</v>
      </c>
      <c r="N254" s="51">
        <v>58001</v>
      </c>
      <c r="O254" s="48" t="s">
        <v>37</v>
      </c>
      <c r="P254" s="51">
        <v>61050</v>
      </c>
      <c r="Q254" s="48" t="s">
        <v>37</v>
      </c>
      <c r="R254" s="51">
        <v>24181</v>
      </c>
      <c r="S254" s="48" t="s">
        <v>37</v>
      </c>
      <c r="T254">
        <v>72592</v>
      </c>
      <c r="U254" t="s">
        <v>37</v>
      </c>
      <c r="W254" t="s">
        <v>37</v>
      </c>
      <c r="Y254" t="s">
        <v>37</v>
      </c>
      <c r="Z254">
        <v>39157</v>
      </c>
      <c r="AA254" t="s">
        <v>37</v>
      </c>
      <c r="AB254">
        <v>15225</v>
      </c>
      <c r="AC254" t="s">
        <v>37</v>
      </c>
      <c r="AD254">
        <v>23883</v>
      </c>
      <c r="AE254" t="s">
        <v>37</v>
      </c>
      <c r="AF254">
        <v>29638</v>
      </c>
      <c r="AG254" t="s">
        <v>37</v>
      </c>
      <c r="AH254">
        <v>44165</v>
      </c>
      <c r="AI254" t="s">
        <v>37</v>
      </c>
      <c r="AK254" t="s">
        <v>37</v>
      </c>
      <c r="AL254">
        <v>168682</v>
      </c>
      <c r="AM254" t="s">
        <v>37</v>
      </c>
      <c r="AO254" t="s">
        <v>37</v>
      </c>
      <c r="AP254">
        <v>307552</v>
      </c>
      <c r="AQ254" t="s">
        <v>37</v>
      </c>
      <c r="AR254">
        <v>86336</v>
      </c>
      <c r="AS254" t="s">
        <v>37</v>
      </c>
      <c r="AT254">
        <v>379451</v>
      </c>
      <c r="AU254" t="s">
        <v>37</v>
      </c>
      <c r="AV254">
        <v>70461</v>
      </c>
      <c r="AW254" t="s">
        <v>37</v>
      </c>
      <c r="AX254">
        <v>71779</v>
      </c>
      <c r="AY254" t="s">
        <v>37</v>
      </c>
      <c r="AZ254">
        <v>73528</v>
      </c>
      <c r="BA254" t="s">
        <v>37</v>
      </c>
      <c r="BB254">
        <v>15348</v>
      </c>
      <c r="BC254" t="s">
        <v>37</v>
      </c>
      <c r="BD254">
        <v>75852</v>
      </c>
      <c r="BE254" t="s">
        <v>37</v>
      </c>
      <c r="BF254">
        <v>5702</v>
      </c>
      <c r="BG254" t="s">
        <v>37</v>
      </c>
      <c r="BI254" t="s">
        <v>37</v>
      </c>
      <c r="BJ254">
        <v>58523</v>
      </c>
      <c r="BK254" t="s">
        <v>37</v>
      </c>
      <c r="BL254">
        <v>121614</v>
      </c>
      <c r="BM254" t="s">
        <v>37</v>
      </c>
      <c r="BO254" t="s">
        <v>37</v>
      </c>
      <c r="BP254">
        <v>15505</v>
      </c>
      <c r="BQ254" t="s">
        <v>37</v>
      </c>
      <c r="BR254">
        <v>67387</v>
      </c>
      <c r="BS254" t="s">
        <v>37</v>
      </c>
      <c r="BT254">
        <v>22880</v>
      </c>
      <c r="BU254" t="s">
        <v>37</v>
      </c>
      <c r="BW254" t="s">
        <v>37</v>
      </c>
      <c r="BX254">
        <v>112921</v>
      </c>
      <c r="BY254" t="s">
        <v>37</v>
      </c>
      <c r="BZ254">
        <v>24082</v>
      </c>
      <c r="CA254" t="s">
        <v>37</v>
      </c>
      <c r="CC254" t="s">
        <v>37</v>
      </c>
      <c r="CD254">
        <v>55125</v>
      </c>
      <c r="CE254" t="s">
        <v>37</v>
      </c>
      <c r="CF254">
        <v>88597</v>
      </c>
      <c r="CG254" t="s">
        <v>37</v>
      </c>
      <c r="CH254">
        <v>194660</v>
      </c>
      <c r="CI254" t="s">
        <v>37</v>
      </c>
      <c r="CJ254">
        <v>14816</v>
      </c>
      <c r="CK254" t="s">
        <v>37</v>
      </c>
      <c r="CL254">
        <v>61710</v>
      </c>
      <c r="CM254" t="s">
        <v>37</v>
      </c>
      <c r="CN254">
        <v>17957</v>
      </c>
      <c r="CO254" t="s">
        <v>37</v>
      </c>
      <c r="CP254">
        <v>24875</v>
      </c>
      <c r="CQ254" t="s">
        <v>37</v>
      </c>
      <c r="CR254">
        <v>132439</v>
      </c>
      <c r="CS254" t="s">
        <v>37</v>
      </c>
      <c r="CT254">
        <v>506386</v>
      </c>
      <c r="CU254" t="s">
        <v>37</v>
      </c>
      <c r="CV254">
        <v>149914</v>
      </c>
      <c r="CW254" t="s">
        <v>37</v>
      </c>
      <c r="CX254">
        <v>21207</v>
      </c>
      <c r="CY254" t="s">
        <v>37</v>
      </c>
      <c r="CZ254">
        <v>12848</v>
      </c>
      <c r="DA254" t="s">
        <v>37</v>
      </c>
      <c r="DC254" t="s">
        <v>37</v>
      </c>
      <c r="DD254">
        <v>11704</v>
      </c>
      <c r="DE254" t="s">
        <v>37</v>
      </c>
      <c r="DF254">
        <v>21386</v>
      </c>
      <c r="DG254" t="s">
        <v>37</v>
      </c>
      <c r="DH254">
        <v>205823</v>
      </c>
      <c r="DI254" t="s">
        <v>37</v>
      </c>
      <c r="DJ254">
        <v>36746</v>
      </c>
      <c r="DK254" t="s">
        <v>37</v>
      </c>
      <c r="DL254">
        <v>99070</v>
      </c>
      <c r="DM254" t="s">
        <v>37</v>
      </c>
      <c r="DN254">
        <v>117588</v>
      </c>
      <c r="DO254" t="s">
        <v>37</v>
      </c>
      <c r="DP254">
        <v>116738</v>
      </c>
      <c r="DQ254" t="s">
        <v>37</v>
      </c>
      <c r="DR254">
        <v>59603</v>
      </c>
      <c r="DS254" t="s">
        <v>37</v>
      </c>
      <c r="DT254">
        <v>106369</v>
      </c>
      <c r="DU254" t="s">
        <v>37</v>
      </c>
      <c r="DV254">
        <v>220507</v>
      </c>
      <c r="DW254" t="s">
        <v>37</v>
      </c>
      <c r="DX254">
        <v>119602</v>
      </c>
      <c r="DY254" t="s">
        <v>37</v>
      </c>
      <c r="DZ254">
        <v>39418</v>
      </c>
      <c r="EA254" t="s">
        <v>37</v>
      </c>
      <c r="EB254">
        <v>66448</v>
      </c>
      <c r="EC254" t="s">
        <v>37</v>
      </c>
      <c r="ED254">
        <v>144348</v>
      </c>
      <c r="EE254" t="s">
        <v>37</v>
      </c>
      <c r="EF254">
        <v>11888</v>
      </c>
      <c r="EG254" t="s">
        <v>37</v>
      </c>
      <c r="EI254" t="s">
        <v>37</v>
      </c>
      <c r="EJ254">
        <v>40057</v>
      </c>
      <c r="EK254" t="s">
        <v>37</v>
      </c>
      <c r="EL254">
        <v>30420</v>
      </c>
      <c r="EM254" t="s">
        <v>37</v>
      </c>
      <c r="EN254">
        <v>14166</v>
      </c>
      <c r="EO254" t="s">
        <v>37</v>
      </c>
      <c r="EQ254" t="s">
        <v>37</v>
      </c>
      <c r="ER254">
        <v>39405</v>
      </c>
      <c r="ES254" t="s">
        <v>37</v>
      </c>
      <c r="ET254">
        <v>58292</v>
      </c>
      <c r="EU254" t="s">
        <v>37</v>
      </c>
      <c r="EV254">
        <v>95325</v>
      </c>
      <c r="EW254" t="s">
        <v>37</v>
      </c>
      <c r="EY254" t="s">
        <v>37</v>
      </c>
      <c r="EZ254">
        <v>101630</v>
      </c>
      <c r="FA254" t="s">
        <v>37</v>
      </c>
      <c r="FB254">
        <v>77545</v>
      </c>
      <c r="FC254" t="s">
        <v>37</v>
      </c>
      <c r="FD254">
        <v>154078</v>
      </c>
      <c r="FE254" t="s">
        <v>37</v>
      </c>
      <c r="FG254" t="s">
        <v>37</v>
      </c>
      <c r="FH254">
        <v>117212</v>
      </c>
      <c r="FI254" t="s">
        <v>37</v>
      </c>
      <c r="FJ254">
        <v>206184</v>
      </c>
      <c r="FK254" t="s">
        <v>37</v>
      </c>
      <c r="FL254">
        <v>206151</v>
      </c>
      <c r="FM254" t="s">
        <v>37</v>
      </c>
      <c r="FN254">
        <v>75462</v>
      </c>
      <c r="FO254" t="s">
        <v>37</v>
      </c>
      <c r="FP254">
        <v>46603</v>
      </c>
      <c r="FQ254" t="s">
        <v>37</v>
      </c>
      <c r="FR254">
        <v>83658</v>
      </c>
      <c r="FS254" t="s">
        <v>37</v>
      </c>
      <c r="FT254">
        <v>35795</v>
      </c>
      <c r="FU254" t="s">
        <v>37</v>
      </c>
      <c r="FV254">
        <v>52467</v>
      </c>
      <c r="FW254" t="s">
        <v>37</v>
      </c>
      <c r="FX254">
        <v>73398</v>
      </c>
      <c r="FY254" t="s">
        <v>37</v>
      </c>
      <c r="FZ254">
        <v>79875</v>
      </c>
      <c r="GA254" t="s">
        <v>37</v>
      </c>
      <c r="GB254">
        <v>113562</v>
      </c>
      <c r="GC254" t="s">
        <v>37</v>
      </c>
      <c r="GE254" t="s">
        <v>37</v>
      </c>
      <c r="GG254" t="s">
        <v>37</v>
      </c>
      <c r="GI254" t="s">
        <v>37</v>
      </c>
      <c r="GJ254">
        <v>65053</v>
      </c>
      <c r="GK254" t="s">
        <v>37</v>
      </c>
      <c r="GL254">
        <v>99479</v>
      </c>
      <c r="GM254" t="s">
        <v>37</v>
      </c>
      <c r="GO254" t="s">
        <v>37</v>
      </c>
      <c r="GP254">
        <v>73053</v>
      </c>
      <c r="GQ254" t="s">
        <v>37</v>
      </c>
      <c r="GR254">
        <v>58479</v>
      </c>
      <c r="GS254" t="s">
        <v>37</v>
      </c>
      <c r="GT254">
        <v>62731</v>
      </c>
      <c r="GU254" t="s">
        <v>37</v>
      </c>
      <c r="GV254">
        <v>52584</v>
      </c>
      <c r="GW254" t="s">
        <v>37</v>
      </c>
      <c r="GX254">
        <v>99662</v>
      </c>
      <c r="GY254" t="s">
        <v>37</v>
      </c>
      <c r="GZ254">
        <v>57662</v>
      </c>
      <c r="HA254" t="s">
        <v>37</v>
      </c>
      <c r="HC254" t="s">
        <v>37</v>
      </c>
      <c r="HE254" t="s">
        <v>37</v>
      </c>
      <c r="HF254">
        <v>7339196</v>
      </c>
      <c r="HG254" t="s">
        <v>37</v>
      </c>
      <c r="HI254" t="s">
        <v>37</v>
      </c>
      <c r="HJ254">
        <v>7339196</v>
      </c>
      <c r="HK254" t="s">
        <v>37</v>
      </c>
    </row>
    <row r="255" spans="1:219">
      <c r="A255">
        <v>4800</v>
      </c>
      <c r="B255" t="s">
        <v>263</v>
      </c>
      <c r="C255" t="s">
        <v>37</v>
      </c>
      <c r="E255" t="s">
        <v>37</v>
      </c>
      <c r="G255" t="s">
        <v>37</v>
      </c>
      <c r="I255" t="s">
        <v>37</v>
      </c>
      <c r="K255" s="48" t="s">
        <v>37</v>
      </c>
      <c r="L255" s="50"/>
      <c r="M255" s="48" t="s">
        <v>37</v>
      </c>
      <c r="N255" s="50"/>
      <c r="O255" s="48" t="s">
        <v>37</v>
      </c>
      <c r="P255" s="50"/>
      <c r="Q255" s="48" t="s">
        <v>37</v>
      </c>
      <c r="R255" s="50"/>
      <c r="S255" s="48" t="s">
        <v>37</v>
      </c>
      <c r="U255" t="s">
        <v>37</v>
      </c>
      <c r="W255" t="s">
        <v>37</v>
      </c>
      <c r="Y255" t="s">
        <v>37</v>
      </c>
      <c r="AA255" t="s">
        <v>37</v>
      </c>
      <c r="AC255" t="s">
        <v>37</v>
      </c>
      <c r="AE255" t="s">
        <v>37</v>
      </c>
      <c r="AG255" t="s">
        <v>37</v>
      </c>
      <c r="AI255" t="s">
        <v>37</v>
      </c>
      <c r="AK255" t="s">
        <v>37</v>
      </c>
      <c r="AM255" t="s">
        <v>37</v>
      </c>
      <c r="AO255" t="s">
        <v>37</v>
      </c>
      <c r="AQ255" t="s">
        <v>37</v>
      </c>
      <c r="AS255" t="s">
        <v>37</v>
      </c>
      <c r="AU255" t="s">
        <v>37</v>
      </c>
      <c r="AW255" t="s">
        <v>37</v>
      </c>
      <c r="AY255" t="s">
        <v>37</v>
      </c>
      <c r="BA255" t="s">
        <v>37</v>
      </c>
      <c r="BC255" t="s">
        <v>37</v>
      </c>
      <c r="BE255" t="s">
        <v>37</v>
      </c>
      <c r="BG255" t="s">
        <v>37</v>
      </c>
      <c r="BI255" t="s">
        <v>37</v>
      </c>
      <c r="BK255" t="s">
        <v>37</v>
      </c>
      <c r="BM255" t="s">
        <v>37</v>
      </c>
      <c r="BO255" t="s">
        <v>37</v>
      </c>
      <c r="BQ255" t="s">
        <v>37</v>
      </c>
      <c r="BS255" t="s">
        <v>37</v>
      </c>
      <c r="BU255" t="s">
        <v>37</v>
      </c>
      <c r="BW255" t="s">
        <v>37</v>
      </c>
      <c r="BY255" t="s">
        <v>37</v>
      </c>
      <c r="CA255" t="s">
        <v>37</v>
      </c>
      <c r="CC255" t="s">
        <v>37</v>
      </c>
      <c r="CE255" t="s">
        <v>37</v>
      </c>
      <c r="CG255" t="s">
        <v>37</v>
      </c>
      <c r="CI255" t="s">
        <v>37</v>
      </c>
      <c r="CK255" t="s">
        <v>37</v>
      </c>
      <c r="CM255" t="s">
        <v>37</v>
      </c>
      <c r="CO255" t="s">
        <v>37</v>
      </c>
      <c r="CQ255" t="s">
        <v>37</v>
      </c>
      <c r="CS255" t="s">
        <v>37</v>
      </c>
      <c r="CU255" t="s">
        <v>37</v>
      </c>
      <c r="CW255" t="s">
        <v>37</v>
      </c>
      <c r="CY255" t="s">
        <v>37</v>
      </c>
      <c r="DA255" t="s">
        <v>37</v>
      </c>
      <c r="DC255" t="s">
        <v>37</v>
      </c>
      <c r="DE255" t="s">
        <v>37</v>
      </c>
      <c r="DG255" t="s">
        <v>37</v>
      </c>
      <c r="DI255" t="s">
        <v>37</v>
      </c>
      <c r="DK255" t="s">
        <v>37</v>
      </c>
      <c r="DM255" t="s">
        <v>37</v>
      </c>
      <c r="DO255" t="s">
        <v>37</v>
      </c>
      <c r="DQ255" t="s">
        <v>37</v>
      </c>
      <c r="DS255" t="s">
        <v>37</v>
      </c>
      <c r="DU255" t="s">
        <v>37</v>
      </c>
      <c r="DW255" t="s">
        <v>37</v>
      </c>
      <c r="DY255" t="s">
        <v>37</v>
      </c>
      <c r="EA255" t="s">
        <v>37</v>
      </c>
      <c r="EC255" t="s">
        <v>37</v>
      </c>
      <c r="EE255" t="s">
        <v>37</v>
      </c>
      <c r="EG255" t="s">
        <v>37</v>
      </c>
      <c r="EI255" t="s">
        <v>37</v>
      </c>
      <c r="EK255" t="s">
        <v>37</v>
      </c>
      <c r="EM255" t="s">
        <v>37</v>
      </c>
      <c r="EO255" t="s">
        <v>37</v>
      </c>
      <c r="EQ255" t="s">
        <v>37</v>
      </c>
      <c r="ES255" t="s">
        <v>37</v>
      </c>
      <c r="EU255" t="s">
        <v>37</v>
      </c>
      <c r="EW255" t="s">
        <v>37</v>
      </c>
      <c r="EY255" t="s">
        <v>37</v>
      </c>
      <c r="FA255" t="s">
        <v>37</v>
      </c>
      <c r="FC255" t="s">
        <v>37</v>
      </c>
      <c r="FE255" t="s">
        <v>37</v>
      </c>
      <c r="FG255" t="s">
        <v>37</v>
      </c>
      <c r="FI255" t="s">
        <v>37</v>
      </c>
      <c r="FK255" t="s">
        <v>37</v>
      </c>
      <c r="FM255" t="s">
        <v>37</v>
      </c>
      <c r="FO255" t="s">
        <v>37</v>
      </c>
      <c r="FQ255" t="s">
        <v>37</v>
      </c>
      <c r="FS255" t="s">
        <v>37</v>
      </c>
      <c r="FU255" t="s">
        <v>37</v>
      </c>
      <c r="FW255" t="s">
        <v>37</v>
      </c>
      <c r="FY255" t="s">
        <v>37</v>
      </c>
      <c r="GA255" t="s">
        <v>37</v>
      </c>
      <c r="GC255" t="s">
        <v>37</v>
      </c>
      <c r="GE255" t="s">
        <v>37</v>
      </c>
      <c r="GG255" t="s">
        <v>37</v>
      </c>
      <c r="GI255" t="s">
        <v>37</v>
      </c>
      <c r="GK255" t="s">
        <v>37</v>
      </c>
      <c r="GM255" t="s">
        <v>37</v>
      </c>
      <c r="GO255" t="s">
        <v>37</v>
      </c>
      <c r="GQ255" t="s">
        <v>37</v>
      </c>
      <c r="GS255" t="s">
        <v>37</v>
      </c>
      <c r="GU255" t="s">
        <v>37</v>
      </c>
      <c r="GW255" t="s">
        <v>37</v>
      </c>
      <c r="GY255" t="s">
        <v>37</v>
      </c>
      <c r="HA255" t="s">
        <v>37</v>
      </c>
      <c r="HC255" t="s">
        <v>37</v>
      </c>
      <c r="HE255" t="s">
        <v>37</v>
      </c>
      <c r="HG255" t="s">
        <v>37</v>
      </c>
      <c r="HI255" t="s">
        <v>37</v>
      </c>
      <c r="HK255" t="s">
        <v>37</v>
      </c>
    </row>
    <row r="256" spans="1:219">
      <c r="A256">
        <v>4810</v>
      </c>
      <c r="B256" t="s">
        <v>264</v>
      </c>
      <c r="C256" t="s">
        <v>37</v>
      </c>
      <c r="D256">
        <v>831673</v>
      </c>
      <c r="E256" t="s">
        <v>37</v>
      </c>
      <c r="F256">
        <v>4472901</v>
      </c>
      <c r="G256" t="s">
        <v>37</v>
      </c>
      <c r="H256">
        <v>542136</v>
      </c>
      <c r="I256" t="s">
        <v>37</v>
      </c>
      <c r="K256" s="48" t="s">
        <v>37</v>
      </c>
      <c r="L256" s="51">
        <v>1113319</v>
      </c>
      <c r="M256" s="48" t="s">
        <v>37</v>
      </c>
      <c r="N256" s="51">
        <v>680156</v>
      </c>
      <c r="O256" s="48" t="s">
        <v>37</v>
      </c>
      <c r="P256" s="51">
        <v>537684</v>
      </c>
      <c r="Q256" s="48" t="s">
        <v>37</v>
      </c>
      <c r="R256" s="51">
        <v>469217</v>
      </c>
      <c r="S256" s="48" t="s">
        <v>37</v>
      </c>
      <c r="T256">
        <v>2192797</v>
      </c>
      <c r="U256" t="s">
        <v>37</v>
      </c>
      <c r="W256" t="s">
        <v>37</v>
      </c>
      <c r="Y256" t="s">
        <v>37</v>
      </c>
      <c r="Z256">
        <v>370391</v>
      </c>
      <c r="AA256" t="s">
        <v>37</v>
      </c>
      <c r="AB256">
        <v>339111</v>
      </c>
      <c r="AC256" t="s">
        <v>37</v>
      </c>
      <c r="AD256">
        <v>283299</v>
      </c>
      <c r="AE256" t="s">
        <v>37</v>
      </c>
      <c r="AF256">
        <v>238553</v>
      </c>
      <c r="AG256" t="s">
        <v>37</v>
      </c>
      <c r="AH256">
        <v>559050</v>
      </c>
      <c r="AI256" t="s">
        <v>37</v>
      </c>
      <c r="AK256" t="s">
        <v>37</v>
      </c>
      <c r="AL256">
        <v>3444673</v>
      </c>
      <c r="AM256" t="s">
        <v>37</v>
      </c>
      <c r="AO256" t="s">
        <v>37</v>
      </c>
      <c r="AP256">
        <v>5665378</v>
      </c>
      <c r="AQ256" t="s">
        <v>37</v>
      </c>
      <c r="AR256">
        <v>511338</v>
      </c>
      <c r="AS256" t="s">
        <v>37</v>
      </c>
      <c r="AT256">
        <v>7669017</v>
      </c>
      <c r="AU256" t="s">
        <v>37</v>
      </c>
      <c r="AV256">
        <v>1945172</v>
      </c>
      <c r="AW256" t="s">
        <v>37</v>
      </c>
      <c r="AX256">
        <v>1102713</v>
      </c>
      <c r="AY256" t="s">
        <v>37</v>
      </c>
      <c r="AZ256">
        <v>1771903</v>
      </c>
      <c r="BA256" t="s">
        <v>37</v>
      </c>
      <c r="BB256">
        <v>408007</v>
      </c>
      <c r="BC256" t="s">
        <v>37</v>
      </c>
      <c r="BD256">
        <v>896840</v>
      </c>
      <c r="BE256" t="s">
        <v>37</v>
      </c>
      <c r="BF256">
        <v>227513</v>
      </c>
      <c r="BG256" t="s">
        <v>37</v>
      </c>
      <c r="BI256" t="s">
        <v>37</v>
      </c>
      <c r="BJ256">
        <v>1717052</v>
      </c>
      <c r="BK256" t="s">
        <v>37</v>
      </c>
      <c r="BL256">
        <v>2748919</v>
      </c>
      <c r="BM256" t="s">
        <v>37</v>
      </c>
      <c r="BO256" t="s">
        <v>37</v>
      </c>
      <c r="BP256">
        <v>244172</v>
      </c>
      <c r="BQ256" t="s">
        <v>37</v>
      </c>
      <c r="BR256">
        <v>1118669</v>
      </c>
      <c r="BS256" t="s">
        <v>37</v>
      </c>
      <c r="BT256">
        <v>382985</v>
      </c>
      <c r="BU256" t="s">
        <v>37</v>
      </c>
      <c r="BW256" t="s">
        <v>37</v>
      </c>
      <c r="BX256">
        <v>2226458</v>
      </c>
      <c r="BY256" t="s">
        <v>37</v>
      </c>
      <c r="BZ256">
        <v>645509</v>
      </c>
      <c r="CA256" t="s">
        <v>37</v>
      </c>
      <c r="CC256" t="s">
        <v>37</v>
      </c>
      <c r="CD256">
        <v>862676</v>
      </c>
      <c r="CE256" t="s">
        <v>37</v>
      </c>
      <c r="CF256">
        <v>1136573</v>
      </c>
      <c r="CG256" t="s">
        <v>37</v>
      </c>
      <c r="CH256">
        <v>3383311</v>
      </c>
      <c r="CI256" t="s">
        <v>37</v>
      </c>
      <c r="CJ256">
        <v>305177</v>
      </c>
      <c r="CK256" t="s">
        <v>37</v>
      </c>
      <c r="CL256">
        <v>1302156</v>
      </c>
      <c r="CM256" t="s">
        <v>37</v>
      </c>
      <c r="CN256">
        <v>377339</v>
      </c>
      <c r="CO256" t="s">
        <v>37</v>
      </c>
      <c r="CP256">
        <v>353373</v>
      </c>
      <c r="CQ256" t="s">
        <v>37</v>
      </c>
      <c r="CR256">
        <v>2378932</v>
      </c>
      <c r="CS256" t="s">
        <v>37</v>
      </c>
      <c r="CT256">
        <v>10113954</v>
      </c>
      <c r="CU256" t="s">
        <v>37</v>
      </c>
      <c r="CV256">
        <v>1810692</v>
      </c>
      <c r="CW256" t="s">
        <v>37</v>
      </c>
      <c r="CX256">
        <v>234404</v>
      </c>
      <c r="CY256" t="s">
        <v>37</v>
      </c>
      <c r="CZ256">
        <v>282522</v>
      </c>
      <c r="DA256" t="s">
        <v>37</v>
      </c>
      <c r="DC256" t="s">
        <v>37</v>
      </c>
      <c r="DD256">
        <v>626353</v>
      </c>
      <c r="DE256" t="s">
        <v>37</v>
      </c>
      <c r="DF256">
        <v>435975</v>
      </c>
      <c r="DG256" t="s">
        <v>37</v>
      </c>
      <c r="DH256">
        <v>6976831</v>
      </c>
      <c r="DI256" t="s">
        <v>37</v>
      </c>
      <c r="DJ256">
        <v>841700</v>
      </c>
      <c r="DK256" t="s">
        <v>37</v>
      </c>
      <c r="DL256">
        <v>1913070</v>
      </c>
      <c r="DM256" t="s">
        <v>37</v>
      </c>
      <c r="DN256">
        <v>2006239</v>
      </c>
      <c r="DO256" t="s">
        <v>37</v>
      </c>
      <c r="DP256">
        <v>1373159</v>
      </c>
      <c r="DQ256" t="s">
        <v>37</v>
      </c>
      <c r="DR256">
        <v>800058</v>
      </c>
      <c r="DS256" t="s">
        <v>37</v>
      </c>
      <c r="DT256">
        <v>885357</v>
      </c>
      <c r="DU256" t="s">
        <v>37</v>
      </c>
      <c r="DV256">
        <v>2103725</v>
      </c>
      <c r="DW256" t="s">
        <v>37</v>
      </c>
      <c r="DX256">
        <v>1531880</v>
      </c>
      <c r="DY256" t="s">
        <v>37</v>
      </c>
      <c r="DZ256">
        <v>517464</v>
      </c>
      <c r="EA256" t="s">
        <v>37</v>
      </c>
      <c r="EB256">
        <v>887444</v>
      </c>
      <c r="EC256" t="s">
        <v>37</v>
      </c>
      <c r="ED256">
        <v>1632757</v>
      </c>
      <c r="EE256" t="s">
        <v>37</v>
      </c>
      <c r="EF256">
        <v>294323</v>
      </c>
      <c r="EG256" t="s">
        <v>37</v>
      </c>
      <c r="EI256" t="s">
        <v>37</v>
      </c>
      <c r="EJ256">
        <v>923516</v>
      </c>
      <c r="EK256" t="s">
        <v>37</v>
      </c>
      <c r="EL256">
        <v>623350</v>
      </c>
      <c r="EM256" t="s">
        <v>37</v>
      </c>
      <c r="EN256">
        <v>290211</v>
      </c>
      <c r="EO256" t="s">
        <v>37</v>
      </c>
      <c r="EQ256" t="s">
        <v>37</v>
      </c>
      <c r="ER256">
        <v>1364298</v>
      </c>
      <c r="ES256" t="s">
        <v>37</v>
      </c>
      <c r="ET256">
        <v>1389703</v>
      </c>
      <c r="EU256" t="s">
        <v>37</v>
      </c>
      <c r="EV256">
        <v>1979360</v>
      </c>
      <c r="EW256" t="s">
        <v>37</v>
      </c>
      <c r="EY256" t="s">
        <v>37</v>
      </c>
      <c r="EZ256">
        <v>955249</v>
      </c>
      <c r="FA256" t="s">
        <v>37</v>
      </c>
      <c r="FB256">
        <v>1085455</v>
      </c>
      <c r="FC256" t="s">
        <v>37</v>
      </c>
      <c r="FD256">
        <v>2092037</v>
      </c>
      <c r="FE256" t="s">
        <v>37</v>
      </c>
      <c r="FG256" t="s">
        <v>37</v>
      </c>
      <c r="FH256">
        <v>2486739</v>
      </c>
      <c r="FI256" t="s">
        <v>37</v>
      </c>
      <c r="FJ256">
        <v>5706344</v>
      </c>
      <c r="FK256" t="s">
        <v>37</v>
      </c>
      <c r="FL256">
        <v>2996264</v>
      </c>
      <c r="FM256" t="s">
        <v>37</v>
      </c>
      <c r="FN256">
        <v>497658</v>
      </c>
      <c r="FO256" t="s">
        <v>37</v>
      </c>
      <c r="FP256">
        <v>802007</v>
      </c>
      <c r="FQ256" t="s">
        <v>37</v>
      </c>
      <c r="FR256">
        <v>1513619</v>
      </c>
      <c r="FS256" t="s">
        <v>37</v>
      </c>
      <c r="FT256">
        <v>577320</v>
      </c>
      <c r="FU256" t="s">
        <v>37</v>
      </c>
      <c r="FV256">
        <v>609692</v>
      </c>
      <c r="FW256" t="s">
        <v>37</v>
      </c>
      <c r="FX256">
        <v>1032329</v>
      </c>
      <c r="FY256" t="s">
        <v>37</v>
      </c>
      <c r="FZ256">
        <v>1747317</v>
      </c>
      <c r="GA256" t="s">
        <v>37</v>
      </c>
      <c r="GB256">
        <v>1714788</v>
      </c>
      <c r="GC256" t="s">
        <v>37</v>
      </c>
      <c r="GE256" t="s">
        <v>37</v>
      </c>
      <c r="GG256" t="s">
        <v>37</v>
      </c>
      <c r="GI256" t="s">
        <v>37</v>
      </c>
      <c r="GJ256">
        <v>2271056</v>
      </c>
      <c r="GK256" t="s">
        <v>37</v>
      </c>
      <c r="GL256">
        <v>2162961</v>
      </c>
      <c r="GM256" t="s">
        <v>37</v>
      </c>
      <c r="GO256" t="s">
        <v>37</v>
      </c>
      <c r="GP256">
        <v>1028311</v>
      </c>
      <c r="GQ256" t="s">
        <v>37</v>
      </c>
      <c r="GR256">
        <v>1790024</v>
      </c>
      <c r="GS256" t="s">
        <v>37</v>
      </c>
      <c r="GT256">
        <v>989688</v>
      </c>
      <c r="GU256" t="s">
        <v>37</v>
      </c>
      <c r="GV256">
        <v>690021</v>
      </c>
      <c r="GW256" t="s">
        <v>37</v>
      </c>
      <c r="GX256">
        <v>2638919</v>
      </c>
      <c r="GY256" t="s">
        <v>37</v>
      </c>
      <c r="GZ256">
        <v>556010</v>
      </c>
      <c r="HA256" t="s">
        <v>37</v>
      </c>
      <c r="HB256">
        <v>786835</v>
      </c>
      <c r="HC256" t="s">
        <v>37</v>
      </c>
      <c r="HD256">
        <v>145934</v>
      </c>
      <c r="HE256" t="s">
        <v>37</v>
      </c>
      <c r="HF256">
        <v>133238295</v>
      </c>
      <c r="HG256" t="s">
        <v>37</v>
      </c>
      <c r="HH256">
        <v>932769</v>
      </c>
      <c r="HI256" t="s">
        <v>37</v>
      </c>
      <c r="HJ256">
        <v>134171064</v>
      </c>
      <c r="HK256" t="s">
        <v>37</v>
      </c>
    </row>
    <row r="257" spans="1:219">
      <c r="A257">
        <v>4830</v>
      </c>
      <c r="B257" t="s">
        <v>265</v>
      </c>
      <c r="C257" t="s">
        <v>37</v>
      </c>
      <c r="D257">
        <v>412663</v>
      </c>
      <c r="E257" t="s">
        <v>37</v>
      </c>
      <c r="F257">
        <v>1356346</v>
      </c>
      <c r="G257" t="s">
        <v>37</v>
      </c>
      <c r="H257">
        <v>264429</v>
      </c>
      <c r="I257" t="s">
        <v>37</v>
      </c>
      <c r="K257" s="48" t="s">
        <v>37</v>
      </c>
      <c r="L257" s="51">
        <v>352391</v>
      </c>
      <c r="M257" s="48" t="s">
        <v>37</v>
      </c>
      <c r="N257" s="51">
        <v>186281</v>
      </c>
      <c r="O257" s="48" t="s">
        <v>37</v>
      </c>
      <c r="P257" s="51">
        <v>379767</v>
      </c>
      <c r="Q257" s="48" t="s">
        <v>37</v>
      </c>
      <c r="R257" s="51">
        <v>149558</v>
      </c>
      <c r="S257" s="48" t="s">
        <v>37</v>
      </c>
      <c r="T257">
        <v>1073541</v>
      </c>
      <c r="U257" t="s">
        <v>37</v>
      </c>
      <c r="W257" t="s">
        <v>37</v>
      </c>
      <c r="Y257" t="s">
        <v>37</v>
      </c>
      <c r="Z257">
        <v>196713</v>
      </c>
      <c r="AA257" t="s">
        <v>37</v>
      </c>
      <c r="AB257">
        <v>163740</v>
      </c>
      <c r="AC257" t="s">
        <v>37</v>
      </c>
      <c r="AD257">
        <v>131043</v>
      </c>
      <c r="AE257" t="s">
        <v>37</v>
      </c>
      <c r="AF257">
        <v>90714</v>
      </c>
      <c r="AG257" t="s">
        <v>37</v>
      </c>
      <c r="AH257">
        <v>195463</v>
      </c>
      <c r="AI257" t="s">
        <v>37</v>
      </c>
      <c r="AK257" t="s">
        <v>37</v>
      </c>
      <c r="AL257">
        <v>980488</v>
      </c>
      <c r="AM257" t="s">
        <v>37</v>
      </c>
      <c r="AO257" t="s">
        <v>37</v>
      </c>
      <c r="AP257">
        <v>1593212</v>
      </c>
      <c r="AQ257" t="s">
        <v>37</v>
      </c>
      <c r="AR257">
        <v>192213</v>
      </c>
      <c r="AS257" t="s">
        <v>37</v>
      </c>
      <c r="AT257">
        <v>3434529</v>
      </c>
      <c r="AU257" t="s">
        <v>37</v>
      </c>
      <c r="AV257">
        <v>1013082</v>
      </c>
      <c r="AW257" t="s">
        <v>37</v>
      </c>
      <c r="AX257">
        <v>425216</v>
      </c>
      <c r="AY257" t="s">
        <v>37</v>
      </c>
      <c r="AZ257">
        <v>824547</v>
      </c>
      <c r="BA257" t="s">
        <v>37</v>
      </c>
      <c r="BB257">
        <v>259006</v>
      </c>
      <c r="BC257" t="s">
        <v>37</v>
      </c>
      <c r="BD257">
        <v>323040</v>
      </c>
      <c r="BE257" t="s">
        <v>37</v>
      </c>
      <c r="BF257">
        <v>80565</v>
      </c>
      <c r="BG257" t="s">
        <v>37</v>
      </c>
      <c r="BI257" t="s">
        <v>37</v>
      </c>
      <c r="BJ257">
        <v>810161</v>
      </c>
      <c r="BK257" t="s">
        <v>37</v>
      </c>
      <c r="BL257">
        <v>1032107</v>
      </c>
      <c r="BM257" t="s">
        <v>37</v>
      </c>
      <c r="BO257" t="s">
        <v>37</v>
      </c>
      <c r="BP257">
        <v>112070</v>
      </c>
      <c r="BQ257" t="s">
        <v>37</v>
      </c>
      <c r="BR257">
        <v>351008</v>
      </c>
      <c r="BS257" t="s">
        <v>37</v>
      </c>
      <c r="BT257">
        <v>126815</v>
      </c>
      <c r="BU257" t="s">
        <v>37</v>
      </c>
      <c r="BW257" t="s">
        <v>37</v>
      </c>
      <c r="BX257">
        <v>601518</v>
      </c>
      <c r="BY257" t="s">
        <v>37</v>
      </c>
      <c r="BZ257">
        <v>268018</v>
      </c>
      <c r="CA257" t="s">
        <v>37</v>
      </c>
      <c r="CC257" t="s">
        <v>37</v>
      </c>
      <c r="CD257">
        <v>266077</v>
      </c>
      <c r="CE257" t="s">
        <v>37</v>
      </c>
      <c r="CF257">
        <v>411523</v>
      </c>
      <c r="CG257" t="s">
        <v>37</v>
      </c>
      <c r="CH257">
        <v>1110645</v>
      </c>
      <c r="CI257" t="s">
        <v>37</v>
      </c>
      <c r="CJ257">
        <v>109532</v>
      </c>
      <c r="CK257" t="s">
        <v>37</v>
      </c>
      <c r="CL257">
        <v>761591</v>
      </c>
      <c r="CM257" t="s">
        <v>37</v>
      </c>
      <c r="CN257">
        <v>144087</v>
      </c>
      <c r="CO257" t="s">
        <v>37</v>
      </c>
      <c r="CP257">
        <v>132500</v>
      </c>
      <c r="CQ257" t="s">
        <v>37</v>
      </c>
      <c r="CR257">
        <v>916598</v>
      </c>
      <c r="CS257" t="s">
        <v>37</v>
      </c>
      <c r="CT257">
        <v>2766207</v>
      </c>
      <c r="CU257" t="s">
        <v>37</v>
      </c>
      <c r="CV257">
        <v>751527</v>
      </c>
      <c r="CW257" t="s">
        <v>37</v>
      </c>
      <c r="CX257">
        <v>95970</v>
      </c>
      <c r="CY257" t="s">
        <v>37</v>
      </c>
      <c r="CZ257">
        <v>73686</v>
      </c>
      <c r="DA257" t="s">
        <v>37</v>
      </c>
      <c r="DC257" t="s">
        <v>37</v>
      </c>
      <c r="DD257">
        <v>351890</v>
      </c>
      <c r="DE257" t="s">
        <v>37</v>
      </c>
      <c r="DF257">
        <v>202601</v>
      </c>
      <c r="DG257" t="s">
        <v>37</v>
      </c>
      <c r="DH257">
        <v>2416094</v>
      </c>
      <c r="DI257" t="s">
        <v>37</v>
      </c>
      <c r="DJ257">
        <v>544174</v>
      </c>
      <c r="DK257" t="s">
        <v>37</v>
      </c>
      <c r="DL257">
        <v>630037</v>
      </c>
      <c r="DM257" t="s">
        <v>37</v>
      </c>
      <c r="DN257">
        <v>534688</v>
      </c>
      <c r="DO257" t="s">
        <v>37</v>
      </c>
      <c r="DP257">
        <v>676201</v>
      </c>
      <c r="DQ257" t="s">
        <v>37</v>
      </c>
      <c r="DR257">
        <v>499614</v>
      </c>
      <c r="DS257" t="s">
        <v>37</v>
      </c>
      <c r="DT257">
        <v>417005</v>
      </c>
      <c r="DU257" t="s">
        <v>37</v>
      </c>
      <c r="DV257">
        <v>624471</v>
      </c>
      <c r="DW257" t="s">
        <v>37</v>
      </c>
      <c r="DX257">
        <v>539994</v>
      </c>
      <c r="DY257" t="s">
        <v>37</v>
      </c>
      <c r="DZ257">
        <v>196792</v>
      </c>
      <c r="EA257" t="s">
        <v>37</v>
      </c>
      <c r="EB257">
        <v>405761</v>
      </c>
      <c r="EC257" t="s">
        <v>37</v>
      </c>
      <c r="ED257">
        <v>357700</v>
      </c>
      <c r="EE257" t="s">
        <v>37</v>
      </c>
      <c r="EF257">
        <v>147968</v>
      </c>
      <c r="EG257" t="s">
        <v>37</v>
      </c>
      <c r="EI257" t="s">
        <v>37</v>
      </c>
      <c r="EJ257">
        <v>349499</v>
      </c>
      <c r="EK257" t="s">
        <v>37</v>
      </c>
      <c r="EL257">
        <v>227340</v>
      </c>
      <c r="EM257" t="s">
        <v>37</v>
      </c>
      <c r="EN257">
        <v>184004</v>
      </c>
      <c r="EO257" t="s">
        <v>37</v>
      </c>
      <c r="EQ257" t="s">
        <v>37</v>
      </c>
      <c r="ER257">
        <v>669100</v>
      </c>
      <c r="ES257" t="s">
        <v>37</v>
      </c>
      <c r="ET257">
        <v>526254</v>
      </c>
      <c r="EU257" t="s">
        <v>37</v>
      </c>
      <c r="EV257">
        <v>594136</v>
      </c>
      <c r="EW257" t="s">
        <v>37</v>
      </c>
      <c r="EY257" t="s">
        <v>37</v>
      </c>
      <c r="EZ257">
        <v>422753</v>
      </c>
      <c r="FA257" t="s">
        <v>37</v>
      </c>
      <c r="FB257">
        <v>616766</v>
      </c>
      <c r="FC257" t="s">
        <v>37</v>
      </c>
      <c r="FD257">
        <v>665296</v>
      </c>
      <c r="FE257" t="s">
        <v>37</v>
      </c>
      <c r="FG257" t="s">
        <v>37</v>
      </c>
      <c r="FH257">
        <v>819404</v>
      </c>
      <c r="FI257" t="s">
        <v>37</v>
      </c>
      <c r="FJ257">
        <v>2022038</v>
      </c>
      <c r="FK257" t="s">
        <v>37</v>
      </c>
      <c r="FL257">
        <v>827696</v>
      </c>
      <c r="FM257" t="s">
        <v>37</v>
      </c>
      <c r="FN257">
        <v>177370</v>
      </c>
      <c r="FO257" t="s">
        <v>37</v>
      </c>
      <c r="FP257">
        <v>291881</v>
      </c>
      <c r="FQ257" t="s">
        <v>37</v>
      </c>
      <c r="FR257">
        <v>432160</v>
      </c>
      <c r="FS257" t="s">
        <v>37</v>
      </c>
      <c r="FT257">
        <v>180694</v>
      </c>
      <c r="FU257" t="s">
        <v>37</v>
      </c>
      <c r="FV257">
        <v>150491</v>
      </c>
      <c r="FW257" t="s">
        <v>37</v>
      </c>
      <c r="FX257">
        <v>307863</v>
      </c>
      <c r="FY257" t="s">
        <v>37</v>
      </c>
      <c r="FZ257">
        <v>575321</v>
      </c>
      <c r="GA257" t="s">
        <v>37</v>
      </c>
      <c r="GB257">
        <v>868738</v>
      </c>
      <c r="GC257" t="s">
        <v>37</v>
      </c>
      <c r="GE257" t="s">
        <v>37</v>
      </c>
      <c r="GG257" t="s">
        <v>37</v>
      </c>
      <c r="GI257" t="s">
        <v>37</v>
      </c>
      <c r="GJ257">
        <v>828440</v>
      </c>
      <c r="GK257" t="s">
        <v>37</v>
      </c>
      <c r="GL257">
        <v>667892</v>
      </c>
      <c r="GM257" t="s">
        <v>37</v>
      </c>
      <c r="GO257" t="s">
        <v>37</v>
      </c>
      <c r="GP257">
        <v>512839</v>
      </c>
      <c r="GQ257" t="s">
        <v>37</v>
      </c>
      <c r="GR257">
        <v>859654</v>
      </c>
      <c r="GS257" t="s">
        <v>37</v>
      </c>
      <c r="GT257">
        <v>277460</v>
      </c>
      <c r="GU257" t="s">
        <v>37</v>
      </c>
      <c r="GV257">
        <v>162523</v>
      </c>
      <c r="GW257" t="s">
        <v>37</v>
      </c>
      <c r="GX257">
        <v>706951</v>
      </c>
      <c r="GY257" t="s">
        <v>37</v>
      </c>
      <c r="GZ257">
        <v>111616</v>
      </c>
      <c r="HA257" t="s">
        <v>37</v>
      </c>
      <c r="HB257">
        <v>509311</v>
      </c>
      <c r="HC257" t="s">
        <v>37</v>
      </c>
      <c r="HD257">
        <v>145587</v>
      </c>
      <c r="HE257" t="s">
        <v>37</v>
      </c>
      <c r="HF257">
        <v>48501356</v>
      </c>
      <c r="HG257" t="s">
        <v>37</v>
      </c>
      <c r="HH257">
        <v>654898</v>
      </c>
      <c r="HI257" t="s">
        <v>37</v>
      </c>
      <c r="HJ257">
        <v>49156254</v>
      </c>
      <c r="HK257" t="s">
        <v>37</v>
      </c>
    </row>
    <row r="258" spans="1:219">
      <c r="A258">
        <v>4850</v>
      </c>
      <c r="B258" t="s">
        <v>266</v>
      </c>
      <c r="C258" t="s">
        <v>37</v>
      </c>
      <c r="E258" t="s">
        <v>37</v>
      </c>
      <c r="G258" t="s">
        <v>37</v>
      </c>
      <c r="I258" t="s">
        <v>37</v>
      </c>
      <c r="K258" s="48" t="s">
        <v>37</v>
      </c>
      <c r="L258" s="50"/>
      <c r="M258" s="48" t="s">
        <v>37</v>
      </c>
      <c r="N258" s="50"/>
      <c r="O258" s="48" t="s">
        <v>37</v>
      </c>
      <c r="P258" s="50"/>
      <c r="Q258" s="48" t="s">
        <v>37</v>
      </c>
      <c r="R258" s="50"/>
      <c r="S258" s="48" t="s">
        <v>37</v>
      </c>
      <c r="U258" t="s">
        <v>37</v>
      </c>
      <c r="W258" t="s">
        <v>37</v>
      </c>
      <c r="Y258" t="s">
        <v>37</v>
      </c>
      <c r="AA258" t="s">
        <v>37</v>
      </c>
      <c r="AC258" t="s">
        <v>37</v>
      </c>
      <c r="AE258" t="s">
        <v>37</v>
      </c>
      <c r="AG258" t="s">
        <v>37</v>
      </c>
      <c r="AI258" t="s">
        <v>37</v>
      </c>
      <c r="AK258" t="s">
        <v>37</v>
      </c>
      <c r="AM258" t="s">
        <v>37</v>
      </c>
      <c r="AO258" t="s">
        <v>37</v>
      </c>
      <c r="AQ258" t="s">
        <v>37</v>
      </c>
      <c r="AS258" t="s">
        <v>37</v>
      </c>
      <c r="AU258" t="s">
        <v>37</v>
      </c>
      <c r="AW258" t="s">
        <v>37</v>
      </c>
      <c r="AY258" t="s">
        <v>37</v>
      </c>
      <c r="BA258" t="s">
        <v>37</v>
      </c>
      <c r="BC258" t="s">
        <v>37</v>
      </c>
      <c r="BE258" t="s">
        <v>37</v>
      </c>
      <c r="BG258" t="s">
        <v>37</v>
      </c>
      <c r="BI258" t="s">
        <v>37</v>
      </c>
      <c r="BK258" t="s">
        <v>37</v>
      </c>
      <c r="BM258" t="s">
        <v>37</v>
      </c>
      <c r="BO258" t="s">
        <v>37</v>
      </c>
      <c r="BQ258" t="s">
        <v>37</v>
      </c>
      <c r="BS258" t="s">
        <v>37</v>
      </c>
      <c r="BU258" t="s">
        <v>37</v>
      </c>
      <c r="BW258" t="s">
        <v>37</v>
      </c>
      <c r="BY258" t="s">
        <v>37</v>
      </c>
      <c r="CA258" t="s">
        <v>37</v>
      </c>
      <c r="CC258" t="s">
        <v>37</v>
      </c>
      <c r="CD258">
        <v>90701</v>
      </c>
      <c r="CE258" t="s">
        <v>37</v>
      </c>
      <c r="CG258" t="s">
        <v>37</v>
      </c>
      <c r="CH258">
        <v>306265</v>
      </c>
      <c r="CI258" t="s">
        <v>37</v>
      </c>
      <c r="CK258" t="s">
        <v>37</v>
      </c>
      <c r="CM258" t="s">
        <v>37</v>
      </c>
      <c r="CO258" t="s">
        <v>37</v>
      </c>
      <c r="CQ258" t="s">
        <v>37</v>
      </c>
      <c r="CS258" t="s">
        <v>37</v>
      </c>
      <c r="CU258" t="s">
        <v>37</v>
      </c>
      <c r="CW258" t="s">
        <v>37</v>
      </c>
      <c r="CY258" t="s">
        <v>37</v>
      </c>
      <c r="DA258" t="s">
        <v>37</v>
      </c>
      <c r="DC258" t="s">
        <v>37</v>
      </c>
      <c r="DE258" t="s">
        <v>37</v>
      </c>
      <c r="DG258" t="s">
        <v>37</v>
      </c>
      <c r="DI258" t="s">
        <v>37</v>
      </c>
      <c r="DK258" t="s">
        <v>37</v>
      </c>
      <c r="DM258" t="s">
        <v>37</v>
      </c>
      <c r="DO258" t="s">
        <v>37</v>
      </c>
      <c r="DQ258" t="s">
        <v>37</v>
      </c>
      <c r="DS258" t="s">
        <v>37</v>
      </c>
      <c r="DU258" t="s">
        <v>37</v>
      </c>
      <c r="DW258" t="s">
        <v>37</v>
      </c>
      <c r="DY258" t="s">
        <v>37</v>
      </c>
      <c r="DZ258">
        <v>58782</v>
      </c>
      <c r="EA258" t="s">
        <v>37</v>
      </c>
      <c r="EC258" t="s">
        <v>37</v>
      </c>
      <c r="EE258" t="s">
        <v>37</v>
      </c>
      <c r="EG258" t="s">
        <v>37</v>
      </c>
      <c r="EI258" t="s">
        <v>37</v>
      </c>
      <c r="EK258" t="s">
        <v>37</v>
      </c>
      <c r="EM258" t="s">
        <v>37</v>
      </c>
      <c r="EO258" t="s">
        <v>37</v>
      </c>
      <c r="EQ258" t="s">
        <v>37</v>
      </c>
      <c r="ES258" t="s">
        <v>37</v>
      </c>
      <c r="EU258" t="s">
        <v>37</v>
      </c>
      <c r="EW258" t="s">
        <v>37</v>
      </c>
      <c r="EY258" t="s">
        <v>37</v>
      </c>
      <c r="FA258" t="s">
        <v>37</v>
      </c>
      <c r="FC258" t="s">
        <v>37</v>
      </c>
      <c r="FE258" t="s">
        <v>37</v>
      </c>
      <c r="FG258" t="s">
        <v>37</v>
      </c>
      <c r="FI258" t="s">
        <v>37</v>
      </c>
      <c r="FK258" t="s">
        <v>37</v>
      </c>
      <c r="FM258" t="s">
        <v>37</v>
      </c>
      <c r="FN258">
        <v>708</v>
      </c>
      <c r="FO258" t="s">
        <v>37</v>
      </c>
      <c r="FQ258" t="s">
        <v>37</v>
      </c>
      <c r="FS258" t="s">
        <v>37</v>
      </c>
      <c r="FU258" t="s">
        <v>37</v>
      </c>
      <c r="FW258" t="s">
        <v>37</v>
      </c>
      <c r="FY258" t="s">
        <v>37</v>
      </c>
      <c r="GA258" t="s">
        <v>37</v>
      </c>
      <c r="GC258" t="s">
        <v>37</v>
      </c>
      <c r="GE258" t="s">
        <v>37</v>
      </c>
      <c r="GG258" t="s">
        <v>37</v>
      </c>
      <c r="GI258" t="s">
        <v>37</v>
      </c>
      <c r="GK258" t="s">
        <v>37</v>
      </c>
      <c r="GM258" t="s">
        <v>37</v>
      </c>
      <c r="GO258" t="s">
        <v>37</v>
      </c>
      <c r="GP258">
        <v>18447</v>
      </c>
      <c r="GQ258" t="s">
        <v>37</v>
      </c>
      <c r="GS258" t="s">
        <v>37</v>
      </c>
      <c r="GU258" t="s">
        <v>37</v>
      </c>
      <c r="GW258" t="s">
        <v>37</v>
      </c>
      <c r="GY258" t="s">
        <v>37</v>
      </c>
      <c r="HA258" t="s">
        <v>37</v>
      </c>
      <c r="HB258">
        <v>1556</v>
      </c>
      <c r="HC258" t="s">
        <v>37</v>
      </c>
      <c r="HE258" t="s">
        <v>37</v>
      </c>
      <c r="HF258">
        <v>474903</v>
      </c>
      <c r="HG258" t="s">
        <v>37</v>
      </c>
      <c r="HH258">
        <v>1556</v>
      </c>
      <c r="HI258" t="s">
        <v>37</v>
      </c>
      <c r="HJ258">
        <v>476459</v>
      </c>
      <c r="HK258" t="s">
        <v>37</v>
      </c>
    </row>
    <row r="259" spans="1:219">
      <c r="A259">
        <v>4900</v>
      </c>
      <c r="B259" t="s">
        <v>267</v>
      </c>
      <c r="C259" t="s">
        <v>37</v>
      </c>
      <c r="E259" t="s">
        <v>37</v>
      </c>
      <c r="G259" t="s">
        <v>37</v>
      </c>
      <c r="I259" t="s">
        <v>37</v>
      </c>
      <c r="K259" s="48" t="s">
        <v>37</v>
      </c>
      <c r="L259" s="50"/>
      <c r="M259" s="48" t="s">
        <v>37</v>
      </c>
      <c r="N259" s="50"/>
      <c r="O259" s="48" t="s">
        <v>37</v>
      </c>
      <c r="P259" s="50"/>
      <c r="Q259" s="48" t="s">
        <v>37</v>
      </c>
      <c r="R259" s="50"/>
      <c r="S259" s="48" t="s">
        <v>37</v>
      </c>
      <c r="U259" t="s">
        <v>37</v>
      </c>
      <c r="W259" t="s">
        <v>37</v>
      </c>
      <c r="Y259" t="s">
        <v>37</v>
      </c>
      <c r="AA259" t="s">
        <v>37</v>
      </c>
      <c r="AC259" t="s">
        <v>37</v>
      </c>
      <c r="AE259" t="s">
        <v>37</v>
      </c>
      <c r="AG259" t="s">
        <v>37</v>
      </c>
      <c r="AI259" t="s">
        <v>37</v>
      </c>
      <c r="AK259" t="s">
        <v>37</v>
      </c>
      <c r="AM259" t="s">
        <v>37</v>
      </c>
      <c r="AO259" t="s">
        <v>37</v>
      </c>
      <c r="AQ259" t="s">
        <v>37</v>
      </c>
      <c r="AS259" t="s">
        <v>37</v>
      </c>
      <c r="AU259" t="s">
        <v>37</v>
      </c>
      <c r="AW259" t="s">
        <v>37</v>
      </c>
      <c r="AY259" t="s">
        <v>37</v>
      </c>
      <c r="BA259" t="s">
        <v>37</v>
      </c>
      <c r="BC259" t="s">
        <v>37</v>
      </c>
      <c r="BE259" t="s">
        <v>37</v>
      </c>
      <c r="BG259" t="s">
        <v>37</v>
      </c>
      <c r="BI259" t="s">
        <v>37</v>
      </c>
      <c r="BK259" t="s">
        <v>37</v>
      </c>
      <c r="BM259" t="s">
        <v>37</v>
      </c>
      <c r="BO259" t="s">
        <v>37</v>
      </c>
      <c r="BQ259" t="s">
        <v>37</v>
      </c>
      <c r="BS259" t="s">
        <v>37</v>
      </c>
      <c r="BU259" t="s">
        <v>37</v>
      </c>
      <c r="BW259" t="s">
        <v>37</v>
      </c>
      <c r="BY259" t="s">
        <v>37</v>
      </c>
      <c r="CA259" t="s">
        <v>37</v>
      </c>
      <c r="CC259" t="s">
        <v>37</v>
      </c>
      <c r="CE259" t="s">
        <v>37</v>
      </c>
      <c r="CG259" t="s">
        <v>37</v>
      </c>
      <c r="CI259" t="s">
        <v>37</v>
      </c>
      <c r="CK259" t="s">
        <v>37</v>
      </c>
      <c r="CM259" t="s">
        <v>37</v>
      </c>
      <c r="CO259" t="s">
        <v>37</v>
      </c>
      <c r="CQ259" t="s">
        <v>37</v>
      </c>
      <c r="CS259" t="s">
        <v>37</v>
      </c>
      <c r="CU259" t="s">
        <v>37</v>
      </c>
      <c r="CW259" t="s">
        <v>37</v>
      </c>
      <c r="CY259" t="s">
        <v>37</v>
      </c>
      <c r="DA259" t="s">
        <v>37</v>
      </c>
      <c r="DC259" t="s">
        <v>37</v>
      </c>
      <c r="DE259" t="s">
        <v>37</v>
      </c>
      <c r="DG259" t="s">
        <v>37</v>
      </c>
      <c r="DI259" t="s">
        <v>37</v>
      </c>
      <c r="DK259" t="s">
        <v>37</v>
      </c>
      <c r="DM259" t="s">
        <v>37</v>
      </c>
      <c r="DO259" t="s">
        <v>37</v>
      </c>
      <c r="DQ259" t="s">
        <v>37</v>
      </c>
      <c r="DS259" t="s">
        <v>37</v>
      </c>
      <c r="DU259" t="s">
        <v>37</v>
      </c>
      <c r="DW259" t="s">
        <v>37</v>
      </c>
      <c r="DY259" t="s">
        <v>37</v>
      </c>
      <c r="EA259" t="s">
        <v>37</v>
      </c>
      <c r="EC259" t="s">
        <v>37</v>
      </c>
      <c r="EE259" t="s">
        <v>37</v>
      </c>
      <c r="EG259" t="s">
        <v>37</v>
      </c>
      <c r="EI259" t="s">
        <v>37</v>
      </c>
      <c r="EK259" t="s">
        <v>37</v>
      </c>
      <c r="EM259" t="s">
        <v>37</v>
      </c>
      <c r="EO259" t="s">
        <v>37</v>
      </c>
      <c r="EQ259" t="s">
        <v>37</v>
      </c>
      <c r="ES259" t="s">
        <v>37</v>
      </c>
      <c r="EU259" t="s">
        <v>37</v>
      </c>
      <c r="EW259" t="s">
        <v>37</v>
      </c>
      <c r="EY259" t="s">
        <v>37</v>
      </c>
      <c r="FA259" t="s">
        <v>37</v>
      </c>
      <c r="FC259" t="s">
        <v>37</v>
      </c>
      <c r="FE259" t="s">
        <v>37</v>
      </c>
      <c r="FG259" t="s">
        <v>37</v>
      </c>
      <c r="FI259" t="s">
        <v>37</v>
      </c>
      <c r="FK259" t="s">
        <v>37</v>
      </c>
      <c r="FM259" t="s">
        <v>37</v>
      </c>
      <c r="FO259" t="s">
        <v>37</v>
      </c>
      <c r="FQ259" t="s">
        <v>37</v>
      </c>
      <c r="FS259" t="s">
        <v>37</v>
      </c>
      <c r="FU259" t="s">
        <v>37</v>
      </c>
      <c r="FW259" t="s">
        <v>37</v>
      </c>
      <c r="FY259" t="s">
        <v>37</v>
      </c>
      <c r="GA259" t="s">
        <v>37</v>
      </c>
      <c r="GC259" t="s">
        <v>37</v>
      </c>
      <c r="GE259" t="s">
        <v>37</v>
      </c>
      <c r="GG259" t="s">
        <v>37</v>
      </c>
      <c r="GI259" t="s">
        <v>37</v>
      </c>
      <c r="GK259" t="s">
        <v>37</v>
      </c>
      <c r="GM259" t="s">
        <v>37</v>
      </c>
      <c r="GO259" t="s">
        <v>37</v>
      </c>
      <c r="GQ259" t="s">
        <v>37</v>
      </c>
      <c r="GS259" t="s">
        <v>37</v>
      </c>
      <c r="GU259" t="s">
        <v>37</v>
      </c>
      <c r="GW259" t="s">
        <v>37</v>
      </c>
      <c r="GY259" t="s">
        <v>37</v>
      </c>
      <c r="HA259" t="s">
        <v>37</v>
      </c>
      <c r="HC259" t="s">
        <v>37</v>
      </c>
      <c r="HE259" t="s">
        <v>37</v>
      </c>
      <c r="HG259" t="s">
        <v>37</v>
      </c>
      <c r="HI259" t="s">
        <v>37</v>
      </c>
      <c r="HK259" t="s">
        <v>37</v>
      </c>
    </row>
    <row r="260" spans="1:219">
      <c r="A260">
        <v>4920</v>
      </c>
      <c r="B260" t="s">
        <v>268</v>
      </c>
      <c r="C260" t="s">
        <v>37</v>
      </c>
      <c r="D260">
        <v>20385</v>
      </c>
      <c r="E260" t="s">
        <v>37</v>
      </c>
      <c r="F260">
        <v>113117</v>
      </c>
      <c r="G260" t="s">
        <v>37</v>
      </c>
      <c r="H260">
        <v>16697</v>
      </c>
      <c r="I260" t="s">
        <v>37</v>
      </c>
      <c r="K260" s="48" t="s">
        <v>37</v>
      </c>
      <c r="L260" s="51">
        <v>21769</v>
      </c>
      <c r="M260" s="48" t="s">
        <v>37</v>
      </c>
      <c r="N260" s="51">
        <v>13529</v>
      </c>
      <c r="O260" s="48" t="s">
        <v>37</v>
      </c>
      <c r="P260" s="51">
        <v>12058</v>
      </c>
      <c r="Q260" s="48" t="s">
        <v>37</v>
      </c>
      <c r="R260" s="51">
        <v>9095</v>
      </c>
      <c r="S260" s="48" t="s">
        <v>37</v>
      </c>
      <c r="T260">
        <v>52163</v>
      </c>
      <c r="U260" t="s">
        <v>37</v>
      </c>
      <c r="W260" t="s">
        <v>37</v>
      </c>
      <c r="Y260" t="s">
        <v>37</v>
      </c>
      <c r="Z260">
        <v>9443</v>
      </c>
      <c r="AA260" t="s">
        <v>37</v>
      </c>
      <c r="AB260">
        <v>7064</v>
      </c>
      <c r="AC260" t="s">
        <v>37</v>
      </c>
      <c r="AD260">
        <v>8440</v>
      </c>
      <c r="AE260" t="s">
        <v>37</v>
      </c>
      <c r="AF260">
        <v>4728</v>
      </c>
      <c r="AG260" t="s">
        <v>37</v>
      </c>
      <c r="AH260">
        <v>12566</v>
      </c>
      <c r="AI260" t="s">
        <v>37</v>
      </c>
      <c r="AK260" t="s">
        <v>37</v>
      </c>
      <c r="AL260">
        <v>105309</v>
      </c>
      <c r="AM260" t="s">
        <v>37</v>
      </c>
      <c r="AO260" t="s">
        <v>37</v>
      </c>
      <c r="AP260">
        <v>149162</v>
      </c>
      <c r="AQ260" t="s">
        <v>37</v>
      </c>
      <c r="AR260">
        <v>9319</v>
      </c>
      <c r="AS260" t="s">
        <v>37</v>
      </c>
      <c r="AT260">
        <v>275107</v>
      </c>
      <c r="AU260" t="s">
        <v>37</v>
      </c>
      <c r="AV260">
        <v>36196</v>
      </c>
      <c r="AW260" t="s">
        <v>37</v>
      </c>
      <c r="AX260">
        <v>34175</v>
      </c>
      <c r="AY260" t="s">
        <v>37</v>
      </c>
      <c r="AZ260">
        <v>42465</v>
      </c>
      <c r="BA260" t="s">
        <v>37</v>
      </c>
      <c r="BB260">
        <v>2274</v>
      </c>
      <c r="BC260" t="s">
        <v>37</v>
      </c>
      <c r="BD260">
        <v>23185</v>
      </c>
      <c r="BE260" t="s">
        <v>37</v>
      </c>
      <c r="BF260">
        <v>6045</v>
      </c>
      <c r="BG260" t="s">
        <v>37</v>
      </c>
      <c r="BI260" t="s">
        <v>37</v>
      </c>
      <c r="BJ260">
        <v>47864</v>
      </c>
      <c r="BK260" t="s">
        <v>37</v>
      </c>
      <c r="BL260">
        <v>80266</v>
      </c>
      <c r="BM260" t="s">
        <v>37</v>
      </c>
      <c r="BO260" t="s">
        <v>37</v>
      </c>
      <c r="BP260">
        <v>3608</v>
      </c>
      <c r="BQ260" t="s">
        <v>37</v>
      </c>
      <c r="BR260">
        <v>23727</v>
      </c>
      <c r="BS260" t="s">
        <v>37</v>
      </c>
      <c r="BT260">
        <v>9011</v>
      </c>
      <c r="BU260" t="s">
        <v>37</v>
      </c>
      <c r="BW260" t="s">
        <v>37</v>
      </c>
      <c r="BX260">
        <v>71703</v>
      </c>
      <c r="BY260" t="s">
        <v>37</v>
      </c>
      <c r="BZ260">
        <v>22929</v>
      </c>
      <c r="CA260" t="s">
        <v>37</v>
      </c>
      <c r="CC260" t="s">
        <v>37</v>
      </c>
      <c r="CD260">
        <v>17776</v>
      </c>
      <c r="CE260" t="s">
        <v>37</v>
      </c>
      <c r="CF260">
        <v>21847</v>
      </c>
      <c r="CG260" t="s">
        <v>37</v>
      </c>
      <c r="CH260">
        <v>77085</v>
      </c>
      <c r="CI260" t="s">
        <v>37</v>
      </c>
      <c r="CJ260">
        <v>6066</v>
      </c>
      <c r="CK260" t="s">
        <v>37</v>
      </c>
      <c r="CL260">
        <v>46815</v>
      </c>
      <c r="CM260" t="s">
        <v>37</v>
      </c>
      <c r="CN260">
        <v>9745</v>
      </c>
      <c r="CO260" t="s">
        <v>37</v>
      </c>
      <c r="CP260">
        <v>6412</v>
      </c>
      <c r="CQ260" t="s">
        <v>37</v>
      </c>
      <c r="CR260">
        <v>58865</v>
      </c>
      <c r="CS260" t="s">
        <v>37</v>
      </c>
      <c r="CT260">
        <v>296754</v>
      </c>
      <c r="CU260" t="s">
        <v>37</v>
      </c>
      <c r="CV260">
        <v>39974</v>
      </c>
      <c r="CW260" t="s">
        <v>37</v>
      </c>
      <c r="CX260">
        <v>5005</v>
      </c>
      <c r="CY260" t="s">
        <v>37</v>
      </c>
      <c r="CZ260">
        <v>6727</v>
      </c>
      <c r="DA260" t="s">
        <v>37</v>
      </c>
      <c r="DC260" t="s">
        <v>37</v>
      </c>
      <c r="DD260">
        <v>13313</v>
      </c>
      <c r="DE260" t="s">
        <v>37</v>
      </c>
      <c r="DF260">
        <v>12247</v>
      </c>
      <c r="DG260" t="s">
        <v>37</v>
      </c>
      <c r="DH260">
        <v>141829</v>
      </c>
      <c r="DI260" t="s">
        <v>37</v>
      </c>
      <c r="DJ260">
        <v>19998</v>
      </c>
      <c r="DK260" t="s">
        <v>37</v>
      </c>
      <c r="DL260">
        <v>37980</v>
      </c>
      <c r="DM260" t="s">
        <v>37</v>
      </c>
      <c r="DN260">
        <v>46748</v>
      </c>
      <c r="DO260" t="s">
        <v>37</v>
      </c>
      <c r="DP260">
        <v>26474</v>
      </c>
      <c r="DQ260" t="s">
        <v>37</v>
      </c>
      <c r="DR260">
        <v>17384</v>
      </c>
      <c r="DS260" t="s">
        <v>37</v>
      </c>
      <c r="DT260">
        <v>20234</v>
      </c>
      <c r="DU260" t="s">
        <v>37</v>
      </c>
      <c r="DV260">
        <v>56162</v>
      </c>
      <c r="DW260" t="s">
        <v>37</v>
      </c>
      <c r="DX260">
        <v>46308</v>
      </c>
      <c r="DY260" t="s">
        <v>37</v>
      </c>
      <c r="DZ260">
        <v>9805</v>
      </c>
      <c r="EA260" t="s">
        <v>37</v>
      </c>
      <c r="EB260">
        <v>13979</v>
      </c>
      <c r="EC260" t="s">
        <v>37</v>
      </c>
      <c r="ED260">
        <v>47364</v>
      </c>
      <c r="EE260" t="s">
        <v>37</v>
      </c>
      <c r="EF260">
        <v>15472</v>
      </c>
      <c r="EG260" t="s">
        <v>37</v>
      </c>
      <c r="EI260" t="s">
        <v>37</v>
      </c>
      <c r="EJ260">
        <v>25955</v>
      </c>
      <c r="EK260" t="s">
        <v>37</v>
      </c>
      <c r="EL260">
        <v>12548</v>
      </c>
      <c r="EM260" t="s">
        <v>37</v>
      </c>
      <c r="EN260">
        <v>6482</v>
      </c>
      <c r="EO260" t="s">
        <v>37</v>
      </c>
      <c r="EQ260" t="s">
        <v>37</v>
      </c>
      <c r="ER260">
        <v>28219</v>
      </c>
      <c r="ES260" t="s">
        <v>37</v>
      </c>
      <c r="ET260">
        <v>30627</v>
      </c>
      <c r="EU260" t="s">
        <v>37</v>
      </c>
      <c r="EV260">
        <v>50061</v>
      </c>
      <c r="EW260" t="s">
        <v>37</v>
      </c>
      <c r="EY260" t="s">
        <v>37</v>
      </c>
      <c r="EZ260">
        <v>24886</v>
      </c>
      <c r="FA260" t="s">
        <v>37</v>
      </c>
      <c r="FB260">
        <v>18151</v>
      </c>
      <c r="FC260" t="s">
        <v>37</v>
      </c>
      <c r="FD260">
        <v>49759</v>
      </c>
      <c r="FE260" t="s">
        <v>37</v>
      </c>
      <c r="FG260" t="s">
        <v>37</v>
      </c>
      <c r="FH260">
        <v>62502</v>
      </c>
      <c r="FI260" t="s">
        <v>37</v>
      </c>
      <c r="FJ260">
        <v>128050</v>
      </c>
      <c r="FK260" t="s">
        <v>37</v>
      </c>
      <c r="FL260">
        <v>46787</v>
      </c>
      <c r="FM260" t="s">
        <v>37</v>
      </c>
      <c r="FN260">
        <v>10552</v>
      </c>
      <c r="FO260" t="s">
        <v>37</v>
      </c>
      <c r="FP260">
        <v>17475</v>
      </c>
      <c r="FQ260" t="s">
        <v>37</v>
      </c>
      <c r="FR260">
        <v>25110</v>
      </c>
      <c r="FS260" t="s">
        <v>37</v>
      </c>
      <c r="FT260">
        <v>11957</v>
      </c>
      <c r="FU260" t="s">
        <v>37</v>
      </c>
      <c r="FV260">
        <v>9131</v>
      </c>
      <c r="FW260" t="s">
        <v>37</v>
      </c>
      <c r="FX260">
        <v>23707</v>
      </c>
      <c r="FY260" t="s">
        <v>37</v>
      </c>
      <c r="FZ260">
        <v>26375</v>
      </c>
      <c r="GA260" t="s">
        <v>37</v>
      </c>
      <c r="GB260">
        <v>69322</v>
      </c>
      <c r="GC260" t="s">
        <v>37</v>
      </c>
      <c r="GE260" t="s">
        <v>37</v>
      </c>
      <c r="GG260" t="s">
        <v>37</v>
      </c>
      <c r="GI260" t="s">
        <v>37</v>
      </c>
      <c r="GJ260">
        <v>57798</v>
      </c>
      <c r="GK260" t="s">
        <v>37</v>
      </c>
      <c r="GL260">
        <v>49409</v>
      </c>
      <c r="GM260" t="s">
        <v>37</v>
      </c>
      <c r="GO260" t="s">
        <v>37</v>
      </c>
      <c r="GP260">
        <v>24650</v>
      </c>
      <c r="GQ260" t="s">
        <v>37</v>
      </c>
      <c r="GR260">
        <v>50907</v>
      </c>
      <c r="GS260" t="s">
        <v>37</v>
      </c>
      <c r="GT260">
        <v>20951</v>
      </c>
      <c r="GU260" t="s">
        <v>37</v>
      </c>
      <c r="GV260">
        <v>15043</v>
      </c>
      <c r="GW260" t="s">
        <v>37</v>
      </c>
      <c r="GX260">
        <v>66306</v>
      </c>
      <c r="GY260" t="s">
        <v>37</v>
      </c>
      <c r="GZ260">
        <v>14506</v>
      </c>
      <c r="HA260" t="s">
        <v>37</v>
      </c>
      <c r="HC260" t="s">
        <v>37</v>
      </c>
      <c r="HE260" t="s">
        <v>37</v>
      </c>
      <c r="HF260">
        <v>3338993</v>
      </c>
      <c r="HG260" t="s">
        <v>37</v>
      </c>
      <c r="HI260" t="s">
        <v>37</v>
      </c>
      <c r="HJ260">
        <v>3338993</v>
      </c>
      <c r="HK260" t="s">
        <v>37</v>
      </c>
    </row>
    <row r="261" spans="1:219">
      <c r="A261">
        <v>4924</v>
      </c>
      <c r="B261" t="s">
        <v>269</v>
      </c>
      <c r="C261" t="s">
        <v>37</v>
      </c>
      <c r="E261" t="s">
        <v>37</v>
      </c>
      <c r="F261">
        <v>103332</v>
      </c>
      <c r="G261" t="s">
        <v>37</v>
      </c>
      <c r="H261">
        <v>141617</v>
      </c>
      <c r="I261" t="s">
        <v>37</v>
      </c>
      <c r="K261" s="48" t="s">
        <v>37</v>
      </c>
      <c r="L261" s="50"/>
      <c r="M261" s="48" t="s">
        <v>37</v>
      </c>
      <c r="N261" s="51">
        <v>370312</v>
      </c>
      <c r="O261" s="48" t="s">
        <v>37</v>
      </c>
      <c r="P261" s="51">
        <v>169125</v>
      </c>
      <c r="Q261" s="48" t="s">
        <v>37</v>
      </c>
      <c r="R261" s="51">
        <v>87500</v>
      </c>
      <c r="S261" s="48" t="s">
        <v>37</v>
      </c>
      <c r="T261">
        <v>240715</v>
      </c>
      <c r="U261" t="s">
        <v>37</v>
      </c>
      <c r="W261" t="s">
        <v>37</v>
      </c>
      <c r="Y261" t="s">
        <v>37</v>
      </c>
      <c r="AA261" t="s">
        <v>37</v>
      </c>
      <c r="AC261" t="s">
        <v>37</v>
      </c>
      <c r="AD261">
        <v>92047</v>
      </c>
      <c r="AE261" t="s">
        <v>37</v>
      </c>
      <c r="AG261" t="s">
        <v>37</v>
      </c>
      <c r="AI261" t="s">
        <v>37</v>
      </c>
      <c r="AK261" t="s">
        <v>37</v>
      </c>
      <c r="AL261">
        <v>241879</v>
      </c>
      <c r="AM261" t="s">
        <v>37</v>
      </c>
      <c r="AO261" t="s">
        <v>37</v>
      </c>
      <c r="AP261">
        <v>436645</v>
      </c>
      <c r="AQ261" t="s">
        <v>37</v>
      </c>
      <c r="AS261" t="s">
        <v>37</v>
      </c>
      <c r="AT261">
        <v>436670</v>
      </c>
      <c r="AU261" t="s">
        <v>37</v>
      </c>
      <c r="AV261">
        <v>86777</v>
      </c>
      <c r="AW261" t="s">
        <v>37</v>
      </c>
      <c r="AX261">
        <v>112449</v>
      </c>
      <c r="AY261" t="s">
        <v>37</v>
      </c>
      <c r="BA261" t="s">
        <v>37</v>
      </c>
      <c r="BC261" t="s">
        <v>37</v>
      </c>
      <c r="BE261" t="s">
        <v>37</v>
      </c>
      <c r="BF261">
        <v>108950</v>
      </c>
      <c r="BG261" t="s">
        <v>37</v>
      </c>
      <c r="BI261" t="s">
        <v>37</v>
      </c>
      <c r="BJ261">
        <v>197432</v>
      </c>
      <c r="BK261" t="s">
        <v>37</v>
      </c>
      <c r="BL261">
        <v>54317</v>
      </c>
      <c r="BM261" t="s">
        <v>37</v>
      </c>
      <c r="BO261" t="s">
        <v>37</v>
      </c>
      <c r="BQ261" t="s">
        <v>37</v>
      </c>
      <c r="BS261" t="s">
        <v>37</v>
      </c>
      <c r="BT261">
        <v>361979</v>
      </c>
      <c r="BU261" t="s">
        <v>37</v>
      </c>
      <c r="BW261" t="s">
        <v>37</v>
      </c>
      <c r="BY261" t="s">
        <v>37</v>
      </c>
      <c r="BZ261">
        <v>158316</v>
      </c>
      <c r="CA261" t="s">
        <v>37</v>
      </c>
      <c r="CC261" t="s">
        <v>37</v>
      </c>
      <c r="CD261">
        <v>4404</v>
      </c>
      <c r="CE261" t="s">
        <v>37</v>
      </c>
      <c r="CF261">
        <v>6483</v>
      </c>
      <c r="CG261" t="s">
        <v>37</v>
      </c>
      <c r="CH261">
        <v>115165</v>
      </c>
      <c r="CI261" t="s">
        <v>37</v>
      </c>
      <c r="CK261" t="s">
        <v>37</v>
      </c>
      <c r="CM261" t="s">
        <v>37</v>
      </c>
      <c r="CO261" t="s">
        <v>37</v>
      </c>
      <c r="CP261">
        <v>111842</v>
      </c>
      <c r="CQ261" t="s">
        <v>37</v>
      </c>
      <c r="CS261" t="s">
        <v>37</v>
      </c>
      <c r="CU261" t="s">
        <v>37</v>
      </c>
      <c r="CV261">
        <v>229088</v>
      </c>
      <c r="CW261" t="s">
        <v>37</v>
      </c>
      <c r="CX261">
        <v>87500</v>
      </c>
      <c r="CY261" t="s">
        <v>37</v>
      </c>
      <c r="DA261" t="s">
        <v>37</v>
      </c>
      <c r="DC261" t="s">
        <v>37</v>
      </c>
      <c r="DD261">
        <v>172816</v>
      </c>
      <c r="DE261" t="s">
        <v>37</v>
      </c>
      <c r="DG261" t="s">
        <v>37</v>
      </c>
      <c r="DI261" t="s">
        <v>37</v>
      </c>
      <c r="DK261" t="s">
        <v>37</v>
      </c>
      <c r="DL261">
        <v>187614</v>
      </c>
      <c r="DM261" t="s">
        <v>37</v>
      </c>
      <c r="DN261">
        <v>74896</v>
      </c>
      <c r="DO261" t="s">
        <v>37</v>
      </c>
      <c r="DQ261" t="s">
        <v>37</v>
      </c>
      <c r="DR261">
        <v>181826</v>
      </c>
      <c r="DS261" t="s">
        <v>37</v>
      </c>
      <c r="DT261">
        <v>186180</v>
      </c>
      <c r="DU261" t="s">
        <v>37</v>
      </c>
      <c r="DV261">
        <v>294348</v>
      </c>
      <c r="DW261" t="s">
        <v>37</v>
      </c>
      <c r="DY261" t="s">
        <v>37</v>
      </c>
      <c r="DZ261">
        <v>282046</v>
      </c>
      <c r="EA261" t="s">
        <v>37</v>
      </c>
      <c r="EC261" t="s">
        <v>37</v>
      </c>
      <c r="EE261" t="s">
        <v>37</v>
      </c>
      <c r="EG261" t="s">
        <v>37</v>
      </c>
      <c r="EI261" t="s">
        <v>37</v>
      </c>
      <c r="EJ261">
        <v>96030</v>
      </c>
      <c r="EK261" t="s">
        <v>37</v>
      </c>
      <c r="EL261">
        <v>87500</v>
      </c>
      <c r="EM261" t="s">
        <v>37</v>
      </c>
      <c r="EO261" t="s">
        <v>37</v>
      </c>
      <c r="EQ261" t="s">
        <v>37</v>
      </c>
      <c r="ER261">
        <v>62267</v>
      </c>
      <c r="ES261" t="s">
        <v>37</v>
      </c>
      <c r="ET261">
        <v>175000</v>
      </c>
      <c r="EU261" t="s">
        <v>37</v>
      </c>
      <c r="EV261">
        <v>122036</v>
      </c>
      <c r="EW261" t="s">
        <v>37</v>
      </c>
      <c r="EY261" t="s">
        <v>37</v>
      </c>
      <c r="FA261" t="s">
        <v>37</v>
      </c>
      <c r="FC261" t="s">
        <v>37</v>
      </c>
      <c r="FD261">
        <v>102033</v>
      </c>
      <c r="FE261" t="s">
        <v>37</v>
      </c>
      <c r="FG261" t="s">
        <v>37</v>
      </c>
      <c r="FH261">
        <v>118899</v>
      </c>
      <c r="FI261" t="s">
        <v>37</v>
      </c>
      <c r="FJ261">
        <v>101963</v>
      </c>
      <c r="FK261" t="s">
        <v>37</v>
      </c>
      <c r="FL261">
        <v>428468</v>
      </c>
      <c r="FM261" t="s">
        <v>37</v>
      </c>
      <c r="FO261" t="s">
        <v>37</v>
      </c>
      <c r="FP261">
        <v>84959</v>
      </c>
      <c r="FQ261" t="s">
        <v>37</v>
      </c>
      <c r="FS261" t="s">
        <v>37</v>
      </c>
      <c r="FT261">
        <v>177922</v>
      </c>
      <c r="FU261" t="s">
        <v>37</v>
      </c>
      <c r="FV261">
        <v>13964</v>
      </c>
      <c r="FW261" t="s">
        <v>37</v>
      </c>
      <c r="FY261" t="s">
        <v>37</v>
      </c>
      <c r="GA261" t="s">
        <v>37</v>
      </c>
      <c r="GC261" t="s">
        <v>37</v>
      </c>
      <c r="GE261" t="s">
        <v>37</v>
      </c>
      <c r="GG261" t="s">
        <v>37</v>
      </c>
      <c r="GI261" t="s">
        <v>37</v>
      </c>
      <c r="GJ261">
        <v>157737</v>
      </c>
      <c r="GK261" t="s">
        <v>37</v>
      </c>
      <c r="GL261">
        <v>172256</v>
      </c>
      <c r="GM261" t="s">
        <v>37</v>
      </c>
      <c r="GO261" t="s">
        <v>37</v>
      </c>
      <c r="GP261">
        <v>234326</v>
      </c>
      <c r="GQ261" t="s">
        <v>37</v>
      </c>
      <c r="GR261">
        <v>234495</v>
      </c>
      <c r="GS261" t="s">
        <v>37</v>
      </c>
      <c r="GT261">
        <v>169955</v>
      </c>
      <c r="GU261" t="s">
        <v>37</v>
      </c>
      <c r="GW261" t="s">
        <v>37</v>
      </c>
      <c r="GY261" t="s">
        <v>37</v>
      </c>
      <c r="HA261" t="s">
        <v>37</v>
      </c>
      <c r="HB261">
        <v>47909</v>
      </c>
      <c r="HC261" t="s">
        <v>37</v>
      </c>
      <c r="HE261" t="s">
        <v>37</v>
      </c>
      <c r="HF261">
        <v>7874080</v>
      </c>
      <c r="HG261" t="s">
        <v>37</v>
      </c>
      <c r="HH261">
        <v>47909</v>
      </c>
      <c r="HI261" t="s">
        <v>37</v>
      </c>
      <c r="HJ261">
        <v>7921989</v>
      </c>
      <c r="HK261" t="s">
        <v>37</v>
      </c>
    </row>
    <row r="262" spans="1:219">
      <c r="A262">
        <v>4930</v>
      </c>
      <c r="B262" t="s">
        <v>270</v>
      </c>
      <c r="C262" t="s">
        <v>37</v>
      </c>
      <c r="E262" t="s">
        <v>37</v>
      </c>
      <c r="G262" t="s">
        <v>37</v>
      </c>
      <c r="I262" t="s">
        <v>37</v>
      </c>
      <c r="K262" s="48" t="s">
        <v>37</v>
      </c>
      <c r="L262" s="50"/>
      <c r="M262" s="48" t="s">
        <v>37</v>
      </c>
      <c r="N262" s="50"/>
      <c r="O262" s="48" t="s">
        <v>37</v>
      </c>
      <c r="P262" s="50"/>
      <c r="Q262" s="48" t="s">
        <v>37</v>
      </c>
      <c r="R262" s="50"/>
      <c r="S262" s="48" t="s">
        <v>37</v>
      </c>
      <c r="U262" t="s">
        <v>37</v>
      </c>
      <c r="W262" t="s">
        <v>37</v>
      </c>
      <c r="Y262" t="s">
        <v>37</v>
      </c>
      <c r="AA262" t="s">
        <v>37</v>
      </c>
      <c r="AC262" t="s">
        <v>37</v>
      </c>
      <c r="AE262" t="s">
        <v>37</v>
      </c>
      <c r="AG262" t="s">
        <v>37</v>
      </c>
      <c r="AI262" t="s">
        <v>37</v>
      </c>
      <c r="AK262" t="s">
        <v>37</v>
      </c>
      <c r="AM262" t="s">
        <v>37</v>
      </c>
      <c r="AO262" t="s">
        <v>37</v>
      </c>
      <c r="AQ262" t="s">
        <v>37</v>
      </c>
      <c r="AS262" t="s">
        <v>37</v>
      </c>
      <c r="AU262" t="s">
        <v>37</v>
      </c>
      <c r="AW262" t="s">
        <v>37</v>
      </c>
      <c r="AY262" t="s">
        <v>37</v>
      </c>
      <c r="BA262" t="s">
        <v>37</v>
      </c>
      <c r="BC262" t="s">
        <v>37</v>
      </c>
      <c r="BE262" t="s">
        <v>37</v>
      </c>
      <c r="BG262" t="s">
        <v>37</v>
      </c>
      <c r="BI262" t="s">
        <v>37</v>
      </c>
      <c r="BK262" t="s">
        <v>37</v>
      </c>
      <c r="BM262" t="s">
        <v>37</v>
      </c>
      <c r="BO262" t="s">
        <v>37</v>
      </c>
      <c r="BQ262" t="s">
        <v>37</v>
      </c>
      <c r="BS262" t="s">
        <v>37</v>
      </c>
      <c r="BU262" t="s">
        <v>37</v>
      </c>
      <c r="BW262" t="s">
        <v>37</v>
      </c>
      <c r="BY262" t="s">
        <v>37</v>
      </c>
      <c r="CA262" t="s">
        <v>37</v>
      </c>
      <c r="CC262" t="s">
        <v>37</v>
      </c>
      <c r="CE262" t="s">
        <v>37</v>
      </c>
      <c r="CG262" t="s">
        <v>37</v>
      </c>
      <c r="CI262" t="s">
        <v>37</v>
      </c>
      <c r="CK262" t="s">
        <v>37</v>
      </c>
      <c r="CM262" t="s">
        <v>37</v>
      </c>
      <c r="CO262" t="s">
        <v>37</v>
      </c>
      <c r="CQ262" t="s">
        <v>37</v>
      </c>
      <c r="CS262" t="s">
        <v>37</v>
      </c>
      <c r="CU262" t="s">
        <v>37</v>
      </c>
      <c r="CW262" t="s">
        <v>37</v>
      </c>
      <c r="CY262" t="s">
        <v>37</v>
      </c>
      <c r="DA262" t="s">
        <v>37</v>
      </c>
      <c r="DC262" t="s">
        <v>37</v>
      </c>
      <c r="DE262" t="s">
        <v>37</v>
      </c>
      <c r="DG262" t="s">
        <v>37</v>
      </c>
      <c r="DI262" t="s">
        <v>37</v>
      </c>
      <c r="DK262" t="s">
        <v>37</v>
      </c>
      <c r="DM262" t="s">
        <v>37</v>
      </c>
      <c r="DO262" t="s">
        <v>37</v>
      </c>
      <c r="DQ262" t="s">
        <v>37</v>
      </c>
      <c r="DS262" t="s">
        <v>37</v>
      </c>
      <c r="DU262" t="s">
        <v>37</v>
      </c>
      <c r="DW262" t="s">
        <v>37</v>
      </c>
      <c r="DY262" t="s">
        <v>37</v>
      </c>
      <c r="EA262" t="s">
        <v>37</v>
      </c>
      <c r="EC262" t="s">
        <v>37</v>
      </c>
      <c r="EE262" t="s">
        <v>37</v>
      </c>
      <c r="EG262" t="s">
        <v>37</v>
      </c>
      <c r="EI262" t="s">
        <v>37</v>
      </c>
      <c r="EK262" t="s">
        <v>37</v>
      </c>
      <c r="EM262" t="s">
        <v>37</v>
      </c>
      <c r="EO262" t="s">
        <v>37</v>
      </c>
      <c r="EQ262" t="s">
        <v>37</v>
      </c>
      <c r="ES262" t="s">
        <v>37</v>
      </c>
      <c r="EU262" t="s">
        <v>37</v>
      </c>
      <c r="EV262">
        <v>10575</v>
      </c>
      <c r="EW262" t="s">
        <v>37</v>
      </c>
      <c r="EY262" t="s">
        <v>37</v>
      </c>
      <c r="FA262" t="s">
        <v>37</v>
      </c>
      <c r="FC262" t="s">
        <v>37</v>
      </c>
      <c r="FE262" t="s">
        <v>37</v>
      </c>
      <c r="FG262" t="s">
        <v>37</v>
      </c>
      <c r="FI262" t="s">
        <v>37</v>
      </c>
      <c r="FK262" t="s">
        <v>37</v>
      </c>
      <c r="FM262" t="s">
        <v>37</v>
      </c>
      <c r="FO262" t="s">
        <v>37</v>
      </c>
      <c r="FQ262" t="s">
        <v>37</v>
      </c>
      <c r="FS262" t="s">
        <v>37</v>
      </c>
      <c r="FT262">
        <v>125289</v>
      </c>
      <c r="FU262" t="s">
        <v>37</v>
      </c>
      <c r="FW262" t="s">
        <v>37</v>
      </c>
      <c r="FY262" t="s">
        <v>37</v>
      </c>
      <c r="GA262" t="s">
        <v>37</v>
      </c>
      <c r="GC262" t="s">
        <v>37</v>
      </c>
      <c r="GE262" t="s">
        <v>37</v>
      </c>
      <c r="GG262" t="s">
        <v>37</v>
      </c>
      <c r="GI262" t="s">
        <v>37</v>
      </c>
      <c r="GK262" t="s">
        <v>37</v>
      </c>
      <c r="GM262" t="s">
        <v>37</v>
      </c>
      <c r="GO262" t="s">
        <v>37</v>
      </c>
      <c r="GQ262" t="s">
        <v>37</v>
      </c>
      <c r="GS262" t="s">
        <v>37</v>
      </c>
      <c r="GU262" t="s">
        <v>37</v>
      </c>
      <c r="GW262" t="s">
        <v>37</v>
      </c>
      <c r="GY262" t="s">
        <v>37</v>
      </c>
      <c r="HA262" t="s">
        <v>37</v>
      </c>
      <c r="HC262" t="s">
        <v>37</v>
      </c>
      <c r="HE262" t="s">
        <v>37</v>
      </c>
      <c r="HF262">
        <v>135864</v>
      </c>
      <c r="HG262" t="s">
        <v>37</v>
      </c>
      <c r="HI262" t="s">
        <v>37</v>
      </c>
      <c r="HJ262">
        <v>135864</v>
      </c>
      <c r="HK262" t="s">
        <v>37</v>
      </c>
    </row>
    <row r="263" spans="1:219">
      <c r="A263">
        <v>4952</v>
      </c>
      <c r="B263" t="s">
        <v>271</v>
      </c>
      <c r="C263" t="s">
        <v>37</v>
      </c>
      <c r="E263" t="s">
        <v>37</v>
      </c>
      <c r="G263" t="s">
        <v>37</v>
      </c>
      <c r="I263" t="s">
        <v>37</v>
      </c>
      <c r="K263" s="48" t="s">
        <v>37</v>
      </c>
      <c r="L263" s="50"/>
      <c r="M263" s="48" t="s">
        <v>37</v>
      </c>
      <c r="N263" s="50"/>
      <c r="O263" s="48" t="s">
        <v>37</v>
      </c>
      <c r="P263" s="50"/>
      <c r="Q263" s="48" t="s">
        <v>37</v>
      </c>
      <c r="R263" s="50"/>
      <c r="S263" s="48" t="s">
        <v>37</v>
      </c>
      <c r="U263" t="s">
        <v>37</v>
      </c>
      <c r="W263" t="s">
        <v>37</v>
      </c>
      <c r="Y263" t="s">
        <v>37</v>
      </c>
      <c r="AA263" t="s">
        <v>37</v>
      </c>
      <c r="AC263" t="s">
        <v>37</v>
      </c>
      <c r="AE263" t="s">
        <v>37</v>
      </c>
      <c r="AG263" t="s">
        <v>37</v>
      </c>
      <c r="AI263" t="s">
        <v>37</v>
      </c>
      <c r="AK263" t="s">
        <v>37</v>
      </c>
      <c r="AM263" t="s">
        <v>37</v>
      </c>
      <c r="AO263" t="s">
        <v>37</v>
      </c>
      <c r="AQ263" t="s">
        <v>37</v>
      </c>
      <c r="AS263" t="s">
        <v>37</v>
      </c>
      <c r="AU263" t="s">
        <v>37</v>
      </c>
      <c r="AW263" t="s">
        <v>37</v>
      </c>
      <c r="AY263" t="s">
        <v>37</v>
      </c>
      <c r="BA263" t="s">
        <v>37</v>
      </c>
      <c r="BC263" t="s">
        <v>37</v>
      </c>
      <c r="BE263" t="s">
        <v>37</v>
      </c>
      <c r="BG263" t="s">
        <v>37</v>
      </c>
      <c r="BI263" t="s">
        <v>37</v>
      </c>
      <c r="BK263" t="s">
        <v>37</v>
      </c>
      <c r="BM263" t="s">
        <v>37</v>
      </c>
      <c r="BO263" t="s">
        <v>37</v>
      </c>
      <c r="BQ263" t="s">
        <v>37</v>
      </c>
      <c r="BS263" t="s">
        <v>37</v>
      </c>
      <c r="BU263" t="s">
        <v>37</v>
      </c>
      <c r="BW263" t="s">
        <v>37</v>
      </c>
      <c r="BY263" t="s">
        <v>37</v>
      </c>
      <c r="CA263" t="s">
        <v>37</v>
      </c>
      <c r="CC263" t="s">
        <v>37</v>
      </c>
      <c r="CE263" t="s">
        <v>37</v>
      </c>
      <c r="CG263" t="s">
        <v>37</v>
      </c>
      <c r="CI263" t="s">
        <v>37</v>
      </c>
      <c r="CK263" t="s">
        <v>37</v>
      </c>
      <c r="CM263" t="s">
        <v>37</v>
      </c>
      <c r="CO263" t="s">
        <v>37</v>
      </c>
      <c r="CQ263" t="s">
        <v>37</v>
      </c>
      <c r="CS263" t="s">
        <v>37</v>
      </c>
      <c r="CU263" t="s">
        <v>37</v>
      </c>
      <c r="CW263" t="s">
        <v>37</v>
      </c>
      <c r="CY263" t="s">
        <v>37</v>
      </c>
      <c r="DA263" t="s">
        <v>37</v>
      </c>
      <c r="DC263" t="s">
        <v>37</v>
      </c>
      <c r="DE263" t="s">
        <v>37</v>
      </c>
      <c r="DG263" t="s">
        <v>37</v>
      </c>
      <c r="DI263" t="s">
        <v>37</v>
      </c>
      <c r="DK263" t="s">
        <v>37</v>
      </c>
      <c r="DM263" t="s">
        <v>37</v>
      </c>
      <c r="DO263" t="s">
        <v>37</v>
      </c>
      <c r="DQ263" t="s">
        <v>37</v>
      </c>
      <c r="DS263" t="s">
        <v>37</v>
      </c>
      <c r="DU263" t="s">
        <v>37</v>
      </c>
      <c r="DW263" t="s">
        <v>37</v>
      </c>
      <c r="DY263" t="s">
        <v>37</v>
      </c>
      <c r="EA263" t="s">
        <v>37</v>
      </c>
      <c r="EC263" t="s">
        <v>37</v>
      </c>
      <c r="EE263" t="s">
        <v>37</v>
      </c>
      <c r="EG263" t="s">
        <v>37</v>
      </c>
      <c r="EI263" t="s">
        <v>37</v>
      </c>
      <c r="EK263" t="s">
        <v>37</v>
      </c>
      <c r="EM263" t="s">
        <v>37</v>
      </c>
      <c r="EO263" t="s">
        <v>37</v>
      </c>
      <c r="EQ263" t="s">
        <v>37</v>
      </c>
      <c r="ES263" t="s">
        <v>37</v>
      </c>
      <c r="EU263" t="s">
        <v>37</v>
      </c>
      <c r="EW263" t="s">
        <v>37</v>
      </c>
      <c r="EY263" t="s">
        <v>37</v>
      </c>
      <c r="FA263" t="s">
        <v>37</v>
      </c>
      <c r="FC263" t="s">
        <v>37</v>
      </c>
      <c r="FE263" t="s">
        <v>37</v>
      </c>
      <c r="FG263" t="s">
        <v>37</v>
      </c>
      <c r="FI263" t="s">
        <v>37</v>
      </c>
      <c r="FK263" t="s">
        <v>37</v>
      </c>
      <c r="FM263" t="s">
        <v>37</v>
      </c>
      <c r="FO263" t="s">
        <v>37</v>
      </c>
      <c r="FQ263" t="s">
        <v>37</v>
      </c>
      <c r="FS263" t="s">
        <v>37</v>
      </c>
      <c r="FU263" t="s">
        <v>37</v>
      </c>
      <c r="FW263" t="s">
        <v>37</v>
      </c>
      <c r="FY263" t="s">
        <v>37</v>
      </c>
      <c r="GA263" t="s">
        <v>37</v>
      </c>
      <c r="GC263" t="s">
        <v>37</v>
      </c>
      <c r="GE263" t="s">
        <v>37</v>
      </c>
      <c r="GG263" t="s">
        <v>37</v>
      </c>
      <c r="GI263" t="s">
        <v>37</v>
      </c>
      <c r="GK263" t="s">
        <v>37</v>
      </c>
      <c r="GM263" t="s">
        <v>37</v>
      </c>
      <c r="GO263" t="s">
        <v>37</v>
      </c>
      <c r="GQ263" t="s">
        <v>37</v>
      </c>
      <c r="GS263" t="s">
        <v>37</v>
      </c>
      <c r="GU263" t="s">
        <v>37</v>
      </c>
      <c r="GW263" t="s">
        <v>37</v>
      </c>
      <c r="GY263" t="s">
        <v>37</v>
      </c>
      <c r="HA263" t="s">
        <v>37</v>
      </c>
      <c r="HC263" t="s">
        <v>37</v>
      </c>
      <c r="HE263" t="s">
        <v>37</v>
      </c>
      <c r="HG263" t="s">
        <v>37</v>
      </c>
      <c r="HI263" t="s">
        <v>37</v>
      </c>
      <c r="HK263" t="s">
        <v>37</v>
      </c>
    </row>
    <row r="264" spans="1:219">
      <c r="A264">
        <v>4991</v>
      </c>
      <c r="B264" t="s">
        <v>272</v>
      </c>
      <c r="C264" t="s">
        <v>37</v>
      </c>
      <c r="D264">
        <v>98779</v>
      </c>
      <c r="E264" t="s">
        <v>37</v>
      </c>
      <c r="F264">
        <v>427835</v>
      </c>
      <c r="G264" t="s">
        <v>37</v>
      </c>
      <c r="H264">
        <v>45848</v>
      </c>
      <c r="I264" t="s">
        <v>37</v>
      </c>
      <c r="K264" s="48" t="s">
        <v>37</v>
      </c>
      <c r="L264" s="51">
        <v>170393</v>
      </c>
      <c r="M264" s="48" t="s">
        <v>37</v>
      </c>
      <c r="N264" s="51">
        <v>90738</v>
      </c>
      <c r="O264" s="48" t="s">
        <v>37</v>
      </c>
      <c r="P264" s="50"/>
      <c r="Q264" s="48" t="s">
        <v>37</v>
      </c>
      <c r="R264" s="50"/>
      <c r="S264" s="48" t="s">
        <v>37</v>
      </c>
      <c r="T264">
        <v>255736</v>
      </c>
      <c r="U264" t="s">
        <v>37</v>
      </c>
      <c r="W264" t="s">
        <v>37</v>
      </c>
      <c r="Y264" t="s">
        <v>37</v>
      </c>
      <c r="Z264">
        <v>38471</v>
      </c>
      <c r="AA264" t="s">
        <v>37</v>
      </c>
      <c r="AB264">
        <v>30630</v>
      </c>
      <c r="AC264" t="s">
        <v>37</v>
      </c>
      <c r="AD264">
        <v>24228</v>
      </c>
      <c r="AE264" t="s">
        <v>37</v>
      </c>
      <c r="AF264">
        <v>22830</v>
      </c>
      <c r="AG264" t="s">
        <v>37</v>
      </c>
      <c r="AH264">
        <v>60897</v>
      </c>
      <c r="AI264" t="s">
        <v>37</v>
      </c>
      <c r="AK264" t="s">
        <v>37</v>
      </c>
      <c r="AL264">
        <v>420319</v>
      </c>
      <c r="AM264" t="s">
        <v>37</v>
      </c>
      <c r="AO264" t="s">
        <v>37</v>
      </c>
      <c r="AP264">
        <v>645086</v>
      </c>
      <c r="AQ264" t="s">
        <v>37</v>
      </c>
      <c r="AR264">
        <v>39478</v>
      </c>
      <c r="AS264" t="s">
        <v>37</v>
      </c>
      <c r="AT264">
        <v>766812</v>
      </c>
      <c r="AU264" t="s">
        <v>37</v>
      </c>
      <c r="AV264">
        <v>208755</v>
      </c>
      <c r="AW264" t="s">
        <v>37</v>
      </c>
      <c r="AX264">
        <v>123477</v>
      </c>
      <c r="AY264" t="s">
        <v>37</v>
      </c>
      <c r="AZ264">
        <v>194258</v>
      </c>
      <c r="BA264" t="s">
        <v>37</v>
      </c>
      <c r="BB264">
        <v>25335</v>
      </c>
      <c r="BC264" t="s">
        <v>37</v>
      </c>
      <c r="BD264">
        <v>80765</v>
      </c>
      <c r="BE264" t="s">
        <v>37</v>
      </c>
      <c r="BF264">
        <v>23406</v>
      </c>
      <c r="BG264" t="s">
        <v>37</v>
      </c>
      <c r="BI264" t="s">
        <v>37</v>
      </c>
      <c r="BJ264">
        <v>168789</v>
      </c>
      <c r="BK264" t="s">
        <v>37</v>
      </c>
      <c r="BL264">
        <v>264486</v>
      </c>
      <c r="BM264" t="s">
        <v>37</v>
      </c>
      <c r="BO264" t="s">
        <v>37</v>
      </c>
      <c r="BQ264" t="s">
        <v>37</v>
      </c>
      <c r="BS264" t="s">
        <v>37</v>
      </c>
      <c r="BT264">
        <v>37307</v>
      </c>
      <c r="BU264" t="s">
        <v>37</v>
      </c>
      <c r="BW264" t="s">
        <v>37</v>
      </c>
      <c r="BX264">
        <v>235286</v>
      </c>
      <c r="BY264" t="s">
        <v>37</v>
      </c>
      <c r="BZ264">
        <v>62530</v>
      </c>
      <c r="CA264" t="s">
        <v>37</v>
      </c>
      <c r="CC264" t="s">
        <v>37</v>
      </c>
      <c r="CE264" t="s">
        <v>37</v>
      </c>
      <c r="CF264">
        <v>74435</v>
      </c>
      <c r="CG264" t="s">
        <v>37</v>
      </c>
      <c r="CI264" t="s">
        <v>37</v>
      </c>
      <c r="CJ264">
        <v>31112</v>
      </c>
      <c r="CK264" t="s">
        <v>37</v>
      </c>
      <c r="CL264">
        <v>111058</v>
      </c>
      <c r="CM264" t="s">
        <v>37</v>
      </c>
      <c r="CN264">
        <v>26840</v>
      </c>
      <c r="CO264" t="s">
        <v>37</v>
      </c>
      <c r="CP264">
        <v>39815</v>
      </c>
      <c r="CQ264" t="s">
        <v>37</v>
      </c>
      <c r="CR264">
        <v>220232</v>
      </c>
      <c r="CS264" t="s">
        <v>37</v>
      </c>
      <c r="CT264">
        <v>1032075</v>
      </c>
      <c r="CU264" t="s">
        <v>37</v>
      </c>
      <c r="CV264">
        <v>138964</v>
      </c>
      <c r="CW264" t="s">
        <v>37</v>
      </c>
      <c r="CY264" t="s">
        <v>37</v>
      </c>
      <c r="CZ264">
        <v>41600</v>
      </c>
      <c r="DA264" t="s">
        <v>37</v>
      </c>
      <c r="DC264" t="s">
        <v>37</v>
      </c>
      <c r="DD264">
        <v>70869</v>
      </c>
      <c r="DE264" t="s">
        <v>37</v>
      </c>
      <c r="DF264">
        <v>28806</v>
      </c>
      <c r="DG264" t="s">
        <v>37</v>
      </c>
      <c r="DH264">
        <v>711444</v>
      </c>
      <c r="DI264" t="s">
        <v>37</v>
      </c>
      <c r="DJ264">
        <v>72833</v>
      </c>
      <c r="DK264" t="s">
        <v>37</v>
      </c>
      <c r="DL264">
        <v>245919</v>
      </c>
      <c r="DM264" t="s">
        <v>37</v>
      </c>
      <c r="DN264">
        <v>244531</v>
      </c>
      <c r="DO264" t="s">
        <v>37</v>
      </c>
      <c r="DP264">
        <v>286204</v>
      </c>
      <c r="DQ264" t="s">
        <v>37</v>
      </c>
      <c r="DS264" t="s">
        <v>37</v>
      </c>
      <c r="DT264">
        <v>74752</v>
      </c>
      <c r="DU264" t="s">
        <v>37</v>
      </c>
      <c r="DV264">
        <v>362541</v>
      </c>
      <c r="DW264" t="s">
        <v>37</v>
      </c>
      <c r="DX264">
        <v>182042</v>
      </c>
      <c r="DY264" t="s">
        <v>37</v>
      </c>
      <c r="EA264" t="s">
        <v>37</v>
      </c>
      <c r="EB264">
        <v>70284</v>
      </c>
      <c r="EC264" t="s">
        <v>37</v>
      </c>
      <c r="ED264">
        <v>344807</v>
      </c>
      <c r="EE264" t="s">
        <v>37</v>
      </c>
      <c r="EG264" t="s">
        <v>37</v>
      </c>
      <c r="EI264" t="s">
        <v>37</v>
      </c>
      <c r="EJ264">
        <v>78945</v>
      </c>
      <c r="EK264" t="s">
        <v>37</v>
      </c>
      <c r="EL264">
        <v>49923</v>
      </c>
      <c r="EM264" t="s">
        <v>37</v>
      </c>
      <c r="EN264">
        <v>22853</v>
      </c>
      <c r="EO264" t="s">
        <v>37</v>
      </c>
      <c r="EQ264" t="s">
        <v>37</v>
      </c>
      <c r="ER264">
        <v>125840</v>
      </c>
      <c r="ES264" t="s">
        <v>37</v>
      </c>
      <c r="ET264">
        <v>150179</v>
      </c>
      <c r="EU264" t="s">
        <v>37</v>
      </c>
      <c r="EV264">
        <v>219610</v>
      </c>
      <c r="EW264" t="s">
        <v>37</v>
      </c>
      <c r="EY264" t="s">
        <v>37</v>
      </c>
      <c r="EZ264">
        <v>64887</v>
      </c>
      <c r="FA264" t="s">
        <v>37</v>
      </c>
      <c r="FB264">
        <v>124929</v>
      </c>
      <c r="FC264" t="s">
        <v>37</v>
      </c>
      <c r="FD264">
        <v>215865</v>
      </c>
      <c r="FE264" t="s">
        <v>37</v>
      </c>
      <c r="FG264" t="s">
        <v>37</v>
      </c>
      <c r="FH264">
        <v>222554</v>
      </c>
      <c r="FI264" t="s">
        <v>37</v>
      </c>
      <c r="FJ264">
        <v>499554</v>
      </c>
      <c r="FK264" t="s">
        <v>37</v>
      </c>
      <c r="FL264">
        <v>348833</v>
      </c>
      <c r="FM264" t="s">
        <v>37</v>
      </c>
      <c r="FN264">
        <v>56721</v>
      </c>
      <c r="FO264" t="s">
        <v>37</v>
      </c>
      <c r="FP264">
        <v>94024</v>
      </c>
      <c r="FQ264" t="s">
        <v>37</v>
      </c>
      <c r="FR264">
        <v>176341</v>
      </c>
      <c r="FS264" t="s">
        <v>37</v>
      </c>
      <c r="FT264">
        <v>62389</v>
      </c>
      <c r="FU264" t="s">
        <v>37</v>
      </c>
      <c r="FW264" t="s">
        <v>37</v>
      </c>
      <c r="FX264">
        <v>117247</v>
      </c>
      <c r="FY264" t="s">
        <v>37</v>
      </c>
      <c r="FZ264">
        <v>162936</v>
      </c>
      <c r="GA264" t="s">
        <v>37</v>
      </c>
      <c r="GB264">
        <v>159220</v>
      </c>
      <c r="GC264" t="s">
        <v>37</v>
      </c>
      <c r="GE264" t="s">
        <v>37</v>
      </c>
      <c r="GG264" t="s">
        <v>37</v>
      </c>
      <c r="GI264" t="s">
        <v>37</v>
      </c>
      <c r="GJ264">
        <v>200782</v>
      </c>
      <c r="GK264" t="s">
        <v>37</v>
      </c>
      <c r="GL264">
        <v>215753</v>
      </c>
      <c r="GM264" t="s">
        <v>37</v>
      </c>
      <c r="GO264" t="s">
        <v>37</v>
      </c>
      <c r="GP264">
        <v>115909</v>
      </c>
      <c r="GQ264" t="s">
        <v>37</v>
      </c>
      <c r="GR264">
        <v>142901</v>
      </c>
      <c r="GS264" t="s">
        <v>37</v>
      </c>
      <c r="GT264">
        <v>100977</v>
      </c>
      <c r="GU264" t="s">
        <v>37</v>
      </c>
      <c r="GV264">
        <v>108047</v>
      </c>
      <c r="GW264" t="s">
        <v>37</v>
      </c>
      <c r="GX264">
        <v>283786</v>
      </c>
      <c r="GY264" t="s">
        <v>37</v>
      </c>
      <c r="GZ264">
        <v>107117</v>
      </c>
      <c r="HA264" t="s">
        <v>37</v>
      </c>
      <c r="HC264" t="s">
        <v>37</v>
      </c>
      <c r="HD264">
        <v>30893</v>
      </c>
      <c r="HE264" t="s">
        <v>37</v>
      </c>
      <c r="HF264">
        <v>13201759</v>
      </c>
      <c r="HG264" t="s">
        <v>37</v>
      </c>
      <c r="HH264">
        <v>30893</v>
      </c>
      <c r="HI264" t="s">
        <v>37</v>
      </c>
      <c r="HJ264">
        <v>13232652</v>
      </c>
      <c r="HK264" t="s">
        <v>37</v>
      </c>
    </row>
    <row r="265" spans="1:219">
      <c r="A265">
        <v>4992</v>
      </c>
      <c r="B265" t="s">
        <v>273</v>
      </c>
      <c r="C265" t="s">
        <v>37</v>
      </c>
      <c r="D265">
        <v>86296</v>
      </c>
      <c r="E265" t="s">
        <v>37</v>
      </c>
      <c r="G265" t="s">
        <v>37</v>
      </c>
      <c r="I265" t="s">
        <v>37</v>
      </c>
      <c r="K265" s="48" t="s">
        <v>37</v>
      </c>
      <c r="L265" s="50"/>
      <c r="M265" s="48" t="s">
        <v>37</v>
      </c>
      <c r="N265" s="50"/>
      <c r="O265" s="48" t="s">
        <v>37</v>
      </c>
      <c r="P265" s="50"/>
      <c r="Q265" s="48" t="s">
        <v>37</v>
      </c>
      <c r="R265" s="50"/>
      <c r="S265" s="48" t="s">
        <v>37</v>
      </c>
      <c r="U265" t="s">
        <v>37</v>
      </c>
      <c r="W265" t="s">
        <v>37</v>
      </c>
      <c r="Y265" t="s">
        <v>37</v>
      </c>
      <c r="AA265" t="s">
        <v>37</v>
      </c>
      <c r="AC265" t="s">
        <v>37</v>
      </c>
      <c r="AE265" t="s">
        <v>37</v>
      </c>
      <c r="AG265" t="s">
        <v>37</v>
      </c>
      <c r="AI265" t="s">
        <v>37</v>
      </c>
      <c r="AK265" t="s">
        <v>37</v>
      </c>
      <c r="AM265" t="s">
        <v>37</v>
      </c>
      <c r="AO265" t="s">
        <v>37</v>
      </c>
      <c r="AQ265" t="s">
        <v>37</v>
      </c>
      <c r="AS265" t="s">
        <v>37</v>
      </c>
      <c r="AT265">
        <v>182570</v>
      </c>
      <c r="AU265" t="s">
        <v>37</v>
      </c>
      <c r="AW265" t="s">
        <v>37</v>
      </c>
      <c r="AY265" t="s">
        <v>37</v>
      </c>
      <c r="AZ265">
        <v>189096</v>
      </c>
      <c r="BA265" t="s">
        <v>37</v>
      </c>
      <c r="BC265" t="s">
        <v>37</v>
      </c>
      <c r="BE265" t="s">
        <v>37</v>
      </c>
      <c r="BG265" t="s">
        <v>37</v>
      </c>
      <c r="BI265" t="s">
        <v>37</v>
      </c>
      <c r="BK265" t="s">
        <v>37</v>
      </c>
      <c r="BM265" t="s">
        <v>37</v>
      </c>
      <c r="BO265" t="s">
        <v>37</v>
      </c>
      <c r="BQ265" t="s">
        <v>37</v>
      </c>
      <c r="BS265" t="s">
        <v>37</v>
      </c>
      <c r="BU265" t="s">
        <v>37</v>
      </c>
      <c r="BW265" t="s">
        <v>37</v>
      </c>
      <c r="BY265" t="s">
        <v>37</v>
      </c>
      <c r="CA265" t="s">
        <v>37</v>
      </c>
      <c r="CC265" t="s">
        <v>37</v>
      </c>
      <c r="CD265">
        <v>80945</v>
      </c>
      <c r="CE265" t="s">
        <v>37</v>
      </c>
      <c r="CF265">
        <v>36179</v>
      </c>
      <c r="CG265" t="s">
        <v>37</v>
      </c>
      <c r="CI265" t="s">
        <v>37</v>
      </c>
      <c r="CK265" t="s">
        <v>37</v>
      </c>
      <c r="CM265" t="s">
        <v>37</v>
      </c>
      <c r="CO265" t="s">
        <v>37</v>
      </c>
      <c r="CQ265" t="s">
        <v>37</v>
      </c>
      <c r="CS265" t="s">
        <v>37</v>
      </c>
      <c r="CU265" t="s">
        <v>37</v>
      </c>
      <c r="CW265" t="s">
        <v>37</v>
      </c>
      <c r="CY265" t="s">
        <v>37</v>
      </c>
      <c r="DA265" t="s">
        <v>37</v>
      </c>
      <c r="DC265" t="s">
        <v>37</v>
      </c>
      <c r="DE265" t="s">
        <v>37</v>
      </c>
      <c r="DG265" t="s">
        <v>37</v>
      </c>
      <c r="DI265" t="s">
        <v>37</v>
      </c>
      <c r="DK265" t="s">
        <v>37</v>
      </c>
      <c r="DM265" t="s">
        <v>37</v>
      </c>
      <c r="DO265" t="s">
        <v>37</v>
      </c>
      <c r="DP265">
        <v>49068</v>
      </c>
      <c r="DQ265" t="s">
        <v>37</v>
      </c>
      <c r="DR265">
        <v>28130</v>
      </c>
      <c r="DS265" t="s">
        <v>37</v>
      </c>
      <c r="DU265" t="s">
        <v>37</v>
      </c>
      <c r="DW265" t="s">
        <v>37</v>
      </c>
      <c r="DY265" t="s">
        <v>37</v>
      </c>
      <c r="EA265" t="s">
        <v>37</v>
      </c>
      <c r="EC265" t="s">
        <v>37</v>
      </c>
      <c r="EE265" t="s">
        <v>37</v>
      </c>
      <c r="EG265" t="s">
        <v>37</v>
      </c>
      <c r="EI265" t="s">
        <v>37</v>
      </c>
      <c r="EK265" t="s">
        <v>37</v>
      </c>
      <c r="EM265" t="s">
        <v>37</v>
      </c>
      <c r="EO265" t="s">
        <v>37</v>
      </c>
      <c r="EQ265" t="s">
        <v>37</v>
      </c>
      <c r="ES265" t="s">
        <v>37</v>
      </c>
      <c r="ET265">
        <v>80940</v>
      </c>
      <c r="EU265" t="s">
        <v>37</v>
      </c>
      <c r="EV265">
        <v>63000</v>
      </c>
      <c r="EW265" t="s">
        <v>37</v>
      </c>
      <c r="EY265" t="s">
        <v>37</v>
      </c>
      <c r="FA265" t="s">
        <v>37</v>
      </c>
      <c r="FC265" t="s">
        <v>37</v>
      </c>
      <c r="FE265" t="s">
        <v>37</v>
      </c>
      <c r="FG265" t="s">
        <v>37</v>
      </c>
      <c r="FI265" t="s">
        <v>37</v>
      </c>
      <c r="FK265" t="s">
        <v>37</v>
      </c>
      <c r="FM265" t="s">
        <v>37</v>
      </c>
      <c r="FO265" t="s">
        <v>37</v>
      </c>
      <c r="FQ265" t="s">
        <v>37</v>
      </c>
      <c r="FS265" t="s">
        <v>37</v>
      </c>
      <c r="FU265" t="s">
        <v>37</v>
      </c>
      <c r="FW265" t="s">
        <v>37</v>
      </c>
      <c r="FY265" t="s">
        <v>37</v>
      </c>
      <c r="GA265" t="s">
        <v>37</v>
      </c>
      <c r="GC265" t="s">
        <v>37</v>
      </c>
      <c r="GE265" t="s">
        <v>37</v>
      </c>
      <c r="GG265" t="s">
        <v>37</v>
      </c>
      <c r="GI265" t="s">
        <v>37</v>
      </c>
      <c r="GK265" t="s">
        <v>37</v>
      </c>
      <c r="GM265" t="s">
        <v>37</v>
      </c>
      <c r="GO265" t="s">
        <v>37</v>
      </c>
      <c r="GP265">
        <v>164832</v>
      </c>
      <c r="GQ265" t="s">
        <v>37</v>
      </c>
      <c r="GS265" t="s">
        <v>37</v>
      </c>
      <c r="GU265" t="s">
        <v>37</v>
      </c>
      <c r="GW265" t="s">
        <v>37</v>
      </c>
      <c r="GY265" t="s">
        <v>37</v>
      </c>
      <c r="HA265" t="s">
        <v>37</v>
      </c>
      <c r="HC265" t="s">
        <v>37</v>
      </c>
      <c r="HE265" t="s">
        <v>37</v>
      </c>
      <c r="HF265">
        <v>961056</v>
      </c>
      <c r="HG265" t="s">
        <v>37</v>
      </c>
      <c r="HI265" t="s">
        <v>37</v>
      </c>
      <c r="HJ265">
        <v>961056</v>
      </c>
      <c r="HK265" t="s">
        <v>37</v>
      </c>
    </row>
    <row r="266" spans="1:219">
      <c r="A266">
        <v>4993</v>
      </c>
      <c r="B266" t="s">
        <v>274</v>
      </c>
      <c r="C266" t="s">
        <v>37</v>
      </c>
      <c r="E266" t="s">
        <v>37</v>
      </c>
      <c r="G266" t="s">
        <v>37</v>
      </c>
      <c r="I266" t="s">
        <v>37</v>
      </c>
      <c r="K266" s="48" t="s">
        <v>37</v>
      </c>
      <c r="L266" s="50"/>
      <c r="M266" s="48" t="s">
        <v>37</v>
      </c>
      <c r="N266" s="50"/>
      <c r="O266" s="48" t="s">
        <v>37</v>
      </c>
      <c r="P266" s="50"/>
      <c r="Q266" s="48" t="s">
        <v>37</v>
      </c>
      <c r="R266" s="50"/>
      <c r="S266" s="48" t="s">
        <v>37</v>
      </c>
      <c r="U266" t="s">
        <v>37</v>
      </c>
      <c r="W266" t="s">
        <v>37</v>
      </c>
      <c r="Y266" t="s">
        <v>37</v>
      </c>
      <c r="AA266" t="s">
        <v>37</v>
      </c>
      <c r="AC266" t="s">
        <v>37</v>
      </c>
      <c r="AE266" t="s">
        <v>37</v>
      </c>
      <c r="AG266" t="s">
        <v>37</v>
      </c>
      <c r="AH266">
        <v>1620</v>
      </c>
      <c r="AI266" t="s">
        <v>37</v>
      </c>
      <c r="AK266" t="s">
        <v>37</v>
      </c>
      <c r="AM266" t="s">
        <v>37</v>
      </c>
      <c r="AO266" t="s">
        <v>37</v>
      </c>
      <c r="AQ266" t="s">
        <v>37</v>
      </c>
      <c r="AS266" t="s">
        <v>37</v>
      </c>
      <c r="AU266" t="s">
        <v>37</v>
      </c>
      <c r="AW266" t="s">
        <v>37</v>
      </c>
      <c r="AY266" t="s">
        <v>37</v>
      </c>
      <c r="BA266" t="s">
        <v>37</v>
      </c>
      <c r="BC266" t="s">
        <v>37</v>
      </c>
      <c r="BE266" t="s">
        <v>37</v>
      </c>
      <c r="BG266" t="s">
        <v>37</v>
      </c>
      <c r="BI266" t="s">
        <v>37</v>
      </c>
      <c r="BK266" t="s">
        <v>37</v>
      </c>
      <c r="BM266" t="s">
        <v>37</v>
      </c>
      <c r="BO266" t="s">
        <v>37</v>
      </c>
      <c r="BQ266" t="s">
        <v>37</v>
      </c>
      <c r="BS266" t="s">
        <v>37</v>
      </c>
      <c r="BU266" t="s">
        <v>37</v>
      </c>
      <c r="BW266" t="s">
        <v>37</v>
      </c>
      <c r="BY266" t="s">
        <v>37</v>
      </c>
      <c r="CA266" t="s">
        <v>37</v>
      </c>
      <c r="CC266" t="s">
        <v>37</v>
      </c>
      <c r="CE266" t="s">
        <v>37</v>
      </c>
      <c r="CG266" t="s">
        <v>37</v>
      </c>
      <c r="CI266" t="s">
        <v>37</v>
      </c>
      <c r="CK266" t="s">
        <v>37</v>
      </c>
      <c r="CM266" t="s">
        <v>37</v>
      </c>
      <c r="CO266" t="s">
        <v>37</v>
      </c>
      <c r="CQ266" t="s">
        <v>37</v>
      </c>
      <c r="CS266" t="s">
        <v>37</v>
      </c>
      <c r="CU266" t="s">
        <v>37</v>
      </c>
      <c r="CW266" t="s">
        <v>37</v>
      </c>
      <c r="CY266" t="s">
        <v>37</v>
      </c>
      <c r="DA266" t="s">
        <v>37</v>
      </c>
      <c r="DC266" t="s">
        <v>37</v>
      </c>
      <c r="DE266" t="s">
        <v>37</v>
      </c>
      <c r="DG266" t="s">
        <v>37</v>
      </c>
      <c r="DI266" t="s">
        <v>37</v>
      </c>
      <c r="DK266" t="s">
        <v>37</v>
      </c>
      <c r="DM266" t="s">
        <v>37</v>
      </c>
      <c r="DO266" t="s">
        <v>37</v>
      </c>
      <c r="DQ266" t="s">
        <v>37</v>
      </c>
      <c r="DS266" t="s">
        <v>37</v>
      </c>
      <c r="DU266" t="s">
        <v>37</v>
      </c>
      <c r="DW266" t="s">
        <v>37</v>
      </c>
      <c r="DY266" t="s">
        <v>37</v>
      </c>
      <c r="EA266" t="s">
        <v>37</v>
      </c>
      <c r="EC266" t="s">
        <v>37</v>
      </c>
      <c r="EE266" t="s">
        <v>37</v>
      </c>
      <c r="EG266" t="s">
        <v>37</v>
      </c>
      <c r="EI266" t="s">
        <v>37</v>
      </c>
      <c r="EK266" t="s">
        <v>37</v>
      </c>
      <c r="EM266" t="s">
        <v>37</v>
      </c>
      <c r="EO266" t="s">
        <v>37</v>
      </c>
      <c r="EQ266" t="s">
        <v>37</v>
      </c>
      <c r="ES266" t="s">
        <v>37</v>
      </c>
      <c r="EU266" t="s">
        <v>37</v>
      </c>
      <c r="EW266" t="s">
        <v>37</v>
      </c>
      <c r="EY266" t="s">
        <v>37</v>
      </c>
      <c r="FA266" t="s">
        <v>37</v>
      </c>
      <c r="FC266" t="s">
        <v>37</v>
      </c>
      <c r="FE266" t="s">
        <v>37</v>
      </c>
      <c r="FG266" t="s">
        <v>37</v>
      </c>
      <c r="FI266" t="s">
        <v>37</v>
      </c>
      <c r="FK266" t="s">
        <v>37</v>
      </c>
      <c r="FM266" t="s">
        <v>37</v>
      </c>
      <c r="FO266" t="s">
        <v>37</v>
      </c>
      <c r="FQ266" t="s">
        <v>37</v>
      </c>
      <c r="FS266" t="s">
        <v>37</v>
      </c>
      <c r="FU266" t="s">
        <v>37</v>
      </c>
      <c r="FW266" t="s">
        <v>37</v>
      </c>
      <c r="FY266" t="s">
        <v>37</v>
      </c>
      <c r="GA266" t="s">
        <v>37</v>
      </c>
      <c r="GC266" t="s">
        <v>37</v>
      </c>
      <c r="GE266" t="s">
        <v>37</v>
      </c>
      <c r="GG266" t="s">
        <v>37</v>
      </c>
      <c r="GI266" t="s">
        <v>37</v>
      </c>
      <c r="GK266" t="s">
        <v>37</v>
      </c>
      <c r="GM266" t="s">
        <v>37</v>
      </c>
      <c r="GO266" t="s">
        <v>37</v>
      </c>
      <c r="GQ266" t="s">
        <v>37</v>
      </c>
      <c r="GS266" t="s">
        <v>37</v>
      </c>
      <c r="GU266" t="s">
        <v>37</v>
      </c>
      <c r="GW266" t="s">
        <v>37</v>
      </c>
      <c r="GY266" t="s">
        <v>37</v>
      </c>
      <c r="HA266" t="s">
        <v>37</v>
      </c>
      <c r="HC266" t="s">
        <v>37</v>
      </c>
      <c r="HE266" t="s">
        <v>37</v>
      </c>
      <c r="HF266">
        <v>1620</v>
      </c>
      <c r="HG266" t="s">
        <v>37</v>
      </c>
      <c r="HI266" t="s">
        <v>37</v>
      </c>
      <c r="HJ266">
        <v>1620</v>
      </c>
      <c r="HK266" t="s">
        <v>37</v>
      </c>
    </row>
    <row r="267" spans="1:219">
      <c r="A267">
        <v>4994</v>
      </c>
      <c r="B267" t="s">
        <v>275</v>
      </c>
      <c r="C267" t="s">
        <v>37</v>
      </c>
      <c r="E267" t="s">
        <v>37</v>
      </c>
      <c r="F267">
        <v>18528</v>
      </c>
      <c r="G267" t="s">
        <v>37</v>
      </c>
      <c r="I267" t="s">
        <v>37</v>
      </c>
      <c r="K267" s="48" t="s">
        <v>37</v>
      </c>
      <c r="L267" s="50"/>
      <c r="M267" s="48" t="s">
        <v>37</v>
      </c>
      <c r="N267" s="50"/>
      <c r="O267" s="48" t="s">
        <v>37</v>
      </c>
      <c r="P267" s="50"/>
      <c r="Q267" s="48" t="s">
        <v>37</v>
      </c>
      <c r="R267" s="50"/>
      <c r="S267" s="48" t="s">
        <v>37</v>
      </c>
      <c r="U267" t="s">
        <v>37</v>
      </c>
      <c r="W267" t="s">
        <v>37</v>
      </c>
      <c r="Y267" t="s">
        <v>37</v>
      </c>
      <c r="Z267">
        <v>4860</v>
      </c>
      <c r="AA267" t="s">
        <v>37</v>
      </c>
      <c r="AB267">
        <v>4860</v>
      </c>
      <c r="AC267" t="s">
        <v>37</v>
      </c>
      <c r="AE267" t="s">
        <v>37</v>
      </c>
      <c r="AG267" t="s">
        <v>37</v>
      </c>
      <c r="AI267" t="s">
        <v>37</v>
      </c>
      <c r="AK267" t="s">
        <v>37</v>
      </c>
      <c r="AL267">
        <v>286526</v>
      </c>
      <c r="AM267" t="s">
        <v>37</v>
      </c>
      <c r="AO267" t="s">
        <v>37</v>
      </c>
      <c r="AP267">
        <v>56698</v>
      </c>
      <c r="AQ267" t="s">
        <v>37</v>
      </c>
      <c r="AS267" t="s">
        <v>37</v>
      </c>
      <c r="AT267">
        <v>436500</v>
      </c>
      <c r="AU267" t="s">
        <v>37</v>
      </c>
      <c r="AV267">
        <v>6885</v>
      </c>
      <c r="AW267" t="s">
        <v>37</v>
      </c>
      <c r="AX267">
        <v>4050</v>
      </c>
      <c r="AY267" t="s">
        <v>37</v>
      </c>
      <c r="BA267" t="s">
        <v>37</v>
      </c>
      <c r="BC267" t="s">
        <v>37</v>
      </c>
      <c r="BE267" t="s">
        <v>37</v>
      </c>
      <c r="BG267" t="s">
        <v>37</v>
      </c>
      <c r="BI267" t="s">
        <v>37</v>
      </c>
      <c r="BK267" t="s">
        <v>37</v>
      </c>
      <c r="BL267">
        <v>9112</v>
      </c>
      <c r="BM267" t="s">
        <v>37</v>
      </c>
      <c r="BO267" t="s">
        <v>37</v>
      </c>
      <c r="BQ267" t="s">
        <v>37</v>
      </c>
      <c r="BS267" t="s">
        <v>37</v>
      </c>
      <c r="BU267" t="s">
        <v>37</v>
      </c>
      <c r="BW267" t="s">
        <v>37</v>
      </c>
      <c r="BX267">
        <v>31182</v>
      </c>
      <c r="BY267" t="s">
        <v>37</v>
      </c>
      <c r="CA267" t="s">
        <v>37</v>
      </c>
      <c r="CC267" t="s">
        <v>37</v>
      </c>
      <c r="CD267">
        <v>2632</v>
      </c>
      <c r="CE267" t="s">
        <v>37</v>
      </c>
      <c r="CG267" t="s">
        <v>37</v>
      </c>
      <c r="CH267">
        <v>14477</v>
      </c>
      <c r="CI267" t="s">
        <v>37</v>
      </c>
      <c r="CK267" t="s">
        <v>37</v>
      </c>
      <c r="CM267" t="s">
        <v>37</v>
      </c>
      <c r="CN267">
        <v>2814</v>
      </c>
      <c r="CO267" t="s">
        <v>37</v>
      </c>
      <c r="CQ267" t="s">
        <v>37</v>
      </c>
      <c r="CR267">
        <v>6885</v>
      </c>
      <c r="CS267" t="s">
        <v>37</v>
      </c>
      <c r="CT267">
        <v>79477</v>
      </c>
      <c r="CU267" t="s">
        <v>37</v>
      </c>
      <c r="CV267">
        <v>4860</v>
      </c>
      <c r="CW267" t="s">
        <v>37</v>
      </c>
      <c r="CY267" t="s">
        <v>37</v>
      </c>
      <c r="DA267" t="s">
        <v>37</v>
      </c>
      <c r="DC267" t="s">
        <v>37</v>
      </c>
      <c r="DE267" t="s">
        <v>37</v>
      </c>
      <c r="DF267">
        <v>2500</v>
      </c>
      <c r="DG267" t="s">
        <v>37</v>
      </c>
      <c r="DI267" t="s">
        <v>37</v>
      </c>
      <c r="DK267" t="s">
        <v>37</v>
      </c>
      <c r="DM267" t="s">
        <v>37</v>
      </c>
      <c r="DO267" t="s">
        <v>37</v>
      </c>
      <c r="DQ267" t="s">
        <v>37</v>
      </c>
      <c r="DS267" t="s">
        <v>37</v>
      </c>
      <c r="DT267">
        <v>10528</v>
      </c>
      <c r="DU267" t="s">
        <v>37</v>
      </c>
      <c r="DW267" t="s">
        <v>37</v>
      </c>
      <c r="DY267" t="s">
        <v>37</v>
      </c>
      <c r="EA267" t="s">
        <v>37</v>
      </c>
      <c r="EC267" t="s">
        <v>37</v>
      </c>
      <c r="EE267" t="s">
        <v>37</v>
      </c>
      <c r="EF267">
        <v>4860</v>
      </c>
      <c r="EG267" t="s">
        <v>37</v>
      </c>
      <c r="EI267" t="s">
        <v>37</v>
      </c>
      <c r="EK267" t="s">
        <v>37</v>
      </c>
      <c r="EM267" t="s">
        <v>37</v>
      </c>
      <c r="EO267" t="s">
        <v>37</v>
      </c>
      <c r="EQ267" t="s">
        <v>37</v>
      </c>
      <c r="ES267" t="s">
        <v>37</v>
      </c>
      <c r="EU267" t="s">
        <v>37</v>
      </c>
      <c r="EV267">
        <v>59937</v>
      </c>
      <c r="EW267" t="s">
        <v>37</v>
      </c>
      <c r="EY267" t="s">
        <v>37</v>
      </c>
      <c r="EZ267">
        <v>3240</v>
      </c>
      <c r="FA267" t="s">
        <v>37</v>
      </c>
      <c r="FB267">
        <v>4050</v>
      </c>
      <c r="FC267" t="s">
        <v>37</v>
      </c>
      <c r="FE267" t="s">
        <v>37</v>
      </c>
      <c r="FG267" t="s">
        <v>37</v>
      </c>
      <c r="FI267" t="s">
        <v>37</v>
      </c>
      <c r="FJ267">
        <v>115798</v>
      </c>
      <c r="FK267" t="s">
        <v>37</v>
      </c>
      <c r="FM267" t="s">
        <v>37</v>
      </c>
      <c r="FO267" t="s">
        <v>37</v>
      </c>
      <c r="FP267">
        <v>16200</v>
      </c>
      <c r="FQ267" t="s">
        <v>37</v>
      </c>
      <c r="FS267" t="s">
        <v>37</v>
      </c>
      <c r="FT267">
        <v>5265</v>
      </c>
      <c r="FU267" t="s">
        <v>37</v>
      </c>
      <c r="FW267" t="s">
        <v>37</v>
      </c>
      <c r="FY267" t="s">
        <v>37</v>
      </c>
      <c r="FZ267">
        <v>2025</v>
      </c>
      <c r="GA267" t="s">
        <v>37</v>
      </c>
      <c r="GB267">
        <v>36056</v>
      </c>
      <c r="GC267" t="s">
        <v>37</v>
      </c>
      <c r="GE267" t="s">
        <v>37</v>
      </c>
      <c r="GG267" t="s">
        <v>37</v>
      </c>
      <c r="GI267" t="s">
        <v>37</v>
      </c>
      <c r="GK267" t="s">
        <v>37</v>
      </c>
      <c r="GL267">
        <v>3606</v>
      </c>
      <c r="GM267" t="s">
        <v>37</v>
      </c>
      <c r="GO267" t="s">
        <v>37</v>
      </c>
      <c r="GQ267" t="s">
        <v>37</v>
      </c>
      <c r="GS267" t="s">
        <v>37</v>
      </c>
      <c r="GU267" t="s">
        <v>37</v>
      </c>
      <c r="GW267" t="s">
        <v>37</v>
      </c>
      <c r="GX267">
        <v>26830</v>
      </c>
      <c r="GY267" t="s">
        <v>37</v>
      </c>
      <c r="HA267" t="s">
        <v>37</v>
      </c>
      <c r="HC267" t="s">
        <v>37</v>
      </c>
      <c r="HE267" t="s">
        <v>37</v>
      </c>
      <c r="HF267">
        <v>1261241</v>
      </c>
      <c r="HG267" t="s">
        <v>37</v>
      </c>
      <c r="HI267" t="s">
        <v>37</v>
      </c>
      <c r="HJ267">
        <v>1261241</v>
      </c>
      <c r="HK267" t="s">
        <v>37</v>
      </c>
    </row>
    <row r="268" spans="1:219">
      <c r="A268">
        <v>4995</v>
      </c>
      <c r="B268" t="s">
        <v>276</v>
      </c>
      <c r="C268" t="s">
        <v>37</v>
      </c>
      <c r="E268" t="s">
        <v>37</v>
      </c>
      <c r="G268" t="s">
        <v>37</v>
      </c>
      <c r="H268">
        <v>8000</v>
      </c>
      <c r="I268" t="s">
        <v>37</v>
      </c>
      <c r="K268" s="48" t="s">
        <v>37</v>
      </c>
      <c r="L268" s="51">
        <v>4970</v>
      </c>
      <c r="M268" s="48" t="s">
        <v>37</v>
      </c>
      <c r="N268" s="50"/>
      <c r="O268" s="48" t="s">
        <v>37</v>
      </c>
      <c r="P268" s="50"/>
      <c r="Q268" s="48" t="s">
        <v>37</v>
      </c>
      <c r="R268" s="50"/>
      <c r="S268" s="48" t="s">
        <v>37</v>
      </c>
      <c r="U268" t="s">
        <v>37</v>
      </c>
      <c r="W268" t="s">
        <v>37</v>
      </c>
      <c r="Y268" t="s">
        <v>37</v>
      </c>
      <c r="AA268" t="s">
        <v>37</v>
      </c>
      <c r="AC268" t="s">
        <v>37</v>
      </c>
      <c r="AE268" t="s">
        <v>37</v>
      </c>
      <c r="AG268" t="s">
        <v>37</v>
      </c>
      <c r="AI268" t="s">
        <v>37</v>
      </c>
      <c r="AK268" t="s">
        <v>37</v>
      </c>
      <c r="AM268" t="s">
        <v>37</v>
      </c>
      <c r="AO268" t="s">
        <v>37</v>
      </c>
      <c r="AP268">
        <v>4000</v>
      </c>
      <c r="AQ268" t="s">
        <v>37</v>
      </c>
      <c r="AS268" t="s">
        <v>37</v>
      </c>
      <c r="AU268" t="s">
        <v>37</v>
      </c>
      <c r="AW268" t="s">
        <v>37</v>
      </c>
      <c r="AY268" t="s">
        <v>37</v>
      </c>
      <c r="BA268" t="s">
        <v>37</v>
      </c>
      <c r="BC268" t="s">
        <v>37</v>
      </c>
      <c r="BE268" t="s">
        <v>37</v>
      </c>
      <c r="BG268" t="s">
        <v>37</v>
      </c>
      <c r="BI268" t="s">
        <v>37</v>
      </c>
      <c r="BK268" t="s">
        <v>37</v>
      </c>
      <c r="BM268" t="s">
        <v>37</v>
      </c>
      <c r="BO268" t="s">
        <v>37</v>
      </c>
      <c r="BQ268" t="s">
        <v>37</v>
      </c>
      <c r="BS268" t="s">
        <v>37</v>
      </c>
      <c r="BU268" t="s">
        <v>37</v>
      </c>
      <c r="BW268" t="s">
        <v>37</v>
      </c>
      <c r="BY268" t="s">
        <v>37</v>
      </c>
      <c r="CA268" t="s">
        <v>37</v>
      </c>
      <c r="CC268" t="s">
        <v>37</v>
      </c>
      <c r="CE268" t="s">
        <v>37</v>
      </c>
      <c r="CF268">
        <v>3410</v>
      </c>
      <c r="CG268" t="s">
        <v>37</v>
      </c>
      <c r="CI268" t="s">
        <v>37</v>
      </c>
      <c r="CK268" t="s">
        <v>37</v>
      </c>
      <c r="CM268" t="s">
        <v>37</v>
      </c>
      <c r="CO268" t="s">
        <v>37</v>
      </c>
      <c r="CQ268" t="s">
        <v>37</v>
      </c>
      <c r="CS268" t="s">
        <v>37</v>
      </c>
      <c r="CU268" t="s">
        <v>37</v>
      </c>
      <c r="CW268" t="s">
        <v>37</v>
      </c>
      <c r="CY268" t="s">
        <v>37</v>
      </c>
      <c r="DA268" t="s">
        <v>37</v>
      </c>
      <c r="DC268" t="s">
        <v>37</v>
      </c>
      <c r="DE268" t="s">
        <v>37</v>
      </c>
      <c r="DG268" t="s">
        <v>37</v>
      </c>
      <c r="DI268" t="s">
        <v>37</v>
      </c>
      <c r="DJ268">
        <v>4375</v>
      </c>
      <c r="DK268" t="s">
        <v>37</v>
      </c>
      <c r="DM268" t="s">
        <v>37</v>
      </c>
      <c r="DO268" t="s">
        <v>37</v>
      </c>
      <c r="DP268">
        <v>2790</v>
      </c>
      <c r="DQ268" t="s">
        <v>37</v>
      </c>
      <c r="DS268" t="s">
        <v>37</v>
      </c>
      <c r="DU268" t="s">
        <v>37</v>
      </c>
      <c r="DW268" t="s">
        <v>37</v>
      </c>
      <c r="DY268" t="s">
        <v>37</v>
      </c>
      <c r="EA268" t="s">
        <v>37</v>
      </c>
      <c r="EC268" t="s">
        <v>37</v>
      </c>
      <c r="EE268" t="s">
        <v>37</v>
      </c>
      <c r="EG268" t="s">
        <v>37</v>
      </c>
      <c r="EI268" t="s">
        <v>37</v>
      </c>
      <c r="EK268" t="s">
        <v>37</v>
      </c>
      <c r="EM268" t="s">
        <v>37</v>
      </c>
      <c r="EO268" t="s">
        <v>37</v>
      </c>
      <c r="EQ268" t="s">
        <v>37</v>
      </c>
      <c r="ES268" t="s">
        <v>37</v>
      </c>
      <c r="EU268" t="s">
        <v>37</v>
      </c>
      <c r="EW268" t="s">
        <v>37</v>
      </c>
      <c r="EY268" t="s">
        <v>37</v>
      </c>
      <c r="FA268" t="s">
        <v>37</v>
      </c>
      <c r="FC268" t="s">
        <v>37</v>
      </c>
      <c r="FE268" t="s">
        <v>37</v>
      </c>
      <c r="FG268" t="s">
        <v>37</v>
      </c>
      <c r="FI268" t="s">
        <v>37</v>
      </c>
      <c r="FJ268">
        <v>2891</v>
      </c>
      <c r="FK268" t="s">
        <v>37</v>
      </c>
      <c r="FM268" t="s">
        <v>37</v>
      </c>
      <c r="FO268" t="s">
        <v>37</v>
      </c>
      <c r="FQ268" t="s">
        <v>37</v>
      </c>
      <c r="FS268" t="s">
        <v>37</v>
      </c>
      <c r="FU268" t="s">
        <v>37</v>
      </c>
      <c r="FW268" t="s">
        <v>37</v>
      </c>
      <c r="FY268" t="s">
        <v>37</v>
      </c>
      <c r="GA268" t="s">
        <v>37</v>
      </c>
      <c r="GC268" t="s">
        <v>37</v>
      </c>
      <c r="GE268" t="s">
        <v>37</v>
      </c>
      <c r="GG268" t="s">
        <v>37</v>
      </c>
      <c r="GI268" t="s">
        <v>37</v>
      </c>
      <c r="GK268" t="s">
        <v>37</v>
      </c>
      <c r="GM268" t="s">
        <v>37</v>
      </c>
      <c r="GO268" t="s">
        <v>37</v>
      </c>
      <c r="GQ268" t="s">
        <v>37</v>
      </c>
      <c r="GS268" t="s">
        <v>37</v>
      </c>
      <c r="GU268" t="s">
        <v>37</v>
      </c>
      <c r="GW268" t="s">
        <v>37</v>
      </c>
      <c r="GY268" t="s">
        <v>37</v>
      </c>
      <c r="HA268" t="s">
        <v>37</v>
      </c>
      <c r="HC268" t="s">
        <v>37</v>
      </c>
      <c r="HE268" t="s">
        <v>37</v>
      </c>
      <c r="HF268">
        <v>30436</v>
      </c>
      <c r="HG268" t="s">
        <v>37</v>
      </c>
      <c r="HI268" t="s">
        <v>37</v>
      </c>
      <c r="HJ268">
        <v>30436</v>
      </c>
      <c r="HK268" t="s">
        <v>37</v>
      </c>
    </row>
    <row r="269" spans="1:219">
      <c r="C269" t="s">
        <v>37</v>
      </c>
      <c r="D269" t="s">
        <v>38</v>
      </c>
      <c r="E269" t="s">
        <v>37</v>
      </c>
      <c r="F269" t="s">
        <v>39</v>
      </c>
      <c r="G269" t="s">
        <v>37</v>
      </c>
      <c r="H269" t="s">
        <v>40</v>
      </c>
      <c r="I269" t="s">
        <v>37</v>
      </c>
      <c r="J269" t="s">
        <v>41</v>
      </c>
      <c r="K269" s="48" t="s">
        <v>37</v>
      </c>
      <c r="L269" s="49" t="s">
        <v>303</v>
      </c>
      <c r="M269" s="48" t="s">
        <v>37</v>
      </c>
      <c r="N269" s="49" t="s">
        <v>304</v>
      </c>
      <c r="O269" s="48" t="s">
        <v>37</v>
      </c>
      <c r="P269" s="49" t="s">
        <v>305</v>
      </c>
      <c r="Q269" s="48" t="s">
        <v>37</v>
      </c>
      <c r="R269" s="49" t="s">
        <v>306</v>
      </c>
      <c r="S269" s="48" t="s">
        <v>37</v>
      </c>
      <c r="T269" t="s">
        <v>307</v>
      </c>
      <c r="U269" t="s">
        <v>37</v>
      </c>
      <c r="V269" t="s">
        <v>308</v>
      </c>
      <c r="W269" t="s">
        <v>37</v>
      </c>
      <c r="X269" t="s">
        <v>309</v>
      </c>
      <c r="Y269" t="s">
        <v>37</v>
      </c>
      <c r="Z269" t="s">
        <v>310</v>
      </c>
      <c r="AA269" t="s">
        <v>37</v>
      </c>
      <c r="AB269" t="s">
        <v>311</v>
      </c>
      <c r="AC269" t="s">
        <v>37</v>
      </c>
      <c r="AD269" t="s">
        <v>312</v>
      </c>
      <c r="AE269" t="s">
        <v>37</v>
      </c>
      <c r="AF269" t="s">
        <v>313</v>
      </c>
      <c r="AG269" t="s">
        <v>37</v>
      </c>
      <c r="AH269" t="s">
        <v>314</v>
      </c>
      <c r="AI269" t="s">
        <v>37</v>
      </c>
      <c r="AJ269" t="s">
        <v>315</v>
      </c>
      <c r="AK269" t="s">
        <v>37</v>
      </c>
      <c r="AL269" t="s">
        <v>316</v>
      </c>
      <c r="AM269" t="s">
        <v>37</v>
      </c>
      <c r="AN269" t="s">
        <v>317</v>
      </c>
      <c r="AO269" t="s">
        <v>37</v>
      </c>
      <c r="AP269" t="s">
        <v>318</v>
      </c>
      <c r="AQ269" t="s">
        <v>37</v>
      </c>
      <c r="AR269" t="s">
        <v>319</v>
      </c>
      <c r="AS269" t="s">
        <v>37</v>
      </c>
      <c r="AT269" t="s">
        <v>320</v>
      </c>
      <c r="AU269" t="s">
        <v>37</v>
      </c>
      <c r="AV269" t="s">
        <v>321</v>
      </c>
      <c r="AW269" t="s">
        <v>37</v>
      </c>
      <c r="AX269" t="s">
        <v>322</v>
      </c>
      <c r="AY269" t="s">
        <v>37</v>
      </c>
      <c r="AZ269" t="s">
        <v>323</v>
      </c>
      <c r="BA269" t="s">
        <v>37</v>
      </c>
      <c r="BB269" t="s">
        <v>324</v>
      </c>
      <c r="BC269" t="s">
        <v>37</v>
      </c>
      <c r="BD269" t="s">
        <v>325</v>
      </c>
      <c r="BE269" t="s">
        <v>37</v>
      </c>
      <c r="BF269" t="s">
        <v>326</v>
      </c>
      <c r="BG269" t="s">
        <v>37</v>
      </c>
      <c r="BH269" t="s">
        <v>327</v>
      </c>
      <c r="BI269" t="s">
        <v>37</v>
      </c>
      <c r="BJ269" t="s">
        <v>328</v>
      </c>
      <c r="BK269" t="s">
        <v>37</v>
      </c>
      <c r="BL269" t="s">
        <v>329</v>
      </c>
      <c r="BM269" t="s">
        <v>37</v>
      </c>
      <c r="BN269" t="s">
        <v>330</v>
      </c>
      <c r="BO269" t="s">
        <v>37</v>
      </c>
      <c r="BP269" t="s">
        <v>331</v>
      </c>
      <c r="BQ269" t="s">
        <v>37</v>
      </c>
      <c r="BR269" t="s">
        <v>332</v>
      </c>
      <c r="BS269" t="s">
        <v>37</v>
      </c>
      <c r="BT269" t="s">
        <v>333</v>
      </c>
      <c r="BU269" t="s">
        <v>37</v>
      </c>
      <c r="BV269" t="s">
        <v>334</v>
      </c>
      <c r="BW269" t="s">
        <v>37</v>
      </c>
      <c r="BX269" t="s">
        <v>335</v>
      </c>
      <c r="BY269" t="s">
        <v>37</v>
      </c>
      <c r="BZ269" t="s">
        <v>336</v>
      </c>
      <c r="CA269" t="s">
        <v>37</v>
      </c>
      <c r="CB269" t="s">
        <v>337</v>
      </c>
      <c r="CC269" t="s">
        <v>37</v>
      </c>
      <c r="CD269" t="s">
        <v>338</v>
      </c>
      <c r="CE269" t="s">
        <v>37</v>
      </c>
      <c r="CF269" t="s">
        <v>339</v>
      </c>
      <c r="CG269" t="s">
        <v>37</v>
      </c>
      <c r="CH269" t="s">
        <v>340</v>
      </c>
      <c r="CI269" t="s">
        <v>37</v>
      </c>
      <c r="CJ269" t="s">
        <v>341</v>
      </c>
      <c r="CK269" t="s">
        <v>37</v>
      </c>
      <c r="CL269" t="s">
        <v>342</v>
      </c>
      <c r="CM269" t="s">
        <v>37</v>
      </c>
      <c r="CN269" t="s">
        <v>343</v>
      </c>
      <c r="CO269" t="s">
        <v>37</v>
      </c>
      <c r="CP269" t="s">
        <v>344</v>
      </c>
      <c r="CQ269" t="s">
        <v>37</v>
      </c>
      <c r="CR269" t="s">
        <v>345</v>
      </c>
      <c r="CS269" t="s">
        <v>37</v>
      </c>
      <c r="CT269" t="s">
        <v>346</v>
      </c>
      <c r="CU269" t="s">
        <v>37</v>
      </c>
      <c r="CV269" t="s">
        <v>347</v>
      </c>
      <c r="CW269" t="s">
        <v>37</v>
      </c>
      <c r="CX269" t="s">
        <v>348</v>
      </c>
      <c r="CY269" t="s">
        <v>37</v>
      </c>
      <c r="CZ269" t="s">
        <v>349</v>
      </c>
      <c r="DA269" t="s">
        <v>37</v>
      </c>
      <c r="DB269" t="s">
        <v>350</v>
      </c>
      <c r="DC269" t="s">
        <v>37</v>
      </c>
      <c r="DD269" t="s">
        <v>351</v>
      </c>
      <c r="DE269" t="s">
        <v>37</v>
      </c>
      <c r="DF269" t="s">
        <v>352</v>
      </c>
      <c r="DG269" t="s">
        <v>37</v>
      </c>
      <c r="DH269" t="s">
        <v>353</v>
      </c>
      <c r="DI269" t="s">
        <v>37</v>
      </c>
      <c r="DJ269" t="s">
        <v>354</v>
      </c>
      <c r="DK269" t="s">
        <v>37</v>
      </c>
      <c r="DL269" t="s">
        <v>355</v>
      </c>
      <c r="DM269" t="s">
        <v>37</v>
      </c>
      <c r="DN269" t="s">
        <v>356</v>
      </c>
      <c r="DO269" t="s">
        <v>37</v>
      </c>
      <c r="DP269" t="s">
        <v>357</v>
      </c>
      <c r="DQ269" t="s">
        <v>37</v>
      </c>
      <c r="DR269" t="s">
        <v>358</v>
      </c>
      <c r="DS269" t="s">
        <v>37</v>
      </c>
      <c r="DT269" t="s">
        <v>359</v>
      </c>
      <c r="DU269" t="s">
        <v>37</v>
      </c>
      <c r="DV269" t="s">
        <v>360</v>
      </c>
      <c r="DW269" t="s">
        <v>37</v>
      </c>
      <c r="DX269" t="s">
        <v>361</v>
      </c>
      <c r="DY269" t="s">
        <v>37</v>
      </c>
      <c r="DZ269" t="s">
        <v>362</v>
      </c>
      <c r="EA269" t="s">
        <v>37</v>
      </c>
      <c r="EB269" t="s">
        <v>363</v>
      </c>
      <c r="EC269" t="s">
        <v>37</v>
      </c>
      <c r="ED269" t="s">
        <v>364</v>
      </c>
      <c r="EE269" t="s">
        <v>37</v>
      </c>
      <c r="EF269" t="s">
        <v>365</v>
      </c>
      <c r="EG269" t="s">
        <v>37</v>
      </c>
      <c r="EH269" t="s">
        <v>366</v>
      </c>
      <c r="EI269" t="s">
        <v>37</v>
      </c>
      <c r="EJ269" t="s">
        <v>367</v>
      </c>
      <c r="EK269" t="s">
        <v>37</v>
      </c>
      <c r="EL269" t="s">
        <v>368</v>
      </c>
      <c r="EM269" t="s">
        <v>37</v>
      </c>
      <c r="EN269" t="s">
        <v>369</v>
      </c>
      <c r="EO269" t="s">
        <v>37</v>
      </c>
      <c r="EP269" t="s">
        <v>370</v>
      </c>
      <c r="EQ269" t="s">
        <v>37</v>
      </c>
      <c r="ER269" t="s">
        <v>371</v>
      </c>
      <c r="ES269" t="s">
        <v>37</v>
      </c>
      <c r="ET269" t="s">
        <v>372</v>
      </c>
      <c r="EU269" t="s">
        <v>37</v>
      </c>
      <c r="EV269" t="s">
        <v>373</v>
      </c>
      <c r="EW269" t="s">
        <v>37</v>
      </c>
      <c r="EX269" t="s">
        <v>374</v>
      </c>
      <c r="EY269" t="s">
        <v>37</v>
      </c>
      <c r="EZ269" t="s">
        <v>375</v>
      </c>
      <c r="FA269" t="s">
        <v>37</v>
      </c>
      <c r="FB269" t="s">
        <v>376</v>
      </c>
      <c r="FC269" t="s">
        <v>37</v>
      </c>
      <c r="FD269" t="s">
        <v>377</v>
      </c>
      <c r="FE269" t="s">
        <v>37</v>
      </c>
      <c r="FF269" t="s">
        <v>378</v>
      </c>
      <c r="FG269" t="s">
        <v>37</v>
      </c>
      <c r="FH269" t="s">
        <v>379</v>
      </c>
      <c r="FI269" t="s">
        <v>37</v>
      </c>
      <c r="FJ269" t="s">
        <v>380</v>
      </c>
      <c r="FK269" t="s">
        <v>37</v>
      </c>
      <c r="FL269" t="s">
        <v>381</v>
      </c>
      <c r="FM269" t="s">
        <v>37</v>
      </c>
      <c r="FN269" t="s">
        <v>382</v>
      </c>
      <c r="FO269" t="s">
        <v>37</v>
      </c>
      <c r="FP269" t="s">
        <v>383</v>
      </c>
      <c r="FQ269" t="s">
        <v>37</v>
      </c>
      <c r="FR269" t="s">
        <v>384</v>
      </c>
      <c r="FS269" t="s">
        <v>37</v>
      </c>
      <c r="FT269" t="s">
        <v>385</v>
      </c>
      <c r="FU269" t="s">
        <v>37</v>
      </c>
      <c r="FV269" t="s">
        <v>386</v>
      </c>
      <c r="FW269" t="s">
        <v>37</v>
      </c>
      <c r="FX269" t="s">
        <v>387</v>
      </c>
      <c r="FY269" t="s">
        <v>37</v>
      </c>
      <c r="FZ269" t="s">
        <v>388</v>
      </c>
      <c r="GA269" t="s">
        <v>37</v>
      </c>
      <c r="GB269" t="s">
        <v>389</v>
      </c>
      <c r="GC269" t="s">
        <v>37</v>
      </c>
      <c r="GD269" t="s">
        <v>390</v>
      </c>
      <c r="GE269" t="s">
        <v>37</v>
      </c>
      <c r="GF269" t="s">
        <v>391</v>
      </c>
      <c r="GG269" t="s">
        <v>37</v>
      </c>
      <c r="GH269" t="s">
        <v>392</v>
      </c>
      <c r="GI269" t="s">
        <v>37</v>
      </c>
      <c r="GJ269" t="s">
        <v>393</v>
      </c>
      <c r="GK269" t="s">
        <v>37</v>
      </c>
      <c r="GL269" t="s">
        <v>394</v>
      </c>
      <c r="GM269" t="s">
        <v>37</v>
      </c>
      <c r="GN269" t="s">
        <v>395</v>
      </c>
      <c r="GO269" t="s">
        <v>37</v>
      </c>
      <c r="GP269" t="s">
        <v>396</v>
      </c>
      <c r="GQ269" t="s">
        <v>37</v>
      </c>
      <c r="GR269" t="s">
        <v>397</v>
      </c>
      <c r="GS269" t="s">
        <v>37</v>
      </c>
      <c r="GT269" t="s">
        <v>398</v>
      </c>
      <c r="GU269" t="s">
        <v>37</v>
      </c>
      <c r="GV269" t="s">
        <v>399</v>
      </c>
      <c r="GW269" t="s">
        <v>37</v>
      </c>
      <c r="GX269" t="s">
        <v>400</v>
      </c>
      <c r="GY269" t="s">
        <v>37</v>
      </c>
      <c r="GZ269" t="s">
        <v>401</v>
      </c>
      <c r="HA269" t="s">
        <v>37</v>
      </c>
      <c r="HB269" t="s">
        <v>29</v>
      </c>
      <c r="HC269" t="s">
        <v>37</v>
      </c>
      <c r="HD269" t="s">
        <v>402</v>
      </c>
      <c r="HE269" t="s">
        <v>37</v>
      </c>
      <c r="HF269" t="s">
        <v>403</v>
      </c>
      <c r="HG269" t="s">
        <v>37</v>
      </c>
      <c r="HH269" t="s">
        <v>404</v>
      </c>
      <c r="HI269" t="s">
        <v>37</v>
      </c>
      <c r="HJ269" t="s">
        <v>405</v>
      </c>
      <c r="HK269" t="s">
        <v>37</v>
      </c>
    </row>
    <row r="270" spans="1:219">
      <c r="C270" t="s">
        <v>37</v>
      </c>
      <c r="E270" t="s">
        <v>37</v>
      </c>
      <c r="G270" t="s">
        <v>37</v>
      </c>
      <c r="I270" t="s">
        <v>37</v>
      </c>
      <c r="K270" s="48" t="s">
        <v>37</v>
      </c>
      <c r="L270" s="51"/>
      <c r="M270" s="48" t="s">
        <v>37</v>
      </c>
      <c r="N270" s="50"/>
      <c r="O270" s="48" t="s">
        <v>37</v>
      </c>
      <c r="P270" s="50"/>
      <c r="Q270" s="48" t="s">
        <v>37</v>
      </c>
      <c r="R270" s="50"/>
      <c r="S270" s="48" t="s">
        <v>37</v>
      </c>
      <c r="U270" t="s">
        <v>37</v>
      </c>
      <c r="W270" t="s">
        <v>37</v>
      </c>
      <c r="Y270" t="s">
        <v>37</v>
      </c>
      <c r="AA270" t="s">
        <v>37</v>
      </c>
      <c r="AC270" t="s">
        <v>37</v>
      </c>
      <c r="AE270" t="s">
        <v>37</v>
      </c>
      <c r="AG270" t="s">
        <v>37</v>
      </c>
      <c r="AI270" t="s">
        <v>37</v>
      </c>
      <c r="AK270" t="s">
        <v>37</v>
      </c>
      <c r="AM270" t="s">
        <v>37</v>
      </c>
      <c r="AO270" t="s">
        <v>37</v>
      </c>
      <c r="AQ270" t="s">
        <v>37</v>
      </c>
      <c r="AS270" t="s">
        <v>37</v>
      </c>
      <c r="AU270" t="s">
        <v>37</v>
      </c>
      <c r="AW270" t="s">
        <v>37</v>
      </c>
      <c r="AY270" t="s">
        <v>37</v>
      </c>
      <c r="BA270" t="s">
        <v>37</v>
      </c>
      <c r="BC270" t="s">
        <v>37</v>
      </c>
      <c r="BE270" t="s">
        <v>37</v>
      </c>
      <c r="BG270" t="s">
        <v>37</v>
      </c>
      <c r="BI270" t="s">
        <v>37</v>
      </c>
      <c r="BK270" t="s">
        <v>37</v>
      </c>
      <c r="BM270" t="s">
        <v>37</v>
      </c>
      <c r="BO270" t="s">
        <v>37</v>
      </c>
      <c r="BQ270" t="s">
        <v>37</v>
      </c>
      <c r="BS270" t="s">
        <v>37</v>
      </c>
      <c r="BU270" t="s">
        <v>37</v>
      </c>
      <c r="BW270" t="s">
        <v>37</v>
      </c>
      <c r="BY270" t="s">
        <v>37</v>
      </c>
      <c r="CA270" t="s">
        <v>37</v>
      </c>
      <c r="CC270" t="s">
        <v>37</v>
      </c>
      <c r="CE270" t="s">
        <v>37</v>
      </c>
      <c r="CG270" t="s">
        <v>37</v>
      </c>
      <c r="CI270" t="s">
        <v>37</v>
      </c>
      <c r="CK270" t="s">
        <v>37</v>
      </c>
      <c r="CM270" t="s">
        <v>37</v>
      </c>
      <c r="CO270" t="s">
        <v>37</v>
      </c>
      <c r="CQ270" t="s">
        <v>37</v>
      </c>
      <c r="CS270" t="s">
        <v>37</v>
      </c>
      <c r="CU270" t="s">
        <v>37</v>
      </c>
      <c r="CW270" t="s">
        <v>37</v>
      </c>
      <c r="CY270" t="s">
        <v>37</v>
      </c>
      <c r="DA270" t="s">
        <v>37</v>
      </c>
      <c r="DC270" t="s">
        <v>37</v>
      </c>
      <c r="DE270" t="s">
        <v>37</v>
      </c>
      <c r="DG270" t="s">
        <v>37</v>
      </c>
      <c r="DI270" t="s">
        <v>37</v>
      </c>
      <c r="DK270" t="s">
        <v>37</v>
      </c>
      <c r="DM270" t="s">
        <v>37</v>
      </c>
      <c r="DO270" t="s">
        <v>37</v>
      </c>
      <c r="DQ270" t="s">
        <v>37</v>
      </c>
      <c r="DS270" t="s">
        <v>37</v>
      </c>
      <c r="DU270" t="s">
        <v>37</v>
      </c>
      <c r="DW270" t="s">
        <v>37</v>
      </c>
      <c r="DY270" t="s">
        <v>37</v>
      </c>
      <c r="EA270" t="s">
        <v>37</v>
      </c>
      <c r="EC270" t="s">
        <v>37</v>
      </c>
      <c r="EE270" t="s">
        <v>37</v>
      </c>
      <c r="EG270" t="s">
        <v>37</v>
      </c>
      <c r="EI270" t="s">
        <v>37</v>
      </c>
      <c r="EK270" t="s">
        <v>37</v>
      </c>
      <c r="EM270" t="s">
        <v>37</v>
      </c>
      <c r="EO270" t="s">
        <v>37</v>
      </c>
      <c r="EQ270" t="s">
        <v>37</v>
      </c>
      <c r="ES270" t="s">
        <v>37</v>
      </c>
      <c r="EU270" t="s">
        <v>37</v>
      </c>
      <c r="EW270" t="s">
        <v>37</v>
      </c>
      <c r="EY270" t="s">
        <v>37</v>
      </c>
      <c r="FA270" t="s">
        <v>37</v>
      </c>
      <c r="FC270" t="s">
        <v>37</v>
      </c>
      <c r="FE270" t="s">
        <v>37</v>
      </c>
      <c r="FG270" t="s">
        <v>37</v>
      </c>
      <c r="FI270" t="s">
        <v>37</v>
      </c>
      <c r="FK270" t="s">
        <v>37</v>
      </c>
      <c r="FM270" t="s">
        <v>37</v>
      </c>
      <c r="FO270" t="s">
        <v>37</v>
      </c>
      <c r="FQ270" t="s">
        <v>37</v>
      </c>
      <c r="FS270" t="s">
        <v>37</v>
      </c>
      <c r="FU270" t="s">
        <v>37</v>
      </c>
      <c r="FW270" t="s">
        <v>37</v>
      </c>
      <c r="FY270" t="s">
        <v>37</v>
      </c>
      <c r="GA270" t="s">
        <v>37</v>
      </c>
      <c r="GC270" t="s">
        <v>37</v>
      </c>
      <c r="GE270" t="s">
        <v>37</v>
      </c>
      <c r="GG270" t="s">
        <v>37</v>
      </c>
      <c r="GI270" t="s">
        <v>37</v>
      </c>
      <c r="GK270" t="s">
        <v>37</v>
      </c>
      <c r="GM270" t="s">
        <v>37</v>
      </c>
      <c r="GO270" t="s">
        <v>37</v>
      </c>
      <c r="GQ270" t="s">
        <v>37</v>
      </c>
      <c r="GS270" t="s">
        <v>37</v>
      </c>
      <c r="GU270" t="s">
        <v>37</v>
      </c>
      <c r="GW270" t="s">
        <v>37</v>
      </c>
      <c r="GY270" t="s">
        <v>37</v>
      </c>
      <c r="HA270" t="s">
        <v>37</v>
      </c>
      <c r="HC270" t="s">
        <v>37</v>
      </c>
      <c r="HE270" t="s">
        <v>37</v>
      </c>
      <c r="HG270" t="s">
        <v>37</v>
      </c>
      <c r="HI270" t="s">
        <v>37</v>
      </c>
      <c r="HK270" t="s">
        <v>37</v>
      </c>
    </row>
    <row r="271" spans="1:219">
      <c r="A271">
        <v>4996</v>
      </c>
      <c r="B271" t="s">
        <v>277</v>
      </c>
      <c r="C271" t="s">
        <v>37</v>
      </c>
      <c r="E271" t="s">
        <v>37</v>
      </c>
      <c r="F271">
        <v>4294</v>
      </c>
      <c r="G271" t="s">
        <v>37</v>
      </c>
      <c r="I271" t="s">
        <v>37</v>
      </c>
      <c r="K271" s="48" t="s">
        <v>37</v>
      </c>
      <c r="L271" s="51">
        <v>15000</v>
      </c>
      <c r="M271" s="48" t="s">
        <v>37</v>
      </c>
      <c r="N271" s="51">
        <v>4500</v>
      </c>
      <c r="O271" s="48" t="s">
        <v>37</v>
      </c>
      <c r="P271" s="50"/>
      <c r="Q271" s="48" t="s">
        <v>37</v>
      </c>
      <c r="R271" s="50"/>
      <c r="S271" s="48" t="s">
        <v>37</v>
      </c>
      <c r="T271">
        <v>4500</v>
      </c>
      <c r="U271" t="s">
        <v>37</v>
      </c>
      <c r="W271" t="s">
        <v>37</v>
      </c>
      <c r="Y271" t="s">
        <v>37</v>
      </c>
      <c r="Z271">
        <v>4500</v>
      </c>
      <c r="AA271" t="s">
        <v>37</v>
      </c>
      <c r="AC271" t="s">
        <v>37</v>
      </c>
      <c r="AE271" t="s">
        <v>37</v>
      </c>
      <c r="AG271" t="s">
        <v>37</v>
      </c>
      <c r="AI271" t="s">
        <v>37</v>
      </c>
      <c r="AK271" t="s">
        <v>37</v>
      </c>
      <c r="AM271" t="s">
        <v>37</v>
      </c>
      <c r="AO271" t="s">
        <v>37</v>
      </c>
      <c r="AQ271" t="s">
        <v>37</v>
      </c>
      <c r="AR271">
        <v>3545</v>
      </c>
      <c r="AS271" t="s">
        <v>37</v>
      </c>
      <c r="AT271">
        <v>4462</v>
      </c>
      <c r="AU271" t="s">
        <v>37</v>
      </c>
      <c r="AW271" t="s">
        <v>37</v>
      </c>
      <c r="AY271" t="s">
        <v>37</v>
      </c>
      <c r="BA271" t="s">
        <v>37</v>
      </c>
      <c r="BB271">
        <v>2094</v>
      </c>
      <c r="BC271" t="s">
        <v>37</v>
      </c>
      <c r="BD271">
        <v>1729</v>
      </c>
      <c r="BE271" t="s">
        <v>37</v>
      </c>
      <c r="BG271" t="s">
        <v>37</v>
      </c>
      <c r="BI271" t="s">
        <v>37</v>
      </c>
      <c r="BJ271">
        <v>6432</v>
      </c>
      <c r="BK271" t="s">
        <v>37</v>
      </c>
      <c r="BM271" t="s">
        <v>37</v>
      </c>
      <c r="BO271" t="s">
        <v>37</v>
      </c>
      <c r="BQ271" t="s">
        <v>37</v>
      </c>
      <c r="BR271">
        <v>2147</v>
      </c>
      <c r="BS271" t="s">
        <v>37</v>
      </c>
      <c r="BU271" t="s">
        <v>37</v>
      </c>
      <c r="BW271" t="s">
        <v>37</v>
      </c>
      <c r="BY271" t="s">
        <v>37</v>
      </c>
      <c r="CA271" t="s">
        <v>37</v>
      </c>
      <c r="CC271" t="s">
        <v>37</v>
      </c>
      <c r="CE271" t="s">
        <v>37</v>
      </c>
      <c r="CG271" t="s">
        <v>37</v>
      </c>
      <c r="CI271" t="s">
        <v>37</v>
      </c>
      <c r="CK271" t="s">
        <v>37</v>
      </c>
      <c r="CM271" t="s">
        <v>37</v>
      </c>
      <c r="CO271" t="s">
        <v>37</v>
      </c>
      <c r="CQ271" t="s">
        <v>37</v>
      </c>
      <c r="CS271" t="s">
        <v>37</v>
      </c>
      <c r="CU271" t="s">
        <v>37</v>
      </c>
      <c r="CW271" t="s">
        <v>37</v>
      </c>
      <c r="CY271" t="s">
        <v>37</v>
      </c>
      <c r="DA271" t="s">
        <v>37</v>
      </c>
      <c r="DC271" t="s">
        <v>37</v>
      </c>
      <c r="DE271" t="s">
        <v>37</v>
      </c>
      <c r="DF271">
        <v>4469</v>
      </c>
      <c r="DG271" t="s">
        <v>37</v>
      </c>
      <c r="DI271" t="s">
        <v>37</v>
      </c>
      <c r="DJ271">
        <v>3008</v>
      </c>
      <c r="DK271" t="s">
        <v>37</v>
      </c>
      <c r="DM271" t="s">
        <v>37</v>
      </c>
      <c r="DO271" t="s">
        <v>37</v>
      </c>
      <c r="DQ271" t="s">
        <v>37</v>
      </c>
      <c r="DS271" t="s">
        <v>37</v>
      </c>
      <c r="DU271" t="s">
        <v>37</v>
      </c>
      <c r="DW271" t="s">
        <v>37</v>
      </c>
      <c r="DY271" t="s">
        <v>37</v>
      </c>
      <c r="EA271" t="s">
        <v>37</v>
      </c>
      <c r="EC271" t="s">
        <v>37</v>
      </c>
      <c r="EE271" t="s">
        <v>37</v>
      </c>
      <c r="EF271">
        <v>3740</v>
      </c>
      <c r="EG271" t="s">
        <v>37</v>
      </c>
      <c r="EI271" t="s">
        <v>37</v>
      </c>
      <c r="EJ271">
        <v>4500</v>
      </c>
      <c r="EK271" t="s">
        <v>37</v>
      </c>
      <c r="EM271" t="s">
        <v>37</v>
      </c>
      <c r="EN271">
        <v>23235</v>
      </c>
      <c r="EO271" t="s">
        <v>37</v>
      </c>
      <c r="EQ271" t="s">
        <v>37</v>
      </c>
      <c r="ES271" t="s">
        <v>37</v>
      </c>
      <c r="EU271" t="s">
        <v>37</v>
      </c>
      <c r="EW271" t="s">
        <v>37</v>
      </c>
      <c r="EY271" t="s">
        <v>37</v>
      </c>
      <c r="FA271" t="s">
        <v>37</v>
      </c>
      <c r="FB271">
        <v>4500</v>
      </c>
      <c r="FC271" t="s">
        <v>37</v>
      </c>
      <c r="FE271" t="s">
        <v>37</v>
      </c>
      <c r="FG271" t="s">
        <v>37</v>
      </c>
      <c r="FH271">
        <v>15000</v>
      </c>
      <c r="FI271" t="s">
        <v>37</v>
      </c>
      <c r="FK271" t="s">
        <v>37</v>
      </c>
      <c r="FL271">
        <v>80000</v>
      </c>
      <c r="FM271" t="s">
        <v>37</v>
      </c>
      <c r="FO271" t="s">
        <v>37</v>
      </c>
      <c r="FP271">
        <v>4500</v>
      </c>
      <c r="FQ271" t="s">
        <v>37</v>
      </c>
      <c r="FS271" t="s">
        <v>37</v>
      </c>
      <c r="FU271" t="s">
        <v>37</v>
      </c>
      <c r="FW271" t="s">
        <v>37</v>
      </c>
      <c r="FX271">
        <v>3779</v>
      </c>
      <c r="FY271" t="s">
        <v>37</v>
      </c>
      <c r="GA271" t="s">
        <v>37</v>
      </c>
      <c r="GC271" t="s">
        <v>37</v>
      </c>
      <c r="GE271" t="s">
        <v>37</v>
      </c>
      <c r="GG271" t="s">
        <v>37</v>
      </c>
      <c r="GI271" t="s">
        <v>37</v>
      </c>
      <c r="GK271" t="s">
        <v>37</v>
      </c>
      <c r="GM271" t="s">
        <v>37</v>
      </c>
      <c r="GO271" t="s">
        <v>37</v>
      </c>
      <c r="GQ271" t="s">
        <v>37</v>
      </c>
      <c r="GS271" t="s">
        <v>37</v>
      </c>
      <c r="GU271" t="s">
        <v>37</v>
      </c>
      <c r="GW271" t="s">
        <v>37</v>
      </c>
      <c r="GY271" t="s">
        <v>37</v>
      </c>
      <c r="HA271" t="s">
        <v>37</v>
      </c>
      <c r="HC271" t="s">
        <v>37</v>
      </c>
      <c r="HE271" t="s">
        <v>37</v>
      </c>
      <c r="HF271">
        <v>199934</v>
      </c>
      <c r="HG271" t="s">
        <v>37</v>
      </c>
      <c r="HI271" t="s">
        <v>37</v>
      </c>
      <c r="HJ271">
        <v>199934</v>
      </c>
      <c r="HK271" t="s">
        <v>37</v>
      </c>
    </row>
    <row r="272" spans="1:219">
      <c r="A272">
        <v>4998</v>
      </c>
      <c r="B272" t="s">
        <v>278</v>
      </c>
      <c r="C272" t="s">
        <v>37</v>
      </c>
      <c r="E272" t="s">
        <v>37</v>
      </c>
      <c r="G272" t="s">
        <v>37</v>
      </c>
      <c r="I272" t="s">
        <v>37</v>
      </c>
      <c r="K272" s="48" t="s">
        <v>37</v>
      </c>
      <c r="L272" s="51">
        <v>18026</v>
      </c>
      <c r="M272" s="48" t="s">
        <v>37</v>
      </c>
      <c r="N272" s="50"/>
      <c r="O272" s="48" t="s">
        <v>37</v>
      </c>
      <c r="P272" s="50"/>
      <c r="Q272" s="48" t="s">
        <v>37</v>
      </c>
      <c r="R272" s="50"/>
      <c r="S272" s="48" t="s">
        <v>37</v>
      </c>
      <c r="T272">
        <v>27956</v>
      </c>
      <c r="U272" t="s">
        <v>37</v>
      </c>
      <c r="W272" t="s">
        <v>37</v>
      </c>
      <c r="Y272" t="s">
        <v>37</v>
      </c>
      <c r="AA272" t="s">
        <v>37</v>
      </c>
      <c r="AC272" t="s">
        <v>37</v>
      </c>
      <c r="AE272" t="s">
        <v>37</v>
      </c>
      <c r="AG272" t="s">
        <v>37</v>
      </c>
      <c r="AI272" t="s">
        <v>37</v>
      </c>
      <c r="AK272" t="s">
        <v>37</v>
      </c>
      <c r="AM272" t="s">
        <v>37</v>
      </c>
      <c r="AO272" t="s">
        <v>37</v>
      </c>
      <c r="AQ272" t="s">
        <v>37</v>
      </c>
      <c r="AR272">
        <v>27236</v>
      </c>
      <c r="AS272" t="s">
        <v>37</v>
      </c>
      <c r="AU272" t="s">
        <v>37</v>
      </c>
      <c r="AW272" t="s">
        <v>37</v>
      </c>
      <c r="AY272" t="s">
        <v>37</v>
      </c>
      <c r="BA272" t="s">
        <v>37</v>
      </c>
      <c r="BB272">
        <v>21053</v>
      </c>
      <c r="BC272" t="s">
        <v>37</v>
      </c>
      <c r="BE272" t="s">
        <v>37</v>
      </c>
      <c r="BG272" t="s">
        <v>37</v>
      </c>
      <c r="BI272" t="s">
        <v>37</v>
      </c>
      <c r="BK272" t="s">
        <v>37</v>
      </c>
      <c r="BM272" t="s">
        <v>37</v>
      </c>
      <c r="BO272" t="s">
        <v>37</v>
      </c>
      <c r="BQ272" t="s">
        <v>37</v>
      </c>
      <c r="BS272" t="s">
        <v>37</v>
      </c>
      <c r="BU272" t="s">
        <v>37</v>
      </c>
      <c r="BW272" t="s">
        <v>37</v>
      </c>
      <c r="BY272" t="s">
        <v>37</v>
      </c>
      <c r="CA272" t="s">
        <v>37</v>
      </c>
      <c r="CC272" t="s">
        <v>37</v>
      </c>
      <c r="CE272" t="s">
        <v>37</v>
      </c>
      <c r="CG272" t="s">
        <v>37</v>
      </c>
      <c r="CI272" t="s">
        <v>37</v>
      </c>
      <c r="CK272" t="s">
        <v>37</v>
      </c>
      <c r="CM272" t="s">
        <v>37</v>
      </c>
      <c r="CO272" t="s">
        <v>37</v>
      </c>
      <c r="CQ272" t="s">
        <v>37</v>
      </c>
      <c r="CS272" t="s">
        <v>37</v>
      </c>
      <c r="CU272" t="s">
        <v>37</v>
      </c>
      <c r="CW272" t="s">
        <v>37</v>
      </c>
      <c r="CY272" t="s">
        <v>37</v>
      </c>
      <c r="DA272" t="s">
        <v>37</v>
      </c>
      <c r="DC272" t="s">
        <v>37</v>
      </c>
      <c r="DE272" t="s">
        <v>37</v>
      </c>
      <c r="DG272" t="s">
        <v>37</v>
      </c>
      <c r="DI272" t="s">
        <v>37</v>
      </c>
      <c r="DJ272">
        <v>48122</v>
      </c>
      <c r="DK272" t="s">
        <v>37</v>
      </c>
      <c r="DM272" t="s">
        <v>37</v>
      </c>
      <c r="DO272" t="s">
        <v>37</v>
      </c>
      <c r="DQ272" t="s">
        <v>37</v>
      </c>
      <c r="DS272" t="s">
        <v>37</v>
      </c>
      <c r="DU272" t="s">
        <v>37</v>
      </c>
      <c r="DW272" t="s">
        <v>37</v>
      </c>
      <c r="DY272" t="s">
        <v>37</v>
      </c>
      <c r="EA272" t="s">
        <v>37</v>
      </c>
      <c r="EC272" t="s">
        <v>37</v>
      </c>
      <c r="EE272" t="s">
        <v>37</v>
      </c>
      <c r="EG272" t="s">
        <v>37</v>
      </c>
      <c r="EI272" t="s">
        <v>37</v>
      </c>
      <c r="EK272" t="s">
        <v>37</v>
      </c>
      <c r="EM272" t="s">
        <v>37</v>
      </c>
      <c r="EO272" t="s">
        <v>37</v>
      </c>
      <c r="EQ272" t="s">
        <v>37</v>
      </c>
      <c r="ES272" t="s">
        <v>37</v>
      </c>
      <c r="EU272" t="s">
        <v>37</v>
      </c>
      <c r="EW272" t="s">
        <v>37</v>
      </c>
      <c r="EY272" t="s">
        <v>37</v>
      </c>
      <c r="FA272" t="s">
        <v>37</v>
      </c>
      <c r="FC272" t="s">
        <v>37</v>
      </c>
      <c r="FD272">
        <v>79446</v>
      </c>
      <c r="FE272" t="s">
        <v>37</v>
      </c>
      <c r="FG272" t="s">
        <v>37</v>
      </c>
      <c r="FI272" t="s">
        <v>37</v>
      </c>
      <c r="FK272" t="s">
        <v>37</v>
      </c>
      <c r="FM272" t="s">
        <v>37</v>
      </c>
      <c r="FO272" t="s">
        <v>37</v>
      </c>
      <c r="FQ272" t="s">
        <v>37</v>
      </c>
      <c r="FS272" t="s">
        <v>37</v>
      </c>
      <c r="FT272">
        <v>58894</v>
      </c>
      <c r="FU272" t="s">
        <v>37</v>
      </c>
      <c r="FW272" t="s">
        <v>37</v>
      </c>
      <c r="FY272" t="s">
        <v>37</v>
      </c>
      <c r="GA272" t="s">
        <v>37</v>
      </c>
      <c r="GC272" t="s">
        <v>37</v>
      </c>
      <c r="GE272" t="s">
        <v>37</v>
      </c>
      <c r="GG272" t="s">
        <v>37</v>
      </c>
      <c r="GI272" t="s">
        <v>37</v>
      </c>
      <c r="GK272" t="s">
        <v>37</v>
      </c>
      <c r="GL272">
        <v>279553</v>
      </c>
      <c r="GM272" t="s">
        <v>37</v>
      </c>
      <c r="GO272" t="s">
        <v>37</v>
      </c>
      <c r="GQ272" t="s">
        <v>37</v>
      </c>
      <c r="GR272">
        <v>154088</v>
      </c>
      <c r="GS272" t="s">
        <v>37</v>
      </c>
      <c r="GU272" t="s">
        <v>37</v>
      </c>
      <c r="GW272" t="s">
        <v>37</v>
      </c>
      <c r="GY272" t="s">
        <v>37</v>
      </c>
      <c r="HA272" t="s">
        <v>37</v>
      </c>
      <c r="HC272" t="s">
        <v>37</v>
      </c>
      <c r="HE272" t="s">
        <v>37</v>
      </c>
      <c r="HF272">
        <v>714374</v>
      </c>
      <c r="HG272" t="s">
        <v>37</v>
      </c>
      <c r="HI272" t="s">
        <v>37</v>
      </c>
      <c r="HJ272">
        <v>714374</v>
      </c>
      <c r="HK272" t="s">
        <v>37</v>
      </c>
    </row>
    <row r="273" spans="1:219">
      <c r="A273">
        <v>4999</v>
      </c>
      <c r="B273" t="s">
        <v>279</v>
      </c>
      <c r="C273" t="s">
        <v>37</v>
      </c>
      <c r="D273">
        <v>16958</v>
      </c>
      <c r="E273" t="s">
        <v>37</v>
      </c>
      <c r="F273">
        <v>413880</v>
      </c>
      <c r="G273" t="s">
        <v>37</v>
      </c>
      <c r="H273">
        <v>63132</v>
      </c>
      <c r="I273" t="s">
        <v>37</v>
      </c>
      <c r="K273" s="48" t="s">
        <v>37</v>
      </c>
      <c r="L273" s="51">
        <v>293157</v>
      </c>
      <c r="M273" s="48" t="s">
        <v>37</v>
      </c>
      <c r="N273" s="51">
        <v>64146</v>
      </c>
      <c r="O273" s="48" t="s">
        <v>37</v>
      </c>
      <c r="P273" s="50">
        <v>50</v>
      </c>
      <c r="Q273" s="48" t="s">
        <v>37</v>
      </c>
      <c r="R273" s="51">
        <v>170031</v>
      </c>
      <c r="S273" s="48" t="s">
        <v>37</v>
      </c>
      <c r="T273">
        <v>1257276</v>
      </c>
      <c r="U273" t="s">
        <v>37</v>
      </c>
      <c r="W273" t="s">
        <v>37</v>
      </c>
      <c r="Y273" t="s">
        <v>37</v>
      </c>
      <c r="Z273">
        <v>50490</v>
      </c>
      <c r="AA273" t="s">
        <v>37</v>
      </c>
      <c r="AB273">
        <v>161149</v>
      </c>
      <c r="AC273" t="s">
        <v>37</v>
      </c>
      <c r="AE273" t="s">
        <v>37</v>
      </c>
      <c r="AF273">
        <v>2000</v>
      </c>
      <c r="AG273" t="s">
        <v>37</v>
      </c>
      <c r="AH273">
        <v>224193</v>
      </c>
      <c r="AI273" t="s">
        <v>37</v>
      </c>
      <c r="AK273" t="s">
        <v>37</v>
      </c>
      <c r="AL273">
        <v>2225082</v>
      </c>
      <c r="AM273" t="s">
        <v>37</v>
      </c>
      <c r="AO273" t="s">
        <v>37</v>
      </c>
      <c r="AP273">
        <v>1534346</v>
      </c>
      <c r="AQ273" t="s">
        <v>37</v>
      </c>
      <c r="AR273">
        <v>54374</v>
      </c>
      <c r="AS273" t="s">
        <v>37</v>
      </c>
      <c r="AT273">
        <v>4000204</v>
      </c>
      <c r="AU273" t="s">
        <v>37</v>
      </c>
      <c r="AV273">
        <v>340613</v>
      </c>
      <c r="AW273" t="s">
        <v>37</v>
      </c>
      <c r="AX273">
        <v>1432500</v>
      </c>
      <c r="AY273" t="s">
        <v>37</v>
      </c>
      <c r="AZ273">
        <v>137645</v>
      </c>
      <c r="BA273" t="s">
        <v>37</v>
      </c>
      <c r="BB273">
        <v>50167</v>
      </c>
      <c r="BC273" t="s">
        <v>37</v>
      </c>
      <c r="BD273">
        <v>976563</v>
      </c>
      <c r="BE273" t="s">
        <v>37</v>
      </c>
      <c r="BF273">
        <v>8052</v>
      </c>
      <c r="BG273" t="s">
        <v>37</v>
      </c>
      <c r="BH273">
        <v>10360</v>
      </c>
      <c r="BI273" t="s">
        <v>37</v>
      </c>
      <c r="BJ273">
        <v>392330</v>
      </c>
      <c r="BK273" t="s">
        <v>37</v>
      </c>
      <c r="BL273">
        <v>520346</v>
      </c>
      <c r="BM273" t="s">
        <v>37</v>
      </c>
      <c r="BO273" t="s">
        <v>37</v>
      </c>
      <c r="BP273">
        <v>7979</v>
      </c>
      <c r="BQ273" t="s">
        <v>37</v>
      </c>
      <c r="BR273">
        <v>283165</v>
      </c>
      <c r="BS273" t="s">
        <v>37</v>
      </c>
      <c r="BT273">
        <v>13500</v>
      </c>
      <c r="BU273" t="s">
        <v>37</v>
      </c>
      <c r="BW273" t="s">
        <v>37</v>
      </c>
      <c r="BX273">
        <v>503964</v>
      </c>
      <c r="BY273" t="s">
        <v>37</v>
      </c>
      <c r="CA273" t="s">
        <v>37</v>
      </c>
      <c r="CC273" t="s">
        <v>37</v>
      </c>
      <c r="CD273">
        <v>111337</v>
      </c>
      <c r="CE273" t="s">
        <v>37</v>
      </c>
      <c r="CF273">
        <v>96518</v>
      </c>
      <c r="CG273" t="s">
        <v>37</v>
      </c>
      <c r="CH273">
        <v>1066437</v>
      </c>
      <c r="CI273" t="s">
        <v>37</v>
      </c>
      <c r="CK273" t="s">
        <v>37</v>
      </c>
      <c r="CL273">
        <v>1204604</v>
      </c>
      <c r="CM273" t="s">
        <v>37</v>
      </c>
      <c r="CN273">
        <v>108948</v>
      </c>
      <c r="CO273" t="s">
        <v>37</v>
      </c>
      <c r="CQ273" t="s">
        <v>37</v>
      </c>
      <c r="CR273">
        <v>594443</v>
      </c>
      <c r="CS273" t="s">
        <v>37</v>
      </c>
      <c r="CT273">
        <v>2357115</v>
      </c>
      <c r="CU273" t="s">
        <v>37</v>
      </c>
      <c r="CV273">
        <v>187104</v>
      </c>
      <c r="CW273" t="s">
        <v>37</v>
      </c>
      <c r="CX273">
        <v>76494</v>
      </c>
      <c r="CY273" t="s">
        <v>37</v>
      </c>
      <c r="CZ273">
        <v>11046</v>
      </c>
      <c r="DA273" t="s">
        <v>37</v>
      </c>
      <c r="DC273" t="s">
        <v>37</v>
      </c>
      <c r="DD273">
        <v>147333</v>
      </c>
      <c r="DE273" t="s">
        <v>37</v>
      </c>
      <c r="DF273">
        <v>125526</v>
      </c>
      <c r="DG273" t="s">
        <v>37</v>
      </c>
      <c r="DH273">
        <v>1431939</v>
      </c>
      <c r="DI273" t="s">
        <v>37</v>
      </c>
      <c r="DJ273">
        <v>110459</v>
      </c>
      <c r="DK273" t="s">
        <v>37</v>
      </c>
      <c r="DL273">
        <v>940041</v>
      </c>
      <c r="DM273" t="s">
        <v>37</v>
      </c>
      <c r="DN273">
        <v>3842527</v>
      </c>
      <c r="DO273" t="s">
        <v>37</v>
      </c>
      <c r="DP273">
        <v>111155</v>
      </c>
      <c r="DQ273" t="s">
        <v>37</v>
      </c>
      <c r="DR273">
        <v>53333</v>
      </c>
      <c r="DS273" t="s">
        <v>37</v>
      </c>
      <c r="DT273">
        <v>52111</v>
      </c>
      <c r="DU273" t="s">
        <v>37</v>
      </c>
      <c r="DV273">
        <v>613243</v>
      </c>
      <c r="DW273" t="s">
        <v>37</v>
      </c>
      <c r="DX273">
        <v>140312</v>
      </c>
      <c r="DY273" t="s">
        <v>37</v>
      </c>
      <c r="DZ273">
        <v>99063</v>
      </c>
      <c r="EA273" t="s">
        <v>37</v>
      </c>
      <c r="EB273">
        <v>81748</v>
      </c>
      <c r="EC273" t="s">
        <v>37</v>
      </c>
      <c r="ED273">
        <v>1426570</v>
      </c>
      <c r="EE273" t="s">
        <v>37</v>
      </c>
      <c r="EF273">
        <v>236873</v>
      </c>
      <c r="EG273" t="s">
        <v>37</v>
      </c>
      <c r="EI273" t="s">
        <v>37</v>
      </c>
      <c r="EJ273">
        <v>382654</v>
      </c>
      <c r="EK273" t="s">
        <v>37</v>
      </c>
      <c r="EL273">
        <v>930680</v>
      </c>
      <c r="EM273" t="s">
        <v>37</v>
      </c>
      <c r="EN273">
        <v>9447</v>
      </c>
      <c r="EO273" t="s">
        <v>37</v>
      </c>
      <c r="EP273">
        <v>500</v>
      </c>
      <c r="EQ273" t="s">
        <v>37</v>
      </c>
      <c r="ER273">
        <v>115751</v>
      </c>
      <c r="ES273" t="s">
        <v>37</v>
      </c>
      <c r="ET273">
        <v>134170</v>
      </c>
      <c r="EU273" t="s">
        <v>37</v>
      </c>
      <c r="EV273">
        <v>289635</v>
      </c>
      <c r="EW273" t="s">
        <v>37</v>
      </c>
      <c r="EY273" t="s">
        <v>37</v>
      </c>
      <c r="EZ273">
        <v>133860</v>
      </c>
      <c r="FA273" t="s">
        <v>37</v>
      </c>
      <c r="FB273">
        <v>91605</v>
      </c>
      <c r="FC273" t="s">
        <v>37</v>
      </c>
      <c r="FD273">
        <v>596731</v>
      </c>
      <c r="FE273" t="s">
        <v>37</v>
      </c>
      <c r="FG273" t="s">
        <v>37</v>
      </c>
      <c r="FH273">
        <v>785495</v>
      </c>
      <c r="FI273" t="s">
        <v>37</v>
      </c>
      <c r="FJ273">
        <v>2223658</v>
      </c>
      <c r="FK273" t="s">
        <v>37</v>
      </c>
      <c r="FL273">
        <v>2734594</v>
      </c>
      <c r="FM273" t="s">
        <v>37</v>
      </c>
      <c r="FN273">
        <v>57432</v>
      </c>
      <c r="FO273" t="s">
        <v>37</v>
      </c>
      <c r="FP273">
        <v>248447</v>
      </c>
      <c r="FQ273" t="s">
        <v>37</v>
      </c>
      <c r="FR273">
        <v>53220</v>
      </c>
      <c r="FS273" t="s">
        <v>37</v>
      </c>
      <c r="FT273">
        <v>35500</v>
      </c>
      <c r="FU273" t="s">
        <v>37</v>
      </c>
      <c r="FW273" t="s">
        <v>37</v>
      </c>
      <c r="FX273">
        <v>82409</v>
      </c>
      <c r="FY273" t="s">
        <v>37</v>
      </c>
      <c r="FZ273">
        <v>92436</v>
      </c>
      <c r="GA273" t="s">
        <v>37</v>
      </c>
      <c r="GB273">
        <v>162713</v>
      </c>
      <c r="GC273" t="s">
        <v>37</v>
      </c>
      <c r="GE273" t="s">
        <v>37</v>
      </c>
      <c r="GG273" t="s">
        <v>37</v>
      </c>
      <c r="GI273" t="s">
        <v>37</v>
      </c>
      <c r="GJ273">
        <v>1204565</v>
      </c>
      <c r="GK273" t="s">
        <v>37</v>
      </c>
      <c r="GL273">
        <v>1355151</v>
      </c>
      <c r="GM273" t="s">
        <v>37</v>
      </c>
      <c r="GO273" t="s">
        <v>37</v>
      </c>
      <c r="GP273">
        <v>74814</v>
      </c>
      <c r="GQ273" t="s">
        <v>37</v>
      </c>
      <c r="GR273">
        <v>555312</v>
      </c>
      <c r="GS273" t="s">
        <v>37</v>
      </c>
      <c r="GT273">
        <v>58517</v>
      </c>
      <c r="GU273" t="s">
        <v>37</v>
      </c>
      <c r="GV273">
        <v>56448</v>
      </c>
      <c r="GW273" t="s">
        <v>37</v>
      </c>
      <c r="GX273">
        <v>299335</v>
      </c>
      <c r="GY273" t="s">
        <v>37</v>
      </c>
      <c r="GZ273">
        <v>145578</v>
      </c>
      <c r="HA273" t="s">
        <v>37</v>
      </c>
      <c r="HB273">
        <v>64309</v>
      </c>
      <c r="HC273" t="s">
        <v>37</v>
      </c>
      <c r="HE273" t="s">
        <v>37</v>
      </c>
      <c r="HF273">
        <v>43344588</v>
      </c>
      <c r="HG273" t="s">
        <v>37</v>
      </c>
      <c r="HH273">
        <v>64309</v>
      </c>
      <c r="HI273" t="s">
        <v>37</v>
      </c>
      <c r="HJ273">
        <v>43408897</v>
      </c>
      <c r="HK273" t="s">
        <v>37</v>
      </c>
    </row>
    <row r="274" spans="1:219">
      <c r="C274" t="s">
        <v>37</v>
      </c>
      <c r="E274" t="s">
        <v>37</v>
      </c>
      <c r="G274" t="s">
        <v>37</v>
      </c>
      <c r="I274" t="s">
        <v>37</v>
      </c>
      <c r="K274" s="48" t="s">
        <v>37</v>
      </c>
      <c r="L274" s="51"/>
      <c r="M274" s="48" t="s">
        <v>37</v>
      </c>
      <c r="N274" s="51"/>
      <c r="O274" s="48" t="s">
        <v>37</v>
      </c>
      <c r="P274" s="50"/>
      <c r="Q274" s="48" t="s">
        <v>37</v>
      </c>
      <c r="R274" s="51"/>
      <c r="S274" s="48" t="s">
        <v>37</v>
      </c>
      <c r="U274" t="s">
        <v>37</v>
      </c>
      <c r="W274" t="s">
        <v>37</v>
      </c>
      <c r="Y274" t="s">
        <v>37</v>
      </c>
      <c r="AA274" t="s">
        <v>37</v>
      </c>
      <c r="AC274" t="s">
        <v>37</v>
      </c>
      <c r="AE274" t="s">
        <v>37</v>
      </c>
      <c r="AG274" t="s">
        <v>37</v>
      </c>
      <c r="AI274" t="s">
        <v>37</v>
      </c>
      <c r="AK274" t="s">
        <v>37</v>
      </c>
      <c r="AM274" t="s">
        <v>37</v>
      </c>
      <c r="AO274" t="s">
        <v>37</v>
      </c>
      <c r="AQ274" t="s">
        <v>37</v>
      </c>
      <c r="AS274" t="s">
        <v>37</v>
      </c>
      <c r="AU274" t="s">
        <v>37</v>
      </c>
      <c r="AW274" t="s">
        <v>37</v>
      </c>
      <c r="AY274" t="s">
        <v>37</v>
      </c>
      <c r="BA274" t="s">
        <v>37</v>
      </c>
      <c r="BC274" t="s">
        <v>37</v>
      </c>
      <c r="BE274" t="s">
        <v>37</v>
      </c>
      <c r="BG274" t="s">
        <v>37</v>
      </c>
      <c r="BI274" t="s">
        <v>37</v>
      </c>
      <c r="BK274" t="s">
        <v>37</v>
      </c>
      <c r="BM274" t="s">
        <v>37</v>
      </c>
      <c r="BO274" t="s">
        <v>37</v>
      </c>
      <c r="BQ274" t="s">
        <v>37</v>
      </c>
      <c r="BS274" t="s">
        <v>37</v>
      </c>
      <c r="BU274" t="s">
        <v>37</v>
      </c>
      <c r="BW274" t="s">
        <v>37</v>
      </c>
      <c r="BY274" t="s">
        <v>37</v>
      </c>
      <c r="CA274" t="s">
        <v>37</v>
      </c>
      <c r="CC274" t="s">
        <v>37</v>
      </c>
      <c r="CE274" t="s">
        <v>37</v>
      </c>
      <c r="CG274" t="s">
        <v>37</v>
      </c>
      <c r="CI274" t="s">
        <v>37</v>
      </c>
      <c r="CK274" t="s">
        <v>37</v>
      </c>
      <c r="CM274" t="s">
        <v>37</v>
      </c>
      <c r="CO274" t="s">
        <v>37</v>
      </c>
      <c r="CQ274" t="s">
        <v>37</v>
      </c>
      <c r="CS274" t="s">
        <v>37</v>
      </c>
      <c r="CU274" t="s">
        <v>37</v>
      </c>
      <c r="CW274" t="s">
        <v>37</v>
      </c>
      <c r="CY274" t="s">
        <v>37</v>
      </c>
      <c r="DA274" t="s">
        <v>37</v>
      </c>
      <c r="DC274" t="s">
        <v>37</v>
      </c>
      <c r="DE274" t="s">
        <v>37</v>
      </c>
      <c r="DG274" t="s">
        <v>37</v>
      </c>
      <c r="DI274" t="s">
        <v>37</v>
      </c>
      <c r="DK274" t="s">
        <v>37</v>
      </c>
      <c r="DM274" t="s">
        <v>37</v>
      </c>
      <c r="DO274" t="s">
        <v>37</v>
      </c>
      <c r="DQ274" t="s">
        <v>37</v>
      </c>
      <c r="DS274" t="s">
        <v>37</v>
      </c>
      <c r="DU274" t="s">
        <v>37</v>
      </c>
      <c r="DW274" t="s">
        <v>37</v>
      </c>
      <c r="DY274" t="s">
        <v>37</v>
      </c>
      <c r="EA274" t="s">
        <v>37</v>
      </c>
      <c r="EC274" t="s">
        <v>37</v>
      </c>
      <c r="EE274" t="s">
        <v>37</v>
      </c>
      <c r="EG274" t="s">
        <v>37</v>
      </c>
      <c r="EI274" t="s">
        <v>37</v>
      </c>
      <c r="EK274" t="s">
        <v>37</v>
      </c>
      <c r="EM274" t="s">
        <v>37</v>
      </c>
      <c r="EO274" t="s">
        <v>37</v>
      </c>
      <c r="EQ274" t="s">
        <v>37</v>
      </c>
      <c r="ES274" t="s">
        <v>37</v>
      </c>
      <c r="EU274" t="s">
        <v>37</v>
      </c>
      <c r="EW274" t="s">
        <v>37</v>
      </c>
      <c r="EY274" t="s">
        <v>37</v>
      </c>
      <c r="FA274" t="s">
        <v>37</v>
      </c>
      <c r="FC274" t="s">
        <v>37</v>
      </c>
      <c r="FE274" t="s">
        <v>37</v>
      </c>
      <c r="FG274" t="s">
        <v>37</v>
      </c>
      <c r="FI274" t="s">
        <v>37</v>
      </c>
      <c r="FK274" t="s">
        <v>37</v>
      </c>
      <c r="FM274" t="s">
        <v>37</v>
      </c>
      <c r="FO274" t="s">
        <v>37</v>
      </c>
      <c r="FQ274" t="s">
        <v>37</v>
      </c>
      <c r="FS274" t="s">
        <v>37</v>
      </c>
      <c r="FU274" t="s">
        <v>37</v>
      </c>
      <c r="FW274" t="s">
        <v>37</v>
      </c>
      <c r="FY274" t="s">
        <v>37</v>
      </c>
      <c r="GA274" t="s">
        <v>37</v>
      </c>
      <c r="GC274" t="s">
        <v>37</v>
      </c>
      <c r="GE274" t="s">
        <v>37</v>
      </c>
      <c r="GG274" t="s">
        <v>37</v>
      </c>
      <c r="GI274" t="s">
        <v>37</v>
      </c>
      <c r="GK274" t="s">
        <v>37</v>
      </c>
      <c r="GM274" t="s">
        <v>37</v>
      </c>
      <c r="GO274" t="s">
        <v>37</v>
      </c>
      <c r="GQ274" t="s">
        <v>37</v>
      </c>
      <c r="GS274" t="s">
        <v>37</v>
      </c>
      <c r="GU274" t="s">
        <v>37</v>
      </c>
      <c r="GW274" t="s">
        <v>37</v>
      </c>
      <c r="GY274" t="s">
        <v>37</v>
      </c>
      <c r="HA274" t="s">
        <v>37</v>
      </c>
      <c r="HC274" t="s">
        <v>37</v>
      </c>
      <c r="HE274" t="s">
        <v>37</v>
      </c>
      <c r="HG274" t="s">
        <v>37</v>
      </c>
      <c r="HI274" t="s">
        <v>37</v>
      </c>
      <c r="HK274" t="s">
        <v>37</v>
      </c>
    </row>
    <row r="275" spans="1:219">
      <c r="A275" t="s">
        <v>90</v>
      </c>
      <c r="B275" t="s">
        <v>280</v>
      </c>
      <c r="C275" t="s">
        <v>37</v>
      </c>
      <c r="D275">
        <v>3682976</v>
      </c>
      <c r="E275" t="s">
        <v>37</v>
      </c>
      <c r="F275">
        <v>22741478</v>
      </c>
      <c r="G275" t="s">
        <v>37</v>
      </c>
      <c r="H275">
        <v>3089402</v>
      </c>
      <c r="I275" t="s">
        <v>37</v>
      </c>
      <c r="K275" s="48" t="s">
        <v>37</v>
      </c>
      <c r="L275" s="51">
        <v>4875036</v>
      </c>
      <c r="M275" s="48" t="s">
        <v>37</v>
      </c>
      <c r="N275" s="51">
        <v>3074753</v>
      </c>
      <c r="O275" s="48" t="s">
        <v>37</v>
      </c>
      <c r="P275" s="51">
        <v>2542156</v>
      </c>
      <c r="Q275" s="48" t="s">
        <v>37</v>
      </c>
      <c r="R275" s="51">
        <v>2598938</v>
      </c>
      <c r="S275" s="48" t="s">
        <v>37</v>
      </c>
      <c r="T275">
        <v>12101614</v>
      </c>
      <c r="U275" t="s">
        <v>37</v>
      </c>
      <c r="W275" t="s">
        <v>37</v>
      </c>
      <c r="X275">
        <v>125508</v>
      </c>
      <c r="Y275" t="s">
        <v>37</v>
      </c>
      <c r="Z275">
        <v>2392397</v>
      </c>
      <c r="AA275" t="s">
        <v>37</v>
      </c>
      <c r="AB275">
        <v>1951283</v>
      </c>
      <c r="AC275" t="s">
        <v>37</v>
      </c>
      <c r="AD275">
        <v>1657631</v>
      </c>
      <c r="AE275" t="s">
        <v>37</v>
      </c>
      <c r="AF275">
        <v>1162577</v>
      </c>
      <c r="AG275" t="s">
        <v>37</v>
      </c>
      <c r="AH275">
        <v>2514099</v>
      </c>
      <c r="AI275" t="s">
        <v>37</v>
      </c>
      <c r="AJ275">
        <v>12912</v>
      </c>
      <c r="AK275" t="s">
        <v>37</v>
      </c>
      <c r="AL275">
        <v>20641146</v>
      </c>
      <c r="AM275" t="s">
        <v>37</v>
      </c>
      <c r="AN275">
        <v>182481</v>
      </c>
      <c r="AO275" t="s">
        <v>37</v>
      </c>
      <c r="AP275">
        <v>25047152</v>
      </c>
      <c r="AQ275" t="s">
        <v>37</v>
      </c>
      <c r="AR275">
        <v>2232822</v>
      </c>
      <c r="AS275" t="s">
        <v>37</v>
      </c>
      <c r="AT275">
        <v>52757514</v>
      </c>
      <c r="AU275" t="s">
        <v>37</v>
      </c>
      <c r="AV275">
        <v>9688812</v>
      </c>
      <c r="AW275" t="s">
        <v>37</v>
      </c>
      <c r="AX275">
        <v>7648343</v>
      </c>
      <c r="AY275" t="s">
        <v>37</v>
      </c>
      <c r="AZ275">
        <v>8418108</v>
      </c>
      <c r="BA275" t="s">
        <v>37</v>
      </c>
      <c r="BB275">
        <v>1853363</v>
      </c>
      <c r="BC275" t="s">
        <v>37</v>
      </c>
      <c r="BD275">
        <v>5339019</v>
      </c>
      <c r="BE275" t="s">
        <v>37</v>
      </c>
      <c r="BF275">
        <v>1176265</v>
      </c>
      <c r="BG275" t="s">
        <v>37</v>
      </c>
      <c r="BH275">
        <v>137628</v>
      </c>
      <c r="BI275" t="s">
        <v>37</v>
      </c>
      <c r="BJ275">
        <v>9528799</v>
      </c>
      <c r="BK275" t="s">
        <v>37</v>
      </c>
      <c r="BL275">
        <v>14069234</v>
      </c>
      <c r="BM275" t="s">
        <v>37</v>
      </c>
      <c r="BO275" t="s">
        <v>37</v>
      </c>
      <c r="BP275">
        <v>1100460</v>
      </c>
      <c r="BQ275" t="s">
        <v>37</v>
      </c>
      <c r="BR275">
        <v>5308915</v>
      </c>
      <c r="BS275" t="s">
        <v>37</v>
      </c>
      <c r="BT275">
        <v>1924563</v>
      </c>
      <c r="BU275" t="s">
        <v>37</v>
      </c>
      <c r="BV275">
        <v>139914</v>
      </c>
      <c r="BW275" t="s">
        <v>37</v>
      </c>
      <c r="BX275">
        <v>10635863</v>
      </c>
      <c r="BY275" t="s">
        <v>37</v>
      </c>
      <c r="BZ275">
        <v>3430635</v>
      </c>
      <c r="CA275" t="s">
        <v>37</v>
      </c>
      <c r="CC275" t="s">
        <v>37</v>
      </c>
      <c r="CD275">
        <v>3763177</v>
      </c>
      <c r="CE275" t="s">
        <v>37</v>
      </c>
      <c r="CF275">
        <v>5073637</v>
      </c>
      <c r="CG275" t="s">
        <v>37</v>
      </c>
      <c r="CH275">
        <v>16245407</v>
      </c>
      <c r="CI275" t="s">
        <v>37</v>
      </c>
      <c r="CJ275">
        <v>1249002</v>
      </c>
      <c r="CK275" t="s">
        <v>37</v>
      </c>
      <c r="CL275">
        <v>8143064</v>
      </c>
      <c r="CM275" t="s">
        <v>37</v>
      </c>
      <c r="CN275">
        <v>1564610</v>
      </c>
      <c r="CO275" t="s">
        <v>37</v>
      </c>
      <c r="CP275">
        <v>1508866</v>
      </c>
      <c r="CQ275" t="s">
        <v>37</v>
      </c>
      <c r="CR275">
        <v>11444257</v>
      </c>
      <c r="CS275" t="s">
        <v>37</v>
      </c>
      <c r="CT275">
        <v>53363867</v>
      </c>
      <c r="CU275" t="s">
        <v>37</v>
      </c>
      <c r="CV275">
        <v>8674949</v>
      </c>
      <c r="CW275" t="s">
        <v>37</v>
      </c>
      <c r="CX275">
        <v>1134998</v>
      </c>
      <c r="CY275" t="s">
        <v>37</v>
      </c>
      <c r="CZ275">
        <v>1071956</v>
      </c>
      <c r="DA275" t="s">
        <v>37</v>
      </c>
      <c r="DC275" t="s">
        <v>37</v>
      </c>
      <c r="DD275">
        <v>3376368</v>
      </c>
      <c r="DE275" t="s">
        <v>37</v>
      </c>
      <c r="DF275">
        <v>2340572</v>
      </c>
      <c r="DG275" t="s">
        <v>37</v>
      </c>
      <c r="DH275">
        <v>32429350</v>
      </c>
      <c r="DI275" t="s">
        <v>37</v>
      </c>
      <c r="DJ275">
        <v>4897127</v>
      </c>
      <c r="DK275" t="s">
        <v>37</v>
      </c>
      <c r="DL275">
        <v>9162342</v>
      </c>
      <c r="DM275" t="s">
        <v>37</v>
      </c>
      <c r="DN275">
        <v>12883294</v>
      </c>
      <c r="DO275" t="s">
        <v>37</v>
      </c>
      <c r="DP275">
        <v>6055048</v>
      </c>
      <c r="DQ275" t="s">
        <v>37</v>
      </c>
      <c r="DR275">
        <v>4724125</v>
      </c>
      <c r="DS275" t="s">
        <v>37</v>
      </c>
      <c r="DT275">
        <v>4579687</v>
      </c>
      <c r="DU275" t="s">
        <v>37</v>
      </c>
      <c r="DV275">
        <v>11280560</v>
      </c>
      <c r="DW275" t="s">
        <v>37</v>
      </c>
      <c r="DX275">
        <v>8083158</v>
      </c>
      <c r="DY275" t="s">
        <v>37</v>
      </c>
      <c r="DZ275">
        <v>2649385</v>
      </c>
      <c r="EA275" t="s">
        <v>37</v>
      </c>
      <c r="EB275">
        <v>4854189</v>
      </c>
      <c r="EC275" t="s">
        <v>37</v>
      </c>
      <c r="ED275">
        <v>8686155</v>
      </c>
      <c r="EE275" t="s">
        <v>37</v>
      </c>
      <c r="EF275">
        <v>1612072</v>
      </c>
      <c r="EG275" t="s">
        <v>37</v>
      </c>
      <c r="EH275">
        <v>46376</v>
      </c>
      <c r="EI275" t="s">
        <v>37</v>
      </c>
      <c r="EJ275">
        <v>4526664</v>
      </c>
      <c r="EK275" t="s">
        <v>37</v>
      </c>
      <c r="EL275">
        <v>4119091</v>
      </c>
      <c r="EM275" t="s">
        <v>37</v>
      </c>
      <c r="EN275">
        <v>1940989</v>
      </c>
      <c r="EO275" t="s">
        <v>37</v>
      </c>
      <c r="EP275">
        <v>500</v>
      </c>
      <c r="EQ275" t="s">
        <v>37</v>
      </c>
      <c r="ER275">
        <v>7654127</v>
      </c>
      <c r="ES275" t="s">
        <v>37</v>
      </c>
      <c r="ET275">
        <v>7108791</v>
      </c>
      <c r="EU275" t="s">
        <v>37</v>
      </c>
      <c r="EV275">
        <v>9682245</v>
      </c>
      <c r="EW275" t="s">
        <v>37</v>
      </c>
      <c r="EY275" t="s">
        <v>37</v>
      </c>
      <c r="EZ275">
        <v>5076482</v>
      </c>
      <c r="FA275" t="s">
        <v>37</v>
      </c>
      <c r="FB275">
        <v>4672184</v>
      </c>
      <c r="FC275" t="s">
        <v>37</v>
      </c>
      <c r="FD275">
        <v>10022467</v>
      </c>
      <c r="FE275" t="s">
        <v>37</v>
      </c>
      <c r="FG275" t="s">
        <v>37</v>
      </c>
      <c r="FH275">
        <v>12359722</v>
      </c>
      <c r="FI275" t="s">
        <v>37</v>
      </c>
      <c r="FJ275">
        <v>34551873</v>
      </c>
      <c r="FK275" t="s">
        <v>37</v>
      </c>
      <c r="FL275">
        <v>14579917</v>
      </c>
      <c r="FM275" t="s">
        <v>37</v>
      </c>
      <c r="FN275">
        <v>2258720</v>
      </c>
      <c r="FO275" t="s">
        <v>37</v>
      </c>
      <c r="FP275">
        <v>3565798</v>
      </c>
      <c r="FQ275" t="s">
        <v>37</v>
      </c>
      <c r="FR275">
        <v>5936673</v>
      </c>
      <c r="FS275" t="s">
        <v>37</v>
      </c>
      <c r="FT275">
        <v>2572299</v>
      </c>
      <c r="FU275" t="s">
        <v>37</v>
      </c>
      <c r="FV275">
        <v>2009981</v>
      </c>
      <c r="FW275" t="s">
        <v>37</v>
      </c>
      <c r="FX275">
        <v>4613850</v>
      </c>
      <c r="FY275" t="s">
        <v>37</v>
      </c>
      <c r="FZ275">
        <v>6417352</v>
      </c>
      <c r="GA275" t="s">
        <v>37</v>
      </c>
      <c r="GB275">
        <v>10855782</v>
      </c>
      <c r="GC275" t="s">
        <v>37</v>
      </c>
      <c r="GD275">
        <v>866</v>
      </c>
      <c r="GE275" t="s">
        <v>37</v>
      </c>
      <c r="GF275">
        <v>840</v>
      </c>
      <c r="GG275" t="s">
        <v>37</v>
      </c>
      <c r="GI275" t="s">
        <v>37</v>
      </c>
      <c r="GJ275">
        <v>12357905</v>
      </c>
      <c r="GK275" t="s">
        <v>37</v>
      </c>
      <c r="GL275">
        <v>12300554</v>
      </c>
      <c r="GM275" t="s">
        <v>37</v>
      </c>
      <c r="GO275" t="s">
        <v>37</v>
      </c>
      <c r="GP275">
        <v>5143393</v>
      </c>
      <c r="GQ275" t="s">
        <v>37</v>
      </c>
      <c r="GR275">
        <v>11124120</v>
      </c>
      <c r="GS275" t="s">
        <v>37</v>
      </c>
      <c r="GT275">
        <v>4815866</v>
      </c>
      <c r="GU275" t="s">
        <v>37</v>
      </c>
      <c r="GV275">
        <v>2844980</v>
      </c>
      <c r="GW275" t="s">
        <v>37</v>
      </c>
      <c r="GX275">
        <v>11279750</v>
      </c>
      <c r="GY275" t="s">
        <v>37</v>
      </c>
      <c r="GZ275">
        <v>3025378</v>
      </c>
      <c r="HA275" t="s">
        <v>37</v>
      </c>
      <c r="HB275">
        <v>2385970</v>
      </c>
      <c r="HC275" t="s">
        <v>37</v>
      </c>
      <c r="HD275">
        <v>1355712</v>
      </c>
      <c r="HE275" t="s">
        <v>37</v>
      </c>
      <c r="HF275">
        <v>694100553</v>
      </c>
      <c r="HG275" t="s">
        <v>37</v>
      </c>
      <c r="HH275">
        <v>3741682</v>
      </c>
      <c r="HI275" t="s">
        <v>37</v>
      </c>
      <c r="HJ275">
        <v>697842235</v>
      </c>
      <c r="HK275" t="s">
        <v>37</v>
      </c>
    </row>
    <row r="276" spans="1:219">
      <c r="C276" t="s">
        <v>37</v>
      </c>
      <c r="E276" t="s">
        <v>37</v>
      </c>
      <c r="G276" t="s">
        <v>37</v>
      </c>
      <c r="I276" t="s">
        <v>37</v>
      </c>
      <c r="K276" s="48" t="s">
        <v>37</v>
      </c>
      <c r="L276" s="51"/>
      <c r="M276" s="48" t="s">
        <v>37</v>
      </c>
      <c r="N276" s="51"/>
      <c r="O276" s="48" t="s">
        <v>37</v>
      </c>
      <c r="P276" s="51"/>
      <c r="Q276" s="48" t="s">
        <v>37</v>
      </c>
      <c r="R276" s="51"/>
      <c r="S276" s="48" t="s">
        <v>37</v>
      </c>
      <c r="U276" t="s">
        <v>37</v>
      </c>
      <c r="W276" t="s">
        <v>37</v>
      </c>
      <c r="Y276" t="s">
        <v>37</v>
      </c>
      <c r="AA276" t="s">
        <v>37</v>
      </c>
      <c r="AC276" t="s">
        <v>37</v>
      </c>
      <c r="AE276" t="s">
        <v>37</v>
      </c>
      <c r="AG276" t="s">
        <v>37</v>
      </c>
      <c r="AI276" t="s">
        <v>37</v>
      </c>
      <c r="AK276" t="s">
        <v>37</v>
      </c>
      <c r="AM276" t="s">
        <v>37</v>
      </c>
      <c r="AO276" t="s">
        <v>37</v>
      </c>
      <c r="AQ276" t="s">
        <v>37</v>
      </c>
      <c r="AS276" t="s">
        <v>37</v>
      </c>
      <c r="AU276" t="s">
        <v>37</v>
      </c>
      <c r="AW276" t="s">
        <v>37</v>
      </c>
      <c r="AY276" t="s">
        <v>37</v>
      </c>
      <c r="BA276" t="s">
        <v>37</v>
      </c>
      <c r="BC276" t="s">
        <v>37</v>
      </c>
      <c r="BE276" t="s">
        <v>37</v>
      </c>
      <c r="BG276" t="s">
        <v>37</v>
      </c>
      <c r="BI276" t="s">
        <v>37</v>
      </c>
      <c r="BK276" t="s">
        <v>37</v>
      </c>
      <c r="BM276" t="s">
        <v>37</v>
      </c>
      <c r="BO276" t="s">
        <v>37</v>
      </c>
      <c r="BQ276" t="s">
        <v>37</v>
      </c>
      <c r="BS276" t="s">
        <v>37</v>
      </c>
      <c r="BU276" t="s">
        <v>37</v>
      </c>
      <c r="BW276" t="s">
        <v>37</v>
      </c>
      <c r="BY276" t="s">
        <v>37</v>
      </c>
      <c r="CA276" t="s">
        <v>37</v>
      </c>
      <c r="CC276" t="s">
        <v>37</v>
      </c>
      <c r="CE276" t="s">
        <v>37</v>
      </c>
      <c r="CG276" t="s">
        <v>37</v>
      </c>
      <c r="CI276" t="s">
        <v>37</v>
      </c>
      <c r="CK276" t="s">
        <v>37</v>
      </c>
      <c r="CM276" t="s">
        <v>37</v>
      </c>
      <c r="CO276" t="s">
        <v>37</v>
      </c>
      <c r="CQ276" t="s">
        <v>37</v>
      </c>
      <c r="CS276" t="s">
        <v>37</v>
      </c>
      <c r="CU276" t="s">
        <v>37</v>
      </c>
      <c r="CW276" t="s">
        <v>37</v>
      </c>
      <c r="CY276" t="s">
        <v>37</v>
      </c>
      <c r="DA276" t="s">
        <v>37</v>
      </c>
      <c r="DC276" t="s">
        <v>37</v>
      </c>
      <c r="DE276" t="s">
        <v>37</v>
      </c>
      <c r="DG276" t="s">
        <v>37</v>
      </c>
      <c r="DI276" t="s">
        <v>37</v>
      </c>
      <c r="DK276" t="s">
        <v>37</v>
      </c>
      <c r="DM276" t="s">
        <v>37</v>
      </c>
      <c r="DO276" t="s">
        <v>37</v>
      </c>
      <c r="DQ276" t="s">
        <v>37</v>
      </c>
      <c r="DS276" t="s">
        <v>37</v>
      </c>
      <c r="DU276" t="s">
        <v>37</v>
      </c>
      <c r="DW276" t="s">
        <v>37</v>
      </c>
      <c r="DY276" t="s">
        <v>37</v>
      </c>
      <c r="EA276" t="s">
        <v>37</v>
      </c>
      <c r="EC276" t="s">
        <v>37</v>
      </c>
      <c r="EE276" t="s">
        <v>37</v>
      </c>
      <c r="EG276" t="s">
        <v>37</v>
      </c>
      <c r="EI276" t="s">
        <v>37</v>
      </c>
      <c r="EK276" t="s">
        <v>37</v>
      </c>
      <c r="EM276" t="s">
        <v>37</v>
      </c>
      <c r="EO276" t="s">
        <v>37</v>
      </c>
      <c r="EQ276" t="s">
        <v>37</v>
      </c>
      <c r="ES276" t="s">
        <v>37</v>
      </c>
      <c r="EU276" t="s">
        <v>37</v>
      </c>
      <c r="EW276" t="s">
        <v>37</v>
      </c>
      <c r="EY276" t="s">
        <v>37</v>
      </c>
      <c r="FA276" t="s">
        <v>37</v>
      </c>
      <c r="FC276" t="s">
        <v>37</v>
      </c>
      <c r="FE276" t="s">
        <v>37</v>
      </c>
      <c r="FG276" t="s">
        <v>37</v>
      </c>
      <c r="FI276" t="s">
        <v>37</v>
      </c>
      <c r="FK276" t="s">
        <v>37</v>
      </c>
      <c r="FM276" t="s">
        <v>37</v>
      </c>
      <c r="FO276" t="s">
        <v>37</v>
      </c>
      <c r="FQ276" t="s">
        <v>37</v>
      </c>
      <c r="FS276" t="s">
        <v>37</v>
      </c>
      <c r="FU276" t="s">
        <v>37</v>
      </c>
      <c r="FW276" t="s">
        <v>37</v>
      </c>
      <c r="FY276" t="s">
        <v>37</v>
      </c>
      <c r="GA276" t="s">
        <v>37</v>
      </c>
      <c r="GC276" t="s">
        <v>37</v>
      </c>
      <c r="GE276" t="s">
        <v>37</v>
      </c>
      <c r="GG276" t="s">
        <v>37</v>
      </c>
      <c r="GI276" t="s">
        <v>37</v>
      </c>
      <c r="GK276" t="s">
        <v>37</v>
      </c>
      <c r="GM276" t="s">
        <v>37</v>
      </c>
      <c r="GO276" t="s">
        <v>37</v>
      </c>
      <c r="GQ276" t="s">
        <v>37</v>
      </c>
      <c r="GS276" t="s">
        <v>37</v>
      </c>
      <c r="GU276" t="s">
        <v>37</v>
      </c>
      <c r="GW276" t="s">
        <v>37</v>
      </c>
      <c r="GY276" t="s">
        <v>37</v>
      </c>
      <c r="HA276" t="s">
        <v>37</v>
      </c>
      <c r="HC276" t="s">
        <v>37</v>
      </c>
      <c r="HE276" t="s">
        <v>37</v>
      </c>
      <c r="HG276" t="s">
        <v>37</v>
      </c>
      <c r="HI276" t="s">
        <v>37</v>
      </c>
      <c r="HK276" t="s">
        <v>37</v>
      </c>
    </row>
    <row r="277" spans="1:219">
      <c r="A277">
        <v>5000</v>
      </c>
      <c r="B277" t="s">
        <v>281</v>
      </c>
      <c r="C277" t="s">
        <v>37</v>
      </c>
      <c r="E277" t="s">
        <v>37</v>
      </c>
      <c r="G277" t="s">
        <v>37</v>
      </c>
      <c r="I277" t="s">
        <v>37</v>
      </c>
      <c r="K277" s="48" t="s">
        <v>37</v>
      </c>
      <c r="L277" s="50"/>
      <c r="M277" s="48" t="s">
        <v>37</v>
      </c>
      <c r="N277" s="50"/>
      <c r="O277" s="48" t="s">
        <v>37</v>
      </c>
      <c r="P277" s="50"/>
      <c r="Q277" s="48" t="s">
        <v>37</v>
      </c>
      <c r="R277" s="50"/>
      <c r="S277" s="48" t="s">
        <v>37</v>
      </c>
      <c r="U277" t="s">
        <v>37</v>
      </c>
      <c r="W277" t="s">
        <v>37</v>
      </c>
      <c r="Y277" t="s">
        <v>37</v>
      </c>
      <c r="AA277" t="s">
        <v>37</v>
      </c>
      <c r="AC277" t="s">
        <v>37</v>
      </c>
      <c r="AE277" t="s">
        <v>37</v>
      </c>
      <c r="AG277" t="s">
        <v>37</v>
      </c>
      <c r="AI277" t="s">
        <v>37</v>
      </c>
      <c r="AK277" t="s">
        <v>37</v>
      </c>
      <c r="AM277" t="s">
        <v>37</v>
      </c>
      <c r="AO277" t="s">
        <v>37</v>
      </c>
      <c r="AQ277" t="s">
        <v>37</v>
      </c>
      <c r="AS277" t="s">
        <v>37</v>
      </c>
      <c r="AU277" t="s">
        <v>37</v>
      </c>
      <c r="AW277" t="s">
        <v>37</v>
      </c>
      <c r="AY277" t="s">
        <v>37</v>
      </c>
      <c r="BA277" t="s">
        <v>37</v>
      </c>
      <c r="BC277" t="s">
        <v>37</v>
      </c>
      <c r="BE277" t="s">
        <v>37</v>
      </c>
      <c r="BG277" t="s">
        <v>37</v>
      </c>
      <c r="BI277" t="s">
        <v>37</v>
      </c>
      <c r="BK277" t="s">
        <v>37</v>
      </c>
      <c r="BM277" t="s">
        <v>37</v>
      </c>
      <c r="BO277" t="s">
        <v>37</v>
      </c>
      <c r="BQ277" t="s">
        <v>37</v>
      </c>
      <c r="BS277" t="s">
        <v>37</v>
      </c>
      <c r="BU277" t="s">
        <v>37</v>
      </c>
      <c r="BW277" t="s">
        <v>37</v>
      </c>
      <c r="BY277" t="s">
        <v>37</v>
      </c>
      <c r="CA277" t="s">
        <v>37</v>
      </c>
      <c r="CC277" t="s">
        <v>37</v>
      </c>
      <c r="CE277" t="s">
        <v>37</v>
      </c>
      <c r="CG277" t="s">
        <v>37</v>
      </c>
      <c r="CI277" t="s">
        <v>37</v>
      </c>
      <c r="CK277" t="s">
        <v>37</v>
      </c>
      <c r="CM277" t="s">
        <v>37</v>
      </c>
      <c r="CO277" t="s">
        <v>37</v>
      </c>
      <c r="CQ277" t="s">
        <v>37</v>
      </c>
      <c r="CS277" t="s">
        <v>37</v>
      </c>
      <c r="CU277" t="s">
        <v>37</v>
      </c>
      <c r="CW277" t="s">
        <v>37</v>
      </c>
      <c r="CY277" t="s">
        <v>37</v>
      </c>
      <c r="DA277" t="s">
        <v>37</v>
      </c>
      <c r="DC277" t="s">
        <v>37</v>
      </c>
      <c r="DE277" t="s">
        <v>37</v>
      </c>
      <c r="DG277" t="s">
        <v>37</v>
      </c>
      <c r="DI277" t="s">
        <v>37</v>
      </c>
      <c r="DK277" t="s">
        <v>37</v>
      </c>
      <c r="DM277" t="s">
        <v>37</v>
      </c>
      <c r="DO277" t="s">
        <v>37</v>
      </c>
      <c r="DQ277" t="s">
        <v>37</v>
      </c>
      <c r="DS277" t="s">
        <v>37</v>
      </c>
      <c r="DU277" t="s">
        <v>37</v>
      </c>
      <c r="DW277" t="s">
        <v>37</v>
      </c>
      <c r="DY277" t="s">
        <v>37</v>
      </c>
      <c r="EA277" t="s">
        <v>37</v>
      </c>
      <c r="EC277" t="s">
        <v>37</v>
      </c>
      <c r="EE277" t="s">
        <v>37</v>
      </c>
      <c r="EG277" t="s">
        <v>37</v>
      </c>
      <c r="EI277" t="s">
        <v>37</v>
      </c>
      <c r="EK277" t="s">
        <v>37</v>
      </c>
      <c r="EM277" t="s">
        <v>37</v>
      </c>
      <c r="EO277" t="s">
        <v>37</v>
      </c>
      <c r="EQ277" t="s">
        <v>37</v>
      </c>
      <c r="ES277" t="s">
        <v>37</v>
      </c>
      <c r="EU277" t="s">
        <v>37</v>
      </c>
      <c r="EW277" t="s">
        <v>37</v>
      </c>
      <c r="EY277" t="s">
        <v>37</v>
      </c>
      <c r="FA277" t="s">
        <v>37</v>
      </c>
      <c r="FC277" t="s">
        <v>37</v>
      </c>
      <c r="FE277" t="s">
        <v>37</v>
      </c>
      <c r="FG277" t="s">
        <v>37</v>
      </c>
      <c r="FI277" t="s">
        <v>37</v>
      </c>
      <c r="FK277" t="s">
        <v>37</v>
      </c>
      <c r="FM277" t="s">
        <v>37</v>
      </c>
      <c r="FO277" t="s">
        <v>37</v>
      </c>
      <c r="FQ277" t="s">
        <v>37</v>
      </c>
      <c r="FS277" t="s">
        <v>37</v>
      </c>
      <c r="FU277" t="s">
        <v>37</v>
      </c>
      <c r="FW277" t="s">
        <v>37</v>
      </c>
      <c r="FY277" t="s">
        <v>37</v>
      </c>
      <c r="GA277" t="s">
        <v>37</v>
      </c>
      <c r="GC277" t="s">
        <v>37</v>
      </c>
      <c r="GE277" t="s">
        <v>37</v>
      </c>
      <c r="GG277" t="s">
        <v>37</v>
      </c>
      <c r="GI277" t="s">
        <v>37</v>
      </c>
      <c r="GK277" t="s">
        <v>37</v>
      </c>
      <c r="GM277" t="s">
        <v>37</v>
      </c>
      <c r="GO277" t="s">
        <v>37</v>
      </c>
      <c r="GQ277" t="s">
        <v>37</v>
      </c>
      <c r="GS277" t="s">
        <v>37</v>
      </c>
      <c r="GU277" t="s">
        <v>37</v>
      </c>
      <c r="GW277" t="s">
        <v>37</v>
      </c>
      <c r="GY277" t="s">
        <v>37</v>
      </c>
      <c r="HA277" t="s">
        <v>37</v>
      </c>
      <c r="HC277" t="s">
        <v>37</v>
      </c>
      <c r="HE277" t="s">
        <v>37</v>
      </c>
      <c r="HG277" t="s">
        <v>37</v>
      </c>
      <c r="HI277" t="s">
        <v>37</v>
      </c>
      <c r="HK277" t="s">
        <v>37</v>
      </c>
    </row>
    <row r="278" spans="1:219">
      <c r="A278">
        <v>5110</v>
      </c>
      <c r="B278" t="s">
        <v>282</v>
      </c>
      <c r="C278" t="s">
        <v>37</v>
      </c>
      <c r="E278" t="s">
        <v>37</v>
      </c>
      <c r="F278">
        <v>521976</v>
      </c>
      <c r="G278" t="s">
        <v>37</v>
      </c>
      <c r="I278" t="s">
        <v>37</v>
      </c>
      <c r="K278" s="48" t="s">
        <v>37</v>
      </c>
      <c r="L278" s="50"/>
      <c r="M278" s="48" t="s">
        <v>37</v>
      </c>
      <c r="N278" s="51">
        <v>194939</v>
      </c>
      <c r="O278" s="48" t="s">
        <v>37</v>
      </c>
      <c r="P278" s="50"/>
      <c r="Q278" s="48" t="s">
        <v>37</v>
      </c>
      <c r="R278" s="50"/>
      <c r="S278" s="48" t="s">
        <v>37</v>
      </c>
      <c r="U278" t="s">
        <v>37</v>
      </c>
      <c r="W278" t="s">
        <v>37</v>
      </c>
      <c r="Y278" t="s">
        <v>37</v>
      </c>
      <c r="Z278">
        <v>10386</v>
      </c>
      <c r="AA278" t="s">
        <v>37</v>
      </c>
      <c r="AC278" t="s">
        <v>37</v>
      </c>
      <c r="AE278" t="s">
        <v>37</v>
      </c>
      <c r="AG278" t="s">
        <v>37</v>
      </c>
      <c r="AI278" t="s">
        <v>37</v>
      </c>
      <c r="AK278" t="s">
        <v>37</v>
      </c>
      <c r="AL278">
        <v>3780735</v>
      </c>
      <c r="AM278" t="s">
        <v>37</v>
      </c>
      <c r="AO278" t="s">
        <v>37</v>
      </c>
      <c r="AP278">
        <v>4838201</v>
      </c>
      <c r="AQ278" t="s">
        <v>37</v>
      </c>
      <c r="AR278">
        <v>817413</v>
      </c>
      <c r="AS278" t="s">
        <v>37</v>
      </c>
      <c r="AT278">
        <v>107167</v>
      </c>
      <c r="AU278" t="s">
        <v>37</v>
      </c>
      <c r="AW278" t="s">
        <v>37</v>
      </c>
      <c r="AY278" t="s">
        <v>37</v>
      </c>
      <c r="AZ278">
        <v>1139042</v>
      </c>
      <c r="BA278" t="s">
        <v>37</v>
      </c>
      <c r="BC278" t="s">
        <v>37</v>
      </c>
      <c r="BE278" t="s">
        <v>37</v>
      </c>
      <c r="BG278" t="s">
        <v>37</v>
      </c>
      <c r="BI278" t="s">
        <v>37</v>
      </c>
      <c r="BJ278">
        <v>2725025</v>
      </c>
      <c r="BK278" t="s">
        <v>37</v>
      </c>
      <c r="BM278" t="s">
        <v>37</v>
      </c>
      <c r="BO278" t="s">
        <v>37</v>
      </c>
      <c r="BQ278" t="s">
        <v>37</v>
      </c>
      <c r="BS278" t="s">
        <v>37</v>
      </c>
      <c r="BU278" t="s">
        <v>37</v>
      </c>
      <c r="BW278" t="s">
        <v>37</v>
      </c>
      <c r="BX278">
        <v>7872</v>
      </c>
      <c r="BY278" t="s">
        <v>37</v>
      </c>
      <c r="CA278" t="s">
        <v>37</v>
      </c>
      <c r="CC278" t="s">
        <v>37</v>
      </c>
      <c r="CE278" t="s">
        <v>37</v>
      </c>
      <c r="CG278" t="s">
        <v>37</v>
      </c>
      <c r="CI278" t="s">
        <v>37</v>
      </c>
      <c r="CK278" t="s">
        <v>37</v>
      </c>
      <c r="CM278" t="s">
        <v>37</v>
      </c>
      <c r="CO278" t="s">
        <v>37</v>
      </c>
      <c r="CQ278" t="s">
        <v>37</v>
      </c>
      <c r="CR278">
        <v>354454</v>
      </c>
      <c r="CS278" t="s">
        <v>37</v>
      </c>
      <c r="CU278" t="s">
        <v>37</v>
      </c>
      <c r="CV278">
        <v>3698178</v>
      </c>
      <c r="CW278" t="s">
        <v>37</v>
      </c>
      <c r="CY278" t="s">
        <v>37</v>
      </c>
      <c r="DA278" t="s">
        <v>37</v>
      </c>
      <c r="DC278" t="s">
        <v>37</v>
      </c>
      <c r="DE278" t="s">
        <v>37</v>
      </c>
      <c r="DG278" t="s">
        <v>37</v>
      </c>
      <c r="DH278">
        <v>3393526</v>
      </c>
      <c r="DI278" t="s">
        <v>37</v>
      </c>
      <c r="DJ278">
        <v>91586</v>
      </c>
      <c r="DK278" t="s">
        <v>37</v>
      </c>
      <c r="DM278" t="s">
        <v>37</v>
      </c>
      <c r="DO278" t="s">
        <v>37</v>
      </c>
      <c r="DP278">
        <v>7235</v>
      </c>
      <c r="DQ278" t="s">
        <v>37</v>
      </c>
      <c r="DS278" t="s">
        <v>37</v>
      </c>
      <c r="DU278" t="s">
        <v>37</v>
      </c>
      <c r="DW278" t="s">
        <v>37</v>
      </c>
      <c r="DX278">
        <v>1834</v>
      </c>
      <c r="DY278" t="s">
        <v>37</v>
      </c>
      <c r="EA278" t="s">
        <v>37</v>
      </c>
      <c r="EC278" t="s">
        <v>37</v>
      </c>
      <c r="EE278" t="s">
        <v>37</v>
      </c>
      <c r="EG278" t="s">
        <v>37</v>
      </c>
      <c r="EI278" t="s">
        <v>37</v>
      </c>
      <c r="EK278" t="s">
        <v>37</v>
      </c>
      <c r="EM278" t="s">
        <v>37</v>
      </c>
      <c r="EO278" t="s">
        <v>37</v>
      </c>
      <c r="EQ278" t="s">
        <v>37</v>
      </c>
      <c r="ER278">
        <v>422760</v>
      </c>
      <c r="ES278" t="s">
        <v>37</v>
      </c>
      <c r="EU278" t="s">
        <v>37</v>
      </c>
      <c r="EV278">
        <v>610873</v>
      </c>
      <c r="EW278" t="s">
        <v>37</v>
      </c>
      <c r="EY278" t="s">
        <v>37</v>
      </c>
      <c r="FA278" t="s">
        <v>37</v>
      </c>
      <c r="FB278">
        <v>319181</v>
      </c>
      <c r="FC278" t="s">
        <v>37</v>
      </c>
      <c r="FD278">
        <v>156682</v>
      </c>
      <c r="FE278" t="s">
        <v>37</v>
      </c>
      <c r="FG278" t="s">
        <v>37</v>
      </c>
      <c r="FH278">
        <v>18772977</v>
      </c>
      <c r="FI278" t="s">
        <v>37</v>
      </c>
      <c r="FJ278">
        <v>1962828</v>
      </c>
      <c r="FK278" t="s">
        <v>37</v>
      </c>
      <c r="FL278">
        <v>1348330</v>
      </c>
      <c r="FM278" t="s">
        <v>37</v>
      </c>
      <c r="FO278" t="s">
        <v>37</v>
      </c>
      <c r="FQ278" t="s">
        <v>37</v>
      </c>
      <c r="FR278">
        <v>18120</v>
      </c>
      <c r="FS278" t="s">
        <v>37</v>
      </c>
      <c r="FT278">
        <v>79610</v>
      </c>
      <c r="FU278" t="s">
        <v>37</v>
      </c>
      <c r="FW278" t="s">
        <v>37</v>
      </c>
      <c r="FY278" t="s">
        <v>37</v>
      </c>
      <c r="FZ278">
        <v>5</v>
      </c>
      <c r="GA278" t="s">
        <v>37</v>
      </c>
      <c r="GC278" t="s">
        <v>37</v>
      </c>
      <c r="GE278" t="s">
        <v>37</v>
      </c>
      <c r="GG278" t="s">
        <v>37</v>
      </c>
      <c r="GI278" t="s">
        <v>37</v>
      </c>
      <c r="GJ278">
        <v>1162398</v>
      </c>
      <c r="GK278" t="s">
        <v>37</v>
      </c>
      <c r="GL278">
        <v>1402904</v>
      </c>
      <c r="GM278" t="s">
        <v>37</v>
      </c>
      <c r="GO278" t="s">
        <v>37</v>
      </c>
      <c r="GP278">
        <v>653929</v>
      </c>
      <c r="GQ278" t="s">
        <v>37</v>
      </c>
      <c r="GR278">
        <v>794070</v>
      </c>
      <c r="GS278" t="s">
        <v>37</v>
      </c>
      <c r="GU278" t="s">
        <v>37</v>
      </c>
      <c r="GW278" t="s">
        <v>37</v>
      </c>
      <c r="GX278">
        <v>1401390</v>
      </c>
      <c r="GY278" t="s">
        <v>37</v>
      </c>
      <c r="GZ278">
        <v>5006644</v>
      </c>
      <c r="HA278" t="s">
        <v>37</v>
      </c>
      <c r="HC278" t="s">
        <v>37</v>
      </c>
      <c r="HE278" t="s">
        <v>37</v>
      </c>
      <c r="HF278">
        <v>55802270</v>
      </c>
      <c r="HG278" t="s">
        <v>37</v>
      </c>
      <c r="HI278" t="s">
        <v>37</v>
      </c>
      <c r="HJ278">
        <v>55802270</v>
      </c>
      <c r="HK278" t="s">
        <v>37</v>
      </c>
    </row>
    <row r="279" spans="1:219">
      <c r="A279">
        <v>5120</v>
      </c>
      <c r="B279" t="s">
        <v>283</v>
      </c>
      <c r="C279" t="s">
        <v>37</v>
      </c>
      <c r="E279" t="s">
        <v>37</v>
      </c>
      <c r="F279">
        <v>21740000</v>
      </c>
      <c r="G279" t="s">
        <v>37</v>
      </c>
      <c r="I279" t="s">
        <v>37</v>
      </c>
      <c r="K279" s="48" t="s">
        <v>37</v>
      </c>
      <c r="L279" s="50"/>
      <c r="M279" s="48" t="s">
        <v>37</v>
      </c>
      <c r="N279" s="50"/>
      <c r="O279" s="48" t="s">
        <v>37</v>
      </c>
      <c r="P279" s="50"/>
      <c r="Q279" s="48" t="s">
        <v>37</v>
      </c>
      <c r="R279" s="50"/>
      <c r="S279" s="48" t="s">
        <v>37</v>
      </c>
      <c r="T279">
        <v>7600000</v>
      </c>
      <c r="U279" t="s">
        <v>37</v>
      </c>
      <c r="W279" t="s">
        <v>37</v>
      </c>
      <c r="Y279" t="s">
        <v>37</v>
      </c>
      <c r="Z279">
        <v>1300000</v>
      </c>
      <c r="AA279" t="s">
        <v>37</v>
      </c>
      <c r="AC279" t="s">
        <v>37</v>
      </c>
      <c r="AE279" t="s">
        <v>37</v>
      </c>
      <c r="AF279">
        <v>570000</v>
      </c>
      <c r="AG279" t="s">
        <v>37</v>
      </c>
      <c r="AI279" t="s">
        <v>37</v>
      </c>
      <c r="AK279" t="s">
        <v>37</v>
      </c>
      <c r="AL279">
        <v>68710000</v>
      </c>
      <c r="AM279" t="s">
        <v>37</v>
      </c>
      <c r="AO279" t="s">
        <v>37</v>
      </c>
      <c r="AP279">
        <v>83656750</v>
      </c>
      <c r="AQ279" t="s">
        <v>37</v>
      </c>
      <c r="AR279">
        <v>32985000</v>
      </c>
      <c r="AS279" t="s">
        <v>37</v>
      </c>
      <c r="AU279" t="s">
        <v>37</v>
      </c>
      <c r="AW279" t="s">
        <v>37</v>
      </c>
      <c r="AY279" t="s">
        <v>37</v>
      </c>
      <c r="AZ279">
        <v>175000</v>
      </c>
      <c r="BA279" t="s">
        <v>37</v>
      </c>
      <c r="BB279">
        <v>9630000</v>
      </c>
      <c r="BC279" t="s">
        <v>37</v>
      </c>
      <c r="BD279">
        <v>425000</v>
      </c>
      <c r="BE279" t="s">
        <v>37</v>
      </c>
      <c r="BG279" t="s">
        <v>37</v>
      </c>
      <c r="BI279" t="s">
        <v>37</v>
      </c>
      <c r="BK279" t="s">
        <v>37</v>
      </c>
      <c r="BL279">
        <v>3000000</v>
      </c>
      <c r="BM279" t="s">
        <v>37</v>
      </c>
      <c r="BO279" t="s">
        <v>37</v>
      </c>
      <c r="BQ279" t="s">
        <v>37</v>
      </c>
      <c r="BS279" t="s">
        <v>37</v>
      </c>
      <c r="BU279" t="s">
        <v>37</v>
      </c>
      <c r="BW279" t="s">
        <v>37</v>
      </c>
      <c r="BX279">
        <v>7277390</v>
      </c>
      <c r="BY279" t="s">
        <v>37</v>
      </c>
      <c r="CA279" t="s">
        <v>37</v>
      </c>
      <c r="CC279" t="s">
        <v>37</v>
      </c>
      <c r="CE279" t="s">
        <v>37</v>
      </c>
      <c r="CF279">
        <v>2011213</v>
      </c>
      <c r="CG279" t="s">
        <v>37</v>
      </c>
      <c r="CI279" t="s">
        <v>37</v>
      </c>
      <c r="CK279" t="s">
        <v>37</v>
      </c>
      <c r="CL279">
        <v>1200000</v>
      </c>
      <c r="CM279" t="s">
        <v>37</v>
      </c>
      <c r="CO279" t="s">
        <v>37</v>
      </c>
      <c r="CQ279" t="s">
        <v>37</v>
      </c>
      <c r="CR279">
        <v>16957208</v>
      </c>
      <c r="CS279" t="s">
        <v>37</v>
      </c>
      <c r="CU279" t="s">
        <v>37</v>
      </c>
      <c r="CV279">
        <v>5200000</v>
      </c>
      <c r="CW279" t="s">
        <v>37</v>
      </c>
      <c r="CY279" t="s">
        <v>37</v>
      </c>
      <c r="CZ279">
        <v>760000</v>
      </c>
      <c r="DA279" t="s">
        <v>37</v>
      </c>
      <c r="DC279" t="s">
        <v>37</v>
      </c>
      <c r="DD279">
        <v>1644400</v>
      </c>
      <c r="DE279" t="s">
        <v>37</v>
      </c>
      <c r="DF279">
        <v>200000</v>
      </c>
      <c r="DG279" t="s">
        <v>37</v>
      </c>
      <c r="DH279">
        <v>128710000</v>
      </c>
      <c r="DI279" t="s">
        <v>37</v>
      </c>
      <c r="DJ279">
        <v>14965000</v>
      </c>
      <c r="DK279" t="s">
        <v>37</v>
      </c>
      <c r="DM279" t="s">
        <v>37</v>
      </c>
      <c r="DN279">
        <v>5500000</v>
      </c>
      <c r="DO279" t="s">
        <v>37</v>
      </c>
      <c r="DP279">
        <v>1405000</v>
      </c>
      <c r="DQ279" t="s">
        <v>37</v>
      </c>
      <c r="DR279">
        <v>20000000</v>
      </c>
      <c r="DS279" t="s">
        <v>37</v>
      </c>
      <c r="DT279">
        <v>5000000</v>
      </c>
      <c r="DU279" t="s">
        <v>37</v>
      </c>
      <c r="DV279">
        <v>1910000</v>
      </c>
      <c r="DW279" t="s">
        <v>37</v>
      </c>
      <c r="DX279">
        <v>3015000</v>
      </c>
      <c r="DY279" t="s">
        <v>37</v>
      </c>
      <c r="EA279" t="s">
        <v>37</v>
      </c>
      <c r="EC279" t="s">
        <v>37</v>
      </c>
      <c r="ED279">
        <v>33725000</v>
      </c>
      <c r="EE279" t="s">
        <v>37</v>
      </c>
      <c r="EG279" t="s">
        <v>37</v>
      </c>
      <c r="EI279" t="s">
        <v>37</v>
      </c>
      <c r="EK279" t="s">
        <v>37</v>
      </c>
      <c r="EM279" t="s">
        <v>37</v>
      </c>
      <c r="EO279" t="s">
        <v>37</v>
      </c>
      <c r="EQ279" t="s">
        <v>37</v>
      </c>
      <c r="ER279">
        <v>524946</v>
      </c>
      <c r="ES279" t="s">
        <v>37</v>
      </c>
      <c r="EU279" t="s">
        <v>37</v>
      </c>
      <c r="EV279">
        <v>24500000</v>
      </c>
      <c r="EW279" t="s">
        <v>37</v>
      </c>
      <c r="EY279" t="s">
        <v>37</v>
      </c>
      <c r="FA279" t="s">
        <v>37</v>
      </c>
      <c r="FC279" t="s">
        <v>37</v>
      </c>
      <c r="FD279">
        <v>4204370</v>
      </c>
      <c r="FE279" t="s">
        <v>37</v>
      </c>
      <c r="FG279" t="s">
        <v>37</v>
      </c>
      <c r="FH279">
        <v>336165000</v>
      </c>
      <c r="FI279" t="s">
        <v>37</v>
      </c>
      <c r="FJ279">
        <v>79000000</v>
      </c>
      <c r="FK279" t="s">
        <v>37</v>
      </c>
      <c r="FL279">
        <v>43500000</v>
      </c>
      <c r="FM279" t="s">
        <v>37</v>
      </c>
      <c r="FO279" t="s">
        <v>37</v>
      </c>
      <c r="FQ279" t="s">
        <v>37</v>
      </c>
      <c r="FR279">
        <v>5700000</v>
      </c>
      <c r="FS279" t="s">
        <v>37</v>
      </c>
      <c r="FT279">
        <v>18185000</v>
      </c>
      <c r="FU279" t="s">
        <v>37</v>
      </c>
      <c r="FV279">
        <v>2000000</v>
      </c>
      <c r="FW279" t="s">
        <v>37</v>
      </c>
      <c r="FY279" t="s">
        <v>37</v>
      </c>
      <c r="FZ279">
        <v>12000000</v>
      </c>
      <c r="GA279" t="s">
        <v>37</v>
      </c>
      <c r="GC279" t="s">
        <v>37</v>
      </c>
      <c r="GE279" t="s">
        <v>37</v>
      </c>
      <c r="GG279" t="s">
        <v>37</v>
      </c>
      <c r="GI279" t="s">
        <v>37</v>
      </c>
      <c r="GJ279">
        <v>2000000</v>
      </c>
      <c r="GK279" t="s">
        <v>37</v>
      </c>
      <c r="GM279" t="s">
        <v>37</v>
      </c>
      <c r="GO279" t="s">
        <v>37</v>
      </c>
      <c r="GP279">
        <v>44215000</v>
      </c>
      <c r="GQ279" t="s">
        <v>37</v>
      </c>
      <c r="GR279">
        <v>22870000</v>
      </c>
      <c r="GS279" t="s">
        <v>37</v>
      </c>
      <c r="GU279" t="s">
        <v>37</v>
      </c>
      <c r="GW279" t="s">
        <v>37</v>
      </c>
      <c r="GX279">
        <v>63000000</v>
      </c>
      <c r="GY279" t="s">
        <v>37</v>
      </c>
      <c r="HA279" t="s">
        <v>37</v>
      </c>
      <c r="HC279" t="s">
        <v>37</v>
      </c>
      <c r="HE279" t="s">
        <v>37</v>
      </c>
      <c r="HF279">
        <v>1137136277</v>
      </c>
      <c r="HG279" t="s">
        <v>37</v>
      </c>
      <c r="HI279" t="s">
        <v>37</v>
      </c>
      <c r="HJ279">
        <v>1137136277</v>
      </c>
      <c r="HK279" t="s">
        <v>37</v>
      </c>
    </row>
    <row r="280" spans="1:219">
      <c r="A280">
        <v>5121</v>
      </c>
      <c r="B280" t="s">
        <v>284</v>
      </c>
      <c r="C280" t="s">
        <v>37</v>
      </c>
      <c r="E280" t="s">
        <v>37</v>
      </c>
      <c r="G280" t="s">
        <v>37</v>
      </c>
      <c r="I280" t="s">
        <v>37</v>
      </c>
      <c r="K280" s="48" t="s">
        <v>37</v>
      </c>
      <c r="L280" s="50"/>
      <c r="M280" s="48" t="s">
        <v>37</v>
      </c>
      <c r="N280" s="50"/>
      <c r="O280" s="48" t="s">
        <v>37</v>
      </c>
      <c r="P280" s="50"/>
      <c r="Q280" s="48" t="s">
        <v>37</v>
      </c>
      <c r="R280" s="50"/>
      <c r="S280" s="48" t="s">
        <v>37</v>
      </c>
      <c r="U280" t="s">
        <v>37</v>
      </c>
      <c r="W280" t="s">
        <v>37</v>
      </c>
      <c r="Y280" t="s">
        <v>37</v>
      </c>
      <c r="AA280" t="s">
        <v>37</v>
      </c>
      <c r="AC280" t="s">
        <v>37</v>
      </c>
      <c r="AE280" t="s">
        <v>37</v>
      </c>
      <c r="AG280" t="s">
        <v>37</v>
      </c>
      <c r="AI280" t="s">
        <v>37</v>
      </c>
      <c r="AK280" t="s">
        <v>37</v>
      </c>
      <c r="AM280" t="s">
        <v>37</v>
      </c>
      <c r="AO280" t="s">
        <v>37</v>
      </c>
      <c r="AQ280" t="s">
        <v>37</v>
      </c>
      <c r="AS280" t="s">
        <v>37</v>
      </c>
      <c r="AU280" t="s">
        <v>37</v>
      </c>
      <c r="AW280" t="s">
        <v>37</v>
      </c>
      <c r="AY280" t="s">
        <v>37</v>
      </c>
      <c r="BA280" t="s">
        <v>37</v>
      </c>
      <c r="BC280" t="s">
        <v>37</v>
      </c>
      <c r="BE280" t="s">
        <v>37</v>
      </c>
      <c r="BG280" t="s">
        <v>37</v>
      </c>
      <c r="BI280" t="s">
        <v>37</v>
      </c>
      <c r="BK280" t="s">
        <v>37</v>
      </c>
      <c r="BM280" t="s">
        <v>37</v>
      </c>
      <c r="BO280" t="s">
        <v>37</v>
      </c>
      <c r="BQ280" t="s">
        <v>37</v>
      </c>
      <c r="BS280" t="s">
        <v>37</v>
      </c>
      <c r="BU280" t="s">
        <v>37</v>
      </c>
      <c r="BW280" t="s">
        <v>37</v>
      </c>
      <c r="BY280" t="s">
        <v>37</v>
      </c>
      <c r="CA280" t="s">
        <v>37</v>
      </c>
      <c r="CC280" t="s">
        <v>37</v>
      </c>
      <c r="CE280" t="s">
        <v>37</v>
      </c>
      <c r="CG280" t="s">
        <v>37</v>
      </c>
      <c r="CI280" t="s">
        <v>37</v>
      </c>
      <c r="CK280" t="s">
        <v>37</v>
      </c>
      <c r="CM280" t="s">
        <v>37</v>
      </c>
      <c r="CO280" t="s">
        <v>37</v>
      </c>
      <c r="CQ280" t="s">
        <v>37</v>
      </c>
      <c r="CS280" t="s">
        <v>37</v>
      </c>
      <c r="CU280" t="s">
        <v>37</v>
      </c>
      <c r="CW280" t="s">
        <v>37</v>
      </c>
      <c r="CY280" t="s">
        <v>37</v>
      </c>
      <c r="DA280" t="s">
        <v>37</v>
      </c>
      <c r="DC280" t="s">
        <v>37</v>
      </c>
      <c r="DE280" t="s">
        <v>37</v>
      </c>
      <c r="DG280" t="s">
        <v>37</v>
      </c>
      <c r="DI280" t="s">
        <v>37</v>
      </c>
      <c r="DK280" t="s">
        <v>37</v>
      </c>
      <c r="DM280" t="s">
        <v>37</v>
      </c>
      <c r="DO280" t="s">
        <v>37</v>
      </c>
      <c r="DQ280" t="s">
        <v>37</v>
      </c>
      <c r="DS280" t="s">
        <v>37</v>
      </c>
      <c r="DU280" t="s">
        <v>37</v>
      </c>
      <c r="DW280" t="s">
        <v>37</v>
      </c>
      <c r="DX280">
        <v>32615000</v>
      </c>
      <c r="DY280" t="s">
        <v>37</v>
      </c>
      <c r="EA280" t="s">
        <v>37</v>
      </c>
      <c r="EC280" t="s">
        <v>37</v>
      </c>
      <c r="EE280" t="s">
        <v>37</v>
      </c>
      <c r="EG280" t="s">
        <v>37</v>
      </c>
      <c r="EI280" t="s">
        <v>37</v>
      </c>
      <c r="EK280" t="s">
        <v>37</v>
      </c>
      <c r="EM280" t="s">
        <v>37</v>
      </c>
      <c r="EO280" t="s">
        <v>37</v>
      </c>
      <c r="EQ280" t="s">
        <v>37</v>
      </c>
      <c r="ER280">
        <v>9280000</v>
      </c>
      <c r="ES280" t="s">
        <v>37</v>
      </c>
      <c r="EU280" t="s">
        <v>37</v>
      </c>
      <c r="EW280" t="s">
        <v>37</v>
      </c>
      <c r="EY280" t="s">
        <v>37</v>
      </c>
      <c r="FA280" t="s">
        <v>37</v>
      </c>
      <c r="FC280" t="s">
        <v>37</v>
      </c>
      <c r="FE280" t="s">
        <v>37</v>
      </c>
      <c r="FG280" t="s">
        <v>37</v>
      </c>
      <c r="FI280" t="s">
        <v>37</v>
      </c>
      <c r="FK280" t="s">
        <v>37</v>
      </c>
      <c r="FM280" t="s">
        <v>37</v>
      </c>
      <c r="FO280" t="s">
        <v>37</v>
      </c>
      <c r="FQ280" t="s">
        <v>37</v>
      </c>
      <c r="FS280" t="s">
        <v>37</v>
      </c>
      <c r="FU280" t="s">
        <v>37</v>
      </c>
      <c r="FW280" t="s">
        <v>37</v>
      </c>
      <c r="FY280" t="s">
        <v>37</v>
      </c>
      <c r="GA280" t="s">
        <v>37</v>
      </c>
      <c r="GC280" t="s">
        <v>37</v>
      </c>
      <c r="GE280" t="s">
        <v>37</v>
      </c>
      <c r="GG280" t="s">
        <v>37</v>
      </c>
      <c r="GI280" t="s">
        <v>37</v>
      </c>
      <c r="GK280" t="s">
        <v>37</v>
      </c>
      <c r="GL280">
        <v>36580000</v>
      </c>
      <c r="GM280" t="s">
        <v>37</v>
      </c>
      <c r="GO280" t="s">
        <v>37</v>
      </c>
      <c r="GQ280" t="s">
        <v>37</v>
      </c>
      <c r="GS280" t="s">
        <v>37</v>
      </c>
      <c r="GU280" t="s">
        <v>37</v>
      </c>
      <c r="GW280" t="s">
        <v>37</v>
      </c>
      <c r="GY280" t="s">
        <v>37</v>
      </c>
      <c r="HA280" t="s">
        <v>37</v>
      </c>
      <c r="HC280" t="s">
        <v>37</v>
      </c>
      <c r="HE280" t="s">
        <v>37</v>
      </c>
      <c r="HF280">
        <v>78475000</v>
      </c>
      <c r="HG280" t="s">
        <v>37</v>
      </c>
      <c r="HI280" t="s">
        <v>37</v>
      </c>
      <c r="HJ280">
        <v>78475000</v>
      </c>
      <c r="HK280" t="s">
        <v>37</v>
      </c>
    </row>
    <row r="281" spans="1:219">
      <c r="A281">
        <v>5130</v>
      </c>
      <c r="B281" t="s">
        <v>285</v>
      </c>
      <c r="C281" t="s">
        <v>37</v>
      </c>
      <c r="E281" t="s">
        <v>37</v>
      </c>
      <c r="G281" t="s">
        <v>37</v>
      </c>
      <c r="I281" t="s">
        <v>37</v>
      </c>
      <c r="K281" s="48" t="s">
        <v>37</v>
      </c>
      <c r="L281" s="50"/>
      <c r="M281" s="48" t="s">
        <v>37</v>
      </c>
      <c r="N281" s="51">
        <v>24000000</v>
      </c>
      <c r="O281" s="48" t="s">
        <v>37</v>
      </c>
      <c r="P281" s="50"/>
      <c r="Q281" s="48" t="s">
        <v>37</v>
      </c>
      <c r="R281" s="50"/>
      <c r="S281" s="48" t="s">
        <v>37</v>
      </c>
      <c r="U281" t="s">
        <v>37</v>
      </c>
      <c r="W281" t="s">
        <v>37</v>
      </c>
      <c r="Y281" t="s">
        <v>37</v>
      </c>
      <c r="AA281" t="s">
        <v>37</v>
      </c>
      <c r="AC281" t="s">
        <v>37</v>
      </c>
      <c r="AE281" t="s">
        <v>37</v>
      </c>
      <c r="AG281" t="s">
        <v>37</v>
      </c>
      <c r="AI281" t="s">
        <v>37</v>
      </c>
      <c r="AK281" t="s">
        <v>37</v>
      </c>
      <c r="AL281">
        <v>39095000</v>
      </c>
      <c r="AM281" t="s">
        <v>37</v>
      </c>
      <c r="AO281" t="s">
        <v>37</v>
      </c>
      <c r="AP281">
        <v>61673250</v>
      </c>
      <c r="AQ281" t="s">
        <v>37</v>
      </c>
      <c r="AS281" t="s">
        <v>37</v>
      </c>
      <c r="AU281" t="s">
        <v>37</v>
      </c>
      <c r="AW281" t="s">
        <v>37</v>
      </c>
      <c r="AY281" t="s">
        <v>37</v>
      </c>
      <c r="AZ281">
        <v>546037</v>
      </c>
      <c r="BA281" t="s">
        <v>37</v>
      </c>
      <c r="BB281">
        <v>445000</v>
      </c>
      <c r="BC281" t="s">
        <v>37</v>
      </c>
      <c r="BE281" t="s">
        <v>37</v>
      </c>
      <c r="BG281" t="s">
        <v>37</v>
      </c>
      <c r="BI281" t="s">
        <v>37</v>
      </c>
      <c r="BJ281">
        <v>97865000</v>
      </c>
      <c r="BK281" t="s">
        <v>37</v>
      </c>
      <c r="BM281" t="s">
        <v>37</v>
      </c>
      <c r="BO281" t="s">
        <v>37</v>
      </c>
      <c r="BQ281" t="s">
        <v>37</v>
      </c>
      <c r="BS281" t="s">
        <v>37</v>
      </c>
      <c r="BU281" t="s">
        <v>37</v>
      </c>
      <c r="BW281" t="s">
        <v>37</v>
      </c>
      <c r="BY281" t="s">
        <v>37</v>
      </c>
      <c r="CA281" t="s">
        <v>37</v>
      </c>
      <c r="CC281" t="s">
        <v>37</v>
      </c>
      <c r="CE281" t="s">
        <v>37</v>
      </c>
      <c r="CG281" t="s">
        <v>37</v>
      </c>
      <c r="CI281" t="s">
        <v>37</v>
      </c>
      <c r="CK281" t="s">
        <v>37</v>
      </c>
      <c r="CM281" t="s">
        <v>37</v>
      </c>
      <c r="CO281" t="s">
        <v>37</v>
      </c>
      <c r="CQ281" t="s">
        <v>37</v>
      </c>
      <c r="CS281" t="s">
        <v>37</v>
      </c>
      <c r="CU281" t="s">
        <v>37</v>
      </c>
      <c r="CV281">
        <v>148880000</v>
      </c>
      <c r="CW281" t="s">
        <v>37</v>
      </c>
      <c r="CY281" t="s">
        <v>37</v>
      </c>
      <c r="DA281" t="s">
        <v>37</v>
      </c>
      <c r="DC281" t="s">
        <v>37</v>
      </c>
      <c r="DE281" t="s">
        <v>37</v>
      </c>
      <c r="DG281" t="s">
        <v>37</v>
      </c>
      <c r="DI281" t="s">
        <v>37</v>
      </c>
      <c r="DK281" t="s">
        <v>37</v>
      </c>
      <c r="DM281" t="s">
        <v>37</v>
      </c>
      <c r="DO281" t="s">
        <v>37</v>
      </c>
      <c r="DP281">
        <v>9445000</v>
      </c>
      <c r="DQ281" t="s">
        <v>37</v>
      </c>
      <c r="DS281" t="s">
        <v>37</v>
      </c>
      <c r="DU281" t="s">
        <v>37</v>
      </c>
      <c r="DW281" t="s">
        <v>37</v>
      </c>
      <c r="DY281" t="s">
        <v>37</v>
      </c>
      <c r="EA281" t="s">
        <v>37</v>
      </c>
      <c r="EC281" t="s">
        <v>37</v>
      </c>
      <c r="EE281" t="s">
        <v>37</v>
      </c>
      <c r="EG281" t="s">
        <v>37</v>
      </c>
      <c r="EI281" t="s">
        <v>37</v>
      </c>
      <c r="EK281" t="s">
        <v>37</v>
      </c>
      <c r="EM281" t="s">
        <v>37</v>
      </c>
      <c r="EO281" t="s">
        <v>37</v>
      </c>
      <c r="EQ281" t="s">
        <v>37</v>
      </c>
      <c r="ER281">
        <v>720000</v>
      </c>
      <c r="ES281" t="s">
        <v>37</v>
      </c>
      <c r="EU281" t="s">
        <v>37</v>
      </c>
      <c r="EW281" t="s">
        <v>37</v>
      </c>
      <c r="EY281" t="s">
        <v>37</v>
      </c>
      <c r="FA281" t="s">
        <v>37</v>
      </c>
      <c r="FB281">
        <v>7645000</v>
      </c>
      <c r="FC281" t="s">
        <v>37</v>
      </c>
      <c r="FD281">
        <v>15315000</v>
      </c>
      <c r="FE281" t="s">
        <v>37</v>
      </c>
      <c r="FG281" t="s">
        <v>37</v>
      </c>
      <c r="FI281" t="s">
        <v>37</v>
      </c>
      <c r="FK281" t="s">
        <v>37</v>
      </c>
      <c r="FM281" t="s">
        <v>37</v>
      </c>
      <c r="FO281" t="s">
        <v>37</v>
      </c>
      <c r="FQ281" t="s">
        <v>37</v>
      </c>
      <c r="FS281" t="s">
        <v>37</v>
      </c>
      <c r="FU281" t="s">
        <v>37</v>
      </c>
      <c r="FW281" t="s">
        <v>37</v>
      </c>
      <c r="FY281" t="s">
        <v>37</v>
      </c>
      <c r="GA281" t="s">
        <v>37</v>
      </c>
      <c r="GC281" t="s">
        <v>37</v>
      </c>
      <c r="GE281" t="s">
        <v>37</v>
      </c>
      <c r="GG281" t="s">
        <v>37</v>
      </c>
      <c r="GI281" t="s">
        <v>37</v>
      </c>
      <c r="GJ281">
        <v>130000000</v>
      </c>
      <c r="GK281" t="s">
        <v>37</v>
      </c>
      <c r="GM281" t="s">
        <v>37</v>
      </c>
      <c r="GO281" t="s">
        <v>37</v>
      </c>
      <c r="GQ281" t="s">
        <v>37</v>
      </c>
      <c r="GS281" t="s">
        <v>37</v>
      </c>
      <c r="GU281" t="s">
        <v>37</v>
      </c>
      <c r="GW281" t="s">
        <v>37</v>
      </c>
      <c r="GY281" t="s">
        <v>37</v>
      </c>
      <c r="GZ281">
        <v>19490000</v>
      </c>
      <c r="HA281" t="s">
        <v>37</v>
      </c>
      <c r="HC281" t="s">
        <v>37</v>
      </c>
      <c r="HE281" t="s">
        <v>37</v>
      </c>
      <c r="HF281">
        <v>555119287</v>
      </c>
      <c r="HG281" t="s">
        <v>37</v>
      </c>
      <c r="HI281" t="s">
        <v>37</v>
      </c>
      <c r="HJ281">
        <v>555119287</v>
      </c>
      <c r="HK281" t="s">
        <v>37</v>
      </c>
    </row>
    <row r="282" spans="1:219">
      <c r="A282">
        <v>5200</v>
      </c>
      <c r="B282" t="s">
        <v>286</v>
      </c>
      <c r="C282" t="s">
        <v>37</v>
      </c>
      <c r="E282" t="s">
        <v>37</v>
      </c>
      <c r="G282" t="s">
        <v>37</v>
      </c>
      <c r="I282" t="s">
        <v>37</v>
      </c>
      <c r="K282" s="48" t="s">
        <v>37</v>
      </c>
      <c r="L282" s="50"/>
      <c r="M282" s="48" t="s">
        <v>37</v>
      </c>
      <c r="N282" s="50"/>
      <c r="O282" s="48" t="s">
        <v>37</v>
      </c>
      <c r="P282" s="50"/>
      <c r="Q282" s="48" t="s">
        <v>37</v>
      </c>
      <c r="R282" s="50"/>
      <c r="S282" s="48" t="s">
        <v>37</v>
      </c>
      <c r="U282" t="s">
        <v>37</v>
      </c>
      <c r="W282" t="s">
        <v>37</v>
      </c>
      <c r="Y282" t="s">
        <v>37</v>
      </c>
      <c r="AA282" t="s">
        <v>37</v>
      </c>
      <c r="AC282" t="s">
        <v>37</v>
      </c>
      <c r="AE282" t="s">
        <v>37</v>
      </c>
      <c r="AG282" t="s">
        <v>37</v>
      </c>
      <c r="AI282" t="s">
        <v>37</v>
      </c>
      <c r="AK282" t="s">
        <v>37</v>
      </c>
      <c r="AM282" t="s">
        <v>37</v>
      </c>
      <c r="AO282" t="s">
        <v>37</v>
      </c>
      <c r="AQ282" t="s">
        <v>37</v>
      </c>
      <c r="AS282" t="s">
        <v>37</v>
      </c>
      <c r="AU282" t="s">
        <v>37</v>
      </c>
      <c r="AW282" t="s">
        <v>37</v>
      </c>
      <c r="AY282" t="s">
        <v>37</v>
      </c>
      <c r="BA282" t="s">
        <v>37</v>
      </c>
      <c r="BC282" t="s">
        <v>37</v>
      </c>
      <c r="BE282" t="s">
        <v>37</v>
      </c>
      <c r="BG282" t="s">
        <v>37</v>
      </c>
      <c r="BI282" t="s">
        <v>37</v>
      </c>
      <c r="BK282" t="s">
        <v>37</v>
      </c>
      <c r="BM282" t="s">
        <v>37</v>
      </c>
      <c r="BO282" t="s">
        <v>37</v>
      </c>
      <c r="BQ282" t="s">
        <v>37</v>
      </c>
      <c r="BS282" t="s">
        <v>37</v>
      </c>
      <c r="BU282" t="s">
        <v>37</v>
      </c>
      <c r="BW282" t="s">
        <v>37</v>
      </c>
      <c r="BY282" t="s">
        <v>37</v>
      </c>
      <c r="CA282" t="s">
        <v>37</v>
      </c>
      <c r="CC282" t="s">
        <v>37</v>
      </c>
      <c r="CE282" t="s">
        <v>37</v>
      </c>
      <c r="CG282" t="s">
        <v>37</v>
      </c>
      <c r="CI282" t="s">
        <v>37</v>
      </c>
      <c r="CK282" t="s">
        <v>37</v>
      </c>
      <c r="CM282" t="s">
        <v>37</v>
      </c>
      <c r="CO282" t="s">
        <v>37</v>
      </c>
      <c r="CQ282" t="s">
        <v>37</v>
      </c>
      <c r="CS282" t="s">
        <v>37</v>
      </c>
      <c r="CU282" t="s">
        <v>37</v>
      </c>
      <c r="CW282" t="s">
        <v>37</v>
      </c>
      <c r="CY282" t="s">
        <v>37</v>
      </c>
      <c r="DA282" t="s">
        <v>37</v>
      </c>
      <c r="DC282" t="s">
        <v>37</v>
      </c>
      <c r="DE282" t="s">
        <v>37</v>
      </c>
      <c r="DG282" t="s">
        <v>37</v>
      </c>
      <c r="DI282" t="s">
        <v>37</v>
      </c>
      <c r="DK282" t="s">
        <v>37</v>
      </c>
      <c r="DM282" t="s">
        <v>37</v>
      </c>
      <c r="DO282" t="s">
        <v>37</v>
      </c>
      <c r="DQ282" t="s">
        <v>37</v>
      </c>
      <c r="DS282" t="s">
        <v>37</v>
      </c>
      <c r="DU282" t="s">
        <v>37</v>
      </c>
      <c r="DW282" t="s">
        <v>37</v>
      </c>
      <c r="DY282" t="s">
        <v>37</v>
      </c>
      <c r="EA282" t="s">
        <v>37</v>
      </c>
      <c r="EC282" t="s">
        <v>37</v>
      </c>
      <c r="EE282" t="s">
        <v>37</v>
      </c>
      <c r="EG282" t="s">
        <v>37</v>
      </c>
      <c r="EI282" t="s">
        <v>37</v>
      </c>
      <c r="EK282" t="s">
        <v>37</v>
      </c>
      <c r="EM282" t="s">
        <v>37</v>
      </c>
      <c r="EO282" t="s">
        <v>37</v>
      </c>
      <c r="EQ282" t="s">
        <v>37</v>
      </c>
      <c r="ES282" t="s">
        <v>37</v>
      </c>
      <c r="EU282" t="s">
        <v>37</v>
      </c>
      <c r="EW282" t="s">
        <v>37</v>
      </c>
      <c r="EY282" t="s">
        <v>37</v>
      </c>
      <c r="FA282" t="s">
        <v>37</v>
      </c>
      <c r="FC282" t="s">
        <v>37</v>
      </c>
      <c r="FE282" t="s">
        <v>37</v>
      </c>
      <c r="FG282" t="s">
        <v>37</v>
      </c>
      <c r="FI282" t="s">
        <v>37</v>
      </c>
      <c r="FK282" t="s">
        <v>37</v>
      </c>
      <c r="FM282" t="s">
        <v>37</v>
      </c>
      <c r="FO282" t="s">
        <v>37</v>
      </c>
      <c r="FQ282" t="s">
        <v>37</v>
      </c>
      <c r="FS282" t="s">
        <v>37</v>
      </c>
      <c r="FU282" t="s">
        <v>37</v>
      </c>
      <c r="FW282" t="s">
        <v>37</v>
      </c>
      <c r="FY282" t="s">
        <v>37</v>
      </c>
      <c r="GA282" t="s">
        <v>37</v>
      </c>
      <c r="GC282" t="s">
        <v>37</v>
      </c>
      <c r="GE282" t="s">
        <v>37</v>
      </c>
      <c r="GG282" t="s">
        <v>37</v>
      </c>
      <c r="GI282" t="s">
        <v>37</v>
      </c>
      <c r="GK282" t="s">
        <v>37</v>
      </c>
      <c r="GM282" t="s">
        <v>37</v>
      </c>
      <c r="GO282" t="s">
        <v>37</v>
      </c>
      <c r="GQ282" t="s">
        <v>37</v>
      </c>
      <c r="GS282" t="s">
        <v>37</v>
      </c>
      <c r="GU282" t="s">
        <v>37</v>
      </c>
      <c r="GW282" t="s">
        <v>37</v>
      </c>
      <c r="GY282" t="s">
        <v>37</v>
      </c>
      <c r="HA282" t="s">
        <v>37</v>
      </c>
      <c r="HC282" t="s">
        <v>37</v>
      </c>
      <c r="HE282" t="s">
        <v>37</v>
      </c>
      <c r="HG282" t="s">
        <v>37</v>
      </c>
      <c r="HI282" t="s">
        <v>37</v>
      </c>
      <c r="HK282" t="s">
        <v>37</v>
      </c>
    </row>
    <row r="283" spans="1:219">
      <c r="A283">
        <v>5210</v>
      </c>
      <c r="B283" t="s">
        <v>287</v>
      </c>
      <c r="C283" t="s">
        <v>37</v>
      </c>
      <c r="D283">
        <v>52456</v>
      </c>
      <c r="E283" t="s">
        <v>37</v>
      </c>
      <c r="F283">
        <v>1078935</v>
      </c>
      <c r="G283" t="s">
        <v>37</v>
      </c>
      <c r="I283" t="s">
        <v>37</v>
      </c>
      <c r="J283">
        <v>38537</v>
      </c>
      <c r="K283" s="48" t="s">
        <v>37</v>
      </c>
      <c r="L283" s="51">
        <v>254665</v>
      </c>
      <c r="M283" s="48" t="s">
        <v>37</v>
      </c>
      <c r="N283" s="51">
        <v>2706184</v>
      </c>
      <c r="O283" s="48" t="s">
        <v>37</v>
      </c>
      <c r="P283" s="51">
        <v>81201</v>
      </c>
      <c r="Q283" s="48" t="s">
        <v>37</v>
      </c>
      <c r="R283" s="51">
        <v>82168</v>
      </c>
      <c r="S283" s="48" t="s">
        <v>37</v>
      </c>
      <c r="T283">
        <v>413261</v>
      </c>
      <c r="U283" t="s">
        <v>37</v>
      </c>
      <c r="V283">
        <v>31527</v>
      </c>
      <c r="W283" t="s">
        <v>37</v>
      </c>
      <c r="Y283" t="s">
        <v>37</v>
      </c>
      <c r="AA283" t="s">
        <v>37</v>
      </c>
      <c r="AB283">
        <v>294221</v>
      </c>
      <c r="AC283" t="s">
        <v>37</v>
      </c>
      <c r="AE283" t="s">
        <v>37</v>
      </c>
      <c r="AF283">
        <v>238104</v>
      </c>
      <c r="AG283" t="s">
        <v>37</v>
      </c>
      <c r="AI283" t="s">
        <v>37</v>
      </c>
      <c r="AK283" t="s">
        <v>37</v>
      </c>
      <c r="AL283">
        <v>396749</v>
      </c>
      <c r="AM283" t="s">
        <v>37</v>
      </c>
      <c r="AO283" t="s">
        <v>37</v>
      </c>
      <c r="AP283">
        <v>4172713</v>
      </c>
      <c r="AQ283" t="s">
        <v>37</v>
      </c>
      <c r="AR283">
        <v>430162</v>
      </c>
      <c r="AS283" t="s">
        <v>37</v>
      </c>
      <c r="AT283">
        <v>6510703</v>
      </c>
      <c r="AU283" t="s">
        <v>37</v>
      </c>
      <c r="AV283">
        <v>643608</v>
      </c>
      <c r="AW283" t="s">
        <v>37</v>
      </c>
      <c r="AX283">
        <v>10438</v>
      </c>
      <c r="AY283" t="s">
        <v>37</v>
      </c>
      <c r="AZ283">
        <v>170263</v>
      </c>
      <c r="BA283" t="s">
        <v>37</v>
      </c>
      <c r="BB283">
        <v>45000</v>
      </c>
      <c r="BC283" t="s">
        <v>37</v>
      </c>
      <c r="BD283">
        <v>316550</v>
      </c>
      <c r="BE283" t="s">
        <v>37</v>
      </c>
      <c r="BF283">
        <v>93658</v>
      </c>
      <c r="BG283" t="s">
        <v>37</v>
      </c>
      <c r="BI283" t="s">
        <v>37</v>
      </c>
      <c r="BK283" t="s">
        <v>37</v>
      </c>
      <c r="BL283">
        <v>1584240</v>
      </c>
      <c r="BM283" t="s">
        <v>37</v>
      </c>
      <c r="BO283" t="s">
        <v>37</v>
      </c>
      <c r="BP283">
        <v>31250</v>
      </c>
      <c r="BQ283" t="s">
        <v>37</v>
      </c>
      <c r="BR283">
        <v>461297</v>
      </c>
      <c r="BS283" t="s">
        <v>37</v>
      </c>
      <c r="BT283">
        <v>11505</v>
      </c>
      <c r="BU283" t="s">
        <v>37</v>
      </c>
      <c r="BV283">
        <v>-559</v>
      </c>
      <c r="BW283" t="s">
        <v>37</v>
      </c>
      <c r="BX283">
        <v>4531797</v>
      </c>
      <c r="BY283" t="s">
        <v>37</v>
      </c>
      <c r="BZ283">
        <v>195270</v>
      </c>
      <c r="CA283" t="s">
        <v>37</v>
      </c>
      <c r="CC283" t="s">
        <v>37</v>
      </c>
      <c r="CD283">
        <v>369383</v>
      </c>
      <c r="CE283" t="s">
        <v>37</v>
      </c>
      <c r="CF283">
        <v>1317737</v>
      </c>
      <c r="CG283" t="s">
        <v>37</v>
      </c>
      <c r="CH283">
        <v>3986015</v>
      </c>
      <c r="CI283" t="s">
        <v>37</v>
      </c>
      <c r="CK283" t="s">
        <v>37</v>
      </c>
      <c r="CL283">
        <v>768828</v>
      </c>
      <c r="CM283" t="s">
        <v>37</v>
      </c>
      <c r="CN283">
        <v>241270</v>
      </c>
      <c r="CO283" t="s">
        <v>37</v>
      </c>
      <c r="CP283">
        <v>224800</v>
      </c>
      <c r="CQ283" t="s">
        <v>37</v>
      </c>
      <c r="CR283">
        <v>1069780</v>
      </c>
      <c r="CS283" t="s">
        <v>37</v>
      </c>
      <c r="CT283">
        <v>1762092</v>
      </c>
      <c r="CU283" t="s">
        <v>37</v>
      </c>
      <c r="CW283" t="s">
        <v>37</v>
      </c>
      <c r="CX283">
        <v>5011</v>
      </c>
      <c r="CY283" t="s">
        <v>37</v>
      </c>
      <c r="CZ283">
        <v>41000</v>
      </c>
      <c r="DA283" t="s">
        <v>37</v>
      </c>
      <c r="DB283">
        <v>573110</v>
      </c>
      <c r="DC283" t="s">
        <v>37</v>
      </c>
      <c r="DD283">
        <v>629983</v>
      </c>
      <c r="DE283" t="s">
        <v>37</v>
      </c>
      <c r="DF283">
        <v>265474</v>
      </c>
      <c r="DG283" t="s">
        <v>37</v>
      </c>
      <c r="DH283">
        <v>1293223</v>
      </c>
      <c r="DI283" t="s">
        <v>37</v>
      </c>
      <c r="DJ283">
        <v>198319</v>
      </c>
      <c r="DK283" t="s">
        <v>37</v>
      </c>
      <c r="DL283">
        <v>338572</v>
      </c>
      <c r="DM283" t="s">
        <v>37</v>
      </c>
      <c r="DN283">
        <v>229490</v>
      </c>
      <c r="DO283" t="s">
        <v>37</v>
      </c>
      <c r="DQ283" t="s">
        <v>37</v>
      </c>
      <c r="DR283">
        <v>138483</v>
      </c>
      <c r="DS283" t="s">
        <v>37</v>
      </c>
      <c r="DT283">
        <v>191593</v>
      </c>
      <c r="DU283" t="s">
        <v>37</v>
      </c>
      <c r="DV283">
        <v>5379633</v>
      </c>
      <c r="DW283" t="s">
        <v>37</v>
      </c>
      <c r="DX283">
        <v>838440</v>
      </c>
      <c r="DY283" t="s">
        <v>37</v>
      </c>
      <c r="DZ283">
        <v>162469</v>
      </c>
      <c r="EA283" t="s">
        <v>37</v>
      </c>
      <c r="EB283">
        <v>1360267</v>
      </c>
      <c r="EC283" t="s">
        <v>37</v>
      </c>
      <c r="ED283">
        <v>4030889</v>
      </c>
      <c r="EE283" t="s">
        <v>37</v>
      </c>
      <c r="EF283">
        <v>1520742</v>
      </c>
      <c r="EG283" t="s">
        <v>37</v>
      </c>
      <c r="EH283">
        <v>120355</v>
      </c>
      <c r="EI283" t="s">
        <v>37</v>
      </c>
      <c r="EJ283">
        <v>871475</v>
      </c>
      <c r="EK283" t="s">
        <v>37</v>
      </c>
      <c r="EL283">
        <v>310767</v>
      </c>
      <c r="EM283" t="s">
        <v>37</v>
      </c>
      <c r="EN283">
        <v>199088</v>
      </c>
      <c r="EO283" t="s">
        <v>37</v>
      </c>
      <c r="EQ283" t="s">
        <v>37</v>
      </c>
      <c r="ER283">
        <v>296153</v>
      </c>
      <c r="ES283" t="s">
        <v>37</v>
      </c>
      <c r="EU283" t="s">
        <v>37</v>
      </c>
      <c r="EV283">
        <v>2109876</v>
      </c>
      <c r="EW283" t="s">
        <v>37</v>
      </c>
      <c r="EY283" t="s">
        <v>37</v>
      </c>
      <c r="EZ283">
        <v>422447</v>
      </c>
      <c r="FA283" t="s">
        <v>37</v>
      </c>
      <c r="FB283">
        <v>211312</v>
      </c>
      <c r="FC283" t="s">
        <v>37</v>
      </c>
      <c r="FD283">
        <v>5772061</v>
      </c>
      <c r="FE283" t="s">
        <v>37</v>
      </c>
      <c r="FG283" t="s">
        <v>37</v>
      </c>
      <c r="FI283" t="s">
        <v>37</v>
      </c>
      <c r="FJ283">
        <v>6528440</v>
      </c>
      <c r="FK283" t="s">
        <v>37</v>
      </c>
      <c r="FL283">
        <v>835154</v>
      </c>
      <c r="FM283" t="s">
        <v>37</v>
      </c>
      <c r="FN283">
        <v>1202551</v>
      </c>
      <c r="FO283" t="s">
        <v>37</v>
      </c>
      <c r="FP283">
        <v>3710780</v>
      </c>
      <c r="FQ283" t="s">
        <v>37</v>
      </c>
      <c r="FR283">
        <v>4777093</v>
      </c>
      <c r="FS283" t="s">
        <v>37</v>
      </c>
      <c r="FT283">
        <v>606142</v>
      </c>
      <c r="FU283" t="s">
        <v>37</v>
      </c>
      <c r="FV283">
        <v>1630040</v>
      </c>
      <c r="FW283" t="s">
        <v>37</v>
      </c>
      <c r="FX283">
        <v>8852434</v>
      </c>
      <c r="FY283" t="s">
        <v>37</v>
      </c>
      <c r="FZ283">
        <v>5221485</v>
      </c>
      <c r="GA283" t="s">
        <v>37</v>
      </c>
      <c r="GB283">
        <v>5666966</v>
      </c>
      <c r="GC283" t="s">
        <v>37</v>
      </c>
      <c r="GD283">
        <v>73473</v>
      </c>
      <c r="GE283" t="s">
        <v>37</v>
      </c>
      <c r="GF283">
        <v>144229</v>
      </c>
      <c r="GG283" t="s">
        <v>37</v>
      </c>
      <c r="GI283" t="s">
        <v>37</v>
      </c>
      <c r="GJ283">
        <v>1768155</v>
      </c>
      <c r="GK283" t="s">
        <v>37</v>
      </c>
      <c r="GL283">
        <v>784250</v>
      </c>
      <c r="GM283" t="s">
        <v>37</v>
      </c>
      <c r="GO283" t="s">
        <v>37</v>
      </c>
      <c r="GP283">
        <v>762664</v>
      </c>
      <c r="GQ283" t="s">
        <v>37</v>
      </c>
      <c r="GS283" t="s">
        <v>37</v>
      </c>
      <c r="GT283">
        <v>783985</v>
      </c>
      <c r="GU283" t="s">
        <v>37</v>
      </c>
      <c r="GV283">
        <v>930189</v>
      </c>
      <c r="GW283" t="s">
        <v>37</v>
      </c>
      <c r="GX283">
        <v>3738716</v>
      </c>
      <c r="GY283" t="s">
        <v>37</v>
      </c>
      <c r="GZ283">
        <v>76735554</v>
      </c>
      <c r="HA283" t="s">
        <v>37</v>
      </c>
      <c r="HC283" t="s">
        <v>37</v>
      </c>
      <c r="HE283" t="s">
        <v>37</v>
      </c>
      <c r="HF283">
        <v>186878340</v>
      </c>
      <c r="HG283" t="s">
        <v>37</v>
      </c>
      <c r="HI283" t="s">
        <v>37</v>
      </c>
      <c r="HJ283">
        <v>186878340</v>
      </c>
      <c r="HK283" t="s">
        <v>37</v>
      </c>
    </row>
    <row r="284" spans="1:219">
      <c r="A284">
        <v>5220</v>
      </c>
      <c r="B284" t="s">
        <v>288</v>
      </c>
      <c r="C284" t="s">
        <v>37</v>
      </c>
      <c r="D284">
        <v>62974</v>
      </c>
      <c r="E284" t="s">
        <v>37</v>
      </c>
      <c r="G284" t="s">
        <v>37</v>
      </c>
      <c r="I284" t="s">
        <v>37</v>
      </c>
      <c r="K284" s="48" t="s">
        <v>37</v>
      </c>
      <c r="L284" s="50"/>
      <c r="M284" s="48" t="s">
        <v>37</v>
      </c>
      <c r="N284" s="50"/>
      <c r="O284" s="48" t="s">
        <v>37</v>
      </c>
      <c r="P284" s="50"/>
      <c r="Q284" s="48" t="s">
        <v>37</v>
      </c>
      <c r="R284" s="50"/>
      <c r="S284" s="48" t="s">
        <v>37</v>
      </c>
      <c r="U284" t="s">
        <v>37</v>
      </c>
      <c r="W284" t="s">
        <v>37</v>
      </c>
      <c r="Y284" t="s">
        <v>37</v>
      </c>
      <c r="AA284" t="s">
        <v>37</v>
      </c>
      <c r="AB284">
        <v>23803</v>
      </c>
      <c r="AC284" t="s">
        <v>37</v>
      </c>
      <c r="AE284" t="s">
        <v>37</v>
      </c>
      <c r="AG284" t="s">
        <v>37</v>
      </c>
      <c r="AH284">
        <v>1641</v>
      </c>
      <c r="AI284" t="s">
        <v>37</v>
      </c>
      <c r="AK284" t="s">
        <v>37</v>
      </c>
      <c r="AL284">
        <v>831382</v>
      </c>
      <c r="AM284" t="s">
        <v>37</v>
      </c>
      <c r="AO284" t="s">
        <v>37</v>
      </c>
      <c r="AQ284" t="s">
        <v>37</v>
      </c>
      <c r="AS284" t="s">
        <v>37</v>
      </c>
      <c r="AU284" t="s">
        <v>37</v>
      </c>
      <c r="AV284">
        <v>17317</v>
      </c>
      <c r="AW284" t="s">
        <v>37</v>
      </c>
      <c r="AX284">
        <v>339792</v>
      </c>
      <c r="AY284" t="s">
        <v>37</v>
      </c>
      <c r="AZ284">
        <v>134559</v>
      </c>
      <c r="BA284" t="s">
        <v>37</v>
      </c>
      <c r="BC284" t="s">
        <v>37</v>
      </c>
      <c r="BD284">
        <v>258732</v>
      </c>
      <c r="BE284" t="s">
        <v>37</v>
      </c>
      <c r="BG284" t="s">
        <v>37</v>
      </c>
      <c r="BI284" t="s">
        <v>37</v>
      </c>
      <c r="BJ284">
        <v>90262</v>
      </c>
      <c r="BK284" t="s">
        <v>37</v>
      </c>
      <c r="BL284">
        <v>274364</v>
      </c>
      <c r="BM284" t="s">
        <v>37</v>
      </c>
      <c r="BO284" t="s">
        <v>37</v>
      </c>
      <c r="BQ284" t="s">
        <v>37</v>
      </c>
      <c r="BR284">
        <v>110021</v>
      </c>
      <c r="BS284" t="s">
        <v>37</v>
      </c>
      <c r="BU284" t="s">
        <v>37</v>
      </c>
      <c r="BW284" t="s">
        <v>37</v>
      </c>
      <c r="BX284">
        <v>31180</v>
      </c>
      <c r="BY284" t="s">
        <v>37</v>
      </c>
      <c r="CA284" t="s">
        <v>37</v>
      </c>
      <c r="CC284" t="s">
        <v>37</v>
      </c>
      <c r="CE284" t="s">
        <v>37</v>
      </c>
      <c r="CF284">
        <v>126326</v>
      </c>
      <c r="CG284" t="s">
        <v>37</v>
      </c>
      <c r="CH284">
        <v>19126</v>
      </c>
      <c r="CI284" t="s">
        <v>37</v>
      </c>
      <c r="CK284" t="s">
        <v>37</v>
      </c>
      <c r="CM284" t="s">
        <v>37</v>
      </c>
      <c r="CO284" t="s">
        <v>37</v>
      </c>
      <c r="CP284">
        <v>150634</v>
      </c>
      <c r="CQ284" t="s">
        <v>37</v>
      </c>
      <c r="CS284" t="s">
        <v>37</v>
      </c>
      <c r="CT284">
        <v>786366</v>
      </c>
      <c r="CU284" t="s">
        <v>37</v>
      </c>
      <c r="CW284" t="s">
        <v>37</v>
      </c>
      <c r="CY284" t="s">
        <v>37</v>
      </c>
      <c r="DA284" t="s">
        <v>37</v>
      </c>
      <c r="DC284" t="s">
        <v>37</v>
      </c>
      <c r="DE284" t="s">
        <v>37</v>
      </c>
      <c r="DG284" t="s">
        <v>37</v>
      </c>
      <c r="DH284">
        <v>224773</v>
      </c>
      <c r="DI284" t="s">
        <v>37</v>
      </c>
      <c r="DK284" t="s">
        <v>37</v>
      </c>
      <c r="DM284" t="s">
        <v>37</v>
      </c>
      <c r="DO284" t="s">
        <v>37</v>
      </c>
      <c r="DP284">
        <v>-118325</v>
      </c>
      <c r="DQ284" t="s">
        <v>37</v>
      </c>
      <c r="DS284" t="s">
        <v>37</v>
      </c>
      <c r="DU284" t="s">
        <v>37</v>
      </c>
      <c r="DW284" t="s">
        <v>37</v>
      </c>
      <c r="DX284">
        <v>85000</v>
      </c>
      <c r="DY284" t="s">
        <v>37</v>
      </c>
      <c r="EA284" t="s">
        <v>37</v>
      </c>
      <c r="EC284" t="s">
        <v>37</v>
      </c>
      <c r="EE284" t="s">
        <v>37</v>
      </c>
      <c r="EG284" t="s">
        <v>37</v>
      </c>
      <c r="EI284" t="s">
        <v>37</v>
      </c>
      <c r="EJ284">
        <v>19417</v>
      </c>
      <c r="EK284" t="s">
        <v>37</v>
      </c>
      <c r="EL284">
        <v>61530</v>
      </c>
      <c r="EM284" t="s">
        <v>37</v>
      </c>
      <c r="EN284">
        <v>6444</v>
      </c>
      <c r="EO284" t="s">
        <v>37</v>
      </c>
      <c r="EQ284" t="s">
        <v>37</v>
      </c>
      <c r="ER284">
        <v>73649</v>
      </c>
      <c r="ES284" t="s">
        <v>37</v>
      </c>
      <c r="EU284" t="s">
        <v>37</v>
      </c>
      <c r="EV284">
        <v>147494</v>
      </c>
      <c r="EW284" t="s">
        <v>37</v>
      </c>
      <c r="EY284" t="s">
        <v>37</v>
      </c>
      <c r="EZ284">
        <v>103085</v>
      </c>
      <c r="FA284" t="s">
        <v>37</v>
      </c>
      <c r="FB284">
        <v>2645</v>
      </c>
      <c r="FC284" t="s">
        <v>37</v>
      </c>
      <c r="FE284" t="s">
        <v>37</v>
      </c>
      <c r="FG284" t="s">
        <v>37</v>
      </c>
      <c r="FI284" t="s">
        <v>37</v>
      </c>
      <c r="FJ284">
        <v>274212</v>
      </c>
      <c r="FK284" t="s">
        <v>37</v>
      </c>
      <c r="FM284" t="s">
        <v>37</v>
      </c>
      <c r="FO284" t="s">
        <v>37</v>
      </c>
      <c r="FQ284" t="s">
        <v>37</v>
      </c>
      <c r="FS284" t="s">
        <v>37</v>
      </c>
      <c r="FU284" t="s">
        <v>37</v>
      </c>
      <c r="FW284" t="s">
        <v>37</v>
      </c>
      <c r="FX284">
        <v>242560</v>
      </c>
      <c r="FY284" t="s">
        <v>37</v>
      </c>
      <c r="FZ284">
        <v>394240</v>
      </c>
      <c r="GA284" t="s">
        <v>37</v>
      </c>
      <c r="GB284">
        <v>212218</v>
      </c>
      <c r="GC284" t="s">
        <v>37</v>
      </c>
      <c r="GE284" t="s">
        <v>37</v>
      </c>
      <c r="GG284" t="s">
        <v>37</v>
      </c>
      <c r="GI284" t="s">
        <v>37</v>
      </c>
      <c r="GJ284">
        <v>222977</v>
      </c>
      <c r="GK284" t="s">
        <v>37</v>
      </c>
      <c r="GL284">
        <v>1070190</v>
      </c>
      <c r="GM284" t="s">
        <v>37</v>
      </c>
      <c r="GO284" t="s">
        <v>37</v>
      </c>
      <c r="GQ284" t="s">
        <v>37</v>
      </c>
      <c r="GS284" t="s">
        <v>37</v>
      </c>
      <c r="GU284" t="s">
        <v>37</v>
      </c>
      <c r="GW284" t="s">
        <v>37</v>
      </c>
      <c r="GY284" t="s">
        <v>37</v>
      </c>
      <c r="HA284" t="s">
        <v>37</v>
      </c>
      <c r="HC284" t="s">
        <v>37</v>
      </c>
      <c r="HE284" t="s">
        <v>37</v>
      </c>
      <c r="HF284">
        <v>6280588</v>
      </c>
      <c r="HG284" t="s">
        <v>37</v>
      </c>
      <c r="HI284" t="s">
        <v>37</v>
      </c>
      <c r="HJ284">
        <v>6280588</v>
      </c>
      <c r="HK284" t="s">
        <v>37</v>
      </c>
    </row>
    <row r="285" spans="1:219">
      <c r="A285">
        <v>5230</v>
      </c>
      <c r="B285" t="s">
        <v>289</v>
      </c>
      <c r="C285" t="s">
        <v>37</v>
      </c>
      <c r="D285">
        <v>654377</v>
      </c>
      <c r="E285" t="s">
        <v>37</v>
      </c>
      <c r="F285">
        <v>3696039</v>
      </c>
      <c r="G285" t="s">
        <v>37</v>
      </c>
      <c r="H285">
        <v>287750</v>
      </c>
      <c r="I285" t="s">
        <v>37</v>
      </c>
      <c r="K285" s="48" t="s">
        <v>37</v>
      </c>
      <c r="L285" s="51">
        <v>1225271</v>
      </c>
      <c r="M285" s="48" t="s">
        <v>37</v>
      </c>
      <c r="N285" s="51">
        <v>161355</v>
      </c>
      <c r="O285" s="48" t="s">
        <v>37</v>
      </c>
      <c r="P285" s="51">
        <v>501399</v>
      </c>
      <c r="Q285" s="48" t="s">
        <v>37</v>
      </c>
      <c r="R285" s="51">
        <v>474362</v>
      </c>
      <c r="S285" s="48" t="s">
        <v>37</v>
      </c>
      <c r="T285">
        <v>2313349</v>
      </c>
      <c r="U285" t="s">
        <v>37</v>
      </c>
      <c r="W285" t="s">
        <v>37</v>
      </c>
      <c r="Y285" t="s">
        <v>37</v>
      </c>
      <c r="Z285">
        <v>282329</v>
      </c>
      <c r="AA285" t="s">
        <v>37</v>
      </c>
      <c r="AB285">
        <v>788484</v>
      </c>
      <c r="AC285" t="s">
        <v>37</v>
      </c>
      <c r="AD285">
        <v>139034</v>
      </c>
      <c r="AE285" t="s">
        <v>37</v>
      </c>
      <c r="AF285">
        <v>153392</v>
      </c>
      <c r="AG285" t="s">
        <v>37</v>
      </c>
      <c r="AH285">
        <v>594940</v>
      </c>
      <c r="AI285" t="s">
        <v>37</v>
      </c>
      <c r="AJ285">
        <v>30348</v>
      </c>
      <c r="AK285" t="s">
        <v>37</v>
      </c>
      <c r="AL285">
        <v>3212593</v>
      </c>
      <c r="AM285" t="s">
        <v>37</v>
      </c>
      <c r="AN285">
        <v>68782</v>
      </c>
      <c r="AO285" t="s">
        <v>37</v>
      </c>
      <c r="AP285">
        <v>4229168</v>
      </c>
      <c r="AQ285" t="s">
        <v>37</v>
      </c>
      <c r="AR285">
        <v>328160</v>
      </c>
      <c r="AS285" t="s">
        <v>37</v>
      </c>
      <c r="AT285">
        <v>6966489</v>
      </c>
      <c r="AU285" t="s">
        <v>37</v>
      </c>
      <c r="AV285">
        <v>2997222</v>
      </c>
      <c r="AW285" t="s">
        <v>37</v>
      </c>
      <c r="AX285">
        <v>1395247</v>
      </c>
      <c r="AY285" t="s">
        <v>37</v>
      </c>
      <c r="AZ285">
        <v>1310477</v>
      </c>
      <c r="BA285" t="s">
        <v>37</v>
      </c>
      <c r="BB285">
        <v>561051</v>
      </c>
      <c r="BC285" t="s">
        <v>37</v>
      </c>
      <c r="BD285">
        <v>422223</v>
      </c>
      <c r="BE285" t="s">
        <v>37</v>
      </c>
      <c r="BF285">
        <v>179434</v>
      </c>
      <c r="BG285" t="s">
        <v>37</v>
      </c>
      <c r="BI285" t="s">
        <v>37</v>
      </c>
      <c r="BJ285">
        <v>985944</v>
      </c>
      <c r="BK285" t="s">
        <v>37</v>
      </c>
      <c r="BL285">
        <v>1967754</v>
      </c>
      <c r="BM285" t="s">
        <v>37</v>
      </c>
      <c r="BO285" t="s">
        <v>37</v>
      </c>
      <c r="BP285">
        <v>232535</v>
      </c>
      <c r="BQ285" t="s">
        <v>37</v>
      </c>
      <c r="BR285">
        <v>557061</v>
      </c>
      <c r="BS285" t="s">
        <v>37</v>
      </c>
      <c r="BT285">
        <v>211838</v>
      </c>
      <c r="BU285" t="s">
        <v>37</v>
      </c>
      <c r="BV285">
        <v>-28111</v>
      </c>
      <c r="BW285" t="s">
        <v>37</v>
      </c>
      <c r="BX285">
        <v>3766192</v>
      </c>
      <c r="BY285" t="s">
        <v>37</v>
      </c>
      <c r="BZ285">
        <v>403424</v>
      </c>
      <c r="CA285" t="s">
        <v>37</v>
      </c>
      <c r="CC285" t="s">
        <v>37</v>
      </c>
      <c r="CD285">
        <v>715225</v>
      </c>
      <c r="CE285" t="s">
        <v>37</v>
      </c>
      <c r="CF285">
        <v>680503</v>
      </c>
      <c r="CG285" t="s">
        <v>37</v>
      </c>
      <c r="CH285">
        <v>2547434</v>
      </c>
      <c r="CI285" t="s">
        <v>37</v>
      </c>
      <c r="CJ285">
        <v>200624</v>
      </c>
      <c r="CK285" t="s">
        <v>37</v>
      </c>
      <c r="CL285">
        <v>536920</v>
      </c>
      <c r="CM285" t="s">
        <v>37</v>
      </c>
      <c r="CN285">
        <v>558864</v>
      </c>
      <c r="CO285" t="s">
        <v>37</v>
      </c>
      <c r="CP285">
        <v>253262</v>
      </c>
      <c r="CQ285" t="s">
        <v>37</v>
      </c>
      <c r="CR285">
        <v>1789612</v>
      </c>
      <c r="CS285" t="s">
        <v>37</v>
      </c>
      <c r="CT285">
        <v>10046666</v>
      </c>
      <c r="CU285" t="s">
        <v>37</v>
      </c>
      <c r="CV285">
        <v>1733746</v>
      </c>
      <c r="CW285" t="s">
        <v>37</v>
      </c>
      <c r="CX285">
        <v>299265</v>
      </c>
      <c r="CY285" t="s">
        <v>37</v>
      </c>
      <c r="CZ285">
        <v>358729</v>
      </c>
      <c r="DA285" t="s">
        <v>37</v>
      </c>
      <c r="DB285">
        <v>46658</v>
      </c>
      <c r="DC285" t="s">
        <v>37</v>
      </c>
      <c r="DD285">
        <v>486339</v>
      </c>
      <c r="DE285" t="s">
        <v>37</v>
      </c>
      <c r="DF285">
        <v>212419</v>
      </c>
      <c r="DG285" t="s">
        <v>37</v>
      </c>
      <c r="DH285">
        <v>5048041</v>
      </c>
      <c r="DI285" t="s">
        <v>37</v>
      </c>
      <c r="DJ285">
        <v>456472</v>
      </c>
      <c r="DK285" t="s">
        <v>37</v>
      </c>
      <c r="DL285">
        <v>2224263</v>
      </c>
      <c r="DM285" t="s">
        <v>37</v>
      </c>
      <c r="DN285">
        <v>3303706</v>
      </c>
      <c r="DO285" t="s">
        <v>37</v>
      </c>
      <c r="DP285">
        <v>832431</v>
      </c>
      <c r="DQ285" t="s">
        <v>37</v>
      </c>
      <c r="DR285">
        <v>524204</v>
      </c>
      <c r="DS285" t="s">
        <v>37</v>
      </c>
      <c r="DT285">
        <v>1540030</v>
      </c>
      <c r="DU285" t="s">
        <v>37</v>
      </c>
      <c r="DV285">
        <v>4004971</v>
      </c>
      <c r="DW285" t="s">
        <v>37</v>
      </c>
      <c r="DX285">
        <v>1582390</v>
      </c>
      <c r="DY285" t="s">
        <v>37</v>
      </c>
      <c r="EA285" t="s">
        <v>37</v>
      </c>
      <c r="EB285">
        <v>695558</v>
      </c>
      <c r="EC285" t="s">
        <v>37</v>
      </c>
      <c r="ED285">
        <v>2988644</v>
      </c>
      <c r="EE285" t="s">
        <v>37</v>
      </c>
      <c r="EF285">
        <v>226295</v>
      </c>
      <c r="EG285" t="s">
        <v>37</v>
      </c>
      <c r="EI285" t="s">
        <v>37</v>
      </c>
      <c r="EJ285">
        <v>797561</v>
      </c>
      <c r="EK285" t="s">
        <v>37</v>
      </c>
      <c r="EL285">
        <v>420454</v>
      </c>
      <c r="EM285" t="s">
        <v>37</v>
      </c>
      <c r="EN285">
        <v>145590</v>
      </c>
      <c r="EO285" t="s">
        <v>37</v>
      </c>
      <c r="EQ285" t="s">
        <v>37</v>
      </c>
      <c r="ER285">
        <v>741650</v>
      </c>
      <c r="ES285" t="s">
        <v>37</v>
      </c>
      <c r="ET285">
        <v>1010215</v>
      </c>
      <c r="EU285" t="s">
        <v>37</v>
      </c>
      <c r="EV285">
        <v>2176575</v>
      </c>
      <c r="EW285" t="s">
        <v>37</v>
      </c>
      <c r="EY285" t="s">
        <v>37</v>
      </c>
      <c r="EZ285">
        <v>717691</v>
      </c>
      <c r="FA285" t="s">
        <v>37</v>
      </c>
      <c r="FB285">
        <v>649963</v>
      </c>
      <c r="FC285" t="s">
        <v>37</v>
      </c>
      <c r="FD285">
        <v>1305515</v>
      </c>
      <c r="FE285" t="s">
        <v>37</v>
      </c>
      <c r="FF285">
        <v>16961</v>
      </c>
      <c r="FG285" t="s">
        <v>37</v>
      </c>
      <c r="FH285">
        <v>2555008</v>
      </c>
      <c r="FI285" t="s">
        <v>37</v>
      </c>
      <c r="FJ285">
        <v>4686968</v>
      </c>
      <c r="FK285" t="s">
        <v>37</v>
      </c>
      <c r="FL285">
        <v>2265267</v>
      </c>
      <c r="FM285" t="s">
        <v>37</v>
      </c>
      <c r="FN285">
        <v>550808</v>
      </c>
      <c r="FO285" t="s">
        <v>37</v>
      </c>
      <c r="FP285">
        <v>839340</v>
      </c>
      <c r="FQ285" t="s">
        <v>37</v>
      </c>
      <c r="FR285">
        <v>2019895</v>
      </c>
      <c r="FS285" t="s">
        <v>37</v>
      </c>
      <c r="FT285">
        <v>796340</v>
      </c>
      <c r="FU285" t="s">
        <v>37</v>
      </c>
      <c r="FV285">
        <v>550103</v>
      </c>
      <c r="FW285" t="s">
        <v>37</v>
      </c>
      <c r="FX285">
        <v>1528421</v>
      </c>
      <c r="FY285" t="s">
        <v>37</v>
      </c>
      <c r="FZ285">
        <v>2208302</v>
      </c>
      <c r="GA285" t="s">
        <v>37</v>
      </c>
      <c r="GC285" t="s">
        <v>37</v>
      </c>
      <c r="GE285" t="s">
        <v>37</v>
      </c>
      <c r="GF285">
        <v>57466</v>
      </c>
      <c r="GG285" t="s">
        <v>37</v>
      </c>
      <c r="GH285">
        <v>47511</v>
      </c>
      <c r="GI285" t="s">
        <v>37</v>
      </c>
      <c r="GJ285">
        <v>2377475</v>
      </c>
      <c r="GK285" t="s">
        <v>37</v>
      </c>
      <c r="GL285">
        <v>1488604</v>
      </c>
      <c r="GM285" t="s">
        <v>37</v>
      </c>
      <c r="GO285" t="s">
        <v>37</v>
      </c>
      <c r="GP285">
        <v>844154</v>
      </c>
      <c r="GQ285" t="s">
        <v>37</v>
      </c>
      <c r="GR285">
        <v>816106</v>
      </c>
      <c r="GS285" t="s">
        <v>37</v>
      </c>
      <c r="GT285">
        <v>868660</v>
      </c>
      <c r="GU285" t="s">
        <v>37</v>
      </c>
      <c r="GW285" t="s">
        <v>37</v>
      </c>
      <c r="GX285">
        <v>3390531</v>
      </c>
      <c r="GY285" t="s">
        <v>37</v>
      </c>
      <c r="GZ285">
        <v>1416823</v>
      </c>
      <c r="HA285" t="s">
        <v>37</v>
      </c>
      <c r="HC285" t="s">
        <v>37</v>
      </c>
      <c r="HE285" t="s">
        <v>37</v>
      </c>
      <c r="HF285">
        <v>122253140</v>
      </c>
      <c r="HG285" t="s">
        <v>37</v>
      </c>
      <c r="HI285" t="s">
        <v>37</v>
      </c>
      <c r="HJ285">
        <v>122253140</v>
      </c>
      <c r="HK285" t="s">
        <v>37</v>
      </c>
    </row>
    <row r="286" spans="1:219">
      <c r="A286">
        <v>5240</v>
      </c>
      <c r="B286" t="s">
        <v>290</v>
      </c>
      <c r="C286" t="s">
        <v>37</v>
      </c>
      <c r="E286" t="s">
        <v>37</v>
      </c>
      <c r="G286" t="s">
        <v>37</v>
      </c>
      <c r="I286" t="s">
        <v>37</v>
      </c>
      <c r="K286" s="48" t="s">
        <v>37</v>
      </c>
      <c r="L286" s="50"/>
      <c r="M286" s="48" t="s">
        <v>37</v>
      </c>
      <c r="N286" s="50"/>
      <c r="O286" s="48" t="s">
        <v>37</v>
      </c>
      <c r="P286" s="50"/>
      <c r="Q286" s="48" t="s">
        <v>37</v>
      </c>
      <c r="R286" s="50"/>
      <c r="S286" s="48" t="s">
        <v>37</v>
      </c>
      <c r="U286" t="s">
        <v>37</v>
      </c>
      <c r="W286" t="s">
        <v>37</v>
      </c>
      <c r="Y286" t="s">
        <v>37</v>
      </c>
      <c r="AA286" t="s">
        <v>37</v>
      </c>
      <c r="AC286" t="s">
        <v>37</v>
      </c>
      <c r="AE286" t="s">
        <v>37</v>
      </c>
      <c r="AG286" t="s">
        <v>37</v>
      </c>
      <c r="AI286" t="s">
        <v>37</v>
      </c>
      <c r="AK286" t="s">
        <v>37</v>
      </c>
      <c r="AL286">
        <v>830873</v>
      </c>
      <c r="AM286" t="s">
        <v>37</v>
      </c>
      <c r="AO286" t="s">
        <v>37</v>
      </c>
      <c r="AQ286" t="s">
        <v>37</v>
      </c>
      <c r="AS286" t="s">
        <v>37</v>
      </c>
      <c r="AT286">
        <v>24626514</v>
      </c>
      <c r="AU286" t="s">
        <v>37</v>
      </c>
      <c r="AW286" t="s">
        <v>37</v>
      </c>
      <c r="AY286" t="s">
        <v>37</v>
      </c>
      <c r="AZ286">
        <v>169422</v>
      </c>
      <c r="BA286" t="s">
        <v>37</v>
      </c>
      <c r="BC286" t="s">
        <v>37</v>
      </c>
      <c r="BD286">
        <v>207878</v>
      </c>
      <c r="BE286" t="s">
        <v>37</v>
      </c>
      <c r="BF286">
        <v>84900</v>
      </c>
      <c r="BG286" t="s">
        <v>37</v>
      </c>
      <c r="BI286" t="s">
        <v>37</v>
      </c>
      <c r="BJ286">
        <v>3145674</v>
      </c>
      <c r="BK286" t="s">
        <v>37</v>
      </c>
      <c r="BM286" t="s">
        <v>37</v>
      </c>
      <c r="BO286" t="s">
        <v>37</v>
      </c>
      <c r="BQ286" t="s">
        <v>37</v>
      </c>
      <c r="BS286" t="s">
        <v>37</v>
      </c>
      <c r="BU286" t="s">
        <v>37</v>
      </c>
      <c r="BW286" t="s">
        <v>37</v>
      </c>
      <c r="BX286">
        <v>4204415</v>
      </c>
      <c r="BY286" t="s">
        <v>37</v>
      </c>
      <c r="CA286" t="s">
        <v>37</v>
      </c>
      <c r="CC286" t="s">
        <v>37</v>
      </c>
      <c r="CE286" t="s">
        <v>37</v>
      </c>
      <c r="CF286">
        <v>782741</v>
      </c>
      <c r="CG286" t="s">
        <v>37</v>
      </c>
      <c r="CI286" t="s">
        <v>37</v>
      </c>
      <c r="CK286" t="s">
        <v>37</v>
      </c>
      <c r="CM286" t="s">
        <v>37</v>
      </c>
      <c r="CO286" t="s">
        <v>37</v>
      </c>
      <c r="CQ286" t="s">
        <v>37</v>
      </c>
      <c r="CS286" t="s">
        <v>37</v>
      </c>
      <c r="CT286">
        <v>73626110</v>
      </c>
      <c r="CU286" t="s">
        <v>37</v>
      </c>
      <c r="CW286" t="s">
        <v>37</v>
      </c>
      <c r="CY286" t="s">
        <v>37</v>
      </c>
      <c r="DA286" t="s">
        <v>37</v>
      </c>
      <c r="DC286" t="s">
        <v>37</v>
      </c>
      <c r="DD286">
        <v>658682</v>
      </c>
      <c r="DE286" t="s">
        <v>37</v>
      </c>
      <c r="DF286">
        <v>191000</v>
      </c>
      <c r="DG286" t="s">
        <v>37</v>
      </c>
      <c r="DI286" t="s">
        <v>37</v>
      </c>
      <c r="DK286" t="s">
        <v>37</v>
      </c>
      <c r="DL286">
        <v>4634635</v>
      </c>
      <c r="DM286" t="s">
        <v>37</v>
      </c>
      <c r="DO286" t="s">
        <v>37</v>
      </c>
      <c r="DP286">
        <v>74778</v>
      </c>
      <c r="DQ286" t="s">
        <v>37</v>
      </c>
      <c r="DS286" t="s">
        <v>37</v>
      </c>
      <c r="DT286">
        <v>529192</v>
      </c>
      <c r="DU286" t="s">
        <v>37</v>
      </c>
      <c r="DV286">
        <v>1862828</v>
      </c>
      <c r="DW286" t="s">
        <v>37</v>
      </c>
      <c r="DY286" t="s">
        <v>37</v>
      </c>
      <c r="EA286" t="s">
        <v>37</v>
      </c>
      <c r="EC286" t="s">
        <v>37</v>
      </c>
      <c r="EE286" t="s">
        <v>37</v>
      </c>
      <c r="EF286">
        <v>211245</v>
      </c>
      <c r="EG286" t="s">
        <v>37</v>
      </c>
      <c r="EI286" t="s">
        <v>37</v>
      </c>
      <c r="EK286" t="s">
        <v>37</v>
      </c>
      <c r="EM286" t="s">
        <v>37</v>
      </c>
      <c r="EO286" t="s">
        <v>37</v>
      </c>
      <c r="EQ286" t="s">
        <v>37</v>
      </c>
      <c r="ER286">
        <v>162000</v>
      </c>
      <c r="ES286" t="s">
        <v>37</v>
      </c>
      <c r="ET286">
        <v>4545000</v>
      </c>
      <c r="EU286" t="s">
        <v>37</v>
      </c>
      <c r="EW286" t="s">
        <v>37</v>
      </c>
      <c r="EY286" t="s">
        <v>37</v>
      </c>
      <c r="EZ286">
        <v>276745</v>
      </c>
      <c r="FA286" t="s">
        <v>37</v>
      </c>
      <c r="FC286" t="s">
        <v>37</v>
      </c>
      <c r="FE286" t="s">
        <v>37</v>
      </c>
      <c r="FG286" t="s">
        <v>37</v>
      </c>
      <c r="FH286">
        <v>900000</v>
      </c>
      <c r="FI286" t="s">
        <v>37</v>
      </c>
      <c r="FJ286">
        <v>2239605</v>
      </c>
      <c r="FK286" t="s">
        <v>37</v>
      </c>
      <c r="FM286" t="s">
        <v>37</v>
      </c>
      <c r="FO286" t="s">
        <v>37</v>
      </c>
      <c r="FP286">
        <v>16312</v>
      </c>
      <c r="FQ286" t="s">
        <v>37</v>
      </c>
      <c r="FS286" t="s">
        <v>37</v>
      </c>
      <c r="FT286">
        <v>435371</v>
      </c>
      <c r="FU286" t="s">
        <v>37</v>
      </c>
      <c r="FW286" t="s">
        <v>37</v>
      </c>
      <c r="FY286" t="s">
        <v>37</v>
      </c>
      <c r="GA286" t="s">
        <v>37</v>
      </c>
      <c r="GC286" t="s">
        <v>37</v>
      </c>
      <c r="GE286" t="s">
        <v>37</v>
      </c>
      <c r="GG286" t="s">
        <v>37</v>
      </c>
      <c r="GI286" t="s">
        <v>37</v>
      </c>
      <c r="GK286" t="s">
        <v>37</v>
      </c>
      <c r="GM286" t="s">
        <v>37</v>
      </c>
      <c r="GO286" t="s">
        <v>37</v>
      </c>
      <c r="GP286">
        <v>37000</v>
      </c>
      <c r="GQ286" t="s">
        <v>37</v>
      </c>
      <c r="GR286">
        <v>369034</v>
      </c>
      <c r="GS286" t="s">
        <v>37</v>
      </c>
      <c r="GT286">
        <v>1350000</v>
      </c>
      <c r="GU286" t="s">
        <v>37</v>
      </c>
      <c r="GW286" t="s">
        <v>37</v>
      </c>
      <c r="GY286" t="s">
        <v>37</v>
      </c>
      <c r="HA286" t="s">
        <v>37</v>
      </c>
      <c r="HC286" t="s">
        <v>37</v>
      </c>
      <c r="HE286" t="s">
        <v>37</v>
      </c>
      <c r="HF286">
        <v>126171954</v>
      </c>
      <c r="HG286" t="s">
        <v>37</v>
      </c>
      <c r="HI286" t="s">
        <v>37</v>
      </c>
      <c r="HJ286">
        <v>126171954</v>
      </c>
      <c r="HK286" t="s">
        <v>37</v>
      </c>
    </row>
    <row r="287" spans="1:219">
      <c r="A287">
        <v>5250</v>
      </c>
      <c r="B287" t="s">
        <v>291</v>
      </c>
      <c r="C287" t="s">
        <v>37</v>
      </c>
      <c r="E287" t="s">
        <v>37</v>
      </c>
      <c r="G287" t="s">
        <v>37</v>
      </c>
      <c r="I287" t="s">
        <v>37</v>
      </c>
      <c r="K287" s="48" t="s">
        <v>37</v>
      </c>
      <c r="L287" s="50"/>
      <c r="M287" s="48" t="s">
        <v>37</v>
      </c>
      <c r="N287" s="50"/>
      <c r="O287" s="48" t="s">
        <v>37</v>
      </c>
      <c r="P287" s="50"/>
      <c r="Q287" s="48" t="s">
        <v>37</v>
      </c>
      <c r="R287" s="50"/>
      <c r="S287" s="48" t="s">
        <v>37</v>
      </c>
      <c r="U287" t="s">
        <v>37</v>
      </c>
      <c r="W287" t="s">
        <v>37</v>
      </c>
      <c r="Y287" t="s">
        <v>37</v>
      </c>
      <c r="AA287" t="s">
        <v>37</v>
      </c>
      <c r="AC287" t="s">
        <v>37</v>
      </c>
      <c r="AD287">
        <v>11890</v>
      </c>
      <c r="AE287" t="s">
        <v>37</v>
      </c>
      <c r="AG287" t="s">
        <v>37</v>
      </c>
      <c r="AH287">
        <v>38759</v>
      </c>
      <c r="AI287" t="s">
        <v>37</v>
      </c>
      <c r="AK287" t="s">
        <v>37</v>
      </c>
      <c r="AL287">
        <v>733732</v>
      </c>
      <c r="AM287" t="s">
        <v>37</v>
      </c>
      <c r="AO287" t="s">
        <v>37</v>
      </c>
      <c r="AP287">
        <v>31268199</v>
      </c>
      <c r="AQ287" t="s">
        <v>37</v>
      </c>
      <c r="AR287">
        <v>2939822</v>
      </c>
      <c r="AS287" t="s">
        <v>37</v>
      </c>
      <c r="AT287">
        <v>19176784</v>
      </c>
      <c r="AU287" t="s">
        <v>37</v>
      </c>
      <c r="AV287">
        <v>2788314</v>
      </c>
      <c r="AW287" t="s">
        <v>37</v>
      </c>
      <c r="AX287">
        <v>34203</v>
      </c>
      <c r="AY287" t="s">
        <v>37</v>
      </c>
      <c r="AZ287">
        <v>8897149</v>
      </c>
      <c r="BA287" t="s">
        <v>37</v>
      </c>
      <c r="BB287">
        <v>431005</v>
      </c>
      <c r="BC287" t="s">
        <v>37</v>
      </c>
      <c r="BE287" t="s">
        <v>37</v>
      </c>
      <c r="BG287" t="s">
        <v>37</v>
      </c>
      <c r="BI287" t="s">
        <v>37</v>
      </c>
      <c r="BJ287">
        <v>9837088</v>
      </c>
      <c r="BK287" t="s">
        <v>37</v>
      </c>
      <c r="BM287" t="s">
        <v>37</v>
      </c>
      <c r="BO287" t="s">
        <v>37</v>
      </c>
      <c r="BQ287" t="s">
        <v>37</v>
      </c>
      <c r="BS287" t="s">
        <v>37</v>
      </c>
      <c r="BT287">
        <v>126045</v>
      </c>
      <c r="BU287" t="s">
        <v>37</v>
      </c>
      <c r="BW287" t="s">
        <v>37</v>
      </c>
      <c r="BX287">
        <v>48398185</v>
      </c>
      <c r="BY287" t="s">
        <v>37</v>
      </c>
      <c r="CA287" t="s">
        <v>37</v>
      </c>
      <c r="CC287" t="s">
        <v>37</v>
      </c>
      <c r="CE287" t="s">
        <v>37</v>
      </c>
      <c r="CG287" t="s">
        <v>37</v>
      </c>
      <c r="CI287" t="s">
        <v>37</v>
      </c>
      <c r="CK287" t="s">
        <v>37</v>
      </c>
      <c r="CM287" t="s">
        <v>37</v>
      </c>
      <c r="CO287" t="s">
        <v>37</v>
      </c>
      <c r="CP287">
        <v>165000</v>
      </c>
      <c r="CQ287" t="s">
        <v>37</v>
      </c>
      <c r="CR287">
        <v>1361147</v>
      </c>
      <c r="CS287" t="s">
        <v>37</v>
      </c>
      <c r="CT287">
        <v>8485000</v>
      </c>
      <c r="CU287" t="s">
        <v>37</v>
      </c>
      <c r="CV287">
        <v>10828275</v>
      </c>
      <c r="CW287" t="s">
        <v>37</v>
      </c>
      <c r="CY287" t="s">
        <v>37</v>
      </c>
      <c r="DA287" t="s">
        <v>37</v>
      </c>
      <c r="DC287" t="s">
        <v>37</v>
      </c>
      <c r="DE287" t="s">
        <v>37</v>
      </c>
      <c r="DG287" t="s">
        <v>37</v>
      </c>
      <c r="DI287" t="s">
        <v>37</v>
      </c>
      <c r="DJ287">
        <v>1106245</v>
      </c>
      <c r="DK287" t="s">
        <v>37</v>
      </c>
      <c r="DM287" t="s">
        <v>37</v>
      </c>
      <c r="DO287" t="s">
        <v>37</v>
      </c>
      <c r="DP287">
        <v>9674582</v>
      </c>
      <c r="DQ287" t="s">
        <v>37</v>
      </c>
      <c r="DR287">
        <v>2713076</v>
      </c>
      <c r="DS287" t="s">
        <v>37</v>
      </c>
      <c r="DT287">
        <v>20604</v>
      </c>
      <c r="DU287" t="s">
        <v>37</v>
      </c>
      <c r="DW287" t="s">
        <v>37</v>
      </c>
      <c r="DY287" t="s">
        <v>37</v>
      </c>
      <c r="EA287" t="s">
        <v>37</v>
      </c>
      <c r="EC287" t="s">
        <v>37</v>
      </c>
      <c r="ED287">
        <v>1297178</v>
      </c>
      <c r="EE287" t="s">
        <v>37</v>
      </c>
      <c r="EG287" t="s">
        <v>37</v>
      </c>
      <c r="EI287" t="s">
        <v>37</v>
      </c>
      <c r="EJ287">
        <v>38956</v>
      </c>
      <c r="EK287" t="s">
        <v>37</v>
      </c>
      <c r="EL287">
        <v>25072</v>
      </c>
      <c r="EM287" t="s">
        <v>37</v>
      </c>
      <c r="EO287" t="s">
        <v>37</v>
      </c>
      <c r="EQ287" t="s">
        <v>37</v>
      </c>
      <c r="ES287" t="s">
        <v>37</v>
      </c>
      <c r="EU287" t="s">
        <v>37</v>
      </c>
      <c r="EV287">
        <v>1045651</v>
      </c>
      <c r="EW287" t="s">
        <v>37</v>
      </c>
      <c r="EY287" t="s">
        <v>37</v>
      </c>
      <c r="FA287" t="s">
        <v>37</v>
      </c>
      <c r="FC287" t="s">
        <v>37</v>
      </c>
      <c r="FD287">
        <v>152878</v>
      </c>
      <c r="FE287" t="s">
        <v>37</v>
      </c>
      <c r="FG287" t="s">
        <v>37</v>
      </c>
      <c r="FH287">
        <v>32810808</v>
      </c>
      <c r="FI287" t="s">
        <v>37</v>
      </c>
      <c r="FK287" t="s">
        <v>37</v>
      </c>
      <c r="FL287">
        <v>88446</v>
      </c>
      <c r="FM287" t="s">
        <v>37</v>
      </c>
      <c r="FO287" t="s">
        <v>37</v>
      </c>
      <c r="FP287">
        <v>66469</v>
      </c>
      <c r="FQ287" t="s">
        <v>37</v>
      </c>
      <c r="FR287">
        <v>8233</v>
      </c>
      <c r="FS287" t="s">
        <v>37</v>
      </c>
      <c r="FT287">
        <v>2834268</v>
      </c>
      <c r="FU287" t="s">
        <v>37</v>
      </c>
      <c r="FV287">
        <v>100000</v>
      </c>
      <c r="FW287" t="s">
        <v>37</v>
      </c>
      <c r="FX287">
        <v>1636454</v>
      </c>
      <c r="FY287" t="s">
        <v>37</v>
      </c>
      <c r="GA287" t="s">
        <v>37</v>
      </c>
      <c r="GC287" t="s">
        <v>37</v>
      </c>
      <c r="GE287" t="s">
        <v>37</v>
      </c>
      <c r="GG287" t="s">
        <v>37</v>
      </c>
      <c r="GI287" t="s">
        <v>37</v>
      </c>
      <c r="GJ287">
        <v>6218788</v>
      </c>
      <c r="GK287" t="s">
        <v>37</v>
      </c>
      <c r="GL287">
        <v>4098751</v>
      </c>
      <c r="GM287" t="s">
        <v>37</v>
      </c>
      <c r="GO287" t="s">
        <v>37</v>
      </c>
      <c r="GP287">
        <v>3915596</v>
      </c>
      <c r="GQ287" t="s">
        <v>37</v>
      </c>
      <c r="GR287">
        <v>3375587</v>
      </c>
      <c r="GS287" t="s">
        <v>37</v>
      </c>
      <c r="GT287">
        <v>263985</v>
      </c>
      <c r="GU287" t="s">
        <v>37</v>
      </c>
      <c r="GW287" t="s">
        <v>37</v>
      </c>
      <c r="GY287" t="s">
        <v>37</v>
      </c>
      <c r="GZ287">
        <v>10283280</v>
      </c>
      <c r="HA287" t="s">
        <v>37</v>
      </c>
      <c r="HC287" t="s">
        <v>37</v>
      </c>
      <c r="HE287" t="s">
        <v>37</v>
      </c>
      <c r="HF287">
        <v>227295504</v>
      </c>
      <c r="HG287" t="s">
        <v>37</v>
      </c>
      <c r="HI287" t="s">
        <v>37</v>
      </c>
      <c r="HJ287">
        <v>227295504</v>
      </c>
      <c r="HK287" t="s">
        <v>37</v>
      </c>
    </row>
    <row r="288" spans="1:219">
      <c r="A288">
        <v>5260</v>
      </c>
      <c r="B288" t="s">
        <v>292</v>
      </c>
      <c r="C288" t="s">
        <v>37</v>
      </c>
      <c r="E288" t="s">
        <v>37</v>
      </c>
      <c r="G288" t="s">
        <v>37</v>
      </c>
      <c r="I288" t="s">
        <v>37</v>
      </c>
      <c r="K288" s="48" t="s">
        <v>37</v>
      </c>
      <c r="L288" s="50"/>
      <c r="M288" s="48" t="s">
        <v>37</v>
      </c>
      <c r="N288" s="50"/>
      <c r="O288" s="48" t="s">
        <v>37</v>
      </c>
      <c r="P288" s="50"/>
      <c r="Q288" s="48" t="s">
        <v>37</v>
      </c>
      <c r="R288" s="51">
        <v>40000</v>
      </c>
      <c r="S288" s="48" t="s">
        <v>37</v>
      </c>
      <c r="U288" t="s">
        <v>37</v>
      </c>
      <c r="W288" t="s">
        <v>37</v>
      </c>
      <c r="Y288" t="s">
        <v>37</v>
      </c>
      <c r="Z288">
        <v>23515</v>
      </c>
      <c r="AA288" t="s">
        <v>37</v>
      </c>
      <c r="AC288" t="s">
        <v>37</v>
      </c>
      <c r="AE288" t="s">
        <v>37</v>
      </c>
      <c r="AG288" t="s">
        <v>37</v>
      </c>
      <c r="AI288" t="s">
        <v>37</v>
      </c>
      <c r="AK288" t="s">
        <v>37</v>
      </c>
      <c r="AM288" t="s">
        <v>37</v>
      </c>
      <c r="AO288" t="s">
        <v>37</v>
      </c>
      <c r="AQ288" t="s">
        <v>37</v>
      </c>
      <c r="AS288" t="s">
        <v>37</v>
      </c>
      <c r="AU288" t="s">
        <v>37</v>
      </c>
      <c r="AW288" t="s">
        <v>37</v>
      </c>
      <c r="AY288" t="s">
        <v>37</v>
      </c>
      <c r="BA288" t="s">
        <v>37</v>
      </c>
      <c r="BC288" t="s">
        <v>37</v>
      </c>
      <c r="BE288" t="s">
        <v>37</v>
      </c>
      <c r="BF288">
        <v>6214</v>
      </c>
      <c r="BG288" t="s">
        <v>37</v>
      </c>
      <c r="BI288" t="s">
        <v>37</v>
      </c>
      <c r="BK288" t="s">
        <v>37</v>
      </c>
      <c r="BM288" t="s">
        <v>37</v>
      </c>
      <c r="BO288" t="s">
        <v>37</v>
      </c>
      <c r="BQ288" t="s">
        <v>37</v>
      </c>
      <c r="BS288" t="s">
        <v>37</v>
      </c>
      <c r="BU288" t="s">
        <v>37</v>
      </c>
      <c r="BW288" t="s">
        <v>37</v>
      </c>
      <c r="BX288">
        <v>380843</v>
      </c>
      <c r="BY288" t="s">
        <v>37</v>
      </c>
      <c r="CA288" t="s">
        <v>37</v>
      </c>
      <c r="CC288" t="s">
        <v>37</v>
      </c>
      <c r="CE288" t="s">
        <v>37</v>
      </c>
      <c r="CG288" t="s">
        <v>37</v>
      </c>
      <c r="CI288" t="s">
        <v>37</v>
      </c>
      <c r="CK288" t="s">
        <v>37</v>
      </c>
      <c r="CM288" t="s">
        <v>37</v>
      </c>
      <c r="CO288" t="s">
        <v>37</v>
      </c>
      <c r="CQ288" t="s">
        <v>37</v>
      </c>
      <c r="CS288" t="s">
        <v>37</v>
      </c>
      <c r="CT288">
        <v>1232000</v>
      </c>
      <c r="CU288" t="s">
        <v>37</v>
      </c>
      <c r="CW288" t="s">
        <v>37</v>
      </c>
      <c r="CY288" t="s">
        <v>37</v>
      </c>
      <c r="DA288" t="s">
        <v>37</v>
      </c>
      <c r="DC288" t="s">
        <v>37</v>
      </c>
      <c r="DE288" t="s">
        <v>37</v>
      </c>
      <c r="DG288" t="s">
        <v>37</v>
      </c>
      <c r="DI288" t="s">
        <v>37</v>
      </c>
      <c r="DK288" t="s">
        <v>37</v>
      </c>
      <c r="DM288" t="s">
        <v>37</v>
      </c>
      <c r="DO288" t="s">
        <v>37</v>
      </c>
      <c r="DQ288" t="s">
        <v>37</v>
      </c>
      <c r="DS288" t="s">
        <v>37</v>
      </c>
      <c r="DU288" t="s">
        <v>37</v>
      </c>
      <c r="DW288" t="s">
        <v>37</v>
      </c>
      <c r="DY288" t="s">
        <v>37</v>
      </c>
      <c r="EA288" t="s">
        <v>37</v>
      </c>
      <c r="EC288" t="s">
        <v>37</v>
      </c>
      <c r="EE288" t="s">
        <v>37</v>
      </c>
      <c r="EG288" t="s">
        <v>37</v>
      </c>
      <c r="EI288" t="s">
        <v>37</v>
      </c>
      <c r="EK288" t="s">
        <v>37</v>
      </c>
      <c r="EL288">
        <v>118</v>
      </c>
      <c r="EM288" t="s">
        <v>37</v>
      </c>
      <c r="EO288" t="s">
        <v>37</v>
      </c>
      <c r="EQ288" t="s">
        <v>37</v>
      </c>
      <c r="ES288" t="s">
        <v>37</v>
      </c>
      <c r="ET288">
        <v>162098</v>
      </c>
      <c r="EU288" t="s">
        <v>37</v>
      </c>
      <c r="EW288" t="s">
        <v>37</v>
      </c>
      <c r="EY288" t="s">
        <v>37</v>
      </c>
      <c r="FA288" t="s">
        <v>37</v>
      </c>
      <c r="FC288" t="s">
        <v>37</v>
      </c>
      <c r="FE288" t="s">
        <v>37</v>
      </c>
      <c r="FG288" t="s">
        <v>37</v>
      </c>
      <c r="FI288" t="s">
        <v>37</v>
      </c>
      <c r="FK288" t="s">
        <v>37</v>
      </c>
      <c r="FM288" t="s">
        <v>37</v>
      </c>
      <c r="FO288" t="s">
        <v>37</v>
      </c>
      <c r="FQ288" t="s">
        <v>37</v>
      </c>
      <c r="FS288" t="s">
        <v>37</v>
      </c>
      <c r="FU288" t="s">
        <v>37</v>
      </c>
      <c r="FW288" t="s">
        <v>37</v>
      </c>
      <c r="FY288" t="s">
        <v>37</v>
      </c>
      <c r="GA288" t="s">
        <v>37</v>
      </c>
      <c r="GC288" t="s">
        <v>37</v>
      </c>
      <c r="GE288" t="s">
        <v>37</v>
      </c>
      <c r="GG288" t="s">
        <v>37</v>
      </c>
      <c r="GI288" t="s">
        <v>37</v>
      </c>
      <c r="GK288" t="s">
        <v>37</v>
      </c>
      <c r="GM288" t="s">
        <v>37</v>
      </c>
      <c r="GO288" t="s">
        <v>37</v>
      </c>
      <c r="GQ288" t="s">
        <v>37</v>
      </c>
      <c r="GS288" t="s">
        <v>37</v>
      </c>
      <c r="GU288" t="s">
        <v>37</v>
      </c>
      <c r="GW288" t="s">
        <v>37</v>
      </c>
      <c r="GY288" t="s">
        <v>37</v>
      </c>
      <c r="HA288" t="s">
        <v>37</v>
      </c>
      <c r="HC288" t="s">
        <v>37</v>
      </c>
      <c r="HE288" t="s">
        <v>37</v>
      </c>
      <c r="HF288">
        <v>1844788</v>
      </c>
      <c r="HG288" t="s">
        <v>37</v>
      </c>
      <c r="HI288" t="s">
        <v>37</v>
      </c>
      <c r="HJ288">
        <v>1844788</v>
      </c>
      <c r="HK288" t="s">
        <v>37</v>
      </c>
    </row>
    <row r="289" spans="1:219">
      <c r="A289">
        <v>5270</v>
      </c>
      <c r="B289" t="s">
        <v>293</v>
      </c>
      <c r="C289" t="s">
        <v>37</v>
      </c>
      <c r="E289" t="s">
        <v>37</v>
      </c>
      <c r="G289" t="s">
        <v>37</v>
      </c>
      <c r="I289" t="s">
        <v>37</v>
      </c>
      <c r="K289" s="48" t="s">
        <v>37</v>
      </c>
      <c r="L289" s="50"/>
      <c r="M289" s="48" t="s">
        <v>37</v>
      </c>
      <c r="N289" s="50"/>
      <c r="O289" s="48" t="s">
        <v>37</v>
      </c>
      <c r="P289" s="50"/>
      <c r="Q289" s="48" t="s">
        <v>37</v>
      </c>
      <c r="R289" s="50"/>
      <c r="S289" s="48" t="s">
        <v>37</v>
      </c>
      <c r="U289" t="s">
        <v>37</v>
      </c>
      <c r="V289">
        <v>6915</v>
      </c>
      <c r="W289" t="s">
        <v>37</v>
      </c>
      <c r="Y289" t="s">
        <v>37</v>
      </c>
      <c r="AA289" t="s">
        <v>37</v>
      </c>
      <c r="AC289" t="s">
        <v>37</v>
      </c>
      <c r="AE289" t="s">
        <v>37</v>
      </c>
      <c r="AG289" t="s">
        <v>37</v>
      </c>
      <c r="AH289">
        <v>2812</v>
      </c>
      <c r="AI289" t="s">
        <v>37</v>
      </c>
      <c r="AK289" t="s">
        <v>37</v>
      </c>
      <c r="AM289" t="s">
        <v>37</v>
      </c>
      <c r="AO289" t="s">
        <v>37</v>
      </c>
      <c r="AQ289" t="s">
        <v>37</v>
      </c>
      <c r="AS289" t="s">
        <v>37</v>
      </c>
      <c r="AU289" t="s">
        <v>37</v>
      </c>
      <c r="AW289" t="s">
        <v>37</v>
      </c>
      <c r="AX289">
        <v>48717</v>
      </c>
      <c r="AY289" t="s">
        <v>37</v>
      </c>
      <c r="BA289" t="s">
        <v>37</v>
      </c>
      <c r="BC289" t="s">
        <v>37</v>
      </c>
      <c r="BE289" t="s">
        <v>37</v>
      </c>
      <c r="BG289" t="s">
        <v>37</v>
      </c>
      <c r="BI289" t="s">
        <v>37</v>
      </c>
      <c r="BK289" t="s">
        <v>37</v>
      </c>
      <c r="BM289" t="s">
        <v>37</v>
      </c>
      <c r="BO289" t="s">
        <v>37</v>
      </c>
      <c r="BP289">
        <v>324</v>
      </c>
      <c r="BQ289" t="s">
        <v>37</v>
      </c>
      <c r="BR289">
        <v>2404</v>
      </c>
      <c r="BS289" t="s">
        <v>37</v>
      </c>
      <c r="BU289" t="s">
        <v>37</v>
      </c>
      <c r="BW289" t="s">
        <v>37</v>
      </c>
      <c r="BX289">
        <v>54258</v>
      </c>
      <c r="BY289" t="s">
        <v>37</v>
      </c>
      <c r="CA289" t="s">
        <v>37</v>
      </c>
      <c r="CC289" t="s">
        <v>37</v>
      </c>
      <c r="CE289" t="s">
        <v>37</v>
      </c>
      <c r="CG289" t="s">
        <v>37</v>
      </c>
      <c r="CI289" t="s">
        <v>37</v>
      </c>
      <c r="CK289" t="s">
        <v>37</v>
      </c>
      <c r="CM289" t="s">
        <v>37</v>
      </c>
      <c r="CN289">
        <v>2280</v>
      </c>
      <c r="CO289" t="s">
        <v>37</v>
      </c>
      <c r="CQ289" t="s">
        <v>37</v>
      </c>
      <c r="CS289" t="s">
        <v>37</v>
      </c>
      <c r="CU289" t="s">
        <v>37</v>
      </c>
      <c r="CW289" t="s">
        <v>37</v>
      </c>
      <c r="CY289" t="s">
        <v>37</v>
      </c>
      <c r="DA289" t="s">
        <v>37</v>
      </c>
      <c r="DC289" t="s">
        <v>37</v>
      </c>
      <c r="DD289">
        <v>7080</v>
      </c>
      <c r="DE289" t="s">
        <v>37</v>
      </c>
      <c r="DG289" t="s">
        <v>37</v>
      </c>
      <c r="DH289">
        <v>4723</v>
      </c>
      <c r="DI289" t="s">
        <v>37</v>
      </c>
      <c r="DK289" t="s">
        <v>37</v>
      </c>
      <c r="DL289">
        <v>25</v>
      </c>
      <c r="DM289" t="s">
        <v>37</v>
      </c>
      <c r="DO289" t="s">
        <v>37</v>
      </c>
      <c r="DQ289" t="s">
        <v>37</v>
      </c>
      <c r="DS289" t="s">
        <v>37</v>
      </c>
      <c r="DT289">
        <v>4346</v>
      </c>
      <c r="DU289" t="s">
        <v>37</v>
      </c>
      <c r="DW289" t="s">
        <v>37</v>
      </c>
      <c r="DY289" t="s">
        <v>37</v>
      </c>
      <c r="EA289" t="s">
        <v>37</v>
      </c>
      <c r="EB289">
        <v>134484</v>
      </c>
      <c r="EC289" t="s">
        <v>37</v>
      </c>
      <c r="EE289" t="s">
        <v>37</v>
      </c>
      <c r="EF289">
        <v>15439</v>
      </c>
      <c r="EG289" t="s">
        <v>37</v>
      </c>
      <c r="EI289" t="s">
        <v>37</v>
      </c>
      <c r="EJ289">
        <v>4392</v>
      </c>
      <c r="EK289" t="s">
        <v>37</v>
      </c>
      <c r="EL289">
        <v>32121</v>
      </c>
      <c r="EM289" t="s">
        <v>37</v>
      </c>
      <c r="EO289" t="s">
        <v>37</v>
      </c>
      <c r="EQ289" t="s">
        <v>37</v>
      </c>
      <c r="ER289">
        <v>53429</v>
      </c>
      <c r="ES289" t="s">
        <v>37</v>
      </c>
      <c r="EU289" t="s">
        <v>37</v>
      </c>
      <c r="EW289" t="s">
        <v>37</v>
      </c>
      <c r="EY289" t="s">
        <v>37</v>
      </c>
      <c r="FA289" t="s">
        <v>37</v>
      </c>
      <c r="FC289" t="s">
        <v>37</v>
      </c>
      <c r="FE289" t="s">
        <v>37</v>
      </c>
      <c r="FG289" t="s">
        <v>37</v>
      </c>
      <c r="FI289" t="s">
        <v>37</v>
      </c>
      <c r="FK289" t="s">
        <v>37</v>
      </c>
      <c r="FM289" t="s">
        <v>37</v>
      </c>
      <c r="FO289" t="s">
        <v>37</v>
      </c>
      <c r="FP289">
        <v>395</v>
      </c>
      <c r="FQ289" t="s">
        <v>37</v>
      </c>
      <c r="FR289">
        <v>132719</v>
      </c>
      <c r="FS289" t="s">
        <v>37</v>
      </c>
      <c r="FU289" t="s">
        <v>37</v>
      </c>
      <c r="FV289">
        <v>9567</v>
      </c>
      <c r="FW289" t="s">
        <v>37</v>
      </c>
      <c r="FX289">
        <v>18481</v>
      </c>
      <c r="FY289" t="s">
        <v>37</v>
      </c>
      <c r="GA289" t="s">
        <v>37</v>
      </c>
      <c r="GC289" t="s">
        <v>37</v>
      </c>
      <c r="GE289" t="s">
        <v>37</v>
      </c>
      <c r="GG289" t="s">
        <v>37</v>
      </c>
      <c r="GI289" t="s">
        <v>37</v>
      </c>
      <c r="GJ289">
        <v>7986</v>
      </c>
      <c r="GK289" t="s">
        <v>37</v>
      </c>
      <c r="GL289">
        <v>37441</v>
      </c>
      <c r="GM289" t="s">
        <v>37</v>
      </c>
      <c r="GO289" t="s">
        <v>37</v>
      </c>
      <c r="GQ289" t="s">
        <v>37</v>
      </c>
      <c r="GR289">
        <v>33196</v>
      </c>
      <c r="GS289" t="s">
        <v>37</v>
      </c>
      <c r="GU289" t="s">
        <v>37</v>
      </c>
      <c r="GW289" t="s">
        <v>37</v>
      </c>
      <c r="GY289" t="s">
        <v>37</v>
      </c>
      <c r="HA289" t="s">
        <v>37</v>
      </c>
      <c r="HC289" t="s">
        <v>37</v>
      </c>
      <c r="HE289" t="s">
        <v>37</v>
      </c>
      <c r="HF289">
        <v>613534</v>
      </c>
      <c r="HG289" t="s">
        <v>37</v>
      </c>
      <c r="HI289" t="s">
        <v>37</v>
      </c>
      <c r="HJ289">
        <v>613534</v>
      </c>
      <c r="HK289" t="s">
        <v>37</v>
      </c>
    </row>
    <row r="290" spans="1:219">
      <c r="A290">
        <v>5280</v>
      </c>
      <c r="B290" t="s">
        <v>294</v>
      </c>
      <c r="C290" t="s">
        <v>37</v>
      </c>
      <c r="D290">
        <v>37627</v>
      </c>
      <c r="E290" t="s">
        <v>37</v>
      </c>
      <c r="F290">
        <v>643615</v>
      </c>
      <c r="G290" t="s">
        <v>37</v>
      </c>
      <c r="H290">
        <v>36655</v>
      </c>
      <c r="I290" t="s">
        <v>37</v>
      </c>
      <c r="K290" s="48" t="s">
        <v>37</v>
      </c>
      <c r="L290" s="51">
        <v>156568</v>
      </c>
      <c r="M290" s="48" t="s">
        <v>37</v>
      </c>
      <c r="N290" s="51">
        <v>78845</v>
      </c>
      <c r="O290" s="48" t="s">
        <v>37</v>
      </c>
      <c r="P290" s="51">
        <v>63814</v>
      </c>
      <c r="Q290" s="48" t="s">
        <v>37</v>
      </c>
      <c r="R290" s="51">
        <v>6270</v>
      </c>
      <c r="S290" s="48" t="s">
        <v>37</v>
      </c>
      <c r="T290">
        <v>220647</v>
      </c>
      <c r="U290" t="s">
        <v>37</v>
      </c>
      <c r="W290" t="s">
        <v>37</v>
      </c>
      <c r="Y290" t="s">
        <v>37</v>
      </c>
      <c r="Z290">
        <v>47840</v>
      </c>
      <c r="AA290" t="s">
        <v>37</v>
      </c>
      <c r="AB290">
        <v>33736</v>
      </c>
      <c r="AC290" t="s">
        <v>37</v>
      </c>
      <c r="AD290">
        <v>45021</v>
      </c>
      <c r="AE290" t="s">
        <v>37</v>
      </c>
      <c r="AG290" t="s">
        <v>37</v>
      </c>
      <c r="AH290">
        <v>53428</v>
      </c>
      <c r="AI290" t="s">
        <v>37</v>
      </c>
      <c r="AK290" t="s">
        <v>37</v>
      </c>
      <c r="AL290">
        <v>379882</v>
      </c>
      <c r="AM290" t="s">
        <v>37</v>
      </c>
      <c r="AO290" t="s">
        <v>37</v>
      </c>
      <c r="AP290">
        <v>1097955</v>
      </c>
      <c r="AQ290" t="s">
        <v>37</v>
      </c>
      <c r="AR290">
        <v>65034</v>
      </c>
      <c r="AS290" t="s">
        <v>37</v>
      </c>
      <c r="AT290">
        <v>2111040</v>
      </c>
      <c r="AU290" t="s">
        <v>37</v>
      </c>
      <c r="AV290">
        <v>186023</v>
      </c>
      <c r="AW290" t="s">
        <v>37</v>
      </c>
      <c r="AX290">
        <v>344799</v>
      </c>
      <c r="AY290" t="s">
        <v>37</v>
      </c>
      <c r="AZ290">
        <v>205200</v>
      </c>
      <c r="BA290" t="s">
        <v>37</v>
      </c>
      <c r="BB290">
        <v>950</v>
      </c>
      <c r="BC290" t="s">
        <v>37</v>
      </c>
      <c r="BD290">
        <v>215534</v>
      </c>
      <c r="BE290" t="s">
        <v>37</v>
      </c>
      <c r="BF290">
        <v>35050</v>
      </c>
      <c r="BG290" t="s">
        <v>37</v>
      </c>
      <c r="BI290" t="s">
        <v>37</v>
      </c>
      <c r="BJ290">
        <v>322221</v>
      </c>
      <c r="BK290" t="s">
        <v>37</v>
      </c>
      <c r="BL290">
        <v>92662</v>
      </c>
      <c r="BM290" t="s">
        <v>37</v>
      </c>
      <c r="BO290" t="s">
        <v>37</v>
      </c>
      <c r="BP290">
        <v>52460</v>
      </c>
      <c r="BQ290" t="s">
        <v>37</v>
      </c>
      <c r="BR290">
        <v>189666</v>
      </c>
      <c r="BS290" t="s">
        <v>37</v>
      </c>
      <c r="BT290">
        <v>40911</v>
      </c>
      <c r="BU290" t="s">
        <v>37</v>
      </c>
      <c r="BW290" t="s">
        <v>37</v>
      </c>
      <c r="BX290">
        <v>688</v>
      </c>
      <c r="BY290" t="s">
        <v>37</v>
      </c>
      <c r="BZ290">
        <v>73997</v>
      </c>
      <c r="CA290" t="s">
        <v>37</v>
      </c>
      <c r="CC290" t="s">
        <v>37</v>
      </c>
      <c r="CE290" t="s">
        <v>37</v>
      </c>
      <c r="CF290">
        <v>128059</v>
      </c>
      <c r="CG290" t="s">
        <v>37</v>
      </c>
      <c r="CH290">
        <v>526264</v>
      </c>
      <c r="CI290" t="s">
        <v>37</v>
      </c>
      <c r="CK290" t="s">
        <v>37</v>
      </c>
      <c r="CL290">
        <v>202894</v>
      </c>
      <c r="CM290" t="s">
        <v>37</v>
      </c>
      <c r="CN290">
        <v>50151</v>
      </c>
      <c r="CO290" t="s">
        <v>37</v>
      </c>
      <c r="CP290">
        <v>36422</v>
      </c>
      <c r="CQ290" t="s">
        <v>37</v>
      </c>
      <c r="CR290">
        <v>548150</v>
      </c>
      <c r="CS290" t="s">
        <v>37</v>
      </c>
      <c r="CT290">
        <v>1011046</v>
      </c>
      <c r="CU290" t="s">
        <v>37</v>
      </c>
      <c r="CV290">
        <v>269270</v>
      </c>
      <c r="CW290" t="s">
        <v>37</v>
      </c>
      <c r="CY290" t="s">
        <v>37</v>
      </c>
      <c r="DA290" t="s">
        <v>37</v>
      </c>
      <c r="DC290" t="s">
        <v>37</v>
      </c>
      <c r="DD290">
        <v>59675</v>
      </c>
      <c r="DE290" t="s">
        <v>37</v>
      </c>
      <c r="DF290">
        <v>113259</v>
      </c>
      <c r="DG290" t="s">
        <v>37</v>
      </c>
      <c r="DH290">
        <v>1603226</v>
      </c>
      <c r="DI290" t="s">
        <v>37</v>
      </c>
      <c r="DJ290">
        <v>126127</v>
      </c>
      <c r="DK290" t="s">
        <v>37</v>
      </c>
      <c r="DL290">
        <v>383724</v>
      </c>
      <c r="DM290" t="s">
        <v>37</v>
      </c>
      <c r="DN290">
        <v>472586</v>
      </c>
      <c r="DO290" t="s">
        <v>37</v>
      </c>
      <c r="DP290">
        <v>242545</v>
      </c>
      <c r="DQ290" t="s">
        <v>37</v>
      </c>
      <c r="DR290">
        <v>76091</v>
      </c>
      <c r="DS290" t="s">
        <v>37</v>
      </c>
      <c r="DT290">
        <v>108332</v>
      </c>
      <c r="DU290" t="s">
        <v>37</v>
      </c>
      <c r="DV290">
        <v>668815</v>
      </c>
      <c r="DW290" t="s">
        <v>37</v>
      </c>
      <c r="DX290">
        <v>248711</v>
      </c>
      <c r="DY290" t="s">
        <v>37</v>
      </c>
      <c r="DZ290">
        <v>71532</v>
      </c>
      <c r="EA290" t="s">
        <v>37</v>
      </c>
      <c r="EB290">
        <v>134713</v>
      </c>
      <c r="EC290" t="s">
        <v>37</v>
      </c>
      <c r="ED290">
        <v>630104</v>
      </c>
      <c r="EE290" t="s">
        <v>37</v>
      </c>
      <c r="EF290">
        <v>20728</v>
      </c>
      <c r="EG290" t="s">
        <v>37</v>
      </c>
      <c r="EI290" t="s">
        <v>37</v>
      </c>
      <c r="EJ290">
        <v>157815</v>
      </c>
      <c r="EK290" t="s">
        <v>37</v>
      </c>
      <c r="EL290">
        <v>84527</v>
      </c>
      <c r="EM290" t="s">
        <v>37</v>
      </c>
      <c r="EO290" t="s">
        <v>37</v>
      </c>
      <c r="EQ290" t="s">
        <v>37</v>
      </c>
      <c r="ER290">
        <v>198820</v>
      </c>
      <c r="ES290" t="s">
        <v>37</v>
      </c>
      <c r="ET290">
        <v>135588</v>
      </c>
      <c r="EU290" t="s">
        <v>37</v>
      </c>
      <c r="EV290">
        <v>171631</v>
      </c>
      <c r="EW290" t="s">
        <v>37</v>
      </c>
      <c r="EY290" t="s">
        <v>37</v>
      </c>
      <c r="EZ290">
        <v>204067</v>
      </c>
      <c r="FA290" t="s">
        <v>37</v>
      </c>
      <c r="FB290">
        <v>56200</v>
      </c>
      <c r="FC290" t="s">
        <v>37</v>
      </c>
      <c r="FD290">
        <v>566200</v>
      </c>
      <c r="FE290" t="s">
        <v>37</v>
      </c>
      <c r="FG290" t="s">
        <v>37</v>
      </c>
      <c r="FH290">
        <v>209572</v>
      </c>
      <c r="FI290" t="s">
        <v>37</v>
      </c>
      <c r="FJ290">
        <v>1506070</v>
      </c>
      <c r="FK290" t="s">
        <v>37</v>
      </c>
      <c r="FL290">
        <v>875023</v>
      </c>
      <c r="FM290" t="s">
        <v>37</v>
      </c>
      <c r="FN290">
        <v>37725</v>
      </c>
      <c r="FO290" t="s">
        <v>37</v>
      </c>
      <c r="FQ290" t="s">
        <v>37</v>
      </c>
      <c r="FR290">
        <v>350141</v>
      </c>
      <c r="FS290" t="s">
        <v>37</v>
      </c>
      <c r="FT290">
        <v>33752</v>
      </c>
      <c r="FU290" t="s">
        <v>37</v>
      </c>
      <c r="FV290">
        <v>53570</v>
      </c>
      <c r="FW290" t="s">
        <v>37</v>
      </c>
      <c r="FX290">
        <v>15230</v>
      </c>
      <c r="FY290" t="s">
        <v>37</v>
      </c>
      <c r="FZ290">
        <v>155913</v>
      </c>
      <c r="GA290" t="s">
        <v>37</v>
      </c>
      <c r="GB290">
        <v>156261</v>
      </c>
      <c r="GC290" t="s">
        <v>37</v>
      </c>
      <c r="GE290" t="s">
        <v>37</v>
      </c>
      <c r="GG290" t="s">
        <v>37</v>
      </c>
      <c r="GI290" t="s">
        <v>37</v>
      </c>
      <c r="GJ290">
        <v>355937</v>
      </c>
      <c r="GK290" t="s">
        <v>37</v>
      </c>
      <c r="GL290">
        <v>255496</v>
      </c>
      <c r="GM290" t="s">
        <v>37</v>
      </c>
      <c r="GO290" t="s">
        <v>37</v>
      </c>
      <c r="GP290">
        <v>212481</v>
      </c>
      <c r="GQ290" t="s">
        <v>37</v>
      </c>
      <c r="GR290">
        <v>282487</v>
      </c>
      <c r="GS290" t="s">
        <v>37</v>
      </c>
      <c r="GT290">
        <v>167086</v>
      </c>
      <c r="GU290" t="s">
        <v>37</v>
      </c>
      <c r="GW290" t="s">
        <v>37</v>
      </c>
      <c r="GX290">
        <v>194406</v>
      </c>
      <c r="GY290" t="s">
        <v>37</v>
      </c>
      <c r="GZ290">
        <v>49361</v>
      </c>
      <c r="HA290" t="s">
        <v>37</v>
      </c>
      <c r="HC290" t="s">
        <v>37</v>
      </c>
      <c r="HE290" t="s">
        <v>37</v>
      </c>
      <c r="HF290">
        <v>21055921</v>
      </c>
      <c r="HG290" t="s">
        <v>37</v>
      </c>
      <c r="HI290" t="s">
        <v>37</v>
      </c>
      <c r="HJ290">
        <v>21055921</v>
      </c>
      <c r="HK290" t="s">
        <v>37</v>
      </c>
    </row>
    <row r="291" spans="1:219">
      <c r="A291">
        <v>5300</v>
      </c>
      <c r="B291" t="s">
        <v>295</v>
      </c>
      <c r="C291" t="s">
        <v>37</v>
      </c>
      <c r="E291" t="s">
        <v>37</v>
      </c>
      <c r="G291" t="s">
        <v>37</v>
      </c>
      <c r="I291" t="s">
        <v>37</v>
      </c>
      <c r="K291" s="48" t="s">
        <v>37</v>
      </c>
      <c r="L291" s="51">
        <v>6526</v>
      </c>
      <c r="M291" s="48" t="s">
        <v>37</v>
      </c>
      <c r="N291" s="50"/>
      <c r="O291" s="48" t="s">
        <v>37</v>
      </c>
      <c r="P291" s="50"/>
      <c r="Q291" s="48" t="s">
        <v>37</v>
      </c>
      <c r="R291" s="50"/>
      <c r="S291" s="48" t="s">
        <v>37</v>
      </c>
      <c r="T291">
        <v>4747</v>
      </c>
      <c r="U291" t="s">
        <v>37</v>
      </c>
      <c r="W291" t="s">
        <v>37</v>
      </c>
      <c r="Y291" t="s">
        <v>37</v>
      </c>
      <c r="AA291" t="s">
        <v>37</v>
      </c>
      <c r="AC291" t="s">
        <v>37</v>
      </c>
      <c r="AE291" t="s">
        <v>37</v>
      </c>
      <c r="AF291">
        <v>12291</v>
      </c>
      <c r="AG291" t="s">
        <v>37</v>
      </c>
      <c r="AI291" t="s">
        <v>37</v>
      </c>
      <c r="AK291" t="s">
        <v>37</v>
      </c>
      <c r="AL291">
        <v>1075</v>
      </c>
      <c r="AM291" t="s">
        <v>37</v>
      </c>
      <c r="AO291" t="s">
        <v>37</v>
      </c>
      <c r="AP291">
        <v>40990</v>
      </c>
      <c r="AQ291" t="s">
        <v>37</v>
      </c>
      <c r="AS291" t="s">
        <v>37</v>
      </c>
      <c r="AT291">
        <v>39850</v>
      </c>
      <c r="AU291" t="s">
        <v>37</v>
      </c>
      <c r="AV291">
        <v>3500</v>
      </c>
      <c r="AW291" t="s">
        <v>37</v>
      </c>
      <c r="AY291" t="s">
        <v>37</v>
      </c>
      <c r="AZ291">
        <v>-1334</v>
      </c>
      <c r="BA291" t="s">
        <v>37</v>
      </c>
      <c r="BC291" t="s">
        <v>37</v>
      </c>
      <c r="BE291" t="s">
        <v>37</v>
      </c>
      <c r="BG291" t="s">
        <v>37</v>
      </c>
      <c r="BI291" t="s">
        <v>37</v>
      </c>
      <c r="BJ291">
        <v>10000</v>
      </c>
      <c r="BK291" t="s">
        <v>37</v>
      </c>
      <c r="BM291" t="s">
        <v>37</v>
      </c>
      <c r="BO291" t="s">
        <v>37</v>
      </c>
      <c r="BQ291" t="s">
        <v>37</v>
      </c>
      <c r="BS291" t="s">
        <v>37</v>
      </c>
      <c r="BU291" t="s">
        <v>37</v>
      </c>
      <c r="BW291" t="s">
        <v>37</v>
      </c>
      <c r="BX291">
        <v>2638710</v>
      </c>
      <c r="BY291" t="s">
        <v>37</v>
      </c>
      <c r="BZ291">
        <v>2321</v>
      </c>
      <c r="CA291" t="s">
        <v>37</v>
      </c>
      <c r="CC291" t="s">
        <v>37</v>
      </c>
      <c r="CE291" t="s">
        <v>37</v>
      </c>
      <c r="CG291" t="s">
        <v>37</v>
      </c>
      <c r="CI291" t="s">
        <v>37</v>
      </c>
      <c r="CK291" t="s">
        <v>37</v>
      </c>
      <c r="CM291" t="s">
        <v>37</v>
      </c>
      <c r="CO291" t="s">
        <v>37</v>
      </c>
      <c r="CQ291" t="s">
        <v>37</v>
      </c>
      <c r="CR291">
        <v>140855</v>
      </c>
      <c r="CS291" t="s">
        <v>37</v>
      </c>
      <c r="CT291">
        <v>596186</v>
      </c>
      <c r="CU291" t="s">
        <v>37</v>
      </c>
      <c r="CW291" t="s">
        <v>37</v>
      </c>
      <c r="CY291" t="s">
        <v>37</v>
      </c>
      <c r="DA291" t="s">
        <v>37</v>
      </c>
      <c r="DC291" t="s">
        <v>37</v>
      </c>
      <c r="DD291">
        <v>1843</v>
      </c>
      <c r="DE291" t="s">
        <v>37</v>
      </c>
      <c r="DG291" t="s">
        <v>37</v>
      </c>
      <c r="DH291">
        <v>180836</v>
      </c>
      <c r="DI291" t="s">
        <v>37</v>
      </c>
      <c r="DK291" t="s">
        <v>37</v>
      </c>
      <c r="DL291">
        <v>83000</v>
      </c>
      <c r="DM291" t="s">
        <v>37</v>
      </c>
      <c r="DN291">
        <v>4757000</v>
      </c>
      <c r="DO291" t="s">
        <v>37</v>
      </c>
      <c r="DQ291" t="s">
        <v>37</v>
      </c>
      <c r="DS291" t="s">
        <v>37</v>
      </c>
      <c r="DU291" t="s">
        <v>37</v>
      </c>
      <c r="DV291">
        <v>4360</v>
      </c>
      <c r="DW291" t="s">
        <v>37</v>
      </c>
      <c r="DX291">
        <v>19197</v>
      </c>
      <c r="DY291" t="s">
        <v>37</v>
      </c>
      <c r="EA291" t="s">
        <v>37</v>
      </c>
      <c r="EB291">
        <v>7985</v>
      </c>
      <c r="EC291" t="s">
        <v>37</v>
      </c>
      <c r="ED291">
        <v>1222</v>
      </c>
      <c r="EE291" t="s">
        <v>37</v>
      </c>
      <c r="EF291">
        <v>442</v>
      </c>
      <c r="EG291" t="s">
        <v>37</v>
      </c>
      <c r="EI291" t="s">
        <v>37</v>
      </c>
      <c r="EK291" t="s">
        <v>37</v>
      </c>
      <c r="EM291" t="s">
        <v>37</v>
      </c>
      <c r="EN291">
        <v>6798</v>
      </c>
      <c r="EO291" t="s">
        <v>37</v>
      </c>
      <c r="EP291">
        <v>200256</v>
      </c>
      <c r="EQ291" t="s">
        <v>37</v>
      </c>
      <c r="ES291" t="s">
        <v>37</v>
      </c>
      <c r="EU291" t="s">
        <v>37</v>
      </c>
      <c r="EV291">
        <v>7787</v>
      </c>
      <c r="EW291" t="s">
        <v>37</v>
      </c>
      <c r="EY291" t="s">
        <v>37</v>
      </c>
      <c r="FA291" t="s">
        <v>37</v>
      </c>
      <c r="FC291" t="s">
        <v>37</v>
      </c>
      <c r="FD291">
        <v>134801</v>
      </c>
      <c r="FE291" t="s">
        <v>37</v>
      </c>
      <c r="FG291" t="s">
        <v>37</v>
      </c>
      <c r="FH291">
        <v>9458</v>
      </c>
      <c r="FI291" t="s">
        <v>37</v>
      </c>
      <c r="FJ291">
        <v>25777</v>
      </c>
      <c r="FK291" t="s">
        <v>37</v>
      </c>
      <c r="FM291" t="s">
        <v>37</v>
      </c>
      <c r="FO291" t="s">
        <v>37</v>
      </c>
      <c r="FP291">
        <v>79</v>
      </c>
      <c r="FQ291" t="s">
        <v>37</v>
      </c>
      <c r="FR291">
        <v>1001475</v>
      </c>
      <c r="FS291" t="s">
        <v>37</v>
      </c>
      <c r="FT291">
        <v>22800</v>
      </c>
      <c r="FU291" t="s">
        <v>37</v>
      </c>
      <c r="FW291" t="s">
        <v>37</v>
      </c>
      <c r="FX291">
        <v>1827</v>
      </c>
      <c r="FY291" t="s">
        <v>37</v>
      </c>
      <c r="FZ291">
        <v>14704</v>
      </c>
      <c r="GA291" t="s">
        <v>37</v>
      </c>
      <c r="GB291">
        <v>3769</v>
      </c>
      <c r="GC291" t="s">
        <v>37</v>
      </c>
      <c r="GE291" t="s">
        <v>37</v>
      </c>
      <c r="GG291" t="s">
        <v>37</v>
      </c>
      <c r="GI291" t="s">
        <v>37</v>
      </c>
      <c r="GJ291">
        <v>4765</v>
      </c>
      <c r="GK291" t="s">
        <v>37</v>
      </c>
      <c r="GM291" t="s">
        <v>37</v>
      </c>
      <c r="GO291" t="s">
        <v>37</v>
      </c>
      <c r="GQ291" t="s">
        <v>37</v>
      </c>
      <c r="GR291">
        <v>3488</v>
      </c>
      <c r="GS291" t="s">
        <v>37</v>
      </c>
      <c r="GU291" t="s">
        <v>37</v>
      </c>
      <c r="GW291" t="s">
        <v>37</v>
      </c>
      <c r="GY291" t="s">
        <v>37</v>
      </c>
      <c r="GZ291">
        <v>49770</v>
      </c>
      <c r="HA291" t="s">
        <v>37</v>
      </c>
      <c r="HC291" t="s">
        <v>37</v>
      </c>
      <c r="HE291" t="s">
        <v>37</v>
      </c>
      <c r="HF291">
        <v>10039156</v>
      </c>
      <c r="HG291" t="s">
        <v>37</v>
      </c>
      <c r="HI291" t="s">
        <v>37</v>
      </c>
      <c r="HJ291">
        <v>10039156</v>
      </c>
      <c r="HK291" t="s">
        <v>37</v>
      </c>
    </row>
    <row r="292" spans="1:219">
      <c r="A292">
        <v>5400</v>
      </c>
      <c r="B292" t="s">
        <v>296</v>
      </c>
      <c r="C292" t="s">
        <v>37</v>
      </c>
      <c r="E292" t="s">
        <v>37</v>
      </c>
      <c r="G292" t="s">
        <v>37</v>
      </c>
      <c r="I292" t="s">
        <v>37</v>
      </c>
      <c r="K292" s="48" t="s">
        <v>37</v>
      </c>
      <c r="L292" s="50"/>
      <c r="M292" s="48" t="s">
        <v>37</v>
      </c>
      <c r="N292" s="50"/>
      <c r="O292" s="48" t="s">
        <v>37</v>
      </c>
      <c r="P292" s="50"/>
      <c r="Q292" s="48" t="s">
        <v>37</v>
      </c>
      <c r="R292" s="50"/>
      <c r="S292" s="48" t="s">
        <v>37</v>
      </c>
      <c r="U292" t="s">
        <v>37</v>
      </c>
      <c r="W292" t="s">
        <v>37</v>
      </c>
      <c r="Y292" t="s">
        <v>37</v>
      </c>
      <c r="AA292" t="s">
        <v>37</v>
      </c>
      <c r="AC292" t="s">
        <v>37</v>
      </c>
      <c r="AE292" t="s">
        <v>37</v>
      </c>
      <c r="AG292" t="s">
        <v>37</v>
      </c>
      <c r="AI292" t="s">
        <v>37</v>
      </c>
      <c r="AK292" t="s">
        <v>37</v>
      </c>
      <c r="AM292" t="s">
        <v>37</v>
      </c>
      <c r="AO292" t="s">
        <v>37</v>
      </c>
      <c r="AQ292" t="s">
        <v>37</v>
      </c>
      <c r="AS292" t="s">
        <v>37</v>
      </c>
      <c r="AU292" t="s">
        <v>37</v>
      </c>
      <c r="AW292" t="s">
        <v>37</v>
      </c>
      <c r="AX292">
        <v>3000000</v>
      </c>
      <c r="AY292" t="s">
        <v>37</v>
      </c>
      <c r="BA292" t="s">
        <v>37</v>
      </c>
      <c r="BC292" t="s">
        <v>37</v>
      </c>
      <c r="BE292" t="s">
        <v>37</v>
      </c>
      <c r="BG292" t="s">
        <v>37</v>
      </c>
      <c r="BI292" t="s">
        <v>37</v>
      </c>
      <c r="BK292" t="s">
        <v>37</v>
      </c>
      <c r="BM292" t="s">
        <v>37</v>
      </c>
      <c r="BO292" t="s">
        <v>37</v>
      </c>
      <c r="BQ292" t="s">
        <v>37</v>
      </c>
      <c r="BS292" t="s">
        <v>37</v>
      </c>
      <c r="BU292" t="s">
        <v>37</v>
      </c>
      <c r="BW292" t="s">
        <v>37</v>
      </c>
      <c r="BY292" t="s">
        <v>37</v>
      </c>
      <c r="CA292" t="s">
        <v>37</v>
      </c>
      <c r="CC292" t="s">
        <v>37</v>
      </c>
      <c r="CE292" t="s">
        <v>37</v>
      </c>
      <c r="CG292" t="s">
        <v>37</v>
      </c>
      <c r="CI292" t="s">
        <v>37</v>
      </c>
      <c r="CK292" t="s">
        <v>37</v>
      </c>
      <c r="CM292" t="s">
        <v>37</v>
      </c>
      <c r="CO292" t="s">
        <v>37</v>
      </c>
      <c r="CQ292" t="s">
        <v>37</v>
      </c>
      <c r="CS292" t="s">
        <v>37</v>
      </c>
      <c r="CU292" t="s">
        <v>37</v>
      </c>
      <c r="CW292" t="s">
        <v>37</v>
      </c>
      <c r="CY292" t="s">
        <v>37</v>
      </c>
      <c r="DA292" t="s">
        <v>37</v>
      </c>
      <c r="DC292" t="s">
        <v>37</v>
      </c>
      <c r="DE292" t="s">
        <v>37</v>
      </c>
      <c r="DG292" t="s">
        <v>37</v>
      </c>
      <c r="DI292" t="s">
        <v>37</v>
      </c>
      <c r="DK292" t="s">
        <v>37</v>
      </c>
      <c r="DM292" t="s">
        <v>37</v>
      </c>
      <c r="DO292" t="s">
        <v>37</v>
      </c>
      <c r="DQ292" t="s">
        <v>37</v>
      </c>
      <c r="DS292" t="s">
        <v>37</v>
      </c>
      <c r="DU292" t="s">
        <v>37</v>
      </c>
      <c r="DW292" t="s">
        <v>37</v>
      </c>
      <c r="DY292" t="s">
        <v>37</v>
      </c>
      <c r="EA292" t="s">
        <v>37</v>
      </c>
      <c r="EC292" t="s">
        <v>37</v>
      </c>
      <c r="EE292" t="s">
        <v>37</v>
      </c>
      <c r="EG292" t="s">
        <v>37</v>
      </c>
      <c r="EI292" t="s">
        <v>37</v>
      </c>
      <c r="EK292" t="s">
        <v>37</v>
      </c>
      <c r="EM292" t="s">
        <v>37</v>
      </c>
      <c r="EO292" t="s">
        <v>37</v>
      </c>
      <c r="EQ292" t="s">
        <v>37</v>
      </c>
      <c r="ES292" t="s">
        <v>37</v>
      </c>
      <c r="EU292" t="s">
        <v>37</v>
      </c>
      <c r="EW292" t="s">
        <v>37</v>
      </c>
      <c r="EY292" t="s">
        <v>37</v>
      </c>
      <c r="FA292" t="s">
        <v>37</v>
      </c>
      <c r="FC292" t="s">
        <v>37</v>
      </c>
      <c r="FE292" t="s">
        <v>37</v>
      </c>
      <c r="FG292" t="s">
        <v>37</v>
      </c>
      <c r="FI292" t="s">
        <v>37</v>
      </c>
      <c r="FK292" t="s">
        <v>37</v>
      </c>
      <c r="FM292" t="s">
        <v>37</v>
      </c>
      <c r="FO292" t="s">
        <v>37</v>
      </c>
      <c r="FQ292" t="s">
        <v>37</v>
      </c>
      <c r="FS292" t="s">
        <v>37</v>
      </c>
      <c r="FU292" t="s">
        <v>37</v>
      </c>
      <c r="FW292" t="s">
        <v>37</v>
      </c>
      <c r="FY292" t="s">
        <v>37</v>
      </c>
      <c r="GA292" t="s">
        <v>37</v>
      </c>
      <c r="GC292" t="s">
        <v>37</v>
      </c>
      <c r="GE292" t="s">
        <v>37</v>
      </c>
      <c r="GG292" t="s">
        <v>37</v>
      </c>
      <c r="GI292" t="s">
        <v>37</v>
      </c>
      <c r="GK292" t="s">
        <v>37</v>
      </c>
      <c r="GM292" t="s">
        <v>37</v>
      </c>
      <c r="GO292" t="s">
        <v>37</v>
      </c>
      <c r="GQ292" t="s">
        <v>37</v>
      </c>
      <c r="GS292" t="s">
        <v>37</v>
      </c>
      <c r="GU292" t="s">
        <v>37</v>
      </c>
      <c r="GW292" t="s">
        <v>37</v>
      </c>
      <c r="GX292">
        <v>11844843</v>
      </c>
      <c r="GY292" t="s">
        <v>37</v>
      </c>
      <c r="HA292" t="s">
        <v>37</v>
      </c>
      <c r="HC292" t="s">
        <v>37</v>
      </c>
      <c r="HE292" t="s">
        <v>37</v>
      </c>
      <c r="HF292">
        <v>14844843</v>
      </c>
      <c r="HG292" t="s">
        <v>37</v>
      </c>
      <c r="HI292" t="s">
        <v>37</v>
      </c>
      <c r="HJ292">
        <v>14844843</v>
      </c>
      <c r="HK292" t="s">
        <v>37</v>
      </c>
    </row>
    <row r="293" spans="1:219">
      <c r="A293">
        <v>5500</v>
      </c>
      <c r="B293" t="s">
        <v>297</v>
      </c>
      <c r="C293" t="s">
        <v>37</v>
      </c>
      <c r="E293" t="s">
        <v>37</v>
      </c>
      <c r="G293" t="s">
        <v>37</v>
      </c>
      <c r="I293" t="s">
        <v>37</v>
      </c>
      <c r="K293" s="48" t="s">
        <v>37</v>
      </c>
      <c r="L293" s="51">
        <v>616680</v>
      </c>
      <c r="M293" s="48" t="s">
        <v>37</v>
      </c>
      <c r="N293" s="50"/>
      <c r="O293" s="48" t="s">
        <v>37</v>
      </c>
      <c r="P293" s="50"/>
      <c r="Q293" s="48" t="s">
        <v>37</v>
      </c>
      <c r="R293" s="50"/>
      <c r="S293" s="48" t="s">
        <v>37</v>
      </c>
      <c r="U293" t="s">
        <v>37</v>
      </c>
      <c r="W293" t="s">
        <v>37</v>
      </c>
      <c r="Y293" t="s">
        <v>37</v>
      </c>
      <c r="AA293" t="s">
        <v>37</v>
      </c>
      <c r="AC293" t="s">
        <v>37</v>
      </c>
      <c r="AE293" t="s">
        <v>37</v>
      </c>
      <c r="AG293" t="s">
        <v>37</v>
      </c>
      <c r="AI293" t="s">
        <v>37</v>
      </c>
      <c r="AK293" t="s">
        <v>37</v>
      </c>
      <c r="AL293">
        <v>507312</v>
      </c>
      <c r="AM293" t="s">
        <v>37</v>
      </c>
      <c r="AN293">
        <v>45890</v>
      </c>
      <c r="AO293" t="s">
        <v>37</v>
      </c>
      <c r="AQ293" t="s">
        <v>37</v>
      </c>
      <c r="AS293" t="s">
        <v>37</v>
      </c>
      <c r="AU293" t="s">
        <v>37</v>
      </c>
      <c r="AW293" t="s">
        <v>37</v>
      </c>
      <c r="AY293" t="s">
        <v>37</v>
      </c>
      <c r="BA293" t="s">
        <v>37</v>
      </c>
      <c r="BC293" t="s">
        <v>37</v>
      </c>
      <c r="BE293" t="s">
        <v>37</v>
      </c>
      <c r="BG293" t="s">
        <v>37</v>
      </c>
      <c r="BI293" t="s">
        <v>37</v>
      </c>
      <c r="BK293" t="s">
        <v>37</v>
      </c>
      <c r="BM293" t="s">
        <v>37</v>
      </c>
      <c r="BO293" t="s">
        <v>37</v>
      </c>
      <c r="BQ293" t="s">
        <v>37</v>
      </c>
      <c r="BS293" t="s">
        <v>37</v>
      </c>
      <c r="BU293" t="s">
        <v>37</v>
      </c>
      <c r="BW293" t="s">
        <v>37</v>
      </c>
      <c r="BY293" t="s">
        <v>37</v>
      </c>
      <c r="CA293" t="s">
        <v>37</v>
      </c>
      <c r="CC293" t="s">
        <v>37</v>
      </c>
      <c r="CE293" t="s">
        <v>37</v>
      </c>
      <c r="CG293" t="s">
        <v>37</v>
      </c>
      <c r="CI293" t="s">
        <v>37</v>
      </c>
      <c r="CK293" t="s">
        <v>37</v>
      </c>
      <c r="CM293" t="s">
        <v>37</v>
      </c>
      <c r="CO293" t="s">
        <v>37</v>
      </c>
      <c r="CQ293" t="s">
        <v>37</v>
      </c>
      <c r="CS293" t="s">
        <v>37</v>
      </c>
      <c r="CT293">
        <v>668000</v>
      </c>
      <c r="CU293" t="s">
        <v>37</v>
      </c>
      <c r="CW293" t="s">
        <v>37</v>
      </c>
      <c r="CY293" t="s">
        <v>37</v>
      </c>
      <c r="DA293" t="s">
        <v>37</v>
      </c>
      <c r="DC293" t="s">
        <v>37</v>
      </c>
      <c r="DE293" t="s">
        <v>37</v>
      </c>
      <c r="DG293" t="s">
        <v>37</v>
      </c>
      <c r="DI293" t="s">
        <v>37</v>
      </c>
      <c r="DJ293">
        <v>445000</v>
      </c>
      <c r="DK293" t="s">
        <v>37</v>
      </c>
      <c r="DM293" t="s">
        <v>37</v>
      </c>
      <c r="DO293" t="s">
        <v>37</v>
      </c>
      <c r="DQ293" t="s">
        <v>37</v>
      </c>
      <c r="DS293" t="s">
        <v>37</v>
      </c>
      <c r="DU293" t="s">
        <v>37</v>
      </c>
      <c r="DW293" t="s">
        <v>37</v>
      </c>
      <c r="DY293" t="s">
        <v>37</v>
      </c>
      <c r="EA293" t="s">
        <v>37</v>
      </c>
      <c r="EC293" t="s">
        <v>37</v>
      </c>
      <c r="EE293" t="s">
        <v>37</v>
      </c>
      <c r="EG293" t="s">
        <v>37</v>
      </c>
      <c r="EI293" t="s">
        <v>37</v>
      </c>
      <c r="EK293" t="s">
        <v>37</v>
      </c>
      <c r="EM293" t="s">
        <v>37</v>
      </c>
      <c r="EO293" t="s">
        <v>37</v>
      </c>
      <c r="EQ293" t="s">
        <v>37</v>
      </c>
      <c r="ES293" t="s">
        <v>37</v>
      </c>
      <c r="EU293" t="s">
        <v>37</v>
      </c>
      <c r="EW293" t="s">
        <v>37</v>
      </c>
      <c r="EY293" t="s">
        <v>37</v>
      </c>
      <c r="FA293" t="s">
        <v>37</v>
      </c>
      <c r="FB293">
        <v>400000</v>
      </c>
      <c r="FC293" t="s">
        <v>37</v>
      </c>
      <c r="FE293" t="s">
        <v>37</v>
      </c>
      <c r="FG293" t="s">
        <v>37</v>
      </c>
      <c r="FI293" t="s">
        <v>37</v>
      </c>
      <c r="FK293" t="s">
        <v>37</v>
      </c>
      <c r="FM293" t="s">
        <v>37</v>
      </c>
      <c r="FO293" t="s">
        <v>37</v>
      </c>
      <c r="FP293">
        <v>674199</v>
      </c>
      <c r="FQ293" t="s">
        <v>37</v>
      </c>
      <c r="FS293" t="s">
        <v>37</v>
      </c>
      <c r="FT293">
        <v>360000</v>
      </c>
      <c r="FU293" t="s">
        <v>37</v>
      </c>
      <c r="FW293" t="s">
        <v>37</v>
      </c>
      <c r="FY293" t="s">
        <v>37</v>
      </c>
      <c r="FZ293">
        <v>402000</v>
      </c>
      <c r="GA293" t="s">
        <v>37</v>
      </c>
      <c r="GC293" t="s">
        <v>37</v>
      </c>
      <c r="GE293" t="s">
        <v>37</v>
      </c>
      <c r="GG293" t="s">
        <v>37</v>
      </c>
      <c r="GI293" t="s">
        <v>37</v>
      </c>
      <c r="GK293" t="s">
        <v>37</v>
      </c>
      <c r="GM293" t="s">
        <v>37</v>
      </c>
      <c r="GO293" t="s">
        <v>37</v>
      </c>
      <c r="GQ293" t="s">
        <v>37</v>
      </c>
      <c r="GS293" t="s">
        <v>37</v>
      </c>
      <c r="GU293" t="s">
        <v>37</v>
      </c>
      <c r="GW293" t="s">
        <v>37</v>
      </c>
      <c r="GY293" t="s">
        <v>37</v>
      </c>
      <c r="GZ293">
        <v>2309888</v>
      </c>
      <c r="HA293" t="s">
        <v>37</v>
      </c>
      <c r="HC293" t="s">
        <v>37</v>
      </c>
      <c r="HE293" t="s">
        <v>37</v>
      </c>
      <c r="HF293">
        <v>6428969</v>
      </c>
      <c r="HG293" t="s">
        <v>37</v>
      </c>
      <c r="HI293" t="s">
        <v>37</v>
      </c>
      <c r="HJ293">
        <v>6428969</v>
      </c>
      <c r="HK293" t="s">
        <v>37</v>
      </c>
    </row>
    <row r="294" spans="1:219">
      <c r="A294">
        <v>5600</v>
      </c>
      <c r="B294" t="s">
        <v>298</v>
      </c>
      <c r="C294" t="s">
        <v>37</v>
      </c>
      <c r="E294" t="s">
        <v>37</v>
      </c>
      <c r="G294" t="s">
        <v>37</v>
      </c>
      <c r="I294" t="s">
        <v>37</v>
      </c>
      <c r="K294" s="48" t="s">
        <v>37</v>
      </c>
      <c r="L294" s="50"/>
      <c r="M294" s="48" t="s">
        <v>37</v>
      </c>
      <c r="N294" s="51">
        <v>1021059</v>
      </c>
      <c r="O294" s="48" t="s">
        <v>37</v>
      </c>
      <c r="P294" s="50"/>
      <c r="Q294" s="48" t="s">
        <v>37</v>
      </c>
      <c r="R294" s="50"/>
      <c r="S294" s="48" t="s">
        <v>37</v>
      </c>
      <c r="T294">
        <v>410582</v>
      </c>
      <c r="U294" t="s">
        <v>37</v>
      </c>
      <c r="W294" t="s">
        <v>37</v>
      </c>
      <c r="Y294" t="s">
        <v>37</v>
      </c>
      <c r="AA294" t="s">
        <v>37</v>
      </c>
      <c r="AC294" t="s">
        <v>37</v>
      </c>
      <c r="AE294" t="s">
        <v>37</v>
      </c>
      <c r="AG294" t="s">
        <v>37</v>
      </c>
      <c r="AI294" t="s">
        <v>37</v>
      </c>
      <c r="AK294" t="s">
        <v>37</v>
      </c>
      <c r="AM294" t="s">
        <v>37</v>
      </c>
      <c r="AO294" t="s">
        <v>37</v>
      </c>
      <c r="AQ294" t="s">
        <v>37</v>
      </c>
      <c r="AS294" t="s">
        <v>37</v>
      </c>
      <c r="AU294" t="s">
        <v>37</v>
      </c>
      <c r="AW294" t="s">
        <v>37</v>
      </c>
      <c r="AY294" t="s">
        <v>37</v>
      </c>
      <c r="AZ294">
        <v>23615000</v>
      </c>
      <c r="BA294" t="s">
        <v>37</v>
      </c>
      <c r="BC294" t="s">
        <v>37</v>
      </c>
      <c r="BE294" t="s">
        <v>37</v>
      </c>
      <c r="BG294" t="s">
        <v>37</v>
      </c>
      <c r="BI294" t="s">
        <v>37</v>
      </c>
      <c r="BK294" t="s">
        <v>37</v>
      </c>
      <c r="BM294" t="s">
        <v>37</v>
      </c>
      <c r="BO294" t="s">
        <v>37</v>
      </c>
      <c r="BQ294" t="s">
        <v>37</v>
      </c>
      <c r="BS294" t="s">
        <v>37</v>
      </c>
      <c r="BU294" t="s">
        <v>37</v>
      </c>
      <c r="BW294" t="s">
        <v>37</v>
      </c>
      <c r="BX294">
        <v>179888</v>
      </c>
      <c r="BY294" t="s">
        <v>37</v>
      </c>
      <c r="CA294" t="s">
        <v>37</v>
      </c>
      <c r="CC294" t="s">
        <v>37</v>
      </c>
      <c r="CE294" t="s">
        <v>37</v>
      </c>
      <c r="CG294" t="s">
        <v>37</v>
      </c>
      <c r="CI294" t="s">
        <v>37</v>
      </c>
      <c r="CK294" t="s">
        <v>37</v>
      </c>
      <c r="CM294" t="s">
        <v>37</v>
      </c>
      <c r="CO294" t="s">
        <v>37</v>
      </c>
      <c r="CQ294" t="s">
        <v>37</v>
      </c>
      <c r="CS294" t="s">
        <v>37</v>
      </c>
      <c r="CU294" t="s">
        <v>37</v>
      </c>
      <c r="CW294" t="s">
        <v>37</v>
      </c>
      <c r="CY294" t="s">
        <v>37</v>
      </c>
      <c r="DA294" t="s">
        <v>37</v>
      </c>
      <c r="DC294" t="s">
        <v>37</v>
      </c>
      <c r="DE294" t="s">
        <v>37</v>
      </c>
      <c r="DG294" t="s">
        <v>37</v>
      </c>
      <c r="DI294" t="s">
        <v>37</v>
      </c>
      <c r="DK294" t="s">
        <v>37</v>
      </c>
      <c r="DM294" t="s">
        <v>37</v>
      </c>
      <c r="DO294" t="s">
        <v>37</v>
      </c>
      <c r="DQ294" t="s">
        <v>37</v>
      </c>
      <c r="DS294" t="s">
        <v>37</v>
      </c>
      <c r="DU294" t="s">
        <v>37</v>
      </c>
      <c r="DW294" t="s">
        <v>37</v>
      </c>
      <c r="DX294">
        <v>66777</v>
      </c>
      <c r="DY294" t="s">
        <v>37</v>
      </c>
      <c r="EA294" t="s">
        <v>37</v>
      </c>
      <c r="EC294" t="s">
        <v>37</v>
      </c>
      <c r="EE294" t="s">
        <v>37</v>
      </c>
      <c r="EG294" t="s">
        <v>37</v>
      </c>
      <c r="EI294" t="s">
        <v>37</v>
      </c>
      <c r="EK294" t="s">
        <v>37</v>
      </c>
      <c r="EM294" t="s">
        <v>37</v>
      </c>
      <c r="EN294">
        <v>176000</v>
      </c>
      <c r="EO294" t="s">
        <v>37</v>
      </c>
      <c r="EQ294" t="s">
        <v>37</v>
      </c>
      <c r="ES294" t="s">
        <v>37</v>
      </c>
      <c r="EU294" t="s">
        <v>37</v>
      </c>
      <c r="EW294" t="s">
        <v>37</v>
      </c>
      <c r="EY294" t="s">
        <v>37</v>
      </c>
      <c r="FA294" t="s">
        <v>37</v>
      </c>
      <c r="FC294" t="s">
        <v>37</v>
      </c>
      <c r="FE294" t="s">
        <v>37</v>
      </c>
      <c r="FG294" t="s">
        <v>37</v>
      </c>
      <c r="FI294" t="s">
        <v>37</v>
      </c>
      <c r="FK294" t="s">
        <v>37</v>
      </c>
      <c r="FM294" t="s">
        <v>37</v>
      </c>
      <c r="FO294" t="s">
        <v>37</v>
      </c>
      <c r="FQ294" t="s">
        <v>37</v>
      </c>
      <c r="FS294" t="s">
        <v>37</v>
      </c>
      <c r="FU294" t="s">
        <v>37</v>
      </c>
      <c r="FW294" t="s">
        <v>37</v>
      </c>
      <c r="FY294" t="s">
        <v>37</v>
      </c>
      <c r="GA294" t="s">
        <v>37</v>
      </c>
      <c r="GC294" t="s">
        <v>37</v>
      </c>
      <c r="GE294" t="s">
        <v>37</v>
      </c>
      <c r="GG294" t="s">
        <v>37</v>
      </c>
      <c r="GI294" t="s">
        <v>37</v>
      </c>
      <c r="GK294" t="s">
        <v>37</v>
      </c>
      <c r="GM294" t="s">
        <v>37</v>
      </c>
      <c r="GO294" t="s">
        <v>37</v>
      </c>
      <c r="GQ294" t="s">
        <v>37</v>
      </c>
      <c r="GS294" t="s">
        <v>37</v>
      </c>
      <c r="GU294" t="s">
        <v>37</v>
      </c>
      <c r="GW294" t="s">
        <v>37</v>
      </c>
      <c r="GY294" t="s">
        <v>37</v>
      </c>
      <c r="HA294" t="s">
        <v>37</v>
      </c>
      <c r="HC294" t="s">
        <v>37</v>
      </c>
      <c r="HE294" t="s">
        <v>37</v>
      </c>
      <c r="HF294">
        <v>25469306</v>
      </c>
      <c r="HG294" t="s">
        <v>37</v>
      </c>
      <c r="HI294" t="s">
        <v>37</v>
      </c>
      <c r="HJ294">
        <v>25469306</v>
      </c>
      <c r="HK294" t="s">
        <v>37</v>
      </c>
    </row>
    <row r="295" spans="1:219">
      <c r="A295">
        <v>5900</v>
      </c>
      <c r="B295" t="s">
        <v>299</v>
      </c>
      <c r="C295" t="s">
        <v>37</v>
      </c>
      <c r="E295" t="s">
        <v>37</v>
      </c>
      <c r="G295" t="s">
        <v>37</v>
      </c>
      <c r="I295" t="s">
        <v>37</v>
      </c>
      <c r="K295" s="48" t="s">
        <v>37</v>
      </c>
      <c r="L295" s="50"/>
      <c r="M295" s="48" t="s">
        <v>37</v>
      </c>
      <c r="N295" s="50"/>
      <c r="O295" s="48" t="s">
        <v>37</v>
      </c>
      <c r="P295" s="50"/>
      <c r="Q295" s="48" t="s">
        <v>37</v>
      </c>
      <c r="R295" s="50"/>
      <c r="S295" s="48" t="s">
        <v>37</v>
      </c>
      <c r="U295" t="s">
        <v>37</v>
      </c>
      <c r="W295" t="s">
        <v>37</v>
      </c>
      <c r="Y295" t="s">
        <v>37</v>
      </c>
      <c r="AA295" t="s">
        <v>37</v>
      </c>
      <c r="AC295" t="s">
        <v>37</v>
      </c>
      <c r="AE295" t="s">
        <v>37</v>
      </c>
      <c r="AG295" t="s">
        <v>37</v>
      </c>
      <c r="AI295" t="s">
        <v>37</v>
      </c>
      <c r="AK295" t="s">
        <v>37</v>
      </c>
      <c r="AM295" t="s">
        <v>37</v>
      </c>
      <c r="AO295" t="s">
        <v>37</v>
      </c>
      <c r="AQ295" t="s">
        <v>37</v>
      </c>
      <c r="AS295" t="s">
        <v>37</v>
      </c>
      <c r="AU295" t="s">
        <v>37</v>
      </c>
      <c r="AW295" t="s">
        <v>37</v>
      </c>
      <c r="AY295" t="s">
        <v>37</v>
      </c>
      <c r="BA295" t="s">
        <v>37</v>
      </c>
      <c r="BC295" t="s">
        <v>37</v>
      </c>
      <c r="BE295" t="s">
        <v>37</v>
      </c>
      <c r="BG295" t="s">
        <v>37</v>
      </c>
      <c r="BI295" t="s">
        <v>37</v>
      </c>
      <c r="BK295" t="s">
        <v>37</v>
      </c>
      <c r="BM295" t="s">
        <v>37</v>
      </c>
      <c r="BO295" t="s">
        <v>37</v>
      </c>
      <c r="BQ295" t="s">
        <v>37</v>
      </c>
      <c r="BS295" t="s">
        <v>37</v>
      </c>
      <c r="BU295" t="s">
        <v>37</v>
      </c>
      <c r="BW295" t="s">
        <v>37</v>
      </c>
      <c r="BY295" t="s">
        <v>37</v>
      </c>
      <c r="CA295" t="s">
        <v>37</v>
      </c>
      <c r="CC295" t="s">
        <v>37</v>
      </c>
      <c r="CE295" t="s">
        <v>37</v>
      </c>
      <c r="CG295" t="s">
        <v>37</v>
      </c>
      <c r="CI295" t="s">
        <v>37</v>
      </c>
      <c r="CK295" t="s">
        <v>37</v>
      </c>
      <c r="CM295" t="s">
        <v>37</v>
      </c>
      <c r="CO295" t="s">
        <v>37</v>
      </c>
      <c r="CQ295" t="s">
        <v>37</v>
      </c>
      <c r="CS295" t="s">
        <v>37</v>
      </c>
      <c r="CU295" t="s">
        <v>37</v>
      </c>
      <c r="CW295" t="s">
        <v>37</v>
      </c>
      <c r="CY295" t="s">
        <v>37</v>
      </c>
      <c r="DA295" t="s">
        <v>37</v>
      </c>
      <c r="DC295" t="s">
        <v>37</v>
      </c>
      <c r="DE295" t="s">
        <v>37</v>
      </c>
      <c r="DG295" t="s">
        <v>37</v>
      </c>
      <c r="DI295" t="s">
        <v>37</v>
      </c>
      <c r="DK295" t="s">
        <v>37</v>
      </c>
      <c r="DM295" t="s">
        <v>37</v>
      </c>
      <c r="DO295" t="s">
        <v>37</v>
      </c>
      <c r="DQ295" t="s">
        <v>37</v>
      </c>
      <c r="DS295" t="s">
        <v>37</v>
      </c>
      <c r="DU295" t="s">
        <v>37</v>
      </c>
      <c r="DW295" t="s">
        <v>37</v>
      </c>
      <c r="DY295" t="s">
        <v>37</v>
      </c>
      <c r="EA295" t="s">
        <v>37</v>
      </c>
      <c r="EC295" t="s">
        <v>37</v>
      </c>
      <c r="EE295" t="s">
        <v>37</v>
      </c>
      <c r="EG295" t="s">
        <v>37</v>
      </c>
      <c r="EI295" t="s">
        <v>37</v>
      </c>
      <c r="EK295" t="s">
        <v>37</v>
      </c>
      <c r="EM295" t="s">
        <v>37</v>
      </c>
      <c r="EO295" t="s">
        <v>37</v>
      </c>
      <c r="EQ295" t="s">
        <v>37</v>
      </c>
      <c r="ES295" t="s">
        <v>37</v>
      </c>
      <c r="EU295" t="s">
        <v>37</v>
      </c>
      <c r="EW295" t="s">
        <v>37</v>
      </c>
      <c r="EY295" t="s">
        <v>37</v>
      </c>
      <c r="FA295" t="s">
        <v>37</v>
      </c>
      <c r="FC295" t="s">
        <v>37</v>
      </c>
      <c r="FE295" t="s">
        <v>37</v>
      </c>
      <c r="FG295" t="s">
        <v>37</v>
      </c>
      <c r="FI295" t="s">
        <v>37</v>
      </c>
      <c r="FK295" t="s">
        <v>37</v>
      </c>
      <c r="FM295" t="s">
        <v>37</v>
      </c>
      <c r="FO295" t="s">
        <v>37</v>
      </c>
      <c r="FQ295" t="s">
        <v>37</v>
      </c>
      <c r="FS295" t="s">
        <v>37</v>
      </c>
      <c r="FU295" t="s">
        <v>37</v>
      </c>
      <c r="FW295" t="s">
        <v>37</v>
      </c>
      <c r="FY295" t="s">
        <v>37</v>
      </c>
      <c r="GA295" t="s">
        <v>37</v>
      </c>
      <c r="GC295" t="s">
        <v>37</v>
      </c>
      <c r="GE295" t="s">
        <v>37</v>
      </c>
      <c r="GG295" t="s">
        <v>37</v>
      </c>
      <c r="GI295" t="s">
        <v>37</v>
      </c>
      <c r="GK295" t="s">
        <v>37</v>
      </c>
      <c r="GM295" t="s">
        <v>37</v>
      </c>
      <c r="GO295" t="s">
        <v>37</v>
      </c>
      <c r="GQ295" t="s">
        <v>37</v>
      </c>
      <c r="GS295" t="s">
        <v>37</v>
      </c>
      <c r="GU295" t="s">
        <v>37</v>
      </c>
      <c r="GW295" t="s">
        <v>37</v>
      </c>
      <c r="GY295" t="s">
        <v>37</v>
      </c>
      <c r="HA295" t="s">
        <v>37</v>
      </c>
      <c r="HC295" t="s">
        <v>37</v>
      </c>
      <c r="HE295" t="s">
        <v>37</v>
      </c>
      <c r="HG295" t="s">
        <v>37</v>
      </c>
      <c r="HI295" t="s">
        <v>37</v>
      </c>
      <c r="HK295" t="s">
        <v>37</v>
      </c>
    </row>
    <row r="296" spans="1:219">
      <c r="A296">
        <v>5999</v>
      </c>
      <c r="B296" t="s">
        <v>28</v>
      </c>
      <c r="C296" t="s">
        <v>37</v>
      </c>
      <c r="E296" t="s">
        <v>37</v>
      </c>
      <c r="G296" t="s">
        <v>37</v>
      </c>
      <c r="I296" t="s">
        <v>37</v>
      </c>
      <c r="K296" s="48" t="s">
        <v>37</v>
      </c>
      <c r="L296" s="50"/>
      <c r="M296" s="48" t="s">
        <v>37</v>
      </c>
      <c r="N296" s="50"/>
      <c r="O296" s="48" t="s">
        <v>37</v>
      </c>
      <c r="P296" s="50"/>
      <c r="Q296" s="48" t="s">
        <v>37</v>
      </c>
      <c r="R296" s="50"/>
      <c r="S296" s="48" t="s">
        <v>37</v>
      </c>
      <c r="U296" t="s">
        <v>37</v>
      </c>
      <c r="W296" t="s">
        <v>37</v>
      </c>
      <c r="Y296" t="s">
        <v>37</v>
      </c>
      <c r="AA296" t="s">
        <v>37</v>
      </c>
      <c r="AC296" t="s">
        <v>37</v>
      </c>
      <c r="AE296" t="s">
        <v>37</v>
      </c>
      <c r="AG296" t="s">
        <v>37</v>
      </c>
      <c r="AI296" t="s">
        <v>37</v>
      </c>
      <c r="AK296" t="s">
        <v>37</v>
      </c>
      <c r="AM296" t="s">
        <v>37</v>
      </c>
      <c r="AO296" t="s">
        <v>37</v>
      </c>
      <c r="AQ296" t="s">
        <v>37</v>
      </c>
      <c r="AS296" t="s">
        <v>37</v>
      </c>
      <c r="AU296" t="s">
        <v>37</v>
      </c>
      <c r="AW296" t="s">
        <v>37</v>
      </c>
      <c r="AY296" t="s">
        <v>37</v>
      </c>
      <c r="BA296" t="s">
        <v>37</v>
      </c>
      <c r="BC296" t="s">
        <v>37</v>
      </c>
      <c r="BE296" t="s">
        <v>37</v>
      </c>
      <c r="BG296" t="s">
        <v>37</v>
      </c>
      <c r="BI296" t="s">
        <v>37</v>
      </c>
      <c r="BK296" t="s">
        <v>37</v>
      </c>
      <c r="BM296" t="s">
        <v>37</v>
      </c>
      <c r="BO296" t="s">
        <v>37</v>
      </c>
      <c r="BQ296" t="s">
        <v>37</v>
      </c>
      <c r="BS296" t="s">
        <v>37</v>
      </c>
      <c r="BU296" t="s">
        <v>37</v>
      </c>
      <c r="BW296" t="s">
        <v>37</v>
      </c>
      <c r="BY296" t="s">
        <v>37</v>
      </c>
      <c r="CA296" t="s">
        <v>37</v>
      </c>
      <c r="CC296" t="s">
        <v>37</v>
      </c>
      <c r="CE296" t="s">
        <v>37</v>
      </c>
      <c r="CF296">
        <v>11555</v>
      </c>
      <c r="CG296" t="s">
        <v>37</v>
      </c>
      <c r="CI296" t="s">
        <v>37</v>
      </c>
      <c r="CK296" t="s">
        <v>37</v>
      </c>
      <c r="CM296" t="s">
        <v>37</v>
      </c>
      <c r="CO296" t="s">
        <v>37</v>
      </c>
      <c r="CQ296" t="s">
        <v>37</v>
      </c>
      <c r="CS296" t="s">
        <v>37</v>
      </c>
      <c r="CT296">
        <v>140138</v>
      </c>
      <c r="CU296" t="s">
        <v>37</v>
      </c>
      <c r="CV296">
        <v>115595</v>
      </c>
      <c r="CW296" t="s">
        <v>37</v>
      </c>
      <c r="CY296" t="s">
        <v>37</v>
      </c>
      <c r="DA296" t="s">
        <v>37</v>
      </c>
      <c r="DC296" t="s">
        <v>37</v>
      </c>
      <c r="DE296" t="s">
        <v>37</v>
      </c>
      <c r="DG296" t="s">
        <v>37</v>
      </c>
      <c r="DI296" t="s">
        <v>37</v>
      </c>
      <c r="DJ296">
        <v>3835137</v>
      </c>
      <c r="DK296" t="s">
        <v>37</v>
      </c>
      <c r="DL296">
        <v>24533</v>
      </c>
      <c r="DM296" t="s">
        <v>37</v>
      </c>
      <c r="DO296" t="s">
        <v>37</v>
      </c>
      <c r="DP296">
        <v>90549</v>
      </c>
      <c r="DQ296" t="s">
        <v>37</v>
      </c>
      <c r="DS296" t="s">
        <v>37</v>
      </c>
      <c r="DU296" t="s">
        <v>37</v>
      </c>
      <c r="DW296" t="s">
        <v>37</v>
      </c>
      <c r="DY296" t="s">
        <v>37</v>
      </c>
      <c r="EA296" t="s">
        <v>37</v>
      </c>
      <c r="EC296" t="s">
        <v>37</v>
      </c>
      <c r="ED296">
        <v>1989948</v>
      </c>
      <c r="EE296" t="s">
        <v>37</v>
      </c>
      <c r="EG296" t="s">
        <v>37</v>
      </c>
      <c r="EI296" t="s">
        <v>37</v>
      </c>
      <c r="EK296" t="s">
        <v>37</v>
      </c>
      <c r="EM296" t="s">
        <v>37</v>
      </c>
      <c r="EO296" t="s">
        <v>37</v>
      </c>
      <c r="EQ296" t="s">
        <v>37</v>
      </c>
      <c r="ES296" t="s">
        <v>37</v>
      </c>
      <c r="EU296" t="s">
        <v>37</v>
      </c>
      <c r="EV296">
        <v>2795</v>
      </c>
      <c r="EW296" t="s">
        <v>37</v>
      </c>
      <c r="EY296" t="s">
        <v>37</v>
      </c>
      <c r="FA296" t="s">
        <v>37</v>
      </c>
      <c r="FC296" t="s">
        <v>37</v>
      </c>
      <c r="FE296" t="s">
        <v>37</v>
      </c>
      <c r="FG296" t="s">
        <v>37</v>
      </c>
      <c r="FI296" t="s">
        <v>37</v>
      </c>
      <c r="FK296" t="s">
        <v>37</v>
      </c>
      <c r="FM296" t="s">
        <v>37</v>
      </c>
      <c r="FO296" t="s">
        <v>37</v>
      </c>
      <c r="FQ296" t="s">
        <v>37</v>
      </c>
      <c r="FS296" t="s">
        <v>37</v>
      </c>
      <c r="FU296" t="s">
        <v>37</v>
      </c>
      <c r="FW296" t="s">
        <v>37</v>
      </c>
      <c r="FY296" t="s">
        <v>37</v>
      </c>
      <c r="GA296" t="s">
        <v>37</v>
      </c>
      <c r="GC296" t="s">
        <v>37</v>
      </c>
      <c r="GE296" t="s">
        <v>37</v>
      </c>
      <c r="GG296" t="s">
        <v>37</v>
      </c>
      <c r="GI296" t="s">
        <v>37</v>
      </c>
      <c r="GJ296">
        <v>39447</v>
      </c>
      <c r="GK296" t="s">
        <v>37</v>
      </c>
      <c r="GM296" t="s">
        <v>37</v>
      </c>
      <c r="GO296" t="s">
        <v>37</v>
      </c>
      <c r="GQ296" t="s">
        <v>37</v>
      </c>
      <c r="GS296" t="s">
        <v>37</v>
      </c>
      <c r="GU296" t="s">
        <v>37</v>
      </c>
      <c r="GW296" t="s">
        <v>37</v>
      </c>
      <c r="GY296" t="s">
        <v>37</v>
      </c>
      <c r="HA296" t="s">
        <v>37</v>
      </c>
      <c r="HC296" t="s">
        <v>37</v>
      </c>
      <c r="HE296" t="s">
        <v>37</v>
      </c>
      <c r="HF296">
        <v>6249697</v>
      </c>
      <c r="HG296" t="s">
        <v>37</v>
      </c>
      <c r="HI296" t="s">
        <v>37</v>
      </c>
      <c r="HJ296">
        <v>6249697</v>
      </c>
      <c r="HK296" t="s">
        <v>37</v>
      </c>
    </row>
    <row r="297" spans="1:219">
      <c r="C297" t="s">
        <v>37</v>
      </c>
      <c r="E297" t="s">
        <v>37</v>
      </c>
      <c r="G297" t="s">
        <v>37</v>
      </c>
      <c r="I297" t="s">
        <v>37</v>
      </c>
      <c r="K297" s="48" t="s">
        <v>37</v>
      </c>
      <c r="L297" s="50"/>
      <c r="M297" s="48" t="s">
        <v>37</v>
      </c>
      <c r="N297" s="50"/>
      <c r="O297" s="48" t="s">
        <v>37</v>
      </c>
      <c r="P297" s="50"/>
      <c r="Q297" s="48" t="s">
        <v>37</v>
      </c>
      <c r="R297" s="50"/>
      <c r="S297" s="48" t="s">
        <v>37</v>
      </c>
      <c r="U297" t="s">
        <v>37</v>
      </c>
      <c r="W297" t="s">
        <v>37</v>
      </c>
      <c r="Y297" t="s">
        <v>37</v>
      </c>
      <c r="AA297" t="s">
        <v>37</v>
      </c>
      <c r="AC297" t="s">
        <v>37</v>
      </c>
      <c r="AE297" t="s">
        <v>37</v>
      </c>
      <c r="AG297" t="s">
        <v>37</v>
      </c>
      <c r="AI297" t="s">
        <v>37</v>
      </c>
      <c r="AK297" t="s">
        <v>37</v>
      </c>
      <c r="AM297" t="s">
        <v>37</v>
      </c>
      <c r="AO297" t="s">
        <v>37</v>
      </c>
      <c r="AQ297" t="s">
        <v>37</v>
      </c>
      <c r="AS297" t="s">
        <v>37</v>
      </c>
      <c r="AU297" t="s">
        <v>37</v>
      </c>
      <c r="AW297" t="s">
        <v>37</v>
      </c>
      <c r="AY297" t="s">
        <v>37</v>
      </c>
      <c r="BA297" t="s">
        <v>37</v>
      </c>
      <c r="BC297" t="s">
        <v>37</v>
      </c>
      <c r="BE297" t="s">
        <v>37</v>
      </c>
      <c r="BG297" t="s">
        <v>37</v>
      </c>
      <c r="BI297" t="s">
        <v>37</v>
      </c>
      <c r="BK297" t="s">
        <v>37</v>
      </c>
      <c r="BM297" t="s">
        <v>37</v>
      </c>
      <c r="BO297" t="s">
        <v>37</v>
      </c>
      <c r="BQ297" t="s">
        <v>37</v>
      </c>
      <c r="BS297" t="s">
        <v>37</v>
      </c>
      <c r="BU297" t="s">
        <v>37</v>
      </c>
      <c r="BW297" t="s">
        <v>37</v>
      </c>
      <c r="BY297" t="s">
        <v>37</v>
      </c>
      <c r="CA297" t="s">
        <v>37</v>
      </c>
      <c r="CC297" t="s">
        <v>37</v>
      </c>
      <c r="CE297" t="s">
        <v>37</v>
      </c>
      <c r="CG297" t="s">
        <v>37</v>
      </c>
      <c r="CI297" t="s">
        <v>37</v>
      </c>
      <c r="CK297" t="s">
        <v>37</v>
      </c>
      <c r="CM297" t="s">
        <v>37</v>
      </c>
      <c r="CO297" t="s">
        <v>37</v>
      </c>
      <c r="CQ297" t="s">
        <v>37</v>
      </c>
      <c r="CS297" t="s">
        <v>37</v>
      </c>
      <c r="CU297" t="s">
        <v>37</v>
      </c>
      <c r="CW297" t="s">
        <v>37</v>
      </c>
      <c r="CY297" t="s">
        <v>37</v>
      </c>
      <c r="DA297" t="s">
        <v>37</v>
      </c>
      <c r="DC297" t="s">
        <v>37</v>
      </c>
      <c r="DE297" t="s">
        <v>37</v>
      </c>
      <c r="DG297" t="s">
        <v>37</v>
      </c>
      <c r="DI297" t="s">
        <v>37</v>
      </c>
      <c r="DK297" t="s">
        <v>37</v>
      </c>
      <c r="DM297" t="s">
        <v>37</v>
      </c>
      <c r="DO297" t="s">
        <v>37</v>
      </c>
      <c r="DQ297" t="s">
        <v>37</v>
      </c>
      <c r="DS297" t="s">
        <v>37</v>
      </c>
      <c r="DU297" t="s">
        <v>37</v>
      </c>
      <c r="DW297" t="s">
        <v>37</v>
      </c>
      <c r="DY297" t="s">
        <v>37</v>
      </c>
      <c r="EA297" t="s">
        <v>37</v>
      </c>
      <c r="EC297" t="s">
        <v>37</v>
      </c>
      <c r="EE297" t="s">
        <v>37</v>
      </c>
      <c r="EG297" t="s">
        <v>37</v>
      </c>
      <c r="EI297" t="s">
        <v>37</v>
      </c>
      <c r="EK297" t="s">
        <v>37</v>
      </c>
      <c r="EM297" t="s">
        <v>37</v>
      </c>
      <c r="EO297" t="s">
        <v>37</v>
      </c>
      <c r="EQ297" t="s">
        <v>37</v>
      </c>
      <c r="ES297" t="s">
        <v>37</v>
      </c>
      <c r="EU297" t="s">
        <v>37</v>
      </c>
      <c r="EW297" t="s">
        <v>37</v>
      </c>
      <c r="EY297" t="s">
        <v>37</v>
      </c>
      <c r="FA297" t="s">
        <v>37</v>
      </c>
      <c r="FC297" t="s">
        <v>37</v>
      </c>
      <c r="FE297" t="s">
        <v>37</v>
      </c>
      <c r="FG297" t="s">
        <v>37</v>
      </c>
      <c r="FI297" t="s">
        <v>37</v>
      </c>
      <c r="FK297" t="s">
        <v>37</v>
      </c>
      <c r="FM297" t="s">
        <v>37</v>
      </c>
      <c r="FO297" t="s">
        <v>37</v>
      </c>
      <c r="FQ297" t="s">
        <v>37</v>
      </c>
      <c r="FS297" t="s">
        <v>37</v>
      </c>
      <c r="FU297" t="s">
        <v>37</v>
      </c>
      <c r="FW297" t="s">
        <v>37</v>
      </c>
      <c r="FY297" t="s">
        <v>37</v>
      </c>
      <c r="GA297" t="s">
        <v>37</v>
      </c>
      <c r="GC297" t="s">
        <v>37</v>
      </c>
      <c r="GE297" t="s">
        <v>37</v>
      </c>
      <c r="GG297" t="s">
        <v>37</v>
      </c>
      <c r="GI297" t="s">
        <v>37</v>
      </c>
      <c r="GK297" t="s">
        <v>37</v>
      </c>
      <c r="GM297" t="s">
        <v>37</v>
      </c>
      <c r="GO297" t="s">
        <v>37</v>
      </c>
      <c r="GQ297" t="s">
        <v>37</v>
      </c>
      <c r="GS297" t="s">
        <v>37</v>
      </c>
      <c r="GU297" t="s">
        <v>37</v>
      </c>
      <c r="GW297" t="s">
        <v>37</v>
      </c>
      <c r="GY297" t="s">
        <v>37</v>
      </c>
      <c r="HA297" t="s">
        <v>37</v>
      </c>
      <c r="HC297" t="s">
        <v>37</v>
      </c>
      <c r="HE297" t="s">
        <v>37</v>
      </c>
      <c r="HG297" t="s">
        <v>37</v>
      </c>
      <c r="HI297" t="s">
        <v>37</v>
      </c>
      <c r="HK297" t="s">
        <v>37</v>
      </c>
    </row>
    <row r="298" spans="1:219">
      <c r="A298" t="s">
        <v>90</v>
      </c>
      <c r="B298" t="s">
        <v>300</v>
      </c>
      <c r="C298" t="s">
        <v>37</v>
      </c>
      <c r="D298">
        <v>807434</v>
      </c>
      <c r="E298" t="s">
        <v>37</v>
      </c>
      <c r="F298">
        <v>27680565</v>
      </c>
      <c r="G298" t="s">
        <v>37</v>
      </c>
      <c r="H298">
        <v>324405</v>
      </c>
      <c r="I298" t="s">
        <v>37</v>
      </c>
      <c r="J298">
        <v>38537</v>
      </c>
      <c r="K298" s="48" t="s">
        <v>37</v>
      </c>
      <c r="L298" s="51">
        <v>2259710</v>
      </c>
      <c r="M298" s="48" t="s">
        <v>37</v>
      </c>
      <c r="N298" s="51">
        <v>28162382</v>
      </c>
      <c r="O298" s="48" t="s">
        <v>37</v>
      </c>
      <c r="P298" s="51">
        <v>646414</v>
      </c>
      <c r="Q298" s="48" t="s">
        <v>37</v>
      </c>
      <c r="R298" s="51">
        <v>602800</v>
      </c>
      <c r="S298" s="48" t="s">
        <v>37</v>
      </c>
      <c r="T298">
        <v>10962586</v>
      </c>
      <c r="U298" t="s">
        <v>37</v>
      </c>
      <c r="V298">
        <v>38442</v>
      </c>
      <c r="W298" t="s">
        <v>37</v>
      </c>
      <c r="Y298" t="s">
        <v>37</v>
      </c>
      <c r="Z298">
        <v>1664070</v>
      </c>
      <c r="AA298" t="s">
        <v>37</v>
      </c>
      <c r="AB298">
        <v>1140244</v>
      </c>
      <c r="AC298" t="s">
        <v>37</v>
      </c>
      <c r="AD298">
        <v>195945</v>
      </c>
      <c r="AE298" t="s">
        <v>37</v>
      </c>
      <c r="AF298">
        <v>973787</v>
      </c>
      <c r="AG298" t="s">
        <v>37</v>
      </c>
      <c r="AH298">
        <v>691580</v>
      </c>
      <c r="AI298" t="s">
        <v>37</v>
      </c>
      <c r="AJ298">
        <v>30348</v>
      </c>
      <c r="AK298" t="s">
        <v>37</v>
      </c>
      <c r="AL298">
        <v>118479333</v>
      </c>
      <c r="AM298" t="s">
        <v>37</v>
      </c>
      <c r="AN298">
        <v>114672</v>
      </c>
      <c r="AO298" t="s">
        <v>37</v>
      </c>
      <c r="AP298">
        <v>190977226</v>
      </c>
      <c r="AQ298" t="s">
        <v>37</v>
      </c>
      <c r="AR298">
        <v>37565591</v>
      </c>
      <c r="AS298" t="s">
        <v>37</v>
      </c>
      <c r="AT298">
        <v>59538547</v>
      </c>
      <c r="AU298" t="s">
        <v>37</v>
      </c>
      <c r="AV298">
        <v>6635984</v>
      </c>
      <c r="AW298" t="s">
        <v>37</v>
      </c>
      <c r="AX298">
        <v>5173196</v>
      </c>
      <c r="AY298" t="s">
        <v>37</v>
      </c>
      <c r="AZ298">
        <v>36360815</v>
      </c>
      <c r="BA298" t="s">
        <v>37</v>
      </c>
      <c r="BB298">
        <v>11113006</v>
      </c>
      <c r="BC298" t="s">
        <v>37</v>
      </c>
      <c r="BD298">
        <v>1845917</v>
      </c>
      <c r="BE298" t="s">
        <v>37</v>
      </c>
      <c r="BF298">
        <v>399256</v>
      </c>
      <c r="BG298" t="s">
        <v>37</v>
      </c>
      <c r="BI298" t="s">
        <v>37</v>
      </c>
      <c r="BJ298">
        <v>114981214</v>
      </c>
      <c r="BK298" t="s">
        <v>37</v>
      </c>
      <c r="BL298">
        <v>6919020</v>
      </c>
      <c r="BM298" t="s">
        <v>37</v>
      </c>
      <c r="BO298" t="s">
        <v>37</v>
      </c>
      <c r="BP298">
        <v>316569</v>
      </c>
      <c r="BQ298" t="s">
        <v>37</v>
      </c>
      <c r="BR298">
        <v>1320449</v>
      </c>
      <c r="BS298" t="s">
        <v>37</v>
      </c>
      <c r="BT298">
        <v>390299</v>
      </c>
      <c r="BU298" t="s">
        <v>37</v>
      </c>
      <c r="BV298">
        <v>-28670</v>
      </c>
      <c r="BW298" t="s">
        <v>37</v>
      </c>
      <c r="BX298">
        <v>71471418</v>
      </c>
      <c r="BY298" t="s">
        <v>37</v>
      </c>
      <c r="BZ298">
        <v>675012</v>
      </c>
      <c r="CA298" t="s">
        <v>37</v>
      </c>
      <c r="CC298" t="s">
        <v>37</v>
      </c>
      <c r="CD298">
        <v>1084608</v>
      </c>
      <c r="CE298" t="s">
        <v>37</v>
      </c>
      <c r="CF298">
        <v>5058134</v>
      </c>
      <c r="CG298" t="s">
        <v>37</v>
      </c>
      <c r="CH298">
        <v>7078839</v>
      </c>
      <c r="CI298" t="s">
        <v>37</v>
      </c>
      <c r="CJ298">
        <v>200624</v>
      </c>
      <c r="CK298" t="s">
        <v>37</v>
      </c>
      <c r="CL298">
        <v>2708642</v>
      </c>
      <c r="CM298" t="s">
        <v>37</v>
      </c>
      <c r="CN298">
        <v>852565</v>
      </c>
      <c r="CO298" t="s">
        <v>37</v>
      </c>
      <c r="CP298">
        <v>830118</v>
      </c>
      <c r="CQ298" t="s">
        <v>37</v>
      </c>
      <c r="CR298">
        <v>22221206</v>
      </c>
      <c r="CS298" t="s">
        <v>37</v>
      </c>
      <c r="CT298">
        <v>98353604</v>
      </c>
      <c r="CU298" t="s">
        <v>37</v>
      </c>
      <c r="CV298">
        <v>170725064</v>
      </c>
      <c r="CW298" t="s">
        <v>37</v>
      </c>
      <c r="CX298">
        <v>304276</v>
      </c>
      <c r="CY298" t="s">
        <v>37</v>
      </c>
      <c r="CZ298">
        <v>1159729</v>
      </c>
      <c r="DA298" t="s">
        <v>37</v>
      </c>
      <c r="DB298">
        <v>619768</v>
      </c>
      <c r="DC298" t="s">
        <v>37</v>
      </c>
      <c r="DD298">
        <v>3488002</v>
      </c>
      <c r="DE298" t="s">
        <v>37</v>
      </c>
      <c r="DF298">
        <v>982152</v>
      </c>
      <c r="DG298" t="s">
        <v>37</v>
      </c>
      <c r="DH298">
        <v>140458348</v>
      </c>
      <c r="DI298" t="s">
        <v>37</v>
      </c>
      <c r="DJ298">
        <v>21223886</v>
      </c>
      <c r="DK298" t="s">
        <v>37</v>
      </c>
      <c r="DL298">
        <v>7688752</v>
      </c>
      <c r="DM298" t="s">
        <v>37</v>
      </c>
      <c r="DN298">
        <v>14262782</v>
      </c>
      <c r="DO298" t="s">
        <v>37</v>
      </c>
      <c r="DP298">
        <v>21653795</v>
      </c>
      <c r="DQ298" t="s">
        <v>37</v>
      </c>
      <c r="DR298">
        <v>23451854</v>
      </c>
      <c r="DS298" t="s">
        <v>37</v>
      </c>
      <c r="DT298">
        <v>7394097</v>
      </c>
      <c r="DU298" t="s">
        <v>37</v>
      </c>
      <c r="DV298">
        <v>13830607</v>
      </c>
      <c r="DW298" t="s">
        <v>37</v>
      </c>
      <c r="DX298">
        <v>38472349</v>
      </c>
      <c r="DY298" t="s">
        <v>37</v>
      </c>
      <c r="DZ298">
        <v>234001</v>
      </c>
      <c r="EA298" t="s">
        <v>37</v>
      </c>
      <c r="EB298">
        <v>2333007</v>
      </c>
      <c r="EC298" t="s">
        <v>37</v>
      </c>
      <c r="ED298">
        <v>44662985</v>
      </c>
      <c r="EE298" t="s">
        <v>37</v>
      </c>
      <c r="EF298">
        <v>1994891</v>
      </c>
      <c r="EG298" t="s">
        <v>37</v>
      </c>
      <c r="EH298">
        <v>120355</v>
      </c>
      <c r="EI298" t="s">
        <v>37</v>
      </c>
      <c r="EJ298">
        <v>1889616</v>
      </c>
      <c r="EK298" t="s">
        <v>37</v>
      </c>
      <c r="EL298">
        <v>934589</v>
      </c>
      <c r="EM298" t="s">
        <v>37</v>
      </c>
      <c r="EN298">
        <v>533920</v>
      </c>
      <c r="EO298" t="s">
        <v>37</v>
      </c>
      <c r="EP298">
        <v>200256</v>
      </c>
      <c r="EQ298" t="s">
        <v>37</v>
      </c>
      <c r="ER298">
        <v>12473407</v>
      </c>
      <c r="ES298" t="s">
        <v>37</v>
      </c>
      <c r="ET298">
        <v>5852901</v>
      </c>
      <c r="EU298" t="s">
        <v>37</v>
      </c>
      <c r="EV298">
        <v>30772682</v>
      </c>
      <c r="EW298" t="s">
        <v>37</v>
      </c>
      <c r="EY298" t="s">
        <v>37</v>
      </c>
      <c r="EZ298">
        <v>1724035</v>
      </c>
      <c r="FA298" t="s">
        <v>37</v>
      </c>
      <c r="FB298">
        <v>9284301</v>
      </c>
      <c r="FC298" t="s">
        <v>37</v>
      </c>
      <c r="FD298">
        <v>27607507</v>
      </c>
      <c r="FE298" t="s">
        <v>37</v>
      </c>
      <c r="FF298">
        <v>16961</v>
      </c>
      <c r="FG298" t="s">
        <v>37</v>
      </c>
      <c r="FH298">
        <v>391422823</v>
      </c>
      <c r="FI298" t="s">
        <v>37</v>
      </c>
      <c r="FJ298">
        <v>96223900</v>
      </c>
      <c r="FK298" t="s">
        <v>37</v>
      </c>
      <c r="FL298">
        <v>48912220</v>
      </c>
      <c r="FM298" t="s">
        <v>37</v>
      </c>
      <c r="FN298">
        <v>1791084</v>
      </c>
      <c r="FO298" t="s">
        <v>37</v>
      </c>
      <c r="FP298">
        <v>5307574</v>
      </c>
      <c r="FQ298" t="s">
        <v>37</v>
      </c>
      <c r="FR298">
        <v>14007676</v>
      </c>
      <c r="FS298" t="s">
        <v>37</v>
      </c>
      <c r="FT298">
        <v>23353283</v>
      </c>
      <c r="FU298" t="s">
        <v>37</v>
      </c>
      <c r="FV298">
        <v>4343280</v>
      </c>
      <c r="FW298" t="s">
        <v>37</v>
      </c>
      <c r="FX298">
        <v>12295407</v>
      </c>
      <c r="FY298" t="s">
        <v>37</v>
      </c>
      <c r="FZ298">
        <v>20396649</v>
      </c>
      <c r="GA298" t="s">
        <v>37</v>
      </c>
      <c r="GB298">
        <v>6039214</v>
      </c>
      <c r="GC298" t="s">
        <v>37</v>
      </c>
      <c r="GD298">
        <v>73473</v>
      </c>
      <c r="GE298" t="s">
        <v>37</v>
      </c>
      <c r="GF298">
        <v>201695</v>
      </c>
      <c r="GG298" t="s">
        <v>37</v>
      </c>
      <c r="GH298">
        <v>47511</v>
      </c>
      <c r="GI298" t="s">
        <v>37</v>
      </c>
      <c r="GJ298">
        <v>144157928</v>
      </c>
      <c r="GK298" t="s">
        <v>37</v>
      </c>
      <c r="GL298">
        <v>45717636</v>
      </c>
      <c r="GM298" t="s">
        <v>37</v>
      </c>
      <c r="GO298" t="s">
        <v>37</v>
      </c>
      <c r="GP298">
        <v>50640824</v>
      </c>
      <c r="GQ298" t="s">
        <v>37</v>
      </c>
      <c r="GR298">
        <v>28543968</v>
      </c>
      <c r="GS298" t="s">
        <v>37</v>
      </c>
      <c r="GT298">
        <v>3433716</v>
      </c>
      <c r="GU298" t="s">
        <v>37</v>
      </c>
      <c r="GV298">
        <v>930189</v>
      </c>
      <c r="GW298" t="s">
        <v>37</v>
      </c>
      <c r="GX298">
        <v>83569886</v>
      </c>
      <c r="GY298" t="s">
        <v>37</v>
      </c>
      <c r="GZ298">
        <v>115341320</v>
      </c>
      <c r="HA298" t="s">
        <v>37</v>
      </c>
      <c r="HC298" t="s">
        <v>37</v>
      </c>
      <c r="HE298" t="s">
        <v>37</v>
      </c>
      <c r="HF298">
        <v>2581958574</v>
      </c>
      <c r="HG298" t="s">
        <v>37</v>
      </c>
      <c r="HI298" t="s">
        <v>37</v>
      </c>
      <c r="HJ298">
        <v>2581958574</v>
      </c>
      <c r="HK298" t="s">
        <v>37</v>
      </c>
    </row>
    <row r="299" spans="1:219">
      <c r="C299" t="s">
        <v>37</v>
      </c>
      <c r="E299" t="s">
        <v>37</v>
      </c>
      <c r="G299" t="s">
        <v>37</v>
      </c>
      <c r="I299" t="s">
        <v>37</v>
      </c>
      <c r="K299" s="48" t="s">
        <v>37</v>
      </c>
      <c r="L299" s="51"/>
      <c r="M299" s="48" t="s">
        <v>37</v>
      </c>
      <c r="N299" s="51"/>
      <c r="O299" s="48" t="s">
        <v>37</v>
      </c>
      <c r="P299" s="51"/>
      <c r="Q299" s="48" t="s">
        <v>37</v>
      </c>
      <c r="R299" s="51"/>
      <c r="S299" s="48" t="s">
        <v>37</v>
      </c>
      <c r="U299" t="s">
        <v>37</v>
      </c>
      <c r="W299" t="s">
        <v>37</v>
      </c>
      <c r="Y299" t="s">
        <v>37</v>
      </c>
      <c r="AA299" t="s">
        <v>37</v>
      </c>
      <c r="AC299" t="s">
        <v>37</v>
      </c>
      <c r="AE299" t="s">
        <v>37</v>
      </c>
      <c r="AG299" t="s">
        <v>37</v>
      </c>
      <c r="AI299" t="s">
        <v>37</v>
      </c>
      <c r="AK299" t="s">
        <v>37</v>
      </c>
      <c r="AM299" t="s">
        <v>37</v>
      </c>
      <c r="AO299" t="s">
        <v>37</v>
      </c>
      <c r="AQ299" t="s">
        <v>37</v>
      </c>
      <c r="AS299" t="s">
        <v>37</v>
      </c>
      <c r="AU299" t="s">
        <v>37</v>
      </c>
      <c r="AW299" t="s">
        <v>37</v>
      </c>
      <c r="AY299" t="s">
        <v>37</v>
      </c>
      <c r="BA299" t="s">
        <v>37</v>
      </c>
      <c r="BC299" t="s">
        <v>37</v>
      </c>
      <c r="BE299" t="s">
        <v>37</v>
      </c>
      <c r="BG299" t="s">
        <v>37</v>
      </c>
      <c r="BI299" t="s">
        <v>37</v>
      </c>
      <c r="BK299" t="s">
        <v>37</v>
      </c>
      <c r="BM299" t="s">
        <v>37</v>
      </c>
      <c r="BO299" t="s">
        <v>37</v>
      </c>
      <c r="BQ299" t="s">
        <v>37</v>
      </c>
      <c r="BS299" t="s">
        <v>37</v>
      </c>
      <c r="BU299" t="s">
        <v>37</v>
      </c>
      <c r="BW299" t="s">
        <v>37</v>
      </c>
      <c r="BY299" t="s">
        <v>37</v>
      </c>
      <c r="CA299" t="s">
        <v>37</v>
      </c>
      <c r="CC299" t="s">
        <v>37</v>
      </c>
      <c r="CE299" t="s">
        <v>37</v>
      </c>
      <c r="CG299" t="s">
        <v>37</v>
      </c>
      <c r="CI299" t="s">
        <v>37</v>
      </c>
      <c r="CK299" t="s">
        <v>37</v>
      </c>
      <c r="CM299" t="s">
        <v>37</v>
      </c>
      <c r="CO299" t="s">
        <v>37</v>
      </c>
      <c r="CQ299" t="s">
        <v>37</v>
      </c>
      <c r="CS299" t="s">
        <v>37</v>
      </c>
      <c r="CU299" t="s">
        <v>37</v>
      </c>
      <c r="CW299" t="s">
        <v>37</v>
      </c>
      <c r="CY299" t="s">
        <v>37</v>
      </c>
      <c r="DA299" t="s">
        <v>37</v>
      </c>
      <c r="DC299" t="s">
        <v>37</v>
      </c>
      <c r="DE299" t="s">
        <v>37</v>
      </c>
      <c r="DG299" t="s">
        <v>37</v>
      </c>
      <c r="DI299" t="s">
        <v>37</v>
      </c>
      <c r="DK299" t="s">
        <v>37</v>
      </c>
      <c r="DM299" t="s">
        <v>37</v>
      </c>
      <c r="DO299" t="s">
        <v>37</v>
      </c>
      <c r="DQ299" t="s">
        <v>37</v>
      </c>
      <c r="DS299" t="s">
        <v>37</v>
      </c>
      <c r="DU299" t="s">
        <v>37</v>
      </c>
      <c r="DW299" t="s">
        <v>37</v>
      </c>
      <c r="DY299" t="s">
        <v>37</v>
      </c>
      <c r="EA299" t="s">
        <v>37</v>
      </c>
      <c r="EC299" t="s">
        <v>37</v>
      </c>
      <c r="EE299" t="s">
        <v>37</v>
      </c>
      <c r="EG299" t="s">
        <v>37</v>
      </c>
      <c r="EI299" t="s">
        <v>37</v>
      </c>
      <c r="EK299" t="s">
        <v>37</v>
      </c>
      <c r="EM299" t="s">
        <v>37</v>
      </c>
      <c r="EO299" t="s">
        <v>37</v>
      </c>
      <c r="EQ299" t="s">
        <v>37</v>
      </c>
      <c r="ES299" t="s">
        <v>37</v>
      </c>
      <c r="EU299" t="s">
        <v>37</v>
      </c>
      <c r="EW299" t="s">
        <v>37</v>
      </c>
      <c r="EY299" t="s">
        <v>37</v>
      </c>
      <c r="FA299" t="s">
        <v>37</v>
      </c>
      <c r="FC299" t="s">
        <v>37</v>
      </c>
      <c r="FE299" t="s">
        <v>37</v>
      </c>
      <c r="FG299" t="s">
        <v>37</v>
      </c>
      <c r="FI299" t="s">
        <v>37</v>
      </c>
      <c r="FK299" t="s">
        <v>37</v>
      </c>
      <c r="FM299" t="s">
        <v>37</v>
      </c>
      <c r="FO299" t="s">
        <v>37</v>
      </c>
      <c r="FQ299" t="s">
        <v>37</v>
      </c>
      <c r="FS299" t="s">
        <v>37</v>
      </c>
      <c r="FU299" t="s">
        <v>37</v>
      </c>
      <c r="FW299" t="s">
        <v>37</v>
      </c>
      <c r="FY299" t="s">
        <v>37</v>
      </c>
      <c r="GA299" t="s">
        <v>37</v>
      </c>
      <c r="GC299" t="s">
        <v>37</v>
      </c>
      <c r="GE299" t="s">
        <v>37</v>
      </c>
      <c r="GG299" t="s">
        <v>37</v>
      </c>
      <c r="GI299" t="s">
        <v>37</v>
      </c>
      <c r="GK299" t="s">
        <v>37</v>
      </c>
      <c r="GM299" t="s">
        <v>37</v>
      </c>
      <c r="GO299" t="s">
        <v>37</v>
      </c>
      <c r="GQ299" t="s">
        <v>37</v>
      </c>
      <c r="GS299" t="s">
        <v>37</v>
      </c>
      <c r="GU299" t="s">
        <v>37</v>
      </c>
      <c r="GW299" t="s">
        <v>37</v>
      </c>
      <c r="GY299" t="s">
        <v>37</v>
      </c>
      <c r="HA299" t="s">
        <v>37</v>
      </c>
      <c r="HC299" t="s">
        <v>37</v>
      </c>
      <c r="HE299" t="s">
        <v>37</v>
      </c>
      <c r="HG299" t="s">
        <v>37</v>
      </c>
      <c r="HI299" t="s">
        <v>37</v>
      </c>
      <c r="HK299" t="s">
        <v>37</v>
      </c>
    </row>
    <row r="300" spans="1:219">
      <c r="A300" t="s">
        <v>90</v>
      </c>
      <c r="B300" t="s">
        <v>301</v>
      </c>
      <c r="C300" t="s">
        <v>37</v>
      </c>
      <c r="D300">
        <v>33801152</v>
      </c>
      <c r="E300" t="s">
        <v>37</v>
      </c>
      <c r="F300">
        <v>231975950</v>
      </c>
      <c r="G300" t="s">
        <v>37</v>
      </c>
      <c r="H300">
        <v>20158946</v>
      </c>
      <c r="I300" t="s">
        <v>37</v>
      </c>
      <c r="J300">
        <v>1347805</v>
      </c>
      <c r="K300" s="48" t="s">
        <v>37</v>
      </c>
      <c r="L300" s="51">
        <v>70163556</v>
      </c>
      <c r="M300" s="48" t="s">
        <v>37</v>
      </c>
      <c r="N300" s="51">
        <v>60360008</v>
      </c>
      <c r="O300" s="48" t="s">
        <v>37</v>
      </c>
      <c r="P300" s="51">
        <v>23827299</v>
      </c>
      <c r="Q300" s="48" t="s">
        <v>37</v>
      </c>
      <c r="R300" s="51">
        <v>31196349</v>
      </c>
      <c r="S300" s="48" t="s">
        <v>37</v>
      </c>
      <c r="T300">
        <v>123496845</v>
      </c>
      <c r="U300" t="s">
        <v>37</v>
      </c>
      <c r="V300">
        <v>1763905</v>
      </c>
      <c r="W300" t="s">
        <v>37</v>
      </c>
      <c r="X300">
        <v>5280761</v>
      </c>
      <c r="Y300" t="s">
        <v>37</v>
      </c>
      <c r="Z300">
        <v>17104998</v>
      </c>
      <c r="AA300" t="s">
        <v>37</v>
      </c>
      <c r="AB300">
        <v>12555806</v>
      </c>
      <c r="AC300" t="s">
        <v>37</v>
      </c>
      <c r="AD300">
        <v>9527923</v>
      </c>
      <c r="AE300" t="s">
        <v>37</v>
      </c>
      <c r="AF300">
        <v>10188702</v>
      </c>
      <c r="AG300" t="s">
        <v>37</v>
      </c>
      <c r="AH300">
        <v>24261010</v>
      </c>
      <c r="AI300" t="s">
        <v>37</v>
      </c>
      <c r="AJ300">
        <v>1651460</v>
      </c>
      <c r="AK300" t="s">
        <v>37</v>
      </c>
      <c r="AL300">
        <v>334833942</v>
      </c>
      <c r="AM300" t="s">
        <v>37</v>
      </c>
      <c r="AN300">
        <v>4310459</v>
      </c>
      <c r="AO300" t="s">
        <v>37</v>
      </c>
      <c r="AP300">
        <v>455482180</v>
      </c>
      <c r="AQ300" t="s">
        <v>37</v>
      </c>
      <c r="AR300">
        <v>58812917</v>
      </c>
      <c r="AS300" t="s">
        <v>37</v>
      </c>
      <c r="AT300">
        <v>545161536</v>
      </c>
      <c r="AU300" t="s">
        <v>37</v>
      </c>
      <c r="AV300">
        <v>95987963</v>
      </c>
      <c r="AW300" t="s">
        <v>37</v>
      </c>
      <c r="AX300">
        <v>65524391</v>
      </c>
      <c r="AY300" t="s">
        <v>37</v>
      </c>
      <c r="AZ300">
        <v>106427896</v>
      </c>
      <c r="BA300" t="s">
        <v>37</v>
      </c>
      <c r="BB300">
        <v>23399445</v>
      </c>
      <c r="BC300" t="s">
        <v>37</v>
      </c>
      <c r="BD300">
        <v>30674352</v>
      </c>
      <c r="BE300" t="s">
        <v>37</v>
      </c>
      <c r="BF300">
        <v>11203353</v>
      </c>
      <c r="BG300" t="s">
        <v>37</v>
      </c>
      <c r="BH300">
        <v>1686476</v>
      </c>
      <c r="BI300" t="s">
        <v>37</v>
      </c>
      <c r="BJ300">
        <v>178576432</v>
      </c>
      <c r="BK300" t="s">
        <v>37</v>
      </c>
      <c r="BL300">
        <v>122089652</v>
      </c>
      <c r="BM300" t="s">
        <v>37</v>
      </c>
      <c r="BN300">
        <v>4250554</v>
      </c>
      <c r="BO300" t="s">
        <v>37</v>
      </c>
      <c r="BP300">
        <v>8295739</v>
      </c>
      <c r="BQ300" t="s">
        <v>37</v>
      </c>
      <c r="BR300">
        <v>30924650</v>
      </c>
      <c r="BS300" t="s">
        <v>37</v>
      </c>
      <c r="BT300">
        <v>13351793</v>
      </c>
      <c r="BU300" t="s">
        <v>37</v>
      </c>
      <c r="BV300">
        <v>1703847</v>
      </c>
      <c r="BW300" t="s">
        <v>37</v>
      </c>
      <c r="BX300">
        <v>235340947</v>
      </c>
      <c r="BY300" t="s">
        <v>37</v>
      </c>
      <c r="BZ300">
        <v>27549085</v>
      </c>
      <c r="CA300" t="s">
        <v>37</v>
      </c>
      <c r="CB300">
        <v>3250600</v>
      </c>
      <c r="CC300" t="s">
        <v>37</v>
      </c>
      <c r="CD300">
        <v>38843082</v>
      </c>
      <c r="CE300" t="s">
        <v>37</v>
      </c>
      <c r="CF300">
        <v>50056643</v>
      </c>
      <c r="CG300" t="s">
        <v>37</v>
      </c>
      <c r="CH300">
        <v>150351038</v>
      </c>
      <c r="CI300" t="s">
        <v>37</v>
      </c>
      <c r="CJ300">
        <v>11627203</v>
      </c>
      <c r="CK300" t="s">
        <v>37</v>
      </c>
      <c r="CL300">
        <v>39289041</v>
      </c>
      <c r="CM300" t="s">
        <v>37</v>
      </c>
      <c r="CN300">
        <v>12440744</v>
      </c>
      <c r="CO300" t="s">
        <v>37</v>
      </c>
      <c r="CP300">
        <v>16230074</v>
      </c>
      <c r="CQ300" t="s">
        <v>37</v>
      </c>
      <c r="CR300">
        <v>132801232</v>
      </c>
      <c r="CS300" t="s">
        <v>37</v>
      </c>
      <c r="CT300">
        <v>728119499</v>
      </c>
      <c r="CU300" t="s">
        <v>37</v>
      </c>
      <c r="CV300">
        <v>263390429</v>
      </c>
      <c r="CW300" t="s">
        <v>37</v>
      </c>
      <c r="CX300">
        <v>11208974</v>
      </c>
      <c r="CY300" t="s">
        <v>37</v>
      </c>
      <c r="CZ300">
        <v>16097265</v>
      </c>
      <c r="DA300" t="s">
        <v>37</v>
      </c>
      <c r="DB300">
        <v>3092588</v>
      </c>
      <c r="DC300" t="s">
        <v>37</v>
      </c>
      <c r="DD300">
        <v>28107157</v>
      </c>
      <c r="DE300" t="s">
        <v>37</v>
      </c>
      <c r="DF300">
        <v>15643857</v>
      </c>
      <c r="DG300" t="s">
        <v>37</v>
      </c>
      <c r="DH300">
        <v>526016873</v>
      </c>
      <c r="DI300" t="s">
        <v>37</v>
      </c>
      <c r="DJ300">
        <v>56170168</v>
      </c>
      <c r="DK300" t="s">
        <v>37</v>
      </c>
      <c r="DL300">
        <v>104582051</v>
      </c>
      <c r="DM300" t="s">
        <v>37</v>
      </c>
      <c r="DN300">
        <v>118669015</v>
      </c>
      <c r="DO300" t="s">
        <v>37</v>
      </c>
      <c r="DP300">
        <v>72322522</v>
      </c>
      <c r="DQ300" t="s">
        <v>37</v>
      </c>
      <c r="DR300">
        <v>54817247</v>
      </c>
      <c r="DS300" t="s">
        <v>37</v>
      </c>
      <c r="DT300">
        <v>35948103</v>
      </c>
      <c r="DU300" t="s">
        <v>37</v>
      </c>
      <c r="DV300">
        <v>223643001</v>
      </c>
      <c r="DW300" t="s">
        <v>37</v>
      </c>
      <c r="DX300">
        <v>125174381</v>
      </c>
      <c r="DY300" t="s">
        <v>37</v>
      </c>
      <c r="DZ300">
        <v>24944660</v>
      </c>
      <c r="EA300" t="s">
        <v>37</v>
      </c>
      <c r="EB300">
        <v>35097960</v>
      </c>
      <c r="EC300" t="s">
        <v>37</v>
      </c>
      <c r="ED300">
        <v>220171578</v>
      </c>
      <c r="EE300" t="s">
        <v>37</v>
      </c>
      <c r="EF300">
        <v>14020192</v>
      </c>
      <c r="EG300" t="s">
        <v>37</v>
      </c>
      <c r="EH300">
        <v>2498179</v>
      </c>
      <c r="EI300" t="s">
        <v>37</v>
      </c>
      <c r="EJ300">
        <v>27645822</v>
      </c>
      <c r="EK300" t="s">
        <v>37</v>
      </c>
      <c r="EL300">
        <v>20179279</v>
      </c>
      <c r="EM300" t="s">
        <v>37</v>
      </c>
      <c r="EN300">
        <v>10750935</v>
      </c>
      <c r="EO300" t="s">
        <v>37</v>
      </c>
      <c r="EP300">
        <v>2253648</v>
      </c>
      <c r="EQ300" t="s">
        <v>37</v>
      </c>
      <c r="ER300">
        <v>58346599</v>
      </c>
      <c r="ES300" t="s">
        <v>37</v>
      </c>
      <c r="ET300">
        <v>73342827</v>
      </c>
      <c r="EU300" t="s">
        <v>37</v>
      </c>
      <c r="EV300">
        <v>146841691</v>
      </c>
      <c r="EW300" t="s">
        <v>37</v>
      </c>
      <c r="EY300" t="s">
        <v>37</v>
      </c>
      <c r="EZ300">
        <v>40398932</v>
      </c>
      <c r="FA300" t="s">
        <v>37</v>
      </c>
      <c r="FB300">
        <v>49754186</v>
      </c>
      <c r="FC300" t="s">
        <v>37</v>
      </c>
      <c r="FD300">
        <v>107273649</v>
      </c>
      <c r="FE300" t="s">
        <v>37</v>
      </c>
      <c r="FF300">
        <v>827670</v>
      </c>
      <c r="FG300" t="s">
        <v>37</v>
      </c>
      <c r="FH300">
        <v>534591288</v>
      </c>
      <c r="FI300" t="s">
        <v>37</v>
      </c>
      <c r="FJ300">
        <v>426580844</v>
      </c>
      <c r="FK300" t="s">
        <v>37</v>
      </c>
      <c r="FL300">
        <v>279609412</v>
      </c>
      <c r="FM300" t="s">
        <v>37</v>
      </c>
      <c r="FN300">
        <v>21834345</v>
      </c>
      <c r="FO300" t="s">
        <v>37</v>
      </c>
      <c r="FP300">
        <v>51751958</v>
      </c>
      <c r="FQ300" t="s">
        <v>37</v>
      </c>
      <c r="FR300">
        <v>88925915</v>
      </c>
      <c r="FS300" t="s">
        <v>37</v>
      </c>
      <c r="FT300">
        <v>55201422</v>
      </c>
      <c r="FU300" t="s">
        <v>37</v>
      </c>
      <c r="FV300">
        <v>30474124</v>
      </c>
      <c r="FW300" t="s">
        <v>37</v>
      </c>
      <c r="FX300">
        <v>87193453</v>
      </c>
      <c r="FY300" t="s">
        <v>37</v>
      </c>
      <c r="FZ300">
        <v>112347978</v>
      </c>
      <c r="GA300" t="s">
        <v>37</v>
      </c>
      <c r="GB300">
        <v>102366007</v>
      </c>
      <c r="GC300" t="s">
        <v>37</v>
      </c>
      <c r="GD300">
        <v>2310316</v>
      </c>
      <c r="GE300" t="s">
        <v>37</v>
      </c>
      <c r="GF300">
        <v>3245476</v>
      </c>
      <c r="GG300" t="s">
        <v>37</v>
      </c>
      <c r="GH300">
        <v>2896100</v>
      </c>
      <c r="GI300" t="s">
        <v>37</v>
      </c>
      <c r="GJ300">
        <v>224227907</v>
      </c>
      <c r="GK300" t="s">
        <v>37</v>
      </c>
      <c r="GL300">
        <v>123657851</v>
      </c>
      <c r="GM300" t="s">
        <v>37</v>
      </c>
      <c r="GO300" t="s">
        <v>37</v>
      </c>
      <c r="GP300">
        <v>92569454</v>
      </c>
      <c r="GQ300" t="s">
        <v>37</v>
      </c>
      <c r="GR300">
        <v>82960153</v>
      </c>
      <c r="GS300" t="s">
        <v>37</v>
      </c>
      <c r="GT300">
        <v>50349909</v>
      </c>
      <c r="GU300" t="s">
        <v>37</v>
      </c>
      <c r="GV300">
        <v>67797772</v>
      </c>
      <c r="GW300" t="s">
        <v>37</v>
      </c>
      <c r="GX300">
        <v>245095855</v>
      </c>
      <c r="GY300" t="s">
        <v>37</v>
      </c>
      <c r="GZ300">
        <v>198825268</v>
      </c>
      <c r="HA300" t="s">
        <v>37</v>
      </c>
      <c r="HB300">
        <v>10727298</v>
      </c>
      <c r="HC300" t="s">
        <v>37</v>
      </c>
      <c r="HD300">
        <v>9221367</v>
      </c>
      <c r="HE300" t="s">
        <v>37</v>
      </c>
      <c r="HF300">
        <v>9591303485</v>
      </c>
      <c r="HG300" t="s">
        <v>37</v>
      </c>
      <c r="HH300">
        <v>19948665</v>
      </c>
      <c r="HI300" t="s">
        <v>37</v>
      </c>
      <c r="HJ300">
        <v>9611252150</v>
      </c>
      <c r="HK300" t="s">
        <v>37</v>
      </c>
    </row>
    <row r="301" spans="1:219">
      <c r="C301" t="s">
        <v>37</v>
      </c>
      <c r="E301" t="s">
        <v>37</v>
      </c>
      <c r="G301" t="s">
        <v>37</v>
      </c>
      <c r="I301" t="s">
        <v>37</v>
      </c>
      <c r="K301" s="48" t="s">
        <v>37</v>
      </c>
      <c r="L301" s="51"/>
      <c r="M301" s="48" t="s">
        <v>37</v>
      </c>
      <c r="N301" s="51"/>
      <c r="O301" s="48" t="s">
        <v>37</v>
      </c>
      <c r="P301" s="51"/>
      <c r="Q301" s="48" t="s">
        <v>37</v>
      </c>
      <c r="R301" s="51"/>
      <c r="S301" s="48" t="s">
        <v>37</v>
      </c>
      <c r="U301" t="s">
        <v>37</v>
      </c>
      <c r="W301" t="s">
        <v>37</v>
      </c>
      <c r="Y301" t="s">
        <v>37</v>
      </c>
      <c r="AA301" t="s">
        <v>37</v>
      </c>
      <c r="AC301" t="s">
        <v>37</v>
      </c>
      <c r="AE301" t="s">
        <v>37</v>
      </c>
      <c r="AG301" t="s">
        <v>37</v>
      </c>
      <c r="AI301" t="s">
        <v>37</v>
      </c>
      <c r="AK301" t="s">
        <v>37</v>
      </c>
      <c r="AM301" t="s">
        <v>37</v>
      </c>
      <c r="AO301" t="s">
        <v>37</v>
      </c>
      <c r="AQ301" t="s">
        <v>37</v>
      </c>
      <c r="AS301" t="s">
        <v>37</v>
      </c>
      <c r="AU301" t="s">
        <v>37</v>
      </c>
      <c r="AW301" t="s">
        <v>37</v>
      </c>
      <c r="AY301" t="s">
        <v>37</v>
      </c>
      <c r="BA301" t="s">
        <v>37</v>
      </c>
      <c r="BC301" t="s">
        <v>37</v>
      </c>
      <c r="BE301" t="s">
        <v>37</v>
      </c>
      <c r="BG301" t="s">
        <v>37</v>
      </c>
      <c r="BI301" t="s">
        <v>37</v>
      </c>
      <c r="BK301" t="s">
        <v>37</v>
      </c>
      <c r="BM301" t="s">
        <v>37</v>
      </c>
      <c r="BO301" t="s">
        <v>37</v>
      </c>
      <c r="BQ301" t="s">
        <v>37</v>
      </c>
      <c r="BS301" t="s">
        <v>37</v>
      </c>
      <c r="BU301" t="s">
        <v>37</v>
      </c>
      <c r="BW301" t="s">
        <v>37</v>
      </c>
      <c r="BY301" t="s">
        <v>37</v>
      </c>
      <c r="CA301" t="s">
        <v>37</v>
      </c>
      <c r="CC301" t="s">
        <v>37</v>
      </c>
      <c r="CE301" t="s">
        <v>37</v>
      </c>
      <c r="CG301" t="s">
        <v>37</v>
      </c>
      <c r="CI301" t="s">
        <v>37</v>
      </c>
      <c r="CK301" t="s">
        <v>37</v>
      </c>
      <c r="CM301" t="s">
        <v>37</v>
      </c>
      <c r="CO301" t="s">
        <v>37</v>
      </c>
      <c r="CQ301" t="s">
        <v>37</v>
      </c>
      <c r="CS301" t="s">
        <v>37</v>
      </c>
      <c r="CU301" t="s">
        <v>37</v>
      </c>
      <c r="CW301" t="s">
        <v>37</v>
      </c>
      <c r="CY301" t="s">
        <v>37</v>
      </c>
      <c r="DA301" t="s">
        <v>37</v>
      </c>
      <c r="DC301" t="s">
        <v>37</v>
      </c>
      <c r="DE301" t="s">
        <v>37</v>
      </c>
      <c r="DG301" t="s">
        <v>37</v>
      </c>
      <c r="DI301" t="s">
        <v>37</v>
      </c>
      <c r="DK301" t="s">
        <v>37</v>
      </c>
      <c r="DM301" t="s">
        <v>37</v>
      </c>
      <c r="DO301" t="s">
        <v>37</v>
      </c>
      <c r="DQ301" t="s">
        <v>37</v>
      </c>
      <c r="DS301" t="s">
        <v>37</v>
      </c>
      <c r="DU301" t="s">
        <v>37</v>
      </c>
      <c r="DW301" t="s">
        <v>37</v>
      </c>
      <c r="DY301" t="s">
        <v>37</v>
      </c>
      <c r="EA301" t="s">
        <v>37</v>
      </c>
      <c r="EC301" t="s">
        <v>37</v>
      </c>
      <c r="EE301" t="s">
        <v>37</v>
      </c>
      <c r="EG301" t="s">
        <v>37</v>
      </c>
      <c r="EI301" t="s">
        <v>37</v>
      </c>
      <c r="EK301" t="s">
        <v>37</v>
      </c>
      <c r="EM301" t="s">
        <v>37</v>
      </c>
      <c r="EO301" t="s">
        <v>37</v>
      </c>
      <c r="EQ301" t="s">
        <v>37</v>
      </c>
      <c r="ES301" t="s">
        <v>37</v>
      </c>
      <c r="EU301" t="s">
        <v>37</v>
      </c>
      <c r="EW301" t="s">
        <v>37</v>
      </c>
      <c r="EY301" t="s">
        <v>37</v>
      </c>
      <c r="FA301" t="s">
        <v>37</v>
      </c>
      <c r="FC301" t="s">
        <v>37</v>
      </c>
      <c r="FE301" t="s">
        <v>37</v>
      </c>
      <c r="FG301" t="s">
        <v>37</v>
      </c>
      <c r="FI301" t="s">
        <v>37</v>
      </c>
      <c r="FK301" t="s">
        <v>37</v>
      </c>
      <c r="FM301" t="s">
        <v>37</v>
      </c>
      <c r="FO301" t="s">
        <v>37</v>
      </c>
      <c r="FQ301" t="s">
        <v>37</v>
      </c>
      <c r="FS301" t="s">
        <v>37</v>
      </c>
      <c r="FU301" t="s">
        <v>37</v>
      </c>
      <c r="FW301" t="s">
        <v>37</v>
      </c>
      <c r="FY301" t="s">
        <v>37</v>
      </c>
      <c r="GA301" t="s">
        <v>37</v>
      </c>
      <c r="GC301" t="s">
        <v>37</v>
      </c>
      <c r="GE301" t="s">
        <v>37</v>
      </c>
      <c r="GG301" t="s">
        <v>37</v>
      </c>
      <c r="GI301" t="s">
        <v>37</v>
      </c>
      <c r="GK301" t="s">
        <v>37</v>
      </c>
      <c r="GM301" t="s">
        <v>37</v>
      </c>
      <c r="GO301" t="s">
        <v>37</v>
      </c>
      <c r="GQ301" t="s">
        <v>37</v>
      </c>
      <c r="GS301" t="s">
        <v>37</v>
      </c>
      <c r="GU301" t="s">
        <v>37</v>
      </c>
      <c r="GW301" t="s">
        <v>37</v>
      </c>
      <c r="GY301" t="s">
        <v>37</v>
      </c>
      <c r="HA301" t="s">
        <v>37</v>
      </c>
      <c r="HC301" t="s">
        <v>37</v>
      </c>
      <c r="HE301" t="s">
        <v>37</v>
      </c>
      <c r="HG301" t="s">
        <v>37</v>
      </c>
      <c r="HI301" t="s">
        <v>37</v>
      </c>
      <c r="HK301" t="s">
        <v>37</v>
      </c>
    </row>
    <row r="302" spans="1:219">
      <c r="A302" t="s">
        <v>90</v>
      </c>
      <c r="B302" t="s">
        <v>302</v>
      </c>
      <c r="C302" t="s">
        <v>37</v>
      </c>
      <c r="D302">
        <v>32993718</v>
      </c>
      <c r="E302" t="s">
        <v>37</v>
      </c>
      <c r="F302">
        <v>204295385</v>
      </c>
      <c r="G302" t="s">
        <v>37</v>
      </c>
      <c r="H302">
        <v>19834541</v>
      </c>
      <c r="I302" t="s">
        <v>37</v>
      </c>
      <c r="J302">
        <v>1309268</v>
      </c>
      <c r="K302" s="48" t="s">
        <v>37</v>
      </c>
      <c r="L302" s="51">
        <v>67903846</v>
      </c>
      <c r="M302" s="48" t="s">
        <v>37</v>
      </c>
      <c r="N302" s="51">
        <v>32197626</v>
      </c>
      <c r="O302" s="48" t="s">
        <v>37</v>
      </c>
      <c r="P302" s="51">
        <v>23180885</v>
      </c>
      <c r="Q302" s="48" t="s">
        <v>37</v>
      </c>
      <c r="R302" s="51">
        <v>30593549</v>
      </c>
      <c r="S302" s="48" t="s">
        <v>37</v>
      </c>
      <c r="T302">
        <v>112534259</v>
      </c>
      <c r="U302" t="s">
        <v>37</v>
      </c>
      <c r="V302">
        <v>1725463</v>
      </c>
      <c r="W302" t="s">
        <v>37</v>
      </c>
      <c r="X302">
        <v>5280761</v>
      </c>
      <c r="Y302" t="s">
        <v>37</v>
      </c>
      <c r="Z302">
        <v>15440928</v>
      </c>
      <c r="AA302" t="s">
        <v>37</v>
      </c>
      <c r="AB302">
        <v>11415562</v>
      </c>
      <c r="AC302" t="s">
        <v>37</v>
      </c>
      <c r="AD302">
        <v>9331978</v>
      </c>
      <c r="AE302" t="s">
        <v>37</v>
      </c>
      <c r="AF302">
        <v>9214915</v>
      </c>
      <c r="AG302" t="s">
        <v>37</v>
      </c>
      <c r="AH302">
        <v>23569430</v>
      </c>
      <c r="AI302" t="s">
        <v>37</v>
      </c>
      <c r="AJ302">
        <v>1621112</v>
      </c>
      <c r="AK302" t="s">
        <v>37</v>
      </c>
      <c r="AL302">
        <v>216354609</v>
      </c>
      <c r="AM302" t="s">
        <v>37</v>
      </c>
      <c r="AN302">
        <v>4195787</v>
      </c>
      <c r="AO302" t="s">
        <v>37</v>
      </c>
      <c r="AP302">
        <v>264504954</v>
      </c>
      <c r="AQ302" t="s">
        <v>37</v>
      </c>
      <c r="AR302">
        <v>21247326</v>
      </c>
      <c r="AS302" t="s">
        <v>37</v>
      </c>
      <c r="AT302">
        <v>485622989</v>
      </c>
      <c r="AU302" t="s">
        <v>37</v>
      </c>
      <c r="AV302">
        <v>89351979</v>
      </c>
      <c r="AW302" t="s">
        <v>37</v>
      </c>
      <c r="AX302">
        <v>60351195</v>
      </c>
      <c r="AY302" t="s">
        <v>37</v>
      </c>
      <c r="AZ302">
        <v>70067081</v>
      </c>
      <c r="BA302" t="s">
        <v>37</v>
      </c>
      <c r="BB302">
        <v>12286439</v>
      </c>
      <c r="BC302" t="s">
        <v>37</v>
      </c>
      <c r="BD302">
        <v>28828435</v>
      </c>
      <c r="BE302" t="s">
        <v>37</v>
      </c>
      <c r="BF302">
        <v>10804097</v>
      </c>
      <c r="BG302" t="s">
        <v>37</v>
      </c>
      <c r="BH302">
        <v>1686476</v>
      </c>
      <c r="BI302" t="s">
        <v>37</v>
      </c>
      <c r="BJ302">
        <v>63595218</v>
      </c>
      <c r="BK302" t="s">
        <v>37</v>
      </c>
      <c r="BL302">
        <v>115170632</v>
      </c>
      <c r="BM302" t="s">
        <v>37</v>
      </c>
      <c r="BN302">
        <v>4250554</v>
      </c>
      <c r="BO302" t="s">
        <v>37</v>
      </c>
      <c r="BP302">
        <v>7979170</v>
      </c>
      <c r="BQ302" t="s">
        <v>37</v>
      </c>
      <c r="BR302">
        <v>29604201</v>
      </c>
      <c r="BS302" t="s">
        <v>37</v>
      </c>
      <c r="BT302">
        <v>12961494</v>
      </c>
      <c r="BU302" t="s">
        <v>37</v>
      </c>
      <c r="BV302">
        <v>1732517</v>
      </c>
      <c r="BW302" t="s">
        <v>37</v>
      </c>
      <c r="BX302">
        <v>163869529</v>
      </c>
      <c r="BY302" t="s">
        <v>37</v>
      </c>
      <c r="BZ302">
        <v>26874073</v>
      </c>
      <c r="CA302" t="s">
        <v>37</v>
      </c>
      <c r="CB302">
        <v>3250600</v>
      </c>
      <c r="CC302" t="s">
        <v>37</v>
      </c>
      <c r="CD302">
        <v>37758474</v>
      </c>
      <c r="CE302" t="s">
        <v>37</v>
      </c>
      <c r="CF302">
        <v>44998509</v>
      </c>
      <c r="CG302" t="s">
        <v>37</v>
      </c>
      <c r="CH302">
        <v>143272199</v>
      </c>
      <c r="CI302" t="s">
        <v>37</v>
      </c>
      <c r="CJ302">
        <v>11426579</v>
      </c>
      <c r="CK302" t="s">
        <v>37</v>
      </c>
      <c r="CL302">
        <v>36580399</v>
      </c>
      <c r="CM302" t="s">
        <v>37</v>
      </c>
      <c r="CN302">
        <v>11588179</v>
      </c>
      <c r="CO302" t="s">
        <v>37</v>
      </c>
      <c r="CP302">
        <v>15399956</v>
      </c>
      <c r="CQ302" t="s">
        <v>37</v>
      </c>
      <c r="CR302">
        <v>110580026</v>
      </c>
      <c r="CS302" t="s">
        <v>37</v>
      </c>
      <c r="CT302">
        <v>629765895</v>
      </c>
      <c r="CU302" t="s">
        <v>37</v>
      </c>
      <c r="CV302">
        <v>92665365</v>
      </c>
      <c r="CW302" t="s">
        <v>37</v>
      </c>
      <c r="CX302">
        <v>10904698</v>
      </c>
      <c r="CY302" t="s">
        <v>37</v>
      </c>
      <c r="CZ302">
        <v>14937536</v>
      </c>
      <c r="DA302" t="s">
        <v>37</v>
      </c>
      <c r="DB302">
        <v>2472820</v>
      </c>
      <c r="DC302" t="s">
        <v>37</v>
      </c>
      <c r="DD302">
        <v>24619155</v>
      </c>
      <c r="DE302" t="s">
        <v>37</v>
      </c>
      <c r="DF302">
        <v>14661705</v>
      </c>
      <c r="DG302" t="s">
        <v>37</v>
      </c>
      <c r="DH302">
        <v>385558525</v>
      </c>
      <c r="DI302" t="s">
        <v>37</v>
      </c>
      <c r="DJ302">
        <v>34946282</v>
      </c>
      <c r="DK302" t="s">
        <v>37</v>
      </c>
      <c r="DL302">
        <v>96893299</v>
      </c>
      <c r="DM302" t="s">
        <v>37</v>
      </c>
      <c r="DN302">
        <v>104406233</v>
      </c>
      <c r="DO302" t="s">
        <v>37</v>
      </c>
      <c r="DP302">
        <v>50668727</v>
      </c>
      <c r="DQ302" t="s">
        <v>37</v>
      </c>
      <c r="DR302">
        <v>31365393</v>
      </c>
      <c r="DS302" t="s">
        <v>37</v>
      </c>
      <c r="DT302">
        <v>28554006</v>
      </c>
      <c r="DU302" t="s">
        <v>37</v>
      </c>
      <c r="DV302">
        <v>209812394</v>
      </c>
      <c r="DW302" t="s">
        <v>37</v>
      </c>
      <c r="DX302">
        <v>86702032</v>
      </c>
      <c r="DY302" t="s">
        <v>37</v>
      </c>
      <c r="DZ302">
        <v>24710659</v>
      </c>
      <c r="EA302" t="s">
        <v>37</v>
      </c>
      <c r="EB302">
        <v>32764953</v>
      </c>
      <c r="EC302" t="s">
        <v>37</v>
      </c>
      <c r="ED302">
        <v>175508593</v>
      </c>
      <c r="EE302" t="s">
        <v>37</v>
      </c>
      <c r="EF302">
        <v>12025301</v>
      </c>
      <c r="EG302" t="s">
        <v>37</v>
      </c>
      <c r="EH302">
        <v>2377824</v>
      </c>
      <c r="EI302" t="s">
        <v>37</v>
      </c>
      <c r="EJ302">
        <v>25756206</v>
      </c>
      <c r="EK302" t="s">
        <v>37</v>
      </c>
      <c r="EL302">
        <v>19244690</v>
      </c>
      <c r="EM302" t="s">
        <v>37</v>
      </c>
      <c r="EN302">
        <v>10217015</v>
      </c>
      <c r="EO302" t="s">
        <v>37</v>
      </c>
      <c r="EP302">
        <v>2053392</v>
      </c>
      <c r="EQ302" t="s">
        <v>37</v>
      </c>
      <c r="ER302">
        <v>45873192</v>
      </c>
      <c r="ES302" t="s">
        <v>37</v>
      </c>
      <c r="ET302">
        <v>67489926</v>
      </c>
      <c r="EU302" t="s">
        <v>37</v>
      </c>
      <c r="EV302">
        <v>116069009</v>
      </c>
      <c r="EW302" t="s">
        <v>37</v>
      </c>
      <c r="EY302" t="s">
        <v>37</v>
      </c>
      <c r="EZ302">
        <v>38674897</v>
      </c>
      <c r="FA302" t="s">
        <v>37</v>
      </c>
      <c r="FB302">
        <v>40469885</v>
      </c>
      <c r="FC302" t="s">
        <v>37</v>
      </c>
      <c r="FD302">
        <v>79666142</v>
      </c>
      <c r="FE302" t="s">
        <v>37</v>
      </c>
      <c r="FF302">
        <v>810709</v>
      </c>
      <c r="FG302" t="s">
        <v>37</v>
      </c>
      <c r="FH302">
        <v>143168465</v>
      </c>
      <c r="FI302" t="s">
        <v>37</v>
      </c>
      <c r="FJ302">
        <v>330356944</v>
      </c>
      <c r="FK302" t="s">
        <v>37</v>
      </c>
      <c r="FL302">
        <v>230697192</v>
      </c>
      <c r="FM302" t="s">
        <v>37</v>
      </c>
      <c r="FN302">
        <v>20043261</v>
      </c>
      <c r="FO302" t="s">
        <v>37</v>
      </c>
      <c r="FP302">
        <v>46444384</v>
      </c>
      <c r="FQ302" t="s">
        <v>37</v>
      </c>
      <c r="FR302">
        <v>74918239</v>
      </c>
      <c r="FS302" t="s">
        <v>37</v>
      </c>
      <c r="FT302">
        <v>31848139</v>
      </c>
      <c r="FU302" t="s">
        <v>37</v>
      </c>
      <c r="FV302">
        <v>26130844</v>
      </c>
      <c r="FW302" t="s">
        <v>37</v>
      </c>
      <c r="FX302">
        <v>74898046</v>
      </c>
      <c r="FY302" t="s">
        <v>37</v>
      </c>
      <c r="FZ302">
        <v>91951329</v>
      </c>
      <c r="GA302" t="s">
        <v>37</v>
      </c>
      <c r="GB302">
        <v>96326793</v>
      </c>
      <c r="GC302" t="s">
        <v>37</v>
      </c>
      <c r="GD302">
        <v>2236843</v>
      </c>
      <c r="GE302" t="s">
        <v>37</v>
      </c>
      <c r="GF302">
        <v>3043781</v>
      </c>
      <c r="GG302" t="s">
        <v>37</v>
      </c>
      <c r="GH302">
        <v>2848589</v>
      </c>
      <c r="GI302" t="s">
        <v>37</v>
      </c>
      <c r="GJ302">
        <v>80069979</v>
      </c>
      <c r="GK302" t="s">
        <v>37</v>
      </c>
      <c r="GL302">
        <v>77940215</v>
      </c>
      <c r="GM302" t="s">
        <v>37</v>
      </c>
      <c r="GO302" t="s">
        <v>37</v>
      </c>
      <c r="GP302">
        <v>41928630</v>
      </c>
      <c r="GQ302" t="s">
        <v>37</v>
      </c>
      <c r="GR302">
        <v>54416185</v>
      </c>
      <c r="GS302" t="s">
        <v>37</v>
      </c>
      <c r="GT302">
        <v>46916193</v>
      </c>
      <c r="GU302" t="s">
        <v>37</v>
      </c>
      <c r="GV302">
        <v>66867583</v>
      </c>
      <c r="GW302" t="s">
        <v>37</v>
      </c>
      <c r="GX302">
        <v>161525969</v>
      </c>
      <c r="GY302" t="s">
        <v>37</v>
      </c>
      <c r="GZ302">
        <v>83483948</v>
      </c>
      <c r="HA302" t="s">
        <v>37</v>
      </c>
      <c r="HB302">
        <v>10727298</v>
      </c>
      <c r="HC302" t="s">
        <v>37</v>
      </c>
      <c r="HD302">
        <v>9221367</v>
      </c>
      <c r="HE302" t="s">
        <v>37</v>
      </c>
      <c r="HF302">
        <v>7009344911</v>
      </c>
      <c r="HG302" t="s">
        <v>37</v>
      </c>
      <c r="HH302">
        <v>19948665</v>
      </c>
      <c r="HI302" t="s">
        <v>37</v>
      </c>
      <c r="HJ302">
        <v>7029293576</v>
      </c>
      <c r="HK302"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L369"/>
  <sheetViews>
    <sheetView workbookViewId="0"/>
  </sheetViews>
  <sheetFormatPr defaultRowHeight="11.25"/>
  <cols>
    <col min="1" max="1" width="9.33203125" style="46"/>
    <col min="2" max="2" width="9.33203125" style="44"/>
    <col min="3" max="3" width="41.5" style="44" customWidth="1"/>
    <col min="4" max="10" width="9.33203125" style="44"/>
    <col min="11" max="11" width="18.1640625" style="44" customWidth="1"/>
    <col min="12" max="12" width="9.33203125" style="44"/>
    <col min="13" max="13" width="13.83203125" style="44" customWidth="1"/>
    <col min="14" max="14" width="9.33203125" style="44"/>
    <col min="15" max="15" width="16" style="44" customWidth="1"/>
    <col min="16" max="18" width="9.33203125" style="44"/>
    <col min="19" max="19" width="15.5" style="44" customWidth="1"/>
    <col min="20" max="90" width="9.33203125" style="44"/>
    <col min="91" max="91" width="14.83203125" style="44" customWidth="1"/>
    <col min="92" max="92" width="9.33203125" style="44"/>
    <col min="93" max="93" width="13.5" style="44" customWidth="1"/>
    <col min="94" max="106" width="9.33203125" style="44"/>
    <col min="107" max="107" width="18.5" style="44" customWidth="1"/>
    <col min="108" max="122" width="9.33203125" style="44"/>
    <col min="123" max="123" width="13.6640625" style="44" customWidth="1"/>
    <col min="124" max="130" width="9.33203125" style="44"/>
    <col min="131" max="131" width="13.83203125" style="44" customWidth="1"/>
    <col min="132" max="214" width="9.33203125" style="44"/>
    <col min="215" max="215" width="13.83203125" style="44" customWidth="1"/>
    <col min="216" max="218" width="9.33203125" style="44"/>
    <col min="219" max="219" width="15.33203125" style="44" customWidth="1"/>
    <col min="220" max="16384" width="9.33203125" style="44"/>
  </cols>
  <sheetData>
    <row r="1" spans="1:220" ht="15.95" customHeight="1">
      <c r="A1" s="155" t="s">
        <v>690</v>
      </c>
      <c r="B1" s="152"/>
      <c r="C1" s="152"/>
      <c r="D1" s="152"/>
      <c r="E1" s="152"/>
      <c r="F1" s="152"/>
      <c r="G1" s="152"/>
      <c r="H1" s="152"/>
      <c r="I1" s="152"/>
      <c r="J1" s="152"/>
      <c r="K1" s="152"/>
      <c r="L1" s="152"/>
      <c r="M1" s="152"/>
      <c r="N1" s="152"/>
      <c r="O1" s="152"/>
      <c r="P1" s="152"/>
      <c r="Q1" s="152"/>
      <c r="R1" s="152"/>
    </row>
    <row r="2" spans="1:220" ht="15.95" customHeight="1">
      <c r="A2" s="156" t="s">
        <v>694</v>
      </c>
      <c r="B2" s="152"/>
      <c r="C2" s="152"/>
      <c r="D2" s="152"/>
      <c r="E2" s="152"/>
      <c r="F2" s="152"/>
      <c r="G2" s="152"/>
      <c r="H2" s="152"/>
      <c r="I2" s="152"/>
      <c r="J2" s="152"/>
      <c r="K2" s="152"/>
      <c r="L2" s="152"/>
      <c r="M2" s="152"/>
      <c r="N2" s="152"/>
      <c r="O2" s="152"/>
      <c r="P2" s="152"/>
      <c r="Q2" s="152"/>
      <c r="R2" s="152"/>
      <c r="S2" s="208" t="s">
        <v>711</v>
      </c>
      <c r="T2" s="208"/>
      <c r="U2" s="208"/>
      <c r="V2" s="208"/>
    </row>
    <row r="3" spans="1:220" ht="15.95" customHeight="1">
      <c r="A3" s="159" t="s">
        <v>688</v>
      </c>
      <c r="B3" s="158" t="s">
        <v>689</v>
      </c>
      <c r="C3" s="54"/>
      <c r="D3" s="152"/>
      <c r="E3" s="152"/>
      <c r="F3" s="152"/>
      <c r="G3" s="152"/>
      <c r="H3" s="152"/>
      <c r="I3" s="152"/>
      <c r="J3" s="152"/>
      <c r="K3" s="152"/>
      <c r="L3" s="152"/>
      <c r="M3" s="152"/>
      <c r="N3" s="152"/>
      <c r="O3" s="152"/>
      <c r="P3" s="152"/>
      <c r="Q3" s="152"/>
      <c r="R3" s="152"/>
    </row>
    <row r="4" spans="1:220" ht="15.95" customHeight="1">
      <c r="A4" s="157" t="s">
        <v>691</v>
      </c>
      <c r="B4" s="157"/>
      <c r="C4" s="160"/>
      <c r="D4" s="152"/>
      <c r="E4" s="152"/>
      <c r="F4" s="152"/>
      <c r="G4" s="152"/>
      <c r="H4" s="152"/>
      <c r="I4" s="152"/>
      <c r="J4" s="152"/>
      <c r="K4" s="152"/>
      <c r="L4" s="152"/>
      <c r="M4" s="152"/>
      <c r="N4" s="152"/>
      <c r="O4" s="152"/>
      <c r="P4" s="152"/>
      <c r="Q4" s="152"/>
      <c r="R4" s="152"/>
    </row>
    <row r="5" spans="1:220" ht="15.95" customHeight="1">
      <c r="A5" s="47"/>
    </row>
    <row r="6" spans="1:220">
      <c r="A6" s="154" t="s">
        <v>685</v>
      </c>
    </row>
    <row r="7" spans="1:220">
      <c r="A7" s="154" t="s">
        <v>686</v>
      </c>
      <c r="D7" s="44" t="s">
        <v>37</v>
      </c>
      <c r="E7" s="44" t="s">
        <v>38</v>
      </c>
      <c r="F7" s="44" t="s">
        <v>37</v>
      </c>
      <c r="G7" s="44" t="s">
        <v>39</v>
      </c>
      <c r="H7" s="44" t="s">
        <v>37</v>
      </c>
      <c r="I7" s="44" t="s">
        <v>40</v>
      </c>
      <c r="J7" s="44" t="s">
        <v>37</v>
      </c>
      <c r="K7" s="44" t="s">
        <v>41</v>
      </c>
      <c r="L7" s="48" t="s">
        <v>37</v>
      </c>
      <c r="M7" s="49" t="s">
        <v>303</v>
      </c>
      <c r="N7" s="48" t="s">
        <v>37</v>
      </c>
      <c r="O7" s="49" t="s">
        <v>304</v>
      </c>
      <c r="P7" s="48" t="s">
        <v>37</v>
      </c>
      <c r="Q7" s="49" t="s">
        <v>305</v>
      </c>
      <c r="R7" s="48" t="s">
        <v>37</v>
      </c>
      <c r="S7" s="49" t="s">
        <v>306</v>
      </c>
      <c r="T7" s="48" t="s">
        <v>37</v>
      </c>
      <c r="U7" s="44" t="s">
        <v>307</v>
      </c>
      <c r="V7" s="44" t="s">
        <v>37</v>
      </c>
      <c r="W7" s="44" t="s">
        <v>308</v>
      </c>
      <c r="X7" s="44" t="s">
        <v>37</v>
      </c>
      <c r="Y7" s="44" t="s">
        <v>309</v>
      </c>
      <c r="Z7" s="44" t="s">
        <v>37</v>
      </c>
      <c r="AA7" s="44" t="s">
        <v>310</v>
      </c>
      <c r="AB7" s="44" t="s">
        <v>37</v>
      </c>
      <c r="AC7" s="44" t="s">
        <v>311</v>
      </c>
      <c r="AD7" s="44" t="s">
        <v>37</v>
      </c>
      <c r="AE7" s="44" t="s">
        <v>312</v>
      </c>
      <c r="AF7" s="44" t="s">
        <v>37</v>
      </c>
      <c r="AG7" s="44" t="s">
        <v>313</v>
      </c>
      <c r="AH7" s="44" t="s">
        <v>37</v>
      </c>
      <c r="AI7" s="44" t="s">
        <v>314</v>
      </c>
      <c r="AJ7" s="44" t="s">
        <v>37</v>
      </c>
      <c r="AK7" s="44" t="s">
        <v>315</v>
      </c>
      <c r="AL7" s="44" t="s">
        <v>37</v>
      </c>
      <c r="AM7" s="44" t="s">
        <v>316</v>
      </c>
      <c r="AN7" s="44" t="s">
        <v>37</v>
      </c>
      <c r="AO7" s="44" t="s">
        <v>317</v>
      </c>
      <c r="AP7" s="44" t="s">
        <v>37</v>
      </c>
      <c r="AQ7" s="44" t="s">
        <v>318</v>
      </c>
      <c r="AR7" s="44" t="s">
        <v>37</v>
      </c>
      <c r="AS7" s="44" t="s">
        <v>319</v>
      </c>
      <c r="AT7" s="44" t="s">
        <v>37</v>
      </c>
      <c r="AU7" s="44" t="s">
        <v>320</v>
      </c>
      <c r="AV7" s="44" t="s">
        <v>37</v>
      </c>
      <c r="AW7" s="44" t="s">
        <v>321</v>
      </c>
      <c r="AX7" s="44" t="s">
        <v>37</v>
      </c>
      <c r="AY7" s="44" t="s">
        <v>322</v>
      </c>
      <c r="AZ7" s="44" t="s">
        <v>37</v>
      </c>
      <c r="BA7" s="44" t="s">
        <v>323</v>
      </c>
      <c r="BB7" s="44" t="s">
        <v>37</v>
      </c>
      <c r="BC7" s="44" t="s">
        <v>324</v>
      </c>
      <c r="BD7" s="44" t="s">
        <v>37</v>
      </c>
      <c r="BE7" s="44" t="s">
        <v>325</v>
      </c>
      <c r="BF7" s="44" t="s">
        <v>37</v>
      </c>
      <c r="BG7" s="44" t="s">
        <v>326</v>
      </c>
      <c r="BH7" s="44" t="s">
        <v>37</v>
      </c>
      <c r="BI7" s="44" t="s">
        <v>327</v>
      </c>
      <c r="BJ7" s="44" t="s">
        <v>37</v>
      </c>
      <c r="BK7" s="44" t="s">
        <v>328</v>
      </c>
      <c r="BL7" s="44" t="s">
        <v>37</v>
      </c>
      <c r="BM7" s="44" t="s">
        <v>329</v>
      </c>
      <c r="BN7" s="44" t="s">
        <v>37</v>
      </c>
      <c r="BO7" s="44" t="s">
        <v>330</v>
      </c>
      <c r="BP7" s="44" t="s">
        <v>37</v>
      </c>
      <c r="BQ7" s="44" t="s">
        <v>331</v>
      </c>
      <c r="BR7" s="44" t="s">
        <v>37</v>
      </c>
      <c r="BS7" s="44" t="s">
        <v>332</v>
      </c>
      <c r="BT7" s="44" t="s">
        <v>37</v>
      </c>
      <c r="BU7" s="44" t="s">
        <v>333</v>
      </c>
      <c r="BV7" s="44" t="s">
        <v>37</v>
      </c>
      <c r="BW7" s="44" t="s">
        <v>334</v>
      </c>
      <c r="BX7" s="44" t="s">
        <v>37</v>
      </c>
      <c r="BY7" s="44" t="s">
        <v>335</v>
      </c>
      <c r="BZ7" s="44" t="s">
        <v>37</v>
      </c>
      <c r="CA7" s="44" t="s">
        <v>336</v>
      </c>
      <c r="CB7" s="44" t="s">
        <v>37</v>
      </c>
      <c r="CC7" s="44" t="s">
        <v>337</v>
      </c>
      <c r="CD7" s="44" t="s">
        <v>37</v>
      </c>
      <c r="CE7" s="44" t="s">
        <v>338</v>
      </c>
      <c r="CF7" s="44" t="s">
        <v>37</v>
      </c>
      <c r="CG7" s="44" t="s">
        <v>339</v>
      </c>
      <c r="CH7" s="44" t="s">
        <v>37</v>
      </c>
      <c r="CI7" s="44" t="s">
        <v>340</v>
      </c>
      <c r="CJ7" s="44" t="s">
        <v>37</v>
      </c>
      <c r="CK7" s="44" t="s">
        <v>341</v>
      </c>
      <c r="CL7" s="44" t="s">
        <v>37</v>
      </c>
      <c r="CM7" s="44" t="s">
        <v>342</v>
      </c>
      <c r="CN7" s="44" t="s">
        <v>37</v>
      </c>
      <c r="CO7" s="44" t="s">
        <v>343</v>
      </c>
      <c r="CP7" s="44" t="s">
        <v>37</v>
      </c>
      <c r="CQ7" s="44" t="s">
        <v>344</v>
      </c>
      <c r="CR7" s="44" t="s">
        <v>37</v>
      </c>
      <c r="CS7" s="44" t="s">
        <v>345</v>
      </c>
      <c r="CT7" s="44" t="s">
        <v>37</v>
      </c>
      <c r="CU7" s="44" t="s">
        <v>346</v>
      </c>
      <c r="CV7" s="44" t="s">
        <v>37</v>
      </c>
      <c r="CW7" s="44" t="s">
        <v>347</v>
      </c>
      <c r="CX7" s="44" t="s">
        <v>37</v>
      </c>
      <c r="CY7" s="44" t="s">
        <v>348</v>
      </c>
      <c r="CZ7" s="44" t="s">
        <v>37</v>
      </c>
      <c r="DA7" s="44" t="s">
        <v>349</v>
      </c>
      <c r="DB7" s="44" t="s">
        <v>37</v>
      </c>
      <c r="DC7" s="44" t="s">
        <v>350</v>
      </c>
      <c r="DD7" s="44" t="s">
        <v>37</v>
      </c>
      <c r="DE7" s="44" t="s">
        <v>351</v>
      </c>
      <c r="DF7" s="44" t="s">
        <v>37</v>
      </c>
      <c r="DG7" s="44" t="s">
        <v>352</v>
      </c>
      <c r="DH7" s="44" t="s">
        <v>37</v>
      </c>
      <c r="DI7" s="44" t="s">
        <v>353</v>
      </c>
      <c r="DJ7" s="44" t="s">
        <v>37</v>
      </c>
      <c r="DK7" s="44" t="s">
        <v>354</v>
      </c>
      <c r="DL7" s="44" t="s">
        <v>37</v>
      </c>
      <c r="DM7" s="44" t="s">
        <v>355</v>
      </c>
      <c r="DN7" s="44" t="s">
        <v>37</v>
      </c>
      <c r="DO7" s="44" t="s">
        <v>356</v>
      </c>
      <c r="DP7" s="44" t="s">
        <v>37</v>
      </c>
      <c r="DQ7" s="44" t="s">
        <v>357</v>
      </c>
      <c r="DR7" s="44" t="s">
        <v>37</v>
      </c>
      <c r="DS7" s="44" t="s">
        <v>358</v>
      </c>
      <c r="DT7" s="44" t="s">
        <v>37</v>
      </c>
      <c r="DU7" s="44" t="s">
        <v>359</v>
      </c>
      <c r="DV7" s="44" t="s">
        <v>37</v>
      </c>
      <c r="DW7" s="44" t="s">
        <v>360</v>
      </c>
      <c r="DX7" s="44" t="s">
        <v>37</v>
      </c>
      <c r="DY7" s="44" t="s">
        <v>361</v>
      </c>
      <c r="DZ7" s="44" t="s">
        <v>37</v>
      </c>
      <c r="EA7" s="44" t="s">
        <v>362</v>
      </c>
      <c r="EB7" s="44" t="s">
        <v>37</v>
      </c>
      <c r="EC7" s="44" t="s">
        <v>363</v>
      </c>
      <c r="ED7" s="44" t="s">
        <v>37</v>
      </c>
      <c r="EE7" s="44" t="s">
        <v>364</v>
      </c>
      <c r="EF7" s="44" t="s">
        <v>37</v>
      </c>
      <c r="EG7" s="44" t="s">
        <v>365</v>
      </c>
      <c r="EH7" s="44" t="s">
        <v>37</v>
      </c>
      <c r="EI7" s="44" t="s">
        <v>366</v>
      </c>
      <c r="EJ7" s="44" t="s">
        <v>37</v>
      </c>
      <c r="EK7" s="44" t="s">
        <v>367</v>
      </c>
      <c r="EL7" s="44" t="s">
        <v>37</v>
      </c>
      <c r="EM7" s="44" t="s">
        <v>368</v>
      </c>
      <c r="EN7" s="44" t="s">
        <v>37</v>
      </c>
      <c r="EO7" s="44" t="s">
        <v>369</v>
      </c>
      <c r="EP7" s="44" t="s">
        <v>37</v>
      </c>
      <c r="EQ7" s="44" t="s">
        <v>370</v>
      </c>
      <c r="ER7" s="44" t="s">
        <v>37</v>
      </c>
      <c r="ES7" s="44" t="s">
        <v>371</v>
      </c>
      <c r="ET7" s="44" t="s">
        <v>37</v>
      </c>
      <c r="EU7" s="44" t="s">
        <v>372</v>
      </c>
      <c r="EV7" s="44" t="s">
        <v>37</v>
      </c>
      <c r="EW7" s="44" t="s">
        <v>373</v>
      </c>
      <c r="EX7" s="44" t="s">
        <v>37</v>
      </c>
      <c r="EY7" s="44" t="s">
        <v>374</v>
      </c>
      <c r="EZ7" s="44" t="s">
        <v>37</v>
      </c>
      <c r="FA7" s="44" t="s">
        <v>375</v>
      </c>
      <c r="FB7" s="44" t="s">
        <v>37</v>
      </c>
      <c r="FC7" s="44" t="s">
        <v>376</v>
      </c>
      <c r="FD7" s="44" t="s">
        <v>37</v>
      </c>
      <c r="FE7" s="44" t="s">
        <v>377</v>
      </c>
      <c r="FF7" s="44" t="s">
        <v>37</v>
      </c>
      <c r="FG7" s="44" t="s">
        <v>378</v>
      </c>
      <c r="FH7" s="44" t="s">
        <v>37</v>
      </c>
      <c r="FI7" s="44" t="s">
        <v>379</v>
      </c>
      <c r="FJ7" s="44" t="s">
        <v>37</v>
      </c>
      <c r="FK7" s="44" t="s">
        <v>380</v>
      </c>
      <c r="FL7" s="44" t="s">
        <v>37</v>
      </c>
      <c r="FM7" s="44" t="s">
        <v>381</v>
      </c>
      <c r="FN7" s="44" t="s">
        <v>37</v>
      </c>
      <c r="FO7" s="44" t="s">
        <v>382</v>
      </c>
      <c r="FP7" s="44" t="s">
        <v>37</v>
      </c>
      <c r="FQ7" s="44" t="s">
        <v>383</v>
      </c>
      <c r="FR7" s="44" t="s">
        <v>37</v>
      </c>
      <c r="FS7" s="44" t="s">
        <v>384</v>
      </c>
      <c r="FT7" s="44" t="s">
        <v>37</v>
      </c>
      <c r="FU7" s="44" t="s">
        <v>385</v>
      </c>
      <c r="FV7" s="44" t="s">
        <v>37</v>
      </c>
      <c r="FW7" s="44" t="s">
        <v>386</v>
      </c>
      <c r="FX7" s="44" t="s">
        <v>37</v>
      </c>
      <c r="FY7" s="44" t="s">
        <v>387</v>
      </c>
      <c r="FZ7" s="44" t="s">
        <v>37</v>
      </c>
      <c r="GA7" s="44" t="s">
        <v>388</v>
      </c>
      <c r="GB7" s="44" t="s">
        <v>37</v>
      </c>
      <c r="GC7" s="44" t="s">
        <v>389</v>
      </c>
      <c r="GD7" s="44" t="s">
        <v>37</v>
      </c>
      <c r="GE7" s="44" t="s">
        <v>390</v>
      </c>
      <c r="GF7" s="44" t="s">
        <v>37</v>
      </c>
      <c r="GG7" s="44" t="s">
        <v>391</v>
      </c>
      <c r="GH7" s="44" t="s">
        <v>37</v>
      </c>
      <c r="GI7" s="44" t="s">
        <v>392</v>
      </c>
      <c r="GJ7" s="44" t="s">
        <v>37</v>
      </c>
      <c r="GK7" s="44" t="s">
        <v>393</v>
      </c>
      <c r="GL7" s="44" t="s">
        <v>37</v>
      </c>
      <c r="GM7" s="44" t="s">
        <v>394</v>
      </c>
      <c r="GN7" s="44" t="s">
        <v>37</v>
      </c>
      <c r="GO7" s="44" t="s">
        <v>395</v>
      </c>
      <c r="GP7" s="44" t="s">
        <v>37</v>
      </c>
      <c r="GQ7" s="44" t="s">
        <v>396</v>
      </c>
      <c r="GR7" s="44" t="s">
        <v>37</v>
      </c>
      <c r="GS7" s="44" t="s">
        <v>397</v>
      </c>
      <c r="GT7" s="44" t="s">
        <v>37</v>
      </c>
      <c r="GU7" s="44" t="s">
        <v>398</v>
      </c>
      <c r="GV7" s="44" t="s">
        <v>37</v>
      </c>
      <c r="GW7" s="44" t="s">
        <v>399</v>
      </c>
      <c r="GX7" s="44" t="s">
        <v>37</v>
      </c>
      <c r="GY7" s="44" t="s">
        <v>400</v>
      </c>
      <c r="GZ7" s="44" t="s">
        <v>37</v>
      </c>
      <c r="HA7" s="44" t="s">
        <v>401</v>
      </c>
      <c r="HB7" s="44" t="s">
        <v>37</v>
      </c>
      <c r="HC7" s="44" t="s">
        <v>29</v>
      </c>
      <c r="HD7" s="44" t="s">
        <v>37</v>
      </c>
      <c r="HE7" s="44" t="s">
        <v>402</v>
      </c>
      <c r="HF7" s="44" t="s">
        <v>37</v>
      </c>
      <c r="HG7" s="44" t="s">
        <v>403</v>
      </c>
      <c r="HH7" s="44" t="s">
        <v>37</v>
      </c>
      <c r="HI7" s="44" t="s">
        <v>404</v>
      </c>
      <c r="HJ7" s="44" t="s">
        <v>37</v>
      </c>
      <c r="HK7" s="44" t="s">
        <v>405</v>
      </c>
      <c r="HL7" s="44" t="s">
        <v>37</v>
      </c>
    </row>
    <row r="8" spans="1:220">
      <c r="D8" s="44" t="s">
        <v>37</v>
      </c>
      <c r="F8" s="44" t="s">
        <v>37</v>
      </c>
      <c r="H8" s="44" t="s">
        <v>37</v>
      </c>
      <c r="J8" s="44" t="s">
        <v>37</v>
      </c>
      <c r="L8" s="48" t="s">
        <v>37</v>
      </c>
      <c r="M8" s="50"/>
      <c r="N8" s="48" t="s">
        <v>37</v>
      </c>
      <c r="O8" s="50"/>
      <c r="P8" s="48" t="s">
        <v>37</v>
      </c>
      <c r="Q8" s="50"/>
      <c r="R8" s="48" t="s">
        <v>37</v>
      </c>
      <c r="S8" s="50"/>
      <c r="T8" s="48" t="s">
        <v>37</v>
      </c>
      <c r="V8" s="44" t="s">
        <v>37</v>
      </c>
      <c r="X8" s="44" t="s">
        <v>37</v>
      </c>
      <c r="Z8" s="44" t="s">
        <v>37</v>
      </c>
      <c r="AB8" s="44" t="s">
        <v>37</v>
      </c>
      <c r="AD8" s="44" t="s">
        <v>37</v>
      </c>
      <c r="AF8" s="44" t="s">
        <v>37</v>
      </c>
      <c r="AH8" s="44" t="s">
        <v>37</v>
      </c>
      <c r="AJ8" s="44" t="s">
        <v>37</v>
      </c>
      <c r="AL8" s="44" t="s">
        <v>37</v>
      </c>
      <c r="AN8" s="44" t="s">
        <v>37</v>
      </c>
      <c r="AP8" s="44" t="s">
        <v>37</v>
      </c>
      <c r="AR8" s="44" t="s">
        <v>37</v>
      </c>
      <c r="AT8" s="44" t="s">
        <v>37</v>
      </c>
      <c r="AV8" s="44" t="s">
        <v>37</v>
      </c>
      <c r="AX8" s="44" t="s">
        <v>37</v>
      </c>
      <c r="AZ8" s="44" t="s">
        <v>37</v>
      </c>
      <c r="BB8" s="44" t="s">
        <v>37</v>
      </c>
      <c r="BD8" s="44" t="s">
        <v>37</v>
      </c>
      <c r="BF8" s="44" t="s">
        <v>37</v>
      </c>
      <c r="BH8" s="44" t="s">
        <v>37</v>
      </c>
      <c r="BJ8" s="44" t="s">
        <v>37</v>
      </c>
      <c r="BL8" s="44" t="s">
        <v>37</v>
      </c>
      <c r="BN8" s="44" t="s">
        <v>37</v>
      </c>
      <c r="BP8" s="44" t="s">
        <v>37</v>
      </c>
      <c r="BR8" s="44" t="s">
        <v>37</v>
      </c>
      <c r="BT8" s="44" t="s">
        <v>37</v>
      </c>
      <c r="BV8" s="44" t="s">
        <v>37</v>
      </c>
      <c r="BX8" s="44" t="s">
        <v>37</v>
      </c>
      <c r="BZ8" s="44" t="s">
        <v>37</v>
      </c>
      <c r="CB8" s="44" t="s">
        <v>37</v>
      </c>
      <c r="CD8" s="44" t="s">
        <v>37</v>
      </c>
      <c r="CF8" s="44" t="s">
        <v>37</v>
      </c>
      <c r="CH8" s="44" t="s">
        <v>37</v>
      </c>
      <c r="CJ8" s="44" t="s">
        <v>37</v>
      </c>
      <c r="CL8" s="44" t="s">
        <v>37</v>
      </c>
      <c r="CN8" s="44" t="s">
        <v>37</v>
      </c>
      <c r="CP8" s="44" t="s">
        <v>37</v>
      </c>
      <c r="CR8" s="44" t="s">
        <v>37</v>
      </c>
      <c r="CT8" s="44" t="s">
        <v>37</v>
      </c>
      <c r="CV8" s="44" t="s">
        <v>37</v>
      </c>
      <c r="CX8" s="44" t="s">
        <v>37</v>
      </c>
      <c r="CZ8" s="44" t="s">
        <v>37</v>
      </c>
      <c r="DB8" s="44" t="s">
        <v>37</v>
      </c>
      <c r="DD8" s="44" t="s">
        <v>37</v>
      </c>
      <c r="DF8" s="44" t="s">
        <v>37</v>
      </c>
      <c r="DH8" s="44" t="s">
        <v>37</v>
      </c>
      <c r="DJ8" s="44" t="s">
        <v>37</v>
      </c>
      <c r="DL8" s="44" t="s">
        <v>37</v>
      </c>
      <c r="DN8" s="44" t="s">
        <v>37</v>
      </c>
      <c r="DP8" s="44" t="s">
        <v>37</v>
      </c>
      <c r="DR8" s="44" t="s">
        <v>37</v>
      </c>
      <c r="DT8" s="44" t="s">
        <v>37</v>
      </c>
      <c r="DV8" s="44" t="s">
        <v>37</v>
      </c>
      <c r="DX8" s="44" t="s">
        <v>37</v>
      </c>
      <c r="DZ8" s="44" t="s">
        <v>37</v>
      </c>
      <c r="EB8" s="44" t="s">
        <v>37</v>
      </c>
      <c r="ED8" s="44" t="s">
        <v>37</v>
      </c>
      <c r="EF8" s="44" t="s">
        <v>37</v>
      </c>
      <c r="EH8" s="44" t="s">
        <v>37</v>
      </c>
      <c r="EJ8" s="44" t="s">
        <v>37</v>
      </c>
      <c r="EL8" s="44" t="s">
        <v>37</v>
      </c>
      <c r="EN8" s="44" t="s">
        <v>37</v>
      </c>
      <c r="EP8" s="44" t="s">
        <v>37</v>
      </c>
      <c r="ER8" s="44" t="s">
        <v>37</v>
      </c>
      <c r="ET8" s="44" t="s">
        <v>37</v>
      </c>
      <c r="EV8" s="44" t="s">
        <v>37</v>
      </c>
      <c r="EX8" s="44" t="s">
        <v>37</v>
      </c>
      <c r="EZ8" s="44" t="s">
        <v>37</v>
      </c>
      <c r="FB8" s="44" t="s">
        <v>37</v>
      </c>
      <c r="FD8" s="44" t="s">
        <v>37</v>
      </c>
      <c r="FF8" s="44" t="s">
        <v>37</v>
      </c>
      <c r="FH8" s="44" t="s">
        <v>37</v>
      </c>
      <c r="FJ8" s="44" t="s">
        <v>37</v>
      </c>
      <c r="FL8" s="44" t="s">
        <v>37</v>
      </c>
      <c r="FN8" s="44" t="s">
        <v>37</v>
      </c>
      <c r="FP8" s="44" t="s">
        <v>37</v>
      </c>
      <c r="FR8" s="44" t="s">
        <v>37</v>
      </c>
      <c r="FT8" s="44" t="s">
        <v>37</v>
      </c>
      <c r="FV8" s="44" t="s">
        <v>37</v>
      </c>
      <c r="FX8" s="44" t="s">
        <v>37</v>
      </c>
      <c r="FZ8" s="44" t="s">
        <v>37</v>
      </c>
      <c r="GB8" s="44" t="s">
        <v>37</v>
      </c>
      <c r="GD8" s="44" t="s">
        <v>37</v>
      </c>
      <c r="GF8" s="44" t="s">
        <v>37</v>
      </c>
      <c r="GH8" s="44" t="s">
        <v>37</v>
      </c>
      <c r="GJ8" s="44" t="s">
        <v>37</v>
      </c>
      <c r="GL8" s="44" t="s">
        <v>37</v>
      </c>
      <c r="GN8" s="44" t="s">
        <v>37</v>
      </c>
      <c r="GP8" s="44" t="s">
        <v>37</v>
      </c>
      <c r="GR8" s="44" t="s">
        <v>37</v>
      </c>
      <c r="GT8" s="44" t="s">
        <v>37</v>
      </c>
      <c r="GV8" s="44" t="s">
        <v>37</v>
      </c>
      <c r="GX8" s="44" t="s">
        <v>37</v>
      </c>
      <c r="GZ8" s="44" t="s">
        <v>37</v>
      </c>
      <c r="HB8" s="44" t="s">
        <v>37</v>
      </c>
      <c r="HD8" s="44" t="s">
        <v>37</v>
      </c>
      <c r="HF8" s="44" t="s">
        <v>37</v>
      </c>
      <c r="HH8" s="44" t="s">
        <v>37</v>
      </c>
      <c r="HJ8" s="44" t="s">
        <v>37</v>
      </c>
      <c r="HL8" s="44" t="s">
        <v>37</v>
      </c>
    </row>
    <row r="9" spans="1:220">
      <c r="A9" s="150" t="s">
        <v>408</v>
      </c>
      <c r="B9" s="54">
        <v>1000</v>
      </c>
      <c r="C9" s="44" t="s">
        <v>42</v>
      </c>
      <c r="D9" s="44" t="s">
        <v>37</v>
      </c>
      <c r="F9" s="44" t="s">
        <v>37</v>
      </c>
      <c r="H9" s="44" t="s">
        <v>37</v>
      </c>
      <c r="J9" s="44" t="s">
        <v>37</v>
      </c>
      <c r="L9" s="48" t="s">
        <v>37</v>
      </c>
      <c r="M9" s="50"/>
      <c r="N9" s="48" t="s">
        <v>37</v>
      </c>
      <c r="O9" s="50"/>
      <c r="P9" s="48" t="s">
        <v>37</v>
      </c>
      <c r="Q9" s="50"/>
      <c r="R9" s="48" t="s">
        <v>37</v>
      </c>
      <c r="S9" s="50"/>
      <c r="T9" s="48" t="s">
        <v>37</v>
      </c>
      <c r="V9" s="44" t="s">
        <v>37</v>
      </c>
      <c r="X9" s="44" t="s">
        <v>37</v>
      </c>
      <c r="Z9" s="44" t="s">
        <v>37</v>
      </c>
      <c r="AB9" s="44" t="s">
        <v>37</v>
      </c>
      <c r="AD9" s="44" t="s">
        <v>37</v>
      </c>
      <c r="AF9" s="44" t="s">
        <v>37</v>
      </c>
      <c r="AH9" s="44" t="s">
        <v>37</v>
      </c>
      <c r="AJ9" s="44" t="s">
        <v>37</v>
      </c>
      <c r="AL9" s="44" t="s">
        <v>37</v>
      </c>
      <c r="AN9" s="44" t="s">
        <v>37</v>
      </c>
      <c r="AP9" s="44" t="s">
        <v>37</v>
      </c>
      <c r="AR9" s="44" t="s">
        <v>37</v>
      </c>
      <c r="AT9" s="44" t="s">
        <v>37</v>
      </c>
      <c r="AV9" s="44" t="s">
        <v>37</v>
      </c>
      <c r="AX9" s="44" t="s">
        <v>37</v>
      </c>
      <c r="AZ9" s="44" t="s">
        <v>37</v>
      </c>
      <c r="BB9" s="44" t="s">
        <v>37</v>
      </c>
      <c r="BD9" s="44" t="s">
        <v>37</v>
      </c>
      <c r="BF9" s="44" t="s">
        <v>37</v>
      </c>
      <c r="BH9" s="44" t="s">
        <v>37</v>
      </c>
      <c r="BJ9" s="44" t="s">
        <v>37</v>
      </c>
      <c r="BL9" s="44" t="s">
        <v>37</v>
      </c>
      <c r="BN9" s="44" t="s">
        <v>37</v>
      </c>
      <c r="BP9" s="44" t="s">
        <v>37</v>
      </c>
      <c r="BR9" s="44" t="s">
        <v>37</v>
      </c>
      <c r="BT9" s="44" t="s">
        <v>37</v>
      </c>
      <c r="BV9" s="44" t="s">
        <v>37</v>
      </c>
      <c r="BX9" s="44" t="s">
        <v>37</v>
      </c>
      <c r="BZ9" s="44" t="s">
        <v>37</v>
      </c>
      <c r="CB9" s="44" t="s">
        <v>37</v>
      </c>
      <c r="CD9" s="44" t="s">
        <v>37</v>
      </c>
      <c r="CF9" s="44" t="s">
        <v>37</v>
      </c>
      <c r="CH9" s="44" t="s">
        <v>37</v>
      </c>
      <c r="CJ9" s="44" t="s">
        <v>37</v>
      </c>
      <c r="CL9" s="44" t="s">
        <v>37</v>
      </c>
      <c r="CN9" s="44" t="s">
        <v>37</v>
      </c>
      <c r="CP9" s="44" t="s">
        <v>37</v>
      </c>
      <c r="CR9" s="44" t="s">
        <v>37</v>
      </c>
      <c r="CT9" s="44" t="s">
        <v>37</v>
      </c>
      <c r="CV9" s="44" t="s">
        <v>37</v>
      </c>
      <c r="CX9" s="44" t="s">
        <v>37</v>
      </c>
      <c r="CZ9" s="44" t="s">
        <v>37</v>
      </c>
      <c r="DB9" s="44" t="s">
        <v>37</v>
      </c>
      <c r="DD9" s="44" t="s">
        <v>37</v>
      </c>
      <c r="DF9" s="44" t="s">
        <v>37</v>
      </c>
      <c r="DH9" s="44" t="s">
        <v>37</v>
      </c>
      <c r="DJ9" s="44" t="s">
        <v>37</v>
      </c>
      <c r="DL9" s="44" t="s">
        <v>37</v>
      </c>
      <c r="DN9" s="44" t="s">
        <v>37</v>
      </c>
      <c r="DP9" s="44" t="s">
        <v>37</v>
      </c>
      <c r="DR9" s="44" t="s">
        <v>37</v>
      </c>
      <c r="DT9" s="44" t="s">
        <v>37</v>
      </c>
      <c r="DV9" s="44" t="s">
        <v>37</v>
      </c>
      <c r="DX9" s="44" t="s">
        <v>37</v>
      </c>
      <c r="DZ9" s="44" t="s">
        <v>37</v>
      </c>
      <c r="EB9" s="44" t="s">
        <v>37</v>
      </c>
      <c r="ED9" s="44" t="s">
        <v>37</v>
      </c>
      <c r="EF9" s="44" t="s">
        <v>37</v>
      </c>
      <c r="EH9" s="44" t="s">
        <v>37</v>
      </c>
      <c r="EJ9" s="44" t="s">
        <v>37</v>
      </c>
      <c r="EL9" s="44" t="s">
        <v>37</v>
      </c>
      <c r="EN9" s="44" t="s">
        <v>37</v>
      </c>
      <c r="EP9" s="44" t="s">
        <v>37</v>
      </c>
      <c r="ER9" s="44" t="s">
        <v>37</v>
      </c>
      <c r="ET9" s="44" t="s">
        <v>37</v>
      </c>
      <c r="EV9" s="44" t="s">
        <v>37</v>
      </c>
      <c r="EX9" s="44" t="s">
        <v>37</v>
      </c>
      <c r="EZ9" s="44" t="s">
        <v>37</v>
      </c>
      <c r="FB9" s="44" t="s">
        <v>37</v>
      </c>
      <c r="FD9" s="44" t="s">
        <v>37</v>
      </c>
      <c r="FF9" s="44" t="s">
        <v>37</v>
      </c>
      <c r="FH9" s="44" t="s">
        <v>37</v>
      </c>
      <c r="FJ9" s="44" t="s">
        <v>37</v>
      </c>
      <c r="FL9" s="44" t="s">
        <v>37</v>
      </c>
      <c r="FN9" s="44" t="s">
        <v>37</v>
      </c>
      <c r="FP9" s="44" t="s">
        <v>37</v>
      </c>
      <c r="FR9" s="44" t="s">
        <v>37</v>
      </c>
      <c r="FT9" s="44" t="s">
        <v>37</v>
      </c>
      <c r="FV9" s="44" t="s">
        <v>37</v>
      </c>
      <c r="FX9" s="44" t="s">
        <v>37</v>
      </c>
      <c r="FZ9" s="44" t="s">
        <v>37</v>
      </c>
      <c r="GB9" s="44" t="s">
        <v>37</v>
      </c>
      <c r="GD9" s="44" t="s">
        <v>37</v>
      </c>
      <c r="GF9" s="44" t="s">
        <v>37</v>
      </c>
      <c r="GH9" s="44" t="s">
        <v>37</v>
      </c>
      <c r="GJ9" s="44" t="s">
        <v>37</v>
      </c>
      <c r="GL9" s="44" t="s">
        <v>37</v>
      </c>
      <c r="GN9" s="44" t="s">
        <v>37</v>
      </c>
      <c r="GP9" s="44" t="s">
        <v>37</v>
      </c>
      <c r="GR9" s="44" t="s">
        <v>37</v>
      </c>
      <c r="GT9" s="44" t="s">
        <v>37</v>
      </c>
      <c r="GV9" s="44" t="s">
        <v>37</v>
      </c>
      <c r="GX9" s="44" t="s">
        <v>37</v>
      </c>
      <c r="GZ9" s="44" t="s">
        <v>37</v>
      </c>
      <c r="HB9" s="44" t="s">
        <v>37</v>
      </c>
      <c r="HD9" s="44" t="s">
        <v>37</v>
      </c>
      <c r="HF9" s="44" t="s">
        <v>37</v>
      </c>
      <c r="HH9" s="44" t="s">
        <v>37</v>
      </c>
      <c r="HJ9" s="44" t="s">
        <v>37</v>
      </c>
      <c r="HL9" s="44" t="s">
        <v>37</v>
      </c>
    </row>
    <row r="10" spans="1:220">
      <c r="A10" s="150" t="s">
        <v>408</v>
      </c>
      <c r="B10" s="54">
        <v>1100</v>
      </c>
      <c r="C10" s="44" t="s">
        <v>43</v>
      </c>
      <c r="D10" s="44" t="s">
        <v>37</v>
      </c>
      <c r="F10" s="44" t="s">
        <v>37</v>
      </c>
      <c r="H10" s="44" t="s">
        <v>37</v>
      </c>
      <c r="J10" s="44" t="s">
        <v>37</v>
      </c>
      <c r="L10" s="48" t="s">
        <v>37</v>
      </c>
      <c r="M10" s="50"/>
      <c r="N10" s="48" t="s">
        <v>37</v>
      </c>
      <c r="O10" s="50"/>
      <c r="P10" s="48" t="s">
        <v>37</v>
      </c>
      <c r="Q10" s="50"/>
      <c r="R10" s="48" t="s">
        <v>37</v>
      </c>
      <c r="S10" s="50"/>
      <c r="T10" s="48" t="s">
        <v>37</v>
      </c>
      <c r="V10" s="44" t="s">
        <v>37</v>
      </c>
      <c r="X10" s="44" t="s">
        <v>37</v>
      </c>
      <c r="Z10" s="44" t="s">
        <v>37</v>
      </c>
      <c r="AB10" s="44" t="s">
        <v>37</v>
      </c>
      <c r="AD10" s="44" t="s">
        <v>37</v>
      </c>
      <c r="AF10" s="44" t="s">
        <v>37</v>
      </c>
      <c r="AH10" s="44" t="s">
        <v>37</v>
      </c>
      <c r="AJ10" s="44" t="s">
        <v>37</v>
      </c>
      <c r="AL10" s="44" t="s">
        <v>37</v>
      </c>
      <c r="AN10" s="44" t="s">
        <v>37</v>
      </c>
      <c r="AP10" s="44" t="s">
        <v>37</v>
      </c>
      <c r="AR10" s="44" t="s">
        <v>37</v>
      </c>
      <c r="AT10" s="44" t="s">
        <v>37</v>
      </c>
      <c r="AV10" s="44" t="s">
        <v>37</v>
      </c>
      <c r="AX10" s="44" t="s">
        <v>37</v>
      </c>
      <c r="AZ10" s="44" t="s">
        <v>37</v>
      </c>
      <c r="BB10" s="44" t="s">
        <v>37</v>
      </c>
      <c r="BD10" s="44" t="s">
        <v>37</v>
      </c>
      <c r="BF10" s="44" t="s">
        <v>37</v>
      </c>
      <c r="BH10" s="44" t="s">
        <v>37</v>
      </c>
      <c r="BJ10" s="44" t="s">
        <v>37</v>
      </c>
      <c r="BL10" s="44" t="s">
        <v>37</v>
      </c>
      <c r="BN10" s="44" t="s">
        <v>37</v>
      </c>
      <c r="BP10" s="44" t="s">
        <v>37</v>
      </c>
      <c r="BR10" s="44" t="s">
        <v>37</v>
      </c>
      <c r="BT10" s="44" t="s">
        <v>37</v>
      </c>
      <c r="BV10" s="44" t="s">
        <v>37</v>
      </c>
      <c r="BX10" s="44" t="s">
        <v>37</v>
      </c>
      <c r="BZ10" s="44" t="s">
        <v>37</v>
      </c>
      <c r="CB10" s="44" t="s">
        <v>37</v>
      </c>
      <c r="CD10" s="44" t="s">
        <v>37</v>
      </c>
      <c r="CF10" s="44" t="s">
        <v>37</v>
      </c>
      <c r="CH10" s="44" t="s">
        <v>37</v>
      </c>
      <c r="CJ10" s="44" t="s">
        <v>37</v>
      </c>
      <c r="CL10" s="44" t="s">
        <v>37</v>
      </c>
      <c r="CN10" s="44" t="s">
        <v>37</v>
      </c>
      <c r="CP10" s="44" t="s">
        <v>37</v>
      </c>
      <c r="CR10" s="44" t="s">
        <v>37</v>
      </c>
      <c r="CT10" s="44" t="s">
        <v>37</v>
      </c>
      <c r="CV10" s="44" t="s">
        <v>37</v>
      </c>
      <c r="CX10" s="44" t="s">
        <v>37</v>
      </c>
      <c r="CZ10" s="44" t="s">
        <v>37</v>
      </c>
      <c r="DB10" s="44" t="s">
        <v>37</v>
      </c>
      <c r="DD10" s="44" t="s">
        <v>37</v>
      </c>
      <c r="DF10" s="44" t="s">
        <v>37</v>
      </c>
      <c r="DH10" s="44" t="s">
        <v>37</v>
      </c>
      <c r="DJ10" s="44" t="s">
        <v>37</v>
      </c>
      <c r="DL10" s="44" t="s">
        <v>37</v>
      </c>
      <c r="DN10" s="44" t="s">
        <v>37</v>
      </c>
      <c r="DP10" s="44" t="s">
        <v>37</v>
      </c>
      <c r="DR10" s="44" t="s">
        <v>37</v>
      </c>
      <c r="DT10" s="44" t="s">
        <v>37</v>
      </c>
      <c r="DV10" s="44" t="s">
        <v>37</v>
      </c>
      <c r="DX10" s="44" t="s">
        <v>37</v>
      </c>
      <c r="DZ10" s="44" t="s">
        <v>37</v>
      </c>
      <c r="EB10" s="44" t="s">
        <v>37</v>
      </c>
      <c r="ED10" s="44" t="s">
        <v>37</v>
      </c>
      <c r="EF10" s="44" t="s">
        <v>37</v>
      </c>
      <c r="EH10" s="44" t="s">
        <v>37</v>
      </c>
      <c r="EJ10" s="44" t="s">
        <v>37</v>
      </c>
      <c r="EL10" s="44" t="s">
        <v>37</v>
      </c>
      <c r="EN10" s="44" t="s">
        <v>37</v>
      </c>
      <c r="EP10" s="44" t="s">
        <v>37</v>
      </c>
      <c r="ER10" s="44" t="s">
        <v>37</v>
      </c>
      <c r="ET10" s="44" t="s">
        <v>37</v>
      </c>
      <c r="EV10" s="44" t="s">
        <v>37</v>
      </c>
      <c r="EX10" s="44" t="s">
        <v>37</v>
      </c>
      <c r="EZ10" s="44" t="s">
        <v>37</v>
      </c>
      <c r="FB10" s="44" t="s">
        <v>37</v>
      </c>
      <c r="FD10" s="44" t="s">
        <v>37</v>
      </c>
      <c r="FF10" s="44" t="s">
        <v>37</v>
      </c>
      <c r="FH10" s="44" t="s">
        <v>37</v>
      </c>
      <c r="FJ10" s="44" t="s">
        <v>37</v>
      </c>
      <c r="FL10" s="44" t="s">
        <v>37</v>
      </c>
      <c r="FN10" s="44" t="s">
        <v>37</v>
      </c>
      <c r="FP10" s="44" t="s">
        <v>37</v>
      </c>
      <c r="FR10" s="44" t="s">
        <v>37</v>
      </c>
      <c r="FT10" s="44" t="s">
        <v>37</v>
      </c>
      <c r="FV10" s="44" t="s">
        <v>37</v>
      </c>
      <c r="FX10" s="44" t="s">
        <v>37</v>
      </c>
      <c r="FZ10" s="44" t="s">
        <v>37</v>
      </c>
      <c r="GB10" s="44" t="s">
        <v>37</v>
      </c>
      <c r="GD10" s="44" t="s">
        <v>37</v>
      </c>
      <c r="GF10" s="44" t="s">
        <v>37</v>
      </c>
      <c r="GH10" s="44" t="s">
        <v>37</v>
      </c>
      <c r="GJ10" s="44" t="s">
        <v>37</v>
      </c>
      <c r="GL10" s="44" t="s">
        <v>37</v>
      </c>
      <c r="GN10" s="44" t="s">
        <v>37</v>
      </c>
      <c r="GP10" s="44" t="s">
        <v>37</v>
      </c>
      <c r="GR10" s="44" t="s">
        <v>37</v>
      </c>
      <c r="GT10" s="44" t="s">
        <v>37</v>
      </c>
      <c r="GV10" s="44" t="s">
        <v>37</v>
      </c>
      <c r="GX10" s="44" t="s">
        <v>37</v>
      </c>
      <c r="GZ10" s="44" t="s">
        <v>37</v>
      </c>
      <c r="HB10" s="44" t="s">
        <v>37</v>
      </c>
      <c r="HD10" s="44" t="s">
        <v>37</v>
      </c>
      <c r="HF10" s="44" t="s">
        <v>37</v>
      </c>
      <c r="HH10" s="44" t="s">
        <v>37</v>
      </c>
      <c r="HJ10" s="44" t="s">
        <v>37</v>
      </c>
      <c r="HL10" s="44" t="s">
        <v>37</v>
      </c>
    </row>
    <row r="11" spans="1:220">
      <c r="A11" s="150" t="s">
        <v>409</v>
      </c>
      <c r="B11" s="44">
        <v>1110</v>
      </c>
      <c r="C11" s="44" t="s">
        <v>44</v>
      </c>
      <c r="D11" s="44" t="s">
        <v>37</v>
      </c>
      <c r="E11" s="44">
        <v>1520764</v>
      </c>
      <c r="F11" s="44" t="s">
        <v>37</v>
      </c>
      <c r="G11" s="44">
        <v>60312472</v>
      </c>
      <c r="H11" s="44" t="s">
        <v>37</v>
      </c>
      <c r="I11" s="44">
        <v>4709102</v>
      </c>
      <c r="J11" s="44" t="s">
        <v>37</v>
      </c>
      <c r="L11" s="48" t="s">
        <v>37</v>
      </c>
      <c r="M11" s="50"/>
      <c r="N11" s="48" t="s">
        <v>37</v>
      </c>
      <c r="O11" s="50"/>
      <c r="P11" s="48" t="s">
        <v>37</v>
      </c>
      <c r="Q11" s="50"/>
      <c r="R11" s="48" t="s">
        <v>37</v>
      </c>
      <c r="S11" s="50"/>
      <c r="T11" s="48" t="s">
        <v>37</v>
      </c>
      <c r="V11" s="44" t="s">
        <v>37</v>
      </c>
      <c r="X11" s="44" t="s">
        <v>37</v>
      </c>
      <c r="Z11" s="44" t="s">
        <v>37</v>
      </c>
      <c r="AA11" s="44">
        <v>3518785</v>
      </c>
      <c r="AB11" s="44" t="s">
        <v>37</v>
      </c>
      <c r="AD11" s="44" t="s">
        <v>37</v>
      </c>
      <c r="AE11" s="44">
        <v>1608309</v>
      </c>
      <c r="AF11" s="44" t="s">
        <v>37</v>
      </c>
      <c r="AG11" s="44">
        <v>1694415</v>
      </c>
      <c r="AH11" s="44" t="s">
        <v>37</v>
      </c>
      <c r="AI11" s="44">
        <v>4983807</v>
      </c>
      <c r="AJ11" s="44" t="s">
        <v>37</v>
      </c>
      <c r="AL11" s="44" t="s">
        <v>37</v>
      </c>
      <c r="AN11" s="44" t="s">
        <v>37</v>
      </c>
      <c r="AP11" s="44" t="s">
        <v>37</v>
      </c>
      <c r="AQ11" s="44">
        <v>81057233</v>
      </c>
      <c r="AR11" s="44" t="s">
        <v>37</v>
      </c>
      <c r="AT11" s="44" t="s">
        <v>37</v>
      </c>
      <c r="AU11" s="44">
        <v>237617163</v>
      </c>
      <c r="AV11" s="44" t="s">
        <v>37</v>
      </c>
      <c r="AW11" s="44">
        <v>20857424</v>
      </c>
      <c r="AX11" s="44" t="s">
        <v>37</v>
      </c>
      <c r="AY11" s="44">
        <v>15774043</v>
      </c>
      <c r="AZ11" s="44" t="s">
        <v>37</v>
      </c>
      <c r="BA11" s="44">
        <v>13611432</v>
      </c>
      <c r="BB11" s="44" t="s">
        <v>37</v>
      </c>
      <c r="BD11" s="44" t="s">
        <v>37</v>
      </c>
      <c r="BF11" s="44" t="s">
        <v>37</v>
      </c>
      <c r="BH11" s="44" t="s">
        <v>37</v>
      </c>
      <c r="BJ11" s="44" t="s">
        <v>37</v>
      </c>
      <c r="BK11" s="44">
        <v>3633589</v>
      </c>
      <c r="BL11" s="44" t="s">
        <v>37</v>
      </c>
      <c r="BM11" s="44">
        <v>31643785</v>
      </c>
      <c r="BN11" s="44" t="s">
        <v>37</v>
      </c>
      <c r="BO11" s="44">
        <v>1164045</v>
      </c>
      <c r="BP11" s="44" t="s">
        <v>37</v>
      </c>
      <c r="BR11" s="44" t="s">
        <v>37</v>
      </c>
      <c r="BT11" s="44" t="s">
        <v>37</v>
      </c>
      <c r="BU11" s="44">
        <v>1669444</v>
      </c>
      <c r="BV11" s="44" t="s">
        <v>37</v>
      </c>
      <c r="BW11" s="44">
        <v>773207</v>
      </c>
      <c r="BX11" s="44" t="s">
        <v>37</v>
      </c>
      <c r="BY11" s="44">
        <v>47974404</v>
      </c>
      <c r="BZ11" s="44" t="s">
        <v>37</v>
      </c>
      <c r="CA11" s="44">
        <v>9991137</v>
      </c>
      <c r="CB11" s="44" t="s">
        <v>37</v>
      </c>
      <c r="CD11" s="44" t="s">
        <v>37</v>
      </c>
      <c r="CE11" s="44">
        <v>9211573</v>
      </c>
      <c r="CF11" s="44" t="s">
        <v>37</v>
      </c>
      <c r="CH11" s="44" t="s">
        <v>37</v>
      </c>
      <c r="CJ11" s="44" t="s">
        <v>37</v>
      </c>
      <c r="CL11" s="44" t="s">
        <v>37</v>
      </c>
      <c r="CM11" s="44">
        <v>6118718</v>
      </c>
      <c r="CN11" s="44" t="s">
        <v>37</v>
      </c>
      <c r="CO11" s="44">
        <v>2340676</v>
      </c>
      <c r="CP11" s="44" t="s">
        <v>37</v>
      </c>
      <c r="CR11" s="44" t="s">
        <v>37</v>
      </c>
      <c r="CS11" s="44">
        <v>53912753</v>
      </c>
      <c r="CT11" s="44" t="s">
        <v>37</v>
      </c>
      <c r="CU11" s="44">
        <v>209875704</v>
      </c>
      <c r="CV11" s="44" t="s">
        <v>37</v>
      </c>
      <c r="CX11" s="44" t="s">
        <v>37</v>
      </c>
      <c r="CZ11" s="44" t="s">
        <v>37</v>
      </c>
      <c r="DB11" s="44" t="s">
        <v>37</v>
      </c>
      <c r="DD11" s="44" t="s">
        <v>37</v>
      </c>
      <c r="DF11" s="44" t="s">
        <v>37</v>
      </c>
      <c r="DH11" s="44" t="s">
        <v>37</v>
      </c>
      <c r="DI11" s="44">
        <v>189882593</v>
      </c>
      <c r="DJ11" s="44" t="s">
        <v>37</v>
      </c>
      <c r="DL11" s="44" t="s">
        <v>37</v>
      </c>
      <c r="DN11" s="44" t="s">
        <v>37</v>
      </c>
      <c r="DO11" s="44">
        <v>27833046</v>
      </c>
      <c r="DP11" s="44" t="s">
        <v>37</v>
      </c>
      <c r="DQ11" s="44">
        <v>12598542</v>
      </c>
      <c r="DR11" s="44" t="s">
        <v>37</v>
      </c>
      <c r="DS11" s="44">
        <v>4931133</v>
      </c>
      <c r="DT11" s="44" t="s">
        <v>37</v>
      </c>
      <c r="DV11" s="44" t="s">
        <v>37</v>
      </c>
      <c r="DW11" s="44">
        <v>54022433</v>
      </c>
      <c r="DX11" s="44" t="s">
        <v>37</v>
      </c>
      <c r="DY11" s="44">
        <v>28570445</v>
      </c>
      <c r="DZ11" s="44" t="s">
        <v>37</v>
      </c>
      <c r="EA11" s="44">
        <v>8785696</v>
      </c>
      <c r="EB11" s="44" t="s">
        <v>37</v>
      </c>
      <c r="EC11" s="44">
        <v>6370433</v>
      </c>
      <c r="ED11" s="44" t="s">
        <v>37</v>
      </c>
      <c r="EE11" s="44">
        <v>75156901</v>
      </c>
      <c r="EF11" s="44" t="s">
        <v>37</v>
      </c>
      <c r="EH11" s="44" t="s">
        <v>37</v>
      </c>
      <c r="EI11" s="44">
        <v>1031638</v>
      </c>
      <c r="EJ11" s="44" t="s">
        <v>37</v>
      </c>
      <c r="EL11" s="44" t="s">
        <v>37</v>
      </c>
      <c r="EN11" s="44" t="s">
        <v>37</v>
      </c>
      <c r="EP11" s="44" t="s">
        <v>37</v>
      </c>
      <c r="EQ11" s="44">
        <v>829221</v>
      </c>
      <c r="ER11" s="44" t="s">
        <v>37</v>
      </c>
      <c r="ES11" s="44">
        <v>7589855</v>
      </c>
      <c r="ET11" s="44" t="s">
        <v>37</v>
      </c>
      <c r="EU11" s="44">
        <v>21368223</v>
      </c>
      <c r="EV11" s="44" t="s">
        <v>37</v>
      </c>
      <c r="EX11" s="44" t="s">
        <v>37</v>
      </c>
      <c r="EZ11" s="44" t="s">
        <v>37</v>
      </c>
      <c r="FA11" s="44">
        <v>8411421</v>
      </c>
      <c r="FB11" s="44" t="s">
        <v>37</v>
      </c>
      <c r="FC11" s="44">
        <v>9864404</v>
      </c>
      <c r="FD11" s="44" t="s">
        <v>37</v>
      </c>
      <c r="FE11" s="44">
        <v>22697920</v>
      </c>
      <c r="FF11" s="44" t="s">
        <v>37</v>
      </c>
      <c r="FH11" s="44" t="s">
        <v>37</v>
      </c>
      <c r="FI11" s="44">
        <v>41771782</v>
      </c>
      <c r="FJ11" s="44" t="s">
        <v>37</v>
      </c>
      <c r="FL11" s="44" t="s">
        <v>37</v>
      </c>
      <c r="FN11" s="44" t="s">
        <v>37</v>
      </c>
      <c r="FP11" s="44" t="s">
        <v>37</v>
      </c>
      <c r="FQ11" s="44">
        <v>15002986</v>
      </c>
      <c r="FR11" s="44" t="s">
        <v>37</v>
      </c>
      <c r="FS11" s="44">
        <v>19399837</v>
      </c>
      <c r="FT11" s="44" t="s">
        <v>37</v>
      </c>
      <c r="FU11" s="44">
        <v>10606763</v>
      </c>
      <c r="FV11" s="44" t="s">
        <v>37</v>
      </c>
      <c r="FW11" s="44">
        <v>6064849</v>
      </c>
      <c r="FX11" s="44" t="s">
        <v>37</v>
      </c>
      <c r="FY11" s="44">
        <v>27007132</v>
      </c>
      <c r="FZ11" s="44" t="s">
        <v>37</v>
      </c>
      <c r="GA11" s="44">
        <v>34914489</v>
      </c>
      <c r="GB11" s="44" t="s">
        <v>37</v>
      </c>
      <c r="GC11" s="44">
        <v>35418636</v>
      </c>
      <c r="GD11" s="44" t="s">
        <v>37</v>
      </c>
      <c r="GE11" s="44">
        <v>1220480</v>
      </c>
      <c r="GF11" s="44" t="s">
        <v>37</v>
      </c>
      <c r="GG11" s="44">
        <v>1790126</v>
      </c>
      <c r="GH11" s="44" t="s">
        <v>37</v>
      </c>
      <c r="GJ11" s="44" t="s">
        <v>37</v>
      </c>
      <c r="GL11" s="44" t="s">
        <v>37</v>
      </c>
      <c r="GN11" s="44" t="s">
        <v>37</v>
      </c>
      <c r="GP11" s="44" t="s">
        <v>37</v>
      </c>
      <c r="GQ11" s="44">
        <v>7548390</v>
      </c>
      <c r="GR11" s="44" t="s">
        <v>37</v>
      </c>
      <c r="GS11" s="44">
        <v>6863244</v>
      </c>
      <c r="GT11" s="44" t="s">
        <v>37</v>
      </c>
      <c r="GU11" s="44">
        <v>8885582</v>
      </c>
      <c r="GV11" s="44" t="s">
        <v>37</v>
      </c>
      <c r="GW11" s="44">
        <v>37156040</v>
      </c>
      <c r="GX11" s="44" t="s">
        <v>37</v>
      </c>
      <c r="GY11" s="44">
        <v>51613941</v>
      </c>
      <c r="GZ11" s="44" t="s">
        <v>37</v>
      </c>
      <c r="HA11" s="44">
        <v>34135864</v>
      </c>
      <c r="HB11" s="44" t="s">
        <v>37</v>
      </c>
      <c r="HD11" s="44" t="s">
        <v>37</v>
      </c>
      <c r="HF11" s="44" t="s">
        <v>37</v>
      </c>
      <c r="HG11" s="44">
        <v>1644918029</v>
      </c>
      <c r="HH11" s="44" t="s">
        <v>37</v>
      </c>
      <c r="HJ11" s="44" t="s">
        <v>37</v>
      </c>
      <c r="HK11" s="44">
        <v>1644918029</v>
      </c>
      <c r="HL11" s="44" t="s">
        <v>37</v>
      </c>
    </row>
    <row r="12" spans="1:220">
      <c r="A12" s="150" t="s">
        <v>409</v>
      </c>
      <c r="B12" s="44">
        <v>1140</v>
      </c>
      <c r="C12" s="44" t="s">
        <v>45</v>
      </c>
      <c r="D12" s="44" t="s">
        <v>37</v>
      </c>
      <c r="E12" s="44">
        <v>132769</v>
      </c>
      <c r="F12" s="44" t="s">
        <v>37</v>
      </c>
      <c r="G12" s="44">
        <v>2319640</v>
      </c>
      <c r="H12" s="44" t="s">
        <v>37</v>
      </c>
      <c r="I12" s="44">
        <v>10538</v>
      </c>
      <c r="J12" s="44" t="s">
        <v>37</v>
      </c>
      <c r="L12" s="48" t="s">
        <v>37</v>
      </c>
      <c r="M12" s="50"/>
      <c r="N12" s="48" t="s">
        <v>37</v>
      </c>
      <c r="O12" s="50"/>
      <c r="P12" s="48" t="s">
        <v>37</v>
      </c>
      <c r="Q12" s="50"/>
      <c r="R12" s="48" t="s">
        <v>37</v>
      </c>
      <c r="S12" s="50"/>
      <c r="T12" s="48" t="s">
        <v>37</v>
      </c>
      <c r="V12" s="44" t="s">
        <v>37</v>
      </c>
      <c r="X12" s="44" t="s">
        <v>37</v>
      </c>
      <c r="Z12" s="44" t="s">
        <v>37</v>
      </c>
      <c r="AB12" s="44" t="s">
        <v>37</v>
      </c>
      <c r="AD12" s="44" t="s">
        <v>37</v>
      </c>
      <c r="AE12" s="44">
        <v>22174</v>
      </c>
      <c r="AF12" s="44" t="s">
        <v>37</v>
      </c>
      <c r="AG12" s="44">
        <v>315835</v>
      </c>
      <c r="AH12" s="44" t="s">
        <v>37</v>
      </c>
      <c r="AJ12" s="44" t="s">
        <v>37</v>
      </c>
      <c r="AL12" s="44" t="s">
        <v>37</v>
      </c>
      <c r="AN12" s="44" t="s">
        <v>37</v>
      </c>
      <c r="AP12" s="44" t="s">
        <v>37</v>
      </c>
      <c r="AQ12" s="44">
        <v>283069</v>
      </c>
      <c r="AR12" s="44" t="s">
        <v>37</v>
      </c>
      <c r="AT12" s="44" t="s">
        <v>37</v>
      </c>
      <c r="AU12" s="44">
        <v>7206803</v>
      </c>
      <c r="AV12" s="44" t="s">
        <v>37</v>
      </c>
      <c r="AX12" s="44" t="s">
        <v>37</v>
      </c>
      <c r="AZ12" s="44" t="s">
        <v>37</v>
      </c>
      <c r="BA12" s="44">
        <v>69856</v>
      </c>
      <c r="BB12" s="44" t="s">
        <v>37</v>
      </c>
      <c r="BD12" s="44" t="s">
        <v>37</v>
      </c>
      <c r="BF12" s="44" t="s">
        <v>37</v>
      </c>
      <c r="BH12" s="44" t="s">
        <v>37</v>
      </c>
      <c r="BJ12" s="44" t="s">
        <v>37</v>
      </c>
      <c r="BL12" s="44" t="s">
        <v>37</v>
      </c>
      <c r="BM12" s="44">
        <v>149802</v>
      </c>
      <c r="BN12" s="44" t="s">
        <v>37</v>
      </c>
      <c r="BP12" s="44" t="s">
        <v>37</v>
      </c>
      <c r="BR12" s="44" t="s">
        <v>37</v>
      </c>
      <c r="BT12" s="44" t="s">
        <v>37</v>
      </c>
      <c r="BU12" s="44">
        <v>16783</v>
      </c>
      <c r="BV12" s="44" t="s">
        <v>37</v>
      </c>
      <c r="BW12" s="44">
        <v>7569</v>
      </c>
      <c r="BX12" s="44" t="s">
        <v>37</v>
      </c>
      <c r="BZ12" s="44" t="s">
        <v>37</v>
      </c>
      <c r="CB12" s="44" t="s">
        <v>37</v>
      </c>
      <c r="CD12" s="44" t="s">
        <v>37</v>
      </c>
      <c r="CE12" s="44">
        <v>63329</v>
      </c>
      <c r="CF12" s="44" t="s">
        <v>37</v>
      </c>
      <c r="CH12" s="44" t="s">
        <v>37</v>
      </c>
      <c r="CJ12" s="44" t="s">
        <v>37</v>
      </c>
      <c r="CL12" s="44" t="s">
        <v>37</v>
      </c>
      <c r="CM12" s="44">
        <v>24835</v>
      </c>
      <c r="CN12" s="44" t="s">
        <v>37</v>
      </c>
      <c r="CO12" s="44">
        <v>7929</v>
      </c>
      <c r="CP12" s="44" t="s">
        <v>37</v>
      </c>
      <c r="CR12" s="44" t="s">
        <v>37</v>
      </c>
      <c r="CS12" s="44">
        <v>338274</v>
      </c>
      <c r="CT12" s="44" t="s">
        <v>37</v>
      </c>
      <c r="CV12" s="44" t="s">
        <v>37</v>
      </c>
      <c r="CX12" s="44" t="s">
        <v>37</v>
      </c>
      <c r="CZ12" s="44" t="s">
        <v>37</v>
      </c>
      <c r="DB12" s="44" t="s">
        <v>37</v>
      </c>
      <c r="DD12" s="44" t="s">
        <v>37</v>
      </c>
      <c r="DF12" s="44" t="s">
        <v>37</v>
      </c>
      <c r="DH12" s="44" t="s">
        <v>37</v>
      </c>
      <c r="DI12" s="44">
        <v>1847104</v>
      </c>
      <c r="DJ12" s="44" t="s">
        <v>37</v>
      </c>
      <c r="DL12" s="44" t="s">
        <v>37</v>
      </c>
      <c r="DN12" s="44" t="s">
        <v>37</v>
      </c>
      <c r="DO12" s="44">
        <v>306014</v>
      </c>
      <c r="DP12" s="44" t="s">
        <v>37</v>
      </c>
      <c r="DQ12" s="44">
        <v>39250</v>
      </c>
      <c r="DR12" s="44" t="s">
        <v>37</v>
      </c>
      <c r="DS12" s="44">
        <v>352047</v>
      </c>
      <c r="DT12" s="44" t="s">
        <v>37</v>
      </c>
      <c r="DV12" s="44" t="s">
        <v>37</v>
      </c>
      <c r="DW12" s="44">
        <v>2948414</v>
      </c>
      <c r="DX12" s="44" t="s">
        <v>37</v>
      </c>
      <c r="DY12" s="44">
        <v>168908</v>
      </c>
      <c r="DZ12" s="44" t="s">
        <v>37</v>
      </c>
      <c r="EA12" s="44">
        <v>123038</v>
      </c>
      <c r="EB12" s="44" t="s">
        <v>37</v>
      </c>
      <c r="EC12" s="44">
        <v>60715</v>
      </c>
      <c r="ED12" s="44" t="s">
        <v>37</v>
      </c>
      <c r="EE12" s="44">
        <v>401443</v>
      </c>
      <c r="EF12" s="44" t="s">
        <v>37</v>
      </c>
      <c r="EH12" s="44" t="s">
        <v>37</v>
      </c>
      <c r="EI12" s="44">
        <v>13774</v>
      </c>
      <c r="EJ12" s="44" t="s">
        <v>37</v>
      </c>
      <c r="EL12" s="44" t="s">
        <v>37</v>
      </c>
      <c r="EN12" s="44" t="s">
        <v>37</v>
      </c>
      <c r="EP12" s="44" t="s">
        <v>37</v>
      </c>
      <c r="EQ12" s="44">
        <v>11472</v>
      </c>
      <c r="ER12" s="44" t="s">
        <v>37</v>
      </c>
      <c r="ES12" s="44">
        <v>98476</v>
      </c>
      <c r="ET12" s="44" t="s">
        <v>37</v>
      </c>
      <c r="EU12" s="44">
        <v>382847</v>
      </c>
      <c r="EV12" s="44" t="s">
        <v>37</v>
      </c>
      <c r="EX12" s="44" t="s">
        <v>37</v>
      </c>
      <c r="EZ12" s="44" t="s">
        <v>37</v>
      </c>
      <c r="FA12" s="44">
        <v>158859</v>
      </c>
      <c r="FB12" s="44" t="s">
        <v>37</v>
      </c>
      <c r="FC12" s="44">
        <v>92320</v>
      </c>
      <c r="FD12" s="44" t="s">
        <v>37</v>
      </c>
      <c r="FE12" s="44">
        <v>302645</v>
      </c>
      <c r="FF12" s="44" t="s">
        <v>37</v>
      </c>
      <c r="FH12" s="44" t="s">
        <v>37</v>
      </c>
      <c r="FI12" s="44">
        <v>356908</v>
      </c>
      <c r="FJ12" s="44" t="s">
        <v>37</v>
      </c>
      <c r="FL12" s="44" t="s">
        <v>37</v>
      </c>
      <c r="FN12" s="44" t="s">
        <v>37</v>
      </c>
      <c r="FP12" s="44" t="s">
        <v>37</v>
      </c>
      <c r="FR12" s="44" t="s">
        <v>37</v>
      </c>
      <c r="FT12" s="44" t="s">
        <v>37</v>
      </c>
      <c r="FV12" s="44" t="s">
        <v>37</v>
      </c>
      <c r="FX12" s="44" t="s">
        <v>37</v>
      </c>
      <c r="FZ12" s="44" t="s">
        <v>37</v>
      </c>
      <c r="GA12" s="44">
        <v>53219</v>
      </c>
      <c r="GB12" s="44" t="s">
        <v>37</v>
      </c>
      <c r="GD12" s="44" t="s">
        <v>37</v>
      </c>
      <c r="GF12" s="44" t="s">
        <v>37</v>
      </c>
      <c r="GG12" s="44">
        <v>118918</v>
      </c>
      <c r="GH12" s="44" t="s">
        <v>37</v>
      </c>
      <c r="GJ12" s="44" t="s">
        <v>37</v>
      </c>
      <c r="GL12" s="44" t="s">
        <v>37</v>
      </c>
      <c r="GN12" s="44" t="s">
        <v>37</v>
      </c>
      <c r="GP12" s="44" t="s">
        <v>37</v>
      </c>
      <c r="GQ12" s="44">
        <v>623388</v>
      </c>
      <c r="GR12" s="44" t="s">
        <v>37</v>
      </c>
      <c r="GT12" s="44" t="s">
        <v>37</v>
      </c>
      <c r="GU12" s="44">
        <v>436515</v>
      </c>
      <c r="GV12" s="44" t="s">
        <v>37</v>
      </c>
      <c r="GW12" s="44">
        <v>765865</v>
      </c>
      <c r="GX12" s="44" t="s">
        <v>37</v>
      </c>
      <c r="GY12" s="44">
        <v>436456</v>
      </c>
      <c r="GZ12" s="44" t="s">
        <v>37</v>
      </c>
      <c r="HA12" s="44">
        <v>117338</v>
      </c>
      <c r="HB12" s="44" t="s">
        <v>37</v>
      </c>
      <c r="HD12" s="44" t="s">
        <v>37</v>
      </c>
      <c r="HF12" s="44" t="s">
        <v>37</v>
      </c>
      <c r="HG12" s="44">
        <v>21185138</v>
      </c>
      <c r="HH12" s="44" t="s">
        <v>37</v>
      </c>
      <c r="HJ12" s="44" t="s">
        <v>37</v>
      </c>
      <c r="HK12" s="44">
        <v>21185138</v>
      </c>
      <c r="HL12" s="44" t="s">
        <v>37</v>
      </c>
    </row>
    <row r="13" spans="1:220">
      <c r="A13" s="150" t="s">
        <v>409</v>
      </c>
      <c r="B13" s="44">
        <v>1190</v>
      </c>
      <c r="C13" s="44" t="s">
        <v>46</v>
      </c>
      <c r="D13" s="44" t="s">
        <v>37</v>
      </c>
      <c r="F13" s="44" t="s">
        <v>37</v>
      </c>
      <c r="H13" s="44" t="s">
        <v>37</v>
      </c>
      <c r="J13" s="44" t="s">
        <v>37</v>
      </c>
      <c r="L13" s="48" t="s">
        <v>37</v>
      </c>
      <c r="M13" s="50"/>
      <c r="N13" s="48" t="s">
        <v>37</v>
      </c>
      <c r="O13" s="50"/>
      <c r="P13" s="48" t="s">
        <v>37</v>
      </c>
      <c r="Q13" s="50"/>
      <c r="R13" s="48" t="s">
        <v>37</v>
      </c>
      <c r="S13" s="50"/>
      <c r="T13" s="48" t="s">
        <v>37</v>
      </c>
      <c r="V13" s="44" t="s">
        <v>37</v>
      </c>
      <c r="X13" s="44" t="s">
        <v>37</v>
      </c>
      <c r="Z13" s="44" t="s">
        <v>37</v>
      </c>
      <c r="AB13" s="44" t="s">
        <v>37</v>
      </c>
      <c r="AD13" s="44" t="s">
        <v>37</v>
      </c>
      <c r="AF13" s="44" t="s">
        <v>37</v>
      </c>
      <c r="AH13" s="44" t="s">
        <v>37</v>
      </c>
      <c r="AJ13" s="44" t="s">
        <v>37</v>
      </c>
      <c r="AL13" s="44" t="s">
        <v>37</v>
      </c>
      <c r="AN13" s="44" t="s">
        <v>37</v>
      </c>
      <c r="AP13" s="44" t="s">
        <v>37</v>
      </c>
      <c r="AR13" s="44" t="s">
        <v>37</v>
      </c>
      <c r="AT13" s="44" t="s">
        <v>37</v>
      </c>
      <c r="AV13" s="44" t="s">
        <v>37</v>
      </c>
      <c r="AW13" s="44">
        <v>5051631</v>
      </c>
      <c r="AX13" s="44" t="s">
        <v>37</v>
      </c>
      <c r="AZ13" s="44" t="s">
        <v>37</v>
      </c>
      <c r="BB13" s="44" t="s">
        <v>37</v>
      </c>
      <c r="BD13" s="44" t="s">
        <v>37</v>
      </c>
      <c r="BF13" s="44" t="s">
        <v>37</v>
      </c>
      <c r="BH13" s="44" t="s">
        <v>37</v>
      </c>
      <c r="BJ13" s="44" t="s">
        <v>37</v>
      </c>
      <c r="BL13" s="44" t="s">
        <v>37</v>
      </c>
      <c r="BN13" s="44" t="s">
        <v>37</v>
      </c>
      <c r="BO13" s="44">
        <v>62076</v>
      </c>
      <c r="BP13" s="44" t="s">
        <v>37</v>
      </c>
      <c r="BR13" s="44" t="s">
        <v>37</v>
      </c>
      <c r="BT13" s="44" t="s">
        <v>37</v>
      </c>
      <c r="BU13" s="44">
        <v>347531</v>
      </c>
      <c r="BV13" s="44" t="s">
        <v>37</v>
      </c>
      <c r="BW13" s="44">
        <v>162535</v>
      </c>
      <c r="BX13" s="44" t="s">
        <v>37</v>
      </c>
      <c r="BZ13" s="44" t="s">
        <v>37</v>
      </c>
      <c r="CB13" s="44" t="s">
        <v>37</v>
      </c>
      <c r="CD13" s="44" t="s">
        <v>37</v>
      </c>
      <c r="CF13" s="44" t="s">
        <v>37</v>
      </c>
      <c r="CH13" s="44" t="s">
        <v>37</v>
      </c>
      <c r="CJ13" s="44" t="s">
        <v>37</v>
      </c>
      <c r="CL13" s="44" t="s">
        <v>37</v>
      </c>
      <c r="CN13" s="44" t="s">
        <v>37</v>
      </c>
      <c r="CP13" s="44" t="s">
        <v>37</v>
      </c>
      <c r="CR13" s="44" t="s">
        <v>37</v>
      </c>
      <c r="CT13" s="44" t="s">
        <v>37</v>
      </c>
      <c r="CV13" s="44" t="s">
        <v>37</v>
      </c>
      <c r="CX13" s="44" t="s">
        <v>37</v>
      </c>
      <c r="CZ13" s="44" t="s">
        <v>37</v>
      </c>
      <c r="DB13" s="44" t="s">
        <v>37</v>
      </c>
      <c r="DD13" s="44" t="s">
        <v>37</v>
      </c>
      <c r="DF13" s="44" t="s">
        <v>37</v>
      </c>
      <c r="DH13" s="44" t="s">
        <v>37</v>
      </c>
      <c r="DJ13" s="44" t="s">
        <v>37</v>
      </c>
      <c r="DL13" s="44" t="s">
        <v>37</v>
      </c>
      <c r="DN13" s="44" t="s">
        <v>37</v>
      </c>
      <c r="DP13" s="44" t="s">
        <v>37</v>
      </c>
      <c r="DR13" s="44" t="s">
        <v>37</v>
      </c>
      <c r="DT13" s="44" t="s">
        <v>37</v>
      </c>
      <c r="DV13" s="44" t="s">
        <v>37</v>
      </c>
      <c r="DW13" s="44">
        <v>25525556</v>
      </c>
      <c r="DX13" s="44" t="s">
        <v>37</v>
      </c>
      <c r="DZ13" s="44" t="s">
        <v>37</v>
      </c>
      <c r="EB13" s="44" t="s">
        <v>37</v>
      </c>
      <c r="ED13" s="44" t="s">
        <v>37</v>
      </c>
      <c r="EF13" s="44" t="s">
        <v>37</v>
      </c>
      <c r="EH13" s="44" t="s">
        <v>37</v>
      </c>
      <c r="EJ13" s="44" t="s">
        <v>37</v>
      </c>
      <c r="EL13" s="44" t="s">
        <v>37</v>
      </c>
      <c r="EN13" s="44" t="s">
        <v>37</v>
      </c>
      <c r="EP13" s="44" t="s">
        <v>37</v>
      </c>
      <c r="ER13" s="44" t="s">
        <v>37</v>
      </c>
      <c r="ES13" s="44">
        <v>8497</v>
      </c>
      <c r="ET13" s="44" t="s">
        <v>37</v>
      </c>
      <c r="EV13" s="44" t="s">
        <v>37</v>
      </c>
      <c r="EX13" s="44" t="s">
        <v>37</v>
      </c>
      <c r="EZ13" s="44" t="s">
        <v>37</v>
      </c>
      <c r="FB13" s="44" t="s">
        <v>37</v>
      </c>
      <c r="FD13" s="44" t="s">
        <v>37</v>
      </c>
      <c r="FF13" s="44" t="s">
        <v>37</v>
      </c>
      <c r="FH13" s="44" t="s">
        <v>37</v>
      </c>
      <c r="FI13" s="44">
        <v>5595</v>
      </c>
      <c r="FJ13" s="44" t="s">
        <v>37</v>
      </c>
      <c r="FL13" s="44" t="s">
        <v>37</v>
      </c>
      <c r="FN13" s="44" t="s">
        <v>37</v>
      </c>
      <c r="FP13" s="44" t="s">
        <v>37</v>
      </c>
      <c r="FR13" s="44" t="s">
        <v>37</v>
      </c>
      <c r="FT13" s="44" t="s">
        <v>37</v>
      </c>
      <c r="FV13" s="44" t="s">
        <v>37</v>
      </c>
      <c r="FX13" s="44" t="s">
        <v>37</v>
      </c>
      <c r="FY13" s="44">
        <v>1781081</v>
      </c>
      <c r="FZ13" s="44" t="s">
        <v>37</v>
      </c>
      <c r="GB13" s="44" t="s">
        <v>37</v>
      </c>
      <c r="GD13" s="44" t="s">
        <v>37</v>
      </c>
      <c r="GF13" s="44" t="s">
        <v>37</v>
      </c>
      <c r="GH13" s="44" t="s">
        <v>37</v>
      </c>
      <c r="GJ13" s="44" t="s">
        <v>37</v>
      </c>
      <c r="GL13" s="44" t="s">
        <v>37</v>
      </c>
      <c r="GN13" s="44" t="s">
        <v>37</v>
      </c>
      <c r="GP13" s="44" t="s">
        <v>37</v>
      </c>
      <c r="GR13" s="44" t="s">
        <v>37</v>
      </c>
      <c r="GT13" s="44" t="s">
        <v>37</v>
      </c>
      <c r="GV13" s="44" t="s">
        <v>37</v>
      </c>
      <c r="GX13" s="44" t="s">
        <v>37</v>
      </c>
      <c r="GZ13" s="44" t="s">
        <v>37</v>
      </c>
      <c r="HB13" s="44" t="s">
        <v>37</v>
      </c>
      <c r="HD13" s="44" t="s">
        <v>37</v>
      </c>
      <c r="HF13" s="44" t="s">
        <v>37</v>
      </c>
      <c r="HG13" s="44">
        <v>32944502</v>
      </c>
      <c r="HH13" s="44" t="s">
        <v>37</v>
      </c>
      <c r="HJ13" s="44" t="s">
        <v>37</v>
      </c>
      <c r="HK13" s="44">
        <v>32944502</v>
      </c>
      <c r="HL13" s="44" t="s">
        <v>37</v>
      </c>
    </row>
    <row r="14" spans="1:220">
      <c r="A14" s="150" t="s">
        <v>408</v>
      </c>
      <c r="B14" s="54">
        <v>1200</v>
      </c>
      <c r="C14" s="44" t="s">
        <v>47</v>
      </c>
      <c r="D14" s="44" t="s">
        <v>37</v>
      </c>
      <c r="F14" s="44" t="s">
        <v>37</v>
      </c>
      <c r="H14" s="44" t="s">
        <v>37</v>
      </c>
      <c r="J14" s="44" t="s">
        <v>37</v>
      </c>
      <c r="L14" s="48" t="s">
        <v>37</v>
      </c>
      <c r="M14" s="50"/>
      <c r="N14" s="48" t="s">
        <v>37</v>
      </c>
      <c r="O14" s="50"/>
      <c r="P14" s="48" t="s">
        <v>37</v>
      </c>
      <c r="Q14" s="50"/>
      <c r="R14" s="48" t="s">
        <v>37</v>
      </c>
      <c r="S14" s="50"/>
      <c r="T14" s="48" t="s">
        <v>37</v>
      </c>
      <c r="V14" s="44" t="s">
        <v>37</v>
      </c>
      <c r="X14" s="44" t="s">
        <v>37</v>
      </c>
      <c r="Z14" s="44" t="s">
        <v>37</v>
      </c>
      <c r="AB14" s="44" t="s">
        <v>37</v>
      </c>
      <c r="AD14" s="44" t="s">
        <v>37</v>
      </c>
      <c r="AF14" s="44" t="s">
        <v>37</v>
      </c>
      <c r="AH14" s="44" t="s">
        <v>37</v>
      </c>
      <c r="AJ14" s="44" t="s">
        <v>37</v>
      </c>
      <c r="AL14" s="44" t="s">
        <v>37</v>
      </c>
      <c r="AN14" s="44" t="s">
        <v>37</v>
      </c>
      <c r="AP14" s="44" t="s">
        <v>37</v>
      </c>
      <c r="AR14" s="44" t="s">
        <v>37</v>
      </c>
      <c r="AT14" s="44" t="s">
        <v>37</v>
      </c>
      <c r="AV14" s="44" t="s">
        <v>37</v>
      </c>
      <c r="AX14" s="44" t="s">
        <v>37</v>
      </c>
      <c r="AZ14" s="44" t="s">
        <v>37</v>
      </c>
      <c r="BB14" s="44" t="s">
        <v>37</v>
      </c>
      <c r="BD14" s="44" t="s">
        <v>37</v>
      </c>
      <c r="BF14" s="44" t="s">
        <v>37</v>
      </c>
      <c r="BH14" s="44" t="s">
        <v>37</v>
      </c>
      <c r="BJ14" s="44" t="s">
        <v>37</v>
      </c>
      <c r="BL14" s="44" t="s">
        <v>37</v>
      </c>
      <c r="BN14" s="44" t="s">
        <v>37</v>
      </c>
      <c r="BP14" s="44" t="s">
        <v>37</v>
      </c>
      <c r="BR14" s="44" t="s">
        <v>37</v>
      </c>
      <c r="BT14" s="44" t="s">
        <v>37</v>
      </c>
      <c r="BV14" s="44" t="s">
        <v>37</v>
      </c>
      <c r="BX14" s="44" t="s">
        <v>37</v>
      </c>
      <c r="BZ14" s="44" t="s">
        <v>37</v>
      </c>
      <c r="CB14" s="44" t="s">
        <v>37</v>
      </c>
      <c r="CD14" s="44" t="s">
        <v>37</v>
      </c>
      <c r="CF14" s="44" t="s">
        <v>37</v>
      </c>
      <c r="CH14" s="44" t="s">
        <v>37</v>
      </c>
      <c r="CJ14" s="44" t="s">
        <v>37</v>
      </c>
      <c r="CL14" s="44" t="s">
        <v>37</v>
      </c>
      <c r="CN14" s="44" t="s">
        <v>37</v>
      </c>
      <c r="CP14" s="44" t="s">
        <v>37</v>
      </c>
      <c r="CR14" s="44" t="s">
        <v>37</v>
      </c>
      <c r="CT14" s="44" t="s">
        <v>37</v>
      </c>
      <c r="CV14" s="44" t="s">
        <v>37</v>
      </c>
      <c r="CX14" s="44" t="s">
        <v>37</v>
      </c>
      <c r="CZ14" s="44" t="s">
        <v>37</v>
      </c>
      <c r="DB14" s="44" t="s">
        <v>37</v>
      </c>
      <c r="DD14" s="44" t="s">
        <v>37</v>
      </c>
      <c r="DF14" s="44" t="s">
        <v>37</v>
      </c>
      <c r="DH14" s="44" t="s">
        <v>37</v>
      </c>
      <c r="DJ14" s="44" t="s">
        <v>37</v>
      </c>
      <c r="DL14" s="44" t="s">
        <v>37</v>
      </c>
      <c r="DN14" s="44" t="s">
        <v>37</v>
      </c>
      <c r="DP14" s="44" t="s">
        <v>37</v>
      </c>
      <c r="DR14" s="44" t="s">
        <v>37</v>
      </c>
      <c r="DT14" s="44" t="s">
        <v>37</v>
      </c>
      <c r="DV14" s="44" t="s">
        <v>37</v>
      </c>
      <c r="DX14" s="44" t="s">
        <v>37</v>
      </c>
      <c r="DZ14" s="44" t="s">
        <v>37</v>
      </c>
      <c r="EB14" s="44" t="s">
        <v>37</v>
      </c>
      <c r="ED14" s="44" t="s">
        <v>37</v>
      </c>
      <c r="EF14" s="44" t="s">
        <v>37</v>
      </c>
      <c r="EH14" s="44" t="s">
        <v>37</v>
      </c>
      <c r="EJ14" s="44" t="s">
        <v>37</v>
      </c>
      <c r="EL14" s="44" t="s">
        <v>37</v>
      </c>
      <c r="EN14" s="44" t="s">
        <v>37</v>
      </c>
      <c r="EP14" s="44" t="s">
        <v>37</v>
      </c>
      <c r="ER14" s="44" t="s">
        <v>37</v>
      </c>
      <c r="ET14" s="44" t="s">
        <v>37</v>
      </c>
      <c r="EV14" s="44" t="s">
        <v>37</v>
      </c>
      <c r="EX14" s="44" t="s">
        <v>37</v>
      </c>
      <c r="EZ14" s="44" t="s">
        <v>37</v>
      </c>
      <c r="FB14" s="44" t="s">
        <v>37</v>
      </c>
      <c r="FD14" s="44" t="s">
        <v>37</v>
      </c>
      <c r="FF14" s="44" t="s">
        <v>37</v>
      </c>
      <c r="FH14" s="44" t="s">
        <v>37</v>
      </c>
      <c r="FJ14" s="44" t="s">
        <v>37</v>
      </c>
      <c r="FL14" s="44" t="s">
        <v>37</v>
      </c>
      <c r="FN14" s="44" t="s">
        <v>37</v>
      </c>
      <c r="FP14" s="44" t="s">
        <v>37</v>
      </c>
      <c r="FR14" s="44" t="s">
        <v>37</v>
      </c>
      <c r="FT14" s="44" t="s">
        <v>37</v>
      </c>
      <c r="FV14" s="44" t="s">
        <v>37</v>
      </c>
      <c r="FX14" s="44" t="s">
        <v>37</v>
      </c>
      <c r="FZ14" s="44" t="s">
        <v>37</v>
      </c>
      <c r="GB14" s="44" t="s">
        <v>37</v>
      </c>
      <c r="GD14" s="44" t="s">
        <v>37</v>
      </c>
      <c r="GF14" s="44" t="s">
        <v>37</v>
      </c>
      <c r="GH14" s="44" t="s">
        <v>37</v>
      </c>
      <c r="GJ14" s="44" t="s">
        <v>37</v>
      </c>
      <c r="GL14" s="44" t="s">
        <v>37</v>
      </c>
      <c r="GN14" s="44" t="s">
        <v>37</v>
      </c>
      <c r="GP14" s="44" t="s">
        <v>37</v>
      </c>
      <c r="GR14" s="44" t="s">
        <v>37</v>
      </c>
      <c r="GT14" s="44" t="s">
        <v>37</v>
      </c>
      <c r="GV14" s="44" t="s">
        <v>37</v>
      </c>
      <c r="GX14" s="44" t="s">
        <v>37</v>
      </c>
      <c r="GZ14" s="44" t="s">
        <v>37</v>
      </c>
      <c r="HB14" s="44" t="s">
        <v>37</v>
      </c>
      <c r="HD14" s="44" t="s">
        <v>37</v>
      </c>
      <c r="HF14" s="44" t="s">
        <v>37</v>
      </c>
      <c r="HH14" s="44" t="s">
        <v>37</v>
      </c>
      <c r="HJ14" s="44" t="s">
        <v>37</v>
      </c>
      <c r="HL14" s="44" t="s">
        <v>37</v>
      </c>
    </row>
    <row r="15" spans="1:220">
      <c r="A15" s="150" t="s">
        <v>409</v>
      </c>
      <c r="B15" s="44">
        <v>1210</v>
      </c>
      <c r="C15" s="44" t="s">
        <v>48</v>
      </c>
      <c r="D15" s="44" t="s">
        <v>37</v>
      </c>
      <c r="E15" s="44">
        <v>6245819</v>
      </c>
      <c r="F15" s="44" t="s">
        <v>37</v>
      </c>
      <c r="H15" s="44" t="s">
        <v>37</v>
      </c>
      <c r="J15" s="44" t="s">
        <v>37</v>
      </c>
      <c r="K15" s="44">
        <v>433216</v>
      </c>
      <c r="L15" s="48" t="s">
        <v>37</v>
      </c>
      <c r="M15" s="51">
        <v>16421598</v>
      </c>
      <c r="N15" s="48" t="s">
        <v>37</v>
      </c>
      <c r="O15" s="51">
        <v>7017799</v>
      </c>
      <c r="P15" s="48" t="s">
        <v>37</v>
      </c>
      <c r="Q15" s="51">
        <v>5213455</v>
      </c>
      <c r="R15" s="48" t="s">
        <v>37</v>
      </c>
      <c r="S15" s="51">
        <v>12347769</v>
      </c>
      <c r="T15" s="48" t="s">
        <v>37</v>
      </c>
      <c r="U15" s="44">
        <v>33664427</v>
      </c>
      <c r="V15" s="44" t="s">
        <v>37</v>
      </c>
      <c r="W15" s="44">
        <v>868614</v>
      </c>
      <c r="X15" s="44" t="s">
        <v>37</v>
      </c>
      <c r="Y15" s="44">
        <v>2138478</v>
      </c>
      <c r="Z15" s="44" t="s">
        <v>37</v>
      </c>
      <c r="AB15" s="44" t="s">
        <v>37</v>
      </c>
      <c r="AC15" s="44">
        <v>2593235</v>
      </c>
      <c r="AD15" s="44" t="s">
        <v>37</v>
      </c>
      <c r="AF15" s="44" t="s">
        <v>37</v>
      </c>
      <c r="AH15" s="44" t="s">
        <v>37</v>
      </c>
      <c r="AJ15" s="44" t="s">
        <v>37</v>
      </c>
      <c r="AK15" s="44">
        <v>1111614</v>
      </c>
      <c r="AL15" s="44" t="s">
        <v>37</v>
      </c>
      <c r="AM15" s="44">
        <v>153402920</v>
      </c>
      <c r="AN15" s="44" t="s">
        <v>37</v>
      </c>
      <c r="AP15" s="44" t="s">
        <v>37</v>
      </c>
      <c r="AR15" s="44" t="s">
        <v>37</v>
      </c>
      <c r="AS15" s="44">
        <v>5828627</v>
      </c>
      <c r="AT15" s="44" t="s">
        <v>37</v>
      </c>
      <c r="AV15" s="44" t="s">
        <v>37</v>
      </c>
      <c r="AX15" s="44" t="s">
        <v>37</v>
      </c>
      <c r="AZ15" s="44" t="s">
        <v>37</v>
      </c>
      <c r="BB15" s="44" t="s">
        <v>37</v>
      </c>
      <c r="BC15" s="44">
        <v>3254202</v>
      </c>
      <c r="BD15" s="44" t="s">
        <v>37</v>
      </c>
      <c r="BE15" s="44">
        <v>3919418</v>
      </c>
      <c r="BF15" s="44" t="s">
        <v>37</v>
      </c>
      <c r="BG15" s="44">
        <v>1414172</v>
      </c>
      <c r="BH15" s="44" t="s">
        <v>37</v>
      </c>
      <c r="BI15" s="44">
        <v>195242</v>
      </c>
      <c r="BJ15" s="44" t="s">
        <v>37</v>
      </c>
      <c r="BK15" s="44">
        <v>13693942</v>
      </c>
      <c r="BL15" s="44" t="s">
        <v>37</v>
      </c>
      <c r="BN15" s="44" t="s">
        <v>37</v>
      </c>
      <c r="BP15" s="44" t="s">
        <v>37</v>
      </c>
      <c r="BQ15" s="44">
        <v>797062</v>
      </c>
      <c r="BR15" s="44" t="s">
        <v>37</v>
      </c>
      <c r="BS15" s="44">
        <v>3812551</v>
      </c>
      <c r="BT15" s="44" t="s">
        <v>37</v>
      </c>
      <c r="BV15" s="44" t="s">
        <v>37</v>
      </c>
      <c r="BX15" s="44" t="s">
        <v>37</v>
      </c>
      <c r="BZ15" s="44" t="s">
        <v>37</v>
      </c>
      <c r="CB15" s="44" t="s">
        <v>37</v>
      </c>
      <c r="CC15" s="44">
        <v>2977217</v>
      </c>
      <c r="CD15" s="44" t="s">
        <v>37</v>
      </c>
      <c r="CE15" s="44">
        <v>1735984</v>
      </c>
      <c r="CF15" s="44" t="s">
        <v>37</v>
      </c>
      <c r="CG15" s="44">
        <v>21351124</v>
      </c>
      <c r="CH15" s="44" t="s">
        <v>37</v>
      </c>
      <c r="CI15" s="44">
        <v>46691201</v>
      </c>
      <c r="CJ15" s="44" t="s">
        <v>37</v>
      </c>
      <c r="CK15" s="44">
        <v>2458856</v>
      </c>
      <c r="CL15" s="44" t="s">
        <v>37</v>
      </c>
      <c r="CN15" s="44" t="s">
        <v>37</v>
      </c>
      <c r="CP15" s="44" t="s">
        <v>37</v>
      </c>
      <c r="CQ15" s="44">
        <v>2852068</v>
      </c>
      <c r="CR15" s="44" t="s">
        <v>37</v>
      </c>
      <c r="CT15" s="44" t="s">
        <v>37</v>
      </c>
      <c r="CV15" s="44" t="s">
        <v>37</v>
      </c>
      <c r="CW15" s="44">
        <v>30220203</v>
      </c>
      <c r="CX15" s="44" t="s">
        <v>37</v>
      </c>
      <c r="CY15" s="44">
        <v>2691050</v>
      </c>
      <c r="CZ15" s="44" t="s">
        <v>37</v>
      </c>
      <c r="DA15" s="44">
        <v>7425961</v>
      </c>
      <c r="DB15" s="44" t="s">
        <v>37</v>
      </c>
      <c r="DC15" s="44">
        <v>1147565</v>
      </c>
      <c r="DD15" s="44" t="s">
        <v>37</v>
      </c>
      <c r="DE15" s="44">
        <v>5106272</v>
      </c>
      <c r="DF15" s="44" t="s">
        <v>37</v>
      </c>
      <c r="DG15" s="44">
        <v>3216142</v>
      </c>
      <c r="DH15" s="44" t="s">
        <v>37</v>
      </c>
      <c r="DJ15" s="44" t="s">
        <v>37</v>
      </c>
      <c r="DK15" s="44">
        <v>9192444</v>
      </c>
      <c r="DL15" s="44" t="s">
        <v>37</v>
      </c>
      <c r="DM15" s="44">
        <v>24813543</v>
      </c>
      <c r="DN15" s="44" t="s">
        <v>37</v>
      </c>
      <c r="DP15" s="44" t="s">
        <v>37</v>
      </c>
      <c r="DR15" s="44" t="s">
        <v>37</v>
      </c>
      <c r="DS15" s="44">
        <v>976985</v>
      </c>
      <c r="DT15" s="44" t="s">
        <v>37</v>
      </c>
      <c r="DU15" s="44">
        <v>4809755</v>
      </c>
      <c r="DV15" s="44" t="s">
        <v>37</v>
      </c>
      <c r="DX15" s="44" t="s">
        <v>37</v>
      </c>
      <c r="DZ15" s="44" t="s">
        <v>37</v>
      </c>
      <c r="EB15" s="44" t="s">
        <v>37</v>
      </c>
      <c r="ED15" s="44" t="s">
        <v>37</v>
      </c>
      <c r="EF15" s="44" t="s">
        <v>37</v>
      </c>
      <c r="EG15" s="44">
        <v>4962701</v>
      </c>
      <c r="EH15" s="44" t="s">
        <v>37</v>
      </c>
      <c r="EJ15" s="44" t="s">
        <v>37</v>
      </c>
      <c r="EK15" s="44">
        <v>3857014</v>
      </c>
      <c r="EL15" s="44" t="s">
        <v>37</v>
      </c>
      <c r="EM15" s="44">
        <v>2488097</v>
      </c>
      <c r="EN15" s="44" t="s">
        <v>37</v>
      </c>
      <c r="EO15" s="44">
        <v>1333045</v>
      </c>
      <c r="EP15" s="44" t="s">
        <v>37</v>
      </c>
      <c r="ER15" s="44" t="s">
        <v>37</v>
      </c>
      <c r="ET15" s="44" t="s">
        <v>37</v>
      </c>
      <c r="EV15" s="44" t="s">
        <v>37</v>
      </c>
      <c r="EW15" s="44">
        <v>54253011</v>
      </c>
      <c r="EX15" s="44" t="s">
        <v>37</v>
      </c>
      <c r="EZ15" s="44" t="s">
        <v>37</v>
      </c>
      <c r="FA15" s="44">
        <v>1874414</v>
      </c>
      <c r="FB15" s="44" t="s">
        <v>37</v>
      </c>
      <c r="FC15" s="44">
        <v>604807</v>
      </c>
      <c r="FD15" s="44" t="s">
        <v>37</v>
      </c>
      <c r="FE15" s="44">
        <v>3222083</v>
      </c>
      <c r="FF15" s="44" t="s">
        <v>37</v>
      </c>
      <c r="FH15" s="44" t="s">
        <v>37</v>
      </c>
      <c r="FJ15" s="44" t="s">
        <v>37</v>
      </c>
      <c r="FK15" s="44">
        <v>158166933</v>
      </c>
      <c r="FL15" s="44" t="s">
        <v>37</v>
      </c>
      <c r="FM15" s="44">
        <v>97862726</v>
      </c>
      <c r="FN15" s="44" t="s">
        <v>37</v>
      </c>
      <c r="FO15" s="44">
        <v>5417651</v>
      </c>
      <c r="FP15" s="44" t="s">
        <v>37</v>
      </c>
      <c r="FR15" s="44" t="s">
        <v>37</v>
      </c>
      <c r="FT15" s="44" t="s">
        <v>37</v>
      </c>
      <c r="FV15" s="44" t="s">
        <v>37</v>
      </c>
      <c r="FX15" s="44" t="s">
        <v>37</v>
      </c>
      <c r="FZ15" s="44" t="s">
        <v>37</v>
      </c>
      <c r="GB15" s="44" t="s">
        <v>37</v>
      </c>
      <c r="GD15" s="44" t="s">
        <v>37</v>
      </c>
      <c r="GF15" s="44" t="s">
        <v>37</v>
      </c>
      <c r="GH15" s="44" t="s">
        <v>37</v>
      </c>
      <c r="GI15" s="44">
        <v>1742817</v>
      </c>
      <c r="GJ15" s="44" t="s">
        <v>37</v>
      </c>
      <c r="GK15" s="44">
        <v>18310585</v>
      </c>
      <c r="GL15" s="44" t="s">
        <v>37</v>
      </c>
      <c r="GM15" s="44">
        <v>18715981</v>
      </c>
      <c r="GN15" s="44" t="s">
        <v>37</v>
      </c>
      <c r="GP15" s="44" t="s">
        <v>37</v>
      </c>
      <c r="GR15" s="44" t="s">
        <v>37</v>
      </c>
      <c r="GT15" s="44" t="s">
        <v>37</v>
      </c>
      <c r="GU15" s="44">
        <v>5888294</v>
      </c>
      <c r="GV15" s="44" t="s">
        <v>37</v>
      </c>
      <c r="GW15" s="44">
        <v>3131088</v>
      </c>
      <c r="GX15" s="44" t="s">
        <v>37</v>
      </c>
      <c r="GY15" s="44">
        <v>9576458</v>
      </c>
      <c r="GZ15" s="44" t="s">
        <v>37</v>
      </c>
      <c r="HB15" s="44" t="s">
        <v>37</v>
      </c>
      <c r="HD15" s="44" t="s">
        <v>37</v>
      </c>
      <c r="HF15" s="44" t="s">
        <v>37</v>
      </c>
      <c r="HG15" s="44">
        <v>833448235</v>
      </c>
      <c r="HH15" s="44" t="s">
        <v>37</v>
      </c>
      <c r="HJ15" s="44" t="s">
        <v>37</v>
      </c>
      <c r="HK15" s="44">
        <v>833448235</v>
      </c>
      <c r="HL15" s="44" t="s">
        <v>37</v>
      </c>
    </row>
    <row r="16" spans="1:220">
      <c r="A16" s="150" t="s">
        <v>409</v>
      </c>
      <c r="B16" s="44">
        <v>1240</v>
      </c>
      <c r="C16" s="44" t="s">
        <v>49</v>
      </c>
      <c r="D16" s="44" t="s">
        <v>37</v>
      </c>
      <c r="E16" s="44">
        <v>597511</v>
      </c>
      <c r="F16" s="44" t="s">
        <v>37</v>
      </c>
      <c r="H16" s="44" t="s">
        <v>37</v>
      </c>
      <c r="J16" s="44" t="s">
        <v>37</v>
      </c>
      <c r="L16" s="48" t="s">
        <v>37</v>
      </c>
      <c r="M16" s="51">
        <v>880175</v>
      </c>
      <c r="N16" s="48" t="s">
        <v>37</v>
      </c>
      <c r="O16" s="51">
        <v>621538</v>
      </c>
      <c r="P16" s="48" t="s">
        <v>37</v>
      </c>
      <c r="Q16" s="50"/>
      <c r="R16" s="48" t="s">
        <v>37</v>
      </c>
      <c r="S16" s="50"/>
      <c r="T16" s="48" t="s">
        <v>37</v>
      </c>
      <c r="U16" s="44">
        <v>1894677</v>
      </c>
      <c r="V16" s="44" t="s">
        <v>37</v>
      </c>
      <c r="X16" s="44" t="s">
        <v>37</v>
      </c>
      <c r="Y16" s="44">
        <v>154664</v>
      </c>
      <c r="Z16" s="44" t="s">
        <v>37</v>
      </c>
      <c r="AB16" s="44" t="s">
        <v>37</v>
      </c>
      <c r="AC16" s="44">
        <v>263749</v>
      </c>
      <c r="AD16" s="44" t="s">
        <v>37</v>
      </c>
      <c r="AF16" s="44" t="s">
        <v>37</v>
      </c>
      <c r="AH16" s="44" t="s">
        <v>37</v>
      </c>
      <c r="AJ16" s="44" t="s">
        <v>37</v>
      </c>
      <c r="AK16" s="44">
        <v>7827</v>
      </c>
      <c r="AL16" s="44" t="s">
        <v>37</v>
      </c>
      <c r="AM16" s="44">
        <v>1108823</v>
      </c>
      <c r="AN16" s="44" t="s">
        <v>37</v>
      </c>
      <c r="AP16" s="44" t="s">
        <v>37</v>
      </c>
      <c r="AR16" s="44" t="s">
        <v>37</v>
      </c>
      <c r="AS16" s="44">
        <v>314398</v>
      </c>
      <c r="AT16" s="44" t="s">
        <v>37</v>
      </c>
      <c r="AV16" s="44" t="s">
        <v>37</v>
      </c>
      <c r="AX16" s="44" t="s">
        <v>37</v>
      </c>
      <c r="AZ16" s="44" t="s">
        <v>37</v>
      </c>
      <c r="BB16" s="44" t="s">
        <v>37</v>
      </c>
      <c r="BC16" s="44">
        <v>20715</v>
      </c>
      <c r="BD16" s="44" t="s">
        <v>37</v>
      </c>
      <c r="BE16" s="44">
        <v>58335</v>
      </c>
      <c r="BF16" s="44" t="s">
        <v>37</v>
      </c>
      <c r="BG16" s="44">
        <v>14132</v>
      </c>
      <c r="BH16" s="44" t="s">
        <v>37</v>
      </c>
      <c r="BJ16" s="44" t="s">
        <v>37</v>
      </c>
      <c r="BL16" s="44" t="s">
        <v>37</v>
      </c>
      <c r="BN16" s="44" t="s">
        <v>37</v>
      </c>
      <c r="BP16" s="44" t="s">
        <v>37</v>
      </c>
      <c r="BQ16" s="44">
        <v>10867</v>
      </c>
      <c r="BR16" s="44" t="s">
        <v>37</v>
      </c>
      <c r="BS16" s="44">
        <v>45178</v>
      </c>
      <c r="BT16" s="44" t="s">
        <v>37</v>
      </c>
      <c r="BV16" s="44" t="s">
        <v>37</v>
      </c>
      <c r="BX16" s="44" t="s">
        <v>37</v>
      </c>
      <c r="BZ16" s="44" t="s">
        <v>37</v>
      </c>
      <c r="CB16" s="44" t="s">
        <v>37</v>
      </c>
      <c r="CD16" s="44" t="s">
        <v>37</v>
      </c>
      <c r="CF16" s="44" t="s">
        <v>37</v>
      </c>
      <c r="CG16" s="44">
        <v>128917</v>
      </c>
      <c r="CH16" s="44" t="s">
        <v>37</v>
      </c>
      <c r="CI16" s="44">
        <v>94545</v>
      </c>
      <c r="CJ16" s="44" t="s">
        <v>37</v>
      </c>
      <c r="CK16" s="44">
        <v>8145</v>
      </c>
      <c r="CL16" s="44" t="s">
        <v>37</v>
      </c>
      <c r="CN16" s="44" t="s">
        <v>37</v>
      </c>
      <c r="CP16" s="44" t="s">
        <v>37</v>
      </c>
      <c r="CQ16" s="44">
        <v>8204</v>
      </c>
      <c r="CR16" s="44" t="s">
        <v>37</v>
      </c>
      <c r="CT16" s="44" t="s">
        <v>37</v>
      </c>
      <c r="CV16" s="44" t="s">
        <v>37</v>
      </c>
      <c r="CW16" s="44">
        <v>3144240</v>
      </c>
      <c r="CX16" s="44" t="s">
        <v>37</v>
      </c>
      <c r="CY16" s="44">
        <v>28733</v>
      </c>
      <c r="CZ16" s="44" t="s">
        <v>37</v>
      </c>
      <c r="DA16" s="44">
        <v>20006</v>
      </c>
      <c r="DB16" s="44" t="s">
        <v>37</v>
      </c>
      <c r="DC16" s="44">
        <v>101865</v>
      </c>
      <c r="DD16" s="44" t="s">
        <v>37</v>
      </c>
      <c r="DE16" s="44">
        <v>36588</v>
      </c>
      <c r="DF16" s="44" t="s">
        <v>37</v>
      </c>
      <c r="DG16" s="44">
        <v>44176</v>
      </c>
      <c r="DH16" s="44" t="s">
        <v>37</v>
      </c>
      <c r="DJ16" s="44" t="s">
        <v>37</v>
      </c>
      <c r="DK16" s="44">
        <v>147877</v>
      </c>
      <c r="DL16" s="44" t="s">
        <v>37</v>
      </c>
      <c r="DM16" s="44">
        <v>381137</v>
      </c>
      <c r="DN16" s="44" t="s">
        <v>37</v>
      </c>
      <c r="DP16" s="44" t="s">
        <v>37</v>
      </c>
      <c r="DR16" s="44" t="s">
        <v>37</v>
      </c>
      <c r="DT16" s="44" t="s">
        <v>37</v>
      </c>
      <c r="DU16" s="44">
        <v>41064</v>
      </c>
      <c r="DV16" s="44" t="s">
        <v>37</v>
      </c>
      <c r="DX16" s="44" t="s">
        <v>37</v>
      </c>
      <c r="DZ16" s="44" t="s">
        <v>37</v>
      </c>
      <c r="EB16" s="44" t="s">
        <v>37</v>
      </c>
      <c r="ED16" s="44" t="s">
        <v>37</v>
      </c>
      <c r="EF16" s="44" t="s">
        <v>37</v>
      </c>
      <c r="EH16" s="44" t="s">
        <v>37</v>
      </c>
      <c r="EJ16" s="44" t="s">
        <v>37</v>
      </c>
      <c r="EK16" s="44">
        <v>56050</v>
      </c>
      <c r="EL16" s="44" t="s">
        <v>37</v>
      </c>
      <c r="EM16" s="44">
        <v>36677</v>
      </c>
      <c r="EN16" s="44" t="s">
        <v>37</v>
      </c>
      <c r="EO16" s="44">
        <v>121914</v>
      </c>
      <c r="EP16" s="44" t="s">
        <v>37</v>
      </c>
      <c r="ER16" s="44" t="s">
        <v>37</v>
      </c>
      <c r="ET16" s="44" t="s">
        <v>37</v>
      </c>
      <c r="EV16" s="44" t="s">
        <v>37</v>
      </c>
      <c r="EW16" s="44">
        <v>172869</v>
      </c>
      <c r="EX16" s="44" t="s">
        <v>37</v>
      </c>
      <c r="EZ16" s="44" t="s">
        <v>37</v>
      </c>
      <c r="FB16" s="44" t="s">
        <v>37</v>
      </c>
      <c r="FD16" s="44" t="s">
        <v>37</v>
      </c>
      <c r="FF16" s="44" t="s">
        <v>37</v>
      </c>
      <c r="FH16" s="44" t="s">
        <v>37</v>
      </c>
      <c r="FJ16" s="44" t="s">
        <v>37</v>
      </c>
      <c r="FK16" s="44">
        <v>1748</v>
      </c>
      <c r="FL16" s="44" t="s">
        <v>37</v>
      </c>
      <c r="FM16" s="44">
        <v>1202011</v>
      </c>
      <c r="FN16" s="44" t="s">
        <v>37</v>
      </c>
      <c r="FP16" s="44" t="s">
        <v>37</v>
      </c>
      <c r="FR16" s="44" t="s">
        <v>37</v>
      </c>
      <c r="FT16" s="44" t="s">
        <v>37</v>
      </c>
      <c r="FV16" s="44" t="s">
        <v>37</v>
      </c>
      <c r="FX16" s="44" t="s">
        <v>37</v>
      </c>
      <c r="FZ16" s="44" t="s">
        <v>37</v>
      </c>
      <c r="GB16" s="44" t="s">
        <v>37</v>
      </c>
      <c r="GD16" s="44" t="s">
        <v>37</v>
      </c>
      <c r="GF16" s="44" t="s">
        <v>37</v>
      </c>
      <c r="GH16" s="44" t="s">
        <v>37</v>
      </c>
      <c r="GJ16" s="44" t="s">
        <v>37</v>
      </c>
      <c r="GL16" s="44" t="s">
        <v>37</v>
      </c>
      <c r="GN16" s="44" t="s">
        <v>37</v>
      </c>
      <c r="GP16" s="44" t="s">
        <v>37</v>
      </c>
      <c r="GR16" s="44" t="s">
        <v>37</v>
      </c>
      <c r="GT16" s="44" t="s">
        <v>37</v>
      </c>
      <c r="GU16" s="44">
        <v>233092</v>
      </c>
      <c r="GV16" s="44" t="s">
        <v>37</v>
      </c>
      <c r="GW16" s="44">
        <v>89758</v>
      </c>
      <c r="GX16" s="44" t="s">
        <v>37</v>
      </c>
      <c r="GZ16" s="44" t="s">
        <v>37</v>
      </c>
      <c r="HB16" s="44" t="s">
        <v>37</v>
      </c>
      <c r="HD16" s="44" t="s">
        <v>37</v>
      </c>
      <c r="HF16" s="44" t="s">
        <v>37</v>
      </c>
      <c r="HG16" s="44">
        <v>12092205</v>
      </c>
      <c r="HH16" s="44" t="s">
        <v>37</v>
      </c>
      <c r="HJ16" s="44" t="s">
        <v>37</v>
      </c>
      <c r="HK16" s="44">
        <v>12092205</v>
      </c>
      <c r="HL16" s="44" t="s">
        <v>37</v>
      </c>
    </row>
    <row r="17" spans="1:220">
      <c r="A17" s="150" t="s">
        <v>409</v>
      </c>
      <c r="B17" s="44">
        <v>1280</v>
      </c>
      <c r="C17" s="44" t="s">
        <v>50</v>
      </c>
      <c r="D17" s="44" t="s">
        <v>37</v>
      </c>
      <c r="E17" s="44">
        <v>248250</v>
      </c>
      <c r="F17" s="44" t="s">
        <v>37</v>
      </c>
      <c r="G17" s="44">
        <v>3228180</v>
      </c>
      <c r="H17" s="44" t="s">
        <v>37</v>
      </c>
      <c r="I17" s="44">
        <v>30934</v>
      </c>
      <c r="J17" s="44" t="s">
        <v>37</v>
      </c>
      <c r="K17" s="44">
        <v>16195</v>
      </c>
      <c r="L17" s="48" t="s">
        <v>37</v>
      </c>
      <c r="M17" s="51">
        <v>281920</v>
      </c>
      <c r="N17" s="48" t="s">
        <v>37</v>
      </c>
      <c r="O17" s="51">
        <v>110149</v>
      </c>
      <c r="P17" s="48" t="s">
        <v>37</v>
      </c>
      <c r="Q17" s="51">
        <v>663826</v>
      </c>
      <c r="R17" s="48" t="s">
        <v>37</v>
      </c>
      <c r="S17" s="51">
        <v>987719</v>
      </c>
      <c r="T17" s="48" t="s">
        <v>37</v>
      </c>
      <c r="U17" s="44">
        <v>705878</v>
      </c>
      <c r="V17" s="44" t="s">
        <v>37</v>
      </c>
      <c r="W17" s="44">
        <v>32380</v>
      </c>
      <c r="X17" s="44" t="s">
        <v>37</v>
      </c>
      <c r="Y17" s="44">
        <v>37121</v>
      </c>
      <c r="Z17" s="44" t="s">
        <v>37</v>
      </c>
      <c r="AB17" s="44" t="s">
        <v>37</v>
      </c>
      <c r="AC17" s="44">
        <v>58802</v>
      </c>
      <c r="AD17" s="44" t="s">
        <v>37</v>
      </c>
      <c r="AE17" s="44">
        <v>337725</v>
      </c>
      <c r="AF17" s="44" t="s">
        <v>37</v>
      </c>
      <c r="AH17" s="44" t="s">
        <v>37</v>
      </c>
      <c r="AJ17" s="44" t="s">
        <v>37</v>
      </c>
      <c r="AL17" s="44" t="s">
        <v>37</v>
      </c>
      <c r="AM17" s="44">
        <v>72555</v>
      </c>
      <c r="AN17" s="44" t="s">
        <v>37</v>
      </c>
      <c r="AP17" s="44" t="s">
        <v>37</v>
      </c>
      <c r="AQ17" s="44">
        <v>11717128</v>
      </c>
      <c r="AR17" s="44" t="s">
        <v>37</v>
      </c>
      <c r="AS17" s="44">
        <v>1501169</v>
      </c>
      <c r="AT17" s="44" t="s">
        <v>37</v>
      </c>
      <c r="AV17" s="44" t="s">
        <v>37</v>
      </c>
      <c r="AW17" s="44">
        <v>3487340</v>
      </c>
      <c r="AX17" s="44" t="s">
        <v>37</v>
      </c>
      <c r="AY17" s="44">
        <v>1808893</v>
      </c>
      <c r="AZ17" s="44" t="s">
        <v>37</v>
      </c>
      <c r="BA17" s="44">
        <v>1012904</v>
      </c>
      <c r="BB17" s="44" t="s">
        <v>37</v>
      </c>
      <c r="BD17" s="44" t="s">
        <v>37</v>
      </c>
      <c r="BF17" s="44" t="s">
        <v>37</v>
      </c>
      <c r="BH17" s="44" t="s">
        <v>37</v>
      </c>
      <c r="BJ17" s="44" t="s">
        <v>37</v>
      </c>
      <c r="BL17" s="44" t="s">
        <v>37</v>
      </c>
      <c r="BM17" s="44">
        <v>2270051</v>
      </c>
      <c r="BN17" s="44" t="s">
        <v>37</v>
      </c>
      <c r="BP17" s="44" t="s">
        <v>37</v>
      </c>
      <c r="BR17" s="44" t="s">
        <v>37</v>
      </c>
      <c r="BT17" s="44" t="s">
        <v>37</v>
      </c>
      <c r="BV17" s="44" t="s">
        <v>37</v>
      </c>
      <c r="BX17" s="44" t="s">
        <v>37</v>
      </c>
      <c r="BY17" s="44">
        <v>2558555</v>
      </c>
      <c r="BZ17" s="44" t="s">
        <v>37</v>
      </c>
      <c r="CA17" s="44">
        <v>136438</v>
      </c>
      <c r="CB17" s="44" t="s">
        <v>37</v>
      </c>
      <c r="CD17" s="44" t="s">
        <v>37</v>
      </c>
      <c r="CF17" s="44" t="s">
        <v>37</v>
      </c>
      <c r="CG17" s="44">
        <v>81935</v>
      </c>
      <c r="CH17" s="44" t="s">
        <v>37</v>
      </c>
      <c r="CI17" s="44">
        <v>1352744</v>
      </c>
      <c r="CJ17" s="44" t="s">
        <v>37</v>
      </c>
      <c r="CK17" s="44">
        <v>18213</v>
      </c>
      <c r="CL17" s="44" t="s">
        <v>37</v>
      </c>
      <c r="CM17" s="44">
        <v>512915</v>
      </c>
      <c r="CN17" s="44" t="s">
        <v>37</v>
      </c>
      <c r="CO17" s="44">
        <v>778498</v>
      </c>
      <c r="CP17" s="44" t="s">
        <v>37</v>
      </c>
      <c r="CQ17" s="44">
        <v>75913</v>
      </c>
      <c r="CR17" s="44" t="s">
        <v>37</v>
      </c>
      <c r="CS17" s="44">
        <v>260827</v>
      </c>
      <c r="CT17" s="44" t="s">
        <v>37</v>
      </c>
      <c r="CU17" s="44">
        <v>14519384</v>
      </c>
      <c r="CV17" s="44" t="s">
        <v>37</v>
      </c>
      <c r="CX17" s="44" t="s">
        <v>37</v>
      </c>
      <c r="CY17" s="44">
        <v>239598</v>
      </c>
      <c r="CZ17" s="44" t="s">
        <v>37</v>
      </c>
      <c r="DB17" s="44" t="s">
        <v>37</v>
      </c>
      <c r="DD17" s="44" t="s">
        <v>37</v>
      </c>
      <c r="DE17" s="44">
        <v>175</v>
      </c>
      <c r="DF17" s="44" t="s">
        <v>37</v>
      </c>
      <c r="DH17" s="44" t="s">
        <v>37</v>
      </c>
      <c r="DI17" s="44">
        <v>3339957</v>
      </c>
      <c r="DJ17" s="44" t="s">
        <v>37</v>
      </c>
      <c r="DK17" s="44">
        <v>424974</v>
      </c>
      <c r="DL17" s="44" t="s">
        <v>37</v>
      </c>
      <c r="DM17" s="44">
        <v>2160178</v>
      </c>
      <c r="DN17" s="44" t="s">
        <v>37</v>
      </c>
      <c r="DO17" s="44">
        <v>1429643</v>
      </c>
      <c r="DP17" s="44" t="s">
        <v>37</v>
      </c>
      <c r="DQ17" s="44">
        <v>262951</v>
      </c>
      <c r="DR17" s="44" t="s">
        <v>37</v>
      </c>
      <c r="DS17" s="44">
        <v>635032</v>
      </c>
      <c r="DT17" s="44" t="s">
        <v>37</v>
      </c>
      <c r="DU17" s="44">
        <v>151497</v>
      </c>
      <c r="DV17" s="44" t="s">
        <v>37</v>
      </c>
      <c r="DW17" s="44">
        <v>3660322</v>
      </c>
      <c r="DX17" s="44" t="s">
        <v>37</v>
      </c>
      <c r="DY17" s="44">
        <v>1228103</v>
      </c>
      <c r="DZ17" s="44" t="s">
        <v>37</v>
      </c>
      <c r="EA17" s="44">
        <v>9708</v>
      </c>
      <c r="EB17" s="44" t="s">
        <v>37</v>
      </c>
      <c r="EC17" s="44">
        <v>449301</v>
      </c>
      <c r="ED17" s="44" t="s">
        <v>37</v>
      </c>
      <c r="EE17" s="44">
        <v>78278</v>
      </c>
      <c r="EF17" s="44" t="s">
        <v>37</v>
      </c>
      <c r="EG17" s="44">
        <v>138537</v>
      </c>
      <c r="EH17" s="44" t="s">
        <v>37</v>
      </c>
      <c r="EJ17" s="44" t="s">
        <v>37</v>
      </c>
      <c r="EK17" s="44">
        <v>107735</v>
      </c>
      <c r="EL17" s="44" t="s">
        <v>37</v>
      </c>
      <c r="EM17" s="44">
        <v>66565</v>
      </c>
      <c r="EN17" s="44" t="s">
        <v>37</v>
      </c>
      <c r="EP17" s="44" t="s">
        <v>37</v>
      </c>
      <c r="ER17" s="44" t="s">
        <v>37</v>
      </c>
      <c r="ES17" s="44">
        <v>2473128</v>
      </c>
      <c r="ET17" s="44" t="s">
        <v>37</v>
      </c>
      <c r="EU17" s="44">
        <v>1173323</v>
      </c>
      <c r="EV17" s="44" t="s">
        <v>37</v>
      </c>
      <c r="EW17" s="44">
        <v>1913859</v>
      </c>
      <c r="EX17" s="44" t="s">
        <v>37</v>
      </c>
      <c r="EZ17" s="44" t="s">
        <v>37</v>
      </c>
      <c r="FA17" s="44">
        <v>983273</v>
      </c>
      <c r="FB17" s="44" t="s">
        <v>37</v>
      </c>
      <c r="FC17" s="44">
        <v>164336</v>
      </c>
      <c r="FD17" s="44" t="s">
        <v>37</v>
      </c>
      <c r="FE17" s="44">
        <v>1488642</v>
      </c>
      <c r="FF17" s="44" t="s">
        <v>37</v>
      </c>
      <c r="FH17" s="44" t="s">
        <v>37</v>
      </c>
      <c r="FI17" s="44">
        <v>57293</v>
      </c>
      <c r="FJ17" s="44" t="s">
        <v>37</v>
      </c>
      <c r="FK17" s="44">
        <v>6147665</v>
      </c>
      <c r="FL17" s="44" t="s">
        <v>37</v>
      </c>
      <c r="FM17" s="44">
        <v>955039</v>
      </c>
      <c r="FN17" s="44" t="s">
        <v>37</v>
      </c>
      <c r="FP17" s="44" t="s">
        <v>37</v>
      </c>
      <c r="FR17" s="44" t="s">
        <v>37</v>
      </c>
      <c r="FS17" s="44">
        <v>66554</v>
      </c>
      <c r="FT17" s="44" t="s">
        <v>37</v>
      </c>
      <c r="FU17" s="44">
        <v>1296281</v>
      </c>
      <c r="FV17" s="44" t="s">
        <v>37</v>
      </c>
      <c r="FW17" s="44">
        <v>126483</v>
      </c>
      <c r="FX17" s="44" t="s">
        <v>37</v>
      </c>
      <c r="FY17" s="44">
        <v>4902610</v>
      </c>
      <c r="FZ17" s="44" t="s">
        <v>37</v>
      </c>
      <c r="GA17" s="44">
        <v>1833006</v>
      </c>
      <c r="GB17" s="44" t="s">
        <v>37</v>
      </c>
      <c r="GC17" s="44">
        <v>42550</v>
      </c>
      <c r="GD17" s="44" t="s">
        <v>37</v>
      </c>
      <c r="GE17" s="44">
        <v>2821</v>
      </c>
      <c r="GF17" s="44" t="s">
        <v>37</v>
      </c>
      <c r="GG17" s="44">
        <v>11374</v>
      </c>
      <c r="GH17" s="44" t="s">
        <v>37</v>
      </c>
      <c r="GJ17" s="44" t="s">
        <v>37</v>
      </c>
      <c r="GK17" s="44">
        <v>286707</v>
      </c>
      <c r="GL17" s="44" t="s">
        <v>37</v>
      </c>
      <c r="GN17" s="44" t="s">
        <v>37</v>
      </c>
      <c r="GP17" s="44" t="s">
        <v>37</v>
      </c>
      <c r="GR17" s="44" t="s">
        <v>37</v>
      </c>
      <c r="GS17" s="44">
        <v>3398472</v>
      </c>
      <c r="GT17" s="44" t="s">
        <v>37</v>
      </c>
      <c r="GV17" s="44" t="s">
        <v>37</v>
      </c>
      <c r="GW17" s="44">
        <v>194008</v>
      </c>
      <c r="GX17" s="44" t="s">
        <v>37</v>
      </c>
      <c r="GZ17" s="44" t="s">
        <v>37</v>
      </c>
      <c r="HA17" s="44">
        <v>2423424</v>
      </c>
      <c r="HB17" s="44" t="s">
        <v>37</v>
      </c>
      <c r="HD17" s="44" t="s">
        <v>37</v>
      </c>
      <c r="HF17" s="44" t="s">
        <v>37</v>
      </c>
      <c r="HG17" s="44">
        <v>93227943</v>
      </c>
      <c r="HH17" s="44" t="s">
        <v>37</v>
      </c>
      <c r="HJ17" s="44" t="s">
        <v>37</v>
      </c>
      <c r="HK17" s="44">
        <v>93227943</v>
      </c>
      <c r="HL17" s="44" t="s">
        <v>37</v>
      </c>
    </row>
    <row r="18" spans="1:220">
      <c r="A18" s="150" t="s">
        <v>409</v>
      </c>
      <c r="B18" s="44">
        <v>1290</v>
      </c>
      <c r="C18" s="44" t="s">
        <v>51</v>
      </c>
      <c r="D18" s="44" t="s">
        <v>37</v>
      </c>
      <c r="E18" s="44">
        <v>-185981</v>
      </c>
      <c r="F18" s="44" t="s">
        <v>37</v>
      </c>
      <c r="H18" s="44" t="s">
        <v>37</v>
      </c>
      <c r="J18" s="44" t="s">
        <v>37</v>
      </c>
      <c r="L18" s="48" t="s">
        <v>37</v>
      </c>
      <c r="M18" s="51">
        <v>2529411</v>
      </c>
      <c r="N18" s="48" t="s">
        <v>37</v>
      </c>
      <c r="O18" s="51">
        <v>1058039</v>
      </c>
      <c r="P18" s="48" t="s">
        <v>37</v>
      </c>
      <c r="Q18" s="50"/>
      <c r="R18" s="48" t="s">
        <v>37</v>
      </c>
      <c r="S18" s="50"/>
      <c r="T18" s="48" t="s">
        <v>37</v>
      </c>
      <c r="U18" s="44">
        <v>3578859</v>
      </c>
      <c r="V18" s="44" t="s">
        <v>37</v>
      </c>
      <c r="X18" s="44" t="s">
        <v>37</v>
      </c>
      <c r="Z18" s="44" t="s">
        <v>37</v>
      </c>
      <c r="AB18" s="44" t="s">
        <v>37</v>
      </c>
      <c r="AD18" s="44" t="s">
        <v>37</v>
      </c>
      <c r="AF18" s="44" t="s">
        <v>37</v>
      </c>
      <c r="AH18" s="44" t="s">
        <v>37</v>
      </c>
      <c r="AJ18" s="44" t="s">
        <v>37</v>
      </c>
      <c r="AL18" s="44" t="s">
        <v>37</v>
      </c>
      <c r="AN18" s="44" t="s">
        <v>37</v>
      </c>
      <c r="AP18" s="44" t="s">
        <v>37</v>
      </c>
      <c r="AR18" s="44" t="s">
        <v>37</v>
      </c>
      <c r="AT18" s="44" t="s">
        <v>37</v>
      </c>
      <c r="AV18" s="44" t="s">
        <v>37</v>
      </c>
      <c r="AX18" s="44" t="s">
        <v>37</v>
      </c>
      <c r="AZ18" s="44" t="s">
        <v>37</v>
      </c>
      <c r="BA18" s="44">
        <v>2678003</v>
      </c>
      <c r="BB18" s="44" t="s">
        <v>37</v>
      </c>
      <c r="BC18" s="44">
        <v>498106</v>
      </c>
      <c r="BD18" s="44" t="s">
        <v>37</v>
      </c>
      <c r="BF18" s="44" t="s">
        <v>37</v>
      </c>
      <c r="BG18" s="44">
        <v>592984</v>
      </c>
      <c r="BH18" s="44" t="s">
        <v>37</v>
      </c>
      <c r="BJ18" s="44" t="s">
        <v>37</v>
      </c>
      <c r="BL18" s="44" t="s">
        <v>37</v>
      </c>
      <c r="BN18" s="44" t="s">
        <v>37</v>
      </c>
      <c r="BP18" s="44" t="s">
        <v>37</v>
      </c>
      <c r="BQ18" s="44">
        <v>191741</v>
      </c>
      <c r="BR18" s="44" t="s">
        <v>37</v>
      </c>
      <c r="BS18" s="44">
        <v>693689</v>
      </c>
      <c r="BT18" s="44" t="s">
        <v>37</v>
      </c>
      <c r="BV18" s="44" t="s">
        <v>37</v>
      </c>
      <c r="BX18" s="44" t="s">
        <v>37</v>
      </c>
      <c r="BZ18" s="44" t="s">
        <v>37</v>
      </c>
      <c r="CB18" s="44" t="s">
        <v>37</v>
      </c>
      <c r="CD18" s="44" t="s">
        <v>37</v>
      </c>
      <c r="CF18" s="44" t="s">
        <v>37</v>
      </c>
      <c r="CH18" s="44" t="s">
        <v>37</v>
      </c>
      <c r="CJ18" s="44" t="s">
        <v>37</v>
      </c>
      <c r="CL18" s="44" t="s">
        <v>37</v>
      </c>
      <c r="CN18" s="44" t="s">
        <v>37</v>
      </c>
      <c r="CP18" s="44" t="s">
        <v>37</v>
      </c>
      <c r="CR18" s="44" t="s">
        <v>37</v>
      </c>
      <c r="CT18" s="44" t="s">
        <v>37</v>
      </c>
      <c r="CV18" s="44" t="s">
        <v>37</v>
      </c>
      <c r="CX18" s="44" t="s">
        <v>37</v>
      </c>
      <c r="CZ18" s="44" t="s">
        <v>37</v>
      </c>
      <c r="DB18" s="44" t="s">
        <v>37</v>
      </c>
      <c r="DD18" s="44" t="s">
        <v>37</v>
      </c>
      <c r="DF18" s="44" t="s">
        <v>37</v>
      </c>
      <c r="DH18" s="44" t="s">
        <v>37</v>
      </c>
      <c r="DJ18" s="44" t="s">
        <v>37</v>
      </c>
      <c r="DL18" s="44" t="s">
        <v>37</v>
      </c>
      <c r="DN18" s="44" t="s">
        <v>37</v>
      </c>
      <c r="DP18" s="44" t="s">
        <v>37</v>
      </c>
      <c r="DR18" s="44" t="s">
        <v>37</v>
      </c>
      <c r="DT18" s="44" t="s">
        <v>37</v>
      </c>
      <c r="DU18" s="44">
        <v>162622</v>
      </c>
      <c r="DV18" s="44" t="s">
        <v>37</v>
      </c>
      <c r="DX18" s="44" t="s">
        <v>37</v>
      </c>
      <c r="DZ18" s="44" t="s">
        <v>37</v>
      </c>
      <c r="EB18" s="44" t="s">
        <v>37</v>
      </c>
      <c r="ED18" s="44" t="s">
        <v>37</v>
      </c>
      <c r="EF18" s="44" t="s">
        <v>37</v>
      </c>
      <c r="EH18" s="44" t="s">
        <v>37</v>
      </c>
      <c r="EJ18" s="44" t="s">
        <v>37</v>
      </c>
      <c r="EL18" s="44" t="s">
        <v>37</v>
      </c>
      <c r="EN18" s="44" t="s">
        <v>37</v>
      </c>
      <c r="EP18" s="44" t="s">
        <v>37</v>
      </c>
      <c r="ER18" s="44" t="s">
        <v>37</v>
      </c>
      <c r="ET18" s="44" t="s">
        <v>37</v>
      </c>
      <c r="EV18" s="44" t="s">
        <v>37</v>
      </c>
      <c r="EX18" s="44" t="s">
        <v>37</v>
      </c>
      <c r="EZ18" s="44" t="s">
        <v>37</v>
      </c>
      <c r="FB18" s="44" t="s">
        <v>37</v>
      </c>
      <c r="FC18" s="44">
        <v>2395955</v>
      </c>
      <c r="FD18" s="44" t="s">
        <v>37</v>
      </c>
      <c r="FF18" s="44" t="s">
        <v>37</v>
      </c>
      <c r="FH18" s="44" t="s">
        <v>37</v>
      </c>
      <c r="FJ18" s="44" t="s">
        <v>37</v>
      </c>
      <c r="FL18" s="44" t="s">
        <v>37</v>
      </c>
      <c r="FN18" s="44" t="s">
        <v>37</v>
      </c>
      <c r="FP18" s="44" t="s">
        <v>37</v>
      </c>
      <c r="FR18" s="44" t="s">
        <v>37</v>
      </c>
      <c r="FS18" s="44">
        <v>2896709</v>
      </c>
      <c r="FT18" s="44" t="s">
        <v>37</v>
      </c>
      <c r="FV18" s="44" t="s">
        <v>37</v>
      </c>
      <c r="FX18" s="44" t="s">
        <v>37</v>
      </c>
      <c r="FZ18" s="44" t="s">
        <v>37</v>
      </c>
      <c r="GB18" s="44" t="s">
        <v>37</v>
      </c>
      <c r="GD18" s="44" t="s">
        <v>37</v>
      </c>
      <c r="GF18" s="44" t="s">
        <v>37</v>
      </c>
      <c r="GH18" s="44" t="s">
        <v>37</v>
      </c>
      <c r="GJ18" s="44" t="s">
        <v>37</v>
      </c>
      <c r="GL18" s="44" t="s">
        <v>37</v>
      </c>
      <c r="GN18" s="44" t="s">
        <v>37</v>
      </c>
      <c r="GP18" s="44" t="s">
        <v>37</v>
      </c>
      <c r="GR18" s="44" t="s">
        <v>37</v>
      </c>
      <c r="GT18" s="44" t="s">
        <v>37</v>
      </c>
      <c r="GV18" s="44" t="s">
        <v>37</v>
      </c>
      <c r="GX18" s="44" t="s">
        <v>37</v>
      </c>
      <c r="GZ18" s="44" t="s">
        <v>37</v>
      </c>
      <c r="HB18" s="44" t="s">
        <v>37</v>
      </c>
      <c r="HD18" s="44" t="s">
        <v>37</v>
      </c>
      <c r="HF18" s="44" t="s">
        <v>37</v>
      </c>
      <c r="HG18" s="44">
        <v>17090137</v>
      </c>
      <c r="HH18" s="44" t="s">
        <v>37</v>
      </c>
      <c r="HJ18" s="44" t="s">
        <v>37</v>
      </c>
      <c r="HK18" s="44">
        <v>17090137</v>
      </c>
      <c r="HL18" s="44" t="s">
        <v>37</v>
      </c>
    </row>
    <row r="19" spans="1:220">
      <c r="A19" s="150" t="s">
        <v>408</v>
      </c>
      <c r="B19" s="54">
        <v>1300</v>
      </c>
      <c r="C19" s="44" t="s">
        <v>52</v>
      </c>
      <c r="D19" s="44" t="s">
        <v>37</v>
      </c>
      <c r="F19" s="44" t="s">
        <v>37</v>
      </c>
      <c r="H19" s="44" t="s">
        <v>37</v>
      </c>
      <c r="J19" s="44" t="s">
        <v>37</v>
      </c>
      <c r="L19" s="48" t="s">
        <v>37</v>
      </c>
      <c r="M19" s="50"/>
      <c r="N19" s="48" t="s">
        <v>37</v>
      </c>
      <c r="O19" s="50"/>
      <c r="P19" s="48" t="s">
        <v>37</v>
      </c>
      <c r="Q19" s="50"/>
      <c r="R19" s="48" t="s">
        <v>37</v>
      </c>
      <c r="S19" s="50"/>
      <c r="T19" s="48" t="s">
        <v>37</v>
      </c>
      <c r="V19" s="44" t="s">
        <v>37</v>
      </c>
      <c r="X19" s="44" t="s">
        <v>37</v>
      </c>
      <c r="Z19" s="44" t="s">
        <v>37</v>
      </c>
      <c r="AB19" s="44" t="s">
        <v>37</v>
      </c>
      <c r="AD19" s="44" t="s">
        <v>37</v>
      </c>
      <c r="AF19" s="44" t="s">
        <v>37</v>
      </c>
      <c r="AH19" s="44" t="s">
        <v>37</v>
      </c>
      <c r="AJ19" s="44" t="s">
        <v>37</v>
      </c>
      <c r="AL19" s="44" t="s">
        <v>37</v>
      </c>
      <c r="AN19" s="44" t="s">
        <v>37</v>
      </c>
      <c r="AP19" s="44" t="s">
        <v>37</v>
      </c>
      <c r="AR19" s="44" t="s">
        <v>37</v>
      </c>
      <c r="AT19" s="44" t="s">
        <v>37</v>
      </c>
      <c r="AV19" s="44" t="s">
        <v>37</v>
      </c>
      <c r="AX19" s="44" t="s">
        <v>37</v>
      </c>
      <c r="AZ19" s="44" t="s">
        <v>37</v>
      </c>
      <c r="BB19" s="44" t="s">
        <v>37</v>
      </c>
      <c r="BD19" s="44" t="s">
        <v>37</v>
      </c>
      <c r="BF19" s="44" t="s">
        <v>37</v>
      </c>
      <c r="BH19" s="44" t="s">
        <v>37</v>
      </c>
      <c r="BJ19" s="44" t="s">
        <v>37</v>
      </c>
      <c r="BL19" s="44" t="s">
        <v>37</v>
      </c>
      <c r="BN19" s="44" t="s">
        <v>37</v>
      </c>
      <c r="BP19" s="44" t="s">
        <v>37</v>
      </c>
      <c r="BR19" s="44" t="s">
        <v>37</v>
      </c>
      <c r="BT19" s="44" t="s">
        <v>37</v>
      </c>
      <c r="BV19" s="44" t="s">
        <v>37</v>
      </c>
      <c r="BX19" s="44" t="s">
        <v>37</v>
      </c>
      <c r="BZ19" s="44" t="s">
        <v>37</v>
      </c>
      <c r="CB19" s="44" t="s">
        <v>37</v>
      </c>
      <c r="CD19" s="44" t="s">
        <v>37</v>
      </c>
      <c r="CF19" s="44" t="s">
        <v>37</v>
      </c>
      <c r="CH19" s="44" t="s">
        <v>37</v>
      </c>
      <c r="CJ19" s="44" t="s">
        <v>37</v>
      </c>
      <c r="CL19" s="44" t="s">
        <v>37</v>
      </c>
      <c r="CN19" s="44" t="s">
        <v>37</v>
      </c>
      <c r="CP19" s="44" t="s">
        <v>37</v>
      </c>
      <c r="CR19" s="44" t="s">
        <v>37</v>
      </c>
      <c r="CT19" s="44" t="s">
        <v>37</v>
      </c>
      <c r="CV19" s="44" t="s">
        <v>37</v>
      </c>
      <c r="CX19" s="44" t="s">
        <v>37</v>
      </c>
      <c r="CZ19" s="44" t="s">
        <v>37</v>
      </c>
      <c r="DB19" s="44" t="s">
        <v>37</v>
      </c>
      <c r="DD19" s="44" t="s">
        <v>37</v>
      </c>
      <c r="DF19" s="44" t="s">
        <v>37</v>
      </c>
      <c r="DH19" s="44" t="s">
        <v>37</v>
      </c>
      <c r="DJ19" s="44" t="s">
        <v>37</v>
      </c>
      <c r="DL19" s="44" t="s">
        <v>37</v>
      </c>
      <c r="DN19" s="44" t="s">
        <v>37</v>
      </c>
      <c r="DP19" s="44" t="s">
        <v>37</v>
      </c>
      <c r="DR19" s="44" t="s">
        <v>37</v>
      </c>
      <c r="DT19" s="44" t="s">
        <v>37</v>
      </c>
      <c r="DV19" s="44" t="s">
        <v>37</v>
      </c>
      <c r="DX19" s="44" t="s">
        <v>37</v>
      </c>
      <c r="DZ19" s="44" t="s">
        <v>37</v>
      </c>
      <c r="EB19" s="44" t="s">
        <v>37</v>
      </c>
      <c r="ED19" s="44" t="s">
        <v>37</v>
      </c>
      <c r="EF19" s="44" t="s">
        <v>37</v>
      </c>
      <c r="EH19" s="44" t="s">
        <v>37</v>
      </c>
      <c r="EJ19" s="44" t="s">
        <v>37</v>
      </c>
      <c r="EL19" s="44" t="s">
        <v>37</v>
      </c>
      <c r="EN19" s="44" t="s">
        <v>37</v>
      </c>
      <c r="EP19" s="44" t="s">
        <v>37</v>
      </c>
      <c r="ER19" s="44" t="s">
        <v>37</v>
      </c>
      <c r="ET19" s="44" t="s">
        <v>37</v>
      </c>
      <c r="EV19" s="44" t="s">
        <v>37</v>
      </c>
      <c r="EX19" s="44" t="s">
        <v>37</v>
      </c>
      <c r="EZ19" s="44" t="s">
        <v>37</v>
      </c>
      <c r="FB19" s="44" t="s">
        <v>37</v>
      </c>
      <c r="FD19" s="44" t="s">
        <v>37</v>
      </c>
      <c r="FF19" s="44" t="s">
        <v>37</v>
      </c>
      <c r="FH19" s="44" t="s">
        <v>37</v>
      </c>
      <c r="FJ19" s="44" t="s">
        <v>37</v>
      </c>
      <c r="FL19" s="44" t="s">
        <v>37</v>
      </c>
      <c r="FN19" s="44" t="s">
        <v>37</v>
      </c>
      <c r="FP19" s="44" t="s">
        <v>37</v>
      </c>
      <c r="FR19" s="44" t="s">
        <v>37</v>
      </c>
      <c r="FT19" s="44" t="s">
        <v>37</v>
      </c>
      <c r="FV19" s="44" t="s">
        <v>37</v>
      </c>
      <c r="FX19" s="44" t="s">
        <v>37</v>
      </c>
      <c r="FZ19" s="44" t="s">
        <v>37</v>
      </c>
      <c r="GB19" s="44" t="s">
        <v>37</v>
      </c>
      <c r="GD19" s="44" t="s">
        <v>37</v>
      </c>
      <c r="GF19" s="44" t="s">
        <v>37</v>
      </c>
      <c r="GH19" s="44" t="s">
        <v>37</v>
      </c>
      <c r="GJ19" s="44" t="s">
        <v>37</v>
      </c>
      <c r="GL19" s="44" t="s">
        <v>37</v>
      </c>
      <c r="GN19" s="44" t="s">
        <v>37</v>
      </c>
      <c r="GP19" s="44" t="s">
        <v>37</v>
      </c>
      <c r="GR19" s="44" t="s">
        <v>37</v>
      </c>
      <c r="GT19" s="44" t="s">
        <v>37</v>
      </c>
      <c r="GV19" s="44" t="s">
        <v>37</v>
      </c>
      <c r="GX19" s="44" t="s">
        <v>37</v>
      </c>
      <c r="GZ19" s="44" t="s">
        <v>37</v>
      </c>
      <c r="HB19" s="44" t="s">
        <v>37</v>
      </c>
      <c r="HD19" s="44" t="s">
        <v>37</v>
      </c>
      <c r="HF19" s="44" t="s">
        <v>37</v>
      </c>
      <c r="HH19" s="44" t="s">
        <v>37</v>
      </c>
      <c r="HJ19" s="44" t="s">
        <v>37</v>
      </c>
      <c r="HL19" s="44" t="s">
        <v>37</v>
      </c>
    </row>
    <row r="20" spans="1:220">
      <c r="A20" s="150" t="s">
        <v>410</v>
      </c>
      <c r="B20" s="44">
        <v>1310</v>
      </c>
      <c r="C20" s="44" t="s">
        <v>53</v>
      </c>
      <c r="D20" s="44" t="s">
        <v>37</v>
      </c>
      <c r="E20" s="44">
        <v>4600</v>
      </c>
      <c r="F20" s="44" t="s">
        <v>37</v>
      </c>
      <c r="G20" s="44">
        <v>19069</v>
      </c>
      <c r="H20" s="44" t="s">
        <v>37</v>
      </c>
      <c r="J20" s="44" t="s">
        <v>37</v>
      </c>
      <c r="L20" s="48" t="s">
        <v>37</v>
      </c>
      <c r="M20" s="51">
        <v>29796</v>
      </c>
      <c r="N20" s="48" t="s">
        <v>37</v>
      </c>
      <c r="O20" s="51">
        <v>13270</v>
      </c>
      <c r="P20" s="48" t="s">
        <v>37</v>
      </c>
      <c r="Q20" s="51">
        <v>6586</v>
      </c>
      <c r="R20" s="48" t="s">
        <v>37</v>
      </c>
      <c r="S20" s="51">
        <v>9507</v>
      </c>
      <c r="T20" s="48" t="s">
        <v>37</v>
      </c>
      <c r="V20" s="44" t="s">
        <v>37</v>
      </c>
      <c r="X20" s="44" t="s">
        <v>37</v>
      </c>
      <c r="Z20" s="44" t="s">
        <v>37</v>
      </c>
      <c r="AA20" s="44">
        <v>44039</v>
      </c>
      <c r="AB20" s="44" t="s">
        <v>37</v>
      </c>
      <c r="AD20" s="44" t="s">
        <v>37</v>
      </c>
      <c r="AF20" s="44" t="s">
        <v>37</v>
      </c>
      <c r="AH20" s="44" t="s">
        <v>37</v>
      </c>
      <c r="AJ20" s="44" t="s">
        <v>37</v>
      </c>
      <c r="AL20" s="44" t="s">
        <v>37</v>
      </c>
      <c r="AM20" s="44">
        <v>40379</v>
      </c>
      <c r="AN20" s="44" t="s">
        <v>37</v>
      </c>
      <c r="AP20" s="44" t="s">
        <v>37</v>
      </c>
      <c r="AQ20" s="44">
        <v>2424119</v>
      </c>
      <c r="AR20" s="44" t="s">
        <v>37</v>
      </c>
      <c r="AT20" s="44" t="s">
        <v>37</v>
      </c>
      <c r="AU20" s="44">
        <v>29275</v>
      </c>
      <c r="AV20" s="44" t="s">
        <v>37</v>
      </c>
      <c r="AX20" s="44" t="s">
        <v>37</v>
      </c>
      <c r="AY20" s="44">
        <v>1517</v>
      </c>
      <c r="AZ20" s="44" t="s">
        <v>37</v>
      </c>
      <c r="BA20" s="44">
        <v>61794</v>
      </c>
      <c r="BB20" s="44" t="s">
        <v>37</v>
      </c>
      <c r="BD20" s="44" t="s">
        <v>37</v>
      </c>
      <c r="BE20" s="44">
        <v>6214</v>
      </c>
      <c r="BF20" s="44" t="s">
        <v>37</v>
      </c>
      <c r="BG20" s="44">
        <v>100565</v>
      </c>
      <c r="BH20" s="44" t="s">
        <v>37</v>
      </c>
      <c r="BI20" s="44">
        <v>4201</v>
      </c>
      <c r="BJ20" s="44" t="s">
        <v>37</v>
      </c>
      <c r="BL20" s="44" t="s">
        <v>37</v>
      </c>
      <c r="BN20" s="44" t="s">
        <v>37</v>
      </c>
      <c r="BP20" s="44" t="s">
        <v>37</v>
      </c>
      <c r="BR20" s="44" t="s">
        <v>37</v>
      </c>
      <c r="BT20" s="44" t="s">
        <v>37</v>
      </c>
      <c r="BV20" s="44" t="s">
        <v>37</v>
      </c>
      <c r="BX20" s="44" t="s">
        <v>37</v>
      </c>
      <c r="BZ20" s="44" t="s">
        <v>37</v>
      </c>
      <c r="CB20" s="44" t="s">
        <v>37</v>
      </c>
      <c r="CC20" s="44">
        <v>7752</v>
      </c>
      <c r="CD20" s="44" t="s">
        <v>37</v>
      </c>
      <c r="CE20" s="44">
        <v>11617</v>
      </c>
      <c r="CF20" s="44" t="s">
        <v>37</v>
      </c>
      <c r="CG20" s="44">
        <v>1068</v>
      </c>
      <c r="CH20" s="44" t="s">
        <v>37</v>
      </c>
      <c r="CI20" s="44">
        <v>102253</v>
      </c>
      <c r="CJ20" s="44" t="s">
        <v>37</v>
      </c>
      <c r="CL20" s="44" t="s">
        <v>37</v>
      </c>
      <c r="CM20" s="44">
        <v>7970</v>
      </c>
      <c r="CN20" s="44" t="s">
        <v>37</v>
      </c>
      <c r="CP20" s="44" t="s">
        <v>37</v>
      </c>
      <c r="CQ20" s="44">
        <v>55215</v>
      </c>
      <c r="CR20" s="44" t="s">
        <v>37</v>
      </c>
      <c r="CS20" s="44">
        <v>25358</v>
      </c>
      <c r="CT20" s="44" t="s">
        <v>37</v>
      </c>
      <c r="CU20" s="44">
        <v>495128</v>
      </c>
      <c r="CV20" s="44" t="s">
        <v>37</v>
      </c>
      <c r="CW20" s="44">
        <v>5400</v>
      </c>
      <c r="CX20" s="44" t="s">
        <v>37</v>
      </c>
      <c r="CY20" s="44">
        <v>7750</v>
      </c>
      <c r="CZ20" s="44" t="s">
        <v>37</v>
      </c>
      <c r="DA20" s="44">
        <v>9080</v>
      </c>
      <c r="DB20" s="44" t="s">
        <v>37</v>
      </c>
      <c r="DD20" s="44" t="s">
        <v>37</v>
      </c>
      <c r="DE20" s="44">
        <v>28003</v>
      </c>
      <c r="DF20" s="44" t="s">
        <v>37</v>
      </c>
      <c r="DH20" s="44" t="s">
        <v>37</v>
      </c>
      <c r="DI20" s="44">
        <v>59417</v>
      </c>
      <c r="DJ20" s="44" t="s">
        <v>37</v>
      </c>
      <c r="DL20" s="44" t="s">
        <v>37</v>
      </c>
      <c r="DN20" s="44" t="s">
        <v>37</v>
      </c>
      <c r="DO20" s="44">
        <v>37589</v>
      </c>
      <c r="DP20" s="44" t="s">
        <v>37</v>
      </c>
      <c r="DR20" s="44" t="s">
        <v>37</v>
      </c>
      <c r="DS20" s="44">
        <v>4776</v>
      </c>
      <c r="DT20" s="44" t="s">
        <v>37</v>
      </c>
      <c r="DV20" s="44" t="s">
        <v>37</v>
      </c>
      <c r="DW20" s="44">
        <v>33968</v>
      </c>
      <c r="DX20" s="44" t="s">
        <v>37</v>
      </c>
      <c r="DY20" s="44">
        <v>33500</v>
      </c>
      <c r="DZ20" s="44" t="s">
        <v>37</v>
      </c>
      <c r="EA20" s="44">
        <v>83297</v>
      </c>
      <c r="EB20" s="44" t="s">
        <v>37</v>
      </c>
      <c r="EC20" s="44">
        <v>36675</v>
      </c>
      <c r="ED20" s="44" t="s">
        <v>37</v>
      </c>
      <c r="EE20" s="44">
        <v>287505</v>
      </c>
      <c r="EF20" s="44" t="s">
        <v>37</v>
      </c>
      <c r="EH20" s="44" t="s">
        <v>37</v>
      </c>
      <c r="EJ20" s="44" t="s">
        <v>37</v>
      </c>
      <c r="EL20" s="44" t="s">
        <v>37</v>
      </c>
      <c r="EM20" s="44">
        <v>16296</v>
      </c>
      <c r="EN20" s="44" t="s">
        <v>37</v>
      </c>
      <c r="EP20" s="44" t="s">
        <v>37</v>
      </c>
      <c r="EQ20" s="44">
        <v>35090</v>
      </c>
      <c r="ER20" s="44" t="s">
        <v>37</v>
      </c>
      <c r="ET20" s="44" t="s">
        <v>37</v>
      </c>
      <c r="EU20" s="44">
        <v>1700</v>
      </c>
      <c r="EV20" s="44" t="s">
        <v>37</v>
      </c>
      <c r="EW20" s="44">
        <v>103074</v>
      </c>
      <c r="EX20" s="44" t="s">
        <v>37</v>
      </c>
      <c r="EZ20" s="44" t="s">
        <v>37</v>
      </c>
      <c r="FB20" s="44" t="s">
        <v>37</v>
      </c>
      <c r="FC20" s="44">
        <v>25225</v>
      </c>
      <c r="FD20" s="44" t="s">
        <v>37</v>
      </c>
      <c r="FE20" s="44">
        <v>77335</v>
      </c>
      <c r="FF20" s="44" t="s">
        <v>37</v>
      </c>
      <c r="FH20" s="44" t="s">
        <v>37</v>
      </c>
      <c r="FI20" s="44">
        <v>240398</v>
      </c>
      <c r="FJ20" s="44" t="s">
        <v>37</v>
      </c>
      <c r="FK20" s="44">
        <v>72550</v>
      </c>
      <c r="FL20" s="44" t="s">
        <v>37</v>
      </c>
      <c r="FM20" s="44">
        <v>90318</v>
      </c>
      <c r="FN20" s="44" t="s">
        <v>37</v>
      </c>
      <c r="FP20" s="44" t="s">
        <v>37</v>
      </c>
      <c r="FQ20" s="44">
        <v>5112</v>
      </c>
      <c r="FR20" s="44" t="s">
        <v>37</v>
      </c>
      <c r="FS20" s="44">
        <v>6335</v>
      </c>
      <c r="FT20" s="44" t="s">
        <v>37</v>
      </c>
      <c r="FU20" s="44">
        <v>42214</v>
      </c>
      <c r="FV20" s="44" t="s">
        <v>37</v>
      </c>
      <c r="FW20" s="44">
        <v>3550</v>
      </c>
      <c r="FX20" s="44" t="s">
        <v>37</v>
      </c>
      <c r="FY20" s="44">
        <v>3815</v>
      </c>
      <c r="FZ20" s="44" t="s">
        <v>37</v>
      </c>
      <c r="GA20" s="44">
        <v>29962</v>
      </c>
      <c r="GB20" s="44" t="s">
        <v>37</v>
      </c>
      <c r="GC20" s="44">
        <v>47447</v>
      </c>
      <c r="GD20" s="44" t="s">
        <v>37</v>
      </c>
      <c r="GF20" s="44" t="s">
        <v>37</v>
      </c>
      <c r="GH20" s="44" t="s">
        <v>37</v>
      </c>
      <c r="GJ20" s="44" t="s">
        <v>37</v>
      </c>
      <c r="GK20" s="44">
        <v>1139</v>
      </c>
      <c r="GL20" s="44" t="s">
        <v>37</v>
      </c>
      <c r="GM20" s="44">
        <v>551267</v>
      </c>
      <c r="GN20" s="44" t="s">
        <v>37</v>
      </c>
      <c r="GP20" s="44" t="s">
        <v>37</v>
      </c>
      <c r="GR20" s="44" t="s">
        <v>37</v>
      </c>
      <c r="GT20" s="44" t="s">
        <v>37</v>
      </c>
      <c r="GV20" s="44" t="s">
        <v>37</v>
      </c>
      <c r="GW20" s="44">
        <v>6218</v>
      </c>
      <c r="GX20" s="44" t="s">
        <v>37</v>
      </c>
      <c r="GY20" s="44">
        <v>280631</v>
      </c>
      <c r="GZ20" s="44" t="s">
        <v>37</v>
      </c>
      <c r="HA20" s="44">
        <v>139833</v>
      </c>
      <c r="HB20" s="44" t="s">
        <v>37</v>
      </c>
      <c r="HD20" s="44" t="s">
        <v>37</v>
      </c>
      <c r="HF20" s="44" t="s">
        <v>37</v>
      </c>
      <c r="HG20" s="44">
        <v>5907761</v>
      </c>
      <c r="HH20" s="44" t="s">
        <v>37</v>
      </c>
      <c r="HJ20" s="44" t="s">
        <v>37</v>
      </c>
      <c r="HK20" s="44">
        <v>5907761</v>
      </c>
      <c r="HL20" s="44" t="s">
        <v>37</v>
      </c>
    </row>
    <row r="21" spans="1:220">
      <c r="A21" s="150" t="s">
        <v>410</v>
      </c>
      <c r="B21" s="44">
        <v>1320</v>
      </c>
      <c r="C21" s="44" t="s">
        <v>54</v>
      </c>
      <c r="D21" s="44" t="s">
        <v>37</v>
      </c>
      <c r="F21" s="44" t="s">
        <v>37</v>
      </c>
      <c r="G21" s="44">
        <v>12820</v>
      </c>
      <c r="H21" s="44" t="s">
        <v>37</v>
      </c>
      <c r="I21" s="44">
        <v>47341</v>
      </c>
      <c r="J21" s="44" t="s">
        <v>37</v>
      </c>
      <c r="L21" s="48" t="s">
        <v>37</v>
      </c>
      <c r="M21" s="51">
        <v>17317</v>
      </c>
      <c r="N21" s="48" t="s">
        <v>37</v>
      </c>
      <c r="O21" s="50"/>
      <c r="P21" s="48" t="s">
        <v>37</v>
      </c>
      <c r="Q21" s="50"/>
      <c r="R21" s="48" t="s">
        <v>37</v>
      </c>
      <c r="S21" s="50"/>
      <c r="T21" s="48" t="s">
        <v>37</v>
      </c>
      <c r="U21" s="44">
        <v>76940</v>
      </c>
      <c r="V21" s="44" t="s">
        <v>37</v>
      </c>
      <c r="X21" s="44" t="s">
        <v>37</v>
      </c>
      <c r="Y21" s="44">
        <v>1221292</v>
      </c>
      <c r="Z21" s="44" t="s">
        <v>37</v>
      </c>
      <c r="AB21" s="44" t="s">
        <v>37</v>
      </c>
      <c r="AD21" s="44" t="s">
        <v>37</v>
      </c>
      <c r="AF21" s="44" t="s">
        <v>37</v>
      </c>
      <c r="AH21" s="44" t="s">
        <v>37</v>
      </c>
      <c r="AI21" s="44">
        <v>90802</v>
      </c>
      <c r="AJ21" s="44" t="s">
        <v>37</v>
      </c>
      <c r="AK21" s="44">
        <v>181167</v>
      </c>
      <c r="AL21" s="44" t="s">
        <v>37</v>
      </c>
      <c r="AN21" s="44" t="s">
        <v>37</v>
      </c>
      <c r="AO21" s="44">
        <v>2431388</v>
      </c>
      <c r="AP21" s="44" t="s">
        <v>37</v>
      </c>
      <c r="AQ21" s="44">
        <v>56192</v>
      </c>
      <c r="AR21" s="44" t="s">
        <v>37</v>
      </c>
      <c r="AT21" s="44" t="s">
        <v>37</v>
      </c>
      <c r="AV21" s="44" t="s">
        <v>37</v>
      </c>
      <c r="AX21" s="44" t="s">
        <v>37</v>
      </c>
      <c r="AY21" s="44">
        <v>50000</v>
      </c>
      <c r="AZ21" s="44" t="s">
        <v>37</v>
      </c>
      <c r="BA21" s="44">
        <v>16318</v>
      </c>
      <c r="BB21" s="44" t="s">
        <v>37</v>
      </c>
      <c r="BD21" s="44" t="s">
        <v>37</v>
      </c>
      <c r="BF21" s="44" t="s">
        <v>37</v>
      </c>
      <c r="BH21" s="44" t="s">
        <v>37</v>
      </c>
      <c r="BI21" s="44">
        <v>750617</v>
      </c>
      <c r="BJ21" s="44" t="s">
        <v>37</v>
      </c>
      <c r="BK21" s="44">
        <v>11183</v>
      </c>
      <c r="BL21" s="44" t="s">
        <v>37</v>
      </c>
      <c r="BN21" s="44" t="s">
        <v>37</v>
      </c>
      <c r="BP21" s="44" t="s">
        <v>37</v>
      </c>
      <c r="BR21" s="44" t="s">
        <v>37</v>
      </c>
      <c r="BT21" s="44" t="s">
        <v>37</v>
      </c>
      <c r="BV21" s="44" t="s">
        <v>37</v>
      </c>
      <c r="BX21" s="44" t="s">
        <v>37</v>
      </c>
      <c r="BZ21" s="44" t="s">
        <v>37</v>
      </c>
      <c r="CA21" s="44">
        <v>14134</v>
      </c>
      <c r="CB21" s="44" t="s">
        <v>37</v>
      </c>
      <c r="CD21" s="44" t="s">
        <v>37</v>
      </c>
      <c r="CF21" s="44" t="s">
        <v>37</v>
      </c>
      <c r="CH21" s="44" t="s">
        <v>37</v>
      </c>
      <c r="CI21" s="44">
        <v>78083</v>
      </c>
      <c r="CJ21" s="44" t="s">
        <v>37</v>
      </c>
      <c r="CL21" s="44" t="s">
        <v>37</v>
      </c>
      <c r="CM21" s="44">
        <v>11617</v>
      </c>
      <c r="CN21" s="44" t="s">
        <v>37</v>
      </c>
      <c r="CO21" s="44">
        <v>3122</v>
      </c>
      <c r="CP21" s="44" t="s">
        <v>37</v>
      </c>
      <c r="CR21" s="44" t="s">
        <v>37</v>
      </c>
      <c r="CT21" s="44" t="s">
        <v>37</v>
      </c>
      <c r="CV21" s="44" t="s">
        <v>37</v>
      </c>
      <c r="CX21" s="44" t="s">
        <v>37</v>
      </c>
      <c r="CZ21" s="44" t="s">
        <v>37</v>
      </c>
      <c r="DB21" s="44" t="s">
        <v>37</v>
      </c>
      <c r="DD21" s="44" t="s">
        <v>37</v>
      </c>
      <c r="DF21" s="44" t="s">
        <v>37</v>
      </c>
      <c r="DH21" s="44" t="s">
        <v>37</v>
      </c>
      <c r="DJ21" s="44" t="s">
        <v>37</v>
      </c>
      <c r="DL21" s="44" t="s">
        <v>37</v>
      </c>
      <c r="DM21" s="44">
        <v>24318</v>
      </c>
      <c r="DN21" s="44" t="s">
        <v>37</v>
      </c>
      <c r="DO21" s="44">
        <v>21353</v>
      </c>
      <c r="DP21" s="44" t="s">
        <v>37</v>
      </c>
      <c r="DR21" s="44" t="s">
        <v>37</v>
      </c>
      <c r="DS21" s="44">
        <v>5787</v>
      </c>
      <c r="DT21" s="44" t="s">
        <v>37</v>
      </c>
      <c r="DV21" s="44" t="s">
        <v>37</v>
      </c>
      <c r="DW21" s="44">
        <v>197914</v>
      </c>
      <c r="DX21" s="44" t="s">
        <v>37</v>
      </c>
      <c r="DY21" s="44">
        <v>668225</v>
      </c>
      <c r="DZ21" s="44" t="s">
        <v>37</v>
      </c>
      <c r="EB21" s="44" t="s">
        <v>37</v>
      </c>
      <c r="ED21" s="44" t="s">
        <v>37</v>
      </c>
      <c r="EF21" s="44" t="s">
        <v>37</v>
      </c>
      <c r="EH21" s="44" t="s">
        <v>37</v>
      </c>
      <c r="EI21" s="44">
        <v>375077</v>
      </c>
      <c r="EJ21" s="44" t="s">
        <v>37</v>
      </c>
      <c r="EL21" s="44" t="s">
        <v>37</v>
      </c>
      <c r="EN21" s="44" t="s">
        <v>37</v>
      </c>
      <c r="EP21" s="44" t="s">
        <v>37</v>
      </c>
      <c r="EQ21" s="44">
        <v>329502</v>
      </c>
      <c r="ER21" s="44" t="s">
        <v>37</v>
      </c>
      <c r="ET21" s="44" t="s">
        <v>37</v>
      </c>
      <c r="EU21" s="44">
        <v>13989</v>
      </c>
      <c r="EV21" s="44" t="s">
        <v>37</v>
      </c>
      <c r="EW21" s="44">
        <v>21750</v>
      </c>
      <c r="EX21" s="44" t="s">
        <v>37</v>
      </c>
      <c r="EZ21" s="44" t="s">
        <v>37</v>
      </c>
      <c r="FB21" s="44" t="s">
        <v>37</v>
      </c>
      <c r="FC21" s="44">
        <v>6195</v>
      </c>
      <c r="FD21" s="44" t="s">
        <v>37</v>
      </c>
      <c r="FE21" s="44">
        <v>24622</v>
      </c>
      <c r="FF21" s="44" t="s">
        <v>37</v>
      </c>
      <c r="FG21" s="44">
        <v>759620</v>
      </c>
      <c r="FH21" s="44" t="s">
        <v>37</v>
      </c>
      <c r="FI21" s="44">
        <v>63211</v>
      </c>
      <c r="FJ21" s="44" t="s">
        <v>37</v>
      </c>
      <c r="FK21" s="44">
        <v>396184</v>
      </c>
      <c r="FL21" s="44" t="s">
        <v>37</v>
      </c>
      <c r="FM21" s="44">
        <v>882</v>
      </c>
      <c r="FN21" s="44" t="s">
        <v>37</v>
      </c>
      <c r="FP21" s="44" t="s">
        <v>37</v>
      </c>
      <c r="FR21" s="44" t="s">
        <v>37</v>
      </c>
      <c r="FS21" s="44">
        <v>81313</v>
      </c>
      <c r="FT21" s="44" t="s">
        <v>37</v>
      </c>
      <c r="FV21" s="44" t="s">
        <v>37</v>
      </c>
      <c r="FX21" s="44" t="s">
        <v>37</v>
      </c>
      <c r="FZ21" s="44" t="s">
        <v>37</v>
      </c>
      <c r="GA21" s="44">
        <v>31574</v>
      </c>
      <c r="GB21" s="44" t="s">
        <v>37</v>
      </c>
      <c r="GC21" s="44">
        <v>663166</v>
      </c>
      <c r="GD21" s="44" t="s">
        <v>37</v>
      </c>
      <c r="GE21" s="44">
        <v>407619</v>
      </c>
      <c r="GF21" s="44" t="s">
        <v>37</v>
      </c>
      <c r="GG21" s="44">
        <v>619986</v>
      </c>
      <c r="GH21" s="44" t="s">
        <v>37</v>
      </c>
      <c r="GI21" s="44">
        <v>544539</v>
      </c>
      <c r="GJ21" s="44" t="s">
        <v>37</v>
      </c>
      <c r="GK21" s="44">
        <v>995368</v>
      </c>
      <c r="GL21" s="44" t="s">
        <v>37</v>
      </c>
      <c r="GN21" s="44" t="s">
        <v>37</v>
      </c>
      <c r="GP21" s="44" t="s">
        <v>37</v>
      </c>
      <c r="GR21" s="44" t="s">
        <v>37</v>
      </c>
      <c r="GS21" s="44">
        <v>22786</v>
      </c>
      <c r="GT21" s="44" t="s">
        <v>37</v>
      </c>
      <c r="GV21" s="44" t="s">
        <v>37</v>
      </c>
      <c r="GX21" s="44" t="s">
        <v>37</v>
      </c>
      <c r="GY21" s="44">
        <v>15962</v>
      </c>
      <c r="GZ21" s="44" t="s">
        <v>37</v>
      </c>
      <c r="HB21" s="44" t="s">
        <v>37</v>
      </c>
      <c r="HD21" s="44" t="s">
        <v>37</v>
      </c>
      <c r="HF21" s="44" t="s">
        <v>37</v>
      </c>
      <c r="HG21" s="44">
        <v>11361275</v>
      </c>
      <c r="HH21" s="44" t="s">
        <v>37</v>
      </c>
      <c r="HJ21" s="44" t="s">
        <v>37</v>
      </c>
      <c r="HK21" s="44">
        <v>11361275</v>
      </c>
      <c r="HL21" s="44" t="s">
        <v>37</v>
      </c>
    </row>
    <row r="22" spans="1:220">
      <c r="A22" s="150" t="s">
        <v>407</v>
      </c>
      <c r="B22" s="54">
        <v>1330</v>
      </c>
      <c r="C22" s="44" t="s">
        <v>55</v>
      </c>
      <c r="D22" s="44" t="s">
        <v>37</v>
      </c>
      <c r="F22" s="44" t="s">
        <v>37</v>
      </c>
      <c r="G22" s="44">
        <v>12354</v>
      </c>
      <c r="H22" s="44" t="s">
        <v>37</v>
      </c>
      <c r="J22" s="44" t="s">
        <v>37</v>
      </c>
      <c r="L22" s="48" t="s">
        <v>37</v>
      </c>
      <c r="M22" s="50"/>
      <c r="N22" s="48" t="s">
        <v>37</v>
      </c>
      <c r="O22" s="50"/>
      <c r="P22" s="48" t="s">
        <v>37</v>
      </c>
      <c r="Q22" s="50"/>
      <c r="R22" s="48" t="s">
        <v>37</v>
      </c>
      <c r="S22" s="50"/>
      <c r="T22" s="48" t="s">
        <v>37</v>
      </c>
      <c r="V22" s="44" t="s">
        <v>37</v>
      </c>
      <c r="X22" s="44" t="s">
        <v>37</v>
      </c>
      <c r="Y22" s="44">
        <v>29659</v>
      </c>
      <c r="Z22" s="44" t="s">
        <v>37</v>
      </c>
      <c r="AB22" s="44" t="s">
        <v>37</v>
      </c>
      <c r="AD22" s="44" t="s">
        <v>37</v>
      </c>
      <c r="AE22" s="44">
        <v>1267</v>
      </c>
      <c r="AF22" s="44" t="s">
        <v>37</v>
      </c>
      <c r="AH22" s="44" t="s">
        <v>37</v>
      </c>
      <c r="AJ22" s="44" t="s">
        <v>37</v>
      </c>
      <c r="AL22" s="44" t="s">
        <v>37</v>
      </c>
      <c r="AN22" s="44" t="s">
        <v>37</v>
      </c>
      <c r="AP22" s="44" t="s">
        <v>37</v>
      </c>
      <c r="AR22" s="44" t="s">
        <v>37</v>
      </c>
      <c r="AS22" s="44">
        <v>12856</v>
      </c>
      <c r="AT22" s="44" t="s">
        <v>37</v>
      </c>
      <c r="AV22" s="44" t="s">
        <v>37</v>
      </c>
      <c r="AW22" s="44">
        <v>11021</v>
      </c>
      <c r="AX22" s="44" t="s">
        <v>37</v>
      </c>
      <c r="AZ22" s="44" t="s">
        <v>37</v>
      </c>
      <c r="BA22" s="44">
        <v>18550</v>
      </c>
      <c r="BB22" s="44" t="s">
        <v>37</v>
      </c>
      <c r="BD22" s="44" t="s">
        <v>37</v>
      </c>
      <c r="BF22" s="44" t="s">
        <v>37</v>
      </c>
      <c r="BH22" s="44" t="s">
        <v>37</v>
      </c>
      <c r="BI22" s="44">
        <v>15692</v>
      </c>
      <c r="BJ22" s="44" t="s">
        <v>37</v>
      </c>
      <c r="BL22" s="44" t="s">
        <v>37</v>
      </c>
      <c r="BN22" s="44" t="s">
        <v>37</v>
      </c>
      <c r="BP22" s="44" t="s">
        <v>37</v>
      </c>
      <c r="BR22" s="44" t="s">
        <v>37</v>
      </c>
      <c r="BS22" s="44">
        <v>3490</v>
      </c>
      <c r="BT22" s="44" t="s">
        <v>37</v>
      </c>
      <c r="BV22" s="44" t="s">
        <v>37</v>
      </c>
      <c r="BX22" s="44" t="s">
        <v>37</v>
      </c>
      <c r="BY22" s="44">
        <v>105071</v>
      </c>
      <c r="BZ22" s="44" t="s">
        <v>37</v>
      </c>
      <c r="CB22" s="44" t="s">
        <v>37</v>
      </c>
      <c r="CD22" s="44" t="s">
        <v>37</v>
      </c>
      <c r="CF22" s="44" t="s">
        <v>37</v>
      </c>
      <c r="CG22" s="44">
        <v>141</v>
      </c>
      <c r="CH22" s="44" t="s">
        <v>37</v>
      </c>
      <c r="CI22" s="44">
        <v>146348</v>
      </c>
      <c r="CJ22" s="44" t="s">
        <v>37</v>
      </c>
      <c r="CL22" s="44" t="s">
        <v>37</v>
      </c>
      <c r="CN22" s="44" t="s">
        <v>37</v>
      </c>
      <c r="CP22" s="44" t="s">
        <v>37</v>
      </c>
      <c r="CR22" s="44" t="s">
        <v>37</v>
      </c>
      <c r="CT22" s="44" t="s">
        <v>37</v>
      </c>
      <c r="CU22" s="44">
        <v>509383</v>
      </c>
      <c r="CV22" s="44" t="s">
        <v>37</v>
      </c>
      <c r="CW22" s="44">
        <v>20362</v>
      </c>
      <c r="CX22" s="44" t="s">
        <v>37</v>
      </c>
      <c r="CZ22" s="44" t="s">
        <v>37</v>
      </c>
      <c r="DB22" s="44" t="s">
        <v>37</v>
      </c>
      <c r="DD22" s="44" t="s">
        <v>37</v>
      </c>
      <c r="DF22" s="44" t="s">
        <v>37</v>
      </c>
      <c r="DH22" s="44" t="s">
        <v>37</v>
      </c>
      <c r="DI22" s="44">
        <v>15248</v>
      </c>
      <c r="DJ22" s="44" t="s">
        <v>37</v>
      </c>
      <c r="DL22" s="44" t="s">
        <v>37</v>
      </c>
      <c r="DN22" s="44" t="s">
        <v>37</v>
      </c>
      <c r="DO22" s="44">
        <v>20604</v>
      </c>
      <c r="DP22" s="44" t="s">
        <v>37</v>
      </c>
      <c r="DR22" s="44" t="s">
        <v>37</v>
      </c>
      <c r="DT22" s="44" t="s">
        <v>37</v>
      </c>
      <c r="DV22" s="44" t="s">
        <v>37</v>
      </c>
      <c r="DX22" s="44" t="s">
        <v>37</v>
      </c>
      <c r="DY22" s="44">
        <v>100</v>
      </c>
      <c r="DZ22" s="44" t="s">
        <v>37</v>
      </c>
      <c r="EB22" s="44" t="s">
        <v>37</v>
      </c>
      <c r="ED22" s="44" t="s">
        <v>37</v>
      </c>
      <c r="EF22" s="44" t="s">
        <v>37</v>
      </c>
      <c r="EH22" s="44" t="s">
        <v>37</v>
      </c>
      <c r="EJ22" s="44" t="s">
        <v>37</v>
      </c>
      <c r="EL22" s="44" t="s">
        <v>37</v>
      </c>
      <c r="EN22" s="44" t="s">
        <v>37</v>
      </c>
      <c r="EP22" s="44" t="s">
        <v>37</v>
      </c>
      <c r="EQ22" s="44">
        <v>520</v>
      </c>
      <c r="ER22" s="44" t="s">
        <v>37</v>
      </c>
      <c r="ET22" s="44" t="s">
        <v>37</v>
      </c>
      <c r="EV22" s="44" t="s">
        <v>37</v>
      </c>
      <c r="EW22" s="44">
        <v>6002</v>
      </c>
      <c r="EX22" s="44" t="s">
        <v>37</v>
      </c>
      <c r="EZ22" s="44" t="s">
        <v>37</v>
      </c>
      <c r="FB22" s="44" t="s">
        <v>37</v>
      </c>
      <c r="FD22" s="44" t="s">
        <v>37</v>
      </c>
      <c r="FF22" s="44" t="s">
        <v>37</v>
      </c>
      <c r="FH22" s="44" t="s">
        <v>37</v>
      </c>
      <c r="FJ22" s="44" t="s">
        <v>37</v>
      </c>
      <c r="FK22" s="44">
        <v>66956</v>
      </c>
      <c r="FL22" s="44" t="s">
        <v>37</v>
      </c>
      <c r="FN22" s="44" t="s">
        <v>37</v>
      </c>
      <c r="FP22" s="44" t="s">
        <v>37</v>
      </c>
      <c r="FR22" s="44" t="s">
        <v>37</v>
      </c>
      <c r="FT22" s="44" t="s">
        <v>37</v>
      </c>
      <c r="FV22" s="44" t="s">
        <v>37</v>
      </c>
      <c r="FX22" s="44" t="s">
        <v>37</v>
      </c>
      <c r="FZ22" s="44" t="s">
        <v>37</v>
      </c>
      <c r="GB22" s="44" t="s">
        <v>37</v>
      </c>
      <c r="GC22" s="44">
        <v>13313</v>
      </c>
      <c r="GD22" s="44" t="s">
        <v>37</v>
      </c>
      <c r="GF22" s="44" t="s">
        <v>37</v>
      </c>
      <c r="GH22" s="44" t="s">
        <v>37</v>
      </c>
      <c r="GJ22" s="44" t="s">
        <v>37</v>
      </c>
      <c r="GL22" s="44" t="s">
        <v>37</v>
      </c>
      <c r="GM22" s="44">
        <v>7190</v>
      </c>
      <c r="GN22" s="44" t="s">
        <v>37</v>
      </c>
      <c r="GP22" s="44" t="s">
        <v>37</v>
      </c>
      <c r="GR22" s="44" t="s">
        <v>37</v>
      </c>
      <c r="GS22" s="44">
        <v>41319</v>
      </c>
      <c r="GT22" s="44" t="s">
        <v>37</v>
      </c>
      <c r="GV22" s="44" t="s">
        <v>37</v>
      </c>
      <c r="GX22" s="44" t="s">
        <v>37</v>
      </c>
      <c r="GZ22" s="44" t="s">
        <v>37</v>
      </c>
      <c r="HB22" s="44" t="s">
        <v>37</v>
      </c>
      <c r="HD22" s="44" t="s">
        <v>37</v>
      </c>
      <c r="HF22" s="44" t="s">
        <v>37</v>
      </c>
      <c r="HG22" s="44">
        <v>1057446</v>
      </c>
      <c r="HH22" s="44" t="s">
        <v>37</v>
      </c>
      <c r="HJ22" s="44" t="s">
        <v>37</v>
      </c>
      <c r="HK22" s="44">
        <v>1057446</v>
      </c>
      <c r="HL22" s="44" t="s">
        <v>37</v>
      </c>
    </row>
    <row r="23" spans="1:220">
      <c r="A23" s="150" t="s">
        <v>407</v>
      </c>
      <c r="B23" s="54">
        <v>1340</v>
      </c>
      <c r="C23" s="44" t="s">
        <v>56</v>
      </c>
      <c r="D23" s="44" t="s">
        <v>37</v>
      </c>
      <c r="F23" s="44" t="s">
        <v>37</v>
      </c>
      <c r="H23" s="44" t="s">
        <v>37</v>
      </c>
      <c r="J23" s="44" t="s">
        <v>37</v>
      </c>
      <c r="L23" s="48" t="s">
        <v>37</v>
      </c>
      <c r="M23" s="50"/>
      <c r="N23" s="48" t="s">
        <v>37</v>
      </c>
      <c r="O23" s="50"/>
      <c r="P23" s="48" t="s">
        <v>37</v>
      </c>
      <c r="Q23" s="50"/>
      <c r="R23" s="48" t="s">
        <v>37</v>
      </c>
      <c r="S23" s="50"/>
      <c r="T23" s="48" t="s">
        <v>37</v>
      </c>
      <c r="V23" s="44" t="s">
        <v>37</v>
      </c>
      <c r="X23" s="44" t="s">
        <v>37</v>
      </c>
      <c r="Z23" s="44" t="s">
        <v>37</v>
      </c>
      <c r="AB23" s="44" t="s">
        <v>37</v>
      </c>
      <c r="AD23" s="44" t="s">
        <v>37</v>
      </c>
      <c r="AF23" s="44" t="s">
        <v>37</v>
      </c>
      <c r="AH23" s="44" t="s">
        <v>37</v>
      </c>
      <c r="AJ23" s="44" t="s">
        <v>37</v>
      </c>
      <c r="AL23" s="44" t="s">
        <v>37</v>
      </c>
      <c r="AN23" s="44" t="s">
        <v>37</v>
      </c>
      <c r="AP23" s="44" t="s">
        <v>37</v>
      </c>
      <c r="AR23" s="44" t="s">
        <v>37</v>
      </c>
      <c r="AT23" s="44" t="s">
        <v>37</v>
      </c>
      <c r="AV23" s="44" t="s">
        <v>37</v>
      </c>
      <c r="AX23" s="44" t="s">
        <v>37</v>
      </c>
      <c r="AZ23" s="44" t="s">
        <v>37</v>
      </c>
      <c r="BB23" s="44" t="s">
        <v>37</v>
      </c>
      <c r="BD23" s="44" t="s">
        <v>37</v>
      </c>
      <c r="BF23" s="44" t="s">
        <v>37</v>
      </c>
      <c r="BH23" s="44" t="s">
        <v>37</v>
      </c>
      <c r="BI23" s="44">
        <v>12000</v>
      </c>
      <c r="BJ23" s="44" t="s">
        <v>37</v>
      </c>
      <c r="BL23" s="44" t="s">
        <v>37</v>
      </c>
      <c r="BN23" s="44" t="s">
        <v>37</v>
      </c>
      <c r="BP23" s="44" t="s">
        <v>37</v>
      </c>
      <c r="BR23" s="44" t="s">
        <v>37</v>
      </c>
      <c r="BT23" s="44" t="s">
        <v>37</v>
      </c>
      <c r="BV23" s="44" t="s">
        <v>37</v>
      </c>
      <c r="BX23" s="44" t="s">
        <v>37</v>
      </c>
      <c r="BZ23" s="44" t="s">
        <v>37</v>
      </c>
      <c r="CB23" s="44" t="s">
        <v>37</v>
      </c>
      <c r="CD23" s="44" t="s">
        <v>37</v>
      </c>
      <c r="CF23" s="44" t="s">
        <v>37</v>
      </c>
      <c r="CH23" s="44" t="s">
        <v>37</v>
      </c>
      <c r="CJ23" s="44" t="s">
        <v>37</v>
      </c>
      <c r="CL23" s="44" t="s">
        <v>37</v>
      </c>
      <c r="CN23" s="44" t="s">
        <v>37</v>
      </c>
      <c r="CP23" s="44" t="s">
        <v>37</v>
      </c>
      <c r="CR23" s="44" t="s">
        <v>37</v>
      </c>
      <c r="CT23" s="44" t="s">
        <v>37</v>
      </c>
      <c r="CV23" s="44" t="s">
        <v>37</v>
      </c>
      <c r="CX23" s="44" t="s">
        <v>37</v>
      </c>
      <c r="CZ23" s="44" t="s">
        <v>37</v>
      </c>
      <c r="DB23" s="44" t="s">
        <v>37</v>
      </c>
      <c r="DD23" s="44" t="s">
        <v>37</v>
      </c>
      <c r="DF23" s="44" t="s">
        <v>37</v>
      </c>
      <c r="DH23" s="44" t="s">
        <v>37</v>
      </c>
      <c r="DJ23" s="44" t="s">
        <v>37</v>
      </c>
      <c r="DL23" s="44" t="s">
        <v>37</v>
      </c>
      <c r="DN23" s="44" t="s">
        <v>37</v>
      </c>
      <c r="DP23" s="44" t="s">
        <v>37</v>
      </c>
      <c r="DR23" s="44" t="s">
        <v>37</v>
      </c>
      <c r="DT23" s="44" t="s">
        <v>37</v>
      </c>
      <c r="DV23" s="44" t="s">
        <v>37</v>
      </c>
      <c r="DX23" s="44" t="s">
        <v>37</v>
      </c>
      <c r="DZ23" s="44" t="s">
        <v>37</v>
      </c>
      <c r="EB23" s="44" t="s">
        <v>37</v>
      </c>
      <c r="ED23" s="44" t="s">
        <v>37</v>
      </c>
      <c r="EF23" s="44" t="s">
        <v>37</v>
      </c>
      <c r="EH23" s="44" t="s">
        <v>37</v>
      </c>
      <c r="EJ23" s="44" t="s">
        <v>37</v>
      </c>
      <c r="EL23" s="44" t="s">
        <v>37</v>
      </c>
      <c r="EN23" s="44" t="s">
        <v>37</v>
      </c>
      <c r="EP23" s="44" t="s">
        <v>37</v>
      </c>
      <c r="ER23" s="44" t="s">
        <v>37</v>
      </c>
      <c r="ET23" s="44" t="s">
        <v>37</v>
      </c>
      <c r="EV23" s="44" t="s">
        <v>37</v>
      </c>
      <c r="EW23" s="44">
        <v>3960</v>
      </c>
      <c r="EX23" s="44" t="s">
        <v>37</v>
      </c>
      <c r="EZ23" s="44" t="s">
        <v>37</v>
      </c>
      <c r="FB23" s="44" t="s">
        <v>37</v>
      </c>
      <c r="FD23" s="44" t="s">
        <v>37</v>
      </c>
      <c r="FF23" s="44" t="s">
        <v>37</v>
      </c>
      <c r="FH23" s="44" t="s">
        <v>37</v>
      </c>
      <c r="FJ23" s="44" t="s">
        <v>37</v>
      </c>
      <c r="FL23" s="44" t="s">
        <v>37</v>
      </c>
      <c r="FN23" s="44" t="s">
        <v>37</v>
      </c>
      <c r="FP23" s="44" t="s">
        <v>37</v>
      </c>
      <c r="FR23" s="44" t="s">
        <v>37</v>
      </c>
      <c r="FT23" s="44" t="s">
        <v>37</v>
      </c>
      <c r="FV23" s="44" t="s">
        <v>37</v>
      </c>
      <c r="FX23" s="44" t="s">
        <v>37</v>
      </c>
      <c r="FZ23" s="44" t="s">
        <v>37</v>
      </c>
      <c r="GB23" s="44" t="s">
        <v>37</v>
      </c>
      <c r="GD23" s="44" t="s">
        <v>37</v>
      </c>
      <c r="GF23" s="44" t="s">
        <v>37</v>
      </c>
      <c r="GH23" s="44" t="s">
        <v>37</v>
      </c>
      <c r="GJ23" s="44" t="s">
        <v>37</v>
      </c>
      <c r="GL23" s="44" t="s">
        <v>37</v>
      </c>
      <c r="GN23" s="44" t="s">
        <v>37</v>
      </c>
      <c r="GP23" s="44" t="s">
        <v>37</v>
      </c>
      <c r="GR23" s="44" t="s">
        <v>37</v>
      </c>
      <c r="GT23" s="44" t="s">
        <v>37</v>
      </c>
      <c r="GV23" s="44" t="s">
        <v>37</v>
      </c>
      <c r="GX23" s="44" t="s">
        <v>37</v>
      </c>
      <c r="GZ23" s="44" t="s">
        <v>37</v>
      </c>
      <c r="HB23" s="44" t="s">
        <v>37</v>
      </c>
      <c r="HD23" s="44" t="s">
        <v>37</v>
      </c>
      <c r="HF23" s="44" t="s">
        <v>37</v>
      </c>
      <c r="HG23" s="44">
        <v>15960</v>
      </c>
      <c r="HH23" s="44" t="s">
        <v>37</v>
      </c>
      <c r="HJ23" s="44" t="s">
        <v>37</v>
      </c>
      <c r="HK23" s="44">
        <v>15960</v>
      </c>
      <c r="HL23" s="44" t="s">
        <v>37</v>
      </c>
    </row>
    <row r="24" spans="1:220">
      <c r="A24" s="150" t="s">
        <v>410</v>
      </c>
      <c r="B24" s="44">
        <v>1350</v>
      </c>
      <c r="C24" s="44" t="s">
        <v>57</v>
      </c>
      <c r="D24" s="44" t="s">
        <v>37</v>
      </c>
      <c r="E24" s="44">
        <v>2400</v>
      </c>
      <c r="F24" s="44" t="s">
        <v>37</v>
      </c>
      <c r="H24" s="44" t="s">
        <v>37</v>
      </c>
      <c r="J24" s="44" t="s">
        <v>37</v>
      </c>
      <c r="L24" s="48" t="s">
        <v>37</v>
      </c>
      <c r="M24" s="51">
        <v>52183</v>
      </c>
      <c r="N24" s="48" t="s">
        <v>37</v>
      </c>
      <c r="O24" s="51">
        <v>16242</v>
      </c>
      <c r="P24" s="48" t="s">
        <v>37</v>
      </c>
      <c r="Q24" s="51">
        <v>7992</v>
      </c>
      <c r="R24" s="48" t="s">
        <v>37</v>
      </c>
      <c r="S24" s="50"/>
      <c r="T24" s="48" t="s">
        <v>37</v>
      </c>
      <c r="V24" s="44" t="s">
        <v>37</v>
      </c>
      <c r="X24" s="44" t="s">
        <v>37</v>
      </c>
      <c r="Z24" s="44" t="s">
        <v>37</v>
      </c>
      <c r="AB24" s="44" t="s">
        <v>37</v>
      </c>
      <c r="AC24" s="44">
        <v>250</v>
      </c>
      <c r="AD24" s="44" t="s">
        <v>37</v>
      </c>
      <c r="AF24" s="44" t="s">
        <v>37</v>
      </c>
      <c r="AH24" s="44" t="s">
        <v>37</v>
      </c>
      <c r="AI24" s="44">
        <v>29544</v>
      </c>
      <c r="AJ24" s="44" t="s">
        <v>37</v>
      </c>
      <c r="AL24" s="44" t="s">
        <v>37</v>
      </c>
      <c r="AN24" s="44" t="s">
        <v>37</v>
      </c>
      <c r="AO24" s="44">
        <v>780636</v>
      </c>
      <c r="AP24" s="44" t="s">
        <v>37</v>
      </c>
      <c r="AR24" s="44" t="s">
        <v>37</v>
      </c>
      <c r="AT24" s="44" t="s">
        <v>37</v>
      </c>
      <c r="AV24" s="44" t="s">
        <v>37</v>
      </c>
      <c r="AW24" s="44">
        <v>22803</v>
      </c>
      <c r="AX24" s="44" t="s">
        <v>37</v>
      </c>
      <c r="AZ24" s="44" t="s">
        <v>37</v>
      </c>
      <c r="BA24" s="44">
        <v>18050</v>
      </c>
      <c r="BB24" s="44" t="s">
        <v>37</v>
      </c>
      <c r="BD24" s="44" t="s">
        <v>37</v>
      </c>
      <c r="BF24" s="44" t="s">
        <v>37</v>
      </c>
      <c r="BH24" s="44" t="s">
        <v>37</v>
      </c>
      <c r="BJ24" s="44" t="s">
        <v>37</v>
      </c>
      <c r="BL24" s="44" t="s">
        <v>37</v>
      </c>
      <c r="BN24" s="44" t="s">
        <v>37</v>
      </c>
      <c r="BP24" s="44" t="s">
        <v>37</v>
      </c>
      <c r="BQ24" s="44">
        <v>900</v>
      </c>
      <c r="BR24" s="44" t="s">
        <v>37</v>
      </c>
      <c r="BS24" s="44">
        <v>5150</v>
      </c>
      <c r="BT24" s="44" t="s">
        <v>37</v>
      </c>
      <c r="BV24" s="44" t="s">
        <v>37</v>
      </c>
      <c r="BX24" s="44" t="s">
        <v>37</v>
      </c>
      <c r="BY24" s="44">
        <v>184486</v>
      </c>
      <c r="BZ24" s="44" t="s">
        <v>37</v>
      </c>
      <c r="CA24" s="44">
        <v>12995</v>
      </c>
      <c r="CB24" s="44" t="s">
        <v>37</v>
      </c>
      <c r="CC24" s="44">
        <v>2925</v>
      </c>
      <c r="CD24" s="44" t="s">
        <v>37</v>
      </c>
      <c r="CF24" s="44" t="s">
        <v>37</v>
      </c>
      <c r="CH24" s="44" t="s">
        <v>37</v>
      </c>
      <c r="CJ24" s="44" t="s">
        <v>37</v>
      </c>
      <c r="CL24" s="44" t="s">
        <v>37</v>
      </c>
      <c r="CN24" s="44" t="s">
        <v>37</v>
      </c>
      <c r="CO24" s="44">
        <v>460</v>
      </c>
      <c r="CP24" s="44" t="s">
        <v>37</v>
      </c>
      <c r="CR24" s="44" t="s">
        <v>37</v>
      </c>
      <c r="CS24" s="44">
        <v>20638</v>
      </c>
      <c r="CT24" s="44" t="s">
        <v>37</v>
      </c>
      <c r="CU24" s="44">
        <v>278417</v>
      </c>
      <c r="CV24" s="44" t="s">
        <v>37</v>
      </c>
      <c r="CX24" s="44" t="s">
        <v>37</v>
      </c>
      <c r="CY24" s="44">
        <v>7390</v>
      </c>
      <c r="CZ24" s="44" t="s">
        <v>37</v>
      </c>
      <c r="DA24" s="44">
        <v>200</v>
      </c>
      <c r="DB24" s="44" t="s">
        <v>37</v>
      </c>
      <c r="DD24" s="44" t="s">
        <v>37</v>
      </c>
      <c r="DF24" s="44" t="s">
        <v>37</v>
      </c>
      <c r="DH24" s="44" t="s">
        <v>37</v>
      </c>
      <c r="DI24" s="44">
        <v>147814</v>
      </c>
      <c r="DJ24" s="44" t="s">
        <v>37</v>
      </c>
      <c r="DK24" s="44">
        <v>8294</v>
      </c>
      <c r="DL24" s="44" t="s">
        <v>37</v>
      </c>
      <c r="DN24" s="44" t="s">
        <v>37</v>
      </c>
      <c r="DO24" s="44">
        <v>11420</v>
      </c>
      <c r="DP24" s="44" t="s">
        <v>37</v>
      </c>
      <c r="DR24" s="44" t="s">
        <v>37</v>
      </c>
      <c r="DT24" s="44" t="s">
        <v>37</v>
      </c>
      <c r="DU24" s="44">
        <v>11980</v>
      </c>
      <c r="DV24" s="44" t="s">
        <v>37</v>
      </c>
      <c r="DX24" s="44" t="s">
        <v>37</v>
      </c>
      <c r="DY24" s="44">
        <v>38629</v>
      </c>
      <c r="DZ24" s="44" t="s">
        <v>37</v>
      </c>
      <c r="EB24" s="44" t="s">
        <v>37</v>
      </c>
      <c r="ED24" s="44" t="s">
        <v>37</v>
      </c>
      <c r="EE24" s="44">
        <v>75910</v>
      </c>
      <c r="EF24" s="44" t="s">
        <v>37</v>
      </c>
      <c r="EH24" s="44" t="s">
        <v>37</v>
      </c>
      <c r="EJ24" s="44" t="s">
        <v>37</v>
      </c>
      <c r="EK24" s="44">
        <v>15033</v>
      </c>
      <c r="EL24" s="44" t="s">
        <v>37</v>
      </c>
      <c r="EM24" s="44">
        <v>3040</v>
      </c>
      <c r="EN24" s="44" t="s">
        <v>37</v>
      </c>
      <c r="EP24" s="44" t="s">
        <v>37</v>
      </c>
      <c r="ER24" s="44" t="s">
        <v>37</v>
      </c>
      <c r="ET24" s="44" t="s">
        <v>37</v>
      </c>
      <c r="EU24" s="44">
        <v>6250</v>
      </c>
      <c r="EV24" s="44" t="s">
        <v>37</v>
      </c>
      <c r="EW24" s="44">
        <v>75695</v>
      </c>
      <c r="EX24" s="44" t="s">
        <v>37</v>
      </c>
      <c r="EZ24" s="44" t="s">
        <v>37</v>
      </c>
      <c r="FA24" s="44">
        <v>74383</v>
      </c>
      <c r="FB24" s="44" t="s">
        <v>37</v>
      </c>
      <c r="FC24" s="44">
        <v>33386</v>
      </c>
      <c r="FD24" s="44" t="s">
        <v>37</v>
      </c>
      <c r="FE24" s="44">
        <v>16724</v>
      </c>
      <c r="FF24" s="44" t="s">
        <v>37</v>
      </c>
      <c r="FH24" s="44" t="s">
        <v>37</v>
      </c>
      <c r="FI24" s="44">
        <v>45210</v>
      </c>
      <c r="FJ24" s="44" t="s">
        <v>37</v>
      </c>
      <c r="FK24" s="44">
        <v>61125</v>
      </c>
      <c r="FL24" s="44" t="s">
        <v>37</v>
      </c>
      <c r="FM24" s="44">
        <v>90223</v>
      </c>
      <c r="FN24" s="44" t="s">
        <v>37</v>
      </c>
      <c r="FP24" s="44" t="s">
        <v>37</v>
      </c>
      <c r="FQ24" s="44">
        <v>3400</v>
      </c>
      <c r="FR24" s="44" t="s">
        <v>37</v>
      </c>
      <c r="FS24" s="44">
        <v>3050</v>
      </c>
      <c r="FT24" s="44" t="s">
        <v>37</v>
      </c>
      <c r="FV24" s="44" t="s">
        <v>37</v>
      </c>
      <c r="FX24" s="44" t="s">
        <v>37</v>
      </c>
      <c r="FY24" s="44">
        <v>3575</v>
      </c>
      <c r="FZ24" s="44" t="s">
        <v>37</v>
      </c>
      <c r="GA24" s="44">
        <v>1000</v>
      </c>
      <c r="GB24" s="44" t="s">
        <v>37</v>
      </c>
      <c r="GC24" s="44">
        <v>22365</v>
      </c>
      <c r="GD24" s="44" t="s">
        <v>37</v>
      </c>
      <c r="GF24" s="44" t="s">
        <v>37</v>
      </c>
      <c r="GH24" s="44" t="s">
        <v>37</v>
      </c>
      <c r="GJ24" s="44" t="s">
        <v>37</v>
      </c>
      <c r="GK24" s="44">
        <v>6942</v>
      </c>
      <c r="GL24" s="44" t="s">
        <v>37</v>
      </c>
      <c r="GM24" s="44">
        <v>11978</v>
      </c>
      <c r="GN24" s="44" t="s">
        <v>37</v>
      </c>
      <c r="GP24" s="44" t="s">
        <v>37</v>
      </c>
      <c r="GR24" s="44" t="s">
        <v>37</v>
      </c>
      <c r="GT24" s="44" t="s">
        <v>37</v>
      </c>
      <c r="GV24" s="44" t="s">
        <v>37</v>
      </c>
      <c r="GX24" s="44" t="s">
        <v>37</v>
      </c>
      <c r="GY24" s="44">
        <v>123250</v>
      </c>
      <c r="GZ24" s="44" t="s">
        <v>37</v>
      </c>
      <c r="HA24" s="44">
        <v>20749</v>
      </c>
      <c r="HB24" s="44" t="s">
        <v>37</v>
      </c>
      <c r="HD24" s="44" t="s">
        <v>37</v>
      </c>
      <c r="HF24" s="44" t="s">
        <v>37</v>
      </c>
      <c r="HG24" s="44">
        <v>2355086</v>
      </c>
      <c r="HH24" s="44" t="s">
        <v>37</v>
      </c>
      <c r="HJ24" s="44" t="s">
        <v>37</v>
      </c>
      <c r="HK24" s="44">
        <v>2355086</v>
      </c>
      <c r="HL24" s="44" t="s">
        <v>37</v>
      </c>
    </row>
    <row r="25" spans="1:220">
      <c r="A25" s="150" t="s">
        <v>410</v>
      </c>
      <c r="B25" s="44">
        <v>1360</v>
      </c>
      <c r="C25" s="44" t="s">
        <v>58</v>
      </c>
      <c r="D25" s="44" t="s">
        <v>37</v>
      </c>
      <c r="F25" s="44" t="s">
        <v>37</v>
      </c>
      <c r="H25" s="44" t="s">
        <v>37</v>
      </c>
      <c r="J25" s="44" t="s">
        <v>37</v>
      </c>
      <c r="L25" s="48" t="s">
        <v>37</v>
      </c>
      <c r="M25" s="50"/>
      <c r="N25" s="48" t="s">
        <v>37</v>
      </c>
      <c r="O25" s="50"/>
      <c r="P25" s="48" t="s">
        <v>37</v>
      </c>
      <c r="Q25" s="50"/>
      <c r="R25" s="48" t="s">
        <v>37</v>
      </c>
      <c r="S25" s="50"/>
      <c r="T25" s="48" t="s">
        <v>37</v>
      </c>
      <c r="V25" s="44" t="s">
        <v>37</v>
      </c>
      <c r="X25" s="44" t="s">
        <v>37</v>
      </c>
      <c r="Z25" s="44" t="s">
        <v>37</v>
      </c>
      <c r="AB25" s="44" t="s">
        <v>37</v>
      </c>
      <c r="AD25" s="44" t="s">
        <v>37</v>
      </c>
      <c r="AF25" s="44" t="s">
        <v>37</v>
      </c>
      <c r="AH25" s="44" t="s">
        <v>37</v>
      </c>
      <c r="AJ25" s="44" t="s">
        <v>37</v>
      </c>
      <c r="AL25" s="44" t="s">
        <v>37</v>
      </c>
      <c r="AN25" s="44" t="s">
        <v>37</v>
      </c>
      <c r="AP25" s="44" t="s">
        <v>37</v>
      </c>
      <c r="AR25" s="44" t="s">
        <v>37</v>
      </c>
      <c r="AT25" s="44" t="s">
        <v>37</v>
      </c>
      <c r="AV25" s="44" t="s">
        <v>37</v>
      </c>
      <c r="AX25" s="44" t="s">
        <v>37</v>
      </c>
      <c r="AZ25" s="44" t="s">
        <v>37</v>
      </c>
      <c r="BB25" s="44" t="s">
        <v>37</v>
      </c>
      <c r="BD25" s="44" t="s">
        <v>37</v>
      </c>
      <c r="BF25" s="44" t="s">
        <v>37</v>
      </c>
      <c r="BH25" s="44" t="s">
        <v>37</v>
      </c>
      <c r="BJ25" s="44" t="s">
        <v>37</v>
      </c>
      <c r="BL25" s="44" t="s">
        <v>37</v>
      </c>
      <c r="BN25" s="44" t="s">
        <v>37</v>
      </c>
      <c r="BP25" s="44" t="s">
        <v>37</v>
      </c>
      <c r="BR25" s="44" t="s">
        <v>37</v>
      </c>
      <c r="BT25" s="44" t="s">
        <v>37</v>
      </c>
      <c r="BV25" s="44" t="s">
        <v>37</v>
      </c>
      <c r="BX25" s="44" t="s">
        <v>37</v>
      </c>
      <c r="BZ25" s="44" t="s">
        <v>37</v>
      </c>
      <c r="CB25" s="44" t="s">
        <v>37</v>
      </c>
      <c r="CD25" s="44" t="s">
        <v>37</v>
      </c>
      <c r="CF25" s="44" t="s">
        <v>37</v>
      </c>
      <c r="CH25" s="44" t="s">
        <v>37</v>
      </c>
      <c r="CJ25" s="44" t="s">
        <v>37</v>
      </c>
      <c r="CL25" s="44" t="s">
        <v>37</v>
      </c>
      <c r="CN25" s="44" t="s">
        <v>37</v>
      </c>
      <c r="CP25" s="44" t="s">
        <v>37</v>
      </c>
      <c r="CR25" s="44" t="s">
        <v>37</v>
      </c>
      <c r="CT25" s="44" t="s">
        <v>37</v>
      </c>
      <c r="CV25" s="44" t="s">
        <v>37</v>
      </c>
      <c r="CX25" s="44" t="s">
        <v>37</v>
      </c>
      <c r="CZ25" s="44" t="s">
        <v>37</v>
      </c>
      <c r="DB25" s="44" t="s">
        <v>37</v>
      </c>
      <c r="DD25" s="44" t="s">
        <v>37</v>
      </c>
      <c r="DF25" s="44" t="s">
        <v>37</v>
      </c>
      <c r="DH25" s="44" t="s">
        <v>37</v>
      </c>
      <c r="DI25" s="44">
        <v>400</v>
      </c>
      <c r="DJ25" s="44" t="s">
        <v>37</v>
      </c>
      <c r="DL25" s="44" t="s">
        <v>37</v>
      </c>
      <c r="DN25" s="44" t="s">
        <v>37</v>
      </c>
      <c r="DP25" s="44" t="s">
        <v>37</v>
      </c>
      <c r="DR25" s="44" t="s">
        <v>37</v>
      </c>
      <c r="DT25" s="44" t="s">
        <v>37</v>
      </c>
      <c r="DV25" s="44" t="s">
        <v>37</v>
      </c>
      <c r="DX25" s="44" t="s">
        <v>37</v>
      </c>
      <c r="DZ25" s="44" t="s">
        <v>37</v>
      </c>
      <c r="EB25" s="44" t="s">
        <v>37</v>
      </c>
      <c r="ED25" s="44" t="s">
        <v>37</v>
      </c>
      <c r="EF25" s="44" t="s">
        <v>37</v>
      </c>
      <c r="EH25" s="44" t="s">
        <v>37</v>
      </c>
      <c r="EJ25" s="44" t="s">
        <v>37</v>
      </c>
      <c r="EL25" s="44" t="s">
        <v>37</v>
      </c>
      <c r="EN25" s="44" t="s">
        <v>37</v>
      </c>
      <c r="EP25" s="44" t="s">
        <v>37</v>
      </c>
      <c r="ER25" s="44" t="s">
        <v>37</v>
      </c>
      <c r="ET25" s="44" t="s">
        <v>37</v>
      </c>
      <c r="EV25" s="44" t="s">
        <v>37</v>
      </c>
      <c r="EX25" s="44" t="s">
        <v>37</v>
      </c>
      <c r="EZ25" s="44" t="s">
        <v>37</v>
      </c>
      <c r="FB25" s="44" t="s">
        <v>37</v>
      </c>
      <c r="FD25" s="44" t="s">
        <v>37</v>
      </c>
      <c r="FF25" s="44" t="s">
        <v>37</v>
      </c>
      <c r="FH25" s="44" t="s">
        <v>37</v>
      </c>
      <c r="FJ25" s="44" t="s">
        <v>37</v>
      </c>
      <c r="FL25" s="44" t="s">
        <v>37</v>
      </c>
      <c r="FM25" s="44">
        <v>104200</v>
      </c>
      <c r="FN25" s="44" t="s">
        <v>37</v>
      </c>
      <c r="FP25" s="44" t="s">
        <v>37</v>
      </c>
      <c r="FR25" s="44" t="s">
        <v>37</v>
      </c>
      <c r="FT25" s="44" t="s">
        <v>37</v>
      </c>
      <c r="FV25" s="44" t="s">
        <v>37</v>
      </c>
      <c r="FX25" s="44" t="s">
        <v>37</v>
      </c>
      <c r="FZ25" s="44" t="s">
        <v>37</v>
      </c>
      <c r="GB25" s="44" t="s">
        <v>37</v>
      </c>
      <c r="GD25" s="44" t="s">
        <v>37</v>
      </c>
      <c r="GF25" s="44" t="s">
        <v>37</v>
      </c>
      <c r="GH25" s="44" t="s">
        <v>37</v>
      </c>
      <c r="GJ25" s="44" t="s">
        <v>37</v>
      </c>
      <c r="GL25" s="44" t="s">
        <v>37</v>
      </c>
      <c r="GN25" s="44" t="s">
        <v>37</v>
      </c>
      <c r="GP25" s="44" t="s">
        <v>37</v>
      </c>
      <c r="GR25" s="44" t="s">
        <v>37</v>
      </c>
      <c r="GT25" s="44" t="s">
        <v>37</v>
      </c>
      <c r="GV25" s="44" t="s">
        <v>37</v>
      </c>
      <c r="GX25" s="44" t="s">
        <v>37</v>
      </c>
      <c r="GZ25" s="44" t="s">
        <v>37</v>
      </c>
      <c r="HB25" s="44" t="s">
        <v>37</v>
      </c>
      <c r="HD25" s="44" t="s">
        <v>37</v>
      </c>
      <c r="HF25" s="44" t="s">
        <v>37</v>
      </c>
      <c r="HG25" s="44">
        <v>104600</v>
      </c>
      <c r="HH25" s="44" t="s">
        <v>37</v>
      </c>
      <c r="HJ25" s="44" t="s">
        <v>37</v>
      </c>
      <c r="HK25" s="44">
        <v>104600</v>
      </c>
      <c r="HL25" s="44" t="s">
        <v>37</v>
      </c>
    </row>
    <row r="26" spans="1:220">
      <c r="A26" s="150" t="s">
        <v>408</v>
      </c>
      <c r="B26" s="54">
        <v>1400</v>
      </c>
      <c r="C26" s="44" t="s">
        <v>59</v>
      </c>
      <c r="D26" s="44" t="s">
        <v>37</v>
      </c>
      <c r="F26" s="44" t="s">
        <v>37</v>
      </c>
      <c r="H26" s="44" t="s">
        <v>37</v>
      </c>
      <c r="J26" s="44" t="s">
        <v>37</v>
      </c>
      <c r="L26" s="48" t="s">
        <v>37</v>
      </c>
      <c r="M26" s="50"/>
      <c r="N26" s="48" t="s">
        <v>37</v>
      </c>
      <c r="O26" s="50"/>
      <c r="P26" s="48" t="s">
        <v>37</v>
      </c>
      <c r="Q26" s="50"/>
      <c r="R26" s="48" t="s">
        <v>37</v>
      </c>
      <c r="S26" s="50"/>
      <c r="T26" s="48" t="s">
        <v>37</v>
      </c>
      <c r="V26" s="44" t="s">
        <v>37</v>
      </c>
      <c r="X26" s="44" t="s">
        <v>37</v>
      </c>
      <c r="Z26" s="44" t="s">
        <v>37</v>
      </c>
      <c r="AB26" s="44" t="s">
        <v>37</v>
      </c>
      <c r="AD26" s="44" t="s">
        <v>37</v>
      </c>
      <c r="AF26" s="44" t="s">
        <v>37</v>
      </c>
      <c r="AH26" s="44" t="s">
        <v>37</v>
      </c>
      <c r="AJ26" s="44" t="s">
        <v>37</v>
      </c>
      <c r="AL26" s="44" t="s">
        <v>37</v>
      </c>
      <c r="AN26" s="44" t="s">
        <v>37</v>
      </c>
      <c r="AP26" s="44" t="s">
        <v>37</v>
      </c>
      <c r="AR26" s="44" t="s">
        <v>37</v>
      </c>
      <c r="AT26" s="44" t="s">
        <v>37</v>
      </c>
      <c r="AV26" s="44" t="s">
        <v>37</v>
      </c>
      <c r="AX26" s="44" t="s">
        <v>37</v>
      </c>
      <c r="AZ26" s="44" t="s">
        <v>37</v>
      </c>
      <c r="BB26" s="44" t="s">
        <v>37</v>
      </c>
      <c r="BD26" s="44" t="s">
        <v>37</v>
      </c>
      <c r="BF26" s="44" t="s">
        <v>37</v>
      </c>
      <c r="BH26" s="44" t="s">
        <v>37</v>
      </c>
      <c r="BJ26" s="44" t="s">
        <v>37</v>
      </c>
      <c r="BL26" s="44" t="s">
        <v>37</v>
      </c>
      <c r="BN26" s="44" t="s">
        <v>37</v>
      </c>
      <c r="BP26" s="44" t="s">
        <v>37</v>
      </c>
      <c r="BR26" s="44" t="s">
        <v>37</v>
      </c>
      <c r="BT26" s="44" t="s">
        <v>37</v>
      </c>
      <c r="BV26" s="44" t="s">
        <v>37</v>
      </c>
      <c r="BX26" s="44" t="s">
        <v>37</v>
      </c>
      <c r="BZ26" s="44" t="s">
        <v>37</v>
      </c>
      <c r="CB26" s="44" t="s">
        <v>37</v>
      </c>
      <c r="CD26" s="44" t="s">
        <v>37</v>
      </c>
      <c r="CF26" s="44" t="s">
        <v>37</v>
      </c>
      <c r="CH26" s="44" t="s">
        <v>37</v>
      </c>
      <c r="CJ26" s="44" t="s">
        <v>37</v>
      </c>
      <c r="CL26" s="44" t="s">
        <v>37</v>
      </c>
      <c r="CN26" s="44" t="s">
        <v>37</v>
      </c>
      <c r="CP26" s="44" t="s">
        <v>37</v>
      </c>
      <c r="CR26" s="44" t="s">
        <v>37</v>
      </c>
      <c r="CT26" s="44" t="s">
        <v>37</v>
      </c>
      <c r="CV26" s="44" t="s">
        <v>37</v>
      </c>
      <c r="CX26" s="44" t="s">
        <v>37</v>
      </c>
      <c r="CZ26" s="44" t="s">
        <v>37</v>
      </c>
      <c r="DB26" s="44" t="s">
        <v>37</v>
      </c>
      <c r="DD26" s="44" t="s">
        <v>37</v>
      </c>
      <c r="DF26" s="44" t="s">
        <v>37</v>
      </c>
      <c r="DH26" s="44" t="s">
        <v>37</v>
      </c>
      <c r="DJ26" s="44" t="s">
        <v>37</v>
      </c>
      <c r="DL26" s="44" t="s">
        <v>37</v>
      </c>
      <c r="DN26" s="44" t="s">
        <v>37</v>
      </c>
      <c r="DP26" s="44" t="s">
        <v>37</v>
      </c>
      <c r="DR26" s="44" t="s">
        <v>37</v>
      </c>
      <c r="DT26" s="44" t="s">
        <v>37</v>
      </c>
      <c r="DV26" s="44" t="s">
        <v>37</v>
      </c>
      <c r="DX26" s="44" t="s">
        <v>37</v>
      </c>
      <c r="DZ26" s="44" t="s">
        <v>37</v>
      </c>
      <c r="EB26" s="44" t="s">
        <v>37</v>
      </c>
      <c r="ED26" s="44" t="s">
        <v>37</v>
      </c>
      <c r="EF26" s="44" t="s">
        <v>37</v>
      </c>
      <c r="EH26" s="44" t="s">
        <v>37</v>
      </c>
      <c r="EJ26" s="44" t="s">
        <v>37</v>
      </c>
      <c r="EL26" s="44" t="s">
        <v>37</v>
      </c>
      <c r="EN26" s="44" t="s">
        <v>37</v>
      </c>
      <c r="EP26" s="44" t="s">
        <v>37</v>
      </c>
      <c r="ER26" s="44" t="s">
        <v>37</v>
      </c>
      <c r="ET26" s="44" t="s">
        <v>37</v>
      </c>
      <c r="EV26" s="44" t="s">
        <v>37</v>
      </c>
      <c r="EX26" s="44" t="s">
        <v>37</v>
      </c>
      <c r="EZ26" s="44" t="s">
        <v>37</v>
      </c>
      <c r="FB26" s="44" t="s">
        <v>37</v>
      </c>
      <c r="FD26" s="44" t="s">
        <v>37</v>
      </c>
      <c r="FF26" s="44" t="s">
        <v>37</v>
      </c>
      <c r="FH26" s="44" t="s">
        <v>37</v>
      </c>
      <c r="FJ26" s="44" t="s">
        <v>37</v>
      </c>
      <c r="FL26" s="44" t="s">
        <v>37</v>
      </c>
      <c r="FN26" s="44" t="s">
        <v>37</v>
      </c>
      <c r="FP26" s="44" t="s">
        <v>37</v>
      </c>
      <c r="FR26" s="44" t="s">
        <v>37</v>
      </c>
      <c r="FT26" s="44" t="s">
        <v>37</v>
      </c>
      <c r="FV26" s="44" t="s">
        <v>37</v>
      </c>
      <c r="FX26" s="44" t="s">
        <v>37</v>
      </c>
      <c r="FZ26" s="44" t="s">
        <v>37</v>
      </c>
      <c r="GB26" s="44" t="s">
        <v>37</v>
      </c>
      <c r="GD26" s="44" t="s">
        <v>37</v>
      </c>
      <c r="GF26" s="44" t="s">
        <v>37</v>
      </c>
      <c r="GH26" s="44" t="s">
        <v>37</v>
      </c>
      <c r="GJ26" s="44" t="s">
        <v>37</v>
      </c>
      <c r="GL26" s="44" t="s">
        <v>37</v>
      </c>
      <c r="GN26" s="44" t="s">
        <v>37</v>
      </c>
      <c r="GP26" s="44" t="s">
        <v>37</v>
      </c>
      <c r="GR26" s="44" t="s">
        <v>37</v>
      </c>
      <c r="GT26" s="44" t="s">
        <v>37</v>
      </c>
      <c r="GV26" s="44" t="s">
        <v>37</v>
      </c>
      <c r="GX26" s="44" t="s">
        <v>37</v>
      </c>
      <c r="GZ26" s="44" t="s">
        <v>37</v>
      </c>
      <c r="HB26" s="44" t="s">
        <v>37</v>
      </c>
      <c r="HD26" s="44" t="s">
        <v>37</v>
      </c>
      <c r="HF26" s="44" t="s">
        <v>37</v>
      </c>
      <c r="HH26" s="44" t="s">
        <v>37</v>
      </c>
      <c r="HJ26" s="44" t="s">
        <v>37</v>
      </c>
      <c r="HL26" s="44" t="s">
        <v>37</v>
      </c>
    </row>
    <row r="27" spans="1:220">
      <c r="A27" s="150" t="s">
        <v>410</v>
      </c>
      <c r="B27" s="44">
        <v>1410</v>
      </c>
      <c r="C27" s="44" t="s">
        <v>53</v>
      </c>
      <c r="D27" s="44" t="s">
        <v>37</v>
      </c>
      <c r="F27" s="44" t="s">
        <v>37</v>
      </c>
      <c r="H27" s="44" t="s">
        <v>37</v>
      </c>
      <c r="J27" s="44" t="s">
        <v>37</v>
      </c>
      <c r="L27" s="48" t="s">
        <v>37</v>
      </c>
      <c r="M27" s="51">
        <v>107802</v>
      </c>
      <c r="N27" s="48" t="s">
        <v>37</v>
      </c>
      <c r="O27" s="50"/>
      <c r="P27" s="48" t="s">
        <v>37</v>
      </c>
      <c r="Q27" s="50"/>
      <c r="R27" s="48" t="s">
        <v>37</v>
      </c>
      <c r="S27" s="50"/>
      <c r="T27" s="48" t="s">
        <v>37</v>
      </c>
      <c r="V27" s="44" t="s">
        <v>37</v>
      </c>
      <c r="X27" s="44" t="s">
        <v>37</v>
      </c>
      <c r="Z27" s="44" t="s">
        <v>37</v>
      </c>
      <c r="AB27" s="44" t="s">
        <v>37</v>
      </c>
      <c r="AD27" s="44" t="s">
        <v>37</v>
      </c>
      <c r="AF27" s="44" t="s">
        <v>37</v>
      </c>
      <c r="AH27" s="44" t="s">
        <v>37</v>
      </c>
      <c r="AJ27" s="44" t="s">
        <v>37</v>
      </c>
      <c r="AL27" s="44" t="s">
        <v>37</v>
      </c>
      <c r="AN27" s="44" t="s">
        <v>37</v>
      </c>
      <c r="AP27" s="44" t="s">
        <v>37</v>
      </c>
      <c r="AR27" s="44" t="s">
        <v>37</v>
      </c>
      <c r="AT27" s="44" t="s">
        <v>37</v>
      </c>
      <c r="AV27" s="44" t="s">
        <v>37</v>
      </c>
      <c r="AX27" s="44" t="s">
        <v>37</v>
      </c>
      <c r="AZ27" s="44" t="s">
        <v>37</v>
      </c>
      <c r="BB27" s="44" t="s">
        <v>37</v>
      </c>
      <c r="BD27" s="44" t="s">
        <v>37</v>
      </c>
      <c r="BF27" s="44" t="s">
        <v>37</v>
      </c>
      <c r="BH27" s="44" t="s">
        <v>37</v>
      </c>
      <c r="BJ27" s="44" t="s">
        <v>37</v>
      </c>
      <c r="BL27" s="44" t="s">
        <v>37</v>
      </c>
      <c r="BN27" s="44" t="s">
        <v>37</v>
      </c>
      <c r="BP27" s="44" t="s">
        <v>37</v>
      </c>
      <c r="BR27" s="44" t="s">
        <v>37</v>
      </c>
      <c r="BT27" s="44" t="s">
        <v>37</v>
      </c>
      <c r="BV27" s="44" t="s">
        <v>37</v>
      </c>
      <c r="BX27" s="44" t="s">
        <v>37</v>
      </c>
      <c r="BZ27" s="44" t="s">
        <v>37</v>
      </c>
      <c r="CB27" s="44" t="s">
        <v>37</v>
      </c>
      <c r="CD27" s="44" t="s">
        <v>37</v>
      </c>
      <c r="CF27" s="44" t="s">
        <v>37</v>
      </c>
      <c r="CH27" s="44" t="s">
        <v>37</v>
      </c>
      <c r="CJ27" s="44" t="s">
        <v>37</v>
      </c>
      <c r="CL27" s="44" t="s">
        <v>37</v>
      </c>
      <c r="CN27" s="44" t="s">
        <v>37</v>
      </c>
      <c r="CP27" s="44" t="s">
        <v>37</v>
      </c>
      <c r="CR27" s="44" t="s">
        <v>37</v>
      </c>
      <c r="CT27" s="44" t="s">
        <v>37</v>
      </c>
      <c r="CV27" s="44" t="s">
        <v>37</v>
      </c>
      <c r="CX27" s="44" t="s">
        <v>37</v>
      </c>
      <c r="CZ27" s="44" t="s">
        <v>37</v>
      </c>
      <c r="DB27" s="44" t="s">
        <v>37</v>
      </c>
      <c r="DD27" s="44" t="s">
        <v>37</v>
      </c>
      <c r="DF27" s="44" t="s">
        <v>37</v>
      </c>
      <c r="DH27" s="44" t="s">
        <v>37</v>
      </c>
      <c r="DJ27" s="44" t="s">
        <v>37</v>
      </c>
      <c r="DL27" s="44" t="s">
        <v>37</v>
      </c>
      <c r="DN27" s="44" t="s">
        <v>37</v>
      </c>
      <c r="DP27" s="44" t="s">
        <v>37</v>
      </c>
      <c r="DQ27" s="44">
        <v>40077</v>
      </c>
      <c r="DR27" s="44" t="s">
        <v>37</v>
      </c>
      <c r="DT27" s="44" t="s">
        <v>37</v>
      </c>
      <c r="DV27" s="44" t="s">
        <v>37</v>
      </c>
      <c r="DX27" s="44" t="s">
        <v>37</v>
      </c>
      <c r="DZ27" s="44" t="s">
        <v>37</v>
      </c>
      <c r="EB27" s="44" t="s">
        <v>37</v>
      </c>
      <c r="ED27" s="44" t="s">
        <v>37</v>
      </c>
      <c r="EF27" s="44" t="s">
        <v>37</v>
      </c>
      <c r="EH27" s="44" t="s">
        <v>37</v>
      </c>
      <c r="EJ27" s="44" t="s">
        <v>37</v>
      </c>
      <c r="EL27" s="44" t="s">
        <v>37</v>
      </c>
      <c r="EN27" s="44" t="s">
        <v>37</v>
      </c>
      <c r="EO27" s="44">
        <v>3750</v>
      </c>
      <c r="EP27" s="44" t="s">
        <v>37</v>
      </c>
      <c r="ER27" s="44" t="s">
        <v>37</v>
      </c>
      <c r="ET27" s="44" t="s">
        <v>37</v>
      </c>
      <c r="EV27" s="44" t="s">
        <v>37</v>
      </c>
      <c r="EW27" s="44">
        <v>157696</v>
      </c>
      <c r="EX27" s="44" t="s">
        <v>37</v>
      </c>
      <c r="EZ27" s="44" t="s">
        <v>37</v>
      </c>
      <c r="FB27" s="44" t="s">
        <v>37</v>
      </c>
      <c r="FD27" s="44" t="s">
        <v>37</v>
      </c>
      <c r="FF27" s="44" t="s">
        <v>37</v>
      </c>
      <c r="FH27" s="44" t="s">
        <v>37</v>
      </c>
      <c r="FJ27" s="44" t="s">
        <v>37</v>
      </c>
      <c r="FK27" s="44">
        <v>85349</v>
      </c>
      <c r="FL27" s="44" t="s">
        <v>37</v>
      </c>
      <c r="FN27" s="44" t="s">
        <v>37</v>
      </c>
      <c r="FP27" s="44" t="s">
        <v>37</v>
      </c>
      <c r="FR27" s="44" t="s">
        <v>37</v>
      </c>
      <c r="FT27" s="44" t="s">
        <v>37</v>
      </c>
      <c r="FV27" s="44" t="s">
        <v>37</v>
      </c>
      <c r="FX27" s="44" t="s">
        <v>37</v>
      </c>
      <c r="FZ27" s="44" t="s">
        <v>37</v>
      </c>
      <c r="GA27" s="44">
        <v>105</v>
      </c>
      <c r="GB27" s="44" t="s">
        <v>37</v>
      </c>
      <c r="GD27" s="44" t="s">
        <v>37</v>
      </c>
      <c r="GF27" s="44" t="s">
        <v>37</v>
      </c>
      <c r="GH27" s="44" t="s">
        <v>37</v>
      </c>
      <c r="GJ27" s="44" t="s">
        <v>37</v>
      </c>
      <c r="GL27" s="44" t="s">
        <v>37</v>
      </c>
      <c r="GN27" s="44" t="s">
        <v>37</v>
      </c>
      <c r="GP27" s="44" t="s">
        <v>37</v>
      </c>
      <c r="GR27" s="44" t="s">
        <v>37</v>
      </c>
      <c r="GT27" s="44" t="s">
        <v>37</v>
      </c>
      <c r="GV27" s="44" t="s">
        <v>37</v>
      </c>
      <c r="GX27" s="44" t="s">
        <v>37</v>
      </c>
      <c r="GZ27" s="44" t="s">
        <v>37</v>
      </c>
      <c r="HB27" s="44" t="s">
        <v>37</v>
      </c>
      <c r="HD27" s="44" t="s">
        <v>37</v>
      </c>
      <c r="HF27" s="44" t="s">
        <v>37</v>
      </c>
      <c r="HG27" s="44">
        <v>394779</v>
      </c>
      <c r="HH27" s="44" t="s">
        <v>37</v>
      </c>
      <c r="HJ27" s="44" t="s">
        <v>37</v>
      </c>
      <c r="HK27" s="44">
        <v>394779</v>
      </c>
      <c r="HL27" s="44" t="s">
        <v>37</v>
      </c>
    </row>
    <row r="28" spans="1:220">
      <c r="A28" s="150" t="s">
        <v>410</v>
      </c>
      <c r="B28" s="44">
        <v>1415</v>
      </c>
      <c r="C28" s="44" t="s">
        <v>60</v>
      </c>
      <c r="D28" s="44" t="s">
        <v>37</v>
      </c>
      <c r="F28" s="44" t="s">
        <v>37</v>
      </c>
      <c r="H28" s="44" t="s">
        <v>37</v>
      </c>
      <c r="J28" s="44" t="s">
        <v>37</v>
      </c>
      <c r="L28" s="48" t="s">
        <v>37</v>
      </c>
      <c r="M28" s="51">
        <v>28632</v>
      </c>
      <c r="N28" s="48" t="s">
        <v>37</v>
      </c>
      <c r="O28" s="50"/>
      <c r="P28" s="48" t="s">
        <v>37</v>
      </c>
      <c r="Q28" s="50"/>
      <c r="R28" s="48" t="s">
        <v>37</v>
      </c>
      <c r="S28" s="50"/>
      <c r="T28" s="48" t="s">
        <v>37</v>
      </c>
      <c r="V28" s="44" t="s">
        <v>37</v>
      </c>
      <c r="X28" s="44" t="s">
        <v>37</v>
      </c>
      <c r="Z28" s="44" t="s">
        <v>37</v>
      </c>
      <c r="AB28" s="44" t="s">
        <v>37</v>
      </c>
      <c r="AD28" s="44" t="s">
        <v>37</v>
      </c>
      <c r="AF28" s="44" t="s">
        <v>37</v>
      </c>
      <c r="AH28" s="44" t="s">
        <v>37</v>
      </c>
      <c r="AI28" s="44">
        <v>14420</v>
      </c>
      <c r="AJ28" s="44" t="s">
        <v>37</v>
      </c>
      <c r="AL28" s="44" t="s">
        <v>37</v>
      </c>
      <c r="AN28" s="44" t="s">
        <v>37</v>
      </c>
      <c r="AP28" s="44" t="s">
        <v>37</v>
      </c>
      <c r="AR28" s="44" t="s">
        <v>37</v>
      </c>
      <c r="AT28" s="44" t="s">
        <v>37</v>
      </c>
      <c r="AV28" s="44" t="s">
        <v>37</v>
      </c>
      <c r="AX28" s="44" t="s">
        <v>37</v>
      </c>
      <c r="AZ28" s="44" t="s">
        <v>37</v>
      </c>
      <c r="BB28" s="44" t="s">
        <v>37</v>
      </c>
      <c r="BD28" s="44" t="s">
        <v>37</v>
      </c>
      <c r="BF28" s="44" t="s">
        <v>37</v>
      </c>
      <c r="BH28" s="44" t="s">
        <v>37</v>
      </c>
      <c r="BJ28" s="44" t="s">
        <v>37</v>
      </c>
      <c r="BL28" s="44" t="s">
        <v>37</v>
      </c>
      <c r="BN28" s="44" t="s">
        <v>37</v>
      </c>
      <c r="BP28" s="44" t="s">
        <v>37</v>
      </c>
      <c r="BR28" s="44" t="s">
        <v>37</v>
      </c>
      <c r="BT28" s="44" t="s">
        <v>37</v>
      </c>
      <c r="BV28" s="44" t="s">
        <v>37</v>
      </c>
      <c r="BX28" s="44" t="s">
        <v>37</v>
      </c>
      <c r="BZ28" s="44" t="s">
        <v>37</v>
      </c>
      <c r="CB28" s="44" t="s">
        <v>37</v>
      </c>
      <c r="CD28" s="44" t="s">
        <v>37</v>
      </c>
      <c r="CF28" s="44" t="s">
        <v>37</v>
      </c>
      <c r="CH28" s="44" t="s">
        <v>37</v>
      </c>
      <c r="CJ28" s="44" t="s">
        <v>37</v>
      </c>
      <c r="CL28" s="44" t="s">
        <v>37</v>
      </c>
      <c r="CN28" s="44" t="s">
        <v>37</v>
      </c>
      <c r="CP28" s="44" t="s">
        <v>37</v>
      </c>
      <c r="CR28" s="44" t="s">
        <v>37</v>
      </c>
      <c r="CT28" s="44" t="s">
        <v>37</v>
      </c>
      <c r="CV28" s="44" t="s">
        <v>37</v>
      </c>
      <c r="CX28" s="44" t="s">
        <v>37</v>
      </c>
      <c r="CZ28" s="44" t="s">
        <v>37</v>
      </c>
      <c r="DB28" s="44" t="s">
        <v>37</v>
      </c>
      <c r="DD28" s="44" t="s">
        <v>37</v>
      </c>
      <c r="DF28" s="44" t="s">
        <v>37</v>
      </c>
      <c r="DH28" s="44" t="s">
        <v>37</v>
      </c>
      <c r="DJ28" s="44" t="s">
        <v>37</v>
      </c>
      <c r="DL28" s="44" t="s">
        <v>37</v>
      </c>
      <c r="DN28" s="44" t="s">
        <v>37</v>
      </c>
      <c r="DP28" s="44" t="s">
        <v>37</v>
      </c>
      <c r="DR28" s="44" t="s">
        <v>37</v>
      </c>
      <c r="DT28" s="44" t="s">
        <v>37</v>
      </c>
      <c r="DV28" s="44" t="s">
        <v>37</v>
      </c>
      <c r="DX28" s="44" t="s">
        <v>37</v>
      </c>
      <c r="DZ28" s="44" t="s">
        <v>37</v>
      </c>
      <c r="EB28" s="44" t="s">
        <v>37</v>
      </c>
      <c r="ED28" s="44" t="s">
        <v>37</v>
      </c>
      <c r="EF28" s="44" t="s">
        <v>37</v>
      </c>
      <c r="EH28" s="44" t="s">
        <v>37</v>
      </c>
      <c r="EJ28" s="44" t="s">
        <v>37</v>
      </c>
      <c r="EL28" s="44" t="s">
        <v>37</v>
      </c>
      <c r="EN28" s="44" t="s">
        <v>37</v>
      </c>
      <c r="EP28" s="44" t="s">
        <v>37</v>
      </c>
      <c r="ER28" s="44" t="s">
        <v>37</v>
      </c>
      <c r="ET28" s="44" t="s">
        <v>37</v>
      </c>
      <c r="EV28" s="44" t="s">
        <v>37</v>
      </c>
      <c r="EX28" s="44" t="s">
        <v>37</v>
      </c>
      <c r="EZ28" s="44" t="s">
        <v>37</v>
      </c>
      <c r="FB28" s="44" t="s">
        <v>37</v>
      </c>
      <c r="FD28" s="44" t="s">
        <v>37</v>
      </c>
      <c r="FF28" s="44" t="s">
        <v>37</v>
      </c>
      <c r="FH28" s="44" t="s">
        <v>37</v>
      </c>
      <c r="FJ28" s="44" t="s">
        <v>37</v>
      </c>
      <c r="FL28" s="44" t="s">
        <v>37</v>
      </c>
      <c r="FN28" s="44" t="s">
        <v>37</v>
      </c>
      <c r="FP28" s="44" t="s">
        <v>37</v>
      </c>
      <c r="FR28" s="44" t="s">
        <v>37</v>
      </c>
      <c r="FT28" s="44" t="s">
        <v>37</v>
      </c>
      <c r="FV28" s="44" t="s">
        <v>37</v>
      </c>
      <c r="FX28" s="44" t="s">
        <v>37</v>
      </c>
      <c r="FZ28" s="44" t="s">
        <v>37</v>
      </c>
      <c r="GB28" s="44" t="s">
        <v>37</v>
      </c>
      <c r="GD28" s="44" t="s">
        <v>37</v>
      </c>
      <c r="GF28" s="44" t="s">
        <v>37</v>
      </c>
      <c r="GH28" s="44" t="s">
        <v>37</v>
      </c>
      <c r="GJ28" s="44" t="s">
        <v>37</v>
      </c>
      <c r="GL28" s="44" t="s">
        <v>37</v>
      </c>
      <c r="GN28" s="44" t="s">
        <v>37</v>
      </c>
      <c r="GP28" s="44" t="s">
        <v>37</v>
      </c>
      <c r="GR28" s="44" t="s">
        <v>37</v>
      </c>
      <c r="GT28" s="44" t="s">
        <v>37</v>
      </c>
      <c r="GV28" s="44" t="s">
        <v>37</v>
      </c>
      <c r="GX28" s="44" t="s">
        <v>37</v>
      </c>
      <c r="GZ28" s="44" t="s">
        <v>37</v>
      </c>
      <c r="HB28" s="44" t="s">
        <v>37</v>
      </c>
      <c r="HD28" s="44" t="s">
        <v>37</v>
      </c>
      <c r="HF28" s="44" t="s">
        <v>37</v>
      </c>
      <c r="HG28" s="44">
        <v>43052</v>
      </c>
      <c r="HH28" s="44" t="s">
        <v>37</v>
      </c>
      <c r="HJ28" s="44" t="s">
        <v>37</v>
      </c>
      <c r="HK28" s="44">
        <v>43052</v>
      </c>
      <c r="HL28" s="44" t="s">
        <v>37</v>
      </c>
    </row>
    <row r="29" spans="1:220">
      <c r="A29" s="150" t="s">
        <v>410</v>
      </c>
      <c r="B29" s="44">
        <v>1420</v>
      </c>
      <c r="C29" s="44" t="s">
        <v>61</v>
      </c>
      <c r="D29" s="44" t="s">
        <v>37</v>
      </c>
      <c r="F29" s="44" t="s">
        <v>37</v>
      </c>
      <c r="H29" s="44" t="s">
        <v>37</v>
      </c>
      <c r="J29" s="44" t="s">
        <v>37</v>
      </c>
      <c r="L29" s="48" t="s">
        <v>37</v>
      </c>
      <c r="M29" s="50"/>
      <c r="N29" s="48" t="s">
        <v>37</v>
      </c>
      <c r="O29" s="50"/>
      <c r="P29" s="48" t="s">
        <v>37</v>
      </c>
      <c r="Q29" s="50"/>
      <c r="R29" s="48" t="s">
        <v>37</v>
      </c>
      <c r="S29" s="50"/>
      <c r="T29" s="48" t="s">
        <v>37</v>
      </c>
      <c r="V29" s="44" t="s">
        <v>37</v>
      </c>
      <c r="X29" s="44" t="s">
        <v>37</v>
      </c>
      <c r="Z29" s="44" t="s">
        <v>37</v>
      </c>
      <c r="AB29" s="44" t="s">
        <v>37</v>
      </c>
      <c r="AD29" s="44" t="s">
        <v>37</v>
      </c>
      <c r="AF29" s="44" t="s">
        <v>37</v>
      </c>
      <c r="AH29" s="44" t="s">
        <v>37</v>
      </c>
      <c r="AJ29" s="44" t="s">
        <v>37</v>
      </c>
      <c r="AL29" s="44" t="s">
        <v>37</v>
      </c>
      <c r="AN29" s="44" t="s">
        <v>37</v>
      </c>
      <c r="AP29" s="44" t="s">
        <v>37</v>
      </c>
      <c r="AR29" s="44" t="s">
        <v>37</v>
      </c>
      <c r="AT29" s="44" t="s">
        <v>37</v>
      </c>
      <c r="AV29" s="44" t="s">
        <v>37</v>
      </c>
      <c r="AX29" s="44" t="s">
        <v>37</v>
      </c>
      <c r="AZ29" s="44" t="s">
        <v>37</v>
      </c>
      <c r="BB29" s="44" t="s">
        <v>37</v>
      </c>
      <c r="BD29" s="44" t="s">
        <v>37</v>
      </c>
      <c r="BF29" s="44" t="s">
        <v>37</v>
      </c>
      <c r="BH29" s="44" t="s">
        <v>37</v>
      </c>
      <c r="BJ29" s="44" t="s">
        <v>37</v>
      </c>
      <c r="BL29" s="44" t="s">
        <v>37</v>
      </c>
      <c r="BN29" s="44" t="s">
        <v>37</v>
      </c>
      <c r="BP29" s="44" t="s">
        <v>37</v>
      </c>
      <c r="BR29" s="44" t="s">
        <v>37</v>
      </c>
      <c r="BT29" s="44" t="s">
        <v>37</v>
      </c>
      <c r="BV29" s="44" t="s">
        <v>37</v>
      </c>
      <c r="BX29" s="44" t="s">
        <v>37</v>
      </c>
      <c r="BZ29" s="44" t="s">
        <v>37</v>
      </c>
      <c r="CB29" s="44" t="s">
        <v>37</v>
      </c>
      <c r="CD29" s="44" t="s">
        <v>37</v>
      </c>
      <c r="CF29" s="44" t="s">
        <v>37</v>
      </c>
      <c r="CH29" s="44" t="s">
        <v>37</v>
      </c>
      <c r="CJ29" s="44" t="s">
        <v>37</v>
      </c>
      <c r="CL29" s="44" t="s">
        <v>37</v>
      </c>
      <c r="CN29" s="44" t="s">
        <v>37</v>
      </c>
      <c r="CP29" s="44" t="s">
        <v>37</v>
      </c>
      <c r="CR29" s="44" t="s">
        <v>37</v>
      </c>
      <c r="CT29" s="44" t="s">
        <v>37</v>
      </c>
      <c r="CV29" s="44" t="s">
        <v>37</v>
      </c>
      <c r="CX29" s="44" t="s">
        <v>37</v>
      </c>
      <c r="CZ29" s="44" t="s">
        <v>37</v>
      </c>
      <c r="DB29" s="44" t="s">
        <v>37</v>
      </c>
      <c r="DD29" s="44" t="s">
        <v>37</v>
      </c>
      <c r="DF29" s="44" t="s">
        <v>37</v>
      </c>
      <c r="DH29" s="44" t="s">
        <v>37</v>
      </c>
      <c r="DJ29" s="44" t="s">
        <v>37</v>
      </c>
      <c r="DL29" s="44" t="s">
        <v>37</v>
      </c>
      <c r="DN29" s="44" t="s">
        <v>37</v>
      </c>
      <c r="DP29" s="44" t="s">
        <v>37</v>
      </c>
      <c r="DR29" s="44" t="s">
        <v>37</v>
      </c>
      <c r="DT29" s="44" t="s">
        <v>37</v>
      </c>
      <c r="DV29" s="44" t="s">
        <v>37</v>
      </c>
      <c r="DX29" s="44" t="s">
        <v>37</v>
      </c>
      <c r="DZ29" s="44" t="s">
        <v>37</v>
      </c>
      <c r="EB29" s="44" t="s">
        <v>37</v>
      </c>
      <c r="ED29" s="44" t="s">
        <v>37</v>
      </c>
      <c r="EF29" s="44" t="s">
        <v>37</v>
      </c>
      <c r="EH29" s="44" t="s">
        <v>37</v>
      </c>
      <c r="EJ29" s="44" t="s">
        <v>37</v>
      </c>
      <c r="EL29" s="44" t="s">
        <v>37</v>
      </c>
      <c r="EN29" s="44" t="s">
        <v>37</v>
      </c>
      <c r="EP29" s="44" t="s">
        <v>37</v>
      </c>
      <c r="ER29" s="44" t="s">
        <v>37</v>
      </c>
      <c r="ET29" s="44" t="s">
        <v>37</v>
      </c>
      <c r="EV29" s="44" t="s">
        <v>37</v>
      </c>
      <c r="EX29" s="44" t="s">
        <v>37</v>
      </c>
      <c r="EZ29" s="44" t="s">
        <v>37</v>
      </c>
      <c r="FB29" s="44" t="s">
        <v>37</v>
      </c>
      <c r="FD29" s="44" t="s">
        <v>37</v>
      </c>
      <c r="FF29" s="44" t="s">
        <v>37</v>
      </c>
      <c r="FH29" s="44" t="s">
        <v>37</v>
      </c>
      <c r="FJ29" s="44" t="s">
        <v>37</v>
      </c>
      <c r="FL29" s="44" t="s">
        <v>37</v>
      </c>
      <c r="FN29" s="44" t="s">
        <v>37</v>
      </c>
      <c r="FP29" s="44" t="s">
        <v>37</v>
      </c>
      <c r="FR29" s="44" t="s">
        <v>37</v>
      </c>
      <c r="FT29" s="44" t="s">
        <v>37</v>
      </c>
      <c r="FV29" s="44" t="s">
        <v>37</v>
      </c>
      <c r="FX29" s="44" t="s">
        <v>37</v>
      </c>
      <c r="FZ29" s="44" t="s">
        <v>37</v>
      </c>
      <c r="GB29" s="44" t="s">
        <v>37</v>
      </c>
      <c r="GD29" s="44" t="s">
        <v>37</v>
      </c>
      <c r="GF29" s="44" t="s">
        <v>37</v>
      </c>
      <c r="GH29" s="44" t="s">
        <v>37</v>
      </c>
      <c r="GJ29" s="44" t="s">
        <v>37</v>
      </c>
      <c r="GL29" s="44" t="s">
        <v>37</v>
      </c>
      <c r="GN29" s="44" t="s">
        <v>37</v>
      </c>
      <c r="GP29" s="44" t="s">
        <v>37</v>
      </c>
      <c r="GR29" s="44" t="s">
        <v>37</v>
      </c>
      <c r="GT29" s="44" t="s">
        <v>37</v>
      </c>
      <c r="GV29" s="44" t="s">
        <v>37</v>
      </c>
      <c r="GX29" s="44" t="s">
        <v>37</v>
      </c>
      <c r="GZ29" s="44" t="s">
        <v>37</v>
      </c>
      <c r="HB29" s="44" t="s">
        <v>37</v>
      </c>
      <c r="HD29" s="44" t="s">
        <v>37</v>
      </c>
      <c r="HF29" s="44" t="s">
        <v>37</v>
      </c>
      <c r="HH29" s="44" t="s">
        <v>37</v>
      </c>
      <c r="HJ29" s="44" t="s">
        <v>37</v>
      </c>
      <c r="HL29" s="44" t="s">
        <v>37</v>
      </c>
    </row>
    <row r="30" spans="1:220">
      <c r="A30" s="150" t="s">
        <v>410</v>
      </c>
      <c r="B30" s="44">
        <v>1425</v>
      </c>
      <c r="C30" s="44" t="s">
        <v>58</v>
      </c>
      <c r="D30" s="44" t="s">
        <v>37</v>
      </c>
      <c r="F30" s="44" t="s">
        <v>37</v>
      </c>
      <c r="H30" s="44" t="s">
        <v>37</v>
      </c>
      <c r="J30" s="44" t="s">
        <v>37</v>
      </c>
      <c r="L30" s="48" t="s">
        <v>37</v>
      </c>
      <c r="M30" s="50"/>
      <c r="N30" s="48" t="s">
        <v>37</v>
      </c>
      <c r="O30" s="50"/>
      <c r="P30" s="48" t="s">
        <v>37</v>
      </c>
      <c r="Q30" s="50"/>
      <c r="R30" s="48" t="s">
        <v>37</v>
      </c>
      <c r="S30" s="50"/>
      <c r="T30" s="48" t="s">
        <v>37</v>
      </c>
      <c r="V30" s="44" t="s">
        <v>37</v>
      </c>
      <c r="X30" s="44" t="s">
        <v>37</v>
      </c>
      <c r="Z30" s="44" t="s">
        <v>37</v>
      </c>
      <c r="AB30" s="44" t="s">
        <v>37</v>
      </c>
      <c r="AD30" s="44" t="s">
        <v>37</v>
      </c>
      <c r="AF30" s="44" t="s">
        <v>37</v>
      </c>
      <c r="AH30" s="44" t="s">
        <v>37</v>
      </c>
      <c r="AJ30" s="44" t="s">
        <v>37</v>
      </c>
      <c r="AL30" s="44" t="s">
        <v>37</v>
      </c>
      <c r="AN30" s="44" t="s">
        <v>37</v>
      </c>
      <c r="AP30" s="44" t="s">
        <v>37</v>
      </c>
      <c r="AR30" s="44" t="s">
        <v>37</v>
      </c>
      <c r="AT30" s="44" t="s">
        <v>37</v>
      </c>
      <c r="AV30" s="44" t="s">
        <v>37</v>
      </c>
      <c r="AX30" s="44" t="s">
        <v>37</v>
      </c>
      <c r="AZ30" s="44" t="s">
        <v>37</v>
      </c>
      <c r="BB30" s="44" t="s">
        <v>37</v>
      </c>
      <c r="BD30" s="44" t="s">
        <v>37</v>
      </c>
      <c r="BF30" s="44" t="s">
        <v>37</v>
      </c>
      <c r="BH30" s="44" t="s">
        <v>37</v>
      </c>
      <c r="BJ30" s="44" t="s">
        <v>37</v>
      </c>
      <c r="BL30" s="44" t="s">
        <v>37</v>
      </c>
      <c r="BN30" s="44" t="s">
        <v>37</v>
      </c>
      <c r="BP30" s="44" t="s">
        <v>37</v>
      </c>
      <c r="BR30" s="44" t="s">
        <v>37</v>
      </c>
      <c r="BT30" s="44" t="s">
        <v>37</v>
      </c>
      <c r="BV30" s="44" t="s">
        <v>37</v>
      </c>
      <c r="BX30" s="44" t="s">
        <v>37</v>
      </c>
      <c r="BZ30" s="44" t="s">
        <v>37</v>
      </c>
      <c r="CB30" s="44" t="s">
        <v>37</v>
      </c>
      <c r="CD30" s="44" t="s">
        <v>37</v>
      </c>
      <c r="CF30" s="44" t="s">
        <v>37</v>
      </c>
      <c r="CH30" s="44" t="s">
        <v>37</v>
      </c>
      <c r="CJ30" s="44" t="s">
        <v>37</v>
      </c>
      <c r="CL30" s="44" t="s">
        <v>37</v>
      </c>
      <c r="CN30" s="44" t="s">
        <v>37</v>
      </c>
      <c r="CP30" s="44" t="s">
        <v>37</v>
      </c>
      <c r="CR30" s="44" t="s">
        <v>37</v>
      </c>
      <c r="CT30" s="44" t="s">
        <v>37</v>
      </c>
      <c r="CV30" s="44" t="s">
        <v>37</v>
      </c>
      <c r="CX30" s="44" t="s">
        <v>37</v>
      </c>
      <c r="CZ30" s="44" t="s">
        <v>37</v>
      </c>
      <c r="DB30" s="44" t="s">
        <v>37</v>
      </c>
      <c r="DD30" s="44" t="s">
        <v>37</v>
      </c>
      <c r="DF30" s="44" t="s">
        <v>37</v>
      </c>
      <c r="DH30" s="44" t="s">
        <v>37</v>
      </c>
      <c r="DJ30" s="44" t="s">
        <v>37</v>
      </c>
      <c r="DL30" s="44" t="s">
        <v>37</v>
      </c>
      <c r="DN30" s="44" t="s">
        <v>37</v>
      </c>
      <c r="DP30" s="44" t="s">
        <v>37</v>
      </c>
      <c r="DR30" s="44" t="s">
        <v>37</v>
      </c>
      <c r="DT30" s="44" t="s">
        <v>37</v>
      </c>
      <c r="DV30" s="44" t="s">
        <v>37</v>
      </c>
      <c r="DX30" s="44" t="s">
        <v>37</v>
      </c>
      <c r="DZ30" s="44" t="s">
        <v>37</v>
      </c>
      <c r="EB30" s="44" t="s">
        <v>37</v>
      </c>
      <c r="ED30" s="44" t="s">
        <v>37</v>
      </c>
      <c r="EF30" s="44" t="s">
        <v>37</v>
      </c>
      <c r="EH30" s="44" t="s">
        <v>37</v>
      </c>
      <c r="EJ30" s="44" t="s">
        <v>37</v>
      </c>
      <c r="EL30" s="44" t="s">
        <v>37</v>
      </c>
      <c r="EN30" s="44" t="s">
        <v>37</v>
      </c>
      <c r="EP30" s="44" t="s">
        <v>37</v>
      </c>
      <c r="ER30" s="44" t="s">
        <v>37</v>
      </c>
      <c r="ET30" s="44" t="s">
        <v>37</v>
      </c>
      <c r="EV30" s="44" t="s">
        <v>37</v>
      </c>
      <c r="EX30" s="44" t="s">
        <v>37</v>
      </c>
      <c r="EZ30" s="44" t="s">
        <v>37</v>
      </c>
      <c r="FB30" s="44" t="s">
        <v>37</v>
      </c>
      <c r="FD30" s="44" t="s">
        <v>37</v>
      </c>
      <c r="FF30" s="44" t="s">
        <v>37</v>
      </c>
      <c r="FH30" s="44" t="s">
        <v>37</v>
      </c>
      <c r="FJ30" s="44" t="s">
        <v>37</v>
      </c>
      <c r="FL30" s="44" t="s">
        <v>37</v>
      </c>
      <c r="FN30" s="44" t="s">
        <v>37</v>
      </c>
      <c r="FP30" s="44" t="s">
        <v>37</v>
      </c>
      <c r="FR30" s="44" t="s">
        <v>37</v>
      </c>
      <c r="FT30" s="44" t="s">
        <v>37</v>
      </c>
      <c r="FV30" s="44" t="s">
        <v>37</v>
      </c>
      <c r="FX30" s="44" t="s">
        <v>37</v>
      </c>
      <c r="FZ30" s="44" t="s">
        <v>37</v>
      </c>
      <c r="GB30" s="44" t="s">
        <v>37</v>
      </c>
      <c r="GD30" s="44" t="s">
        <v>37</v>
      </c>
      <c r="GF30" s="44" t="s">
        <v>37</v>
      </c>
      <c r="GH30" s="44" t="s">
        <v>37</v>
      </c>
      <c r="GJ30" s="44" t="s">
        <v>37</v>
      </c>
      <c r="GL30" s="44" t="s">
        <v>37</v>
      </c>
      <c r="GN30" s="44" t="s">
        <v>37</v>
      </c>
      <c r="GP30" s="44" t="s">
        <v>37</v>
      </c>
      <c r="GR30" s="44" t="s">
        <v>37</v>
      </c>
      <c r="GT30" s="44" t="s">
        <v>37</v>
      </c>
      <c r="GV30" s="44" t="s">
        <v>37</v>
      </c>
      <c r="GX30" s="44" t="s">
        <v>37</v>
      </c>
      <c r="GZ30" s="44" t="s">
        <v>37</v>
      </c>
      <c r="HB30" s="44" t="s">
        <v>37</v>
      </c>
      <c r="HD30" s="44" t="s">
        <v>37</v>
      </c>
      <c r="HF30" s="44" t="s">
        <v>37</v>
      </c>
      <c r="HH30" s="44" t="s">
        <v>37</v>
      </c>
      <c r="HJ30" s="44" t="s">
        <v>37</v>
      </c>
      <c r="HL30" s="44" t="s">
        <v>37</v>
      </c>
    </row>
    <row r="31" spans="1:220">
      <c r="A31" s="150" t="s">
        <v>408</v>
      </c>
      <c r="B31" s="54">
        <v>1500</v>
      </c>
      <c r="C31" s="44" t="s">
        <v>62</v>
      </c>
      <c r="D31" s="44" t="s">
        <v>37</v>
      </c>
      <c r="F31" s="44" t="s">
        <v>37</v>
      </c>
      <c r="H31" s="44" t="s">
        <v>37</v>
      </c>
      <c r="J31" s="44" t="s">
        <v>37</v>
      </c>
      <c r="L31" s="48" t="s">
        <v>37</v>
      </c>
      <c r="M31" s="50"/>
      <c r="N31" s="48" t="s">
        <v>37</v>
      </c>
      <c r="O31" s="50"/>
      <c r="P31" s="48" t="s">
        <v>37</v>
      </c>
      <c r="Q31" s="50"/>
      <c r="R31" s="48" t="s">
        <v>37</v>
      </c>
      <c r="S31" s="50"/>
      <c r="T31" s="48" t="s">
        <v>37</v>
      </c>
      <c r="V31" s="44" t="s">
        <v>37</v>
      </c>
      <c r="X31" s="44" t="s">
        <v>37</v>
      </c>
      <c r="Z31" s="44" t="s">
        <v>37</v>
      </c>
      <c r="AB31" s="44" t="s">
        <v>37</v>
      </c>
      <c r="AD31" s="44" t="s">
        <v>37</v>
      </c>
      <c r="AF31" s="44" t="s">
        <v>37</v>
      </c>
      <c r="AH31" s="44" t="s">
        <v>37</v>
      </c>
      <c r="AJ31" s="44" t="s">
        <v>37</v>
      </c>
      <c r="AL31" s="44" t="s">
        <v>37</v>
      </c>
      <c r="AN31" s="44" t="s">
        <v>37</v>
      </c>
      <c r="AP31" s="44" t="s">
        <v>37</v>
      </c>
      <c r="AR31" s="44" t="s">
        <v>37</v>
      </c>
      <c r="AT31" s="44" t="s">
        <v>37</v>
      </c>
      <c r="AV31" s="44" t="s">
        <v>37</v>
      </c>
      <c r="AX31" s="44" t="s">
        <v>37</v>
      </c>
      <c r="AZ31" s="44" t="s">
        <v>37</v>
      </c>
      <c r="BB31" s="44" t="s">
        <v>37</v>
      </c>
      <c r="BD31" s="44" t="s">
        <v>37</v>
      </c>
      <c r="BF31" s="44" t="s">
        <v>37</v>
      </c>
      <c r="BH31" s="44" t="s">
        <v>37</v>
      </c>
      <c r="BJ31" s="44" t="s">
        <v>37</v>
      </c>
      <c r="BL31" s="44" t="s">
        <v>37</v>
      </c>
      <c r="BN31" s="44" t="s">
        <v>37</v>
      </c>
      <c r="BP31" s="44" t="s">
        <v>37</v>
      </c>
      <c r="BR31" s="44" t="s">
        <v>37</v>
      </c>
      <c r="BT31" s="44" t="s">
        <v>37</v>
      </c>
      <c r="BV31" s="44" t="s">
        <v>37</v>
      </c>
      <c r="BX31" s="44" t="s">
        <v>37</v>
      </c>
      <c r="BZ31" s="44" t="s">
        <v>37</v>
      </c>
      <c r="CB31" s="44" t="s">
        <v>37</v>
      </c>
      <c r="CD31" s="44" t="s">
        <v>37</v>
      </c>
      <c r="CF31" s="44" t="s">
        <v>37</v>
      </c>
      <c r="CH31" s="44" t="s">
        <v>37</v>
      </c>
      <c r="CJ31" s="44" t="s">
        <v>37</v>
      </c>
      <c r="CL31" s="44" t="s">
        <v>37</v>
      </c>
      <c r="CN31" s="44" t="s">
        <v>37</v>
      </c>
      <c r="CP31" s="44" t="s">
        <v>37</v>
      </c>
      <c r="CR31" s="44" t="s">
        <v>37</v>
      </c>
      <c r="CT31" s="44" t="s">
        <v>37</v>
      </c>
      <c r="CV31" s="44" t="s">
        <v>37</v>
      </c>
      <c r="CX31" s="44" t="s">
        <v>37</v>
      </c>
      <c r="CZ31" s="44" t="s">
        <v>37</v>
      </c>
      <c r="DB31" s="44" t="s">
        <v>37</v>
      </c>
      <c r="DD31" s="44" t="s">
        <v>37</v>
      </c>
      <c r="DF31" s="44" t="s">
        <v>37</v>
      </c>
      <c r="DH31" s="44" t="s">
        <v>37</v>
      </c>
      <c r="DJ31" s="44" t="s">
        <v>37</v>
      </c>
      <c r="DL31" s="44" t="s">
        <v>37</v>
      </c>
      <c r="DN31" s="44" t="s">
        <v>37</v>
      </c>
      <c r="DP31" s="44" t="s">
        <v>37</v>
      </c>
      <c r="DR31" s="44" t="s">
        <v>37</v>
      </c>
      <c r="DT31" s="44" t="s">
        <v>37</v>
      </c>
      <c r="DV31" s="44" t="s">
        <v>37</v>
      </c>
      <c r="DX31" s="44" t="s">
        <v>37</v>
      </c>
      <c r="DZ31" s="44" t="s">
        <v>37</v>
      </c>
      <c r="EB31" s="44" t="s">
        <v>37</v>
      </c>
      <c r="ED31" s="44" t="s">
        <v>37</v>
      </c>
      <c r="EF31" s="44" t="s">
        <v>37</v>
      </c>
      <c r="EH31" s="44" t="s">
        <v>37</v>
      </c>
      <c r="EJ31" s="44" t="s">
        <v>37</v>
      </c>
      <c r="EL31" s="44" t="s">
        <v>37</v>
      </c>
      <c r="EN31" s="44" t="s">
        <v>37</v>
      </c>
      <c r="EP31" s="44" t="s">
        <v>37</v>
      </c>
      <c r="ER31" s="44" t="s">
        <v>37</v>
      </c>
      <c r="ET31" s="44" t="s">
        <v>37</v>
      </c>
      <c r="EV31" s="44" t="s">
        <v>37</v>
      </c>
      <c r="EX31" s="44" t="s">
        <v>37</v>
      </c>
      <c r="EZ31" s="44" t="s">
        <v>37</v>
      </c>
      <c r="FB31" s="44" t="s">
        <v>37</v>
      </c>
      <c r="FD31" s="44" t="s">
        <v>37</v>
      </c>
      <c r="FF31" s="44" t="s">
        <v>37</v>
      </c>
      <c r="FH31" s="44" t="s">
        <v>37</v>
      </c>
      <c r="FJ31" s="44" t="s">
        <v>37</v>
      </c>
      <c r="FL31" s="44" t="s">
        <v>37</v>
      </c>
      <c r="FN31" s="44" t="s">
        <v>37</v>
      </c>
      <c r="FP31" s="44" t="s">
        <v>37</v>
      </c>
      <c r="FR31" s="44" t="s">
        <v>37</v>
      </c>
      <c r="FT31" s="44" t="s">
        <v>37</v>
      </c>
      <c r="FV31" s="44" t="s">
        <v>37</v>
      </c>
      <c r="FX31" s="44" t="s">
        <v>37</v>
      </c>
      <c r="FZ31" s="44" t="s">
        <v>37</v>
      </c>
      <c r="GB31" s="44" t="s">
        <v>37</v>
      </c>
      <c r="GD31" s="44" t="s">
        <v>37</v>
      </c>
      <c r="GF31" s="44" t="s">
        <v>37</v>
      </c>
      <c r="GH31" s="44" t="s">
        <v>37</v>
      </c>
      <c r="GJ31" s="44" t="s">
        <v>37</v>
      </c>
      <c r="GL31" s="44" t="s">
        <v>37</v>
      </c>
      <c r="GN31" s="44" t="s">
        <v>37</v>
      </c>
      <c r="GP31" s="44" t="s">
        <v>37</v>
      </c>
      <c r="GR31" s="44" t="s">
        <v>37</v>
      </c>
      <c r="GT31" s="44" t="s">
        <v>37</v>
      </c>
      <c r="GV31" s="44" t="s">
        <v>37</v>
      </c>
      <c r="GX31" s="44" t="s">
        <v>37</v>
      </c>
      <c r="GZ31" s="44" t="s">
        <v>37</v>
      </c>
      <c r="HB31" s="44" t="s">
        <v>37</v>
      </c>
      <c r="HD31" s="44" t="s">
        <v>37</v>
      </c>
      <c r="HF31" s="44" t="s">
        <v>37</v>
      </c>
      <c r="HH31" s="44" t="s">
        <v>37</v>
      </c>
      <c r="HJ31" s="44" t="s">
        <v>37</v>
      </c>
      <c r="HL31" s="44" t="s">
        <v>37</v>
      </c>
    </row>
    <row r="32" spans="1:220">
      <c r="A32" s="150" t="s">
        <v>410</v>
      </c>
      <c r="B32" s="44">
        <v>1510</v>
      </c>
      <c r="C32" s="44" t="s">
        <v>63</v>
      </c>
      <c r="D32" s="44" t="s">
        <v>37</v>
      </c>
      <c r="E32" s="44">
        <v>134656</v>
      </c>
      <c r="F32" s="44" t="s">
        <v>37</v>
      </c>
      <c r="G32" s="44">
        <v>1019518</v>
      </c>
      <c r="H32" s="44" t="s">
        <v>37</v>
      </c>
      <c r="I32" s="44">
        <v>26508</v>
      </c>
      <c r="J32" s="44" t="s">
        <v>37</v>
      </c>
      <c r="K32" s="44">
        <v>14227</v>
      </c>
      <c r="L32" s="48" t="s">
        <v>37</v>
      </c>
      <c r="M32" s="51">
        <v>382520</v>
      </c>
      <c r="N32" s="48" t="s">
        <v>37</v>
      </c>
      <c r="O32" s="51">
        <v>175851</v>
      </c>
      <c r="P32" s="48" t="s">
        <v>37</v>
      </c>
      <c r="Q32" s="51">
        <v>593746</v>
      </c>
      <c r="R32" s="48" t="s">
        <v>37</v>
      </c>
      <c r="S32" s="51">
        <v>1393711</v>
      </c>
      <c r="T32" s="48" t="s">
        <v>37</v>
      </c>
      <c r="U32" s="44">
        <v>995816</v>
      </c>
      <c r="V32" s="44" t="s">
        <v>37</v>
      </c>
      <c r="W32" s="44">
        <v>24583</v>
      </c>
      <c r="X32" s="44" t="s">
        <v>37</v>
      </c>
      <c r="Y32" s="44">
        <v>101910</v>
      </c>
      <c r="Z32" s="44" t="s">
        <v>37</v>
      </c>
      <c r="AA32" s="44">
        <v>86610</v>
      </c>
      <c r="AB32" s="44" t="s">
        <v>37</v>
      </c>
      <c r="AC32" s="44">
        <v>31703</v>
      </c>
      <c r="AD32" s="44" t="s">
        <v>37</v>
      </c>
      <c r="AE32" s="44">
        <v>33738</v>
      </c>
      <c r="AF32" s="44" t="s">
        <v>37</v>
      </c>
      <c r="AG32" s="44">
        <v>51617</v>
      </c>
      <c r="AH32" s="44" t="s">
        <v>37</v>
      </c>
      <c r="AI32" s="44">
        <v>283442</v>
      </c>
      <c r="AJ32" s="44" t="s">
        <v>37</v>
      </c>
      <c r="AK32" s="44">
        <v>3750</v>
      </c>
      <c r="AL32" s="44" t="s">
        <v>37</v>
      </c>
      <c r="AM32" s="44">
        <v>6091855</v>
      </c>
      <c r="AN32" s="44" t="s">
        <v>37</v>
      </c>
      <c r="AO32" s="44">
        <v>17315</v>
      </c>
      <c r="AP32" s="44" t="s">
        <v>37</v>
      </c>
      <c r="AQ32" s="44">
        <v>9966532</v>
      </c>
      <c r="AR32" s="44" t="s">
        <v>37</v>
      </c>
      <c r="AS32" s="44">
        <v>1039571</v>
      </c>
      <c r="AT32" s="44" t="s">
        <v>37</v>
      </c>
      <c r="AU32" s="44">
        <v>31663984</v>
      </c>
      <c r="AV32" s="44" t="s">
        <v>37</v>
      </c>
      <c r="AW32" s="44">
        <v>2551948</v>
      </c>
      <c r="AX32" s="44" t="s">
        <v>37</v>
      </c>
      <c r="AY32" s="44">
        <v>657255</v>
      </c>
      <c r="AZ32" s="44" t="s">
        <v>37</v>
      </c>
      <c r="BA32" s="44">
        <v>775806</v>
      </c>
      <c r="BB32" s="44" t="s">
        <v>37</v>
      </c>
      <c r="BC32" s="44">
        <v>480114</v>
      </c>
      <c r="BD32" s="44" t="s">
        <v>37</v>
      </c>
      <c r="BE32" s="44">
        <v>157046</v>
      </c>
      <c r="BF32" s="44" t="s">
        <v>37</v>
      </c>
      <c r="BG32" s="44">
        <v>95143</v>
      </c>
      <c r="BH32" s="44" t="s">
        <v>37</v>
      </c>
      <c r="BI32" s="44">
        <v>77</v>
      </c>
      <c r="BJ32" s="44" t="s">
        <v>37</v>
      </c>
      <c r="BK32" s="44">
        <v>2944533</v>
      </c>
      <c r="BL32" s="44" t="s">
        <v>37</v>
      </c>
      <c r="BM32" s="44">
        <v>2511589</v>
      </c>
      <c r="BN32" s="44" t="s">
        <v>37</v>
      </c>
      <c r="BO32" s="44">
        <v>61978</v>
      </c>
      <c r="BP32" s="44" t="s">
        <v>37</v>
      </c>
      <c r="BQ32" s="44">
        <v>25012</v>
      </c>
      <c r="BR32" s="44" t="s">
        <v>37</v>
      </c>
      <c r="BS32" s="44">
        <v>213591</v>
      </c>
      <c r="BT32" s="44" t="s">
        <v>37</v>
      </c>
      <c r="BU32" s="44">
        <v>146640</v>
      </c>
      <c r="BV32" s="44" t="s">
        <v>37</v>
      </c>
      <c r="BW32" s="44">
        <v>10776</v>
      </c>
      <c r="BX32" s="44" t="s">
        <v>37</v>
      </c>
      <c r="BY32" s="44">
        <v>6061613</v>
      </c>
      <c r="BZ32" s="44" t="s">
        <v>37</v>
      </c>
      <c r="CA32" s="44">
        <v>328116</v>
      </c>
      <c r="CB32" s="44" t="s">
        <v>37</v>
      </c>
      <c r="CC32" s="44">
        <v>70250</v>
      </c>
      <c r="CD32" s="44" t="s">
        <v>37</v>
      </c>
      <c r="CE32" s="44">
        <v>263705</v>
      </c>
      <c r="CF32" s="44" t="s">
        <v>37</v>
      </c>
      <c r="CG32" s="44">
        <v>455917</v>
      </c>
      <c r="CH32" s="44" t="s">
        <v>37</v>
      </c>
      <c r="CI32" s="44">
        <v>2392922</v>
      </c>
      <c r="CJ32" s="44" t="s">
        <v>37</v>
      </c>
      <c r="CK32" s="44">
        <v>22739</v>
      </c>
      <c r="CL32" s="44" t="s">
        <v>37</v>
      </c>
      <c r="CM32" s="44">
        <v>447808</v>
      </c>
      <c r="CN32" s="44" t="s">
        <v>37</v>
      </c>
      <c r="CO32" s="44">
        <v>65072</v>
      </c>
      <c r="CP32" s="44" t="s">
        <v>37</v>
      </c>
      <c r="CQ32" s="44">
        <v>173768</v>
      </c>
      <c r="CR32" s="44" t="s">
        <v>37</v>
      </c>
      <c r="CS32" s="44">
        <v>1222449</v>
      </c>
      <c r="CT32" s="44" t="s">
        <v>37</v>
      </c>
      <c r="CU32" s="44">
        <v>26367262</v>
      </c>
      <c r="CV32" s="44" t="s">
        <v>37</v>
      </c>
      <c r="CW32" s="44">
        <v>3868814</v>
      </c>
      <c r="CX32" s="44" t="s">
        <v>37</v>
      </c>
      <c r="CY32" s="44">
        <v>140798</v>
      </c>
      <c r="CZ32" s="44" t="s">
        <v>37</v>
      </c>
      <c r="DA32" s="44">
        <v>148978</v>
      </c>
      <c r="DB32" s="44" t="s">
        <v>37</v>
      </c>
      <c r="DC32" s="44">
        <v>15150</v>
      </c>
      <c r="DD32" s="44" t="s">
        <v>37</v>
      </c>
      <c r="DE32" s="44">
        <v>78885</v>
      </c>
      <c r="DF32" s="44" t="s">
        <v>37</v>
      </c>
      <c r="DG32" s="44">
        <v>99706</v>
      </c>
      <c r="DH32" s="44" t="s">
        <v>37</v>
      </c>
      <c r="DI32" s="44">
        <v>9414516</v>
      </c>
      <c r="DJ32" s="44" t="s">
        <v>37</v>
      </c>
      <c r="DK32" s="44">
        <v>858451</v>
      </c>
      <c r="DL32" s="44" t="s">
        <v>37</v>
      </c>
      <c r="DM32" s="44">
        <v>6396413</v>
      </c>
      <c r="DN32" s="44" t="s">
        <v>37</v>
      </c>
      <c r="DO32" s="44">
        <v>2710836</v>
      </c>
      <c r="DP32" s="44" t="s">
        <v>37</v>
      </c>
      <c r="DQ32" s="44">
        <v>891984</v>
      </c>
      <c r="DR32" s="44" t="s">
        <v>37</v>
      </c>
      <c r="DS32" s="44">
        <v>1098339</v>
      </c>
      <c r="DT32" s="44" t="s">
        <v>37</v>
      </c>
      <c r="DU32" s="44">
        <v>256399</v>
      </c>
      <c r="DV32" s="44" t="s">
        <v>37</v>
      </c>
      <c r="DW32" s="44">
        <v>8581616</v>
      </c>
      <c r="DX32" s="44" t="s">
        <v>37</v>
      </c>
      <c r="DY32" s="44">
        <v>1636238</v>
      </c>
      <c r="DZ32" s="44" t="s">
        <v>37</v>
      </c>
      <c r="EA32" s="44">
        <v>159922</v>
      </c>
      <c r="EB32" s="44" t="s">
        <v>37</v>
      </c>
      <c r="EC32" s="44">
        <v>414131</v>
      </c>
      <c r="ED32" s="44" t="s">
        <v>37</v>
      </c>
      <c r="EE32" s="44">
        <v>1932695</v>
      </c>
      <c r="EF32" s="44" t="s">
        <v>37</v>
      </c>
      <c r="EG32" s="44">
        <v>121817</v>
      </c>
      <c r="EH32" s="44" t="s">
        <v>37</v>
      </c>
      <c r="EI32" s="44">
        <v>88904</v>
      </c>
      <c r="EJ32" s="44" t="s">
        <v>37</v>
      </c>
      <c r="EK32" s="44">
        <v>317612</v>
      </c>
      <c r="EL32" s="44" t="s">
        <v>37</v>
      </c>
      <c r="EM32" s="44">
        <v>295666</v>
      </c>
      <c r="EN32" s="44" t="s">
        <v>37</v>
      </c>
      <c r="EO32" s="44">
        <v>93279</v>
      </c>
      <c r="EP32" s="44" t="s">
        <v>37</v>
      </c>
      <c r="EQ32" s="44">
        <v>50194</v>
      </c>
      <c r="ER32" s="44" t="s">
        <v>37</v>
      </c>
      <c r="ES32" s="44">
        <v>125350</v>
      </c>
      <c r="ET32" s="44" t="s">
        <v>37</v>
      </c>
      <c r="EU32" s="44">
        <v>3580991</v>
      </c>
      <c r="EV32" s="44" t="s">
        <v>37</v>
      </c>
      <c r="EW32" s="44">
        <v>1454347</v>
      </c>
      <c r="EX32" s="44" t="s">
        <v>37</v>
      </c>
      <c r="EZ32" s="44" t="s">
        <v>37</v>
      </c>
      <c r="FA32" s="44">
        <v>412277</v>
      </c>
      <c r="FB32" s="44" t="s">
        <v>37</v>
      </c>
      <c r="FC32" s="44">
        <v>386574</v>
      </c>
      <c r="FD32" s="44" t="s">
        <v>37</v>
      </c>
      <c r="FE32" s="44">
        <v>1137980</v>
      </c>
      <c r="FF32" s="44" t="s">
        <v>37</v>
      </c>
      <c r="FG32" s="44">
        <v>2297</v>
      </c>
      <c r="FH32" s="44" t="s">
        <v>37</v>
      </c>
      <c r="FI32" s="44">
        <v>9208926</v>
      </c>
      <c r="FJ32" s="44" t="s">
        <v>37</v>
      </c>
      <c r="FK32" s="44">
        <v>7846289</v>
      </c>
      <c r="FL32" s="44" t="s">
        <v>37</v>
      </c>
      <c r="FM32" s="44">
        <v>5121247</v>
      </c>
      <c r="FN32" s="44" t="s">
        <v>37</v>
      </c>
      <c r="FO32" s="44">
        <v>159958</v>
      </c>
      <c r="FP32" s="44" t="s">
        <v>37</v>
      </c>
      <c r="FQ32" s="44">
        <v>1053150</v>
      </c>
      <c r="FR32" s="44" t="s">
        <v>37</v>
      </c>
      <c r="FS32" s="44">
        <v>1413118</v>
      </c>
      <c r="FT32" s="44" t="s">
        <v>37</v>
      </c>
      <c r="FU32" s="44">
        <v>802732</v>
      </c>
      <c r="FV32" s="44" t="s">
        <v>37</v>
      </c>
      <c r="FW32" s="44">
        <v>520570</v>
      </c>
      <c r="FX32" s="44" t="s">
        <v>37</v>
      </c>
      <c r="FY32" s="44">
        <v>3698436</v>
      </c>
      <c r="FZ32" s="44" t="s">
        <v>37</v>
      </c>
      <c r="GA32" s="44">
        <v>1076282</v>
      </c>
      <c r="GB32" s="44" t="s">
        <v>37</v>
      </c>
      <c r="GC32" s="44">
        <v>1152244</v>
      </c>
      <c r="GD32" s="44" t="s">
        <v>37</v>
      </c>
      <c r="GE32" s="44">
        <v>3680</v>
      </c>
      <c r="GF32" s="44" t="s">
        <v>37</v>
      </c>
      <c r="GG32" s="44">
        <v>21482</v>
      </c>
      <c r="GH32" s="44" t="s">
        <v>37</v>
      </c>
      <c r="GI32" s="44">
        <v>19850</v>
      </c>
      <c r="GJ32" s="44" t="s">
        <v>37</v>
      </c>
      <c r="GK32" s="44">
        <v>2016865</v>
      </c>
      <c r="GL32" s="44" t="s">
        <v>37</v>
      </c>
      <c r="GM32" s="44">
        <v>1476955</v>
      </c>
      <c r="GN32" s="44" t="s">
        <v>37</v>
      </c>
      <c r="GP32" s="44" t="s">
        <v>37</v>
      </c>
      <c r="GQ32" s="44">
        <v>1460897</v>
      </c>
      <c r="GR32" s="44" t="s">
        <v>37</v>
      </c>
      <c r="GS32" s="44">
        <v>721203</v>
      </c>
      <c r="GT32" s="44" t="s">
        <v>37</v>
      </c>
      <c r="GU32" s="44">
        <v>760084</v>
      </c>
      <c r="GV32" s="44" t="s">
        <v>37</v>
      </c>
      <c r="GW32" s="44">
        <v>1333915</v>
      </c>
      <c r="GX32" s="44" t="s">
        <v>37</v>
      </c>
      <c r="GY32" s="44">
        <v>3715398</v>
      </c>
      <c r="GZ32" s="44" t="s">
        <v>37</v>
      </c>
      <c r="HA32" s="44">
        <v>3658618</v>
      </c>
      <c r="HB32" s="44" t="s">
        <v>37</v>
      </c>
      <c r="HD32" s="44" t="s">
        <v>37</v>
      </c>
      <c r="HF32" s="44" t="s">
        <v>37</v>
      </c>
      <c r="HG32" s="44">
        <v>196649350</v>
      </c>
      <c r="HH32" s="44" t="s">
        <v>37</v>
      </c>
      <c r="HJ32" s="44" t="s">
        <v>37</v>
      </c>
      <c r="HK32" s="44">
        <v>196649350</v>
      </c>
      <c r="HL32" s="44" t="s">
        <v>37</v>
      </c>
    </row>
    <row r="33" spans="1:220">
      <c r="A33" s="150" t="s">
        <v>410</v>
      </c>
      <c r="B33" s="44">
        <v>1520</v>
      </c>
      <c r="C33" s="44" t="s">
        <v>64</v>
      </c>
      <c r="D33" s="44" t="s">
        <v>37</v>
      </c>
      <c r="F33" s="44" t="s">
        <v>37</v>
      </c>
      <c r="G33" s="44">
        <v>156526</v>
      </c>
      <c r="H33" s="44" t="s">
        <v>37</v>
      </c>
      <c r="J33" s="44" t="s">
        <v>37</v>
      </c>
      <c r="L33" s="48" t="s">
        <v>37</v>
      </c>
      <c r="M33" s="50"/>
      <c r="N33" s="48" t="s">
        <v>37</v>
      </c>
      <c r="O33" s="50"/>
      <c r="P33" s="48" t="s">
        <v>37</v>
      </c>
      <c r="Q33" s="50"/>
      <c r="R33" s="48" t="s">
        <v>37</v>
      </c>
      <c r="S33" s="50"/>
      <c r="T33" s="48" t="s">
        <v>37</v>
      </c>
      <c r="V33" s="44" t="s">
        <v>37</v>
      </c>
      <c r="X33" s="44" t="s">
        <v>37</v>
      </c>
      <c r="Z33" s="44" t="s">
        <v>37</v>
      </c>
      <c r="AB33" s="44" t="s">
        <v>37</v>
      </c>
      <c r="AD33" s="44" t="s">
        <v>37</v>
      </c>
      <c r="AF33" s="44" t="s">
        <v>37</v>
      </c>
      <c r="AH33" s="44" t="s">
        <v>37</v>
      </c>
      <c r="AJ33" s="44" t="s">
        <v>37</v>
      </c>
      <c r="AL33" s="44" t="s">
        <v>37</v>
      </c>
      <c r="AN33" s="44" t="s">
        <v>37</v>
      </c>
      <c r="AP33" s="44" t="s">
        <v>37</v>
      </c>
      <c r="AR33" s="44" t="s">
        <v>37</v>
      </c>
      <c r="AT33" s="44" t="s">
        <v>37</v>
      </c>
      <c r="AV33" s="44" t="s">
        <v>37</v>
      </c>
      <c r="AX33" s="44" t="s">
        <v>37</v>
      </c>
      <c r="AZ33" s="44" t="s">
        <v>37</v>
      </c>
      <c r="BB33" s="44" t="s">
        <v>37</v>
      </c>
      <c r="BD33" s="44" t="s">
        <v>37</v>
      </c>
      <c r="BF33" s="44" t="s">
        <v>37</v>
      </c>
      <c r="BH33" s="44" t="s">
        <v>37</v>
      </c>
      <c r="BJ33" s="44" t="s">
        <v>37</v>
      </c>
      <c r="BL33" s="44" t="s">
        <v>37</v>
      </c>
      <c r="BN33" s="44" t="s">
        <v>37</v>
      </c>
      <c r="BP33" s="44" t="s">
        <v>37</v>
      </c>
      <c r="BR33" s="44" t="s">
        <v>37</v>
      </c>
      <c r="BT33" s="44" t="s">
        <v>37</v>
      </c>
      <c r="BV33" s="44" t="s">
        <v>37</v>
      </c>
      <c r="BX33" s="44" t="s">
        <v>37</v>
      </c>
      <c r="BZ33" s="44" t="s">
        <v>37</v>
      </c>
      <c r="CB33" s="44" t="s">
        <v>37</v>
      </c>
      <c r="CD33" s="44" t="s">
        <v>37</v>
      </c>
      <c r="CF33" s="44" t="s">
        <v>37</v>
      </c>
      <c r="CH33" s="44" t="s">
        <v>37</v>
      </c>
      <c r="CJ33" s="44" t="s">
        <v>37</v>
      </c>
      <c r="CL33" s="44" t="s">
        <v>37</v>
      </c>
      <c r="CN33" s="44" t="s">
        <v>37</v>
      </c>
      <c r="CP33" s="44" t="s">
        <v>37</v>
      </c>
      <c r="CR33" s="44" t="s">
        <v>37</v>
      </c>
      <c r="CT33" s="44" t="s">
        <v>37</v>
      </c>
      <c r="CV33" s="44" t="s">
        <v>37</v>
      </c>
      <c r="CX33" s="44" t="s">
        <v>37</v>
      </c>
      <c r="CZ33" s="44" t="s">
        <v>37</v>
      </c>
      <c r="DB33" s="44" t="s">
        <v>37</v>
      </c>
      <c r="DD33" s="44" t="s">
        <v>37</v>
      </c>
      <c r="DF33" s="44" t="s">
        <v>37</v>
      </c>
      <c r="DH33" s="44" t="s">
        <v>37</v>
      </c>
      <c r="DJ33" s="44" t="s">
        <v>37</v>
      </c>
      <c r="DL33" s="44" t="s">
        <v>37</v>
      </c>
      <c r="DN33" s="44" t="s">
        <v>37</v>
      </c>
      <c r="DP33" s="44" t="s">
        <v>37</v>
      </c>
      <c r="DR33" s="44" t="s">
        <v>37</v>
      </c>
      <c r="DT33" s="44" t="s">
        <v>37</v>
      </c>
      <c r="DV33" s="44" t="s">
        <v>37</v>
      </c>
      <c r="DX33" s="44" t="s">
        <v>37</v>
      </c>
      <c r="DZ33" s="44" t="s">
        <v>37</v>
      </c>
      <c r="EB33" s="44" t="s">
        <v>37</v>
      </c>
      <c r="ED33" s="44" t="s">
        <v>37</v>
      </c>
      <c r="EF33" s="44" t="s">
        <v>37</v>
      </c>
      <c r="EH33" s="44" t="s">
        <v>37</v>
      </c>
      <c r="EJ33" s="44" t="s">
        <v>37</v>
      </c>
      <c r="EL33" s="44" t="s">
        <v>37</v>
      </c>
      <c r="EN33" s="44" t="s">
        <v>37</v>
      </c>
      <c r="EP33" s="44" t="s">
        <v>37</v>
      </c>
      <c r="ER33" s="44" t="s">
        <v>37</v>
      </c>
      <c r="ET33" s="44" t="s">
        <v>37</v>
      </c>
      <c r="EV33" s="44" t="s">
        <v>37</v>
      </c>
      <c r="EX33" s="44" t="s">
        <v>37</v>
      </c>
      <c r="EZ33" s="44" t="s">
        <v>37</v>
      </c>
      <c r="FB33" s="44" t="s">
        <v>37</v>
      </c>
      <c r="FD33" s="44" t="s">
        <v>37</v>
      </c>
      <c r="FF33" s="44" t="s">
        <v>37</v>
      </c>
      <c r="FH33" s="44" t="s">
        <v>37</v>
      </c>
      <c r="FJ33" s="44" t="s">
        <v>37</v>
      </c>
      <c r="FL33" s="44" t="s">
        <v>37</v>
      </c>
      <c r="FN33" s="44" t="s">
        <v>37</v>
      </c>
      <c r="FP33" s="44" t="s">
        <v>37</v>
      </c>
      <c r="FR33" s="44" t="s">
        <v>37</v>
      </c>
      <c r="FT33" s="44" t="s">
        <v>37</v>
      </c>
      <c r="FV33" s="44" t="s">
        <v>37</v>
      </c>
      <c r="FX33" s="44" t="s">
        <v>37</v>
      </c>
      <c r="FZ33" s="44" t="s">
        <v>37</v>
      </c>
      <c r="GB33" s="44" t="s">
        <v>37</v>
      </c>
      <c r="GD33" s="44" t="s">
        <v>37</v>
      </c>
      <c r="GF33" s="44" t="s">
        <v>37</v>
      </c>
      <c r="GH33" s="44" t="s">
        <v>37</v>
      </c>
      <c r="GJ33" s="44" t="s">
        <v>37</v>
      </c>
      <c r="GL33" s="44" t="s">
        <v>37</v>
      </c>
      <c r="GN33" s="44" t="s">
        <v>37</v>
      </c>
      <c r="GP33" s="44" t="s">
        <v>37</v>
      </c>
      <c r="GR33" s="44" t="s">
        <v>37</v>
      </c>
      <c r="GT33" s="44" t="s">
        <v>37</v>
      </c>
      <c r="GV33" s="44" t="s">
        <v>37</v>
      </c>
      <c r="GX33" s="44" t="s">
        <v>37</v>
      </c>
      <c r="GZ33" s="44" t="s">
        <v>37</v>
      </c>
      <c r="HB33" s="44" t="s">
        <v>37</v>
      </c>
      <c r="HD33" s="44" t="s">
        <v>37</v>
      </c>
      <c r="HF33" s="44" t="s">
        <v>37</v>
      </c>
      <c r="HG33" s="44">
        <v>156526</v>
      </c>
      <c r="HH33" s="44" t="s">
        <v>37</v>
      </c>
      <c r="HJ33" s="44" t="s">
        <v>37</v>
      </c>
      <c r="HK33" s="44">
        <v>156526</v>
      </c>
      <c r="HL33" s="44" t="s">
        <v>37</v>
      </c>
    </row>
    <row r="34" spans="1:220">
      <c r="A34" s="150" t="s">
        <v>410</v>
      </c>
      <c r="B34" s="44">
        <v>1530</v>
      </c>
      <c r="C34" s="44" t="s">
        <v>65</v>
      </c>
      <c r="D34" s="44" t="s">
        <v>37</v>
      </c>
      <c r="F34" s="44" t="s">
        <v>37</v>
      </c>
      <c r="H34" s="44" t="s">
        <v>37</v>
      </c>
      <c r="J34" s="44" t="s">
        <v>37</v>
      </c>
      <c r="L34" s="48" t="s">
        <v>37</v>
      </c>
      <c r="M34" s="50"/>
      <c r="N34" s="48" t="s">
        <v>37</v>
      </c>
      <c r="O34" s="50"/>
      <c r="P34" s="48" t="s">
        <v>37</v>
      </c>
      <c r="Q34" s="50"/>
      <c r="R34" s="48" t="s">
        <v>37</v>
      </c>
      <c r="S34" s="50"/>
      <c r="T34" s="48" t="s">
        <v>37</v>
      </c>
      <c r="V34" s="44" t="s">
        <v>37</v>
      </c>
      <c r="X34" s="44" t="s">
        <v>37</v>
      </c>
      <c r="Z34" s="44" t="s">
        <v>37</v>
      </c>
      <c r="AB34" s="44" t="s">
        <v>37</v>
      </c>
      <c r="AD34" s="44" t="s">
        <v>37</v>
      </c>
      <c r="AF34" s="44" t="s">
        <v>37</v>
      </c>
      <c r="AH34" s="44" t="s">
        <v>37</v>
      </c>
      <c r="AJ34" s="44" t="s">
        <v>37</v>
      </c>
      <c r="AL34" s="44" t="s">
        <v>37</v>
      </c>
      <c r="AN34" s="44" t="s">
        <v>37</v>
      </c>
      <c r="AP34" s="44" t="s">
        <v>37</v>
      </c>
      <c r="AR34" s="44" t="s">
        <v>37</v>
      </c>
      <c r="AT34" s="44" t="s">
        <v>37</v>
      </c>
      <c r="AV34" s="44" t="s">
        <v>37</v>
      </c>
      <c r="AW34" s="44">
        <v>22159</v>
      </c>
      <c r="AX34" s="44" t="s">
        <v>37</v>
      </c>
      <c r="AZ34" s="44" t="s">
        <v>37</v>
      </c>
      <c r="BB34" s="44" t="s">
        <v>37</v>
      </c>
      <c r="BD34" s="44" t="s">
        <v>37</v>
      </c>
      <c r="BF34" s="44" t="s">
        <v>37</v>
      </c>
      <c r="BH34" s="44" t="s">
        <v>37</v>
      </c>
      <c r="BJ34" s="44" t="s">
        <v>37</v>
      </c>
      <c r="BL34" s="44" t="s">
        <v>37</v>
      </c>
      <c r="BN34" s="44" t="s">
        <v>37</v>
      </c>
      <c r="BP34" s="44" t="s">
        <v>37</v>
      </c>
      <c r="BR34" s="44" t="s">
        <v>37</v>
      </c>
      <c r="BT34" s="44" t="s">
        <v>37</v>
      </c>
      <c r="BV34" s="44" t="s">
        <v>37</v>
      </c>
      <c r="BX34" s="44" t="s">
        <v>37</v>
      </c>
      <c r="BZ34" s="44" t="s">
        <v>37</v>
      </c>
      <c r="CB34" s="44" t="s">
        <v>37</v>
      </c>
      <c r="CD34" s="44" t="s">
        <v>37</v>
      </c>
      <c r="CF34" s="44" t="s">
        <v>37</v>
      </c>
      <c r="CH34" s="44" t="s">
        <v>37</v>
      </c>
      <c r="CJ34" s="44" t="s">
        <v>37</v>
      </c>
      <c r="CL34" s="44" t="s">
        <v>37</v>
      </c>
      <c r="CN34" s="44" t="s">
        <v>37</v>
      </c>
      <c r="CP34" s="44" t="s">
        <v>37</v>
      </c>
      <c r="CR34" s="44" t="s">
        <v>37</v>
      </c>
      <c r="CT34" s="44" t="s">
        <v>37</v>
      </c>
      <c r="CU34" s="44">
        <v>123830</v>
      </c>
      <c r="CV34" s="44" t="s">
        <v>37</v>
      </c>
      <c r="CX34" s="44" t="s">
        <v>37</v>
      </c>
      <c r="CZ34" s="44" t="s">
        <v>37</v>
      </c>
      <c r="DB34" s="44" t="s">
        <v>37</v>
      </c>
      <c r="DD34" s="44" t="s">
        <v>37</v>
      </c>
      <c r="DF34" s="44" t="s">
        <v>37</v>
      </c>
      <c r="DH34" s="44" t="s">
        <v>37</v>
      </c>
      <c r="DJ34" s="44" t="s">
        <v>37</v>
      </c>
      <c r="DL34" s="44" t="s">
        <v>37</v>
      </c>
      <c r="DN34" s="44" t="s">
        <v>37</v>
      </c>
      <c r="DP34" s="44" t="s">
        <v>37</v>
      </c>
      <c r="DR34" s="44" t="s">
        <v>37</v>
      </c>
      <c r="DT34" s="44" t="s">
        <v>37</v>
      </c>
      <c r="DV34" s="44" t="s">
        <v>37</v>
      </c>
      <c r="DX34" s="44" t="s">
        <v>37</v>
      </c>
      <c r="DZ34" s="44" t="s">
        <v>37</v>
      </c>
      <c r="EB34" s="44" t="s">
        <v>37</v>
      </c>
      <c r="ED34" s="44" t="s">
        <v>37</v>
      </c>
      <c r="EF34" s="44" t="s">
        <v>37</v>
      </c>
      <c r="EH34" s="44" t="s">
        <v>37</v>
      </c>
      <c r="EJ34" s="44" t="s">
        <v>37</v>
      </c>
      <c r="EL34" s="44" t="s">
        <v>37</v>
      </c>
      <c r="EN34" s="44" t="s">
        <v>37</v>
      </c>
      <c r="EP34" s="44" t="s">
        <v>37</v>
      </c>
      <c r="ER34" s="44" t="s">
        <v>37</v>
      </c>
      <c r="ET34" s="44" t="s">
        <v>37</v>
      </c>
      <c r="EV34" s="44" t="s">
        <v>37</v>
      </c>
      <c r="EX34" s="44" t="s">
        <v>37</v>
      </c>
      <c r="EZ34" s="44" t="s">
        <v>37</v>
      </c>
      <c r="FB34" s="44" t="s">
        <v>37</v>
      </c>
      <c r="FD34" s="44" t="s">
        <v>37</v>
      </c>
      <c r="FF34" s="44" t="s">
        <v>37</v>
      </c>
      <c r="FH34" s="44" t="s">
        <v>37</v>
      </c>
      <c r="FJ34" s="44" t="s">
        <v>37</v>
      </c>
      <c r="FK34" s="44">
        <v>31128</v>
      </c>
      <c r="FL34" s="44" t="s">
        <v>37</v>
      </c>
      <c r="FN34" s="44" t="s">
        <v>37</v>
      </c>
      <c r="FP34" s="44" t="s">
        <v>37</v>
      </c>
      <c r="FR34" s="44" t="s">
        <v>37</v>
      </c>
      <c r="FT34" s="44" t="s">
        <v>37</v>
      </c>
      <c r="FV34" s="44" t="s">
        <v>37</v>
      </c>
      <c r="FX34" s="44" t="s">
        <v>37</v>
      </c>
      <c r="FZ34" s="44" t="s">
        <v>37</v>
      </c>
      <c r="GB34" s="44" t="s">
        <v>37</v>
      </c>
      <c r="GD34" s="44" t="s">
        <v>37</v>
      </c>
      <c r="GF34" s="44" t="s">
        <v>37</v>
      </c>
      <c r="GH34" s="44" t="s">
        <v>37</v>
      </c>
      <c r="GJ34" s="44" t="s">
        <v>37</v>
      </c>
      <c r="GL34" s="44" t="s">
        <v>37</v>
      </c>
      <c r="GN34" s="44" t="s">
        <v>37</v>
      </c>
      <c r="GP34" s="44" t="s">
        <v>37</v>
      </c>
      <c r="GR34" s="44" t="s">
        <v>37</v>
      </c>
      <c r="GT34" s="44" t="s">
        <v>37</v>
      </c>
      <c r="GV34" s="44" t="s">
        <v>37</v>
      </c>
      <c r="GX34" s="44" t="s">
        <v>37</v>
      </c>
      <c r="GZ34" s="44" t="s">
        <v>37</v>
      </c>
      <c r="HB34" s="44" t="s">
        <v>37</v>
      </c>
      <c r="HD34" s="44" t="s">
        <v>37</v>
      </c>
      <c r="HF34" s="44" t="s">
        <v>37</v>
      </c>
      <c r="HG34" s="44">
        <v>177117</v>
      </c>
      <c r="HH34" s="44" t="s">
        <v>37</v>
      </c>
      <c r="HJ34" s="44" t="s">
        <v>37</v>
      </c>
      <c r="HK34" s="44">
        <v>177117</v>
      </c>
      <c r="HL34" s="44" t="s">
        <v>37</v>
      </c>
    </row>
    <row r="35" spans="1:220">
      <c r="A35" s="150" t="s">
        <v>408</v>
      </c>
      <c r="B35" s="54">
        <v>1600</v>
      </c>
      <c r="C35" s="44" t="s">
        <v>66</v>
      </c>
      <c r="D35" s="44" t="s">
        <v>37</v>
      </c>
      <c r="F35" s="44" t="s">
        <v>37</v>
      </c>
      <c r="H35" s="44" t="s">
        <v>37</v>
      </c>
      <c r="J35" s="44" t="s">
        <v>37</v>
      </c>
      <c r="L35" s="48" t="s">
        <v>37</v>
      </c>
      <c r="M35" s="50"/>
      <c r="N35" s="48" t="s">
        <v>37</v>
      </c>
      <c r="O35" s="50"/>
      <c r="P35" s="48" t="s">
        <v>37</v>
      </c>
      <c r="Q35" s="50"/>
      <c r="R35" s="48" t="s">
        <v>37</v>
      </c>
      <c r="S35" s="50"/>
      <c r="T35" s="48" t="s">
        <v>37</v>
      </c>
      <c r="V35" s="44" t="s">
        <v>37</v>
      </c>
      <c r="X35" s="44" t="s">
        <v>37</v>
      </c>
      <c r="Z35" s="44" t="s">
        <v>37</v>
      </c>
      <c r="AB35" s="44" t="s">
        <v>37</v>
      </c>
      <c r="AD35" s="44" t="s">
        <v>37</v>
      </c>
      <c r="AF35" s="44" t="s">
        <v>37</v>
      </c>
      <c r="AH35" s="44" t="s">
        <v>37</v>
      </c>
      <c r="AJ35" s="44" t="s">
        <v>37</v>
      </c>
      <c r="AL35" s="44" t="s">
        <v>37</v>
      </c>
      <c r="AN35" s="44" t="s">
        <v>37</v>
      </c>
      <c r="AP35" s="44" t="s">
        <v>37</v>
      </c>
      <c r="AR35" s="44" t="s">
        <v>37</v>
      </c>
      <c r="AT35" s="44" t="s">
        <v>37</v>
      </c>
      <c r="AV35" s="44" t="s">
        <v>37</v>
      </c>
      <c r="AX35" s="44" t="s">
        <v>37</v>
      </c>
      <c r="AZ35" s="44" t="s">
        <v>37</v>
      </c>
      <c r="BB35" s="44" t="s">
        <v>37</v>
      </c>
      <c r="BD35" s="44" t="s">
        <v>37</v>
      </c>
      <c r="BF35" s="44" t="s">
        <v>37</v>
      </c>
      <c r="BH35" s="44" t="s">
        <v>37</v>
      </c>
      <c r="BJ35" s="44" t="s">
        <v>37</v>
      </c>
      <c r="BL35" s="44" t="s">
        <v>37</v>
      </c>
      <c r="BN35" s="44" t="s">
        <v>37</v>
      </c>
      <c r="BP35" s="44" t="s">
        <v>37</v>
      </c>
      <c r="BR35" s="44" t="s">
        <v>37</v>
      </c>
      <c r="BT35" s="44" t="s">
        <v>37</v>
      </c>
      <c r="BV35" s="44" t="s">
        <v>37</v>
      </c>
      <c r="BX35" s="44" t="s">
        <v>37</v>
      </c>
      <c r="BZ35" s="44" t="s">
        <v>37</v>
      </c>
      <c r="CB35" s="44" t="s">
        <v>37</v>
      </c>
      <c r="CD35" s="44" t="s">
        <v>37</v>
      </c>
      <c r="CF35" s="44" t="s">
        <v>37</v>
      </c>
      <c r="CH35" s="44" t="s">
        <v>37</v>
      </c>
      <c r="CJ35" s="44" t="s">
        <v>37</v>
      </c>
      <c r="CL35" s="44" t="s">
        <v>37</v>
      </c>
      <c r="CN35" s="44" t="s">
        <v>37</v>
      </c>
      <c r="CP35" s="44" t="s">
        <v>37</v>
      </c>
      <c r="CR35" s="44" t="s">
        <v>37</v>
      </c>
      <c r="CT35" s="44" t="s">
        <v>37</v>
      </c>
      <c r="CV35" s="44" t="s">
        <v>37</v>
      </c>
      <c r="CX35" s="44" t="s">
        <v>37</v>
      </c>
      <c r="CZ35" s="44" t="s">
        <v>37</v>
      </c>
      <c r="DB35" s="44" t="s">
        <v>37</v>
      </c>
      <c r="DD35" s="44" t="s">
        <v>37</v>
      </c>
      <c r="DF35" s="44" t="s">
        <v>37</v>
      </c>
      <c r="DH35" s="44" t="s">
        <v>37</v>
      </c>
      <c r="DJ35" s="44" t="s">
        <v>37</v>
      </c>
      <c r="DL35" s="44" t="s">
        <v>37</v>
      </c>
      <c r="DN35" s="44" t="s">
        <v>37</v>
      </c>
      <c r="DP35" s="44" t="s">
        <v>37</v>
      </c>
      <c r="DR35" s="44" t="s">
        <v>37</v>
      </c>
      <c r="DT35" s="44" t="s">
        <v>37</v>
      </c>
      <c r="DV35" s="44" t="s">
        <v>37</v>
      </c>
      <c r="DX35" s="44" t="s">
        <v>37</v>
      </c>
      <c r="DZ35" s="44" t="s">
        <v>37</v>
      </c>
      <c r="EB35" s="44" t="s">
        <v>37</v>
      </c>
      <c r="ED35" s="44" t="s">
        <v>37</v>
      </c>
      <c r="EF35" s="44" t="s">
        <v>37</v>
      </c>
      <c r="EH35" s="44" t="s">
        <v>37</v>
      </c>
      <c r="EJ35" s="44" t="s">
        <v>37</v>
      </c>
      <c r="EL35" s="44" t="s">
        <v>37</v>
      </c>
      <c r="EN35" s="44" t="s">
        <v>37</v>
      </c>
      <c r="EP35" s="44" t="s">
        <v>37</v>
      </c>
      <c r="ER35" s="44" t="s">
        <v>37</v>
      </c>
      <c r="ET35" s="44" t="s">
        <v>37</v>
      </c>
      <c r="EV35" s="44" t="s">
        <v>37</v>
      </c>
      <c r="EX35" s="44" t="s">
        <v>37</v>
      </c>
      <c r="EZ35" s="44" t="s">
        <v>37</v>
      </c>
      <c r="FB35" s="44" t="s">
        <v>37</v>
      </c>
      <c r="FD35" s="44" t="s">
        <v>37</v>
      </c>
      <c r="FF35" s="44" t="s">
        <v>37</v>
      </c>
      <c r="FH35" s="44" t="s">
        <v>37</v>
      </c>
      <c r="FJ35" s="44" t="s">
        <v>37</v>
      </c>
      <c r="FL35" s="44" t="s">
        <v>37</v>
      </c>
      <c r="FN35" s="44" t="s">
        <v>37</v>
      </c>
      <c r="FP35" s="44" t="s">
        <v>37</v>
      </c>
      <c r="FR35" s="44" t="s">
        <v>37</v>
      </c>
      <c r="FT35" s="44" t="s">
        <v>37</v>
      </c>
      <c r="FV35" s="44" t="s">
        <v>37</v>
      </c>
      <c r="FX35" s="44" t="s">
        <v>37</v>
      </c>
      <c r="FZ35" s="44" t="s">
        <v>37</v>
      </c>
      <c r="GB35" s="44" t="s">
        <v>37</v>
      </c>
      <c r="GD35" s="44" t="s">
        <v>37</v>
      </c>
      <c r="GF35" s="44" t="s">
        <v>37</v>
      </c>
      <c r="GH35" s="44" t="s">
        <v>37</v>
      </c>
      <c r="GJ35" s="44" t="s">
        <v>37</v>
      </c>
      <c r="GL35" s="44" t="s">
        <v>37</v>
      </c>
      <c r="GN35" s="44" t="s">
        <v>37</v>
      </c>
      <c r="GP35" s="44" t="s">
        <v>37</v>
      </c>
      <c r="GR35" s="44" t="s">
        <v>37</v>
      </c>
      <c r="GT35" s="44" t="s">
        <v>37</v>
      </c>
      <c r="GV35" s="44" t="s">
        <v>37</v>
      </c>
      <c r="GX35" s="44" t="s">
        <v>37</v>
      </c>
      <c r="GZ35" s="44" t="s">
        <v>37</v>
      </c>
      <c r="HB35" s="44" t="s">
        <v>37</v>
      </c>
      <c r="HD35" s="44" t="s">
        <v>37</v>
      </c>
      <c r="HF35" s="44" t="s">
        <v>37</v>
      </c>
      <c r="HH35" s="44" t="s">
        <v>37</v>
      </c>
      <c r="HJ35" s="44" t="s">
        <v>37</v>
      </c>
      <c r="HL35" s="44" t="s">
        <v>37</v>
      </c>
    </row>
    <row r="36" spans="1:220">
      <c r="A36" s="150" t="s">
        <v>410</v>
      </c>
      <c r="B36" s="44">
        <v>1610</v>
      </c>
      <c r="C36" s="44" t="s">
        <v>67</v>
      </c>
      <c r="D36" s="44" t="s">
        <v>37</v>
      </c>
      <c r="E36" s="44">
        <v>246083</v>
      </c>
      <c r="F36" s="44" t="s">
        <v>37</v>
      </c>
      <c r="G36" s="44">
        <v>1413480</v>
      </c>
      <c r="H36" s="44" t="s">
        <v>37</v>
      </c>
      <c r="I36" s="44">
        <v>30345</v>
      </c>
      <c r="J36" s="44" t="s">
        <v>37</v>
      </c>
      <c r="L36" s="48" t="s">
        <v>37</v>
      </c>
      <c r="M36" s="51">
        <v>852482</v>
      </c>
      <c r="N36" s="48" t="s">
        <v>37</v>
      </c>
      <c r="O36" s="51">
        <v>366676</v>
      </c>
      <c r="P36" s="48" t="s">
        <v>37</v>
      </c>
      <c r="Q36" s="51">
        <v>201824</v>
      </c>
      <c r="R36" s="48" t="s">
        <v>37</v>
      </c>
      <c r="S36" s="51">
        <v>286322</v>
      </c>
      <c r="T36" s="48" t="s">
        <v>37</v>
      </c>
      <c r="U36" s="44">
        <v>873370</v>
      </c>
      <c r="V36" s="44" t="s">
        <v>37</v>
      </c>
      <c r="W36" s="44">
        <v>11557</v>
      </c>
      <c r="X36" s="44" t="s">
        <v>37</v>
      </c>
      <c r="Z36" s="44" t="s">
        <v>37</v>
      </c>
      <c r="AA36" s="44">
        <v>69734</v>
      </c>
      <c r="AB36" s="44" t="s">
        <v>37</v>
      </c>
      <c r="AC36" s="44">
        <v>12316</v>
      </c>
      <c r="AD36" s="44" t="s">
        <v>37</v>
      </c>
      <c r="AE36" s="44">
        <v>24769</v>
      </c>
      <c r="AF36" s="44" t="s">
        <v>37</v>
      </c>
      <c r="AG36" s="44">
        <v>62933</v>
      </c>
      <c r="AH36" s="44" t="s">
        <v>37</v>
      </c>
      <c r="AI36" s="44">
        <v>100630</v>
      </c>
      <c r="AJ36" s="44" t="s">
        <v>37</v>
      </c>
      <c r="AL36" s="44" t="s">
        <v>37</v>
      </c>
      <c r="AM36" s="44">
        <v>1239577</v>
      </c>
      <c r="AN36" s="44" t="s">
        <v>37</v>
      </c>
      <c r="AP36" s="44" t="s">
        <v>37</v>
      </c>
      <c r="AQ36" s="44">
        <v>2238786</v>
      </c>
      <c r="AR36" s="44" t="s">
        <v>37</v>
      </c>
      <c r="AS36" s="44">
        <v>48354</v>
      </c>
      <c r="AT36" s="44" t="s">
        <v>37</v>
      </c>
      <c r="AU36" s="44">
        <v>1844001</v>
      </c>
      <c r="AV36" s="44" t="s">
        <v>37</v>
      </c>
      <c r="AW36" s="44">
        <v>628479</v>
      </c>
      <c r="AX36" s="44" t="s">
        <v>37</v>
      </c>
      <c r="AY36" s="44">
        <v>232350</v>
      </c>
      <c r="AZ36" s="44" t="s">
        <v>37</v>
      </c>
      <c r="BA36" s="44">
        <v>446789</v>
      </c>
      <c r="BB36" s="44" t="s">
        <v>37</v>
      </c>
      <c r="BC36" s="44">
        <v>39</v>
      </c>
      <c r="BD36" s="44" t="s">
        <v>37</v>
      </c>
      <c r="BE36" s="44">
        <v>82123</v>
      </c>
      <c r="BF36" s="44" t="s">
        <v>37</v>
      </c>
      <c r="BG36" s="44">
        <v>39445</v>
      </c>
      <c r="BH36" s="44" t="s">
        <v>37</v>
      </c>
      <c r="BJ36" s="44" t="s">
        <v>37</v>
      </c>
      <c r="BK36" s="44">
        <v>188805</v>
      </c>
      <c r="BL36" s="44" t="s">
        <v>37</v>
      </c>
      <c r="BM36" s="44">
        <v>521901</v>
      </c>
      <c r="BN36" s="44" t="s">
        <v>37</v>
      </c>
      <c r="BP36" s="44" t="s">
        <v>37</v>
      </c>
      <c r="BQ36" s="44">
        <v>40199</v>
      </c>
      <c r="BR36" s="44" t="s">
        <v>37</v>
      </c>
      <c r="BS36" s="44">
        <v>97296</v>
      </c>
      <c r="BT36" s="44" t="s">
        <v>37</v>
      </c>
      <c r="BU36" s="44">
        <v>70674</v>
      </c>
      <c r="BV36" s="44" t="s">
        <v>37</v>
      </c>
      <c r="BX36" s="44" t="s">
        <v>37</v>
      </c>
      <c r="BY36" s="44">
        <v>1477132</v>
      </c>
      <c r="BZ36" s="44" t="s">
        <v>37</v>
      </c>
      <c r="CA36" s="44">
        <v>75687</v>
      </c>
      <c r="CB36" s="44" t="s">
        <v>37</v>
      </c>
      <c r="CD36" s="44" t="s">
        <v>37</v>
      </c>
      <c r="CE36" s="44">
        <v>218188</v>
      </c>
      <c r="CF36" s="44" t="s">
        <v>37</v>
      </c>
      <c r="CG36" s="44">
        <v>132328</v>
      </c>
      <c r="CH36" s="44" t="s">
        <v>37</v>
      </c>
      <c r="CI36" s="44">
        <v>1002764</v>
      </c>
      <c r="CJ36" s="44" t="s">
        <v>37</v>
      </c>
      <c r="CK36" s="44">
        <v>73929</v>
      </c>
      <c r="CL36" s="44" t="s">
        <v>37</v>
      </c>
      <c r="CM36" s="44">
        <v>51994</v>
      </c>
      <c r="CN36" s="44" t="s">
        <v>37</v>
      </c>
      <c r="CO36" s="44">
        <v>9318</v>
      </c>
      <c r="CP36" s="44" t="s">
        <v>37</v>
      </c>
      <c r="CQ36" s="44">
        <v>116700</v>
      </c>
      <c r="CR36" s="44" t="s">
        <v>37</v>
      </c>
      <c r="CS36" s="44">
        <v>589941</v>
      </c>
      <c r="CT36" s="44" t="s">
        <v>37</v>
      </c>
      <c r="CU36" s="44">
        <v>5450673</v>
      </c>
      <c r="CV36" s="44" t="s">
        <v>37</v>
      </c>
      <c r="CW36" s="44">
        <v>471484</v>
      </c>
      <c r="CX36" s="44" t="s">
        <v>37</v>
      </c>
      <c r="CY36" s="44">
        <v>85914</v>
      </c>
      <c r="CZ36" s="44" t="s">
        <v>37</v>
      </c>
      <c r="DA36" s="44">
        <v>169699</v>
      </c>
      <c r="DB36" s="44" t="s">
        <v>37</v>
      </c>
      <c r="DD36" s="44" t="s">
        <v>37</v>
      </c>
      <c r="DE36" s="44">
        <v>144530</v>
      </c>
      <c r="DF36" s="44" t="s">
        <v>37</v>
      </c>
      <c r="DG36" s="44">
        <v>16626</v>
      </c>
      <c r="DH36" s="44" t="s">
        <v>37</v>
      </c>
      <c r="DI36" s="44">
        <v>3925632</v>
      </c>
      <c r="DJ36" s="44" t="s">
        <v>37</v>
      </c>
      <c r="DK36" s="44">
        <v>67003</v>
      </c>
      <c r="DL36" s="44" t="s">
        <v>37</v>
      </c>
      <c r="DM36" s="44">
        <v>1154336</v>
      </c>
      <c r="DN36" s="44" t="s">
        <v>37</v>
      </c>
      <c r="DO36" s="44">
        <v>776698</v>
      </c>
      <c r="DP36" s="44" t="s">
        <v>37</v>
      </c>
      <c r="DQ36" s="44">
        <v>432990</v>
      </c>
      <c r="DR36" s="44" t="s">
        <v>37</v>
      </c>
      <c r="DS36" s="44">
        <v>234124</v>
      </c>
      <c r="DT36" s="44" t="s">
        <v>37</v>
      </c>
      <c r="DU36" s="44">
        <v>31658</v>
      </c>
      <c r="DV36" s="44" t="s">
        <v>37</v>
      </c>
      <c r="DW36" s="44">
        <v>2337800</v>
      </c>
      <c r="DX36" s="44" t="s">
        <v>37</v>
      </c>
      <c r="DY36" s="44">
        <v>642393</v>
      </c>
      <c r="DZ36" s="44" t="s">
        <v>37</v>
      </c>
      <c r="EA36" s="44">
        <v>205793</v>
      </c>
      <c r="EB36" s="44" t="s">
        <v>37</v>
      </c>
      <c r="EC36" s="44">
        <v>256088</v>
      </c>
      <c r="ED36" s="44" t="s">
        <v>37</v>
      </c>
      <c r="EE36" s="44">
        <v>2293609</v>
      </c>
      <c r="EF36" s="44" t="s">
        <v>37</v>
      </c>
      <c r="EG36" s="44">
        <v>28336</v>
      </c>
      <c r="EH36" s="44" t="s">
        <v>37</v>
      </c>
      <c r="EJ36" s="44" t="s">
        <v>37</v>
      </c>
      <c r="EK36" s="44">
        <v>47668</v>
      </c>
      <c r="EL36" s="44" t="s">
        <v>37</v>
      </c>
      <c r="EM36" s="44">
        <v>50276</v>
      </c>
      <c r="EN36" s="44" t="s">
        <v>37</v>
      </c>
      <c r="EO36" s="44">
        <v>12527</v>
      </c>
      <c r="EP36" s="44" t="s">
        <v>37</v>
      </c>
      <c r="ER36" s="44" t="s">
        <v>37</v>
      </c>
      <c r="ES36" s="44">
        <v>153858</v>
      </c>
      <c r="ET36" s="44" t="s">
        <v>37</v>
      </c>
      <c r="EU36" s="44">
        <v>532300</v>
      </c>
      <c r="EV36" s="44" t="s">
        <v>37</v>
      </c>
      <c r="EW36" s="44">
        <v>1184438</v>
      </c>
      <c r="EX36" s="44" t="s">
        <v>37</v>
      </c>
      <c r="EZ36" s="44" t="s">
        <v>37</v>
      </c>
      <c r="FA36" s="44">
        <v>70177</v>
      </c>
      <c r="FB36" s="44" t="s">
        <v>37</v>
      </c>
      <c r="FC36" s="44">
        <v>273553</v>
      </c>
      <c r="FD36" s="44" t="s">
        <v>37</v>
      </c>
      <c r="FE36" s="44">
        <v>183112</v>
      </c>
      <c r="FF36" s="44" t="s">
        <v>37</v>
      </c>
      <c r="FH36" s="44" t="s">
        <v>37</v>
      </c>
      <c r="FI36" s="44">
        <v>1576485</v>
      </c>
      <c r="FJ36" s="44" t="s">
        <v>37</v>
      </c>
      <c r="FK36" s="44">
        <v>1135626</v>
      </c>
      <c r="FL36" s="44" t="s">
        <v>37</v>
      </c>
      <c r="FM36" s="44">
        <v>2203713</v>
      </c>
      <c r="FN36" s="44" t="s">
        <v>37</v>
      </c>
      <c r="FO36" s="44">
        <v>78426</v>
      </c>
      <c r="FP36" s="44" t="s">
        <v>37</v>
      </c>
      <c r="FQ36" s="44">
        <v>438070</v>
      </c>
      <c r="FR36" s="44" t="s">
        <v>37</v>
      </c>
      <c r="FS36" s="44">
        <v>955997</v>
      </c>
      <c r="FT36" s="44" t="s">
        <v>37</v>
      </c>
      <c r="FU36" s="44">
        <v>296238</v>
      </c>
      <c r="FV36" s="44" t="s">
        <v>37</v>
      </c>
      <c r="FW36" s="44">
        <v>305564</v>
      </c>
      <c r="FX36" s="44" t="s">
        <v>37</v>
      </c>
      <c r="FY36" s="44">
        <v>653776</v>
      </c>
      <c r="FZ36" s="44" t="s">
        <v>37</v>
      </c>
      <c r="GA36" s="44">
        <v>732955</v>
      </c>
      <c r="GB36" s="44" t="s">
        <v>37</v>
      </c>
      <c r="GC36" s="44">
        <v>481303</v>
      </c>
      <c r="GD36" s="44" t="s">
        <v>37</v>
      </c>
      <c r="GF36" s="44" t="s">
        <v>37</v>
      </c>
      <c r="GH36" s="44" t="s">
        <v>37</v>
      </c>
      <c r="GJ36" s="44" t="s">
        <v>37</v>
      </c>
      <c r="GK36" s="44">
        <v>365772</v>
      </c>
      <c r="GL36" s="44" t="s">
        <v>37</v>
      </c>
      <c r="GM36" s="44">
        <v>379982</v>
      </c>
      <c r="GN36" s="44" t="s">
        <v>37</v>
      </c>
      <c r="GP36" s="44" t="s">
        <v>37</v>
      </c>
      <c r="GQ36" s="44">
        <v>276492</v>
      </c>
      <c r="GR36" s="44" t="s">
        <v>37</v>
      </c>
      <c r="GS36" s="44">
        <v>80504</v>
      </c>
      <c r="GT36" s="44" t="s">
        <v>37</v>
      </c>
      <c r="GU36" s="44">
        <v>367069</v>
      </c>
      <c r="GV36" s="44" t="s">
        <v>37</v>
      </c>
      <c r="GW36" s="44">
        <v>781941</v>
      </c>
      <c r="GX36" s="44" t="s">
        <v>37</v>
      </c>
      <c r="GY36" s="44">
        <v>1216703</v>
      </c>
      <c r="GZ36" s="44" t="s">
        <v>37</v>
      </c>
      <c r="HA36" s="44">
        <v>1067064</v>
      </c>
      <c r="HB36" s="44" t="s">
        <v>37</v>
      </c>
      <c r="HD36" s="44" t="s">
        <v>37</v>
      </c>
      <c r="HF36" s="44" t="s">
        <v>37</v>
      </c>
      <c r="HG36" s="44">
        <v>50646295</v>
      </c>
      <c r="HH36" s="44" t="s">
        <v>37</v>
      </c>
      <c r="HJ36" s="44" t="s">
        <v>37</v>
      </c>
      <c r="HK36" s="44">
        <v>50646295</v>
      </c>
      <c r="HL36" s="44" t="s">
        <v>37</v>
      </c>
    </row>
    <row r="37" spans="1:220">
      <c r="A37" s="150" t="s">
        <v>410</v>
      </c>
      <c r="B37" s="44">
        <v>1620</v>
      </c>
      <c r="C37" s="44" t="s">
        <v>68</v>
      </c>
      <c r="D37" s="44" t="s">
        <v>37</v>
      </c>
      <c r="E37" s="44">
        <v>953</v>
      </c>
      <c r="F37" s="44" t="s">
        <v>37</v>
      </c>
      <c r="G37" s="44">
        <v>6381</v>
      </c>
      <c r="H37" s="44" t="s">
        <v>37</v>
      </c>
      <c r="J37" s="44" t="s">
        <v>37</v>
      </c>
      <c r="L37" s="48" t="s">
        <v>37</v>
      </c>
      <c r="M37" s="51">
        <v>86755</v>
      </c>
      <c r="N37" s="48" t="s">
        <v>37</v>
      </c>
      <c r="O37" s="51">
        <v>24708</v>
      </c>
      <c r="P37" s="48" t="s">
        <v>37</v>
      </c>
      <c r="Q37" s="50"/>
      <c r="R37" s="48" t="s">
        <v>37</v>
      </c>
      <c r="S37" s="50"/>
      <c r="T37" s="48" t="s">
        <v>37</v>
      </c>
      <c r="U37" s="44">
        <v>4743</v>
      </c>
      <c r="V37" s="44" t="s">
        <v>37</v>
      </c>
      <c r="X37" s="44" t="s">
        <v>37</v>
      </c>
      <c r="Z37" s="44" t="s">
        <v>37</v>
      </c>
      <c r="AA37" s="44">
        <v>11556</v>
      </c>
      <c r="AB37" s="44" t="s">
        <v>37</v>
      </c>
      <c r="AC37" s="44">
        <v>3477</v>
      </c>
      <c r="AD37" s="44" t="s">
        <v>37</v>
      </c>
      <c r="AE37" s="44">
        <v>9875</v>
      </c>
      <c r="AF37" s="44" t="s">
        <v>37</v>
      </c>
      <c r="AG37" s="44">
        <v>2866</v>
      </c>
      <c r="AH37" s="44" t="s">
        <v>37</v>
      </c>
      <c r="AI37" s="44">
        <v>17387</v>
      </c>
      <c r="AJ37" s="44" t="s">
        <v>37</v>
      </c>
      <c r="AL37" s="44" t="s">
        <v>37</v>
      </c>
      <c r="AM37" s="44">
        <v>79818</v>
      </c>
      <c r="AN37" s="44" t="s">
        <v>37</v>
      </c>
      <c r="AP37" s="44" t="s">
        <v>37</v>
      </c>
      <c r="AQ37" s="44">
        <v>42732</v>
      </c>
      <c r="AR37" s="44" t="s">
        <v>37</v>
      </c>
      <c r="AS37" s="44">
        <v>8161</v>
      </c>
      <c r="AT37" s="44" t="s">
        <v>37</v>
      </c>
      <c r="AU37" s="44">
        <v>80564</v>
      </c>
      <c r="AV37" s="44" t="s">
        <v>37</v>
      </c>
      <c r="AW37" s="44">
        <v>18927</v>
      </c>
      <c r="AX37" s="44" t="s">
        <v>37</v>
      </c>
      <c r="AY37" s="44">
        <v>59270</v>
      </c>
      <c r="AZ37" s="44" t="s">
        <v>37</v>
      </c>
      <c r="BA37" s="44">
        <v>2</v>
      </c>
      <c r="BB37" s="44" t="s">
        <v>37</v>
      </c>
      <c r="BD37" s="44" t="s">
        <v>37</v>
      </c>
      <c r="BF37" s="44" t="s">
        <v>37</v>
      </c>
      <c r="BG37" s="44">
        <v>5024</v>
      </c>
      <c r="BH37" s="44" t="s">
        <v>37</v>
      </c>
      <c r="BJ37" s="44" t="s">
        <v>37</v>
      </c>
      <c r="BK37" s="44">
        <v>1000</v>
      </c>
      <c r="BL37" s="44" t="s">
        <v>37</v>
      </c>
      <c r="BM37" s="44">
        <v>28881</v>
      </c>
      <c r="BN37" s="44" t="s">
        <v>37</v>
      </c>
      <c r="BP37" s="44" t="s">
        <v>37</v>
      </c>
      <c r="BR37" s="44" t="s">
        <v>37</v>
      </c>
      <c r="BS37" s="44">
        <v>235</v>
      </c>
      <c r="BT37" s="44" t="s">
        <v>37</v>
      </c>
      <c r="BU37" s="44">
        <v>250</v>
      </c>
      <c r="BV37" s="44" t="s">
        <v>37</v>
      </c>
      <c r="BX37" s="44" t="s">
        <v>37</v>
      </c>
      <c r="BY37" s="44">
        <v>128196</v>
      </c>
      <c r="BZ37" s="44" t="s">
        <v>37</v>
      </c>
      <c r="CB37" s="44" t="s">
        <v>37</v>
      </c>
      <c r="CD37" s="44" t="s">
        <v>37</v>
      </c>
      <c r="CE37" s="44">
        <v>1575</v>
      </c>
      <c r="CF37" s="44" t="s">
        <v>37</v>
      </c>
      <c r="CH37" s="44" t="s">
        <v>37</v>
      </c>
      <c r="CI37" s="44">
        <v>15230</v>
      </c>
      <c r="CJ37" s="44" t="s">
        <v>37</v>
      </c>
      <c r="CK37" s="44">
        <v>869</v>
      </c>
      <c r="CL37" s="44" t="s">
        <v>37</v>
      </c>
      <c r="CN37" s="44" t="s">
        <v>37</v>
      </c>
      <c r="CO37" s="44">
        <v>1258</v>
      </c>
      <c r="CP37" s="44" t="s">
        <v>37</v>
      </c>
      <c r="CQ37" s="44">
        <v>18937</v>
      </c>
      <c r="CR37" s="44" t="s">
        <v>37</v>
      </c>
      <c r="CS37" s="44">
        <v>22260</v>
      </c>
      <c r="CT37" s="44" t="s">
        <v>37</v>
      </c>
      <c r="CU37" s="44">
        <v>342432</v>
      </c>
      <c r="CV37" s="44" t="s">
        <v>37</v>
      </c>
      <c r="CW37" s="44">
        <v>26906</v>
      </c>
      <c r="CX37" s="44" t="s">
        <v>37</v>
      </c>
      <c r="CY37" s="44">
        <v>5244</v>
      </c>
      <c r="CZ37" s="44" t="s">
        <v>37</v>
      </c>
      <c r="DA37" s="44">
        <v>14683</v>
      </c>
      <c r="DB37" s="44" t="s">
        <v>37</v>
      </c>
      <c r="DD37" s="44" t="s">
        <v>37</v>
      </c>
      <c r="DE37" s="44">
        <v>18499</v>
      </c>
      <c r="DF37" s="44" t="s">
        <v>37</v>
      </c>
      <c r="DG37" s="44">
        <v>7722</v>
      </c>
      <c r="DH37" s="44" t="s">
        <v>37</v>
      </c>
      <c r="DI37" s="44">
        <v>28367</v>
      </c>
      <c r="DJ37" s="44" t="s">
        <v>37</v>
      </c>
      <c r="DK37" s="44">
        <v>2570</v>
      </c>
      <c r="DL37" s="44" t="s">
        <v>37</v>
      </c>
      <c r="DM37" s="44">
        <v>154734</v>
      </c>
      <c r="DN37" s="44" t="s">
        <v>37</v>
      </c>
      <c r="DO37" s="44">
        <v>81645</v>
      </c>
      <c r="DP37" s="44" t="s">
        <v>37</v>
      </c>
      <c r="DQ37" s="44">
        <v>291</v>
      </c>
      <c r="DR37" s="44" t="s">
        <v>37</v>
      </c>
      <c r="DS37" s="44">
        <v>1663</v>
      </c>
      <c r="DT37" s="44" t="s">
        <v>37</v>
      </c>
      <c r="DU37" s="44">
        <v>77</v>
      </c>
      <c r="DV37" s="44" t="s">
        <v>37</v>
      </c>
      <c r="DW37" s="44">
        <v>199816</v>
      </c>
      <c r="DX37" s="44" t="s">
        <v>37</v>
      </c>
      <c r="DY37" s="44">
        <v>66419</v>
      </c>
      <c r="DZ37" s="44" t="s">
        <v>37</v>
      </c>
      <c r="EA37" s="44">
        <v>5050</v>
      </c>
      <c r="EB37" s="44" t="s">
        <v>37</v>
      </c>
      <c r="EC37" s="44">
        <v>2974</v>
      </c>
      <c r="ED37" s="44" t="s">
        <v>37</v>
      </c>
      <c r="EE37" s="44">
        <v>117514</v>
      </c>
      <c r="EF37" s="44" t="s">
        <v>37</v>
      </c>
      <c r="EG37" s="44">
        <v>7293</v>
      </c>
      <c r="EH37" s="44" t="s">
        <v>37</v>
      </c>
      <c r="EJ37" s="44" t="s">
        <v>37</v>
      </c>
      <c r="EK37" s="44">
        <v>14032</v>
      </c>
      <c r="EL37" s="44" t="s">
        <v>37</v>
      </c>
      <c r="EM37" s="44">
        <v>1145</v>
      </c>
      <c r="EN37" s="44" t="s">
        <v>37</v>
      </c>
      <c r="EP37" s="44" t="s">
        <v>37</v>
      </c>
      <c r="ER37" s="44" t="s">
        <v>37</v>
      </c>
      <c r="ES37" s="44">
        <v>93</v>
      </c>
      <c r="ET37" s="44" t="s">
        <v>37</v>
      </c>
      <c r="EU37" s="44">
        <v>21885</v>
      </c>
      <c r="EV37" s="44" t="s">
        <v>37</v>
      </c>
      <c r="EW37" s="44">
        <v>13501</v>
      </c>
      <c r="EX37" s="44" t="s">
        <v>37</v>
      </c>
      <c r="EZ37" s="44" t="s">
        <v>37</v>
      </c>
      <c r="FA37" s="44">
        <v>12746</v>
      </c>
      <c r="FB37" s="44" t="s">
        <v>37</v>
      </c>
      <c r="FC37" s="44">
        <v>10695</v>
      </c>
      <c r="FD37" s="44" t="s">
        <v>37</v>
      </c>
      <c r="FE37" s="44">
        <v>23237</v>
      </c>
      <c r="FF37" s="44" t="s">
        <v>37</v>
      </c>
      <c r="FH37" s="44" t="s">
        <v>37</v>
      </c>
      <c r="FI37" s="44">
        <v>232536</v>
      </c>
      <c r="FJ37" s="44" t="s">
        <v>37</v>
      </c>
      <c r="FK37" s="44">
        <v>9107</v>
      </c>
      <c r="FL37" s="44" t="s">
        <v>37</v>
      </c>
      <c r="FM37" s="44">
        <v>173475</v>
      </c>
      <c r="FN37" s="44" t="s">
        <v>37</v>
      </c>
      <c r="FO37" s="44">
        <v>86369</v>
      </c>
      <c r="FP37" s="44" t="s">
        <v>37</v>
      </c>
      <c r="FQ37" s="44">
        <v>1314</v>
      </c>
      <c r="FR37" s="44" t="s">
        <v>37</v>
      </c>
      <c r="FS37" s="44">
        <v>88332</v>
      </c>
      <c r="FT37" s="44" t="s">
        <v>37</v>
      </c>
      <c r="FV37" s="44" t="s">
        <v>37</v>
      </c>
      <c r="FW37" s="44">
        <v>23425</v>
      </c>
      <c r="FX37" s="44" t="s">
        <v>37</v>
      </c>
      <c r="FY37" s="44">
        <v>53962</v>
      </c>
      <c r="FZ37" s="44" t="s">
        <v>37</v>
      </c>
      <c r="GA37" s="44">
        <v>54777</v>
      </c>
      <c r="GB37" s="44" t="s">
        <v>37</v>
      </c>
      <c r="GD37" s="44" t="s">
        <v>37</v>
      </c>
      <c r="GF37" s="44" t="s">
        <v>37</v>
      </c>
      <c r="GH37" s="44" t="s">
        <v>37</v>
      </c>
      <c r="GJ37" s="44" t="s">
        <v>37</v>
      </c>
      <c r="GK37" s="44">
        <v>224</v>
      </c>
      <c r="GL37" s="44" t="s">
        <v>37</v>
      </c>
      <c r="GN37" s="44" t="s">
        <v>37</v>
      </c>
      <c r="GP37" s="44" t="s">
        <v>37</v>
      </c>
      <c r="GQ37" s="44">
        <v>12991</v>
      </c>
      <c r="GR37" s="44" t="s">
        <v>37</v>
      </c>
      <c r="GS37" s="44">
        <v>9281</v>
      </c>
      <c r="GT37" s="44" t="s">
        <v>37</v>
      </c>
      <c r="GU37" s="44">
        <v>22029</v>
      </c>
      <c r="GV37" s="44" t="s">
        <v>37</v>
      </c>
      <c r="GW37" s="44">
        <v>39243</v>
      </c>
      <c r="GX37" s="44" t="s">
        <v>37</v>
      </c>
      <c r="GY37" s="44">
        <v>283905</v>
      </c>
      <c r="GZ37" s="44" t="s">
        <v>37</v>
      </c>
      <c r="HA37" s="44">
        <v>42476</v>
      </c>
      <c r="HB37" s="44" t="s">
        <v>37</v>
      </c>
      <c r="HD37" s="44" t="s">
        <v>37</v>
      </c>
      <c r="HF37" s="44" t="s">
        <v>37</v>
      </c>
      <c r="HG37" s="44">
        <v>2996569</v>
      </c>
      <c r="HH37" s="44" t="s">
        <v>37</v>
      </c>
      <c r="HJ37" s="44" t="s">
        <v>37</v>
      </c>
      <c r="HK37" s="44">
        <v>2996569</v>
      </c>
      <c r="HL37" s="44" t="s">
        <v>37</v>
      </c>
    </row>
    <row r="38" spans="1:220">
      <c r="A38" s="150" t="s">
        <v>410</v>
      </c>
      <c r="B38" s="44">
        <v>1630</v>
      </c>
      <c r="C38" s="44" t="s">
        <v>69</v>
      </c>
      <c r="D38" s="44" t="s">
        <v>37</v>
      </c>
      <c r="E38" s="44">
        <v>39142</v>
      </c>
      <c r="F38" s="44" t="s">
        <v>37</v>
      </c>
      <c r="G38" s="44">
        <v>161805</v>
      </c>
      <c r="H38" s="44" t="s">
        <v>37</v>
      </c>
      <c r="I38" s="44">
        <v>20436</v>
      </c>
      <c r="J38" s="44" t="s">
        <v>37</v>
      </c>
      <c r="L38" s="48" t="s">
        <v>37</v>
      </c>
      <c r="M38" s="51">
        <v>614736</v>
      </c>
      <c r="N38" s="48" t="s">
        <v>37</v>
      </c>
      <c r="O38" s="51">
        <v>114919</v>
      </c>
      <c r="P38" s="48" t="s">
        <v>37</v>
      </c>
      <c r="Q38" s="51">
        <v>156186</v>
      </c>
      <c r="R38" s="48" t="s">
        <v>37</v>
      </c>
      <c r="S38" s="51">
        <v>91170</v>
      </c>
      <c r="T38" s="48" t="s">
        <v>37</v>
      </c>
      <c r="U38" s="44">
        <v>437833</v>
      </c>
      <c r="V38" s="44" t="s">
        <v>37</v>
      </c>
      <c r="X38" s="44" t="s">
        <v>37</v>
      </c>
      <c r="Z38" s="44" t="s">
        <v>37</v>
      </c>
      <c r="AA38" s="44">
        <v>91768</v>
      </c>
      <c r="AB38" s="44" t="s">
        <v>37</v>
      </c>
      <c r="AC38" s="44">
        <v>27950</v>
      </c>
      <c r="AD38" s="44" t="s">
        <v>37</v>
      </c>
      <c r="AE38" s="44">
        <v>15288</v>
      </c>
      <c r="AF38" s="44" t="s">
        <v>37</v>
      </c>
      <c r="AG38" s="44">
        <v>475</v>
      </c>
      <c r="AH38" s="44" t="s">
        <v>37</v>
      </c>
      <c r="AI38" s="44">
        <v>74594</v>
      </c>
      <c r="AJ38" s="44" t="s">
        <v>37</v>
      </c>
      <c r="AL38" s="44" t="s">
        <v>37</v>
      </c>
      <c r="AM38" s="44">
        <v>537023</v>
      </c>
      <c r="AN38" s="44" t="s">
        <v>37</v>
      </c>
      <c r="AP38" s="44" t="s">
        <v>37</v>
      </c>
      <c r="AQ38" s="44">
        <v>399631</v>
      </c>
      <c r="AR38" s="44" t="s">
        <v>37</v>
      </c>
      <c r="AS38" s="44">
        <v>47168</v>
      </c>
      <c r="AT38" s="44" t="s">
        <v>37</v>
      </c>
      <c r="AU38" s="44">
        <v>3296713</v>
      </c>
      <c r="AV38" s="44" t="s">
        <v>37</v>
      </c>
      <c r="AW38" s="44">
        <v>307255</v>
      </c>
      <c r="AX38" s="44" t="s">
        <v>37</v>
      </c>
      <c r="AY38" s="44">
        <v>49626</v>
      </c>
      <c r="AZ38" s="44" t="s">
        <v>37</v>
      </c>
      <c r="BA38" s="44">
        <v>102661</v>
      </c>
      <c r="BB38" s="44" t="s">
        <v>37</v>
      </c>
      <c r="BC38" s="44">
        <v>15349</v>
      </c>
      <c r="BD38" s="44" t="s">
        <v>37</v>
      </c>
      <c r="BE38" s="44">
        <v>69727</v>
      </c>
      <c r="BF38" s="44" t="s">
        <v>37</v>
      </c>
      <c r="BG38" s="44">
        <v>150732</v>
      </c>
      <c r="BH38" s="44" t="s">
        <v>37</v>
      </c>
      <c r="BJ38" s="44" t="s">
        <v>37</v>
      </c>
      <c r="BK38" s="44">
        <v>88032</v>
      </c>
      <c r="BL38" s="44" t="s">
        <v>37</v>
      </c>
      <c r="BM38" s="44">
        <v>96330</v>
      </c>
      <c r="BN38" s="44" t="s">
        <v>37</v>
      </c>
      <c r="BP38" s="44" t="s">
        <v>37</v>
      </c>
      <c r="BQ38" s="44">
        <v>16053</v>
      </c>
      <c r="BR38" s="44" t="s">
        <v>37</v>
      </c>
      <c r="BS38" s="44">
        <v>51708</v>
      </c>
      <c r="BT38" s="44" t="s">
        <v>37</v>
      </c>
      <c r="BU38" s="44">
        <v>874</v>
      </c>
      <c r="BV38" s="44" t="s">
        <v>37</v>
      </c>
      <c r="BX38" s="44" t="s">
        <v>37</v>
      </c>
      <c r="BY38" s="44">
        <v>1106909</v>
      </c>
      <c r="BZ38" s="44" t="s">
        <v>37</v>
      </c>
      <c r="CA38" s="44">
        <v>56477</v>
      </c>
      <c r="CB38" s="44" t="s">
        <v>37</v>
      </c>
      <c r="CD38" s="44" t="s">
        <v>37</v>
      </c>
      <c r="CE38" s="44">
        <v>172122</v>
      </c>
      <c r="CF38" s="44" t="s">
        <v>37</v>
      </c>
      <c r="CG38" s="44">
        <v>68701</v>
      </c>
      <c r="CH38" s="44" t="s">
        <v>37</v>
      </c>
      <c r="CI38" s="44">
        <v>556005</v>
      </c>
      <c r="CJ38" s="44" t="s">
        <v>37</v>
      </c>
      <c r="CK38" s="44">
        <v>4646</v>
      </c>
      <c r="CL38" s="44" t="s">
        <v>37</v>
      </c>
      <c r="CM38" s="44">
        <v>30763</v>
      </c>
      <c r="CN38" s="44" t="s">
        <v>37</v>
      </c>
      <c r="CO38" s="44">
        <v>26775</v>
      </c>
      <c r="CP38" s="44" t="s">
        <v>37</v>
      </c>
      <c r="CQ38" s="44">
        <v>72411</v>
      </c>
      <c r="CR38" s="44" t="s">
        <v>37</v>
      </c>
      <c r="CS38" s="44">
        <v>260941</v>
      </c>
      <c r="CT38" s="44" t="s">
        <v>37</v>
      </c>
      <c r="CU38" s="44">
        <v>5214333</v>
      </c>
      <c r="CV38" s="44" t="s">
        <v>37</v>
      </c>
      <c r="CW38" s="44">
        <v>600750</v>
      </c>
      <c r="CX38" s="44" t="s">
        <v>37</v>
      </c>
      <c r="CY38" s="44">
        <v>51740</v>
      </c>
      <c r="CZ38" s="44" t="s">
        <v>37</v>
      </c>
      <c r="DA38" s="44">
        <v>25847</v>
      </c>
      <c r="DB38" s="44" t="s">
        <v>37</v>
      </c>
      <c r="DD38" s="44" t="s">
        <v>37</v>
      </c>
      <c r="DE38" s="44">
        <v>41896</v>
      </c>
      <c r="DF38" s="44" t="s">
        <v>37</v>
      </c>
      <c r="DG38" s="44">
        <v>2269</v>
      </c>
      <c r="DH38" s="44" t="s">
        <v>37</v>
      </c>
      <c r="DI38" s="44">
        <v>1379077</v>
      </c>
      <c r="DJ38" s="44" t="s">
        <v>37</v>
      </c>
      <c r="DK38" s="44">
        <v>7482</v>
      </c>
      <c r="DL38" s="44" t="s">
        <v>37</v>
      </c>
      <c r="DM38" s="44">
        <v>173723</v>
      </c>
      <c r="DN38" s="44" t="s">
        <v>37</v>
      </c>
      <c r="DO38" s="44">
        <v>354227</v>
      </c>
      <c r="DP38" s="44" t="s">
        <v>37</v>
      </c>
      <c r="DQ38" s="44">
        <v>118897</v>
      </c>
      <c r="DR38" s="44" t="s">
        <v>37</v>
      </c>
      <c r="DS38" s="44">
        <v>88300</v>
      </c>
      <c r="DT38" s="44" t="s">
        <v>37</v>
      </c>
      <c r="DU38" s="44">
        <v>25014</v>
      </c>
      <c r="DV38" s="44" t="s">
        <v>37</v>
      </c>
      <c r="DW38" s="44">
        <v>2463539</v>
      </c>
      <c r="DX38" s="44" t="s">
        <v>37</v>
      </c>
      <c r="DY38" s="44">
        <v>232856</v>
      </c>
      <c r="DZ38" s="44" t="s">
        <v>37</v>
      </c>
      <c r="EA38" s="44">
        <v>81663</v>
      </c>
      <c r="EB38" s="44" t="s">
        <v>37</v>
      </c>
      <c r="EC38" s="44">
        <v>13529</v>
      </c>
      <c r="ED38" s="44" t="s">
        <v>37</v>
      </c>
      <c r="EE38" s="44">
        <v>1935871</v>
      </c>
      <c r="EF38" s="44" t="s">
        <v>37</v>
      </c>
      <c r="EG38" s="44">
        <v>2190</v>
      </c>
      <c r="EH38" s="44" t="s">
        <v>37</v>
      </c>
      <c r="EJ38" s="44" t="s">
        <v>37</v>
      </c>
      <c r="EK38" s="44">
        <v>44455</v>
      </c>
      <c r="EL38" s="44" t="s">
        <v>37</v>
      </c>
      <c r="EM38" s="44">
        <v>27624</v>
      </c>
      <c r="EN38" s="44" t="s">
        <v>37</v>
      </c>
      <c r="EP38" s="44" t="s">
        <v>37</v>
      </c>
      <c r="ER38" s="44" t="s">
        <v>37</v>
      </c>
      <c r="ES38" s="44">
        <v>41249</v>
      </c>
      <c r="ET38" s="44" t="s">
        <v>37</v>
      </c>
      <c r="EU38" s="44">
        <v>250718</v>
      </c>
      <c r="EV38" s="44" t="s">
        <v>37</v>
      </c>
      <c r="EW38" s="44">
        <v>200255</v>
      </c>
      <c r="EX38" s="44" t="s">
        <v>37</v>
      </c>
      <c r="EZ38" s="44" t="s">
        <v>37</v>
      </c>
      <c r="FA38" s="44">
        <v>23878</v>
      </c>
      <c r="FB38" s="44" t="s">
        <v>37</v>
      </c>
      <c r="FC38" s="44">
        <v>31409</v>
      </c>
      <c r="FD38" s="44" t="s">
        <v>37</v>
      </c>
      <c r="FE38" s="44">
        <v>104242</v>
      </c>
      <c r="FF38" s="44" t="s">
        <v>37</v>
      </c>
      <c r="FH38" s="44" t="s">
        <v>37</v>
      </c>
      <c r="FI38" s="44">
        <v>310314</v>
      </c>
      <c r="FJ38" s="44" t="s">
        <v>37</v>
      </c>
      <c r="FK38" s="44">
        <v>565404</v>
      </c>
      <c r="FL38" s="44" t="s">
        <v>37</v>
      </c>
      <c r="FM38" s="44">
        <v>277437</v>
      </c>
      <c r="FN38" s="44" t="s">
        <v>37</v>
      </c>
      <c r="FO38" s="44">
        <v>64644</v>
      </c>
      <c r="FP38" s="44" t="s">
        <v>37</v>
      </c>
      <c r="FQ38" s="44">
        <v>260928</v>
      </c>
      <c r="FR38" s="44" t="s">
        <v>37</v>
      </c>
      <c r="FS38" s="44">
        <v>275690</v>
      </c>
      <c r="FT38" s="44" t="s">
        <v>37</v>
      </c>
      <c r="FU38" s="44">
        <v>108205</v>
      </c>
      <c r="FV38" s="44" t="s">
        <v>37</v>
      </c>
      <c r="FW38" s="44">
        <v>40571</v>
      </c>
      <c r="FX38" s="44" t="s">
        <v>37</v>
      </c>
      <c r="FY38" s="44">
        <v>376169</v>
      </c>
      <c r="FZ38" s="44" t="s">
        <v>37</v>
      </c>
      <c r="GA38" s="44">
        <v>433053</v>
      </c>
      <c r="GB38" s="44" t="s">
        <v>37</v>
      </c>
      <c r="GD38" s="44" t="s">
        <v>37</v>
      </c>
      <c r="GF38" s="44" t="s">
        <v>37</v>
      </c>
      <c r="GH38" s="44" t="s">
        <v>37</v>
      </c>
      <c r="GJ38" s="44" t="s">
        <v>37</v>
      </c>
      <c r="GK38" s="44">
        <v>273036</v>
      </c>
      <c r="GL38" s="44" t="s">
        <v>37</v>
      </c>
      <c r="GM38" s="44">
        <v>490225</v>
      </c>
      <c r="GN38" s="44" t="s">
        <v>37</v>
      </c>
      <c r="GP38" s="44" t="s">
        <v>37</v>
      </c>
      <c r="GQ38" s="44">
        <v>133041</v>
      </c>
      <c r="GR38" s="44" t="s">
        <v>37</v>
      </c>
      <c r="GS38" s="44">
        <v>33866</v>
      </c>
      <c r="GT38" s="44" t="s">
        <v>37</v>
      </c>
      <c r="GU38" s="44">
        <v>347649</v>
      </c>
      <c r="GV38" s="44" t="s">
        <v>37</v>
      </c>
      <c r="GW38" s="44">
        <v>399735</v>
      </c>
      <c r="GX38" s="44" t="s">
        <v>37</v>
      </c>
      <c r="GY38" s="44">
        <v>515229</v>
      </c>
      <c r="GZ38" s="44" t="s">
        <v>37</v>
      </c>
      <c r="HA38" s="44">
        <v>685028</v>
      </c>
      <c r="HB38" s="44" t="s">
        <v>37</v>
      </c>
      <c r="HD38" s="44" t="s">
        <v>37</v>
      </c>
      <c r="HF38" s="44" t="s">
        <v>37</v>
      </c>
      <c r="HG38" s="44">
        <v>28558191</v>
      </c>
      <c r="HH38" s="44" t="s">
        <v>37</v>
      </c>
      <c r="HJ38" s="44" t="s">
        <v>37</v>
      </c>
      <c r="HK38" s="44">
        <v>28558191</v>
      </c>
      <c r="HL38" s="44" t="s">
        <v>37</v>
      </c>
    </row>
    <row r="39" spans="1:220">
      <c r="A39" s="150" t="s">
        <v>410</v>
      </c>
      <c r="B39" s="44">
        <v>1640</v>
      </c>
      <c r="C39" s="44" t="s">
        <v>70</v>
      </c>
      <c r="D39" s="44" t="s">
        <v>37</v>
      </c>
      <c r="E39" s="44">
        <v>58681</v>
      </c>
      <c r="F39" s="44" t="s">
        <v>37</v>
      </c>
      <c r="G39" s="44">
        <v>240995</v>
      </c>
      <c r="H39" s="44" t="s">
        <v>37</v>
      </c>
      <c r="I39" s="44">
        <v>40720</v>
      </c>
      <c r="J39" s="44" t="s">
        <v>37</v>
      </c>
      <c r="L39" s="48" t="s">
        <v>37</v>
      </c>
      <c r="M39" s="51">
        <v>53286</v>
      </c>
      <c r="N39" s="48" t="s">
        <v>37</v>
      </c>
      <c r="O39" s="51">
        <v>49161</v>
      </c>
      <c r="P39" s="48" t="s">
        <v>37</v>
      </c>
      <c r="Q39" s="51">
        <v>50977</v>
      </c>
      <c r="R39" s="48" t="s">
        <v>37</v>
      </c>
      <c r="S39" s="51">
        <v>36317</v>
      </c>
      <c r="T39" s="48" t="s">
        <v>37</v>
      </c>
      <c r="U39" s="44">
        <v>144626</v>
      </c>
      <c r="V39" s="44" t="s">
        <v>37</v>
      </c>
      <c r="X39" s="44" t="s">
        <v>37</v>
      </c>
      <c r="Z39" s="44" t="s">
        <v>37</v>
      </c>
      <c r="AA39" s="44">
        <v>13859</v>
      </c>
      <c r="AB39" s="44" t="s">
        <v>37</v>
      </c>
      <c r="AC39" s="44">
        <v>16079</v>
      </c>
      <c r="AD39" s="44" t="s">
        <v>37</v>
      </c>
      <c r="AE39" s="44">
        <v>25639</v>
      </c>
      <c r="AF39" s="44" t="s">
        <v>37</v>
      </c>
      <c r="AG39" s="44">
        <v>17763</v>
      </c>
      <c r="AH39" s="44" t="s">
        <v>37</v>
      </c>
      <c r="AI39" s="44">
        <v>36528</v>
      </c>
      <c r="AJ39" s="44" t="s">
        <v>37</v>
      </c>
      <c r="AL39" s="44" t="s">
        <v>37</v>
      </c>
      <c r="AM39" s="44">
        <v>98847</v>
      </c>
      <c r="AN39" s="44" t="s">
        <v>37</v>
      </c>
      <c r="AP39" s="44" t="s">
        <v>37</v>
      </c>
      <c r="AQ39" s="44">
        <v>252145</v>
      </c>
      <c r="AR39" s="44" t="s">
        <v>37</v>
      </c>
      <c r="AS39" s="44">
        <v>19872</v>
      </c>
      <c r="AT39" s="44" t="s">
        <v>37</v>
      </c>
      <c r="AU39" s="44">
        <v>257485</v>
      </c>
      <c r="AV39" s="44" t="s">
        <v>37</v>
      </c>
      <c r="AW39" s="44">
        <v>159550</v>
      </c>
      <c r="AX39" s="44" t="s">
        <v>37</v>
      </c>
      <c r="AY39" s="44">
        <v>60745</v>
      </c>
      <c r="AZ39" s="44" t="s">
        <v>37</v>
      </c>
      <c r="BA39" s="44">
        <v>100929</v>
      </c>
      <c r="BB39" s="44" t="s">
        <v>37</v>
      </c>
      <c r="BC39" s="44">
        <v>9964</v>
      </c>
      <c r="BD39" s="44" t="s">
        <v>37</v>
      </c>
      <c r="BE39" s="44">
        <v>49068</v>
      </c>
      <c r="BF39" s="44" t="s">
        <v>37</v>
      </c>
      <c r="BG39" s="44">
        <v>4464</v>
      </c>
      <c r="BH39" s="44" t="s">
        <v>37</v>
      </c>
      <c r="BJ39" s="44" t="s">
        <v>37</v>
      </c>
      <c r="BK39" s="44">
        <v>80694</v>
      </c>
      <c r="BL39" s="44" t="s">
        <v>37</v>
      </c>
      <c r="BM39" s="44">
        <v>120792</v>
      </c>
      <c r="BN39" s="44" t="s">
        <v>37</v>
      </c>
      <c r="BP39" s="44" t="s">
        <v>37</v>
      </c>
      <c r="BQ39" s="44">
        <v>25030</v>
      </c>
      <c r="BR39" s="44" t="s">
        <v>37</v>
      </c>
      <c r="BS39" s="44">
        <v>52554</v>
      </c>
      <c r="BT39" s="44" t="s">
        <v>37</v>
      </c>
      <c r="BU39" s="44">
        <v>16560</v>
      </c>
      <c r="BV39" s="44" t="s">
        <v>37</v>
      </c>
      <c r="BX39" s="44" t="s">
        <v>37</v>
      </c>
      <c r="BY39" s="44">
        <v>84307</v>
      </c>
      <c r="BZ39" s="44" t="s">
        <v>37</v>
      </c>
      <c r="CA39" s="44">
        <v>45033</v>
      </c>
      <c r="CB39" s="44" t="s">
        <v>37</v>
      </c>
      <c r="CD39" s="44" t="s">
        <v>37</v>
      </c>
      <c r="CE39" s="44">
        <v>63217</v>
      </c>
      <c r="CF39" s="44" t="s">
        <v>37</v>
      </c>
      <c r="CG39" s="44">
        <v>71395</v>
      </c>
      <c r="CH39" s="44" t="s">
        <v>37</v>
      </c>
      <c r="CI39" s="44">
        <v>243331</v>
      </c>
      <c r="CJ39" s="44" t="s">
        <v>37</v>
      </c>
      <c r="CK39" s="44">
        <v>15392</v>
      </c>
      <c r="CL39" s="44" t="s">
        <v>37</v>
      </c>
      <c r="CM39" s="44">
        <v>33589</v>
      </c>
      <c r="CN39" s="44" t="s">
        <v>37</v>
      </c>
      <c r="CO39" s="44">
        <v>7361</v>
      </c>
      <c r="CP39" s="44" t="s">
        <v>37</v>
      </c>
      <c r="CQ39" s="44">
        <v>20628</v>
      </c>
      <c r="CR39" s="44" t="s">
        <v>37</v>
      </c>
      <c r="CS39" s="44">
        <v>139036</v>
      </c>
      <c r="CT39" s="44" t="s">
        <v>37</v>
      </c>
      <c r="CU39" s="44">
        <v>655456</v>
      </c>
      <c r="CV39" s="44" t="s">
        <v>37</v>
      </c>
      <c r="CW39" s="44">
        <v>96833</v>
      </c>
      <c r="CX39" s="44" t="s">
        <v>37</v>
      </c>
      <c r="CY39" s="44">
        <v>14979</v>
      </c>
      <c r="CZ39" s="44" t="s">
        <v>37</v>
      </c>
      <c r="DA39" s="44">
        <v>22311</v>
      </c>
      <c r="DB39" s="44" t="s">
        <v>37</v>
      </c>
      <c r="DD39" s="44" t="s">
        <v>37</v>
      </c>
      <c r="DE39" s="44">
        <v>47637</v>
      </c>
      <c r="DF39" s="44" t="s">
        <v>37</v>
      </c>
      <c r="DG39" s="44">
        <v>21611</v>
      </c>
      <c r="DH39" s="44" t="s">
        <v>37</v>
      </c>
      <c r="DI39" s="44">
        <v>422376</v>
      </c>
      <c r="DJ39" s="44" t="s">
        <v>37</v>
      </c>
      <c r="DK39" s="44">
        <v>14777</v>
      </c>
      <c r="DL39" s="44" t="s">
        <v>37</v>
      </c>
      <c r="DM39" s="44">
        <v>165170</v>
      </c>
      <c r="DN39" s="44" t="s">
        <v>37</v>
      </c>
      <c r="DO39" s="44">
        <v>106614</v>
      </c>
      <c r="DP39" s="44" t="s">
        <v>37</v>
      </c>
      <c r="DQ39" s="44">
        <v>73788</v>
      </c>
      <c r="DR39" s="44" t="s">
        <v>37</v>
      </c>
      <c r="DS39" s="44">
        <v>71074</v>
      </c>
      <c r="DT39" s="44" t="s">
        <v>37</v>
      </c>
      <c r="DU39" s="44">
        <v>24029</v>
      </c>
      <c r="DV39" s="44" t="s">
        <v>37</v>
      </c>
      <c r="DW39" s="44">
        <v>276763</v>
      </c>
      <c r="DX39" s="44" t="s">
        <v>37</v>
      </c>
      <c r="DY39" s="44">
        <v>111699</v>
      </c>
      <c r="DZ39" s="44" t="s">
        <v>37</v>
      </c>
      <c r="EA39" s="44">
        <v>32955</v>
      </c>
      <c r="EB39" s="44" t="s">
        <v>37</v>
      </c>
      <c r="EC39" s="44">
        <v>47293</v>
      </c>
      <c r="ED39" s="44" t="s">
        <v>37</v>
      </c>
      <c r="EE39" s="44">
        <v>181136</v>
      </c>
      <c r="EF39" s="44" t="s">
        <v>37</v>
      </c>
      <c r="EG39" s="44">
        <v>11792</v>
      </c>
      <c r="EH39" s="44" t="s">
        <v>37</v>
      </c>
      <c r="EJ39" s="44" t="s">
        <v>37</v>
      </c>
      <c r="EK39" s="44">
        <v>31004</v>
      </c>
      <c r="EL39" s="44" t="s">
        <v>37</v>
      </c>
      <c r="EM39" s="44">
        <v>35322</v>
      </c>
      <c r="EN39" s="44" t="s">
        <v>37</v>
      </c>
      <c r="EO39" s="44">
        <v>9726</v>
      </c>
      <c r="EP39" s="44" t="s">
        <v>37</v>
      </c>
      <c r="ER39" s="44" t="s">
        <v>37</v>
      </c>
      <c r="ES39" s="44">
        <v>45277</v>
      </c>
      <c r="ET39" s="44" t="s">
        <v>37</v>
      </c>
      <c r="EU39" s="44">
        <v>106335</v>
      </c>
      <c r="EV39" s="44" t="s">
        <v>37</v>
      </c>
      <c r="EW39" s="44">
        <v>147078</v>
      </c>
      <c r="EX39" s="44" t="s">
        <v>37</v>
      </c>
      <c r="EZ39" s="44" t="s">
        <v>37</v>
      </c>
      <c r="FA39" s="44">
        <v>33327</v>
      </c>
      <c r="FB39" s="44" t="s">
        <v>37</v>
      </c>
      <c r="FC39" s="44">
        <v>61989</v>
      </c>
      <c r="FD39" s="44" t="s">
        <v>37</v>
      </c>
      <c r="FE39" s="44">
        <v>144208</v>
      </c>
      <c r="FF39" s="44" t="s">
        <v>37</v>
      </c>
      <c r="FH39" s="44" t="s">
        <v>37</v>
      </c>
      <c r="FI39" s="44">
        <v>142647</v>
      </c>
      <c r="FJ39" s="44" t="s">
        <v>37</v>
      </c>
      <c r="FK39" s="44">
        <v>172337</v>
      </c>
      <c r="FL39" s="44" t="s">
        <v>37</v>
      </c>
      <c r="FM39" s="44">
        <v>351935</v>
      </c>
      <c r="FN39" s="44" t="s">
        <v>37</v>
      </c>
      <c r="FO39" s="44">
        <v>48275</v>
      </c>
      <c r="FP39" s="44" t="s">
        <v>37</v>
      </c>
      <c r="FQ39" s="44">
        <v>56555</v>
      </c>
      <c r="FR39" s="44" t="s">
        <v>37</v>
      </c>
      <c r="FS39" s="44">
        <v>103133</v>
      </c>
      <c r="FT39" s="44" t="s">
        <v>37</v>
      </c>
      <c r="FU39" s="44">
        <v>38948</v>
      </c>
      <c r="FV39" s="44" t="s">
        <v>37</v>
      </c>
      <c r="FW39" s="44">
        <v>50452</v>
      </c>
      <c r="FX39" s="44" t="s">
        <v>37</v>
      </c>
      <c r="FY39" s="44">
        <v>71266</v>
      </c>
      <c r="FZ39" s="44" t="s">
        <v>37</v>
      </c>
      <c r="GA39" s="44">
        <v>107062</v>
      </c>
      <c r="GB39" s="44" t="s">
        <v>37</v>
      </c>
      <c r="GC39" s="44">
        <v>126637</v>
      </c>
      <c r="GD39" s="44" t="s">
        <v>37</v>
      </c>
      <c r="GF39" s="44" t="s">
        <v>37</v>
      </c>
      <c r="GH39" s="44" t="s">
        <v>37</v>
      </c>
      <c r="GJ39" s="44" t="s">
        <v>37</v>
      </c>
      <c r="GK39" s="44">
        <v>110134</v>
      </c>
      <c r="GL39" s="44" t="s">
        <v>37</v>
      </c>
      <c r="GM39" s="44">
        <v>79995</v>
      </c>
      <c r="GN39" s="44" t="s">
        <v>37</v>
      </c>
      <c r="GP39" s="44" t="s">
        <v>37</v>
      </c>
      <c r="GQ39" s="44">
        <v>61243</v>
      </c>
      <c r="GR39" s="44" t="s">
        <v>37</v>
      </c>
      <c r="GS39" s="44">
        <v>93724</v>
      </c>
      <c r="GT39" s="44" t="s">
        <v>37</v>
      </c>
      <c r="GU39" s="44">
        <v>23081</v>
      </c>
      <c r="GV39" s="44" t="s">
        <v>37</v>
      </c>
      <c r="GW39" s="44">
        <v>39875</v>
      </c>
      <c r="GX39" s="44" t="s">
        <v>37</v>
      </c>
      <c r="GY39" s="44">
        <v>73833</v>
      </c>
      <c r="GZ39" s="44" t="s">
        <v>37</v>
      </c>
      <c r="HA39" s="44">
        <v>78109</v>
      </c>
      <c r="HB39" s="44" t="s">
        <v>37</v>
      </c>
      <c r="HD39" s="44" t="s">
        <v>37</v>
      </c>
      <c r="HF39" s="44" t="s">
        <v>37</v>
      </c>
      <c r="HG39" s="44">
        <v>7658419</v>
      </c>
      <c r="HH39" s="44" t="s">
        <v>37</v>
      </c>
      <c r="HJ39" s="44" t="s">
        <v>37</v>
      </c>
      <c r="HK39" s="44">
        <v>7658419</v>
      </c>
      <c r="HL39" s="44" t="s">
        <v>37</v>
      </c>
    </row>
    <row r="40" spans="1:220">
      <c r="A40" s="150" t="s">
        <v>410</v>
      </c>
      <c r="B40" s="44">
        <v>1650</v>
      </c>
      <c r="C40" s="44" t="s">
        <v>71</v>
      </c>
      <c r="D40" s="44" t="s">
        <v>37</v>
      </c>
      <c r="E40" s="44">
        <v>137</v>
      </c>
      <c r="F40" s="44" t="s">
        <v>37</v>
      </c>
      <c r="G40" s="44">
        <v>1959</v>
      </c>
      <c r="H40" s="44" t="s">
        <v>37</v>
      </c>
      <c r="I40" s="44">
        <v>834</v>
      </c>
      <c r="J40" s="44" t="s">
        <v>37</v>
      </c>
      <c r="L40" s="48" t="s">
        <v>37</v>
      </c>
      <c r="M40" s="51">
        <v>2977</v>
      </c>
      <c r="N40" s="48" t="s">
        <v>37</v>
      </c>
      <c r="O40" s="50">
        <v>410</v>
      </c>
      <c r="P40" s="48" t="s">
        <v>37</v>
      </c>
      <c r="Q40" s="50"/>
      <c r="R40" s="48" t="s">
        <v>37</v>
      </c>
      <c r="S40" s="50"/>
      <c r="T40" s="48" t="s">
        <v>37</v>
      </c>
      <c r="U40" s="44">
        <v>525</v>
      </c>
      <c r="V40" s="44" t="s">
        <v>37</v>
      </c>
      <c r="X40" s="44" t="s">
        <v>37</v>
      </c>
      <c r="Z40" s="44" t="s">
        <v>37</v>
      </c>
      <c r="AA40" s="44">
        <v>1368</v>
      </c>
      <c r="AB40" s="44" t="s">
        <v>37</v>
      </c>
      <c r="AC40" s="44">
        <v>687</v>
      </c>
      <c r="AD40" s="44" t="s">
        <v>37</v>
      </c>
      <c r="AE40" s="44">
        <v>2410</v>
      </c>
      <c r="AF40" s="44" t="s">
        <v>37</v>
      </c>
      <c r="AG40" s="44">
        <v>687</v>
      </c>
      <c r="AH40" s="44" t="s">
        <v>37</v>
      </c>
      <c r="AI40" s="44">
        <v>718</v>
      </c>
      <c r="AJ40" s="44" t="s">
        <v>37</v>
      </c>
      <c r="AL40" s="44" t="s">
        <v>37</v>
      </c>
      <c r="AM40" s="44">
        <v>5538</v>
      </c>
      <c r="AN40" s="44" t="s">
        <v>37</v>
      </c>
      <c r="AP40" s="44" t="s">
        <v>37</v>
      </c>
      <c r="AQ40" s="44">
        <v>3272</v>
      </c>
      <c r="AR40" s="44" t="s">
        <v>37</v>
      </c>
      <c r="AS40" s="44">
        <v>1603</v>
      </c>
      <c r="AT40" s="44" t="s">
        <v>37</v>
      </c>
      <c r="AU40" s="44">
        <v>12018</v>
      </c>
      <c r="AV40" s="44" t="s">
        <v>37</v>
      </c>
      <c r="AW40" s="44">
        <v>3033</v>
      </c>
      <c r="AX40" s="44" t="s">
        <v>37</v>
      </c>
      <c r="AY40" s="44">
        <v>2339</v>
      </c>
      <c r="AZ40" s="44" t="s">
        <v>37</v>
      </c>
      <c r="BA40" s="44">
        <v>1263</v>
      </c>
      <c r="BB40" s="44" t="s">
        <v>37</v>
      </c>
      <c r="BC40" s="44">
        <v>153</v>
      </c>
      <c r="BD40" s="44" t="s">
        <v>37</v>
      </c>
      <c r="BE40" s="44">
        <v>1565</v>
      </c>
      <c r="BF40" s="44" t="s">
        <v>37</v>
      </c>
      <c r="BH40" s="44" t="s">
        <v>37</v>
      </c>
      <c r="BJ40" s="44" t="s">
        <v>37</v>
      </c>
      <c r="BK40" s="44">
        <v>458</v>
      </c>
      <c r="BL40" s="44" t="s">
        <v>37</v>
      </c>
      <c r="BM40" s="44">
        <v>2017</v>
      </c>
      <c r="BN40" s="44" t="s">
        <v>37</v>
      </c>
      <c r="BP40" s="44" t="s">
        <v>37</v>
      </c>
      <c r="BQ40" s="44">
        <v>767</v>
      </c>
      <c r="BR40" s="44" t="s">
        <v>37</v>
      </c>
      <c r="BS40" s="44">
        <v>1034</v>
      </c>
      <c r="BT40" s="44" t="s">
        <v>37</v>
      </c>
      <c r="BU40" s="44">
        <v>665</v>
      </c>
      <c r="BV40" s="44" t="s">
        <v>37</v>
      </c>
      <c r="BX40" s="44" t="s">
        <v>37</v>
      </c>
      <c r="BY40" s="44">
        <v>4455</v>
      </c>
      <c r="BZ40" s="44" t="s">
        <v>37</v>
      </c>
      <c r="CA40" s="44">
        <v>4596</v>
      </c>
      <c r="CB40" s="44" t="s">
        <v>37</v>
      </c>
      <c r="CD40" s="44" t="s">
        <v>37</v>
      </c>
      <c r="CE40" s="44">
        <v>1799</v>
      </c>
      <c r="CF40" s="44" t="s">
        <v>37</v>
      </c>
      <c r="CG40" s="44">
        <v>7546</v>
      </c>
      <c r="CH40" s="44" t="s">
        <v>37</v>
      </c>
      <c r="CI40" s="44">
        <v>6385</v>
      </c>
      <c r="CJ40" s="44" t="s">
        <v>37</v>
      </c>
      <c r="CK40" s="44">
        <v>24</v>
      </c>
      <c r="CL40" s="44" t="s">
        <v>37</v>
      </c>
      <c r="CM40" s="44">
        <v>6158</v>
      </c>
      <c r="CN40" s="44" t="s">
        <v>37</v>
      </c>
      <c r="CO40" s="44">
        <v>922</v>
      </c>
      <c r="CP40" s="44" t="s">
        <v>37</v>
      </c>
      <c r="CQ40" s="44">
        <v>1536</v>
      </c>
      <c r="CR40" s="44" t="s">
        <v>37</v>
      </c>
      <c r="CS40" s="44">
        <v>3521</v>
      </c>
      <c r="CT40" s="44" t="s">
        <v>37</v>
      </c>
      <c r="CU40" s="44">
        <v>20763</v>
      </c>
      <c r="CV40" s="44" t="s">
        <v>37</v>
      </c>
      <c r="CW40" s="44">
        <v>4017</v>
      </c>
      <c r="CX40" s="44" t="s">
        <v>37</v>
      </c>
      <c r="CY40" s="44">
        <v>119</v>
      </c>
      <c r="CZ40" s="44" t="s">
        <v>37</v>
      </c>
      <c r="DA40" s="44">
        <v>450</v>
      </c>
      <c r="DB40" s="44" t="s">
        <v>37</v>
      </c>
      <c r="DD40" s="44" t="s">
        <v>37</v>
      </c>
      <c r="DE40" s="44">
        <v>2080</v>
      </c>
      <c r="DF40" s="44" t="s">
        <v>37</v>
      </c>
      <c r="DG40" s="44">
        <v>648</v>
      </c>
      <c r="DH40" s="44" t="s">
        <v>37</v>
      </c>
      <c r="DI40" s="44">
        <v>4952</v>
      </c>
      <c r="DJ40" s="44" t="s">
        <v>37</v>
      </c>
      <c r="DK40" s="44">
        <v>150</v>
      </c>
      <c r="DL40" s="44" t="s">
        <v>37</v>
      </c>
      <c r="DM40" s="44">
        <v>9715</v>
      </c>
      <c r="DN40" s="44" t="s">
        <v>37</v>
      </c>
      <c r="DO40" s="44">
        <v>7877</v>
      </c>
      <c r="DP40" s="44" t="s">
        <v>37</v>
      </c>
      <c r="DQ40" s="44">
        <v>10630</v>
      </c>
      <c r="DR40" s="44" t="s">
        <v>37</v>
      </c>
      <c r="DS40" s="44">
        <v>424</v>
      </c>
      <c r="DT40" s="44" t="s">
        <v>37</v>
      </c>
      <c r="DU40" s="44">
        <v>2486</v>
      </c>
      <c r="DV40" s="44" t="s">
        <v>37</v>
      </c>
      <c r="DW40" s="44">
        <v>9683</v>
      </c>
      <c r="DX40" s="44" t="s">
        <v>37</v>
      </c>
      <c r="DY40" s="44">
        <v>9108</v>
      </c>
      <c r="DZ40" s="44" t="s">
        <v>37</v>
      </c>
      <c r="EA40" s="44">
        <v>493</v>
      </c>
      <c r="EB40" s="44" t="s">
        <v>37</v>
      </c>
      <c r="EC40" s="44">
        <v>1620</v>
      </c>
      <c r="ED40" s="44" t="s">
        <v>37</v>
      </c>
      <c r="EE40" s="44">
        <v>3581</v>
      </c>
      <c r="EF40" s="44" t="s">
        <v>37</v>
      </c>
      <c r="EH40" s="44" t="s">
        <v>37</v>
      </c>
      <c r="EJ40" s="44" t="s">
        <v>37</v>
      </c>
      <c r="EK40" s="44">
        <v>4040</v>
      </c>
      <c r="EL40" s="44" t="s">
        <v>37</v>
      </c>
      <c r="EM40" s="44">
        <v>340</v>
      </c>
      <c r="EN40" s="44" t="s">
        <v>37</v>
      </c>
      <c r="EO40" s="44">
        <v>9150</v>
      </c>
      <c r="EP40" s="44" t="s">
        <v>37</v>
      </c>
      <c r="ER40" s="44" t="s">
        <v>37</v>
      </c>
      <c r="ES40" s="44">
        <v>863</v>
      </c>
      <c r="ET40" s="44" t="s">
        <v>37</v>
      </c>
      <c r="EU40" s="44">
        <v>4320</v>
      </c>
      <c r="EV40" s="44" t="s">
        <v>37</v>
      </c>
      <c r="EW40" s="44">
        <v>5030</v>
      </c>
      <c r="EX40" s="44" t="s">
        <v>37</v>
      </c>
      <c r="EZ40" s="44" t="s">
        <v>37</v>
      </c>
      <c r="FA40" s="44">
        <v>1999</v>
      </c>
      <c r="FB40" s="44" t="s">
        <v>37</v>
      </c>
      <c r="FC40" s="44">
        <v>234</v>
      </c>
      <c r="FD40" s="44" t="s">
        <v>37</v>
      </c>
      <c r="FE40" s="44">
        <v>11600</v>
      </c>
      <c r="FF40" s="44" t="s">
        <v>37</v>
      </c>
      <c r="FH40" s="44" t="s">
        <v>37</v>
      </c>
      <c r="FI40" s="44">
        <v>3128</v>
      </c>
      <c r="FJ40" s="44" t="s">
        <v>37</v>
      </c>
      <c r="FK40" s="44">
        <v>1907</v>
      </c>
      <c r="FL40" s="44" t="s">
        <v>37</v>
      </c>
      <c r="FM40" s="44">
        <v>6131</v>
      </c>
      <c r="FN40" s="44" t="s">
        <v>37</v>
      </c>
      <c r="FO40" s="44">
        <v>1781</v>
      </c>
      <c r="FP40" s="44" t="s">
        <v>37</v>
      </c>
      <c r="FQ40" s="44">
        <v>1243</v>
      </c>
      <c r="FR40" s="44" t="s">
        <v>37</v>
      </c>
      <c r="FT40" s="44" t="s">
        <v>37</v>
      </c>
      <c r="FV40" s="44" t="s">
        <v>37</v>
      </c>
      <c r="FW40" s="44">
        <v>788</v>
      </c>
      <c r="FX40" s="44" t="s">
        <v>37</v>
      </c>
      <c r="FY40" s="44">
        <v>1074</v>
      </c>
      <c r="FZ40" s="44" t="s">
        <v>37</v>
      </c>
      <c r="GA40" s="44">
        <v>4296</v>
      </c>
      <c r="GB40" s="44" t="s">
        <v>37</v>
      </c>
      <c r="GD40" s="44" t="s">
        <v>37</v>
      </c>
      <c r="GF40" s="44" t="s">
        <v>37</v>
      </c>
      <c r="GH40" s="44" t="s">
        <v>37</v>
      </c>
      <c r="GJ40" s="44" t="s">
        <v>37</v>
      </c>
      <c r="GK40" s="44">
        <v>5959</v>
      </c>
      <c r="GL40" s="44" t="s">
        <v>37</v>
      </c>
      <c r="GM40" s="44">
        <v>1752</v>
      </c>
      <c r="GN40" s="44" t="s">
        <v>37</v>
      </c>
      <c r="GP40" s="44" t="s">
        <v>37</v>
      </c>
      <c r="GQ40" s="44">
        <v>286</v>
      </c>
      <c r="GR40" s="44" t="s">
        <v>37</v>
      </c>
      <c r="GS40" s="44">
        <v>7368</v>
      </c>
      <c r="GT40" s="44" t="s">
        <v>37</v>
      </c>
      <c r="GU40" s="44">
        <v>648</v>
      </c>
      <c r="GV40" s="44" t="s">
        <v>37</v>
      </c>
      <c r="GW40" s="44">
        <v>1859</v>
      </c>
      <c r="GX40" s="44" t="s">
        <v>37</v>
      </c>
      <c r="GY40" s="44">
        <v>10025</v>
      </c>
      <c r="GZ40" s="44" t="s">
        <v>37</v>
      </c>
      <c r="HA40" s="44">
        <v>1688</v>
      </c>
      <c r="HB40" s="44" t="s">
        <v>37</v>
      </c>
      <c r="HD40" s="44" t="s">
        <v>37</v>
      </c>
      <c r="HF40" s="44" t="s">
        <v>37</v>
      </c>
      <c r="HG40" s="44">
        <v>261684</v>
      </c>
      <c r="HH40" s="44" t="s">
        <v>37</v>
      </c>
      <c r="HJ40" s="44" t="s">
        <v>37</v>
      </c>
      <c r="HK40" s="44">
        <v>261684</v>
      </c>
      <c r="HL40" s="44" t="s">
        <v>37</v>
      </c>
    </row>
    <row r="41" spans="1:220">
      <c r="A41" s="150" t="s">
        <v>410</v>
      </c>
      <c r="B41" s="44">
        <v>1660</v>
      </c>
      <c r="C41" s="44" t="s">
        <v>72</v>
      </c>
      <c r="D41" s="44" t="s">
        <v>37</v>
      </c>
      <c r="E41" s="44">
        <v>4170</v>
      </c>
      <c r="F41" s="44" t="s">
        <v>37</v>
      </c>
      <c r="G41" s="44">
        <v>10071</v>
      </c>
      <c r="H41" s="44" t="s">
        <v>37</v>
      </c>
      <c r="I41" s="44">
        <v>25422</v>
      </c>
      <c r="J41" s="44" t="s">
        <v>37</v>
      </c>
      <c r="L41" s="48" t="s">
        <v>37</v>
      </c>
      <c r="M41" s="51">
        <v>28845</v>
      </c>
      <c r="N41" s="48" t="s">
        <v>37</v>
      </c>
      <c r="O41" s="51">
        <v>8908</v>
      </c>
      <c r="P41" s="48" t="s">
        <v>37</v>
      </c>
      <c r="Q41" s="51">
        <v>10678</v>
      </c>
      <c r="R41" s="48" t="s">
        <v>37</v>
      </c>
      <c r="S41" s="51">
        <v>6664</v>
      </c>
      <c r="T41" s="48" t="s">
        <v>37</v>
      </c>
      <c r="U41" s="44">
        <v>14790</v>
      </c>
      <c r="V41" s="44" t="s">
        <v>37</v>
      </c>
      <c r="X41" s="44" t="s">
        <v>37</v>
      </c>
      <c r="Z41" s="44" t="s">
        <v>37</v>
      </c>
      <c r="AA41" s="44">
        <v>28963</v>
      </c>
      <c r="AB41" s="44" t="s">
        <v>37</v>
      </c>
      <c r="AC41" s="44">
        <v>4771</v>
      </c>
      <c r="AD41" s="44" t="s">
        <v>37</v>
      </c>
      <c r="AE41" s="44">
        <v>13979</v>
      </c>
      <c r="AF41" s="44" t="s">
        <v>37</v>
      </c>
      <c r="AG41" s="44">
        <v>1672</v>
      </c>
      <c r="AH41" s="44" t="s">
        <v>37</v>
      </c>
      <c r="AI41" s="44">
        <v>27080</v>
      </c>
      <c r="AJ41" s="44" t="s">
        <v>37</v>
      </c>
      <c r="AL41" s="44" t="s">
        <v>37</v>
      </c>
      <c r="AM41" s="44">
        <v>24112</v>
      </c>
      <c r="AN41" s="44" t="s">
        <v>37</v>
      </c>
      <c r="AP41" s="44" t="s">
        <v>37</v>
      </c>
      <c r="AQ41" s="44">
        <v>58212</v>
      </c>
      <c r="AR41" s="44" t="s">
        <v>37</v>
      </c>
      <c r="AS41" s="44">
        <v>10663</v>
      </c>
      <c r="AT41" s="44" t="s">
        <v>37</v>
      </c>
      <c r="AU41" s="44">
        <v>286955</v>
      </c>
      <c r="AV41" s="44" t="s">
        <v>37</v>
      </c>
      <c r="AW41" s="44">
        <v>14390</v>
      </c>
      <c r="AX41" s="44" t="s">
        <v>37</v>
      </c>
      <c r="AY41" s="44">
        <v>19534</v>
      </c>
      <c r="AZ41" s="44" t="s">
        <v>37</v>
      </c>
      <c r="BA41" s="44">
        <v>9752</v>
      </c>
      <c r="BB41" s="44" t="s">
        <v>37</v>
      </c>
      <c r="BC41" s="44">
        <v>3196</v>
      </c>
      <c r="BD41" s="44" t="s">
        <v>37</v>
      </c>
      <c r="BE41" s="44">
        <v>122458</v>
      </c>
      <c r="BF41" s="44" t="s">
        <v>37</v>
      </c>
      <c r="BG41" s="44">
        <v>27298</v>
      </c>
      <c r="BH41" s="44" t="s">
        <v>37</v>
      </c>
      <c r="BJ41" s="44" t="s">
        <v>37</v>
      </c>
      <c r="BK41" s="44">
        <v>15756</v>
      </c>
      <c r="BL41" s="44" t="s">
        <v>37</v>
      </c>
      <c r="BM41" s="44">
        <v>65156</v>
      </c>
      <c r="BN41" s="44" t="s">
        <v>37</v>
      </c>
      <c r="BP41" s="44" t="s">
        <v>37</v>
      </c>
      <c r="BQ41" s="44">
        <v>2454</v>
      </c>
      <c r="BR41" s="44" t="s">
        <v>37</v>
      </c>
      <c r="BS41" s="44">
        <v>17481</v>
      </c>
      <c r="BT41" s="44" t="s">
        <v>37</v>
      </c>
      <c r="BU41" s="44">
        <v>1628</v>
      </c>
      <c r="BV41" s="44" t="s">
        <v>37</v>
      </c>
      <c r="BX41" s="44" t="s">
        <v>37</v>
      </c>
      <c r="BY41" s="44">
        <v>150670</v>
      </c>
      <c r="BZ41" s="44" t="s">
        <v>37</v>
      </c>
      <c r="CA41" s="44">
        <v>6289</v>
      </c>
      <c r="CB41" s="44" t="s">
        <v>37</v>
      </c>
      <c r="CD41" s="44" t="s">
        <v>37</v>
      </c>
      <c r="CE41" s="44">
        <v>12236</v>
      </c>
      <c r="CF41" s="44" t="s">
        <v>37</v>
      </c>
      <c r="CG41" s="44">
        <v>21957</v>
      </c>
      <c r="CH41" s="44" t="s">
        <v>37</v>
      </c>
      <c r="CI41" s="44">
        <v>22446</v>
      </c>
      <c r="CJ41" s="44" t="s">
        <v>37</v>
      </c>
      <c r="CK41" s="44">
        <v>3478</v>
      </c>
      <c r="CL41" s="44" t="s">
        <v>37</v>
      </c>
      <c r="CM41" s="44">
        <v>18795</v>
      </c>
      <c r="CN41" s="44" t="s">
        <v>37</v>
      </c>
      <c r="CP41" s="44" t="s">
        <v>37</v>
      </c>
      <c r="CQ41" s="44">
        <v>7471</v>
      </c>
      <c r="CR41" s="44" t="s">
        <v>37</v>
      </c>
      <c r="CS41" s="44">
        <v>28990</v>
      </c>
      <c r="CT41" s="44" t="s">
        <v>37</v>
      </c>
      <c r="CU41" s="44">
        <v>188422</v>
      </c>
      <c r="CV41" s="44" t="s">
        <v>37</v>
      </c>
      <c r="CW41" s="44">
        <v>66074</v>
      </c>
      <c r="CX41" s="44" t="s">
        <v>37</v>
      </c>
      <c r="CY41" s="44">
        <v>6034</v>
      </c>
      <c r="CZ41" s="44" t="s">
        <v>37</v>
      </c>
      <c r="DA41" s="44">
        <v>11703</v>
      </c>
      <c r="DB41" s="44" t="s">
        <v>37</v>
      </c>
      <c r="DD41" s="44" t="s">
        <v>37</v>
      </c>
      <c r="DE41" s="44">
        <v>3564</v>
      </c>
      <c r="DF41" s="44" t="s">
        <v>37</v>
      </c>
      <c r="DG41" s="44">
        <v>5995</v>
      </c>
      <c r="DH41" s="44" t="s">
        <v>37</v>
      </c>
      <c r="DI41" s="44">
        <v>42076</v>
      </c>
      <c r="DJ41" s="44" t="s">
        <v>37</v>
      </c>
      <c r="DK41" s="44">
        <v>14136</v>
      </c>
      <c r="DL41" s="44" t="s">
        <v>37</v>
      </c>
      <c r="DM41" s="44">
        <v>10209</v>
      </c>
      <c r="DN41" s="44" t="s">
        <v>37</v>
      </c>
      <c r="DO41" s="44">
        <v>60618</v>
      </c>
      <c r="DP41" s="44" t="s">
        <v>37</v>
      </c>
      <c r="DQ41" s="44">
        <v>7162</v>
      </c>
      <c r="DR41" s="44" t="s">
        <v>37</v>
      </c>
      <c r="DS41" s="44">
        <v>1906</v>
      </c>
      <c r="DT41" s="44" t="s">
        <v>37</v>
      </c>
      <c r="DU41" s="44">
        <v>16601</v>
      </c>
      <c r="DV41" s="44" t="s">
        <v>37</v>
      </c>
      <c r="DW41" s="44">
        <v>114697</v>
      </c>
      <c r="DX41" s="44" t="s">
        <v>37</v>
      </c>
      <c r="DY41" s="44">
        <v>23636</v>
      </c>
      <c r="DZ41" s="44" t="s">
        <v>37</v>
      </c>
      <c r="EA41" s="44">
        <v>12324</v>
      </c>
      <c r="EB41" s="44" t="s">
        <v>37</v>
      </c>
      <c r="EC41" s="44">
        <v>430</v>
      </c>
      <c r="ED41" s="44" t="s">
        <v>37</v>
      </c>
      <c r="EE41" s="44">
        <v>125116</v>
      </c>
      <c r="EF41" s="44" t="s">
        <v>37</v>
      </c>
      <c r="EG41" s="44">
        <v>1947</v>
      </c>
      <c r="EH41" s="44" t="s">
        <v>37</v>
      </c>
      <c r="EJ41" s="44" t="s">
        <v>37</v>
      </c>
      <c r="EK41" s="44">
        <v>1836</v>
      </c>
      <c r="EL41" s="44" t="s">
        <v>37</v>
      </c>
      <c r="EM41" s="44">
        <v>3827</v>
      </c>
      <c r="EN41" s="44" t="s">
        <v>37</v>
      </c>
      <c r="EP41" s="44" t="s">
        <v>37</v>
      </c>
      <c r="ER41" s="44" t="s">
        <v>37</v>
      </c>
      <c r="ES41" s="44">
        <v>12935</v>
      </c>
      <c r="ET41" s="44" t="s">
        <v>37</v>
      </c>
      <c r="EU41" s="44">
        <v>19113</v>
      </c>
      <c r="EV41" s="44" t="s">
        <v>37</v>
      </c>
      <c r="EW41" s="44">
        <v>21305</v>
      </c>
      <c r="EX41" s="44" t="s">
        <v>37</v>
      </c>
      <c r="EZ41" s="44" t="s">
        <v>37</v>
      </c>
      <c r="FA41" s="44">
        <v>5644</v>
      </c>
      <c r="FB41" s="44" t="s">
        <v>37</v>
      </c>
      <c r="FC41" s="44">
        <v>7883</v>
      </c>
      <c r="FD41" s="44" t="s">
        <v>37</v>
      </c>
      <c r="FE41" s="44">
        <v>96460</v>
      </c>
      <c r="FF41" s="44" t="s">
        <v>37</v>
      </c>
      <c r="FH41" s="44" t="s">
        <v>37</v>
      </c>
      <c r="FI41" s="44">
        <v>31407</v>
      </c>
      <c r="FJ41" s="44" t="s">
        <v>37</v>
      </c>
      <c r="FK41" s="44">
        <v>8771</v>
      </c>
      <c r="FL41" s="44" t="s">
        <v>37</v>
      </c>
      <c r="FM41" s="44">
        <v>33581</v>
      </c>
      <c r="FN41" s="44" t="s">
        <v>37</v>
      </c>
      <c r="FO41" s="44">
        <v>10752</v>
      </c>
      <c r="FP41" s="44" t="s">
        <v>37</v>
      </c>
      <c r="FQ41" s="44">
        <v>6900</v>
      </c>
      <c r="FR41" s="44" t="s">
        <v>37</v>
      </c>
      <c r="FS41" s="44">
        <v>6930</v>
      </c>
      <c r="FT41" s="44" t="s">
        <v>37</v>
      </c>
      <c r="FU41" s="44">
        <v>7065</v>
      </c>
      <c r="FV41" s="44" t="s">
        <v>37</v>
      </c>
      <c r="FW41" s="44">
        <v>6322</v>
      </c>
      <c r="FX41" s="44" t="s">
        <v>37</v>
      </c>
      <c r="FY41" s="44">
        <v>14618</v>
      </c>
      <c r="FZ41" s="44" t="s">
        <v>37</v>
      </c>
      <c r="GA41" s="44">
        <v>13896</v>
      </c>
      <c r="GB41" s="44" t="s">
        <v>37</v>
      </c>
      <c r="GD41" s="44" t="s">
        <v>37</v>
      </c>
      <c r="GF41" s="44" t="s">
        <v>37</v>
      </c>
      <c r="GH41" s="44" t="s">
        <v>37</v>
      </c>
      <c r="GJ41" s="44" t="s">
        <v>37</v>
      </c>
      <c r="GK41" s="44">
        <v>50801</v>
      </c>
      <c r="GL41" s="44" t="s">
        <v>37</v>
      </c>
      <c r="GM41" s="44">
        <v>167125</v>
      </c>
      <c r="GN41" s="44" t="s">
        <v>37</v>
      </c>
      <c r="GP41" s="44" t="s">
        <v>37</v>
      </c>
      <c r="GQ41" s="44">
        <v>23360</v>
      </c>
      <c r="GR41" s="44" t="s">
        <v>37</v>
      </c>
      <c r="GS41" s="44">
        <v>57699</v>
      </c>
      <c r="GT41" s="44" t="s">
        <v>37</v>
      </c>
      <c r="GU41" s="44">
        <v>13496</v>
      </c>
      <c r="GV41" s="44" t="s">
        <v>37</v>
      </c>
      <c r="GW41" s="44">
        <v>26246</v>
      </c>
      <c r="GX41" s="44" t="s">
        <v>37</v>
      </c>
      <c r="GY41" s="44">
        <v>221941</v>
      </c>
      <c r="GZ41" s="44" t="s">
        <v>37</v>
      </c>
      <c r="HA41" s="44">
        <v>16943</v>
      </c>
      <c r="HB41" s="44" t="s">
        <v>37</v>
      </c>
      <c r="HD41" s="44" t="s">
        <v>37</v>
      </c>
      <c r="HF41" s="44" t="s">
        <v>37</v>
      </c>
      <c r="HG41" s="44">
        <v>2736896</v>
      </c>
      <c r="HH41" s="44" t="s">
        <v>37</v>
      </c>
      <c r="HJ41" s="44" t="s">
        <v>37</v>
      </c>
      <c r="HK41" s="44">
        <v>2736896</v>
      </c>
      <c r="HL41" s="44" t="s">
        <v>37</v>
      </c>
    </row>
    <row r="42" spans="1:220">
      <c r="A42" s="150" t="s">
        <v>408</v>
      </c>
      <c r="B42" s="54">
        <v>1700</v>
      </c>
      <c r="C42" s="44" t="s">
        <v>73</v>
      </c>
      <c r="D42" s="44" t="s">
        <v>37</v>
      </c>
      <c r="F42" s="44" t="s">
        <v>37</v>
      </c>
      <c r="H42" s="44" t="s">
        <v>37</v>
      </c>
      <c r="J42" s="44" t="s">
        <v>37</v>
      </c>
      <c r="L42" s="48" t="s">
        <v>37</v>
      </c>
      <c r="M42" s="50"/>
      <c r="N42" s="48" t="s">
        <v>37</v>
      </c>
      <c r="O42" s="50"/>
      <c r="P42" s="48" t="s">
        <v>37</v>
      </c>
      <c r="Q42" s="50"/>
      <c r="R42" s="48" t="s">
        <v>37</v>
      </c>
      <c r="S42" s="50"/>
      <c r="T42" s="48" t="s">
        <v>37</v>
      </c>
      <c r="V42" s="44" t="s">
        <v>37</v>
      </c>
      <c r="X42" s="44" t="s">
        <v>37</v>
      </c>
      <c r="Z42" s="44" t="s">
        <v>37</v>
      </c>
      <c r="AB42" s="44" t="s">
        <v>37</v>
      </c>
      <c r="AD42" s="44" t="s">
        <v>37</v>
      </c>
      <c r="AF42" s="44" t="s">
        <v>37</v>
      </c>
      <c r="AH42" s="44" t="s">
        <v>37</v>
      </c>
      <c r="AJ42" s="44" t="s">
        <v>37</v>
      </c>
      <c r="AL42" s="44" t="s">
        <v>37</v>
      </c>
      <c r="AN42" s="44" t="s">
        <v>37</v>
      </c>
      <c r="AP42" s="44" t="s">
        <v>37</v>
      </c>
      <c r="AR42" s="44" t="s">
        <v>37</v>
      </c>
      <c r="AT42" s="44" t="s">
        <v>37</v>
      </c>
      <c r="AV42" s="44" t="s">
        <v>37</v>
      </c>
      <c r="AX42" s="44" t="s">
        <v>37</v>
      </c>
      <c r="AZ42" s="44" t="s">
        <v>37</v>
      </c>
      <c r="BB42" s="44" t="s">
        <v>37</v>
      </c>
      <c r="BD42" s="44" t="s">
        <v>37</v>
      </c>
      <c r="BF42" s="44" t="s">
        <v>37</v>
      </c>
      <c r="BH42" s="44" t="s">
        <v>37</v>
      </c>
      <c r="BJ42" s="44" t="s">
        <v>37</v>
      </c>
      <c r="BL42" s="44" t="s">
        <v>37</v>
      </c>
      <c r="BN42" s="44" t="s">
        <v>37</v>
      </c>
      <c r="BP42" s="44" t="s">
        <v>37</v>
      </c>
      <c r="BR42" s="44" t="s">
        <v>37</v>
      </c>
      <c r="BT42" s="44" t="s">
        <v>37</v>
      </c>
      <c r="BV42" s="44" t="s">
        <v>37</v>
      </c>
      <c r="BX42" s="44" t="s">
        <v>37</v>
      </c>
      <c r="BZ42" s="44" t="s">
        <v>37</v>
      </c>
      <c r="CB42" s="44" t="s">
        <v>37</v>
      </c>
      <c r="CD42" s="44" t="s">
        <v>37</v>
      </c>
      <c r="CF42" s="44" t="s">
        <v>37</v>
      </c>
      <c r="CH42" s="44" t="s">
        <v>37</v>
      </c>
      <c r="CJ42" s="44" t="s">
        <v>37</v>
      </c>
      <c r="CL42" s="44" t="s">
        <v>37</v>
      </c>
      <c r="CN42" s="44" t="s">
        <v>37</v>
      </c>
      <c r="CP42" s="44" t="s">
        <v>37</v>
      </c>
      <c r="CR42" s="44" t="s">
        <v>37</v>
      </c>
      <c r="CT42" s="44" t="s">
        <v>37</v>
      </c>
      <c r="CV42" s="44" t="s">
        <v>37</v>
      </c>
      <c r="CX42" s="44" t="s">
        <v>37</v>
      </c>
      <c r="CZ42" s="44" t="s">
        <v>37</v>
      </c>
      <c r="DB42" s="44" t="s">
        <v>37</v>
      </c>
      <c r="DD42" s="44" t="s">
        <v>37</v>
      </c>
      <c r="DF42" s="44" t="s">
        <v>37</v>
      </c>
      <c r="DH42" s="44" t="s">
        <v>37</v>
      </c>
      <c r="DJ42" s="44" t="s">
        <v>37</v>
      </c>
      <c r="DL42" s="44" t="s">
        <v>37</v>
      </c>
      <c r="DN42" s="44" t="s">
        <v>37</v>
      </c>
      <c r="DP42" s="44" t="s">
        <v>37</v>
      </c>
      <c r="DR42" s="44" t="s">
        <v>37</v>
      </c>
      <c r="DT42" s="44" t="s">
        <v>37</v>
      </c>
      <c r="DV42" s="44" t="s">
        <v>37</v>
      </c>
      <c r="DX42" s="44" t="s">
        <v>37</v>
      </c>
      <c r="DZ42" s="44" t="s">
        <v>37</v>
      </c>
      <c r="EB42" s="44" t="s">
        <v>37</v>
      </c>
      <c r="ED42" s="44" t="s">
        <v>37</v>
      </c>
      <c r="EF42" s="44" t="s">
        <v>37</v>
      </c>
      <c r="EH42" s="44" t="s">
        <v>37</v>
      </c>
      <c r="EJ42" s="44" t="s">
        <v>37</v>
      </c>
      <c r="EL42" s="44" t="s">
        <v>37</v>
      </c>
      <c r="EN42" s="44" t="s">
        <v>37</v>
      </c>
      <c r="EP42" s="44" t="s">
        <v>37</v>
      </c>
      <c r="ER42" s="44" t="s">
        <v>37</v>
      </c>
      <c r="ET42" s="44" t="s">
        <v>37</v>
      </c>
      <c r="EV42" s="44" t="s">
        <v>37</v>
      </c>
      <c r="EX42" s="44" t="s">
        <v>37</v>
      </c>
      <c r="EZ42" s="44" t="s">
        <v>37</v>
      </c>
      <c r="FB42" s="44" t="s">
        <v>37</v>
      </c>
      <c r="FD42" s="44" t="s">
        <v>37</v>
      </c>
      <c r="FF42" s="44" t="s">
        <v>37</v>
      </c>
      <c r="FH42" s="44" t="s">
        <v>37</v>
      </c>
      <c r="FJ42" s="44" t="s">
        <v>37</v>
      </c>
      <c r="FL42" s="44" t="s">
        <v>37</v>
      </c>
      <c r="FN42" s="44" t="s">
        <v>37</v>
      </c>
      <c r="FP42" s="44" t="s">
        <v>37</v>
      </c>
      <c r="FR42" s="44" t="s">
        <v>37</v>
      </c>
      <c r="FT42" s="44" t="s">
        <v>37</v>
      </c>
      <c r="FV42" s="44" t="s">
        <v>37</v>
      </c>
      <c r="FX42" s="44" t="s">
        <v>37</v>
      </c>
      <c r="FZ42" s="44" t="s">
        <v>37</v>
      </c>
      <c r="GB42" s="44" t="s">
        <v>37</v>
      </c>
      <c r="GD42" s="44" t="s">
        <v>37</v>
      </c>
      <c r="GF42" s="44" t="s">
        <v>37</v>
      </c>
      <c r="GH42" s="44" t="s">
        <v>37</v>
      </c>
      <c r="GJ42" s="44" t="s">
        <v>37</v>
      </c>
      <c r="GL42" s="44" t="s">
        <v>37</v>
      </c>
      <c r="GN42" s="44" t="s">
        <v>37</v>
      </c>
      <c r="GP42" s="44" t="s">
        <v>37</v>
      </c>
      <c r="GR42" s="44" t="s">
        <v>37</v>
      </c>
      <c r="GT42" s="44" t="s">
        <v>37</v>
      </c>
      <c r="GV42" s="44" t="s">
        <v>37</v>
      </c>
      <c r="GX42" s="44" t="s">
        <v>37</v>
      </c>
      <c r="GZ42" s="44" t="s">
        <v>37</v>
      </c>
      <c r="HB42" s="44" t="s">
        <v>37</v>
      </c>
      <c r="HD42" s="44" t="s">
        <v>37</v>
      </c>
      <c r="HF42" s="44" t="s">
        <v>37</v>
      </c>
      <c r="HH42" s="44" t="s">
        <v>37</v>
      </c>
      <c r="HJ42" s="44" t="s">
        <v>37</v>
      </c>
      <c r="HL42" s="44" t="s">
        <v>37</v>
      </c>
    </row>
    <row r="43" spans="1:220">
      <c r="A43" s="150" t="s">
        <v>410</v>
      </c>
      <c r="B43" s="44">
        <v>1710</v>
      </c>
      <c r="C43" s="44" t="s">
        <v>74</v>
      </c>
      <c r="D43" s="44" t="s">
        <v>37</v>
      </c>
      <c r="E43" s="44">
        <v>380923</v>
      </c>
      <c r="F43" s="44" t="s">
        <v>37</v>
      </c>
      <c r="G43" s="44">
        <v>799643</v>
      </c>
      <c r="H43" s="44" t="s">
        <v>37</v>
      </c>
      <c r="I43" s="44">
        <v>56234</v>
      </c>
      <c r="J43" s="44" t="s">
        <v>37</v>
      </c>
      <c r="L43" s="48" t="s">
        <v>37</v>
      </c>
      <c r="M43" s="51">
        <v>700203</v>
      </c>
      <c r="N43" s="48" t="s">
        <v>37</v>
      </c>
      <c r="O43" s="51">
        <v>156233</v>
      </c>
      <c r="P43" s="48" t="s">
        <v>37</v>
      </c>
      <c r="Q43" s="51">
        <v>107447</v>
      </c>
      <c r="R43" s="48" t="s">
        <v>37</v>
      </c>
      <c r="S43" s="51">
        <v>214246</v>
      </c>
      <c r="T43" s="48" t="s">
        <v>37</v>
      </c>
      <c r="U43" s="44">
        <v>629657</v>
      </c>
      <c r="V43" s="44" t="s">
        <v>37</v>
      </c>
      <c r="X43" s="44" t="s">
        <v>37</v>
      </c>
      <c r="Z43" s="44" t="s">
        <v>37</v>
      </c>
      <c r="AA43" s="44">
        <v>98026</v>
      </c>
      <c r="AB43" s="44" t="s">
        <v>37</v>
      </c>
      <c r="AC43" s="44">
        <v>29797</v>
      </c>
      <c r="AD43" s="44" t="s">
        <v>37</v>
      </c>
      <c r="AE43" s="44">
        <v>57140</v>
      </c>
      <c r="AF43" s="44" t="s">
        <v>37</v>
      </c>
      <c r="AG43" s="44">
        <v>41315</v>
      </c>
      <c r="AH43" s="44" t="s">
        <v>37</v>
      </c>
      <c r="AI43" s="44">
        <v>90107</v>
      </c>
      <c r="AJ43" s="44" t="s">
        <v>37</v>
      </c>
      <c r="AL43" s="44" t="s">
        <v>37</v>
      </c>
      <c r="AN43" s="44" t="s">
        <v>37</v>
      </c>
      <c r="AP43" s="44" t="s">
        <v>37</v>
      </c>
      <c r="AQ43" s="44">
        <v>588838</v>
      </c>
      <c r="AR43" s="44" t="s">
        <v>37</v>
      </c>
      <c r="AT43" s="44" t="s">
        <v>37</v>
      </c>
      <c r="AU43" s="44">
        <v>1522350</v>
      </c>
      <c r="AV43" s="44" t="s">
        <v>37</v>
      </c>
      <c r="AW43" s="44">
        <v>446424</v>
      </c>
      <c r="AX43" s="44" t="s">
        <v>37</v>
      </c>
      <c r="AY43" s="44">
        <v>160539</v>
      </c>
      <c r="AZ43" s="44" t="s">
        <v>37</v>
      </c>
      <c r="BB43" s="44" t="s">
        <v>37</v>
      </c>
      <c r="BC43" s="44">
        <v>25868</v>
      </c>
      <c r="BD43" s="44" t="s">
        <v>37</v>
      </c>
      <c r="BE43" s="44">
        <v>147973</v>
      </c>
      <c r="BF43" s="44" t="s">
        <v>37</v>
      </c>
      <c r="BG43" s="44">
        <v>93575</v>
      </c>
      <c r="BH43" s="44" t="s">
        <v>37</v>
      </c>
      <c r="BJ43" s="44" t="s">
        <v>37</v>
      </c>
      <c r="BK43" s="44">
        <v>167504</v>
      </c>
      <c r="BL43" s="44" t="s">
        <v>37</v>
      </c>
      <c r="BN43" s="44" t="s">
        <v>37</v>
      </c>
      <c r="BP43" s="44" t="s">
        <v>37</v>
      </c>
      <c r="BQ43" s="44">
        <v>68378</v>
      </c>
      <c r="BR43" s="44" t="s">
        <v>37</v>
      </c>
      <c r="BS43" s="44">
        <v>111443</v>
      </c>
      <c r="BT43" s="44" t="s">
        <v>37</v>
      </c>
      <c r="BU43" s="44">
        <v>61497</v>
      </c>
      <c r="BV43" s="44" t="s">
        <v>37</v>
      </c>
      <c r="BX43" s="44" t="s">
        <v>37</v>
      </c>
      <c r="BY43" s="44">
        <v>306881</v>
      </c>
      <c r="BZ43" s="44" t="s">
        <v>37</v>
      </c>
      <c r="CA43" s="44">
        <v>33979</v>
      </c>
      <c r="CB43" s="44" t="s">
        <v>37</v>
      </c>
      <c r="CD43" s="44" t="s">
        <v>37</v>
      </c>
      <c r="CF43" s="44" t="s">
        <v>37</v>
      </c>
      <c r="CG43" s="44">
        <v>90771</v>
      </c>
      <c r="CH43" s="44" t="s">
        <v>37</v>
      </c>
      <c r="CI43" s="44">
        <v>85299</v>
      </c>
      <c r="CJ43" s="44" t="s">
        <v>37</v>
      </c>
      <c r="CK43" s="44">
        <v>9910</v>
      </c>
      <c r="CL43" s="44" t="s">
        <v>37</v>
      </c>
      <c r="CM43" s="44">
        <v>54968</v>
      </c>
      <c r="CN43" s="44" t="s">
        <v>37</v>
      </c>
      <c r="CO43" s="44">
        <v>39610</v>
      </c>
      <c r="CP43" s="44" t="s">
        <v>37</v>
      </c>
      <c r="CQ43" s="44">
        <v>98288</v>
      </c>
      <c r="CR43" s="44" t="s">
        <v>37</v>
      </c>
      <c r="CS43" s="44">
        <v>338404</v>
      </c>
      <c r="CT43" s="44" t="s">
        <v>37</v>
      </c>
      <c r="CU43" s="44">
        <v>1472719</v>
      </c>
      <c r="CV43" s="44" t="s">
        <v>37</v>
      </c>
      <c r="CW43" s="44">
        <v>351482</v>
      </c>
      <c r="CX43" s="44" t="s">
        <v>37</v>
      </c>
      <c r="CY43" s="44">
        <v>68973</v>
      </c>
      <c r="CZ43" s="44" t="s">
        <v>37</v>
      </c>
      <c r="DB43" s="44" t="s">
        <v>37</v>
      </c>
      <c r="DD43" s="44" t="s">
        <v>37</v>
      </c>
      <c r="DF43" s="44" t="s">
        <v>37</v>
      </c>
      <c r="DG43" s="44">
        <v>34358</v>
      </c>
      <c r="DH43" s="44" t="s">
        <v>37</v>
      </c>
      <c r="DI43" s="44">
        <v>710214</v>
      </c>
      <c r="DJ43" s="44" t="s">
        <v>37</v>
      </c>
      <c r="DK43" s="44">
        <v>55913</v>
      </c>
      <c r="DL43" s="44" t="s">
        <v>37</v>
      </c>
      <c r="DM43" s="44">
        <v>205922</v>
      </c>
      <c r="DN43" s="44" t="s">
        <v>37</v>
      </c>
      <c r="DO43" s="44">
        <v>307732</v>
      </c>
      <c r="DP43" s="44" t="s">
        <v>37</v>
      </c>
      <c r="DQ43" s="44">
        <v>13011</v>
      </c>
      <c r="DR43" s="44" t="s">
        <v>37</v>
      </c>
      <c r="DS43" s="44">
        <v>209188</v>
      </c>
      <c r="DT43" s="44" t="s">
        <v>37</v>
      </c>
      <c r="DU43" s="44">
        <v>72706</v>
      </c>
      <c r="DV43" s="44" t="s">
        <v>37</v>
      </c>
      <c r="DW43" s="44">
        <v>601218</v>
      </c>
      <c r="DX43" s="44" t="s">
        <v>37</v>
      </c>
      <c r="DY43" s="44">
        <v>165423</v>
      </c>
      <c r="DZ43" s="44" t="s">
        <v>37</v>
      </c>
      <c r="EB43" s="44" t="s">
        <v>37</v>
      </c>
      <c r="ED43" s="44" t="s">
        <v>37</v>
      </c>
      <c r="EE43" s="44">
        <v>394217</v>
      </c>
      <c r="EF43" s="44" t="s">
        <v>37</v>
      </c>
      <c r="EG43" s="44">
        <v>41924</v>
      </c>
      <c r="EH43" s="44" t="s">
        <v>37</v>
      </c>
      <c r="EJ43" s="44" t="s">
        <v>37</v>
      </c>
      <c r="EK43" s="44">
        <v>56996</v>
      </c>
      <c r="EL43" s="44" t="s">
        <v>37</v>
      </c>
      <c r="EM43" s="44">
        <v>63691</v>
      </c>
      <c r="EN43" s="44" t="s">
        <v>37</v>
      </c>
      <c r="EO43" s="44">
        <v>9444</v>
      </c>
      <c r="EP43" s="44" t="s">
        <v>37</v>
      </c>
      <c r="ER43" s="44" t="s">
        <v>37</v>
      </c>
      <c r="ES43" s="44">
        <v>163408</v>
      </c>
      <c r="ET43" s="44" t="s">
        <v>37</v>
      </c>
      <c r="EU43" s="44">
        <v>259715</v>
      </c>
      <c r="EV43" s="44" t="s">
        <v>37</v>
      </c>
      <c r="EW43" s="44">
        <v>336641</v>
      </c>
      <c r="EX43" s="44" t="s">
        <v>37</v>
      </c>
      <c r="EZ43" s="44" t="s">
        <v>37</v>
      </c>
      <c r="FA43" s="44">
        <v>85290</v>
      </c>
      <c r="FB43" s="44" t="s">
        <v>37</v>
      </c>
      <c r="FC43" s="44">
        <v>24571</v>
      </c>
      <c r="FD43" s="44" t="s">
        <v>37</v>
      </c>
      <c r="FE43" s="44">
        <v>189793</v>
      </c>
      <c r="FF43" s="44" t="s">
        <v>37</v>
      </c>
      <c r="FH43" s="44" t="s">
        <v>37</v>
      </c>
      <c r="FI43" s="44">
        <v>1138826</v>
      </c>
      <c r="FJ43" s="44" t="s">
        <v>37</v>
      </c>
      <c r="FK43" s="44">
        <v>319461</v>
      </c>
      <c r="FL43" s="44" t="s">
        <v>37</v>
      </c>
      <c r="FM43" s="44">
        <v>15761</v>
      </c>
      <c r="FN43" s="44" t="s">
        <v>37</v>
      </c>
      <c r="FO43" s="44">
        <v>153568</v>
      </c>
      <c r="FP43" s="44" t="s">
        <v>37</v>
      </c>
      <c r="FQ43" s="44">
        <v>162837</v>
      </c>
      <c r="FR43" s="44" t="s">
        <v>37</v>
      </c>
      <c r="FS43" s="44">
        <v>352363</v>
      </c>
      <c r="FT43" s="44" t="s">
        <v>37</v>
      </c>
      <c r="FU43" s="44">
        <v>103203</v>
      </c>
      <c r="FV43" s="44" t="s">
        <v>37</v>
      </c>
      <c r="FW43" s="44">
        <v>161129</v>
      </c>
      <c r="FX43" s="44" t="s">
        <v>37</v>
      </c>
      <c r="FY43" s="44">
        <v>539544</v>
      </c>
      <c r="FZ43" s="44" t="s">
        <v>37</v>
      </c>
      <c r="GA43" s="44">
        <v>325492</v>
      </c>
      <c r="GB43" s="44" t="s">
        <v>37</v>
      </c>
      <c r="GC43" s="44">
        <v>185560</v>
      </c>
      <c r="GD43" s="44" t="s">
        <v>37</v>
      </c>
      <c r="GF43" s="44" t="s">
        <v>37</v>
      </c>
      <c r="GH43" s="44" t="s">
        <v>37</v>
      </c>
      <c r="GJ43" s="44" t="s">
        <v>37</v>
      </c>
      <c r="GK43" s="44">
        <v>165548</v>
      </c>
      <c r="GL43" s="44" t="s">
        <v>37</v>
      </c>
      <c r="GM43" s="44">
        <v>122774</v>
      </c>
      <c r="GN43" s="44" t="s">
        <v>37</v>
      </c>
      <c r="GP43" s="44" t="s">
        <v>37</v>
      </c>
      <c r="GQ43" s="44">
        <v>244711</v>
      </c>
      <c r="GR43" s="44" t="s">
        <v>37</v>
      </c>
      <c r="GS43" s="44">
        <v>158075</v>
      </c>
      <c r="GT43" s="44" t="s">
        <v>37</v>
      </c>
      <c r="GU43" s="44">
        <v>21311</v>
      </c>
      <c r="GV43" s="44" t="s">
        <v>37</v>
      </c>
      <c r="GW43" s="44">
        <v>156102</v>
      </c>
      <c r="GX43" s="44" t="s">
        <v>37</v>
      </c>
      <c r="GY43" s="44">
        <v>124577</v>
      </c>
      <c r="GZ43" s="44" t="s">
        <v>37</v>
      </c>
      <c r="HA43" s="44">
        <v>251927</v>
      </c>
      <c r="HB43" s="44" t="s">
        <v>37</v>
      </c>
      <c r="HD43" s="44" t="s">
        <v>37</v>
      </c>
      <c r="HF43" s="44" t="s">
        <v>37</v>
      </c>
      <c r="HG43" s="44">
        <v>18410788</v>
      </c>
      <c r="HH43" s="44" t="s">
        <v>37</v>
      </c>
      <c r="HJ43" s="44" t="s">
        <v>37</v>
      </c>
      <c r="HK43" s="44">
        <v>18410788</v>
      </c>
      <c r="HL43" s="44" t="s">
        <v>37</v>
      </c>
    </row>
    <row r="44" spans="1:220">
      <c r="A44" s="150" t="s">
        <v>410</v>
      </c>
      <c r="B44" s="44">
        <v>1720</v>
      </c>
      <c r="C44" s="44" t="s">
        <v>75</v>
      </c>
      <c r="D44" s="44" t="s">
        <v>37</v>
      </c>
      <c r="E44" s="44">
        <v>54809</v>
      </c>
      <c r="F44" s="44" t="s">
        <v>37</v>
      </c>
      <c r="G44" s="44">
        <v>21105</v>
      </c>
      <c r="H44" s="44" t="s">
        <v>37</v>
      </c>
      <c r="J44" s="44" t="s">
        <v>37</v>
      </c>
      <c r="L44" s="48" t="s">
        <v>37</v>
      </c>
      <c r="M44" s="51">
        <v>226616</v>
      </c>
      <c r="N44" s="48" t="s">
        <v>37</v>
      </c>
      <c r="O44" s="51">
        <v>9050</v>
      </c>
      <c r="P44" s="48" t="s">
        <v>37</v>
      </c>
      <c r="Q44" s="51">
        <v>38584</v>
      </c>
      <c r="R44" s="48" t="s">
        <v>37</v>
      </c>
      <c r="S44" s="51">
        <v>3733</v>
      </c>
      <c r="T44" s="48" t="s">
        <v>37</v>
      </c>
      <c r="U44" s="44">
        <v>10530</v>
      </c>
      <c r="V44" s="44" t="s">
        <v>37</v>
      </c>
      <c r="X44" s="44" t="s">
        <v>37</v>
      </c>
      <c r="Z44" s="44" t="s">
        <v>37</v>
      </c>
      <c r="AB44" s="44" t="s">
        <v>37</v>
      </c>
      <c r="AD44" s="44" t="s">
        <v>37</v>
      </c>
      <c r="AF44" s="44" t="s">
        <v>37</v>
      </c>
      <c r="AG44" s="44">
        <v>8442</v>
      </c>
      <c r="AH44" s="44" t="s">
        <v>37</v>
      </c>
      <c r="AI44" s="44">
        <v>1892</v>
      </c>
      <c r="AJ44" s="44" t="s">
        <v>37</v>
      </c>
      <c r="AL44" s="44" t="s">
        <v>37</v>
      </c>
      <c r="AN44" s="44" t="s">
        <v>37</v>
      </c>
      <c r="AP44" s="44" t="s">
        <v>37</v>
      </c>
      <c r="AQ44" s="44">
        <v>110612</v>
      </c>
      <c r="AR44" s="44" t="s">
        <v>37</v>
      </c>
      <c r="AT44" s="44" t="s">
        <v>37</v>
      </c>
      <c r="AU44" s="44">
        <v>228887</v>
      </c>
      <c r="AV44" s="44" t="s">
        <v>37</v>
      </c>
      <c r="AW44" s="44">
        <v>37075</v>
      </c>
      <c r="AX44" s="44" t="s">
        <v>37</v>
      </c>
      <c r="AY44" s="44">
        <v>22427</v>
      </c>
      <c r="AZ44" s="44" t="s">
        <v>37</v>
      </c>
      <c r="BB44" s="44" t="s">
        <v>37</v>
      </c>
      <c r="BC44" s="44">
        <v>2501</v>
      </c>
      <c r="BD44" s="44" t="s">
        <v>37</v>
      </c>
      <c r="BE44" s="44">
        <v>1310</v>
      </c>
      <c r="BF44" s="44" t="s">
        <v>37</v>
      </c>
      <c r="BG44" s="44">
        <v>113570</v>
      </c>
      <c r="BH44" s="44" t="s">
        <v>37</v>
      </c>
      <c r="BJ44" s="44" t="s">
        <v>37</v>
      </c>
      <c r="BK44" s="44">
        <v>4638</v>
      </c>
      <c r="BL44" s="44" t="s">
        <v>37</v>
      </c>
      <c r="BN44" s="44" t="s">
        <v>37</v>
      </c>
      <c r="BP44" s="44" t="s">
        <v>37</v>
      </c>
      <c r="BQ44" s="44">
        <v>10</v>
      </c>
      <c r="BR44" s="44" t="s">
        <v>37</v>
      </c>
      <c r="BT44" s="44" t="s">
        <v>37</v>
      </c>
      <c r="BV44" s="44" t="s">
        <v>37</v>
      </c>
      <c r="BX44" s="44" t="s">
        <v>37</v>
      </c>
      <c r="BZ44" s="44" t="s">
        <v>37</v>
      </c>
      <c r="CB44" s="44" t="s">
        <v>37</v>
      </c>
      <c r="CC44" s="44">
        <v>549</v>
      </c>
      <c r="CD44" s="44" t="s">
        <v>37</v>
      </c>
      <c r="CF44" s="44" t="s">
        <v>37</v>
      </c>
      <c r="CG44" s="44">
        <v>1442</v>
      </c>
      <c r="CH44" s="44" t="s">
        <v>37</v>
      </c>
      <c r="CJ44" s="44" t="s">
        <v>37</v>
      </c>
      <c r="CL44" s="44" t="s">
        <v>37</v>
      </c>
      <c r="CN44" s="44" t="s">
        <v>37</v>
      </c>
      <c r="CP44" s="44" t="s">
        <v>37</v>
      </c>
      <c r="CQ44" s="44">
        <v>279062</v>
      </c>
      <c r="CR44" s="44" t="s">
        <v>37</v>
      </c>
      <c r="CS44" s="44">
        <v>15273</v>
      </c>
      <c r="CT44" s="44" t="s">
        <v>37</v>
      </c>
      <c r="CU44" s="44">
        <v>22623</v>
      </c>
      <c r="CV44" s="44" t="s">
        <v>37</v>
      </c>
      <c r="CW44" s="44">
        <v>13972</v>
      </c>
      <c r="CX44" s="44" t="s">
        <v>37</v>
      </c>
      <c r="CY44" s="44">
        <v>10386</v>
      </c>
      <c r="CZ44" s="44" t="s">
        <v>37</v>
      </c>
      <c r="DB44" s="44" t="s">
        <v>37</v>
      </c>
      <c r="DD44" s="44" t="s">
        <v>37</v>
      </c>
      <c r="DE44" s="44">
        <v>1944</v>
      </c>
      <c r="DF44" s="44" t="s">
        <v>37</v>
      </c>
      <c r="DH44" s="44" t="s">
        <v>37</v>
      </c>
      <c r="DI44" s="44">
        <v>629173</v>
      </c>
      <c r="DJ44" s="44" t="s">
        <v>37</v>
      </c>
      <c r="DK44" s="44">
        <v>17593</v>
      </c>
      <c r="DL44" s="44" t="s">
        <v>37</v>
      </c>
      <c r="DM44" s="44">
        <v>49506</v>
      </c>
      <c r="DN44" s="44" t="s">
        <v>37</v>
      </c>
      <c r="DO44" s="44">
        <v>1309254</v>
      </c>
      <c r="DP44" s="44" t="s">
        <v>37</v>
      </c>
      <c r="DQ44" s="44">
        <v>396066</v>
      </c>
      <c r="DR44" s="44" t="s">
        <v>37</v>
      </c>
      <c r="DS44" s="44">
        <v>123568</v>
      </c>
      <c r="DT44" s="44" t="s">
        <v>37</v>
      </c>
      <c r="DV44" s="44" t="s">
        <v>37</v>
      </c>
      <c r="DX44" s="44" t="s">
        <v>37</v>
      </c>
      <c r="DY44" s="44">
        <v>2863</v>
      </c>
      <c r="DZ44" s="44" t="s">
        <v>37</v>
      </c>
      <c r="EB44" s="44" t="s">
        <v>37</v>
      </c>
      <c r="ED44" s="44" t="s">
        <v>37</v>
      </c>
      <c r="EE44" s="44">
        <v>42789</v>
      </c>
      <c r="EF44" s="44" t="s">
        <v>37</v>
      </c>
      <c r="EG44" s="44">
        <v>1712</v>
      </c>
      <c r="EH44" s="44" t="s">
        <v>37</v>
      </c>
      <c r="EJ44" s="44" t="s">
        <v>37</v>
      </c>
      <c r="EL44" s="44" t="s">
        <v>37</v>
      </c>
      <c r="EN44" s="44" t="s">
        <v>37</v>
      </c>
      <c r="EO44" s="44">
        <v>43405</v>
      </c>
      <c r="EP44" s="44" t="s">
        <v>37</v>
      </c>
      <c r="EQ44" s="44">
        <v>29304</v>
      </c>
      <c r="ER44" s="44" t="s">
        <v>37</v>
      </c>
      <c r="ET44" s="44" t="s">
        <v>37</v>
      </c>
      <c r="EU44" s="44">
        <v>39059</v>
      </c>
      <c r="EV44" s="44" t="s">
        <v>37</v>
      </c>
      <c r="EW44" s="44">
        <v>1029363</v>
      </c>
      <c r="EX44" s="44" t="s">
        <v>37</v>
      </c>
      <c r="EZ44" s="44" t="s">
        <v>37</v>
      </c>
      <c r="FB44" s="44" t="s">
        <v>37</v>
      </c>
      <c r="FC44" s="44">
        <v>137260</v>
      </c>
      <c r="FD44" s="44" t="s">
        <v>37</v>
      </c>
      <c r="FE44" s="44">
        <v>1119</v>
      </c>
      <c r="FF44" s="44" t="s">
        <v>37</v>
      </c>
      <c r="FH44" s="44" t="s">
        <v>37</v>
      </c>
      <c r="FI44" s="44">
        <v>198</v>
      </c>
      <c r="FJ44" s="44" t="s">
        <v>37</v>
      </c>
      <c r="FK44" s="44">
        <v>704820</v>
      </c>
      <c r="FL44" s="44" t="s">
        <v>37</v>
      </c>
      <c r="FM44" s="44">
        <v>290263</v>
      </c>
      <c r="FN44" s="44" t="s">
        <v>37</v>
      </c>
      <c r="FO44" s="44">
        <v>22759</v>
      </c>
      <c r="FP44" s="44" t="s">
        <v>37</v>
      </c>
      <c r="FQ44" s="44">
        <v>18295</v>
      </c>
      <c r="FR44" s="44" t="s">
        <v>37</v>
      </c>
      <c r="FS44" s="44">
        <v>6489</v>
      </c>
      <c r="FT44" s="44" t="s">
        <v>37</v>
      </c>
      <c r="FU44" s="44">
        <v>20526</v>
      </c>
      <c r="FV44" s="44" t="s">
        <v>37</v>
      </c>
      <c r="FW44" s="44">
        <v>6290</v>
      </c>
      <c r="FX44" s="44" t="s">
        <v>37</v>
      </c>
      <c r="FY44" s="44">
        <v>40815</v>
      </c>
      <c r="FZ44" s="44" t="s">
        <v>37</v>
      </c>
      <c r="GA44" s="44">
        <v>472477</v>
      </c>
      <c r="GB44" s="44" t="s">
        <v>37</v>
      </c>
      <c r="GC44" s="44">
        <v>22276</v>
      </c>
      <c r="GD44" s="44" t="s">
        <v>37</v>
      </c>
      <c r="GF44" s="44" t="s">
        <v>37</v>
      </c>
      <c r="GH44" s="44" t="s">
        <v>37</v>
      </c>
      <c r="GJ44" s="44" t="s">
        <v>37</v>
      </c>
      <c r="GK44" s="44">
        <v>1137</v>
      </c>
      <c r="GL44" s="44" t="s">
        <v>37</v>
      </c>
      <c r="GM44" s="44">
        <v>5431</v>
      </c>
      <c r="GN44" s="44" t="s">
        <v>37</v>
      </c>
      <c r="GP44" s="44" t="s">
        <v>37</v>
      </c>
      <c r="GQ44" s="44">
        <v>292651</v>
      </c>
      <c r="GR44" s="44" t="s">
        <v>37</v>
      </c>
      <c r="GT44" s="44" t="s">
        <v>37</v>
      </c>
      <c r="GU44" s="44">
        <v>43210</v>
      </c>
      <c r="GV44" s="44" t="s">
        <v>37</v>
      </c>
      <c r="GW44" s="44">
        <v>19474</v>
      </c>
      <c r="GX44" s="44" t="s">
        <v>37</v>
      </c>
      <c r="GY44" s="44">
        <v>807</v>
      </c>
      <c r="GZ44" s="44" t="s">
        <v>37</v>
      </c>
      <c r="HB44" s="44" t="s">
        <v>37</v>
      </c>
      <c r="HD44" s="44" t="s">
        <v>37</v>
      </c>
      <c r="HF44" s="44" t="s">
        <v>37</v>
      </c>
      <c r="HG44" s="44">
        <v>7060994</v>
      </c>
      <c r="HH44" s="44" t="s">
        <v>37</v>
      </c>
      <c r="HJ44" s="44" t="s">
        <v>37</v>
      </c>
      <c r="HK44" s="44">
        <v>7060994</v>
      </c>
      <c r="HL44" s="44" t="s">
        <v>37</v>
      </c>
    </row>
    <row r="45" spans="1:220">
      <c r="A45" s="150" t="s">
        <v>410</v>
      </c>
      <c r="B45" s="44">
        <v>1730</v>
      </c>
      <c r="C45" s="44" t="s">
        <v>76</v>
      </c>
      <c r="D45" s="44" t="s">
        <v>37</v>
      </c>
      <c r="E45" s="44">
        <v>256402</v>
      </c>
      <c r="F45" s="44" t="s">
        <v>37</v>
      </c>
      <c r="G45" s="44">
        <v>509151</v>
      </c>
      <c r="H45" s="44" t="s">
        <v>37</v>
      </c>
      <c r="I45" s="44">
        <v>4616</v>
      </c>
      <c r="J45" s="44" t="s">
        <v>37</v>
      </c>
      <c r="L45" s="48" t="s">
        <v>37</v>
      </c>
      <c r="M45" s="51">
        <v>1160731</v>
      </c>
      <c r="N45" s="48" t="s">
        <v>37</v>
      </c>
      <c r="O45" s="51">
        <v>139673</v>
      </c>
      <c r="P45" s="48" t="s">
        <v>37</v>
      </c>
      <c r="Q45" s="51">
        <v>8181</v>
      </c>
      <c r="R45" s="48" t="s">
        <v>37</v>
      </c>
      <c r="S45" s="51">
        <v>33612</v>
      </c>
      <c r="T45" s="48" t="s">
        <v>37</v>
      </c>
      <c r="U45" s="44">
        <v>194997</v>
      </c>
      <c r="V45" s="44" t="s">
        <v>37</v>
      </c>
      <c r="X45" s="44" t="s">
        <v>37</v>
      </c>
      <c r="Z45" s="44" t="s">
        <v>37</v>
      </c>
      <c r="AB45" s="44" t="s">
        <v>37</v>
      </c>
      <c r="AD45" s="44" t="s">
        <v>37</v>
      </c>
      <c r="AE45" s="44">
        <v>6498</v>
      </c>
      <c r="AF45" s="44" t="s">
        <v>37</v>
      </c>
      <c r="AG45" s="44">
        <v>38834</v>
      </c>
      <c r="AH45" s="44" t="s">
        <v>37</v>
      </c>
      <c r="AI45" s="44">
        <v>2782</v>
      </c>
      <c r="AJ45" s="44" t="s">
        <v>37</v>
      </c>
      <c r="AK45" s="44">
        <v>21107</v>
      </c>
      <c r="AL45" s="44" t="s">
        <v>37</v>
      </c>
      <c r="AM45" s="44">
        <v>188871</v>
      </c>
      <c r="AN45" s="44" t="s">
        <v>37</v>
      </c>
      <c r="AO45" s="44">
        <v>131286</v>
      </c>
      <c r="AP45" s="44" t="s">
        <v>37</v>
      </c>
      <c r="AQ45" s="44">
        <v>640</v>
      </c>
      <c r="AR45" s="44" t="s">
        <v>37</v>
      </c>
      <c r="AS45" s="44">
        <v>15877</v>
      </c>
      <c r="AT45" s="44" t="s">
        <v>37</v>
      </c>
      <c r="AU45" s="44">
        <v>53843</v>
      </c>
      <c r="AV45" s="44" t="s">
        <v>37</v>
      </c>
      <c r="AW45" s="44">
        <v>318128</v>
      </c>
      <c r="AX45" s="44" t="s">
        <v>37</v>
      </c>
      <c r="AY45" s="44">
        <v>10855</v>
      </c>
      <c r="AZ45" s="44" t="s">
        <v>37</v>
      </c>
      <c r="BB45" s="44" t="s">
        <v>37</v>
      </c>
      <c r="BD45" s="44" t="s">
        <v>37</v>
      </c>
      <c r="BE45" s="44">
        <v>93743</v>
      </c>
      <c r="BF45" s="44" t="s">
        <v>37</v>
      </c>
      <c r="BG45" s="44">
        <v>133436</v>
      </c>
      <c r="BH45" s="44" t="s">
        <v>37</v>
      </c>
      <c r="BI45" s="44">
        <v>23564</v>
      </c>
      <c r="BJ45" s="44" t="s">
        <v>37</v>
      </c>
      <c r="BL45" s="44" t="s">
        <v>37</v>
      </c>
      <c r="BN45" s="44" t="s">
        <v>37</v>
      </c>
      <c r="BP45" s="44" t="s">
        <v>37</v>
      </c>
      <c r="BQ45" s="44">
        <v>2242</v>
      </c>
      <c r="BR45" s="44" t="s">
        <v>37</v>
      </c>
      <c r="BT45" s="44" t="s">
        <v>37</v>
      </c>
      <c r="BU45" s="44">
        <v>1995</v>
      </c>
      <c r="BV45" s="44" t="s">
        <v>37</v>
      </c>
      <c r="BW45" s="44">
        <v>28207</v>
      </c>
      <c r="BX45" s="44" t="s">
        <v>37</v>
      </c>
      <c r="BY45" s="44">
        <v>14549</v>
      </c>
      <c r="BZ45" s="44" t="s">
        <v>37</v>
      </c>
      <c r="CA45" s="44">
        <v>1245</v>
      </c>
      <c r="CB45" s="44" t="s">
        <v>37</v>
      </c>
      <c r="CD45" s="44" t="s">
        <v>37</v>
      </c>
      <c r="CF45" s="44" t="s">
        <v>37</v>
      </c>
      <c r="CG45" s="44">
        <v>491</v>
      </c>
      <c r="CH45" s="44" t="s">
        <v>37</v>
      </c>
      <c r="CJ45" s="44" t="s">
        <v>37</v>
      </c>
      <c r="CK45" s="44">
        <v>17060</v>
      </c>
      <c r="CL45" s="44" t="s">
        <v>37</v>
      </c>
      <c r="CM45" s="44">
        <v>104735</v>
      </c>
      <c r="CN45" s="44" t="s">
        <v>37</v>
      </c>
      <c r="CO45" s="44">
        <v>6454</v>
      </c>
      <c r="CP45" s="44" t="s">
        <v>37</v>
      </c>
      <c r="CQ45" s="44">
        <v>167611</v>
      </c>
      <c r="CR45" s="44" t="s">
        <v>37</v>
      </c>
      <c r="CS45" s="44">
        <v>6576</v>
      </c>
      <c r="CT45" s="44" t="s">
        <v>37</v>
      </c>
      <c r="CU45" s="44">
        <v>277552</v>
      </c>
      <c r="CV45" s="44" t="s">
        <v>37</v>
      </c>
      <c r="CW45" s="44">
        <v>18113</v>
      </c>
      <c r="CX45" s="44" t="s">
        <v>37</v>
      </c>
      <c r="CY45" s="44">
        <v>2184</v>
      </c>
      <c r="CZ45" s="44" t="s">
        <v>37</v>
      </c>
      <c r="DB45" s="44" t="s">
        <v>37</v>
      </c>
      <c r="DD45" s="44" t="s">
        <v>37</v>
      </c>
      <c r="DE45" s="44">
        <v>125004</v>
      </c>
      <c r="DF45" s="44" t="s">
        <v>37</v>
      </c>
      <c r="DG45" s="44">
        <v>391</v>
      </c>
      <c r="DH45" s="44" t="s">
        <v>37</v>
      </c>
      <c r="DI45" s="44">
        <v>26372</v>
      </c>
      <c r="DJ45" s="44" t="s">
        <v>37</v>
      </c>
      <c r="DK45" s="44">
        <v>7027</v>
      </c>
      <c r="DL45" s="44" t="s">
        <v>37</v>
      </c>
      <c r="DM45" s="44">
        <v>167866</v>
      </c>
      <c r="DN45" s="44" t="s">
        <v>37</v>
      </c>
      <c r="DO45" s="44">
        <v>618829</v>
      </c>
      <c r="DP45" s="44" t="s">
        <v>37</v>
      </c>
      <c r="DQ45" s="44">
        <v>4176</v>
      </c>
      <c r="DR45" s="44" t="s">
        <v>37</v>
      </c>
      <c r="DS45" s="44">
        <v>250609</v>
      </c>
      <c r="DT45" s="44" t="s">
        <v>37</v>
      </c>
      <c r="DU45" s="44">
        <v>2814</v>
      </c>
      <c r="DV45" s="44" t="s">
        <v>37</v>
      </c>
      <c r="DX45" s="44" t="s">
        <v>37</v>
      </c>
      <c r="DY45" s="44">
        <v>2427</v>
      </c>
      <c r="DZ45" s="44" t="s">
        <v>37</v>
      </c>
      <c r="EB45" s="44" t="s">
        <v>37</v>
      </c>
      <c r="EC45" s="44">
        <v>13005</v>
      </c>
      <c r="ED45" s="44" t="s">
        <v>37</v>
      </c>
      <c r="EF45" s="44" t="s">
        <v>37</v>
      </c>
      <c r="EG45" s="44">
        <v>420</v>
      </c>
      <c r="EH45" s="44" t="s">
        <v>37</v>
      </c>
      <c r="EJ45" s="44" t="s">
        <v>37</v>
      </c>
      <c r="EL45" s="44" t="s">
        <v>37</v>
      </c>
      <c r="EN45" s="44" t="s">
        <v>37</v>
      </c>
      <c r="EO45" s="44">
        <v>22669</v>
      </c>
      <c r="EP45" s="44" t="s">
        <v>37</v>
      </c>
      <c r="EQ45" s="44">
        <v>11274</v>
      </c>
      <c r="ER45" s="44" t="s">
        <v>37</v>
      </c>
      <c r="ES45" s="44">
        <v>110409</v>
      </c>
      <c r="ET45" s="44" t="s">
        <v>37</v>
      </c>
      <c r="EU45" s="44">
        <v>12398</v>
      </c>
      <c r="EV45" s="44" t="s">
        <v>37</v>
      </c>
      <c r="EW45" s="44">
        <v>20149</v>
      </c>
      <c r="EX45" s="44" t="s">
        <v>37</v>
      </c>
      <c r="EZ45" s="44" t="s">
        <v>37</v>
      </c>
      <c r="FB45" s="44" t="s">
        <v>37</v>
      </c>
      <c r="FC45" s="44">
        <v>283605</v>
      </c>
      <c r="FD45" s="44" t="s">
        <v>37</v>
      </c>
      <c r="FE45" s="44">
        <v>323615</v>
      </c>
      <c r="FF45" s="44" t="s">
        <v>37</v>
      </c>
      <c r="FH45" s="44" t="s">
        <v>37</v>
      </c>
      <c r="FI45" s="44">
        <v>560613</v>
      </c>
      <c r="FJ45" s="44" t="s">
        <v>37</v>
      </c>
      <c r="FK45" s="44">
        <v>53439</v>
      </c>
      <c r="FL45" s="44" t="s">
        <v>37</v>
      </c>
      <c r="FM45" s="44">
        <v>4028</v>
      </c>
      <c r="FN45" s="44" t="s">
        <v>37</v>
      </c>
      <c r="FO45" s="44">
        <v>41772</v>
      </c>
      <c r="FP45" s="44" t="s">
        <v>37</v>
      </c>
      <c r="FQ45" s="44">
        <v>1708</v>
      </c>
      <c r="FR45" s="44" t="s">
        <v>37</v>
      </c>
      <c r="FS45" s="44">
        <v>205193</v>
      </c>
      <c r="FT45" s="44" t="s">
        <v>37</v>
      </c>
      <c r="FU45" s="44">
        <v>6469</v>
      </c>
      <c r="FV45" s="44" t="s">
        <v>37</v>
      </c>
      <c r="FX45" s="44" t="s">
        <v>37</v>
      </c>
      <c r="FY45" s="44">
        <v>60338</v>
      </c>
      <c r="FZ45" s="44" t="s">
        <v>37</v>
      </c>
      <c r="GA45" s="44">
        <v>79818</v>
      </c>
      <c r="GB45" s="44" t="s">
        <v>37</v>
      </c>
      <c r="GC45" s="44">
        <v>91099</v>
      </c>
      <c r="GD45" s="44" t="s">
        <v>37</v>
      </c>
      <c r="GF45" s="44" t="s">
        <v>37</v>
      </c>
      <c r="GG45" s="44">
        <v>231</v>
      </c>
      <c r="GH45" s="44" t="s">
        <v>37</v>
      </c>
      <c r="GJ45" s="44" t="s">
        <v>37</v>
      </c>
      <c r="GK45" s="44">
        <v>119345</v>
      </c>
      <c r="GL45" s="44" t="s">
        <v>37</v>
      </c>
      <c r="GM45" s="44">
        <v>248365</v>
      </c>
      <c r="GN45" s="44" t="s">
        <v>37</v>
      </c>
      <c r="GP45" s="44" t="s">
        <v>37</v>
      </c>
      <c r="GQ45" s="44">
        <v>12678</v>
      </c>
      <c r="GR45" s="44" t="s">
        <v>37</v>
      </c>
      <c r="GS45" s="44">
        <v>175411</v>
      </c>
      <c r="GT45" s="44" t="s">
        <v>37</v>
      </c>
      <c r="GU45" s="44">
        <v>111553</v>
      </c>
      <c r="GV45" s="44" t="s">
        <v>37</v>
      </c>
      <c r="GX45" s="44" t="s">
        <v>37</v>
      </c>
      <c r="GY45" s="44">
        <v>4893</v>
      </c>
      <c r="GZ45" s="44" t="s">
        <v>37</v>
      </c>
      <c r="HA45" s="44">
        <v>9982</v>
      </c>
      <c r="HB45" s="44" t="s">
        <v>37</v>
      </c>
      <c r="HD45" s="44" t="s">
        <v>37</v>
      </c>
      <c r="HF45" s="44" t="s">
        <v>37</v>
      </c>
      <c r="HG45" s="44">
        <v>7785835</v>
      </c>
      <c r="HH45" s="44" t="s">
        <v>37</v>
      </c>
      <c r="HJ45" s="44" t="s">
        <v>37</v>
      </c>
      <c r="HK45" s="44">
        <v>7785835</v>
      </c>
      <c r="HL45" s="44" t="s">
        <v>37</v>
      </c>
    </row>
    <row r="46" spans="1:220">
      <c r="A46" s="150" t="s">
        <v>410</v>
      </c>
      <c r="B46" s="44">
        <v>1740</v>
      </c>
      <c r="C46" s="44" t="s">
        <v>77</v>
      </c>
      <c r="D46" s="44" t="s">
        <v>37</v>
      </c>
      <c r="F46" s="44" t="s">
        <v>37</v>
      </c>
      <c r="G46" s="44">
        <v>1241725</v>
      </c>
      <c r="H46" s="44" t="s">
        <v>37</v>
      </c>
      <c r="I46" s="44">
        <v>486</v>
      </c>
      <c r="J46" s="44" t="s">
        <v>37</v>
      </c>
      <c r="L46" s="48" t="s">
        <v>37</v>
      </c>
      <c r="M46" s="51">
        <v>346995</v>
      </c>
      <c r="N46" s="48" t="s">
        <v>37</v>
      </c>
      <c r="O46" s="51">
        <v>180356</v>
      </c>
      <c r="P46" s="48" t="s">
        <v>37</v>
      </c>
      <c r="Q46" s="51">
        <v>51582</v>
      </c>
      <c r="R46" s="48" t="s">
        <v>37</v>
      </c>
      <c r="S46" s="50"/>
      <c r="T46" s="48" t="s">
        <v>37</v>
      </c>
      <c r="U46" s="44">
        <v>1111058</v>
      </c>
      <c r="V46" s="44" t="s">
        <v>37</v>
      </c>
      <c r="X46" s="44" t="s">
        <v>37</v>
      </c>
      <c r="Z46" s="44" t="s">
        <v>37</v>
      </c>
      <c r="AA46" s="44">
        <v>66471</v>
      </c>
      <c r="AB46" s="44" t="s">
        <v>37</v>
      </c>
      <c r="AD46" s="44" t="s">
        <v>37</v>
      </c>
      <c r="AE46" s="44">
        <v>12765</v>
      </c>
      <c r="AF46" s="44" t="s">
        <v>37</v>
      </c>
      <c r="AH46" s="44" t="s">
        <v>37</v>
      </c>
      <c r="AI46" s="44">
        <v>33748</v>
      </c>
      <c r="AJ46" s="44" t="s">
        <v>37</v>
      </c>
      <c r="AK46" s="44">
        <v>58181</v>
      </c>
      <c r="AL46" s="44" t="s">
        <v>37</v>
      </c>
      <c r="AN46" s="44" t="s">
        <v>37</v>
      </c>
      <c r="AP46" s="44" t="s">
        <v>37</v>
      </c>
      <c r="AQ46" s="44">
        <v>161000</v>
      </c>
      <c r="AR46" s="44" t="s">
        <v>37</v>
      </c>
      <c r="AS46" s="44">
        <v>28299</v>
      </c>
      <c r="AT46" s="44" t="s">
        <v>37</v>
      </c>
      <c r="AU46" s="44">
        <v>1599955</v>
      </c>
      <c r="AV46" s="44" t="s">
        <v>37</v>
      </c>
      <c r="AW46" s="44">
        <v>883516</v>
      </c>
      <c r="AX46" s="44" t="s">
        <v>37</v>
      </c>
      <c r="AY46" s="44">
        <v>328914</v>
      </c>
      <c r="AZ46" s="44" t="s">
        <v>37</v>
      </c>
      <c r="BB46" s="44" t="s">
        <v>37</v>
      </c>
      <c r="BC46" s="44">
        <v>6146</v>
      </c>
      <c r="BD46" s="44" t="s">
        <v>37</v>
      </c>
      <c r="BE46" s="44">
        <v>70159</v>
      </c>
      <c r="BF46" s="44" t="s">
        <v>37</v>
      </c>
      <c r="BH46" s="44" t="s">
        <v>37</v>
      </c>
      <c r="BJ46" s="44" t="s">
        <v>37</v>
      </c>
      <c r="BL46" s="44" t="s">
        <v>37</v>
      </c>
      <c r="BN46" s="44" t="s">
        <v>37</v>
      </c>
      <c r="BP46" s="44" t="s">
        <v>37</v>
      </c>
      <c r="BR46" s="44" t="s">
        <v>37</v>
      </c>
      <c r="BT46" s="44" t="s">
        <v>37</v>
      </c>
      <c r="BU46" s="44">
        <v>350</v>
      </c>
      <c r="BV46" s="44" t="s">
        <v>37</v>
      </c>
      <c r="BX46" s="44" t="s">
        <v>37</v>
      </c>
      <c r="BY46" s="44">
        <v>353160</v>
      </c>
      <c r="BZ46" s="44" t="s">
        <v>37</v>
      </c>
      <c r="CA46" s="44">
        <v>26748</v>
      </c>
      <c r="CB46" s="44" t="s">
        <v>37</v>
      </c>
      <c r="CD46" s="44" t="s">
        <v>37</v>
      </c>
      <c r="CF46" s="44" t="s">
        <v>37</v>
      </c>
      <c r="CG46" s="44">
        <v>64659</v>
      </c>
      <c r="CH46" s="44" t="s">
        <v>37</v>
      </c>
      <c r="CJ46" s="44" t="s">
        <v>37</v>
      </c>
      <c r="CK46" s="44">
        <v>68945</v>
      </c>
      <c r="CL46" s="44" t="s">
        <v>37</v>
      </c>
      <c r="CM46" s="44">
        <v>16039</v>
      </c>
      <c r="CN46" s="44" t="s">
        <v>37</v>
      </c>
      <c r="CO46" s="44">
        <v>11112</v>
      </c>
      <c r="CP46" s="44" t="s">
        <v>37</v>
      </c>
      <c r="CQ46" s="44">
        <v>445</v>
      </c>
      <c r="CR46" s="44" t="s">
        <v>37</v>
      </c>
      <c r="CS46" s="44">
        <v>25713</v>
      </c>
      <c r="CT46" s="44" t="s">
        <v>37</v>
      </c>
      <c r="CU46" s="44">
        <v>162716</v>
      </c>
      <c r="CV46" s="44" t="s">
        <v>37</v>
      </c>
      <c r="CW46" s="44">
        <v>141104</v>
      </c>
      <c r="CX46" s="44" t="s">
        <v>37</v>
      </c>
      <c r="CY46" s="44">
        <v>10376</v>
      </c>
      <c r="CZ46" s="44" t="s">
        <v>37</v>
      </c>
      <c r="DB46" s="44" t="s">
        <v>37</v>
      </c>
      <c r="DD46" s="44" t="s">
        <v>37</v>
      </c>
      <c r="DE46" s="44">
        <v>158758</v>
      </c>
      <c r="DF46" s="44" t="s">
        <v>37</v>
      </c>
      <c r="DH46" s="44" t="s">
        <v>37</v>
      </c>
      <c r="DI46" s="44">
        <v>2141</v>
      </c>
      <c r="DJ46" s="44" t="s">
        <v>37</v>
      </c>
      <c r="DK46" s="44">
        <v>13075</v>
      </c>
      <c r="DL46" s="44" t="s">
        <v>37</v>
      </c>
      <c r="DN46" s="44" t="s">
        <v>37</v>
      </c>
      <c r="DO46" s="44">
        <v>55369</v>
      </c>
      <c r="DP46" s="44" t="s">
        <v>37</v>
      </c>
      <c r="DQ46" s="44">
        <v>52846</v>
      </c>
      <c r="DR46" s="44" t="s">
        <v>37</v>
      </c>
      <c r="DT46" s="44" t="s">
        <v>37</v>
      </c>
      <c r="DU46" s="44">
        <v>262</v>
      </c>
      <c r="DV46" s="44" t="s">
        <v>37</v>
      </c>
      <c r="DW46" s="44">
        <v>884307</v>
      </c>
      <c r="DX46" s="44" t="s">
        <v>37</v>
      </c>
      <c r="DY46" s="44">
        <v>1963</v>
      </c>
      <c r="DZ46" s="44" t="s">
        <v>37</v>
      </c>
      <c r="EB46" s="44" t="s">
        <v>37</v>
      </c>
      <c r="EC46" s="44">
        <v>73043</v>
      </c>
      <c r="ED46" s="44" t="s">
        <v>37</v>
      </c>
      <c r="EE46" s="44">
        <v>1665183</v>
      </c>
      <c r="EF46" s="44" t="s">
        <v>37</v>
      </c>
      <c r="EG46" s="44">
        <v>2517</v>
      </c>
      <c r="EH46" s="44" t="s">
        <v>37</v>
      </c>
      <c r="EJ46" s="44" t="s">
        <v>37</v>
      </c>
      <c r="EK46" s="44">
        <v>41428</v>
      </c>
      <c r="EL46" s="44" t="s">
        <v>37</v>
      </c>
      <c r="EM46" s="44">
        <v>2549</v>
      </c>
      <c r="EN46" s="44" t="s">
        <v>37</v>
      </c>
      <c r="EO46" s="44">
        <v>8089</v>
      </c>
      <c r="EP46" s="44" t="s">
        <v>37</v>
      </c>
      <c r="ER46" s="44" t="s">
        <v>37</v>
      </c>
      <c r="ES46" s="44">
        <v>62095</v>
      </c>
      <c r="ET46" s="44" t="s">
        <v>37</v>
      </c>
      <c r="EU46" s="44">
        <v>186270</v>
      </c>
      <c r="EV46" s="44" t="s">
        <v>37</v>
      </c>
      <c r="EW46" s="44">
        <v>96511</v>
      </c>
      <c r="EX46" s="44" t="s">
        <v>37</v>
      </c>
      <c r="EZ46" s="44" t="s">
        <v>37</v>
      </c>
      <c r="FA46" s="44">
        <v>1309</v>
      </c>
      <c r="FB46" s="44" t="s">
        <v>37</v>
      </c>
      <c r="FD46" s="44" t="s">
        <v>37</v>
      </c>
      <c r="FE46" s="44">
        <v>21777</v>
      </c>
      <c r="FF46" s="44" t="s">
        <v>37</v>
      </c>
      <c r="FH46" s="44" t="s">
        <v>37</v>
      </c>
      <c r="FI46" s="44">
        <v>937186</v>
      </c>
      <c r="FJ46" s="44" t="s">
        <v>37</v>
      </c>
      <c r="FK46" s="44">
        <v>1557</v>
      </c>
      <c r="FL46" s="44" t="s">
        <v>37</v>
      </c>
      <c r="FM46" s="44">
        <v>3065346</v>
      </c>
      <c r="FN46" s="44" t="s">
        <v>37</v>
      </c>
      <c r="FO46" s="44">
        <v>153720</v>
      </c>
      <c r="FP46" s="44" t="s">
        <v>37</v>
      </c>
      <c r="FQ46" s="44">
        <v>96344</v>
      </c>
      <c r="FR46" s="44" t="s">
        <v>37</v>
      </c>
      <c r="FS46" s="44">
        <v>390416</v>
      </c>
      <c r="FT46" s="44" t="s">
        <v>37</v>
      </c>
      <c r="FU46" s="44">
        <v>120300</v>
      </c>
      <c r="FV46" s="44" t="s">
        <v>37</v>
      </c>
      <c r="FW46" s="44">
        <v>90964</v>
      </c>
      <c r="FX46" s="44" t="s">
        <v>37</v>
      </c>
      <c r="FY46" s="44">
        <v>377276</v>
      </c>
      <c r="FZ46" s="44" t="s">
        <v>37</v>
      </c>
      <c r="GA46" s="44">
        <v>293691</v>
      </c>
      <c r="GB46" s="44" t="s">
        <v>37</v>
      </c>
      <c r="GC46" s="44">
        <v>18731</v>
      </c>
      <c r="GD46" s="44" t="s">
        <v>37</v>
      </c>
      <c r="GF46" s="44" t="s">
        <v>37</v>
      </c>
      <c r="GG46" s="44">
        <v>9647</v>
      </c>
      <c r="GH46" s="44" t="s">
        <v>37</v>
      </c>
      <c r="GJ46" s="44" t="s">
        <v>37</v>
      </c>
      <c r="GK46" s="44">
        <v>61195</v>
      </c>
      <c r="GL46" s="44" t="s">
        <v>37</v>
      </c>
      <c r="GM46" s="44">
        <v>65077</v>
      </c>
      <c r="GN46" s="44" t="s">
        <v>37</v>
      </c>
      <c r="GP46" s="44" t="s">
        <v>37</v>
      </c>
      <c r="GQ46" s="44">
        <v>51744</v>
      </c>
      <c r="GR46" s="44" t="s">
        <v>37</v>
      </c>
      <c r="GS46" s="44">
        <v>77164</v>
      </c>
      <c r="GT46" s="44" t="s">
        <v>37</v>
      </c>
      <c r="GU46" s="44">
        <v>46119</v>
      </c>
      <c r="GV46" s="44" t="s">
        <v>37</v>
      </c>
      <c r="GW46" s="44">
        <v>237128</v>
      </c>
      <c r="GX46" s="44" t="s">
        <v>37</v>
      </c>
      <c r="GY46" s="44">
        <v>6316</v>
      </c>
      <c r="GZ46" s="44" t="s">
        <v>37</v>
      </c>
      <c r="HA46" s="44">
        <v>191211</v>
      </c>
      <c r="HB46" s="44" t="s">
        <v>37</v>
      </c>
      <c r="HD46" s="44" t="s">
        <v>37</v>
      </c>
      <c r="HF46" s="44" t="s">
        <v>37</v>
      </c>
      <c r="HG46" s="44">
        <v>16683347</v>
      </c>
      <c r="HH46" s="44" t="s">
        <v>37</v>
      </c>
      <c r="HJ46" s="44" t="s">
        <v>37</v>
      </c>
      <c r="HK46" s="44">
        <v>16683347</v>
      </c>
      <c r="HL46" s="44" t="s">
        <v>37</v>
      </c>
    </row>
    <row r="47" spans="1:220">
      <c r="A47" s="150" t="s">
        <v>410</v>
      </c>
      <c r="B47" s="44">
        <v>1790</v>
      </c>
      <c r="C47" s="44" t="s">
        <v>78</v>
      </c>
      <c r="D47" s="44" t="s">
        <v>37</v>
      </c>
      <c r="E47" s="44">
        <v>274541</v>
      </c>
      <c r="F47" s="44" t="s">
        <v>37</v>
      </c>
      <c r="G47" s="44">
        <v>2384416</v>
      </c>
      <c r="H47" s="44" t="s">
        <v>37</v>
      </c>
      <c r="I47" s="44">
        <v>167916</v>
      </c>
      <c r="J47" s="44" t="s">
        <v>37</v>
      </c>
      <c r="L47" s="48" t="s">
        <v>37</v>
      </c>
      <c r="M47" s="51">
        <v>783691</v>
      </c>
      <c r="N47" s="48" t="s">
        <v>37</v>
      </c>
      <c r="O47" s="51">
        <v>657967</v>
      </c>
      <c r="P47" s="48" t="s">
        <v>37</v>
      </c>
      <c r="Q47" s="51">
        <v>417239</v>
      </c>
      <c r="R47" s="48" t="s">
        <v>37</v>
      </c>
      <c r="S47" s="51">
        <v>648494</v>
      </c>
      <c r="T47" s="48" t="s">
        <v>37</v>
      </c>
      <c r="U47" s="44">
        <v>1083532</v>
      </c>
      <c r="V47" s="44" t="s">
        <v>37</v>
      </c>
      <c r="W47" s="44">
        <v>7174</v>
      </c>
      <c r="X47" s="44" t="s">
        <v>37</v>
      </c>
      <c r="Z47" s="44" t="s">
        <v>37</v>
      </c>
      <c r="AA47" s="44">
        <v>150316</v>
      </c>
      <c r="AB47" s="44" t="s">
        <v>37</v>
      </c>
      <c r="AC47" s="44">
        <v>71099</v>
      </c>
      <c r="AD47" s="44" t="s">
        <v>37</v>
      </c>
      <c r="AE47" s="44">
        <v>158173</v>
      </c>
      <c r="AF47" s="44" t="s">
        <v>37</v>
      </c>
      <c r="AG47" s="44">
        <v>161077</v>
      </c>
      <c r="AH47" s="44" t="s">
        <v>37</v>
      </c>
      <c r="AI47" s="44">
        <v>303987</v>
      </c>
      <c r="AJ47" s="44" t="s">
        <v>37</v>
      </c>
      <c r="AK47" s="44">
        <v>2163</v>
      </c>
      <c r="AL47" s="44" t="s">
        <v>37</v>
      </c>
      <c r="AN47" s="44" t="s">
        <v>37</v>
      </c>
      <c r="AO47" s="44">
        <v>111</v>
      </c>
      <c r="AP47" s="44" t="s">
        <v>37</v>
      </c>
      <c r="AQ47" s="44">
        <v>2867929</v>
      </c>
      <c r="AR47" s="44" t="s">
        <v>37</v>
      </c>
      <c r="AS47" s="44">
        <v>245864</v>
      </c>
      <c r="AT47" s="44" t="s">
        <v>37</v>
      </c>
      <c r="AU47" s="44">
        <v>4620878</v>
      </c>
      <c r="AV47" s="44" t="s">
        <v>37</v>
      </c>
      <c r="AW47" s="44">
        <v>841765</v>
      </c>
      <c r="AX47" s="44" t="s">
        <v>37</v>
      </c>
      <c r="AY47" s="44">
        <v>963951</v>
      </c>
      <c r="AZ47" s="44" t="s">
        <v>37</v>
      </c>
      <c r="BA47" s="44">
        <v>2485583</v>
      </c>
      <c r="BB47" s="44" t="s">
        <v>37</v>
      </c>
      <c r="BC47" s="44">
        <v>60815</v>
      </c>
      <c r="BD47" s="44" t="s">
        <v>37</v>
      </c>
      <c r="BE47" s="44">
        <v>530867</v>
      </c>
      <c r="BF47" s="44" t="s">
        <v>37</v>
      </c>
      <c r="BG47" s="44">
        <v>57148</v>
      </c>
      <c r="BH47" s="44" t="s">
        <v>37</v>
      </c>
      <c r="BI47" s="44">
        <v>7137</v>
      </c>
      <c r="BJ47" s="44" t="s">
        <v>37</v>
      </c>
      <c r="BK47" s="44">
        <v>714386</v>
      </c>
      <c r="BL47" s="44" t="s">
        <v>37</v>
      </c>
      <c r="BM47" s="44">
        <v>1936739</v>
      </c>
      <c r="BN47" s="44" t="s">
        <v>37</v>
      </c>
      <c r="BP47" s="44" t="s">
        <v>37</v>
      </c>
      <c r="BQ47" s="44">
        <v>171566</v>
      </c>
      <c r="BR47" s="44" t="s">
        <v>37</v>
      </c>
      <c r="BS47" s="44">
        <v>203924</v>
      </c>
      <c r="BT47" s="44" t="s">
        <v>37</v>
      </c>
      <c r="BU47" s="44">
        <v>310975</v>
      </c>
      <c r="BV47" s="44" t="s">
        <v>37</v>
      </c>
      <c r="BW47" s="44">
        <v>23845</v>
      </c>
      <c r="BX47" s="44" t="s">
        <v>37</v>
      </c>
      <c r="BY47" s="44">
        <v>1449698</v>
      </c>
      <c r="BZ47" s="44" t="s">
        <v>37</v>
      </c>
      <c r="CA47" s="44">
        <v>270535</v>
      </c>
      <c r="CB47" s="44" t="s">
        <v>37</v>
      </c>
      <c r="CC47" s="44">
        <v>43652</v>
      </c>
      <c r="CD47" s="44" t="s">
        <v>37</v>
      </c>
      <c r="CE47" s="44">
        <v>1134290</v>
      </c>
      <c r="CF47" s="44" t="s">
        <v>37</v>
      </c>
      <c r="CG47" s="44">
        <v>288034</v>
      </c>
      <c r="CH47" s="44" t="s">
        <v>37</v>
      </c>
      <c r="CI47" s="44">
        <v>2206041</v>
      </c>
      <c r="CJ47" s="44" t="s">
        <v>37</v>
      </c>
      <c r="CK47" s="44">
        <v>181662</v>
      </c>
      <c r="CL47" s="44" t="s">
        <v>37</v>
      </c>
      <c r="CM47" s="44">
        <v>509743</v>
      </c>
      <c r="CN47" s="44" t="s">
        <v>37</v>
      </c>
      <c r="CO47" s="44">
        <v>106777</v>
      </c>
      <c r="CP47" s="44" t="s">
        <v>37</v>
      </c>
      <c r="CQ47" s="44">
        <v>15090</v>
      </c>
      <c r="CR47" s="44" t="s">
        <v>37</v>
      </c>
      <c r="CS47" s="44">
        <v>1109345</v>
      </c>
      <c r="CT47" s="44" t="s">
        <v>37</v>
      </c>
      <c r="CU47" s="44">
        <v>14938652</v>
      </c>
      <c r="CV47" s="44" t="s">
        <v>37</v>
      </c>
      <c r="CW47" s="44">
        <v>2086170</v>
      </c>
      <c r="CX47" s="44" t="s">
        <v>37</v>
      </c>
      <c r="CY47" s="44">
        <v>174515</v>
      </c>
      <c r="CZ47" s="44" t="s">
        <v>37</v>
      </c>
      <c r="DA47" s="44">
        <v>510241</v>
      </c>
      <c r="DB47" s="44" t="s">
        <v>37</v>
      </c>
      <c r="DC47" s="44">
        <v>113673</v>
      </c>
      <c r="DD47" s="44" t="s">
        <v>37</v>
      </c>
      <c r="DE47" s="44">
        <v>700795</v>
      </c>
      <c r="DF47" s="44" t="s">
        <v>37</v>
      </c>
      <c r="DG47" s="44">
        <v>61536</v>
      </c>
      <c r="DH47" s="44" t="s">
        <v>37</v>
      </c>
      <c r="DI47" s="44">
        <v>5414834</v>
      </c>
      <c r="DJ47" s="44" t="s">
        <v>37</v>
      </c>
      <c r="DK47" s="44">
        <v>117856</v>
      </c>
      <c r="DL47" s="44" t="s">
        <v>37</v>
      </c>
      <c r="DM47" s="44">
        <v>1123061</v>
      </c>
      <c r="DN47" s="44" t="s">
        <v>37</v>
      </c>
      <c r="DO47" s="44">
        <v>1761</v>
      </c>
      <c r="DP47" s="44" t="s">
        <v>37</v>
      </c>
      <c r="DQ47" s="44">
        <v>395462</v>
      </c>
      <c r="DR47" s="44" t="s">
        <v>37</v>
      </c>
      <c r="DS47" s="44">
        <v>53626</v>
      </c>
      <c r="DT47" s="44" t="s">
        <v>37</v>
      </c>
      <c r="DU47" s="44">
        <v>184128</v>
      </c>
      <c r="DV47" s="44" t="s">
        <v>37</v>
      </c>
      <c r="DW47" s="44">
        <v>3590996</v>
      </c>
      <c r="DX47" s="44" t="s">
        <v>37</v>
      </c>
      <c r="DY47" s="44">
        <v>1607261</v>
      </c>
      <c r="DZ47" s="44" t="s">
        <v>37</v>
      </c>
      <c r="EA47" s="44">
        <v>956641</v>
      </c>
      <c r="EB47" s="44" t="s">
        <v>37</v>
      </c>
      <c r="EC47" s="44">
        <v>729275</v>
      </c>
      <c r="ED47" s="44" t="s">
        <v>37</v>
      </c>
      <c r="EE47" s="44">
        <v>4274675</v>
      </c>
      <c r="EF47" s="44" t="s">
        <v>37</v>
      </c>
      <c r="EG47" s="44">
        <v>79473</v>
      </c>
      <c r="EH47" s="44" t="s">
        <v>37</v>
      </c>
      <c r="EJ47" s="44" t="s">
        <v>37</v>
      </c>
      <c r="EK47" s="44">
        <v>239985</v>
      </c>
      <c r="EL47" s="44" t="s">
        <v>37</v>
      </c>
      <c r="EM47" s="44">
        <v>118335</v>
      </c>
      <c r="EN47" s="44" t="s">
        <v>37</v>
      </c>
      <c r="EO47" s="44">
        <v>31826</v>
      </c>
      <c r="EP47" s="44" t="s">
        <v>37</v>
      </c>
      <c r="EQ47" s="44">
        <v>117076</v>
      </c>
      <c r="ER47" s="44" t="s">
        <v>37</v>
      </c>
      <c r="ES47" s="44">
        <v>343939</v>
      </c>
      <c r="ET47" s="44" t="s">
        <v>37</v>
      </c>
      <c r="EU47" s="44">
        <v>503629</v>
      </c>
      <c r="EV47" s="44" t="s">
        <v>37</v>
      </c>
      <c r="EW47" s="44">
        <v>794856</v>
      </c>
      <c r="EX47" s="44" t="s">
        <v>37</v>
      </c>
      <c r="EZ47" s="44" t="s">
        <v>37</v>
      </c>
      <c r="FA47" s="44">
        <v>526801</v>
      </c>
      <c r="FB47" s="44" t="s">
        <v>37</v>
      </c>
      <c r="FC47" s="44">
        <v>490522</v>
      </c>
      <c r="FD47" s="44" t="s">
        <v>37</v>
      </c>
      <c r="FE47" s="44">
        <v>256965</v>
      </c>
      <c r="FF47" s="44" t="s">
        <v>37</v>
      </c>
      <c r="FG47" s="44">
        <v>28697</v>
      </c>
      <c r="FH47" s="44" t="s">
        <v>37</v>
      </c>
      <c r="FI47" s="44">
        <v>1783443</v>
      </c>
      <c r="FJ47" s="44" t="s">
        <v>37</v>
      </c>
      <c r="FK47" s="44">
        <v>2337707</v>
      </c>
      <c r="FL47" s="44" t="s">
        <v>37</v>
      </c>
      <c r="FM47" s="44">
        <v>4204176</v>
      </c>
      <c r="FN47" s="44" t="s">
        <v>37</v>
      </c>
      <c r="FO47" s="44">
        <v>381580</v>
      </c>
      <c r="FP47" s="44" t="s">
        <v>37</v>
      </c>
      <c r="FQ47" s="44">
        <v>728556</v>
      </c>
      <c r="FR47" s="44" t="s">
        <v>37</v>
      </c>
      <c r="FS47" s="44">
        <v>1565510</v>
      </c>
      <c r="FT47" s="44" t="s">
        <v>37</v>
      </c>
      <c r="FU47" s="44">
        <v>475228</v>
      </c>
      <c r="FV47" s="44" t="s">
        <v>37</v>
      </c>
      <c r="FW47" s="44">
        <v>493432</v>
      </c>
      <c r="FX47" s="44" t="s">
        <v>37</v>
      </c>
      <c r="FY47" s="44">
        <v>1164826</v>
      </c>
      <c r="FZ47" s="44" t="s">
        <v>37</v>
      </c>
      <c r="GA47" s="44">
        <v>592774</v>
      </c>
      <c r="GB47" s="44" t="s">
        <v>37</v>
      </c>
      <c r="GC47" s="44">
        <v>690193</v>
      </c>
      <c r="GD47" s="44" t="s">
        <v>37</v>
      </c>
      <c r="GE47" s="44">
        <v>53806</v>
      </c>
      <c r="GF47" s="44" t="s">
        <v>37</v>
      </c>
      <c r="GH47" s="44" t="s">
        <v>37</v>
      </c>
      <c r="GI47" s="44">
        <v>215400</v>
      </c>
      <c r="GJ47" s="44" t="s">
        <v>37</v>
      </c>
      <c r="GK47" s="44">
        <v>772672</v>
      </c>
      <c r="GL47" s="44" t="s">
        <v>37</v>
      </c>
      <c r="GM47" s="44">
        <v>618226</v>
      </c>
      <c r="GN47" s="44" t="s">
        <v>37</v>
      </c>
      <c r="GP47" s="44" t="s">
        <v>37</v>
      </c>
      <c r="GQ47" s="44">
        <v>7578</v>
      </c>
      <c r="GR47" s="44" t="s">
        <v>37</v>
      </c>
      <c r="GS47" s="44">
        <v>552384</v>
      </c>
      <c r="GT47" s="44" t="s">
        <v>37</v>
      </c>
      <c r="GU47" s="44">
        <v>771660</v>
      </c>
      <c r="GV47" s="44" t="s">
        <v>37</v>
      </c>
      <c r="GW47" s="44">
        <v>638031</v>
      </c>
      <c r="GX47" s="44" t="s">
        <v>37</v>
      </c>
      <c r="GY47" s="44">
        <v>2927230</v>
      </c>
      <c r="GZ47" s="44" t="s">
        <v>37</v>
      </c>
      <c r="HA47" s="44">
        <v>947352</v>
      </c>
      <c r="HB47" s="44" t="s">
        <v>37</v>
      </c>
      <c r="HD47" s="44" t="s">
        <v>37</v>
      </c>
      <c r="HF47" s="44" t="s">
        <v>37</v>
      </c>
      <c r="HG47" s="44">
        <v>93119161</v>
      </c>
      <c r="HH47" s="44" t="s">
        <v>37</v>
      </c>
      <c r="HJ47" s="44" t="s">
        <v>37</v>
      </c>
      <c r="HK47" s="44">
        <v>93119161</v>
      </c>
      <c r="HL47" s="44" t="s">
        <v>37</v>
      </c>
    </row>
    <row r="48" spans="1:220">
      <c r="A48" s="150" t="s">
        <v>410</v>
      </c>
      <c r="B48" s="44">
        <v>1900</v>
      </c>
      <c r="C48" s="44" t="s">
        <v>79</v>
      </c>
      <c r="D48" s="44" t="s">
        <v>37</v>
      </c>
      <c r="F48" s="44" t="s">
        <v>37</v>
      </c>
      <c r="H48" s="44" t="s">
        <v>37</v>
      </c>
      <c r="J48" s="44" t="s">
        <v>37</v>
      </c>
      <c r="L48" s="48" t="s">
        <v>37</v>
      </c>
      <c r="M48" s="50"/>
      <c r="N48" s="48" t="s">
        <v>37</v>
      </c>
      <c r="O48" s="50"/>
      <c r="P48" s="48" t="s">
        <v>37</v>
      </c>
      <c r="Q48" s="50"/>
      <c r="R48" s="48" t="s">
        <v>37</v>
      </c>
      <c r="S48" s="50"/>
      <c r="T48" s="48" t="s">
        <v>37</v>
      </c>
      <c r="V48" s="44" t="s">
        <v>37</v>
      </c>
      <c r="X48" s="44" t="s">
        <v>37</v>
      </c>
      <c r="Z48" s="44" t="s">
        <v>37</v>
      </c>
      <c r="AB48" s="44" t="s">
        <v>37</v>
      </c>
      <c r="AD48" s="44" t="s">
        <v>37</v>
      </c>
      <c r="AF48" s="44" t="s">
        <v>37</v>
      </c>
      <c r="AH48" s="44" t="s">
        <v>37</v>
      </c>
      <c r="AJ48" s="44" t="s">
        <v>37</v>
      </c>
      <c r="AL48" s="44" t="s">
        <v>37</v>
      </c>
      <c r="AN48" s="44" t="s">
        <v>37</v>
      </c>
      <c r="AP48" s="44" t="s">
        <v>37</v>
      </c>
      <c r="AR48" s="44" t="s">
        <v>37</v>
      </c>
      <c r="AT48" s="44" t="s">
        <v>37</v>
      </c>
      <c r="AV48" s="44" t="s">
        <v>37</v>
      </c>
      <c r="AX48" s="44" t="s">
        <v>37</v>
      </c>
      <c r="AZ48" s="44" t="s">
        <v>37</v>
      </c>
      <c r="BB48" s="44" t="s">
        <v>37</v>
      </c>
      <c r="BD48" s="44" t="s">
        <v>37</v>
      </c>
      <c r="BF48" s="44" t="s">
        <v>37</v>
      </c>
      <c r="BH48" s="44" t="s">
        <v>37</v>
      </c>
      <c r="BJ48" s="44" t="s">
        <v>37</v>
      </c>
      <c r="BL48" s="44" t="s">
        <v>37</v>
      </c>
      <c r="BN48" s="44" t="s">
        <v>37</v>
      </c>
      <c r="BP48" s="44" t="s">
        <v>37</v>
      </c>
      <c r="BR48" s="44" t="s">
        <v>37</v>
      </c>
      <c r="BT48" s="44" t="s">
        <v>37</v>
      </c>
      <c r="BV48" s="44" t="s">
        <v>37</v>
      </c>
      <c r="BX48" s="44" t="s">
        <v>37</v>
      </c>
      <c r="BZ48" s="44" t="s">
        <v>37</v>
      </c>
      <c r="CB48" s="44" t="s">
        <v>37</v>
      </c>
      <c r="CD48" s="44" t="s">
        <v>37</v>
      </c>
      <c r="CF48" s="44" t="s">
        <v>37</v>
      </c>
      <c r="CH48" s="44" t="s">
        <v>37</v>
      </c>
      <c r="CJ48" s="44" t="s">
        <v>37</v>
      </c>
      <c r="CL48" s="44" t="s">
        <v>37</v>
      </c>
      <c r="CN48" s="44" t="s">
        <v>37</v>
      </c>
      <c r="CP48" s="44" t="s">
        <v>37</v>
      </c>
      <c r="CR48" s="44" t="s">
        <v>37</v>
      </c>
      <c r="CT48" s="44" t="s">
        <v>37</v>
      </c>
      <c r="CV48" s="44" t="s">
        <v>37</v>
      </c>
      <c r="CX48" s="44" t="s">
        <v>37</v>
      </c>
      <c r="CZ48" s="44" t="s">
        <v>37</v>
      </c>
      <c r="DB48" s="44" t="s">
        <v>37</v>
      </c>
      <c r="DD48" s="44" t="s">
        <v>37</v>
      </c>
      <c r="DF48" s="44" t="s">
        <v>37</v>
      </c>
      <c r="DH48" s="44" t="s">
        <v>37</v>
      </c>
      <c r="DJ48" s="44" t="s">
        <v>37</v>
      </c>
      <c r="DL48" s="44" t="s">
        <v>37</v>
      </c>
      <c r="DN48" s="44" t="s">
        <v>37</v>
      </c>
      <c r="DP48" s="44" t="s">
        <v>37</v>
      </c>
      <c r="DR48" s="44" t="s">
        <v>37</v>
      </c>
      <c r="DT48" s="44" t="s">
        <v>37</v>
      </c>
      <c r="DV48" s="44" t="s">
        <v>37</v>
      </c>
      <c r="DX48" s="44" t="s">
        <v>37</v>
      </c>
      <c r="DZ48" s="44" t="s">
        <v>37</v>
      </c>
      <c r="EB48" s="44" t="s">
        <v>37</v>
      </c>
      <c r="ED48" s="44" t="s">
        <v>37</v>
      </c>
      <c r="EF48" s="44" t="s">
        <v>37</v>
      </c>
      <c r="EH48" s="44" t="s">
        <v>37</v>
      </c>
      <c r="EJ48" s="44" t="s">
        <v>37</v>
      </c>
      <c r="EL48" s="44" t="s">
        <v>37</v>
      </c>
      <c r="EN48" s="44" t="s">
        <v>37</v>
      </c>
      <c r="EP48" s="44" t="s">
        <v>37</v>
      </c>
      <c r="ER48" s="44" t="s">
        <v>37</v>
      </c>
      <c r="ET48" s="44" t="s">
        <v>37</v>
      </c>
      <c r="EV48" s="44" t="s">
        <v>37</v>
      </c>
      <c r="EX48" s="44" t="s">
        <v>37</v>
      </c>
      <c r="EZ48" s="44" t="s">
        <v>37</v>
      </c>
      <c r="FB48" s="44" t="s">
        <v>37</v>
      </c>
      <c r="FD48" s="44" t="s">
        <v>37</v>
      </c>
      <c r="FF48" s="44" t="s">
        <v>37</v>
      </c>
      <c r="FH48" s="44" t="s">
        <v>37</v>
      </c>
      <c r="FJ48" s="44" t="s">
        <v>37</v>
      </c>
      <c r="FL48" s="44" t="s">
        <v>37</v>
      </c>
      <c r="FN48" s="44" t="s">
        <v>37</v>
      </c>
      <c r="FP48" s="44" t="s">
        <v>37</v>
      </c>
      <c r="FR48" s="44" t="s">
        <v>37</v>
      </c>
      <c r="FT48" s="44" t="s">
        <v>37</v>
      </c>
      <c r="FV48" s="44" t="s">
        <v>37</v>
      </c>
      <c r="FX48" s="44" t="s">
        <v>37</v>
      </c>
      <c r="FZ48" s="44" t="s">
        <v>37</v>
      </c>
      <c r="GB48" s="44" t="s">
        <v>37</v>
      </c>
      <c r="GD48" s="44" t="s">
        <v>37</v>
      </c>
      <c r="GF48" s="44" t="s">
        <v>37</v>
      </c>
      <c r="GH48" s="44" t="s">
        <v>37</v>
      </c>
      <c r="GJ48" s="44" t="s">
        <v>37</v>
      </c>
      <c r="GL48" s="44" t="s">
        <v>37</v>
      </c>
      <c r="GN48" s="44" t="s">
        <v>37</v>
      </c>
      <c r="GP48" s="44" t="s">
        <v>37</v>
      </c>
      <c r="GR48" s="44" t="s">
        <v>37</v>
      </c>
      <c r="GT48" s="44" t="s">
        <v>37</v>
      </c>
      <c r="GV48" s="44" t="s">
        <v>37</v>
      </c>
      <c r="GX48" s="44" t="s">
        <v>37</v>
      </c>
      <c r="GZ48" s="44" t="s">
        <v>37</v>
      </c>
      <c r="HB48" s="44" t="s">
        <v>37</v>
      </c>
      <c r="HD48" s="44" t="s">
        <v>37</v>
      </c>
      <c r="HF48" s="44" t="s">
        <v>37</v>
      </c>
      <c r="HH48" s="44" t="s">
        <v>37</v>
      </c>
      <c r="HJ48" s="44" t="s">
        <v>37</v>
      </c>
      <c r="HL48" s="44" t="s">
        <v>37</v>
      </c>
    </row>
    <row r="49" spans="1:220">
      <c r="A49" s="150" t="s">
        <v>410</v>
      </c>
      <c r="B49" s="44">
        <v>1910</v>
      </c>
      <c r="C49" s="44" t="s">
        <v>80</v>
      </c>
      <c r="D49" s="44" t="s">
        <v>37</v>
      </c>
      <c r="F49" s="44" t="s">
        <v>37</v>
      </c>
      <c r="G49" s="44">
        <v>39477</v>
      </c>
      <c r="H49" s="44" t="s">
        <v>37</v>
      </c>
      <c r="I49" s="44">
        <v>5515</v>
      </c>
      <c r="J49" s="44" t="s">
        <v>37</v>
      </c>
      <c r="L49" s="48" t="s">
        <v>37</v>
      </c>
      <c r="M49" s="51">
        <v>10850</v>
      </c>
      <c r="N49" s="48" t="s">
        <v>37</v>
      </c>
      <c r="O49" s="51">
        <v>5098</v>
      </c>
      <c r="P49" s="48" t="s">
        <v>37</v>
      </c>
      <c r="Q49" s="50"/>
      <c r="R49" s="48" t="s">
        <v>37</v>
      </c>
      <c r="S49" s="50"/>
      <c r="T49" s="48" t="s">
        <v>37</v>
      </c>
      <c r="U49" s="44">
        <v>37893</v>
      </c>
      <c r="V49" s="44" t="s">
        <v>37</v>
      </c>
      <c r="X49" s="44" t="s">
        <v>37</v>
      </c>
      <c r="Z49" s="44" t="s">
        <v>37</v>
      </c>
      <c r="AA49" s="44">
        <v>540</v>
      </c>
      <c r="AB49" s="44" t="s">
        <v>37</v>
      </c>
      <c r="AC49" s="44">
        <v>3690</v>
      </c>
      <c r="AD49" s="44" t="s">
        <v>37</v>
      </c>
      <c r="AF49" s="44" t="s">
        <v>37</v>
      </c>
      <c r="AH49" s="44" t="s">
        <v>37</v>
      </c>
      <c r="AI49" s="44">
        <v>1130</v>
      </c>
      <c r="AJ49" s="44" t="s">
        <v>37</v>
      </c>
      <c r="AL49" s="44" t="s">
        <v>37</v>
      </c>
      <c r="AM49" s="44">
        <v>1555</v>
      </c>
      <c r="AN49" s="44" t="s">
        <v>37</v>
      </c>
      <c r="AO49" s="44">
        <v>18392</v>
      </c>
      <c r="AP49" s="44" t="s">
        <v>37</v>
      </c>
      <c r="AQ49" s="44">
        <v>302338</v>
      </c>
      <c r="AR49" s="44" t="s">
        <v>37</v>
      </c>
      <c r="AT49" s="44" t="s">
        <v>37</v>
      </c>
      <c r="AU49" s="44">
        <v>411122</v>
      </c>
      <c r="AV49" s="44" t="s">
        <v>37</v>
      </c>
      <c r="AW49" s="44">
        <v>6735</v>
      </c>
      <c r="AX49" s="44" t="s">
        <v>37</v>
      </c>
      <c r="AY49" s="44">
        <v>22796</v>
      </c>
      <c r="AZ49" s="44" t="s">
        <v>37</v>
      </c>
      <c r="BA49" s="44">
        <v>4086</v>
      </c>
      <c r="BB49" s="44" t="s">
        <v>37</v>
      </c>
      <c r="BC49" s="44">
        <v>20409</v>
      </c>
      <c r="BD49" s="44" t="s">
        <v>37</v>
      </c>
      <c r="BE49" s="44">
        <v>14936</v>
      </c>
      <c r="BF49" s="44" t="s">
        <v>37</v>
      </c>
      <c r="BG49" s="44">
        <v>825</v>
      </c>
      <c r="BH49" s="44" t="s">
        <v>37</v>
      </c>
      <c r="BJ49" s="44" t="s">
        <v>37</v>
      </c>
      <c r="BL49" s="44" t="s">
        <v>37</v>
      </c>
      <c r="BM49" s="44">
        <v>7661</v>
      </c>
      <c r="BN49" s="44" t="s">
        <v>37</v>
      </c>
      <c r="BP49" s="44" t="s">
        <v>37</v>
      </c>
      <c r="BR49" s="44" t="s">
        <v>37</v>
      </c>
      <c r="BS49" s="44">
        <v>3000</v>
      </c>
      <c r="BT49" s="44" t="s">
        <v>37</v>
      </c>
      <c r="BU49" s="44">
        <v>150</v>
      </c>
      <c r="BV49" s="44" t="s">
        <v>37</v>
      </c>
      <c r="BX49" s="44" t="s">
        <v>37</v>
      </c>
      <c r="BY49" s="44">
        <v>12265</v>
      </c>
      <c r="BZ49" s="44" t="s">
        <v>37</v>
      </c>
      <c r="CA49" s="44">
        <v>12515</v>
      </c>
      <c r="CB49" s="44" t="s">
        <v>37</v>
      </c>
      <c r="CD49" s="44" t="s">
        <v>37</v>
      </c>
      <c r="CE49" s="44">
        <v>800</v>
      </c>
      <c r="CF49" s="44" t="s">
        <v>37</v>
      </c>
      <c r="CG49" s="44">
        <v>2358</v>
      </c>
      <c r="CH49" s="44" t="s">
        <v>37</v>
      </c>
      <c r="CI49" s="44">
        <v>43709</v>
      </c>
      <c r="CJ49" s="44" t="s">
        <v>37</v>
      </c>
      <c r="CL49" s="44" t="s">
        <v>37</v>
      </c>
      <c r="CM49" s="44">
        <v>16326</v>
      </c>
      <c r="CN49" s="44" t="s">
        <v>37</v>
      </c>
      <c r="CP49" s="44" t="s">
        <v>37</v>
      </c>
      <c r="CQ49" s="44">
        <v>560</v>
      </c>
      <c r="CR49" s="44" t="s">
        <v>37</v>
      </c>
      <c r="CS49" s="44">
        <v>35970</v>
      </c>
      <c r="CT49" s="44" t="s">
        <v>37</v>
      </c>
      <c r="CU49" s="44">
        <v>33981</v>
      </c>
      <c r="CV49" s="44" t="s">
        <v>37</v>
      </c>
      <c r="CW49" s="44">
        <v>14770</v>
      </c>
      <c r="CX49" s="44" t="s">
        <v>37</v>
      </c>
      <c r="CZ49" s="44" t="s">
        <v>37</v>
      </c>
      <c r="DB49" s="44" t="s">
        <v>37</v>
      </c>
      <c r="DD49" s="44" t="s">
        <v>37</v>
      </c>
      <c r="DE49" s="44">
        <v>760</v>
      </c>
      <c r="DF49" s="44" t="s">
        <v>37</v>
      </c>
      <c r="DG49" s="44">
        <v>8412</v>
      </c>
      <c r="DH49" s="44" t="s">
        <v>37</v>
      </c>
      <c r="DI49" s="44">
        <v>109152</v>
      </c>
      <c r="DJ49" s="44" t="s">
        <v>37</v>
      </c>
      <c r="DL49" s="44" t="s">
        <v>37</v>
      </c>
      <c r="DM49" s="44">
        <v>25933</v>
      </c>
      <c r="DN49" s="44" t="s">
        <v>37</v>
      </c>
      <c r="DO49" s="44">
        <v>46588</v>
      </c>
      <c r="DP49" s="44" t="s">
        <v>37</v>
      </c>
      <c r="DR49" s="44" t="s">
        <v>37</v>
      </c>
      <c r="DS49" s="44">
        <v>683</v>
      </c>
      <c r="DT49" s="44" t="s">
        <v>37</v>
      </c>
      <c r="DV49" s="44" t="s">
        <v>37</v>
      </c>
      <c r="DW49" s="44">
        <v>225915</v>
      </c>
      <c r="DX49" s="44" t="s">
        <v>37</v>
      </c>
      <c r="DZ49" s="44" t="s">
        <v>37</v>
      </c>
      <c r="EA49" s="44">
        <v>50098</v>
      </c>
      <c r="EB49" s="44" t="s">
        <v>37</v>
      </c>
      <c r="EC49" s="44">
        <v>17870</v>
      </c>
      <c r="ED49" s="44" t="s">
        <v>37</v>
      </c>
      <c r="EE49" s="44">
        <v>55418</v>
      </c>
      <c r="EF49" s="44" t="s">
        <v>37</v>
      </c>
      <c r="EG49" s="44">
        <v>11519</v>
      </c>
      <c r="EH49" s="44" t="s">
        <v>37</v>
      </c>
      <c r="EI49" s="44">
        <v>2700</v>
      </c>
      <c r="EJ49" s="44" t="s">
        <v>37</v>
      </c>
      <c r="EK49" s="44">
        <v>14942</v>
      </c>
      <c r="EL49" s="44" t="s">
        <v>37</v>
      </c>
      <c r="EM49" s="44">
        <v>19660</v>
      </c>
      <c r="EN49" s="44" t="s">
        <v>37</v>
      </c>
      <c r="EO49" s="44">
        <v>3616</v>
      </c>
      <c r="EP49" s="44" t="s">
        <v>37</v>
      </c>
      <c r="EQ49" s="44">
        <v>1550</v>
      </c>
      <c r="ER49" s="44" t="s">
        <v>37</v>
      </c>
      <c r="ES49" s="44">
        <v>5341</v>
      </c>
      <c r="ET49" s="44" t="s">
        <v>37</v>
      </c>
      <c r="EU49" s="44">
        <v>5854</v>
      </c>
      <c r="EV49" s="44" t="s">
        <v>37</v>
      </c>
      <c r="EW49" s="44">
        <v>15836</v>
      </c>
      <c r="EX49" s="44" t="s">
        <v>37</v>
      </c>
      <c r="EZ49" s="44" t="s">
        <v>37</v>
      </c>
      <c r="FA49" s="44">
        <v>20041</v>
      </c>
      <c r="FB49" s="44" t="s">
        <v>37</v>
      </c>
      <c r="FC49" s="44">
        <v>51510</v>
      </c>
      <c r="FD49" s="44" t="s">
        <v>37</v>
      </c>
      <c r="FE49" s="44">
        <v>20553</v>
      </c>
      <c r="FF49" s="44" t="s">
        <v>37</v>
      </c>
      <c r="FH49" s="44" t="s">
        <v>37</v>
      </c>
      <c r="FI49" s="44">
        <v>34581</v>
      </c>
      <c r="FJ49" s="44" t="s">
        <v>37</v>
      </c>
      <c r="FK49" s="44">
        <v>44289</v>
      </c>
      <c r="FL49" s="44" t="s">
        <v>37</v>
      </c>
      <c r="FM49" s="44">
        <v>138410</v>
      </c>
      <c r="FN49" s="44" t="s">
        <v>37</v>
      </c>
      <c r="FP49" s="44" t="s">
        <v>37</v>
      </c>
      <c r="FR49" s="44" t="s">
        <v>37</v>
      </c>
      <c r="FS49" s="44">
        <v>4000</v>
      </c>
      <c r="FT49" s="44" t="s">
        <v>37</v>
      </c>
      <c r="FV49" s="44" t="s">
        <v>37</v>
      </c>
      <c r="FW49" s="44">
        <v>3022</v>
      </c>
      <c r="FX49" s="44" t="s">
        <v>37</v>
      </c>
      <c r="FY49" s="44">
        <v>18175</v>
      </c>
      <c r="FZ49" s="44" t="s">
        <v>37</v>
      </c>
      <c r="GA49" s="44">
        <v>86090</v>
      </c>
      <c r="GB49" s="44" t="s">
        <v>37</v>
      </c>
      <c r="GC49" s="44">
        <v>52928</v>
      </c>
      <c r="GD49" s="44" t="s">
        <v>37</v>
      </c>
      <c r="GF49" s="44" t="s">
        <v>37</v>
      </c>
      <c r="GH49" s="44" t="s">
        <v>37</v>
      </c>
      <c r="GJ49" s="44" t="s">
        <v>37</v>
      </c>
      <c r="GK49" s="44">
        <v>35725</v>
      </c>
      <c r="GL49" s="44" t="s">
        <v>37</v>
      </c>
      <c r="GM49" s="44">
        <v>60065</v>
      </c>
      <c r="GN49" s="44" t="s">
        <v>37</v>
      </c>
      <c r="GP49" s="44" t="s">
        <v>37</v>
      </c>
      <c r="GQ49" s="44">
        <v>4581</v>
      </c>
      <c r="GR49" s="44" t="s">
        <v>37</v>
      </c>
      <c r="GS49" s="44">
        <v>140</v>
      </c>
      <c r="GT49" s="44" t="s">
        <v>37</v>
      </c>
      <c r="GU49" s="44">
        <v>1400</v>
      </c>
      <c r="GV49" s="44" t="s">
        <v>37</v>
      </c>
      <c r="GW49" s="44">
        <v>25390</v>
      </c>
      <c r="GX49" s="44" t="s">
        <v>37</v>
      </c>
      <c r="GY49" s="44">
        <v>49843</v>
      </c>
      <c r="GZ49" s="44" t="s">
        <v>37</v>
      </c>
      <c r="HA49" s="44">
        <v>28610</v>
      </c>
      <c r="HB49" s="44" t="s">
        <v>37</v>
      </c>
      <c r="HD49" s="44" t="s">
        <v>37</v>
      </c>
      <c r="HF49" s="44" t="s">
        <v>37</v>
      </c>
      <c r="HG49" s="44">
        <v>2392652</v>
      </c>
      <c r="HH49" s="44" t="s">
        <v>37</v>
      </c>
      <c r="HJ49" s="44" t="s">
        <v>37</v>
      </c>
      <c r="HK49" s="44">
        <v>2392652</v>
      </c>
      <c r="HL49" s="44" t="s">
        <v>37</v>
      </c>
    </row>
    <row r="50" spans="1:220">
      <c r="A50" s="150" t="s">
        <v>410</v>
      </c>
      <c r="B50" s="44">
        <v>1920</v>
      </c>
      <c r="C50" s="44" t="s">
        <v>81</v>
      </c>
      <c r="D50" s="44" t="s">
        <v>37</v>
      </c>
      <c r="E50" s="44">
        <v>10351</v>
      </c>
      <c r="F50" s="44" t="s">
        <v>37</v>
      </c>
      <c r="G50" s="44">
        <v>430471</v>
      </c>
      <c r="H50" s="44" t="s">
        <v>37</v>
      </c>
      <c r="I50" s="44">
        <v>5483</v>
      </c>
      <c r="J50" s="44" t="s">
        <v>37</v>
      </c>
      <c r="K50" s="44">
        <v>300000</v>
      </c>
      <c r="L50" s="48" t="s">
        <v>37</v>
      </c>
      <c r="M50" s="51">
        <v>123801</v>
      </c>
      <c r="N50" s="48" t="s">
        <v>37</v>
      </c>
      <c r="O50" s="51">
        <v>187152</v>
      </c>
      <c r="P50" s="48" t="s">
        <v>37</v>
      </c>
      <c r="Q50" s="50"/>
      <c r="R50" s="48" t="s">
        <v>37</v>
      </c>
      <c r="S50" s="51">
        <v>27106</v>
      </c>
      <c r="T50" s="48" t="s">
        <v>37</v>
      </c>
      <c r="U50" s="44">
        <v>114319</v>
      </c>
      <c r="V50" s="44" t="s">
        <v>37</v>
      </c>
      <c r="W50" s="44">
        <v>8178</v>
      </c>
      <c r="X50" s="44" t="s">
        <v>37</v>
      </c>
      <c r="Z50" s="44" t="s">
        <v>37</v>
      </c>
      <c r="AA50" s="44">
        <v>11725</v>
      </c>
      <c r="AB50" s="44" t="s">
        <v>37</v>
      </c>
      <c r="AC50" s="44">
        <v>86618</v>
      </c>
      <c r="AD50" s="44" t="s">
        <v>37</v>
      </c>
      <c r="AF50" s="44" t="s">
        <v>37</v>
      </c>
      <c r="AG50" s="44">
        <v>536</v>
      </c>
      <c r="AH50" s="44" t="s">
        <v>37</v>
      </c>
      <c r="AI50" s="44">
        <v>21130</v>
      </c>
      <c r="AJ50" s="44" t="s">
        <v>37</v>
      </c>
      <c r="AL50" s="44" t="s">
        <v>37</v>
      </c>
      <c r="AM50" s="44">
        <v>18622</v>
      </c>
      <c r="AN50" s="44" t="s">
        <v>37</v>
      </c>
      <c r="AP50" s="44" t="s">
        <v>37</v>
      </c>
      <c r="AQ50" s="44">
        <v>492671</v>
      </c>
      <c r="AR50" s="44" t="s">
        <v>37</v>
      </c>
      <c r="AS50" s="44">
        <v>1200</v>
      </c>
      <c r="AT50" s="44" t="s">
        <v>37</v>
      </c>
      <c r="AU50" s="44">
        <v>586189</v>
      </c>
      <c r="AV50" s="44" t="s">
        <v>37</v>
      </c>
      <c r="AW50" s="44">
        <v>21535</v>
      </c>
      <c r="AX50" s="44" t="s">
        <v>37</v>
      </c>
      <c r="AY50" s="44">
        <v>44768</v>
      </c>
      <c r="AZ50" s="44" t="s">
        <v>37</v>
      </c>
      <c r="BB50" s="44" t="s">
        <v>37</v>
      </c>
      <c r="BD50" s="44" t="s">
        <v>37</v>
      </c>
      <c r="BE50" s="44">
        <v>49394</v>
      </c>
      <c r="BF50" s="44" t="s">
        <v>37</v>
      </c>
      <c r="BG50" s="44">
        <v>16342</v>
      </c>
      <c r="BH50" s="44" t="s">
        <v>37</v>
      </c>
      <c r="BJ50" s="44" t="s">
        <v>37</v>
      </c>
      <c r="BL50" s="44" t="s">
        <v>37</v>
      </c>
      <c r="BM50" s="44">
        <v>739569</v>
      </c>
      <c r="BN50" s="44" t="s">
        <v>37</v>
      </c>
      <c r="BP50" s="44" t="s">
        <v>37</v>
      </c>
      <c r="BQ50" s="44">
        <v>4227</v>
      </c>
      <c r="BR50" s="44" t="s">
        <v>37</v>
      </c>
      <c r="BS50" s="44">
        <v>13714</v>
      </c>
      <c r="BT50" s="44" t="s">
        <v>37</v>
      </c>
      <c r="BU50" s="44">
        <v>13586</v>
      </c>
      <c r="BV50" s="44" t="s">
        <v>37</v>
      </c>
      <c r="BW50" s="44">
        <v>14750</v>
      </c>
      <c r="BX50" s="44" t="s">
        <v>37</v>
      </c>
      <c r="BY50" s="44">
        <v>117372</v>
      </c>
      <c r="BZ50" s="44" t="s">
        <v>37</v>
      </c>
      <c r="CB50" s="44" t="s">
        <v>37</v>
      </c>
      <c r="CD50" s="44" t="s">
        <v>37</v>
      </c>
      <c r="CF50" s="44" t="s">
        <v>37</v>
      </c>
      <c r="CG50" s="44">
        <v>57941</v>
      </c>
      <c r="CH50" s="44" t="s">
        <v>37</v>
      </c>
      <c r="CI50" s="44">
        <v>400167</v>
      </c>
      <c r="CJ50" s="44" t="s">
        <v>37</v>
      </c>
      <c r="CL50" s="44" t="s">
        <v>37</v>
      </c>
      <c r="CM50" s="44">
        <v>4537</v>
      </c>
      <c r="CN50" s="44" t="s">
        <v>37</v>
      </c>
      <c r="CO50" s="44">
        <v>2250</v>
      </c>
      <c r="CP50" s="44" t="s">
        <v>37</v>
      </c>
      <c r="CR50" s="44" t="s">
        <v>37</v>
      </c>
      <c r="CS50" s="44">
        <v>289173</v>
      </c>
      <c r="CT50" s="44" t="s">
        <v>37</v>
      </c>
      <c r="CU50" s="44">
        <v>5957518</v>
      </c>
      <c r="CV50" s="44" t="s">
        <v>37</v>
      </c>
      <c r="CW50" s="44">
        <v>1150</v>
      </c>
      <c r="CX50" s="44" t="s">
        <v>37</v>
      </c>
      <c r="CZ50" s="44" t="s">
        <v>37</v>
      </c>
      <c r="DA50" s="44">
        <v>26666</v>
      </c>
      <c r="DB50" s="44" t="s">
        <v>37</v>
      </c>
      <c r="DD50" s="44" t="s">
        <v>37</v>
      </c>
      <c r="DE50" s="44">
        <v>51858</v>
      </c>
      <c r="DF50" s="44" t="s">
        <v>37</v>
      </c>
      <c r="DG50" s="44">
        <v>14485</v>
      </c>
      <c r="DH50" s="44" t="s">
        <v>37</v>
      </c>
      <c r="DI50" s="44">
        <v>233344</v>
      </c>
      <c r="DJ50" s="44" t="s">
        <v>37</v>
      </c>
      <c r="DL50" s="44" t="s">
        <v>37</v>
      </c>
      <c r="DM50" s="44">
        <v>147765</v>
      </c>
      <c r="DN50" s="44" t="s">
        <v>37</v>
      </c>
      <c r="DO50" s="44">
        <v>1268855</v>
      </c>
      <c r="DP50" s="44" t="s">
        <v>37</v>
      </c>
      <c r="DQ50" s="44">
        <v>13127</v>
      </c>
      <c r="DR50" s="44" t="s">
        <v>37</v>
      </c>
      <c r="DS50" s="44">
        <v>11908</v>
      </c>
      <c r="DT50" s="44" t="s">
        <v>37</v>
      </c>
      <c r="DU50" s="44">
        <v>24855</v>
      </c>
      <c r="DV50" s="44" t="s">
        <v>37</v>
      </c>
      <c r="DX50" s="44" t="s">
        <v>37</v>
      </c>
      <c r="DY50" s="44">
        <v>3000</v>
      </c>
      <c r="DZ50" s="44" t="s">
        <v>37</v>
      </c>
      <c r="EB50" s="44" t="s">
        <v>37</v>
      </c>
      <c r="EC50" s="44">
        <v>648726</v>
      </c>
      <c r="ED50" s="44" t="s">
        <v>37</v>
      </c>
      <c r="EE50" s="44">
        <v>144917</v>
      </c>
      <c r="EF50" s="44" t="s">
        <v>37</v>
      </c>
      <c r="EG50" s="44">
        <v>1387</v>
      </c>
      <c r="EH50" s="44" t="s">
        <v>37</v>
      </c>
      <c r="EI50" s="44">
        <v>250</v>
      </c>
      <c r="EJ50" s="44" t="s">
        <v>37</v>
      </c>
      <c r="EK50" s="44">
        <v>82306</v>
      </c>
      <c r="EL50" s="44" t="s">
        <v>37</v>
      </c>
      <c r="EM50" s="44">
        <v>3891</v>
      </c>
      <c r="EN50" s="44" t="s">
        <v>37</v>
      </c>
      <c r="EO50" s="44">
        <v>8209</v>
      </c>
      <c r="EP50" s="44" t="s">
        <v>37</v>
      </c>
      <c r="EQ50" s="44">
        <v>25969</v>
      </c>
      <c r="ER50" s="44" t="s">
        <v>37</v>
      </c>
      <c r="ES50" s="44">
        <v>181435</v>
      </c>
      <c r="ET50" s="44" t="s">
        <v>37</v>
      </c>
      <c r="EU50" s="44">
        <v>106848</v>
      </c>
      <c r="EV50" s="44" t="s">
        <v>37</v>
      </c>
      <c r="EW50" s="44">
        <v>312479</v>
      </c>
      <c r="EX50" s="44" t="s">
        <v>37</v>
      </c>
      <c r="EZ50" s="44" t="s">
        <v>37</v>
      </c>
      <c r="FA50" s="44">
        <v>5500</v>
      </c>
      <c r="FB50" s="44" t="s">
        <v>37</v>
      </c>
      <c r="FC50" s="44">
        <v>9255</v>
      </c>
      <c r="FD50" s="44" t="s">
        <v>37</v>
      </c>
      <c r="FE50" s="44">
        <v>16806</v>
      </c>
      <c r="FF50" s="44" t="s">
        <v>37</v>
      </c>
      <c r="FH50" s="44" t="s">
        <v>37</v>
      </c>
      <c r="FI50" s="44">
        <v>205995</v>
      </c>
      <c r="FJ50" s="44" t="s">
        <v>37</v>
      </c>
      <c r="FK50" s="44">
        <v>12379</v>
      </c>
      <c r="FL50" s="44" t="s">
        <v>37</v>
      </c>
      <c r="FM50" s="44">
        <v>80191</v>
      </c>
      <c r="FN50" s="44" t="s">
        <v>37</v>
      </c>
      <c r="FP50" s="44" t="s">
        <v>37</v>
      </c>
      <c r="FQ50" s="44">
        <v>92854</v>
      </c>
      <c r="FR50" s="44" t="s">
        <v>37</v>
      </c>
      <c r="FS50" s="44">
        <v>14168</v>
      </c>
      <c r="FT50" s="44" t="s">
        <v>37</v>
      </c>
      <c r="FU50" s="44">
        <v>26039</v>
      </c>
      <c r="FV50" s="44" t="s">
        <v>37</v>
      </c>
      <c r="FW50" s="44">
        <v>2374512</v>
      </c>
      <c r="FX50" s="44" t="s">
        <v>37</v>
      </c>
      <c r="FY50" s="44">
        <v>5748</v>
      </c>
      <c r="FZ50" s="44" t="s">
        <v>37</v>
      </c>
      <c r="GA50" s="44">
        <v>202887</v>
      </c>
      <c r="GB50" s="44" t="s">
        <v>37</v>
      </c>
      <c r="GC50" s="44">
        <v>269579</v>
      </c>
      <c r="GD50" s="44" t="s">
        <v>37</v>
      </c>
      <c r="GE50" s="44">
        <v>33832</v>
      </c>
      <c r="GF50" s="44" t="s">
        <v>37</v>
      </c>
      <c r="GH50" s="44" t="s">
        <v>37</v>
      </c>
      <c r="GJ50" s="44" t="s">
        <v>37</v>
      </c>
      <c r="GK50" s="44">
        <v>85609</v>
      </c>
      <c r="GL50" s="44" t="s">
        <v>37</v>
      </c>
      <c r="GM50" s="44">
        <v>13080</v>
      </c>
      <c r="GN50" s="44" t="s">
        <v>37</v>
      </c>
      <c r="GP50" s="44" t="s">
        <v>37</v>
      </c>
      <c r="GQ50" s="44">
        <v>9636</v>
      </c>
      <c r="GR50" s="44" t="s">
        <v>37</v>
      </c>
      <c r="GS50" s="44">
        <v>2050</v>
      </c>
      <c r="GT50" s="44" t="s">
        <v>37</v>
      </c>
      <c r="GU50" s="44">
        <v>23131</v>
      </c>
      <c r="GV50" s="44" t="s">
        <v>37</v>
      </c>
      <c r="GW50" s="44">
        <v>2200</v>
      </c>
      <c r="GX50" s="44" t="s">
        <v>37</v>
      </c>
      <c r="GY50" s="44">
        <v>38076</v>
      </c>
      <c r="GZ50" s="44" t="s">
        <v>37</v>
      </c>
      <c r="HA50" s="44">
        <v>113516</v>
      </c>
      <c r="HB50" s="44" t="s">
        <v>37</v>
      </c>
      <c r="HD50" s="44" t="s">
        <v>37</v>
      </c>
      <c r="HF50" s="44" t="s">
        <v>37</v>
      </c>
      <c r="HG50" s="44">
        <v>17122868</v>
      </c>
      <c r="HH50" s="44" t="s">
        <v>37</v>
      </c>
      <c r="HJ50" s="44" t="s">
        <v>37</v>
      </c>
      <c r="HK50" s="44">
        <v>17122868</v>
      </c>
      <c r="HL50" s="44" t="s">
        <v>37</v>
      </c>
    </row>
    <row r="51" spans="1:220">
      <c r="A51" s="150" t="s">
        <v>408</v>
      </c>
      <c r="B51" s="54"/>
      <c r="D51" s="44" t="s">
        <v>37</v>
      </c>
      <c r="E51" s="44" t="s">
        <v>38</v>
      </c>
      <c r="F51" s="44" t="s">
        <v>37</v>
      </c>
      <c r="G51" s="44" t="s">
        <v>39</v>
      </c>
      <c r="H51" s="44" t="s">
        <v>37</v>
      </c>
      <c r="I51" s="44" t="s">
        <v>40</v>
      </c>
      <c r="J51" s="44" t="s">
        <v>37</v>
      </c>
      <c r="K51" s="44" t="s">
        <v>41</v>
      </c>
      <c r="L51" s="48" t="s">
        <v>37</v>
      </c>
      <c r="M51" s="49" t="s">
        <v>303</v>
      </c>
      <c r="N51" s="48" t="s">
        <v>37</v>
      </c>
      <c r="O51" s="49" t="s">
        <v>304</v>
      </c>
      <c r="P51" s="48" t="s">
        <v>37</v>
      </c>
      <c r="Q51" s="49" t="s">
        <v>305</v>
      </c>
      <c r="R51" s="48" t="s">
        <v>37</v>
      </c>
      <c r="S51" s="49" t="s">
        <v>306</v>
      </c>
      <c r="T51" s="48" t="s">
        <v>37</v>
      </c>
      <c r="U51" s="44" t="s">
        <v>307</v>
      </c>
      <c r="V51" s="44" t="s">
        <v>37</v>
      </c>
      <c r="W51" s="44" t="s">
        <v>308</v>
      </c>
      <c r="X51" s="44" t="s">
        <v>37</v>
      </c>
      <c r="Y51" s="44" t="s">
        <v>309</v>
      </c>
      <c r="Z51" s="44" t="s">
        <v>37</v>
      </c>
      <c r="AA51" s="44" t="s">
        <v>310</v>
      </c>
      <c r="AB51" s="44" t="s">
        <v>37</v>
      </c>
      <c r="AC51" s="44" t="s">
        <v>311</v>
      </c>
      <c r="AD51" s="44" t="s">
        <v>37</v>
      </c>
      <c r="AE51" s="44" t="s">
        <v>312</v>
      </c>
      <c r="AF51" s="44" t="s">
        <v>37</v>
      </c>
      <c r="AG51" s="44" t="s">
        <v>313</v>
      </c>
      <c r="AH51" s="44" t="s">
        <v>37</v>
      </c>
      <c r="AI51" s="44" t="s">
        <v>314</v>
      </c>
      <c r="AJ51" s="44" t="s">
        <v>37</v>
      </c>
      <c r="AK51" s="44" t="s">
        <v>315</v>
      </c>
      <c r="AL51" s="44" t="s">
        <v>37</v>
      </c>
      <c r="AM51" s="44" t="s">
        <v>316</v>
      </c>
      <c r="AN51" s="44" t="s">
        <v>37</v>
      </c>
      <c r="AO51" s="44" t="s">
        <v>317</v>
      </c>
      <c r="AP51" s="44" t="s">
        <v>37</v>
      </c>
      <c r="AQ51" s="44" t="s">
        <v>318</v>
      </c>
      <c r="AR51" s="44" t="s">
        <v>37</v>
      </c>
      <c r="AS51" s="44" t="s">
        <v>319</v>
      </c>
      <c r="AT51" s="44" t="s">
        <v>37</v>
      </c>
      <c r="AU51" s="44" t="s">
        <v>320</v>
      </c>
      <c r="AV51" s="44" t="s">
        <v>37</v>
      </c>
      <c r="AW51" s="44" t="s">
        <v>321</v>
      </c>
      <c r="AX51" s="44" t="s">
        <v>37</v>
      </c>
      <c r="AY51" s="44" t="s">
        <v>322</v>
      </c>
      <c r="AZ51" s="44" t="s">
        <v>37</v>
      </c>
      <c r="BA51" s="44" t="s">
        <v>323</v>
      </c>
      <c r="BB51" s="44" t="s">
        <v>37</v>
      </c>
      <c r="BC51" s="44" t="s">
        <v>324</v>
      </c>
      <c r="BD51" s="44" t="s">
        <v>37</v>
      </c>
      <c r="BE51" s="44" t="s">
        <v>325</v>
      </c>
      <c r="BF51" s="44" t="s">
        <v>37</v>
      </c>
      <c r="BG51" s="44" t="s">
        <v>326</v>
      </c>
      <c r="BH51" s="44" t="s">
        <v>37</v>
      </c>
      <c r="BI51" s="44" t="s">
        <v>327</v>
      </c>
      <c r="BJ51" s="44" t="s">
        <v>37</v>
      </c>
      <c r="BK51" s="44" t="s">
        <v>328</v>
      </c>
      <c r="BL51" s="44" t="s">
        <v>37</v>
      </c>
      <c r="BM51" s="44" t="s">
        <v>329</v>
      </c>
      <c r="BN51" s="44" t="s">
        <v>37</v>
      </c>
      <c r="BO51" s="44" t="s">
        <v>330</v>
      </c>
      <c r="BP51" s="44" t="s">
        <v>37</v>
      </c>
      <c r="BQ51" s="44" t="s">
        <v>331</v>
      </c>
      <c r="BR51" s="44" t="s">
        <v>37</v>
      </c>
      <c r="BS51" s="44" t="s">
        <v>332</v>
      </c>
      <c r="BT51" s="44" t="s">
        <v>37</v>
      </c>
      <c r="BU51" s="44" t="s">
        <v>333</v>
      </c>
      <c r="BV51" s="44" t="s">
        <v>37</v>
      </c>
      <c r="BW51" s="44" t="s">
        <v>334</v>
      </c>
      <c r="BX51" s="44" t="s">
        <v>37</v>
      </c>
      <c r="BY51" s="44" t="s">
        <v>335</v>
      </c>
      <c r="BZ51" s="44" t="s">
        <v>37</v>
      </c>
      <c r="CA51" s="44" t="s">
        <v>336</v>
      </c>
      <c r="CB51" s="44" t="s">
        <v>37</v>
      </c>
      <c r="CC51" s="44" t="s">
        <v>337</v>
      </c>
      <c r="CD51" s="44" t="s">
        <v>37</v>
      </c>
      <c r="CE51" s="44" t="s">
        <v>338</v>
      </c>
      <c r="CF51" s="44" t="s">
        <v>37</v>
      </c>
      <c r="CG51" s="44" t="s">
        <v>339</v>
      </c>
      <c r="CH51" s="44" t="s">
        <v>37</v>
      </c>
      <c r="CI51" s="44" t="s">
        <v>340</v>
      </c>
      <c r="CJ51" s="44" t="s">
        <v>37</v>
      </c>
      <c r="CK51" s="44" t="s">
        <v>341</v>
      </c>
      <c r="CL51" s="44" t="s">
        <v>37</v>
      </c>
      <c r="CM51" s="44" t="s">
        <v>342</v>
      </c>
      <c r="CN51" s="44" t="s">
        <v>37</v>
      </c>
      <c r="CO51" s="44" t="s">
        <v>343</v>
      </c>
      <c r="CP51" s="44" t="s">
        <v>37</v>
      </c>
      <c r="CQ51" s="44" t="s">
        <v>344</v>
      </c>
      <c r="CR51" s="44" t="s">
        <v>37</v>
      </c>
      <c r="CS51" s="44" t="s">
        <v>345</v>
      </c>
      <c r="CT51" s="44" t="s">
        <v>37</v>
      </c>
      <c r="CU51" s="44" t="s">
        <v>346</v>
      </c>
      <c r="CV51" s="44" t="s">
        <v>37</v>
      </c>
      <c r="CW51" s="44" t="s">
        <v>347</v>
      </c>
      <c r="CX51" s="44" t="s">
        <v>37</v>
      </c>
      <c r="CY51" s="44" t="s">
        <v>348</v>
      </c>
      <c r="CZ51" s="44" t="s">
        <v>37</v>
      </c>
      <c r="DA51" s="44" t="s">
        <v>349</v>
      </c>
      <c r="DB51" s="44" t="s">
        <v>37</v>
      </c>
      <c r="DC51" s="44" t="s">
        <v>350</v>
      </c>
      <c r="DD51" s="44" t="s">
        <v>37</v>
      </c>
      <c r="DE51" s="44" t="s">
        <v>351</v>
      </c>
      <c r="DF51" s="44" t="s">
        <v>37</v>
      </c>
      <c r="DG51" s="44" t="s">
        <v>352</v>
      </c>
      <c r="DH51" s="44" t="s">
        <v>37</v>
      </c>
      <c r="DI51" s="44" t="s">
        <v>353</v>
      </c>
      <c r="DJ51" s="44" t="s">
        <v>37</v>
      </c>
      <c r="DK51" s="44" t="s">
        <v>354</v>
      </c>
      <c r="DL51" s="44" t="s">
        <v>37</v>
      </c>
      <c r="DM51" s="44" t="s">
        <v>355</v>
      </c>
      <c r="DN51" s="44" t="s">
        <v>37</v>
      </c>
      <c r="DO51" s="44" t="s">
        <v>356</v>
      </c>
      <c r="DP51" s="44" t="s">
        <v>37</v>
      </c>
      <c r="DQ51" s="44" t="s">
        <v>357</v>
      </c>
      <c r="DR51" s="44" t="s">
        <v>37</v>
      </c>
      <c r="DS51" s="44" t="s">
        <v>358</v>
      </c>
      <c r="DT51" s="44" t="s">
        <v>37</v>
      </c>
      <c r="DU51" s="44" t="s">
        <v>359</v>
      </c>
      <c r="DV51" s="44" t="s">
        <v>37</v>
      </c>
      <c r="DW51" s="44" t="s">
        <v>360</v>
      </c>
      <c r="DX51" s="44" t="s">
        <v>37</v>
      </c>
      <c r="DY51" s="44" t="s">
        <v>361</v>
      </c>
      <c r="DZ51" s="44" t="s">
        <v>37</v>
      </c>
      <c r="EA51" s="44" t="s">
        <v>362</v>
      </c>
      <c r="EB51" s="44" t="s">
        <v>37</v>
      </c>
      <c r="EC51" s="44" t="s">
        <v>363</v>
      </c>
      <c r="ED51" s="44" t="s">
        <v>37</v>
      </c>
      <c r="EE51" s="44" t="s">
        <v>364</v>
      </c>
      <c r="EF51" s="44" t="s">
        <v>37</v>
      </c>
      <c r="EG51" s="44" t="s">
        <v>365</v>
      </c>
      <c r="EH51" s="44" t="s">
        <v>37</v>
      </c>
      <c r="EI51" s="44" t="s">
        <v>366</v>
      </c>
      <c r="EJ51" s="44" t="s">
        <v>37</v>
      </c>
      <c r="EK51" s="44" t="s">
        <v>367</v>
      </c>
      <c r="EL51" s="44" t="s">
        <v>37</v>
      </c>
      <c r="EM51" s="44" t="s">
        <v>368</v>
      </c>
      <c r="EN51" s="44" t="s">
        <v>37</v>
      </c>
      <c r="EO51" s="44" t="s">
        <v>369</v>
      </c>
      <c r="EP51" s="44" t="s">
        <v>37</v>
      </c>
      <c r="EQ51" s="44" t="s">
        <v>370</v>
      </c>
      <c r="ER51" s="44" t="s">
        <v>37</v>
      </c>
      <c r="ES51" s="44" t="s">
        <v>371</v>
      </c>
      <c r="ET51" s="44" t="s">
        <v>37</v>
      </c>
      <c r="EU51" s="44" t="s">
        <v>372</v>
      </c>
      <c r="EV51" s="44" t="s">
        <v>37</v>
      </c>
      <c r="EW51" s="44" t="s">
        <v>373</v>
      </c>
      <c r="EX51" s="44" t="s">
        <v>37</v>
      </c>
      <c r="EY51" s="44" t="s">
        <v>374</v>
      </c>
      <c r="EZ51" s="44" t="s">
        <v>37</v>
      </c>
      <c r="FA51" s="44" t="s">
        <v>375</v>
      </c>
      <c r="FB51" s="44" t="s">
        <v>37</v>
      </c>
      <c r="FC51" s="44" t="s">
        <v>376</v>
      </c>
      <c r="FD51" s="44" t="s">
        <v>37</v>
      </c>
      <c r="FE51" s="44" t="s">
        <v>377</v>
      </c>
      <c r="FF51" s="44" t="s">
        <v>37</v>
      </c>
      <c r="FG51" s="44" t="s">
        <v>378</v>
      </c>
      <c r="FH51" s="44" t="s">
        <v>37</v>
      </c>
      <c r="FI51" s="44" t="s">
        <v>379</v>
      </c>
      <c r="FJ51" s="44" t="s">
        <v>37</v>
      </c>
      <c r="FK51" s="44" t="s">
        <v>380</v>
      </c>
      <c r="FL51" s="44" t="s">
        <v>37</v>
      </c>
      <c r="FM51" s="44" t="s">
        <v>381</v>
      </c>
      <c r="FN51" s="44" t="s">
        <v>37</v>
      </c>
      <c r="FO51" s="44" t="s">
        <v>382</v>
      </c>
      <c r="FP51" s="44" t="s">
        <v>37</v>
      </c>
      <c r="FQ51" s="44" t="s">
        <v>383</v>
      </c>
      <c r="FR51" s="44" t="s">
        <v>37</v>
      </c>
      <c r="FS51" s="44" t="s">
        <v>384</v>
      </c>
      <c r="FT51" s="44" t="s">
        <v>37</v>
      </c>
      <c r="FU51" s="44" t="s">
        <v>385</v>
      </c>
      <c r="FV51" s="44" t="s">
        <v>37</v>
      </c>
      <c r="FW51" s="44" t="s">
        <v>386</v>
      </c>
      <c r="FX51" s="44" t="s">
        <v>37</v>
      </c>
      <c r="FY51" s="44" t="s">
        <v>387</v>
      </c>
      <c r="FZ51" s="44" t="s">
        <v>37</v>
      </c>
      <c r="GA51" s="44" t="s">
        <v>388</v>
      </c>
      <c r="GB51" s="44" t="s">
        <v>37</v>
      </c>
      <c r="GC51" s="44" t="s">
        <v>389</v>
      </c>
      <c r="GD51" s="44" t="s">
        <v>37</v>
      </c>
      <c r="GE51" s="44" t="s">
        <v>390</v>
      </c>
      <c r="GF51" s="44" t="s">
        <v>37</v>
      </c>
      <c r="GG51" s="44" t="s">
        <v>391</v>
      </c>
      <c r="GH51" s="44" t="s">
        <v>37</v>
      </c>
      <c r="GI51" s="44" t="s">
        <v>392</v>
      </c>
      <c r="GJ51" s="44" t="s">
        <v>37</v>
      </c>
      <c r="GK51" s="44" t="s">
        <v>393</v>
      </c>
      <c r="GL51" s="44" t="s">
        <v>37</v>
      </c>
      <c r="GM51" s="44" t="s">
        <v>394</v>
      </c>
      <c r="GN51" s="44" t="s">
        <v>37</v>
      </c>
      <c r="GO51" s="44" t="s">
        <v>395</v>
      </c>
      <c r="GP51" s="44" t="s">
        <v>37</v>
      </c>
      <c r="GQ51" s="44" t="s">
        <v>396</v>
      </c>
      <c r="GR51" s="44" t="s">
        <v>37</v>
      </c>
      <c r="GS51" s="44" t="s">
        <v>397</v>
      </c>
      <c r="GT51" s="44" t="s">
        <v>37</v>
      </c>
      <c r="GU51" s="44" t="s">
        <v>398</v>
      </c>
      <c r="GV51" s="44" t="s">
        <v>37</v>
      </c>
      <c r="GW51" s="44" t="s">
        <v>399</v>
      </c>
      <c r="GX51" s="44" t="s">
        <v>37</v>
      </c>
      <c r="GY51" s="44" t="s">
        <v>400</v>
      </c>
      <c r="GZ51" s="44" t="s">
        <v>37</v>
      </c>
      <c r="HA51" s="44" t="s">
        <v>401</v>
      </c>
      <c r="HB51" s="44" t="s">
        <v>37</v>
      </c>
      <c r="HC51" s="44" t="s">
        <v>29</v>
      </c>
      <c r="HD51" s="44" t="s">
        <v>37</v>
      </c>
      <c r="HE51" s="44" t="s">
        <v>402</v>
      </c>
      <c r="HF51" s="44" t="s">
        <v>37</v>
      </c>
      <c r="HG51" s="44" t="s">
        <v>403</v>
      </c>
      <c r="HH51" s="44" t="s">
        <v>37</v>
      </c>
      <c r="HI51" s="44" t="s">
        <v>404</v>
      </c>
      <c r="HJ51" s="44" t="s">
        <v>37</v>
      </c>
      <c r="HK51" s="44" t="s">
        <v>405</v>
      </c>
      <c r="HL51" s="44" t="s">
        <v>37</v>
      </c>
    </row>
    <row r="52" spans="1:220">
      <c r="A52" s="150" t="s">
        <v>408</v>
      </c>
      <c r="B52" s="54"/>
      <c r="D52" s="44" t="s">
        <v>37</v>
      </c>
      <c r="F52" s="44" t="s">
        <v>37</v>
      </c>
      <c r="H52" s="44" t="s">
        <v>37</v>
      </c>
      <c r="J52" s="44" t="s">
        <v>37</v>
      </c>
      <c r="L52" s="48" t="s">
        <v>37</v>
      </c>
      <c r="M52" s="49"/>
      <c r="N52" s="48" t="s">
        <v>37</v>
      </c>
      <c r="O52" s="49"/>
      <c r="P52" s="48" t="s">
        <v>37</v>
      </c>
      <c r="Q52" s="49"/>
      <c r="R52" s="48" t="s">
        <v>37</v>
      </c>
      <c r="S52" s="49"/>
      <c r="T52" s="48" t="s">
        <v>37</v>
      </c>
      <c r="V52" s="44" t="s">
        <v>37</v>
      </c>
      <c r="X52" s="44" t="s">
        <v>37</v>
      </c>
      <c r="Z52" s="44" t="s">
        <v>37</v>
      </c>
      <c r="AB52" s="44" t="s">
        <v>37</v>
      </c>
      <c r="AD52" s="44" t="s">
        <v>37</v>
      </c>
      <c r="AF52" s="44" t="s">
        <v>37</v>
      </c>
      <c r="AH52" s="44" t="s">
        <v>37</v>
      </c>
      <c r="AJ52" s="44" t="s">
        <v>37</v>
      </c>
      <c r="AL52" s="44" t="s">
        <v>37</v>
      </c>
      <c r="AN52" s="44" t="s">
        <v>37</v>
      </c>
      <c r="AP52" s="44" t="s">
        <v>37</v>
      </c>
      <c r="AR52" s="44" t="s">
        <v>37</v>
      </c>
      <c r="AT52" s="44" t="s">
        <v>37</v>
      </c>
      <c r="AV52" s="44" t="s">
        <v>37</v>
      </c>
      <c r="AX52" s="44" t="s">
        <v>37</v>
      </c>
      <c r="AZ52" s="44" t="s">
        <v>37</v>
      </c>
      <c r="BB52" s="44" t="s">
        <v>37</v>
      </c>
      <c r="BD52" s="44" t="s">
        <v>37</v>
      </c>
      <c r="BF52" s="44" t="s">
        <v>37</v>
      </c>
      <c r="BH52" s="44" t="s">
        <v>37</v>
      </c>
      <c r="BJ52" s="44" t="s">
        <v>37</v>
      </c>
      <c r="BL52" s="44" t="s">
        <v>37</v>
      </c>
      <c r="BN52" s="44" t="s">
        <v>37</v>
      </c>
      <c r="BP52" s="44" t="s">
        <v>37</v>
      </c>
      <c r="BR52" s="44" t="s">
        <v>37</v>
      </c>
      <c r="BT52" s="44" t="s">
        <v>37</v>
      </c>
      <c r="BV52" s="44" t="s">
        <v>37</v>
      </c>
      <c r="BX52" s="44" t="s">
        <v>37</v>
      </c>
      <c r="BZ52" s="44" t="s">
        <v>37</v>
      </c>
      <c r="CB52" s="44" t="s">
        <v>37</v>
      </c>
      <c r="CD52" s="44" t="s">
        <v>37</v>
      </c>
      <c r="CF52" s="44" t="s">
        <v>37</v>
      </c>
      <c r="CH52" s="44" t="s">
        <v>37</v>
      </c>
      <c r="CJ52" s="44" t="s">
        <v>37</v>
      </c>
      <c r="CL52" s="44" t="s">
        <v>37</v>
      </c>
      <c r="CN52" s="44" t="s">
        <v>37</v>
      </c>
      <c r="CP52" s="44" t="s">
        <v>37</v>
      </c>
      <c r="CR52" s="44" t="s">
        <v>37</v>
      </c>
      <c r="CT52" s="44" t="s">
        <v>37</v>
      </c>
      <c r="CV52" s="44" t="s">
        <v>37</v>
      </c>
      <c r="CX52" s="44" t="s">
        <v>37</v>
      </c>
      <c r="CZ52" s="44" t="s">
        <v>37</v>
      </c>
      <c r="DB52" s="44" t="s">
        <v>37</v>
      </c>
      <c r="DD52" s="44" t="s">
        <v>37</v>
      </c>
      <c r="DF52" s="44" t="s">
        <v>37</v>
      </c>
      <c r="DH52" s="44" t="s">
        <v>37</v>
      </c>
      <c r="DJ52" s="44" t="s">
        <v>37</v>
      </c>
      <c r="DL52" s="44" t="s">
        <v>37</v>
      </c>
      <c r="DN52" s="44" t="s">
        <v>37</v>
      </c>
      <c r="DP52" s="44" t="s">
        <v>37</v>
      </c>
      <c r="DR52" s="44" t="s">
        <v>37</v>
      </c>
      <c r="DT52" s="44" t="s">
        <v>37</v>
      </c>
      <c r="DV52" s="44" t="s">
        <v>37</v>
      </c>
      <c r="DX52" s="44" t="s">
        <v>37</v>
      </c>
      <c r="DZ52" s="44" t="s">
        <v>37</v>
      </c>
      <c r="EB52" s="44" t="s">
        <v>37</v>
      </c>
      <c r="ED52" s="44" t="s">
        <v>37</v>
      </c>
      <c r="EF52" s="44" t="s">
        <v>37</v>
      </c>
      <c r="EH52" s="44" t="s">
        <v>37</v>
      </c>
      <c r="EJ52" s="44" t="s">
        <v>37</v>
      </c>
      <c r="EL52" s="44" t="s">
        <v>37</v>
      </c>
      <c r="EN52" s="44" t="s">
        <v>37</v>
      </c>
      <c r="EP52" s="44" t="s">
        <v>37</v>
      </c>
      <c r="ER52" s="44" t="s">
        <v>37</v>
      </c>
      <c r="ET52" s="44" t="s">
        <v>37</v>
      </c>
      <c r="EV52" s="44" t="s">
        <v>37</v>
      </c>
      <c r="EX52" s="44" t="s">
        <v>37</v>
      </c>
      <c r="EZ52" s="44" t="s">
        <v>37</v>
      </c>
      <c r="FB52" s="44" t="s">
        <v>37</v>
      </c>
      <c r="FD52" s="44" t="s">
        <v>37</v>
      </c>
      <c r="FF52" s="44" t="s">
        <v>37</v>
      </c>
      <c r="FH52" s="44" t="s">
        <v>37</v>
      </c>
      <c r="FJ52" s="44" t="s">
        <v>37</v>
      </c>
      <c r="FL52" s="44" t="s">
        <v>37</v>
      </c>
      <c r="FN52" s="44" t="s">
        <v>37</v>
      </c>
      <c r="FP52" s="44" t="s">
        <v>37</v>
      </c>
      <c r="FR52" s="44" t="s">
        <v>37</v>
      </c>
      <c r="FT52" s="44" t="s">
        <v>37</v>
      </c>
      <c r="FV52" s="44" t="s">
        <v>37</v>
      </c>
      <c r="FX52" s="44" t="s">
        <v>37</v>
      </c>
      <c r="FZ52" s="44" t="s">
        <v>37</v>
      </c>
      <c r="GB52" s="44" t="s">
        <v>37</v>
      </c>
      <c r="GD52" s="44" t="s">
        <v>37</v>
      </c>
      <c r="GF52" s="44" t="s">
        <v>37</v>
      </c>
      <c r="GH52" s="44" t="s">
        <v>37</v>
      </c>
      <c r="GJ52" s="44" t="s">
        <v>37</v>
      </c>
      <c r="GL52" s="44" t="s">
        <v>37</v>
      </c>
      <c r="GN52" s="44" t="s">
        <v>37</v>
      </c>
      <c r="GP52" s="44" t="s">
        <v>37</v>
      </c>
      <c r="GR52" s="44" t="s">
        <v>37</v>
      </c>
      <c r="GT52" s="44" t="s">
        <v>37</v>
      </c>
      <c r="GV52" s="44" t="s">
        <v>37</v>
      </c>
      <c r="GX52" s="44" t="s">
        <v>37</v>
      </c>
      <c r="GZ52" s="44" t="s">
        <v>37</v>
      </c>
      <c r="HB52" s="44" t="s">
        <v>37</v>
      </c>
      <c r="HD52" s="44" t="s">
        <v>37</v>
      </c>
      <c r="HF52" s="44" t="s">
        <v>37</v>
      </c>
      <c r="HH52" s="44" t="s">
        <v>37</v>
      </c>
      <c r="HJ52" s="44" t="s">
        <v>37</v>
      </c>
      <c r="HL52" s="44" t="s">
        <v>37</v>
      </c>
    </row>
    <row r="53" spans="1:220">
      <c r="A53" s="150" t="s">
        <v>410</v>
      </c>
      <c r="B53" s="44">
        <v>1930</v>
      </c>
      <c r="C53" s="44" t="s">
        <v>82</v>
      </c>
      <c r="D53" s="44" t="s">
        <v>37</v>
      </c>
      <c r="E53" s="44">
        <v>238093</v>
      </c>
      <c r="F53" s="44" t="s">
        <v>37</v>
      </c>
      <c r="G53" s="44">
        <v>783662</v>
      </c>
      <c r="H53" s="44" t="s">
        <v>37</v>
      </c>
      <c r="I53" s="44">
        <v>123308</v>
      </c>
      <c r="J53" s="44" t="s">
        <v>37</v>
      </c>
      <c r="L53" s="48" t="s">
        <v>37</v>
      </c>
      <c r="M53" s="51">
        <v>250322</v>
      </c>
      <c r="N53" s="48" t="s">
        <v>37</v>
      </c>
      <c r="O53" s="51">
        <v>339304</v>
      </c>
      <c r="P53" s="48" t="s">
        <v>37</v>
      </c>
      <c r="Q53" s="51">
        <v>348809</v>
      </c>
      <c r="R53" s="48" t="s">
        <v>37</v>
      </c>
      <c r="S53" s="51">
        <v>197903</v>
      </c>
      <c r="T53" s="48" t="s">
        <v>37</v>
      </c>
      <c r="U53" s="44">
        <v>1024193</v>
      </c>
      <c r="V53" s="44" t="s">
        <v>37</v>
      </c>
      <c r="X53" s="44" t="s">
        <v>37</v>
      </c>
      <c r="Z53" s="44" t="s">
        <v>37</v>
      </c>
      <c r="AA53" s="44">
        <v>118057</v>
      </c>
      <c r="AB53" s="44" t="s">
        <v>37</v>
      </c>
      <c r="AC53" s="44">
        <v>233135</v>
      </c>
      <c r="AD53" s="44" t="s">
        <v>37</v>
      </c>
      <c r="AE53" s="44">
        <v>35406</v>
      </c>
      <c r="AF53" s="44" t="s">
        <v>37</v>
      </c>
      <c r="AG53" s="44">
        <v>89694</v>
      </c>
      <c r="AH53" s="44" t="s">
        <v>37</v>
      </c>
      <c r="AI53" s="44">
        <v>274088</v>
      </c>
      <c r="AJ53" s="44" t="s">
        <v>37</v>
      </c>
      <c r="AL53" s="44" t="s">
        <v>37</v>
      </c>
      <c r="AM53" s="44">
        <v>589615</v>
      </c>
      <c r="AN53" s="44" t="s">
        <v>37</v>
      </c>
      <c r="AP53" s="44" t="s">
        <v>37</v>
      </c>
      <c r="AQ53" s="44">
        <v>1853575</v>
      </c>
      <c r="AR53" s="44" t="s">
        <v>37</v>
      </c>
      <c r="AS53" s="44">
        <v>393959</v>
      </c>
      <c r="AT53" s="44" t="s">
        <v>37</v>
      </c>
      <c r="AU53" s="44">
        <v>2350405</v>
      </c>
      <c r="AV53" s="44" t="s">
        <v>37</v>
      </c>
      <c r="AW53" s="44">
        <v>808773</v>
      </c>
      <c r="AX53" s="44" t="s">
        <v>37</v>
      </c>
      <c r="AY53" s="44">
        <v>678057</v>
      </c>
      <c r="AZ53" s="44" t="s">
        <v>37</v>
      </c>
      <c r="BA53" s="44">
        <v>418531</v>
      </c>
      <c r="BB53" s="44" t="s">
        <v>37</v>
      </c>
      <c r="BC53" s="44">
        <v>48749</v>
      </c>
      <c r="BD53" s="44" t="s">
        <v>37</v>
      </c>
      <c r="BE53" s="44">
        <v>528029</v>
      </c>
      <c r="BF53" s="44" t="s">
        <v>37</v>
      </c>
      <c r="BG53" s="44">
        <v>47717</v>
      </c>
      <c r="BH53" s="44" t="s">
        <v>37</v>
      </c>
      <c r="BJ53" s="44" t="s">
        <v>37</v>
      </c>
      <c r="BK53" s="44">
        <v>590638</v>
      </c>
      <c r="BL53" s="44" t="s">
        <v>37</v>
      </c>
      <c r="BM53" s="44">
        <v>698851</v>
      </c>
      <c r="BN53" s="44" t="s">
        <v>37</v>
      </c>
      <c r="BP53" s="44" t="s">
        <v>37</v>
      </c>
      <c r="BQ53" s="44">
        <v>93836</v>
      </c>
      <c r="BR53" s="44" t="s">
        <v>37</v>
      </c>
      <c r="BS53" s="44">
        <v>145610</v>
      </c>
      <c r="BT53" s="44" t="s">
        <v>37</v>
      </c>
      <c r="BU53" s="44">
        <v>72044</v>
      </c>
      <c r="BV53" s="44" t="s">
        <v>37</v>
      </c>
      <c r="BX53" s="44" t="s">
        <v>37</v>
      </c>
      <c r="BY53" s="44">
        <v>396232</v>
      </c>
      <c r="BZ53" s="44" t="s">
        <v>37</v>
      </c>
      <c r="CA53" s="44">
        <v>514672</v>
      </c>
      <c r="CB53" s="44" t="s">
        <v>37</v>
      </c>
      <c r="CD53" s="44" t="s">
        <v>37</v>
      </c>
      <c r="CE53" s="44">
        <v>204151</v>
      </c>
      <c r="CF53" s="44" t="s">
        <v>37</v>
      </c>
      <c r="CG53" s="44">
        <v>513930</v>
      </c>
      <c r="CH53" s="44" t="s">
        <v>37</v>
      </c>
      <c r="CI53" s="44">
        <v>1453990</v>
      </c>
      <c r="CJ53" s="44" t="s">
        <v>37</v>
      </c>
      <c r="CK53" s="44">
        <v>550350</v>
      </c>
      <c r="CL53" s="44" t="s">
        <v>37</v>
      </c>
      <c r="CM53" s="44">
        <v>294671</v>
      </c>
      <c r="CN53" s="44" t="s">
        <v>37</v>
      </c>
      <c r="CO53" s="44">
        <v>86627</v>
      </c>
      <c r="CP53" s="44" t="s">
        <v>37</v>
      </c>
      <c r="CQ53" s="44">
        <v>1740184</v>
      </c>
      <c r="CR53" s="44" t="s">
        <v>37</v>
      </c>
      <c r="CS53" s="44">
        <v>1333471</v>
      </c>
      <c r="CT53" s="44" t="s">
        <v>37</v>
      </c>
      <c r="CU53" s="44">
        <v>3496993</v>
      </c>
      <c r="CV53" s="44" t="s">
        <v>37</v>
      </c>
      <c r="CW53" s="44">
        <v>191334</v>
      </c>
      <c r="CX53" s="44" t="s">
        <v>37</v>
      </c>
      <c r="CY53" s="44">
        <v>128742</v>
      </c>
      <c r="CZ53" s="44" t="s">
        <v>37</v>
      </c>
      <c r="DA53" s="44">
        <v>16760</v>
      </c>
      <c r="DB53" s="44" t="s">
        <v>37</v>
      </c>
      <c r="DD53" s="44" t="s">
        <v>37</v>
      </c>
      <c r="DE53" s="44">
        <v>170077</v>
      </c>
      <c r="DF53" s="44" t="s">
        <v>37</v>
      </c>
      <c r="DG53" s="44">
        <v>70043</v>
      </c>
      <c r="DH53" s="44" t="s">
        <v>37</v>
      </c>
      <c r="DI53" s="44">
        <v>4472998</v>
      </c>
      <c r="DJ53" s="44" t="s">
        <v>37</v>
      </c>
      <c r="DK53" s="44">
        <v>499539</v>
      </c>
      <c r="DL53" s="44" t="s">
        <v>37</v>
      </c>
      <c r="DM53" s="44">
        <v>451070</v>
      </c>
      <c r="DN53" s="44" t="s">
        <v>37</v>
      </c>
      <c r="DO53" s="44">
        <v>567769</v>
      </c>
      <c r="DP53" s="44" t="s">
        <v>37</v>
      </c>
      <c r="DQ53" s="44">
        <v>540947</v>
      </c>
      <c r="DR53" s="44" t="s">
        <v>37</v>
      </c>
      <c r="DS53" s="44">
        <v>794363</v>
      </c>
      <c r="DT53" s="44" t="s">
        <v>37</v>
      </c>
      <c r="DU53" s="44">
        <v>300706</v>
      </c>
      <c r="DV53" s="44" t="s">
        <v>37</v>
      </c>
      <c r="DW53" s="44">
        <v>360538</v>
      </c>
      <c r="DX53" s="44" t="s">
        <v>37</v>
      </c>
      <c r="DY53" s="44">
        <v>429272</v>
      </c>
      <c r="DZ53" s="44" t="s">
        <v>37</v>
      </c>
      <c r="EA53" s="44">
        <v>253791</v>
      </c>
      <c r="EB53" s="44" t="s">
        <v>37</v>
      </c>
      <c r="EC53" s="44">
        <v>193043</v>
      </c>
      <c r="ED53" s="44" t="s">
        <v>37</v>
      </c>
      <c r="EE53" s="44">
        <v>417085</v>
      </c>
      <c r="EF53" s="44" t="s">
        <v>37</v>
      </c>
      <c r="EG53" s="44">
        <v>12552</v>
      </c>
      <c r="EH53" s="44" t="s">
        <v>37</v>
      </c>
      <c r="EJ53" s="44" t="s">
        <v>37</v>
      </c>
      <c r="EK53" s="44">
        <v>1312128</v>
      </c>
      <c r="EL53" s="44" t="s">
        <v>37</v>
      </c>
      <c r="EM53" s="44">
        <v>1509980</v>
      </c>
      <c r="EN53" s="44" t="s">
        <v>37</v>
      </c>
      <c r="EO53" s="44">
        <v>106564</v>
      </c>
      <c r="EP53" s="44" t="s">
        <v>37</v>
      </c>
      <c r="ER53" s="44" t="s">
        <v>37</v>
      </c>
      <c r="ES53" s="44">
        <v>171</v>
      </c>
      <c r="ET53" s="44" t="s">
        <v>37</v>
      </c>
      <c r="EU53" s="44">
        <v>554201</v>
      </c>
      <c r="EV53" s="44" t="s">
        <v>37</v>
      </c>
      <c r="EW53" s="44">
        <v>1594002</v>
      </c>
      <c r="EX53" s="44" t="s">
        <v>37</v>
      </c>
      <c r="EZ53" s="44" t="s">
        <v>37</v>
      </c>
      <c r="FA53" s="44">
        <v>911362</v>
      </c>
      <c r="FB53" s="44" t="s">
        <v>37</v>
      </c>
      <c r="FC53" s="44">
        <v>114493</v>
      </c>
      <c r="FD53" s="44" t="s">
        <v>37</v>
      </c>
      <c r="FE53" s="44">
        <v>704507</v>
      </c>
      <c r="FF53" s="44" t="s">
        <v>37</v>
      </c>
      <c r="FH53" s="44" t="s">
        <v>37</v>
      </c>
      <c r="FI53" s="44">
        <v>1443111</v>
      </c>
      <c r="FJ53" s="44" t="s">
        <v>37</v>
      </c>
      <c r="FK53" s="44">
        <v>100898</v>
      </c>
      <c r="FL53" s="44" t="s">
        <v>37</v>
      </c>
      <c r="FM53" s="44">
        <v>8227</v>
      </c>
      <c r="FN53" s="44" t="s">
        <v>37</v>
      </c>
      <c r="FO53" s="44">
        <v>87864</v>
      </c>
      <c r="FP53" s="44" t="s">
        <v>37</v>
      </c>
      <c r="FQ53" s="44">
        <v>589137</v>
      </c>
      <c r="FR53" s="44" t="s">
        <v>37</v>
      </c>
      <c r="FS53" s="44">
        <v>374281</v>
      </c>
      <c r="FT53" s="44" t="s">
        <v>37</v>
      </c>
      <c r="FU53" s="44">
        <v>256458</v>
      </c>
      <c r="FV53" s="44" t="s">
        <v>37</v>
      </c>
      <c r="FW53" s="44">
        <v>199092</v>
      </c>
      <c r="FX53" s="44" t="s">
        <v>37</v>
      </c>
      <c r="FY53" s="44">
        <v>268419</v>
      </c>
      <c r="FZ53" s="44" t="s">
        <v>37</v>
      </c>
      <c r="GA53" s="44">
        <v>637906</v>
      </c>
      <c r="GB53" s="44" t="s">
        <v>37</v>
      </c>
      <c r="GC53" s="44">
        <v>3879610</v>
      </c>
      <c r="GD53" s="44" t="s">
        <v>37</v>
      </c>
      <c r="GF53" s="44" t="s">
        <v>37</v>
      </c>
      <c r="GH53" s="44" t="s">
        <v>37</v>
      </c>
      <c r="GJ53" s="44" t="s">
        <v>37</v>
      </c>
      <c r="GK53" s="44">
        <v>398887</v>
      </c>
      <c r="GL53" s="44" t="s">
        <v>37</v>
      </c>
      <c r="GM53" s="44">
        <v>667104</v>
      </c>
      <c r="GN53" s="44" t="s">
        <v>37</v>
      </c>
      <c r="GP53" s="44" t="s">
        <v>37</v>
      </c>
      <c r="GQ53" s="44">
        <v>330357</v>
      </c>
      <c r="GR53" s="44" t="s">
        <v>37</v>
      </c>
      <c r="GS53" s="44">
        <v>1948021</v>
      </c>
      <c r="GT53" s="44" t="s">
        <v>37</v>
      </c>
      <c r="GU53" s="44">
        <v>471917</v>
      </c>
      <c r="GV53" s="44" t="s">
        <v>37</v>
      </c>
      <c r="GW53" s="44">
        <v>295421</v>
      </c>
      <c r="GX53" s="44" t="s">
        <v>37</v>
      </c>
      <c r="GY53" s="44">
        <v>447408</v>
      </c>
      <c r="GZ53" s="44" t="s">
        <v>37</v>
      </c>
      <c r="HA53" s="44">
        <v>298026</v>
      </c>
      <c r="HB53" s="44" t="s">
        <v>37</v>
      </c>
      <c r="HD53" s="44" t="s">
        <v>37</v>
      </c>
      <c r="HF53" s="44" t="s">
        <v>37</v>
      </c>
      <c r="HG53" s="44">
        <v>53339815</v>
      </c>
      <c r="HH53" s="44" t="s">
        <v>37</v>
      </c>
      <c r="HJ53" s="44" t="s">
        <v>37</v>
      </c>
      <c r="HK53" s="44">
        <v>53339815</v>
      </c>
      <c r="HL53" s="44" t="s">
        <v>37</v>
      </c>
    </row>
    <row r="54" spans="1:220">
      <c r="A54" s="150" t="s">
        <v>410</v>
      </c>
      <c r="B54" s="44">
        <v>1931</v>
      </c>
      <c r="C54" s="44" t="s">
        <v>83</v>
      </c>
      <c r="D54" s="44" t="s">
        <v>37</v>
      </c>
      <c r="F54" s="44" t="s">
        <v>37</v>
      </c>
      <c r="H54" s="44" t="s">
        <v>37</v>
      </c>
      <c r="I54" s="44">
        <v>51175</v>
      </c>
      <c r="J54" s="44" t="s">
        <v>37</v>
      </c>
      <c r="L54" s="48" t="s">
        <v>37</v>
      </c>
      <c r="M54" s="50"/>
      <c r="N54" s="48" t="s">
        <v>37</v>
      </c>
      <c r="O54" s="50"/>
      <c r="P54" s="48" t="s">
        <v>37</v>
      </c>
      <c r="Q54" s="50"/>
      <c r="R54" s="48" t="s">
        <v>37</v>
      </c>
      <c r="S54" s="50"/>
      <c r="T54" s="48" t="s">
        <v>37</v>
      </c>
      <c r="V54" s="44" t="s">
        <v>37</v>
      </c>
      <c r="X54" s="44" t="s">
        <v>37</v>
      </c>
      <c r="Z54" s="44" t="s">
        <v>37</v>
      </c>
      <c r="AB54" s="44" t="s">
        <v>37</v>
      </c>
      <c r="AD54" s="44" t="s">
        <v>37</v>
      </c>
      <c r="AF54" s="44" t="s">
        <v>37</v>
      </c>
      <c r="AH54" s="44" t="s">
        <v>37</v>
      </c>
      <c r="AJ54" s="44" t="s">
        <v>37</v>
      </c>
      <c r="AL54" s="44" t="s">
        <v>37</v>
      </c>
      <c r="AN54" s="44" t="s">
        <v>37</v>
      </c>
      <c r="AP54" s="44" t="s">
        <v>37</v>
      </c>
      <c r="AR54" s="44" t="s">
        <v>37</v>
      </c>
      <c r="AT54" s="44" t="s">
        <v>37</v>
      </c>
      <c r="AV54" s="44" t="s">
        <v>37</v>
      </c>
      <c r="AX54" s="44" t="s">
        <v>37</v>
      </c>
      <c r="AZ54" s="44" t="s">
        <v>37</v>
      </c>
      <c r="BB54" s="44" t="s">
        <v>37</v>
      </c>
      <c r="BD54" s="44" t="s">
        <v>37</v>
      </c>
      <c r="BF54" s="44" t="s">
        <v>37</v>
      </c>
      <c r="BH54" s="44" t="s">
        <v>37</v>
      </c>
      <c r="BJ54" s="44" t="s">
        <v>37</v>
      </c>
      <c r="BL54" s="44" t="s">
        <v>37</v>
      </c>
      <c r="BN54" s="44" t="s">
        <v>37</v>
      </c>
      <c r="BP54" s="44" t="s">
        <v>37</v>
      </c>
      <c r="BR54" s="44" t="s">
        <v>37</v>
      </c>
      <c r="BT54" s="44" t="s">
        <v>37</v>
      </c>
      <c r="BV54" s="44" t="s">
        <v>37</v>
      </c>
      <c r="BX54" s="44" t="s">
        <v>37</v>
      </c>
      <c r="BZ54" s="44" t="s">
        <v>37</v>
      </c>
      <c r="CB54" s="44" t="s">
        <v>37</v>
      </c>
      <c r="CD54" s="44" t="s">
        <v>37</v>
      </c>
      <c r="CF54" s="44" t="s">
        <v>37</v>
      </c>
      <c r="CH54" s="44" t="s">
        <v>37</v>
      </c>
      <c r="CJ54" s="44" t="s">
        <v>37</v>
      </c>
      <c r="CL54" s="44" t="s">
        <v>37</v>
      </c>
      <c r="CN54" s="44" t="s">
        <v>37</v>
      </c>
      <c r="CP54" s="44" t="s">
        <v>37</v>
      </c>
      <c r="CR54" s="44" t="s">
        <v>37</v>
      </c>
      <c r="CT54" s="44" t="s">
        <v>37</v>
      </c>
      <c r="CU54" s="44">
        <v>29570</v>
      </c>
      <c r="CV54" s="44" t="s">
        <v>37</v>
      </c>
      <c r="CX54" s="44" t="s">
        <v>37</v>
      </c>
      <c r="CZ54" s="44" t="s">
        <v>37</v>
      </c>
      <c r="DB54" s="44" t="s">
        <v>37</v>
      </c>
      <c r="DD54" s="44" t="s">
        <v>37</v>
      </c>
      <c r="DF54" s="44" t="s">
        <v>37</v>
      </c>
      <c r="DH54" s="44" t="s">
        <v>37</v>
      </c>
      <c r="DJ54" s="44" t="s">
        <v>37</v>
      </c>
      <c r="DL54" s="44" t="s">
        <v>37</v>
      </c>
      <c r="DN54" s="44" t="s">
        <v>37</v>
      </c>
      <c r="DP54" s="44" t="s">
        <v>37</v>
      </c>
      <c r="DQ54" s="44">
        <v>56951</v>
      </c>
      <c r="DR54" s="44" t="s">
        <v>37</v>
      </c>
      <c r="DT54" s="44" t="s">
        <v>37</v>
      </c>
      <c r="DV54" s="44" t="s">
        <v>37</v>
      </c>
      <c r="DX54" s="44" t="s">
        <v>37</v>
      </c>
      <c r="DZ54" s="44" t="s">
        <v>37</v>
      </c>
      <c r="EB54" s="44" t="s">
        <v>37</v>
      </c>
      <c r="ED54" s="44" t="s">
        <v>37</v>
      </c>
      <c r="EF54" s="44" t="s">
        <v>37</v>
      </c>
      <c r="EH54" s="44" t="s">
        <v>37</v>
      </c>
      <c r="EJ54" s="44" t="s">
        <v>37</v>
      </c>
      <c r="EL54" s="44" t="s">
        <v>37</v>
      </c>
      <c r="EN54" s="44" t="s">
        <v>37</v>
      </c>
      <c r="EP54" s="44" t="s">
        <v>37</v>
      </c>
      <c r="ER54" s="44" t="s">
        <v>37</v>
      </c>
      <c r="ET54" s="44" t="s">
        <v>37</v>
      </c>
      <c r="EV54" s="44" t="s">
        <v>37</v>
      </c>
      <c r="EX54" s="44" t="s">
        <v>37</v>
      </c>
      <c r="EZ54" s="44" t="s">
        <v>37</v>
      </c>
      <c r="FB54" s="44" t="s">
        <v>37</v>
      </c>
      <c r="FD54" s="44" t="s">
        <v>37</v>
      </c>
      <c r="FF54" s="44" t="s">
        <v>37</v>
      </c>
      <c r="FH54" s="44" t="s">
        <v>37</v>
      </c>
      <c r="FJ54" s="44" t="s">
        <v>37</v>
      </c>
      <c r="FL54" s="44" t="s">
        <v>37</v>
      </c>
      <c r="FN54" s="44" t="s">
        <v>37</v>
      </c>
      <c r="FP54" s="44" t="s">
        <v>37</v>
      </c>
      <c r="FR54" s="44" t="s">
        <v>37</v>
      </c>
      <c r="FT54" s="44" t="s">
        <v>37</v>
      </c>
      <c r="FV54" s="44" t="s">
        <v>37</v>
      </c>
      <c r="FX54" s="44" t="s">
        <v>37</v>
      </c>
      <c r="FZ54" s="44" t="s">
        <v>37</v>
      </c>
      <c r="GB54" s="44" t="s">
        <v>37</v>
      </c>
      <c r="GD54" s="44" t="s">
        <v>37</v>
      </c>
      <c r="GF54" s="44" t="s">
        <v>37</v>
      </c>
      <c r="GH54" s="44" t="s">
        <v>37</v>
      </c>
      <c r="GJ54" s="44" t="s">
        <v>37</v>
      </c>
      <c r="GL54" s="44" t="s">
        <v>37</v>
      </c>
      <c r="GN54" s="44" t="s">
        <v>37</v>
      </c>
      <c r="GP54" s="44" t="s">
        <v>37</v>
      </c>
      <c r="GR54" s="44" t="s">
        <v>37</v>
      </c>
      <c r="GT54" s="44" t="s">
        <v>37</v>
      </c>
      <c r="GV54" s="44" t="s">
        <v>37</v>
      </c>
      <c r="GX54" s="44" t="s">
        <v>37</v>
      </c>
      <c r="GZ54" s="44" t="s">
        <v>37</v>
      </c>
      <c r="HB54" s="44" t="s">
        <v>37</v>
      </c>
      <c r="HD54" s="44" t="s">
        <v>37</v>
      </c>
      <c r="HF54" s="44" t="s">
        <v>37</v>
      </c>
      <c r="HG54" s="44">
        <v>137696</v>
      </c>
      <c r="HH54" s="44" t="s">
        <v>37</v>
      </c>
      <c r="HJ54" s="44" t="s">
        <v>37</v>
      </c>
      <c r="HK54" s="44">
        <v>137696</v>
      </c>
      <c r="HL54" s="44" t="s">
        <v>37</v>
      </c>
    </row>
    <row r="55" spans="1:220">
      <c r="A55" s="150" t="s">
        <v>410</v>
      </c>
      <c r="B55" s="44">
        <v>1950</v>
      </c>
      <c r="C55" s="44" t="s">
        <v>84</v>
      </c>
      <c r="D55" s="44" t="s">
        <v>37</v>
      </c>
      <c r="E55" s="44">
        <v>47505</v>
      </c>
      <c r="F55" s="44" t="s">
        <v>37</v>
      </c>
      <c r="G55" s="44">
        <v>62260</v>
      </c>
      <c r="H55" s="44" t="s">
        <v>37</v>
      </c>
      <c r="J55" s="44" t="s">
        <v>37</v>
      </c>
      <c r="L55" s="48" t="s">
        <v>37</v>
      </c>
      <c r="M55" s="51">
        <v>21081</v>
      </c>
      <c r="N55" s="48" t="s">
        <v>37</v>
      </c>
      <c r="O55" s="50"/>
      <c r="P55" s="48" t="s">
        <v>37</v>
      </c>
      <c r="Q55" s="50"/>
      <c r="R55" s="48" t="s">
        <v>37</v>
      </c>
      <c r="S55" s="50"/>
      <c r="T55" s="48" t="s">
        <v>37</v>
      </c>
      <c r="U55" s="44">
        <v>42532</v>
      </c>
      <c r="V55" s="44" t="s">
        <v>37</v>
      </c>
      <c r="X55" s="44" t="s">
        <v>37</v>
      </c>
      <c r="Y55" s="44">
        <v>4056</v>
      </c>
      <c r="Z55" s="44" t="s">
        <v>37</v>
      </c>
      <c r="AB55" s="44" t="s">
        <v>37</v>
      </c>
      <c r="AC55" s="44">
        <v>2818</v>
      </c>
      <c r="AD55" s="44" t="s">
        <v>37</v>
      </c>
      <c r="AF55" s="44" t="s">
        <v>37</v>
      </c>
      <c r="AH55" s="44" t="s">
        <v>37</v>
      </c>
      <c r="AJ55" s="44" t="s">
        <v>37</v>
      </c>
      <c r="AL55" s="44" t="s">
        <v>37</v>
      </c>
      <c r="AM55" s="44">
        <v>8567</v>
      </c>
      <c r="AN55" s="44" t="s">
        <v>37</v>
      </c>
      <c r="AP55" s="44" t="s">
        <v>37</v>
      </c>
      <c r="AR55" s="44" t="s">
        <v>37</v>
      </c>
      <c r="AS55" s="44">
        <v>47560</v>
      </c>
      <c r="AT55" s="44" t="s">
        <v>37</v>
      </c>
      <c r="AU55" s="44">
        <v>921293</v>
      </c>
      <c r="AV55" s="44" t="s">
        <v>37</v>
      </c>
      <c r="AW55" s="44">
        <v>20732</v>
      </c>
      <c r="AX55" s="44" t="s">
        <v>37</v>
      </c>
      <c r="AY55" s="44">
        <v>711</v>
      </c>
      <c r="AZ55" s="44" t="s">
        <v>37</v>
      </c>
      <c r="BA55" s="44">
        <v>3383</v>
      </c>
      <c r="BB55" s="44" t="s">
        <v>37</v>
      </c>
      <c r="BD55" s="44" t="s">
        <v>37</v>
      </c>
      <c r="BE55" s="44">
        <v>18061</v>
      </c>
      <c r="BF55" s="44" t="s">
        <v>37</v>
      </c>
      <c r="BH55" s="44" t="s">
        <v>37</v>
      </c>
      <c r="BJ55" s="44" t="s">
        <v>37</v>
      </c>
      <c r="BL55" s="44" t="s">
        <v>37</v>
      </c>
      <c r="BN55" s="44" t="s">
        <v>37</v>
      </c>
      <c r="BP55" s="44" t="s">
        <v>37</v>
      </c>
      <c r="BQ55" s="44">
        <v>549</v>
      </c>
      <c r="BR55" s="44" t="s">
        <v>37</v>
      </c>
      <c r="BS55" s="44">
        <v>11146</v>
      </c>
      <c r="BT55" s="44" t="s">
        <v>37</v>
      </c>
      <c r="BU55" s="44">
        <v>5722</v>
      </c>
      <c r="BV55" s="44" t="s">
        <v>37</v>
      </c>
      <c r="BX55" s="44" t="s">
        <v>37</v>
      </c>
      <c r="BZ55" s="44" t="s">
        <v>37</v>
      </c>
      <c r="CA55" s="44">
        <v>67201</v>
      </c>
      <c r="CB55" s="44" t="s">
        <v>37</v>
      </c>
      <c r="CD55" s="44" t="s">
        <v>37</v>
      </c>
      <c r="CF55" s="44" t="s">
        <v>37</v>
      </c>
      <c r="CG55" s="44">
        <v>25032</v>
      </c>
      <c r="CH55" s="44" t="s">
        <v>37</v>
      </c>
      <c r="CI55" s="44">
        <v>2256</v>
      </c>
      <c r="CJ55" s="44" t="s">
        <v>37</v>
      </c>
      <c r="CL55" s="44" t="s">
        <v>37</v>
      </c>
      <c r="CM55" s="44">
        <v>340</v>
      </c>
      <c r="CN55" s="44" t="s">
        <v>37</v>
      </c>
      <c r="CP55" s="44" t="s">
        <v>37</v>
      </c>
      <c r="CR55" s="44" t="s">
        <v>37</v>
      </c>
      <c r="CS55" s="44">
        <v>1715</v>
      </c>
      <c r="CT55" s="44" t="s">
        <v>37</v>
      </c>
      <c r="CV55" s="44" t="s">
        <v>37</v>
      </c>
      <c r="CX55" s="44" t="s">
        <v>37</v>
      </c>
      <c r="CY55" s="44">
        <v>2452</v>
      </c>
      <c r="CZ55" s="44" t="s">
        <v>37</v>
      </c>
      <c r="DB55" s="44" t="s">
        <v>37</v>
      </c>
      <c r="DD55" s="44" t="s">
        <v>37</v>
      </c>
      <c r="DE55" s="44">
        <v>17886</v>
      </c>
      <c r="DF55" s="44" t="s">
        <v>37</v>
      </c>
      <c r="DG55" s="44">
        <v>52780</v>
      </c>
      <c r="DH55" s="44" t="s">
        <v>37</v>
      </c>
      <c r="DI55" s="44">
        <v>68530</v>
      </c>
      <c r="DJ55" s="44" t="s">
        <v>37</v>
      </c>
      <c r="DK55" s="44">
        <v>2500</v>
      </c>
      <c r="DL55" s="44" t="s">
        <v>37</v>
      </c>
      <c r="DN55" s="44" t="s">
        <v>37</v>
      </c>
      <c r="DP55" s="44" t="s">
        <v>37</v>
      </c>
      <c r="DQ55" s="44">
        <v>39572</v>
      </c>
      <c r="DR55" s="44" t="s">
        <v>37</v>
      </c>
      <c r="DS55" s="44">
        <v>5359</v>
      </c>
      <c r="DT55" s="44" t="s">
        <v>37</v>
      </c>
      <c r="DU55" s="44">
        <v>135</v>
      </c>
      <c r="DV55" s="44" t="s">
        <v>37</v>
      </c>
      <c r="DW55" s="44">
        <v>12858</v>
      </c>
      <c r="DX55" s="44" t="s">
        <v>37</v>
      </c>
      <c r="DY55" s="44">
        <v>13675</v>
      </c>
      <c r="DZ55" s="44" t="s">
        <v>37</v>
      </c>
      <c r="EB55" s="44" t="s">
        <v>37</v>
      </c>
      <c r="ED55" s="44" t="s">
        <v>37</v>
      </c>
      <c r="EE55" s="44">
        <v>-4752</v>
      </c>
      <c r="EF55" s="44" t="s">
        <v>37</v>
      </c>
      <c r="EG55" s="44">
        <v>18046</v>
      </c>
      <c r="EH55" s="44" t="s">
        <v>37</v>
      </c>
      <c r="EI55" s="44">
        <v>60</v>
      </c>
      <c r="EJ55" s="44" t="s">
        <v>37</v>
      </c>
      <c r="EK55" s="44">
        <v>1107</v>
      </c>
      <c r="EL55" s="44" t="s">
        <v>37</v>
      </c>
      <c r="EM55" s="44">
        <v>27202</v>
      </c>
      <c r="EN55" s="44" t="s">
        <v>37</v>
      </c>
      <c r="EO55" s="44">
        <v>848</v>
      </c>
      <c r="EP55" s="44" t="s">
        <v>37</v>
      </c>
      <c r="ER55" s="44" t="s">
        <v>37</v>
      </c>
      <c r="ES55" s="44">
        <v>1807</v>
      </c>
      <c r="ET55" s="44" t="s">
        <v>37</v>
      </c>
      <c r="EU55" s="44">
        <v>2683</v>
      </c>
      <c r="EV55" s="44" t="s">
        <v>37</v>
      </c>
      <c r="EW55" s="44">
        <v>40326</v>
      </c>
      <c r="EX55" s="44" t="s">
        <v>37</v>
      </c>
      <c r="EZ55" s="44" t="s">
        <v>37</v>
      </c>
      <c r="FB55" s="44" t="s">
        <v>37</v>
      </c>
      <c r="FC55" s="44">
        <v>98077</v>
      </c>
      <c r="FD55" s="44" t="s">
        <v>37</v>
      </c>
      <c r="FF55" s="44" t="s">
        <v>37</v>
      </c>
      <c r="FH55" s="44" t="s">
        <v>37</v>
      </c>
      <c r="FJ55" s="44" t="s">
        <v>37</v>
      </c>
      <c r="FK55" s="44">
        <v>-131013</v>
      </c>
      <c r="FL55" s="44" t="s">
        <v>37</v>
      </c>
      <c r="FM55" s="44">
        <v>573614</v>
      </c>
      <c r="FN55" s="44" t="s">
        <v>37</v>
      </c>
      <c r="FP55" s="44" t="s">
        <v>37</v>
      </c>
      <c r="FQ55" s="44">
        <v>1022</v>
      </c>
      <c r="FR55" s="44" t="s">
        <v>37</v>
      </c>
      <c r="FT55" s="44" t="s">
        <v>37</v>
      </c>
      <c r="FV55" s="44" t="s">
        <v>37</v>
      </c>
      <c r="FX55" s="44" t="s">
        <v>37</v>
      </c>
      <c r="FY55" s="44">
        <v>65</v>
      </c>
      <c r="FZ55" s="44" t="s">
        <v>37</v>
      </c>
      <c r="GA55" s="44">
        <v>1829</v>
      </c>
      <c r="GB55" s="44" t="s">
        <v>37</v>
      </c>
      <c r="GC55" s="44">
        <v>40018</v>
      </c>
      <c r="GD55" s="44" t="s">
        <v>37</v>
      </c>
      <c r="GF55" s="44" t="s">
        <v>37</v>
      </c>
      <c r="GH55" s="44" t="s">
        <v>37</v>
      </c>
      <c r="GJ55" s="44" t="s">
        <v>37</v>
      </c>
      <c r="GK55" s="44">
        <v>44311</v>
      </c>
      <c r="GL55" s="44" t="s">
        <v>37</v>
      </c>
      <c r="GM55" s="44">
        <v>92730</v>
      </c>
      <c r="GN55" s="44" t="s">
        <v>37</v>
      </c>
      <c r="GP55" s="44" t="s">
        <v>37</v>
      </c>
      <c r="GQ55" s="44">
        <v>1140</v>
      </c>
      <c r="GR55" s="44" t="s">
        <v>37</v>
      </c>
      <c r="GS55" s="44">
        <v>3475</v>
      </c>
      <c r="GT55" s="44" t="s">
        <v>37</v>
      </c>
      <c r="GV55" s="44" t="s">
        <v>37</v>
      </c>
      <c r="GX55" s="44" t="s">
        <v>37</v>
      </c>
      <c r="GZ55" s="44" t="s">
        <v>37</v>
      </c>
      <c r="HA55" s="44">
        <v>522</v>
      </c>
      <c r="HB55" s="44" t="s">
        <v>37</v>
      </c>
      <c r="HD55" s="44" t="s">
        <v>37</v>
      </c>
      <c r="HF55" s="44" t="s">
        <v>37</v>
      </c>
      <c r="HG55" s="44">
        <v>2343384</v>
      </c>
      <c r="HH55" s="44" t="s">
        <v>37</v>
      </c>
      <c r="HJ55" s="44" t="s">
        <v>37</v>
      </c>
      <c r="HK55" s="44">
        <v>2343384</v>
      </c>
      <c r="HL55" s="44" t="s">
        <v>37</v>
      </c>
    </row>
    <row r="56" spans="1:220">
      <c r="A56" s="150" t="s">
        <v>408</v>
      </c>
      <c r="B56" s="54">
        <v>1990</v>
      </c>
      <c r="C56" s="44" t="s">
        <v>85</v>
      </c>
      <c r="D56" s="44" t="s">
        <v>37</v>
      </c>
      <c r="F56" s="44" t="s">
        <v>37</v>
      </c>
      <c r="H56" s="44" t="s">
        <v>37</v>
      </c>
      <c r="J56" s="44" t="s">
        <v>37</v>
      </c>
      <c r="L56" s="48" t="s">
        <v>37</v>
      </c>
      <c r="M56" s="50"/>
      <c r="N56" s="48" t="s">
        <v>37</v>
      </c>
      <c r="O56" s="50"/>
      <c r="P56" s="48" t="s">
        <v>37</v>
      </c>
      <c r="Q56" s="50"/>
      <c r="R56" s="48" t="s">
        <v>37</v>
      </c>
      <c r="S56" s="50"/>
      <c r="T56" s="48" t="s">
        <v>37</v>
      </c>
      <c r="V56" s="44" t="s">
        <v>37</v>
      </c>
      <c r="X56" s="44" t="s">
        <v>37</v>
      </c>
      <c r="Z56" s="44" t="s">
        <v>37</v>
      </c>
      <c r="AB56" s="44" t="s">
        <v>37</v>
      </c>
      <c r="AD56" s="44" t="s">
        <v>37</v>
      </c>
      <c r="AF56" s="44" t="s">
        <v>37</v>
      </c>
      <c r="AH56" s="44" t="s">
        <v>37</v>
      </c>
      <c r="AJ56" s="44" t="s">
        <v>37</v>
      </c>
      <c r="AL56" s="44" t="s">
        <v>37</v>
      </c>
      <c r="AN56" s="44" t="s">
        <v>37</v>
      </c>
      <c r="AP56" s="44" t="s">
        <v>37</v>
      </c>
      <c r="AR56" s="44" t="s">
        <v>37</v>
      </c>
      <c r="AT56" s="44" t="s">
        <v>37</v>
      </c>
      <c r="AV56" s="44" t="s">
        <v>37</v>
      </c>
      <c r="AX56" s="44" t="s">
        <v>37</v>
      </c>
      <c r="AZ56" s="44" t="s">
        <v>37</v>
      </c>
      <c r="BB56" s="44" t="s">
        <v>37</v>
      </c>
      <c r="BD56" s="44" t="s">
        <v>37</v>
      </c>
      <c r="BF56" s="44" t="s">
        <v>37</v>
      </c>
      <c r="BH56" s="44" t="s">
        <v>37</v>
      </c>
      <c r="BJ56" s="44" t="s">
        <v>37</v>
      </c>
      <c r="BL56" s="44" t="s">
        <v>37</v>
      </c>
      <c r="BN56" s="44" t="s">
        <v>37</v>
      </c>
      <c r="BP56" s="44" t="s">
        <v>37</v>
      </c>
      <c r="BR56" s="44" t="s">
        <v>37</v>
      </c>
      <c r="BT56" s="44" t="s">
        <v>37</v>
      </c>
      <c r="BV56" s="44" t="s">
        <v>37</v>
      </c>
      <c r="BX56" s="44" t="s">
        <v>37</v>
      </c>
      <c r="BZ56" s="44" t="s">
        <v>37</v>
      </c>
      <c r="CB56" s="44" t="s">
        <v>37</v>
      </c>
      <c r="CD56" s="44" t="s">
        <v>37</v>
      </c>
      <c r="CF56" s="44" t="s">
        <v>37</v>
      </c>
      <c r="CH56" s="44" t="s">
        <v>37</v>
      </c>
      <c r="CJ56" s="44" t="s">
        <v>37</v>
      </c>
      <c r="CL56" s="44" t="s">
        <v>37</v>
      </c>
      <c r="CN56" s="44" t="s">
        <v>37</v>
      </c>
      <c r="CP56" s="44" t="s">
        <v>37</v>
      </c>
      <c r="CR56" s="44" t="s">
        <v>37</v>
      </c>
      <c r="CT56" s="44" t="s">
        <v>37</v>
      </c>
      <c r="CV56" s="44" t="s">
        <v>37</v>
      </c>
      <c r="CX56" s="44" t="s">
        <v>37</v>
      </c>
      <c r="CZ56" s="44" t="s">
        <v>37</v>
      </c>
      <c r="DB56" s="44" t="s">
        <v>37</v>
      </c>
      <c r="DD56" s="44" t="s">
        <v>37</v>
      </c>
      <c r="DF56" s="44" t="s">
        <v>37</v>
      </c>
      <c r="DH56" s="44" t="s">
        <v>37</v>
      </c>
      <c r="DJ56" s="44" t="s">
        <v>37</v>
      </c>
      <c r="DL56" s="44" t="s">
        <v>37</v>
      </c>
      <c r="DN56" s="44" t="s">
        <v>37</v>
      </c>
      <c r="DP56" s="44" t="s">
        <v>37</v>
      </c>
      <c r="DR56" s="44" t="s">
        <v>37</v>
      </c>
      <c r="DT56" s="44" t="s">
        <v>37</v>
      </c>
      <c r="DV56" s="44" t="s">
        <v>37</v>
      </c>
      <c r="DX56" s="44" t="s">
        <v>37</v>
      </c>
      <c r="DZ56" s="44" t="s">
        <v>37</v>
      </c>
      <c r="EB56" s="44" t="s">
        <v>37</v>
      </c>
      <c r="ED56" s="44" t="s">
        <v>37</v>
      </c>
      <c r="EF56" s="44" t="s">
        <v>37</v>
      </c>
      <c r="EH56" s="44" t="s">
        <v>37</v>
      </c>
      <c r="EJ56" s="44" t="s">
        <v>37</v>
      </c>
      <c r="EL56" s="44" t="s">
        <v>37</v>
      </c>
      <c r="EN56" s="44" t="s">
        <v>37</v>
      </c>
      <c r="EP56" s="44" t="s">
        <v>37</v>
      </c>
      <c r="ER56" s="44" t="s">
        <v>37</v>
      </c>
      <c r="ET56" s="44" t="s">
        <v>37</v>
      </c>
      <c r="EV56" s="44" t="s">
        <v>37</v>
      </c>
      <c r="EX56" s="44" t="s">
        <v>37</v>
      </c>
      <c r="EZ56" s="44" t="s">
        <v>37</v>
      </c>
      <c r="FB56" s="44" t="s">
        <v>37</v>
      </c>
      <c r="FD56" s="44" t="s">
        <v>37</v>
      </c>
      <c r="FF56" s="44" t="s">
        <v>37</v>
      </c>
      <c r="FH56" s="44" t="s">
        <v>37</v>
      </c>
      <c r="FJ56" s="44" t="s">
        <v>37</v>
      </c>
      <c r="FL56" s="44" t="s">
        <v>37</v>
      </c>
      <c r="FN56" s="44" t="s">
        <v>37</v>
      </c>
      <c r="FP56" s="44" t="s">
        <v>37</v>
      </c>
      <c r="FR56" s="44" t="s">
        <v>37</v>
      </c>
      <c r="FT56" s="44" t="s">
        <v>37</v>
      </c>
      <c r="FV56" s="44" t="s">
        <v>37</v>
      </c>
      <c r="FX56" s="44" t="s">
        <v>37</v>
      </c>
      <c r="FZ56" s="44" t="s">
        <v>37</v>
      </c>
      <c r="GB56" s="44" t="s">
        <v>37</v>
      </c>
      <c r="GD56" s="44" t="s">
        <v>37</v>
      </c>
      <c r="GF56" s="44" t="s">
        <v>37</v>
      </c>
      <c r="GH56" s="44" t="s">
        <v>37</v>
      </c>
      <c r="GJ56" s="44" t="s">
        <v>37</v>
      </c>
      <c r="GL56" s="44" t="s">
        <v>37</v>
      </c>
      <c r="GN56" s="44" t="s">
        <v>37</v>
      </c>
      <c r="GP56" s="44" t="s">
        <v>37</v>
      </c>
      <c r="GR56" s="44" t="s">
        <v>37</v>
      </c>
      <c r="GT56" s="44" t="s">
        <v>37</v>
      </c>
      <c r="GV56" s="44" t="s">
        <v>37</v>
      </c>
      <c r="GX56" s="44" t="s">
        <v>37</v>
      </c>
      <c r="GZ56" s="44" t="s">
        <v>37</v>
      </c>
      <c r="HB56" s="44" t="s">
        <v>37</v>
      </c>
      <c r="HD56" s="44" t="s">
        <v>37</v>
      </c>
      <c r="HF56" s="44" t="s">
        <v>37</v>
      </c>
      <c r="HH56" s="44" t="s">
        <v>37</v>
      </c>
      <c r="HJ56" s="44" t="s">
        <v>37</v>
      </c>
      <c r="HL56" s="44" t="s">
        <v>37</v>
      </c>
    </row>
    <row r="57" spans="1:220">
      <c r="A57" s="150" t="s">
        <v>410</v>
      </c>
      <c r="B57" s="44">
        <v>1992</v>
      </c>
      <c r="C57" s="44" t="s">
        <v>86</v>
      </c>
      <c r="D57" s="44" t="s">
        <v>37</v>
      </c>
      <c r="F57" s="44" t="s">
        <v>37</v>
      </c>
      <c r="H57" s="44" t="s">
        <v>37</v>
      </c>
      <c r="J57" s="44" t="s">
        <v>37</v>
      </c>
      <c r="L57" s="48" t="s">
        <v>37</v>
      </c>
      <c r="M57" s="51">
        <v>34546</v>
      </c>
      <c r="N57" s="48" t="s">
        <v>37</v>
      </c>
      <c r="O57" s="50"/>
      <c r="P57" s="48" t="s">
        <v>37</v>
      </c>
      <c r="Q57" s="50"/>
      <c r="R57" s="48" t="s">
        <v>37</v>
      </c>
      <c r="S57" s="50"/>
      <c r="T57" s="48" t="s">
        <v>37</v>
      </c>
      <c r="V57" s="44" t="s">
        <v>37</v>
      </c>
      <c r="W57" s="44">
        <v>9932</v>
      </c>
      <c r="X57" s="44" t="s">
        <v>37</v>
      </c>
      <c r="Z57" s="44" t="s">
        <v>37</v>
      </c>
      <c r="AB57" s="44" t="s">
        <v>37</v>
      </c>
      <c r="AD57" s="44" t="s">
        <v>37</v>
      </c>
      <c r="AF57" s="44" t="s">
        <v>37</v>
      </c>
      <c r="AH57" s="44" t="s">
        <v>37</v>
      </c>
      <c r="AJ57" s="44" t="s">
        <v>37</v>
      </c>
      <c r="AL57" s="44" t="s">
        <v>37</v>
      </c>
      <c r="AN57" s="44" t="s">
        <v>37</v>
      </c>
      <c r="AP57" s="44" t="s">
        <v>37</v>
      </c>
      <c r="AR57" s="44" t="s">
        <v>37</v>
      </c>
      <c r="AT57" s="44" t="s">
        <v>37</v>
      </c>
      <c r="AU57" s="44">
        <v>422227</v>
      </c>
      <c r="AV57" s="44" t="s">
        <v>37</v>
      </c>
      <c r="AX57" s="44" t="s">
        <v>37</v>
      </c>
      <c r="AZ57" s="44" t="s">
        <v>37</v>
      </c>
      <c r="BB57" s="44" t="s">
        <v>37</v>
      </c>
      <c r="BD57" s="44" t="s">
        <v>37</v>
      </c>
      <c r="BF57" s="44" t="s">
        <v>37</v>
      </c>
      <c r="BH57" s="44" t="s">
        <v>37</v>
      </c>
      <c r="BJ57" s="44" t="s">
        <v>37</v>
      </c>
      <c r="BL57" s="44" t="s">
        <v>37</v>
      </c>
      <c r="BN57" s="44" t="s">
        <v>37</v>
      </c>
      <c r="BP57" s="44" t="s">
        <v>37</v>
      </c>
      <c r="BR57" s="44" t="s">
        <v>37</v>
      </c>
      <c r="BT57" s="44" t="s">
        <v>37</v>
      </c>
      <c r="BV57" s="44" t="s">
        <v>37</v>
      </c>
      <c r="BX57" s="44" t="s">
        <v>37</v>
      </c>
      <c r="BZ57" s="44" t="s">
        <v>37</v>
      </c>
      <c r="CB57" s="44" t="s">
        <v>37</v>
      </c>
      <c r="CD57" s="44" t="s">
        <v>37</v>
      </c>
      <c r="CF57" s="44" t="s">
        <v>37</v>
      </c>
      <c r="CH57" s="44" t="s">
        <v>37</v>
      </c>
      <c r="CJ57" s="44" t="s">
        <v>37</v>
      </c>
      <c r="CL57" s="44" t="s">
        <v>37</v>
      </c>
      <c r="CN57" s="44" t="s">
        <v>37</v>
      </c>
      <c r="CP57" s="44" t="s">
        <v>37</v>
      </c>
      <c r="CR57" s="44" t="s">
        <v>37</v>
      </c>
      <c r="CT57" s="44" t="s">
        <v>37</v>
      </c>
      <c r="CU57" s="44">
        <v>8047</v>
      </c>
      <c r="CV57" s="44" t="s">
        <v>37</v>
      </c>
      <c r="CX57" s="44" t="s">
        <v>37</v>
      </c>
      <c r="CZ57" s="44" t="s">
        <v>37</v>
      </c>
      <c r="DB57" s="44" t="s">
        <v>37</v>
      </c>
      <c r="DD57" s="44" t="s">
        <v>37</v>
      </c>
      <c r="DF57" s="44" t="s">
        <v>37</v>
      </c>
      <c r="DH57" s="44" t="s">
        <v>37</v>
      </c>
      <c r="DJ57" s="44" t="s">
        <v>37</v>
      </c>
      <c r="DL57" s="44" t="s">
        <v>37</v>
      </c>
      <c r="DN57" s="44" t="s">
        <v>37</v>
      </c>
      <c r="DP57" s="44" t="s">
        <v>37</v>
      </c>
      <c r="DR57" s="44" t="s">
        <v>37</v>
      </c>
      <c r="DT57" s="44" t="s">
        <v>37</v>
      </c>
      <c r="DV57" s="44" t="s">
        <v>37</v>
      </c>
      <c r="DX57" s="44" t="s">
        <v>37</v>
      </c>
      <c r="DZ57" s="44" t="s">
        <v>37</v>
      </c>
      <c r="EB57" s="44" t="s">
        <v>37</v>
      </c>
      <c r="EC57" s="44">
        <v>4565</v>
      </c>
      <c r="ED57" s="44" t="s">
        <v>37</v>
      </c>
      <c r="EF57" s="44" t="s">
        <v>37</v>
      </c>
      <c r="EH57" s="44" t="s">
        <v>37</v>
      </c>
      <c r="EJ57" s="44" t="s">
        <v>37</v>
      </c>
      <c r="EL57" s="44" t="s">
        <v>37</v>
      </c>
      <c r="EN57" s="44" t="s">
        <v>37</v>
      </c>
      <c r="EP57" s="44" t="s">
        <v>37</v>
      </c>
      <c r="ER57" s="44" t="s">
        <v>37</v>
      </c>
      <c r="ET57" s="44" t="s">
        <v>37</v>
      </c>
      <c r="EV57" s="44" t="s">
        <v>37</v>
      </c>
      <c r="EX57" s="44" t="s">
        <v>37</v>
      </c>
      <c r="EZ57" s="44" t="s">
        <v>37</v>
      </c>
      <c r="FB57" s="44" t="s">
        <v>37</v>
      </c>
      <c r="FD57" s="44" t="s">
        <v>37</v>
      </c>
      <c r="FF57" s="44" t="s">
        <v>37</v>
      </c>
      <c r="FH57" s="44" t="s">
        <v>37</v>
      </c>
      <c r="FJ57" s="44" t="s">
        <v>37</v>
      </c>
      <c r="FL57" s="44" t="s">
        <v>37</v>
      </c>
      <c r="FN57" s="44" t="s">
        <v>37</v>
      </c>
      <c r="FP57" s="44" t="s">
        <v>37</v>
      </c>
      <c r="FR57" s="44" t="s">
        <v>37</v>
      </c>
      <c r="FT57" s="44" t="s">
        <v>37</v>
      </c>
      <c r="FV57" s="44" t="s">
        <v>37</v>
      </c>
      <c r="FX57" s="44" t="s">
        <v>37</v>
      </c>
      <c r="FZ57" s="44" t="s">
        <v>37</v>
      </c>
      <c r="GB57" s="44" t="s">
        <v>37</v>
      </c>
      <c r="GD57" s="44" t="s">
        <v>37</v>
      </c>
      <c r="GF57" s="44" t="s">
        <v>37</v>
      </c>
      <c r="GH57" s="44" t="s">
        <v>37</v>
      </c>
      <c r="GJ57" s="44" t="s">
        <v>37</v>
      </c>
      <c r="GL57" s="44" t="s">
        <v>37</v>
      </c>
      <c r="GM57" s="44">
        <v>37</v>
      </c>
      <c r="GN57" s="44" t="s">
        <v>37</v>
      </c>
      <c r="GP57" s="44" t="s">
        <v>37</v>
      </c>
      <c r="GR57" s="44" t="s">
        <v>37</v>
      </c>
      <c r="GT57" s="44" t="s">
        <v>37</v>
      </c>
      <c r="GV57" s="44" t="s">
        <v>37</v>
      </c>
      <c r="GW57" s="44">
        <v>17139</v>
      </c>
      <c r="GX57" s="44" t="s">
        <v>37</v>
      </c>
      <c r="GZ57" s="44" t="s">
        <v>37</v>
      </c>
      <c r="HB57" s="44" t="s">
        <v>37</v>
      </c>
      <c r="HD57" s="44" t="s">
        <v>37</v>
      </c>
      <c r="HF57" s="44" t="s">
        <v>37</v>
      </c>
      <c r="HG57" s="44">
        <v>496493</v>
      </c>
      <c r="HH57" s="44" t="s">
        <v>37</v>
      </c>
      <c r="HJ57" s="44" t="s">
        <v>37</v>
      </c>
      <c r="HK57" s="44">
        <v>496493</v>
      </c>
      <c r="HL57" s="44" t="s">
        <v>37</v>
      </c>
    </row>
    <row r="58" spans="1:220">
      <c r="A58" s="150" t="s">
        <v>410</v>
      </c>
      <c r="B58" s="44">
        <v>1993</v>
      </c>
      <c r="C58" s="44" t="s">
        <v>87</v>
      </c>
      <c r="D58" s="44" t="s">
        <v>37</v>
      </c>
      <c r="E58" s="44">
        <v>40028</v>
      </c>
      <c r="F58" s="44" t="s">
        <v>37</v>
      </c>
      <c r="G58" s="44">
        <v>4960</v>
      </c>
      <c r="H58" s="44" t="s">
        <v>37</v>
      </c>
      <c r="J58" s="44" t="s">
        <v>37</v>
      </c>
      <c r="L58" s="48" t="s">
        <v>37</v>
      </c>
      <c r="M58" s="51">
        <v>6657</v>
      </c>
      <c r="N58" s="48" t="s">
        <v>37</v>
      </c>
      <c r="O58" s="50"/>
      <c r="P58" s="48" t="s">
        <v>37</v>
      </c>
      <c r="Q58" s="51">
        <v>2150</v>
      </c>
      <c r="R58" s="48" t="s">
        <v>37</v>
      </c>
      <c r="S58" s="50"/>
      <c r="T58" s="48" t="s">
        <v>37</v>
      </c>
      <c r="U58" s="44">
        <v>9720</v>
      </c>
      <c r="V58" s="44" t="s">
        <v>37</v>
      </c>
      <c r="X58" s="44" t="s">
        <v>37</v>
      </c>
      <c r="Z58" s="44" t="s">
        <v>37</v>
      </c>
      <c r="AA58" s="44">
        <v>326</v>
      </c>
      <c r="AB58" s="44" t="s">
        <v>37</v>
      </c>
      <c r="AD58" s="44" t="s">
        <v>37</v>
      </c>
      <c r="AF58" s="44" t="s">
        <v>37</v>
      </c>
      <c r="AH58" s="44" t="s">
        <v>37</v>
      </c>
      <c r="AJ58" s="44" t="s">
        <v>37</v>
      </c>
      <c r="AL58" s="44" t="s">
        <v>37</v>
      </c>
      <c r="AM58" s="44">
        <v>34855</v>
      </c>
      <c r="AN58" s="44" t="s">
        <v>37</v>
      </c>
      <c r="AP58" s="44" t="s">
        <v>37</v>
      </c>
      <c r="AQ58" s="44">
        <v>102357</v>
      </c>
      <c r="AR58" s="44" t="s">
        <v>37</v>
      </c>
      <c r="AT58" s="44" t="s">
        <v>37</v>
      </c>
      <c r="AU58" s="44">
        <v>609444</v>
      </c>
      <c r="AV58" s="44" t="s">
        <v>37</v>
      </c>
      <c r="AW58" s="44">
        <v>1020</v>
      </c>
      <c r="AX58" s="44" t="s">
        <v>37</v>
      </c>
      <c r="AZ58" s="44" t="s">
        <v>37</v>
      </c>
      <c r="BB58" s="44" t="s">
        <v>37</v>
      </c>
      <c r="BD58" s="44" t="s">
        <v>37</v>
      </c>
      <c r="BE58" s="44">
        <v>16017</v>
      </c>
      <c r="BF58" s="44" t="s">
        <v>37</v>
      </c>
      <c r="BH58" s="44" t="s">
        <v>37</v>
      </c>
      <c r="BJ58" s="44" t="s">
        <v>37</v>
      </c>
      <c r="BL58" s="44" t="s">
        <v>37</v>
      </c>
      <c r="BN58" s="44" t="s">
        <v>37</v>
      </c>
      <c r="BP58" s="44" t="s">
        <v>37</v>
      </c>
      <c r="BQ58" s="44">
        <v>23908</v>
      </c>
      <c r="BR58" s="44" t="s">
        <v>37</v>
      </c>
      <c r="BS58" s="44">
        <v>15490</v>
      </c>
      <c r="BT58" s="44" t="s">
        <v>37</v>
      </c>
      <c r="BV58" s="44" t="s">
        <v>37</v>
      </c>
      <c r="BX58" s="44" t="s">
        <v>37</v>
      </c>
      <c r="BY58" s="44">
        <v>103196</v>
      </c>
      <c r="BZ58" s="44" t="s">
        <v>37</v>
      </c>
      <c r="CA58" s="44">
        <v>50386</v>
      </c>
      <c r="CB58" s="44" t="s">
        <v>37</v>
      </c>
      <c r="CD58" s="44" t="s">
        <v>37</v>
      </c>
      <c r="CF58" s="44" t="s">
        <v>37</v>
      </c>
      <c r="CH58" s="44" t="s">
        <v>37</v>
      </c>
      <c r="CI58" s="44">
        <v>10517</v>
      </c>
      <c r="CJ58" s="44" t="s">
        <v>37</v>
      </c>
      <c r="CL58" s="44" t="s">
        <v>37</v>
      </c>
      <c r="CN58" s="44" t="s">
        <v>37</v>
      </c>
      <c r="CP58" s="44" t="s">
        <v>37</v>
      </c>
      <c r="CR58" s="44" t="s">
        <v>37</v>
      </c>
      <c r="CS58" s="44">
        <v>17222</v>
      </c>
      <c r="CT58" s="44" t="s">
        <v>37</v>
      </c>
      <c r="CU58" s="44">
        <v>88248</v>
      </c>
      <c r="CV58" s="44" t="s">
        <v>37</v>
      </c>
      <c r="CW58" s="44">
        <v>32120</v>
      </c>
      <c r="CX58" s="44" t="s">
        <v>37</v>
      </c>
      <c r="CY58" s="44">
        <v>3412</v>
      </c>
      <c r="CZ58" s="44" t="s">
        <v>37</v>
      </c>
      <c r="DB58" s="44" t="s">
        <v>37</v>
      </c>
      <c r="DD58" s="44" t="s">
        <v>37</v>
      </c>
      <c r="DE58" s="44">
        <v>920</v>
      </c>
      <c r="DF58" s="44" t="s">
        <v>37</v>
      </c>
      <c r="DG58" s="44">
        <v>1508</v>
      </c>
      <c r="DH58" s="44" t="s">
        <v>37</v>
      </c>
      <c r="DI58" s="44">
        <v>66724</v>
      </c>
      <c r="DJ58" s="44" t="s">
        <v>37</v>
      </c>
      <c r="DK58" s="44">
        <v>8155</v>
      </c>
      <c r="DL58" s="44" t="s">
        <v>37</v>
      </c>
      <c r="DN58" s="44" t="s">
        <v>37</v>
      </c>
      <c r="DO58" s="44">
        <v>45600</v>
      </c>
      <c r="DP58" s="44" t="s">
        <v>37</v>
      </c>
      <c r="DR58" s="44" t="s">
        <v>37</v>
      </c>
      <c r="DS58" s="44">
        <v>55899</v>
      </c>
      <c r="DT58" s="44" t="s">
        <v>37</v>
      </c>
      <c r="DV58" s="44" t="s">
        <v>37</v>
      </c>
      <c r="DW58" s="44">
        <v>269811</v>
      </c>
      <c r="DX58" s="44" t="s">
        <v>37</v>
      </c>
      <c r="DY58" s="44">
        <v>5593</v>
      </c>
      <c r="DZ58" s="44" t="s">
        <v>37</v>
      </c>
      <c r="EB58" s="44" t="s">
        <v>37</v>
      </c>
      <c r="EC58" s="44">
        <v>24296</v>
      </c>
      <c r="ED58" s="44" t="s">
        <v>37</v>
      </c>
      <c r="EF58" s="44" t="s">
        <v>37</v>
      </c>
      <c r="EG58" s="44">
        <v>73876</v>
      </c>
      <c r="EH58" s="44" t="s">
        <v>37</v>
      </c>
      <c r="EI58" s="44">
        <v>11003</v>
      </c>
      <c r="EJ58" s="44" t="s">
        <v>37</v>
      </c>
      <c r="EL58" s="44" t="s">
        <v>37</v>
      </c>
      <c r="EN58" s="44" t="s">
        <v>37</v>
      </c>
      <c r="EO58" s="44">
        <v>126631</v>
      </c>
      <c r="EP58" s="44" t="s">
        <v>37</v>
      </c>
      <c r="ER58" s="44" t="s">
        <v>37</v>
      </c>
      <c r="ES58" s="44">
        <v>22594</v>
      </c>
      <c r="ET58" s="44" t="s">
        <v>37</v>
      </c>
      <c r="EU58" s="44">
        <v>25261</v>
      </c>
      <c r="EV58" s="44" t="s">
        <v>37</v>
      </c>
      <c r="EW58" s="44">
        <v>40336</v>
      </c>
      <c r="EX58" s="44" t="s">
        <v>37</v>
      </c>
      <c r="EZ58" s="44" t="s">
        <v>37</v>
      </c>
      <c r="FA58" s="44">
        <v>1009</v>
      </c>
      <c r="FB58" s="44" t="s">
        <v>37</v>
      </c>
      <c r="FD58" s="44" t="s">
        <v>37</v>
      </c>
      <c r="FE58" s="44">
        <v>806867</v>
      </c>
      <c r="FF58" s="44" t="s">
        <v>37</v>
      </c>
      <c r="FH58" s="44" t="s">
        <v>37</v>
      </c>
      <c r="FJ58" s="44" t="s">
        <v>37</v>
      </c>
      <c r="FK58" s="44">
        <v>109350</v>
      </c>
      <c r="FL58" s="44" t="s">
        <v>37</v>
      </c>
      <c r="FM58" s="44">
        <v>7108</v>
      </c>
      <c r="FN58" s="44" t="s">
        <v>37</v>
      </c>
      <c r="FP58" s="44" t="s">
        <v>37</v>
      </c>
      <c r="FQ58" s="44">
        <v>12796</v>
      </c>
      <c r="FR58" s="44" t="s">
        <v>37</v>
      </c>
      <c r="FT58" s="44" t="s">
        <v>37</v>
      </c>
      <c r="FU58" s="44">
        <v>23866</v>
      </c>
      <c r="FV58" s="44" t="s">
        <v>37</v>
      </c>
      <c r="FX58" s="44" t="s">
        <v>37</v>
      </c>
      <c r="FY58" s="44">
        <v>52248</v>
      </c>
      <c r="FZ58" s="44" t="s">
        <v>37</v>
      </c>
      <c r="GA58" s="44">
        <v>4207</v>
      </c>
      <c r="GB58" s="44" t="s">
        <v>37</v>
      </c>
      <c r="GC58" s="44">
        <v>23014</v>
      </c>
      <c r="GD58" s="44" t="s">
        <v>37</v>
      </c>
      <c r="GF58" s="44" t="s">
        <v>37</v>
      </c>
      <c r="GH58" s="44" t="s">
        <v>37</v>
      </c>
      <c r="GJ58" s="44" t="s">
        <v>37</v>
      </c>
      <c r="GK58" s="44">
        <v>28539</v>
      </c>
      <c r="GL58" s="44" t="s">
        <v>37</v>
      </c>
      <c r="GM58" s="44">
        <v>316</v>
      </c>
      <c r="GN58" s="44" t="s">
        <v>37</v>
      </c>
      <c r="GP58" s="44" t="s">
        <v>37</v>
      </c>
      <c r="GQ58" s="44">
        <v>294231</v>
      </c>
      <c r="GR58" s="44" t="s">
        <v>37</v>
      </c>
      <c r="GT58" s="44" t="s">
        <v>37</v>
      </c>
      <c r="GV58" s="44" t="s">
        <v>37</v>
      </c>
      <c r="GX58" s="44" t="s">
        <v>37</v>
      </c>
      <c r="GY58" s="44">
        <v>24663</v>
      </c>
      <c r="GZ58" s="44" t="s">
        <v>37</v>
      </c>
      <c r="HA58" s="44">
        <v>62115</v>
      </c>
      <c r="HB58" s="44" t="s">
        <v>37</v>
      </c>
      <c r="HD58" s="44" t="s">
        <v>37</v>
      </c>
      <c r="HF58" s="44" t="s">
        <v>37</v>
      </c>
      <c r="HG58" s="44">
        <v>3400569</v>
      </c>
      <c r="HH58" s="44" t="s">
        <v>37</v>
      </c>
      <c r="HJ58" s="44" t="s">
        <v>37</v>
      </c>
      <c r="HK58" s="44">
        <v>3400569</v>
      </c>
      <c r="HL58" s="44" t="s">
        <v>37</v>
      </c>
    </row>
    <row r="59" spans="1:220">
      <c r="A59" s="150" t="s">
        <v>410</v>
      </c>
      <c r="B59" s="44">
        <v>1994</v>
      </c>
      <c r="C59" s="44" t="s">
        <v>88</v>
      </c>
      <c r="D59" s="44" t="s">
        <v>37</v>
      </c>
      <c r="F59" s="44" t="s">
        <v>37</v>
      </c>
      <c r="H59" s="44" t="s">
        <v>37</v>
      </c>
      <c r="J59" s="44" t="s">
        <v>37</v>
      </c>
      <c r="L59" s="48" t="s">
        <v>37</v>
      </c>
      <c r="M59" s="50"/>
      <c r="N59" s="48" t="s">
        <v>37</v>
      </c>
      <c r="O59" s="50"/>
      <c r="P59" s="48" t="s">
        <v>37</v>
      </c>
      <c r="Q59" s="50"/>
      <c r="R59" s="48" t="s">
        <v>37</v>
      </c>
      <c r="S59" s="50"/>
      <c r="T59" s="48" t="s">
        <v>37</v>
      </c>
      <c r="V59" s="44" t="s">
        <v>37</v>
      </c>
      <c r="X59" s="44" t="s">
        <v>37</v>
      </c>
      <c r="Z59" s="44" t="s">
        <v>37</v>
      </c>
      <c r="AB59" s="44" t="s">
        <v>37</v>
      </c>
      <c r="AD59" s="44" t="s">
        <v>37</v>
      </c>
      <c r="AF59" s="44" t="s">
        <v>37</v>
      </c>
      <c r="AH59" s="44" t="s">
        <v>37</v>
      </c>
      <c r="AJ59" s="44" t="s">
        <v>37</v>
      </c>
      <c r="AL59" s="44" t="s">
        <v>37</v>
      </c>
      <c r="AN59" s="44" t="s">
        <v>37</v>
      </c>
      <c r="AP59" s="44" t="s">
        <v>37</v>
      </c>
      <c r="AQ59" s="44">
        <v>4130</v>
      </c>
      <c r="AR59" s="44" t="s">
        <v>37</v>
      </c>
      <c r="AT59" s="44" t="s">
        <v>37</v>
      </c>
      <c r="AV59" s="44" t="s">
        <v>37</v>
      </c>
      <c r="AX59" s="44" t="s">
        <v>37</v>
      </c>
      <c r="AZ59" s="44" t="s">
        <v>37</v>
      </c>
      <c r="BA59" s="44">
        <v>99089</v>
      </c>
      <c r="BB59" s="44" t="s">
        <v>37</v>
      </c>
      <c r="BD59" s="44" t="s">
        <v>37</v>
      </c>
      <c r="BF59" s="44" t="s">
        <v>37</v>
      </c>
      <c r="BH59" s="44" t="s">
        <v>37</v>
      </c>
      <c r="BJ59" s="44" t="s">
        <v>37</v>
      </c>
      <c r="BL59" s="44" t="s">
        <v>37</v>
      </c>
      <c r="BN59" s="44" t="s">
        <v>37</v>
      </c>
      <c r="BP59" s="44" t="s">
        <v>37</v>
      </c>
      <c r="BR59" s="44" t="s">
        <v>37</v>
      </c>
      <c r="BT59" s="44" t="s">
        <v>37</v>
      </c>
      <c r="BV59" s="44" t="s">
        <v>37</v>
      </c>
      <c r="BX59" s="44" t="s">
        <v>37</v>
      </c>
      <c r="BZ59" s="44" t="s">
        <v>37</v>
      </c>
      <c r="CB59" s="44" t="s">
        <v>37</v>
      </c>
      <c r="CD59" s="44" t="s">
        <v>37</v>
      </c>
      <c r="CF59" s="44" t="s">
        <v>37</v>
      </c>
      <c r="CH59" s="44" t="s">
        <v>37</v>
      </c>
      <c r="CI59" s="44">
        <v>271790</v>
      </c>
      <c r="CJ59" s="44" t="s">
        <v>37</v>
      </c>
      <c r="CL59" s="44" t="s">
        <v>37</v>
      </c>
      <c r="CN59" s="44" t="s">
        <v>37</v>
      </c>
      <c r="CP59" s="44" t="s">
        <v>37</v>
      </c>
      <c r="CR59" s="44" t="s">
        <v>37</v>
      </c>
      <c r="CT59" s="44" t="s">
        <v>37</v>
      </c>
      <c r="CV59" s="44" t="s">
        <v>37</v>
      </c>
      <c r="CX59" s="44" t="s">
        <v>37</v>
      </c>
      <c r="CZ59" s="44" t="s">
        <v>37</v>
      </c>
      <c r="DB59" s="44" t="s">
        <v>37</v>
      </c>
      <c r="DD59" s="44" t="s">
        <v>37</v>
      </c>
      <c r="DF59" s="44" t="s">
        <v>37</v>
      </c>
      <c r="DG59" s="44">
        <v>128105</v>
      </c>
      <c r="DH59" s="44" t="s">
        <v>37</v>
      </c>
      <c r="DI59" s="44">
        <v>53091</v>
      </c>
      <c r="DJ59" s="44" t="s">
        <v>37</v>
      </c>
      <c r="DL59" s="44" t="s">
        <v>37</v>
      </c>
      <c r="DM59" s="44">
        <v>150000</v>
      </c>
      <c r="DN59" s="44" t="s">
        <v>37</v>
      </c>
      <c r="DP59" s="44" t="s">
        <v>37</v>
      </c>
      <c r="DR59" s="44" t="s">
        <v>37</v>
      </c>
      <c r="DS59" s="44">
        <v>40</v>
      </c>
      <c r="DT59" s="44" t="s">
        <v>37</v>
      </c>
      <c r="DV59" s="44" t="s">
        <v>37</v>
      </c>
      <c r="DX59" s="44" t="s">
        <v>37</v>
      </c>
      <c r="DZ59" s="44" t="s">
        <v>37</v>
      </c>
      <c r="EB59" s="44" t="s">
        <v>37</v>
      </c>
      <c r="ED59" s="44" t="s">
        <v>37</v>
      </c>
      <c r="EF59" s="44" t="s">
        <v>37</v>
      </c>
      <c r="EH59" s="44" t="s">
        <v>37</v>
      </c>
      <c r="EJ59" s="44" t="s">
        <v>37</v>
      </c>
      <c r="EL59" s="44" t="s">
        <v>37</v>
      </c>
      <c r="EN59" s="44" t="s">
        <v>37</v>
      </c>
      <c r="EP59" s="44" t="s">
        <v>37</v>
      </c>
      <c r="ER59" s="44" t="s">
        <v>37</v>
      </c>
      <c r="ET59" s="44" t="s">
        <v>37</v>
      </c>
      <c r="EV59" s="44" t="s">
        <v>37</v>
      </c>
      <c r="EX59" s="44" t="s">
        <v>37</v>
      </c>
      <c r="EZ59" s="44" t="s">
        <v>37</v>
      </c>
      <c r="FB59" s="44" t="s">
        <v>37</v>
      </c>
      <c r="FD59" s="44" t="s">
        <v>37</v>
      </c>
      <c r="FF59" s="44" t="s">
        <v>37</v>
      </c>
      <c r="FH59" s="44" t="s">
        <v>37</v>
      </c>
      <c r="FJ59" s="44" t="s">
        <v>37</v>
      </c>
      <c r="FL59" s="44" t="s">
        <v>37</v>
      </c>
      <c r="FN59" s="44" t="s">
        <v>37</v>
      </c>
      <c r="FP59" s="44" t="s">
        <v>37</v>
      </c>
      <c r="FR59" s="44" t="s">
        <v>37</v>
      </c>
      <c r="FT59" s="44" t="s">
        <v>37</v>
      </c>
      <c r="FV59" s="44" t="s">
        <v>37</v>
      </c>
      <c r="FX59" s="44" t="s">
        <v>37</v>
      </c>
      <c r="FZ59" s="44" t="s">
        <v>37</v>
      </c>
      <c r="GB59" s="44" t="s">
        <v>37</v>
      </c>
      <c r="GD59" s="44" t="s">
        <v>37</v>
      </c>
      <c r="GF59" s="44" t="s">
        <v>37</v>
      </c>
      <c r="GH59" s="44" t="s">
        <v>37</v>
      </c>
      <c r="GJ59" s="44" t="s">
        <v>37</v>
      </c>
      <c r="GL59" s="44" t="s">
        <v>37</v>
      </c>
      <c r="GM59" s="44">
        <v>83782</v>
      </c>
      <c r="GN59" s="44" t="s">
        <v>37</v>
      </c>
      <c r="GP59" s="44" t="s">
        <v>37</v>
      </c>
      <c r="GR59" s="44" t="s">
        <v>37</v>
      </c>
      <c r="GT59" s="44" t="s">
        <v>37</v>
      </c>
      <c r="GV59" s="44" t="s">
        <v>37</v>
      </c>
      <c r="GX59" s="44" t="s">
        <v>37</v>
      </c>
      <c r="GY59" s="44">
        <v>799051</v>
      </c>
      <c r="GZ59" s="44" t="s">
        <v>37</v>
      </c>
      <c r="HB59" s="44" t="s">
        <v>37</v>
      </c>
      <c r="HD59" s="44" t="s">
        <v>37</v>
      </c>
      <c r="HF59" s="44" t="s">
        <v>37</v>
      </c>
      <c r="HG59" s="44">
        <v>1589078</v>
      </c>
      <c r="HH59" s="44" t="s">
        <v>37</v>
      </c>
      <c r="HJ59" s="44" t="s">
        <v>37</v>
      </c>
      <c r="HK59" s="44">
        <v>1589078</v>
      </c>
      <c r="HL59" s="44" t="s">
        <v>37</v>
      </c>
    </row>
    <row r="60" spans="1:220">
      <c r="A60" s="150" t="s">
        <v>410</v>
      </c>
      <c r="B60" s="44">
        <v>1999</v>
      </c>
      <c r="C60" s="44" t="s">
        <v>89</v>
      </c>
      <c r="D60" s="44" t="s">
        <v>37</v>
      </c>
      <c r="E60" s="44">
        <v>122035</v>
      </c>
      <c r="F60" s="44" t="s">
        <v>37</v>
      </c>
      <c r="G60" s="44">
        <v>469459</v>
      </c>
      <c r="H60" s="44" t="s">
        <v>37</v>
      </c>
      <c r="I60" s="44">
        <v>145772</v>
      </c>
      <c r="J60" s="44" t="s">
        <v>37</v>
      </c>
      <c r="K60" s="44">
        <v>21532</v>
      </c>
      <c r="L60" s="48" t="s">
        <v>37</v>
      </c>
      <c r="M60" s="51">
        <v>122757</v>
      </c>
      <c r="N60" s="48" t="s">
        <v>37</v>
      </c>
      <c r="O60" s="51">
        <v>167828</v>
      </c>
      <c r="P60" s="48" t="s">
        <v>37</v>
      </c>
      <c r="Q60" s="51">
        <v>178729</v>
      </c>
      <c r="R60" s="48" t="s">
        <v>37</v>
      </c>
      <c r="S60" s="51">
        <v>231764</v>
      </c>
      <c r="T60" s="48" t="s">
        <v>37</v>
      </c>
      <c r="U60" s="44">
        <v>294441</v>
      </c>
      <c r="V60" s="44" t="s">
        <v>37</v>
      </c>
      <c r="W60" s="44">
        <v>85590</v>
      </c>
      <c r="X60" s="44" t="s">
        <v>37</v>
      </c>
      <c r="Y60" s="44">
        <v>224824</v>
      </c>
      <c r="Z60" s="44" t="s">
        <v>37</v>
      </c>
      <c r="AA60" s="44">
        <v>48399</v>
      </c>
      <c r="AB60" s="44" t="s">
        <v>37</v>
      </c>
      <c r="AC60" s="44">
        <v>28544</v>
      </c>
      <c r="AD60" s="44" t="s">
        <v>37</v>
      </c>
      <c r="AE60" s="44">
        <v>56311</v>
      </c>
      <c r="AF60" s="44" t="s">
        <v>37</v>
      </c>
      <c r="AG60" s="44">
        <v>350217</v>
      </c>
      <c r="AH60" s="44" t="s">
        <v>37</v>
      </c>
      <c r="AI60" s="44">
        <v>74260</v>
      </c>
      <c r="AJ60" s="44" t="s">
        <v>37</v>
      </c>
      <c r="AK60" s="44">
        <v>5213</v>
      </c>
      <c r="AL60" s="44" t="s">
        <v>37</v>
      </c>
      <c r="AM60" s="44">
        <v>4116544</v>
      </c>
      <c r="AN60" s="44" t="s">
        <v>37</v>
      </c>
      <c r="AO60" s="44">
        <v>451165</v>
      </c>
      <c r="AP60" s="44" t="s">
        <v>37</v>
      </c>
      <c r="AQ60" s="44">
        <v>2094179</v>
      </c>
      <c r="AR60" s="44" t="s">
        <v>37</v>
      </c>
      <c r="AS60" s="44">
        <v>93015</v>
      </c>
      <c r="AT60" s="44" t="s">
        <v>37</v>
      </c>
      <c r="AU60" s="44">
        <v>8579224</v>
      </c>
      <c r="AV60" s="44" t="s">
        <v>37</v>
      </c>
      <c r="AW60" s="44">
        <v>327087</v>
      </c>
      <c r="AX60" s="44" t="s">
        <v>37</v>
      </c>
      <c r="AY60" s="44">
        <v>534728</v>
      </c>
      <c r="AZ60" s="44" t="s">
        <v>37</v>
      </c>
      <c r="BA60" s="44">
        <v>627432</v>
      </c>
      <c r="BB60" s="44" t="s">
        <v>37</v>
      </c>
      <c r="BC60" s="44">
        <v>351644</v>
      </c>
      <c r="BD60" s="44" t="s">
        <v>37</v>
      </c>
      <c r="BE60" s="44">
        <v>155508</v>
      </c>
      <c r="BF60" s="44" t="s">
        <v>37</v>
      </c>
      <c r="BG60" s="44">
        <v>113636</v>
      </c>
      <c r="BH60" s="44" t="s">
        <v>37</v>
      </c>
      <c r="BI60" s="44">
        <v>48590</v>
      </c>
      <c r="BJ60" s="44" t="s">
        <v>37</v>
      </c>
      <c r="BK60" s="44">
        <v>642474</v>
      </c>
      <c r="BL60" s="44" t="s">
        <v>37</v>
      </c>
      <c r="BM60" s="44">
        <v>7213033</v>
      </c>
      <c r="BN60" s="44" t="s">
        <v>37</v>
      </c>
      <c r="BO60" s="44">
        <v>27</v>
      </c>
      <c r="BP60" s="44" t="s">
        <v>37</v>
      </c>
      <c r="BQ60" s="44">
        <v>350</v>
      </c>
      <c r="BR60" s="44" t="s">
        <v>37</v>
      </c>
      <c r="BS60" s="44">
        <v>1990</v>
      </c>
      <c r="BT60" s="44" t="s">
        <v>37</v>
      </c>
      <c r="BU60" s="44">
        <v>84227</v>
      </c>
      <c r="BV60" s="44" t="s">
        <v>37</v>
      </c>
      <c r="BX60" s="44" t="s">
        <v>37</v>
      </c>
      <c r="BY60" s="44">
        <v>4263449</v>
      </c>
      <c r="BZ60" s="44" t="s">
        <v>37</v>
      </c>
      <c r="CA60" s="44">
        <v>10818</v>
      </c>
      <c r="CB60" s="44" t="s">
        <v>37</v>
      </c>
      <c r="CC60" s="44">
        <v>210</v>
      </c>
      <c r="CD60" s="44" t="s">
        <v>37</v>
      </c>
      <c r="CE60" s="44">
        <v>108138</v>
      </c>
      <c r="CF60" s="44" t="s">
        <v>37</v>
      </c>
      <c r="CG60" s="44">
        <v>421925</v>
      </c>
      <c r="CH60" s="44" t="s">
        <v>37</v>
      </c>
      <c r="CI60" s="44">
        <v>785497</v>
      </c>
      <c r="CJ60" s="44" t="s">
        <v>37</v>
      </c>
      <c r="CK60" s="44">
        <v>475219</v>
      </c>
      <c r="CL60" s="44" t="s">
        <v>37</v>
      </c>
      <c r="CM60" s="44">
        <v>110565</v>
      </c>
      <c r="CN60" s="44" t="s">
        <v>37</v>
      </c>
      <c r="CO60" s="44">
        <v>55986</v>
      </c>
      <c r="CP60" s="44" t="s">
        <v>37</v>
      </c>
      <c r="CQ60" s="44">
        <v>497992</v>
      </c>
      <c r="CR60" s="44" t="s">
        <v>37</v>
      </c>
      <c r="CS60" s="44">
        <v>409361</v>
      </c>
      <c r="CT60" s="44" t="s">
        <v>37</v>
      </c>
      <c r="CU60" s="44">
        <v>2481594</v>
      </c>
      <c r="CV60" s="44" t="s">
        <v>37</v>
      </c>
      <c r="CW60" s="44">
        <v>156617</v>
      </c>
      <c r="CX60" s="44" t="s">
        <v>37</v>
      </c>
      <c r="CY60" s="44">
        <v>60474</v>
      </c>
      <c r="CZ60" s="44" t="s">
        <v>37</v>
      </c>
      <c r="DA60" s="44">
        <v>7074</v>
      </c>
      <c r="DB60" s="44" t="s">
        <v>37</v>
      </c>
      <c r="DD60" s="44" t="s">
        <v>37</v>
      </c>
      <c r="DE60" s="44">
        <v>92322</v>
      </c>
      <c r="DF60" s="44" t="s">
        <v>37</v>
      </c>
      <c r="DG60" s="44">
        <v>100019</v>
      </c>
      <c r="DH60" s="44" t="s">
        <v>37</v>
      </c>
      <c r="DI60" s="44">
        <v>2396192</v>
      </c>
      <c r="DJ60" s="44" t="s">
        <v>37</v>
      </c>
      <c r="DK60" s="44">
        <v>76560</v>
      </c>
      <c r="DL60" s="44" t="s">
        <v>37</v>
      </c>
      <c r="DM60" s="44">
        <v>1176409</v>
      </c>
      <c r="DN60" s="44" t="s">
        <v>37</v>
      </c>
      <c r="DO60" s="44">
        <v>531063</v>
      </c>
      <c r="DP60" s="44" t="s">
        <v>37</v>
      </c>
      <c r="DQ60" s="44">
        <v>382188</v>
      </c>
      <c r="DR60" s="44" t="s">
        <v>37</v>
      </c>
      <c r="DS60" s="44">
        <v>132842</v>
      </c>
      <c r="DT60" s="44" t="s">
        <v>37</v>
      </c>
      <c r="DU60" s="44">
        <v>374077</v>
      </c>
      <c r="DV60" s="44" t="s">
        <v>37</v>
      </c>
      <c r="DW60" s="44">
        <v>757069</v>
      </c>
      <c r="DX60" s="44" t="s">
        <v>37</v>
      </c>
      <c r="DY60" s="44">
        <v>657938</v>
      </c>
      <c r="DZ60" s="44" t="s">
        <v>37</v>
      </c>
      <c r="EA60" s="44">
        <v>80009</v>
      </c>
      <c r="EB60" s="44" t="s">
        <v>37</v>
      </c>
      <c r="EC60" s="44">
        <v>47183</v>
      </c>
      <c r="ED60" s="44" t="s">
        <v>37</v>
      </c>
      <c r="EE60" s="44">
        <v>214746</v>
      </c>
      <c r="EF60" s="44" t="s">
        <v>37</v>
      </c>
      <c r="EG60" s="44">
        <v>315631</v>
      </c>
      <c r="EH60" s="44" t="s">
        <v>37</v>
      </c>
      <c r="EI60" s="44">
        <v>8123</v>
      </c>
      <c r="EJ60" s="44" t="s">
        <v>37</v>
      </c>
      <c r="EK60" s="44">
        <v>71812</v>
      </c>
      <c r="EL60" s="44" t="s">
        <v>37</v>
      </c>
      <c r="EM60" s="44">
        <v>16430</v>
      </c>
      <c r="EN60" s="44" t="s">
        <v>37</v>
      </c>
      <c r="EO60" s="44">
        <v>56788</v>
      </c>
      <c r="EP60" s="44" t="s">
        <v>37</v>
      </c>
      <c r="EQ60" s="44">
        <v>7512</v>
      </c>
      <c r="ER60" s="44" t="s">
        <v>37</v>
      </c>
      <c r="ES60" s="44">
        <v>90302</v>
      </c>
      <c r="ET60" s="44" t="s">
        <v>37</v>
      </c>
      <c r="EU60" s="44">
        <v>1392143</v>
      </c>
      <c r="EV60" s="44" t="s">
        <v>37</v>
      </c>
      <c r="EW60" s="44">
        <v>431816</v>
      </c>
      <c r="EX60" s="44" t="s">
        <v>37</v>
      </c>
      <c r="EZ60" s="44" t="s">
        <v>37</v>
      </c>
      <c r="FA60" s="44">
        <v>770250</v>
      </c>
      <c r="FB60" s="44" t="s">
        <v>37</v>
      </c>
      <c r="FC60" s="44">
        <v>25330</v>
      </c>
      <c r="FD60" s="44" t="s">
        <v>37</v>
      </c>
      <c r="FE60" s="44">
        <v>629660</v>
      </c>
      <c r="FF60" s="44" t="s">
        <v>37</v>
      </c>
      <c r="FH60" s="44" t="s">
        <v>37</v>
      </c>
      <c r="FI60" s="44">
        <v>308367</v>
      </c>
      <c r="FJ60" s="44" t="s">
        <v>37</v>
      </c>
      <c r="FK60" s="44">
        <v>2476342</v>
      </c>
      <c r="FL60" s="44" t="s">
        <v>37</v>
      </c>
      <c r="FM60" s="44">
        <v>3011905</v>
      </c>
      <c r="FN60" s="44" t="s">
        <v>37</v>
      </c>
      <c r="FO60" s="44">
        <v>120400</v>
      </c>
      <c r="FP60" s="44" t="s">
        <v>37</v>
      </c>
      <c r="FQ60" s="44">
        <v>867224</v>
      </c>
      <c r="FR60" s="44" t="s">
        <v>37</v>
      </c>
      <c r="FS60" s="44">
        <v>356390</v>
      </c>
      <c r="FT60" s="44" t="s">
        <v>37</v>
      </c>
      <c r="FU60" s="44">
        <v>237330</v>
      </c>
      <c r="FV60" s="44" t="s">
        <v>37</v>
      </c>
      <c r="FW60" s="44">
        <v>44749</v>
      </c>
      <c r="FX60" s="44" t="s">
        <v>37</v>
      </c>
      <c r="FY60" s="44">
        <v>28851</v>
      </c>
      <c r="FZ60" s="44" t="s">
        <v>37</v>
      </c>
      <c r="GA60" s="44">
        <v>296194</v>
      </c>
      <c r="GB60" s="44" t="s">
        <v>37</v>
      </c>
      <c r="GC60" s="44">
        <v>573294</v>
      </c>
      <c r="GD60" s="44" t="s">
        <v>37</v>
      </c>
      <c r="GE60" s="44">
        <v>17585</v>
      </c>
      <c r="GF60" s="44" t="s">
        <v>37</v>
      </c>
      <c r="GG60" s="44">
        <v>154865</v>
      </c>
      <c r="GH60" s="44" t="s">
        <v>37</v>
      </c>
      <c r="GI60" s="44">
        <v>25308</v>
      </c>
      <c r="GJ60" s="44" t="s">
        <v>37</v>
      </c>
      <c r="GK60" s="44">
        <v>543418</v>
      </c>
      <c r="GL60" s="44" t="s">
        <v>37</v>
      </c>
      <c r="GM60" s="44">
        <v>299589</v>
      </c>
      <c r="GN60" s="44" t="s">
        <v>37</v>
      </c>
      <c r="GP60" s="44" t="s">
        <v>37</v>
      </c>
      <c r="GQ60" s="44">
        <v>425001</v>
      </c>
      <c r="GR60" s="44" t="s">
        <v>37</v>
      </c>
      <c r="GS60" s="44">
        <v>388582</v>
      </c>
      <c r="GT60" s="44" t="s">
        <v>37</v>
      </c>
      <c r="GU60" s="44">
        <v>185690</v>
      </c>
      <c r="GV60" s="44" t="s">
        <v>37</v>
      </c>
      <c r="GW60" s="44">
        <v>202095</v>
      </c>
      <c r="GX60" s="44" t="s">
        <v>37</v>
      </c>
      <c r="GY60" s="44">
        <v>1958425</v>
      </c>
      <c r="GZ60" s="44" t="s">
        <v>37</v>
      </c>
      <c r="HA60" s="44">
        <v>4007184</v>
      </c>
      <c r="HB60" s="44" t="s">
        <v>37</v>
      </c>
      <c r="HC60" s="44">
        <v>12497</v>
      </c>
      <c r="HD60" s="44" t="s">
        <v>37</v>
      </c>
      <c r="HF60" s="44" t="s">
        <v>37</v>
      </c>
      <c r="HG60" s="44">
        <v>65270649</v>
      </c>
      <c r="HH60" s="44" t="s">
        <v>37</v>
      </c>
      <c r="HI60" s="44">
        <v>12497</v>
      </c>
      <c r="HJ60" s="44" t="s">
        <v>37</v>
      </c>
      <c r="HK60" s="44">
        <v>65283146</v>
      </c>
      <c r="HL60" s="44" t="s">
        <v>37</v>
      </c>
    </row>
    <row r="61" spans="1:220">
      <c r="A61" s="150" t="s">
        <v>408</v>
      </c>
      <c r="B61" s="54"/>
      <c r="D61" s="44" t="s">
        <v>37</v>
      </c>
      <c r="F61" s="44" t="s">
        <v>37</v>
      </c>
      <c r="H61" s="44" t="s">
        <v>37</v>
      </c>
      <c r="J61" s="44" t="s">
        <v>37</v>
      </c>
      <c r="L61" s="48" t="s">
        <v>37</v>
      </c>
      <c r="M61" s="51"/>
      <c r="N61" s="48" t="s">
        <v>37</v>
      </c>
      <c r="O61" s="51"/>
      <c r="P61" s="48" t="s">
        <v>37</v>
      </c>
      <c r="Q61" s="51"/>
      <c r="R61" s="48" t="s">
        <v>37</v>
      </c>
      <c r="S61" s="51"/>
      <c r="T61" s="48" t="s">
        <v>37</v>
      </c>
      <c r="V61" s="44" t="s">
        <v>37</v>
      </c>
      <c r="X61" s="44" t="s">
        <v>37</v>
      </c>
      <c r="Z61" s="44" t="s">
        <v>37</v>
      </c>
      <c r="AB61" s="44" t="s">
        <v>37</v>
      </c>
      <c r="AD61" s="44" t="s">
        <v>37</v>
      </c>
      <c r="AF61" s="44" t="s">
        <v>37</v>
      </c>
      <c r="AH61" s="44" t="s">
        <v>37</v>
      </c>
      <c r="AJ61" s="44" t="s">
        <v>37</v>
      </c>
      <c r="AL61" s="44" t="s">
        <v>37</v>
      </c>
      <c r="AN61" s="44" t="s">
        <v>37</v>
      </c>
      <c r="AP61" s="44" t="s">
        <v>37</v>
      </c>
      <c r="AR61" s="44" t="s">
        <v>37</v>
      </c>
      <c r="AT61" s="44" t="s">
        <v>37</v>
      </c>
      <c r="AV61" s="44" t="s">
        <v>37</v>
      </c>
      <c r="AX61" s="44" t="s">
        <v>37</v>
      </c>
      <c r="AZ61" s="44" t="s">
        <v>37</v>
      </c>
      <c r="BB61" s="44" t="s">
        <v>37</v>
      </c>
      <c r="BD61" s="44" t="s">
        <v>37</v>
      </c>
      <c r="BF61" s="44" t="s">
        <v>37</v>
      </c>
      <c r="BH61" s="44" t="s">
        <v>37</v>
      </c>
      <c r="BJ61" s="44" t="s">
        <v>37</v>
      </c>
      <c r="BL61" s="44" t="s">
        <v>37</v>
      </c>
      <c r="BN61" s="44" t="s">
        <v>37</v>
      </c>
      <c r="BP61" s="44" t="s">
        <v>37</v>
      </c>
      <c r="BR61" s="44" t="s">
        <v>37</v>
      </c>
      <c r="BT61" s="44" t="s">
        <v>37</v>
      </c>
      <c r="BV61" s="44" t="s">
        <v>37</v>
      </c>
      <c r="BX61" s="44" t="s">
        <v>37</v>
      </c>
      <c r="BZ61" s="44" t="s">
        <v>37</v>
      </c>
      <c r="CB61" s="44" t="s">
        <v>37</v>
      </c>
      <c r="CD61" s="44" t="s">
        <v>37</v>
      </c>
      <c r="CF61" s="44" t="s">
        <v>37</v>
      </c>
      <c r="CH61" s="44" t="s">
        <v>37</v>
      </c>
      <c r="CJ61" s="44" t="s">
        <v>37</v>
      </c>
      <c r="CL61" s="44" t="s">
        <v>37</v>
      </c>
      <c r="CN61" s="44" t="s">
        <v>37</v>
      </c>
      <c r="CP61" s="44" t="s">
        <v>37</v>
      </c>
      <c r="CR61" s="44" t="s">
        <v>37</v>
      </c>
      <c r="CT61" s="44" t="s">
        <v>37</v>
      </c>
      <c r="CV61" s="44" t="s">
        <v>37</v>
      </c>
      <c r="CX61" s="44" t="s">
        <v>37</v>
      </c>
      <c r="CZ61" s="44" t="s">
        <v>37</v>
      </c>
      <c r="DB61" s="44" t="s">
        <v>37</v>
      </c>
      <c r="DD61" s="44" t="s">
        <v>37</v>
      </c>
      <c r="DF61" s="44" t="s">
        <v>37</v>
      </c>
      <c r="DH61" s="44" t="s">
        <v>37</v>
      </c>
      <c r="DJ61" s="44" t="s">
        <v>37</v>
      </c>
      <c r="DL61" s="44" t="s">
        <v>37</v>
      </c>
      <c r="DN61" s="44" t="s">
        <v>37</v>
      </c>
      <c r="DP61" s="44" t="s">
        <v>37</v>
      </c>
      <c r="DR61" s="44" t="s">
        <v>37</v>
      </c>
      <c r="DT61" s="44" t="s">
        <v>37</v>
      </c>
      <c r="DV61" s="44" t="s">
        <v>37</v>
      </c>
      <c r="DX61" s="44" t="s">
        <v>37</v>
      </c>
      <c r="DZ61" s="44" t="s">
        <v>37</v>
      </c>
      <c r="EB61" s="44" t="s">
        <v>37</v>
      </c>
      <c r="ED61" s="44" t="s">
        <v>37</v>
      </c>
      <c r="EF61" s="44" t="s">
        <v>37</v>
      </c>
      <c r="EH61" s="44" t="s">
        <v>37</v>
      </c>
      <c r="EJ61" s="44" t="s">
        <v>37</v>
      </c>
      <c r="EL61" s="44" t="s">
        <v>37</v>
      </c>
      <c r="EN61" s="44" t="s">
        <v>37</v>
      </c>
      <c r="EP61" s="44" t="s">
        <v>37</v>
      </c>
      <c r="ER61" s="44" t="s">
        <v>37</v>
      </c>
      <c r="ET61" s="44" t="s">
        <v>37</v>
      </c>
      <c r="EV61" s="44" t="s">
        <v>37</v>
      </c>
      <c r="EX61" s="44" t="s">
        <v>37</v>
      </c>
      <c r="EZ61" s="44" t="s">
        <v>37</v>
      </c>
      <c r="FB61" s="44" t="s">
        <v>37</v>
      </c>
      <c r="FD61" s="44" t="s">
        <v>37</v>
      </c>
      <c r="FF61" s="44" t="s">
        <v>37</v>
      </c>
      <c r="FH61" s="44" t="s">
        <v>37</v>
      </c>
      <c r="FJ61" s="44" t="s">
        <v>37</v>
      </c>
      <c r="FL61" s="44" t="s">
        <v>37</v>
      </c>
      <c r="FN61" s="44" t="s">
        <v>37</v>
      </c>
      <c r="FP61" s="44" t="s">
        <v>37</v>
      </c>
      <c r="FR61" s="44" t="s">
        <v>37</v>
      </c>
      <c r="FT61" s="44" t="s">
        <v>37</v>
      </c>
      <c r="FV61" s="44" t="s">
        <v>37</v>
      </c>
      <c r="FX61" s="44" t="s">
        <v>37</v>
      </c>
      <c r="FZ61" s="44" t="s">
        <v>37</v>
      </c>
      <c r="GB61" s="44" t="s">
        <v>37</v>
      </c>
      <c r="GD61" s="44" t="s">
        <v>37</v>
      </c>
      <c r="GF61" s="44" t="s">
        <v>37</v>
      </c>
      <c r="GH61" s="44" t="s">
        <v>37</v>
      </c>
      <c r="GJ61" s="44" t="s">
        <v>37</v>
      </c>
      <c r="GL61" s="44" t="s">
        <v>37</v>
      </c>
      <c r="GN61" s="44" t="s">
        <v>37</v>
      </c>
      <c r="GP61" s="44" t="s">
        <v>37</v>
      </c>
      <c r="GR61" s="44" t="s">
        <v>37</v>
      </c>
      <c r="GT61" s="44" t="s">
        <v>37</v>
      </c>
      <c r="GV61" s="44" t="s">
        <v>37</v>
      </c>
      <c r="GX61" s="44" t="s">
        <v>37</v>
      </c>
      <c r="GZ61" s="44" t="s">
        <v>37</v>
      </c>
      <c r="HB61" s="44" t="s">
        <v>37</v>
      </c>
      <c r="HD61" s="44" t="s">
        <v>37</v>
      </c>
      <c r="HF61" s="44" t="s">
        <v>37</v>
      </c>
      <c r="HH61" s="44" t="s">
        <v>37</v>
      </c>
      <c r="HJ61" s="44" t="s">
        <v>37</v>
      </c>
      <c r="HL61" s="44" t="s">
        <v>37</v>
      </c>
    </row>
    <row r="62" spans="1:220">
      <c r="A62" s="150" t="s">
        <v>408</v>
      </c>
      <c r="B62" s="54" t="s">
        <v>90</v>
      </c>
      <c r="C62" s="44" t="s">
        <v>91</v>
      </c>
      <c r="D62" s="44" t="s">
        <v>37</v>
      </c>
      <c r="E62" s="44">
        <v>10474641</v>
      </c>
      <c r="F62" s="44" t="s">
        <v>37</v>
      </c>
      <c r="G62" s="44">
        <v>75661599</v>
      </c>
      <c r="H62" s="44" t="s">
        <v>37</v>
      </c>
      <c r="I62" s="44">
        <v>5502685</v>
      </c>
      <c r="J62" s="44" t="s">
        <v>37</v>
      </c>
      <c r="K62" s="44">
        <v>785170</v>
      </c>
      <c r="L62" s="48" t="s">
        <v>37</v>
      </c>
      <c r="M62" s="51">
        <v>26158685</v>
      </c>
      <c r="N62" s="48" t="s">
        <v>37</v>
      </c>
      <c r="O62" s="51">
        <v>11420331</v>
      </c>
      <c r="P62" s="48" t="s">
        <v>37</v>
      </c>
      <c r="Q62" s="51">
        <v>8057991</v>
      </c>
      <c r="R62" s="48" t="s">
        <v>37</v>
      </c>
      <c r="S62" s="51">
        <v>16516037</v>
      </c>
      <c r="T62" s="48" t="s">
        <v>37</v>
      </c>
      <c r="U62" s="44">
        <v>46945356</v>
      </c>
      <c r="V62" s="44" t="s">
        <v>37</v>
      </c>
      <c r="W62" s="44">
        <v>1048008</v>
      </c>
      <c r="X62" s="44" t="s">
        <v>37</v>
      </c>
      <c r="Y62" s="44">
        <v>3912004</v>
      </c>
      <c r="Z62" s="44" t="s">
        <v>37</v>
      </c>
      <c r="AA62" s="44">
        <v>4360542</v>
      </c>
      <c r="AB62" s="44" t="s">
        <v>37</v>
      </c>
      <c r="AC62" s="44">
        <v>3468720</v>
      </c>
      <c r="AD62" s="44" t="s">
        <v>37</v>
      </c>
      <c r="AE62" s="44">
        <v>2421466</v>
      </c>
      <c r="AF62" s="44" t="s">
        <v>37</v>
      </c>
      <c r="AG62" s="44">
        <v>2838378</v>
      </c>
      <c r="AH62" s="44" t="s">
        <v>37</v>
      </c>
      <c r="AI62" s="44">
        <v>6462076</v>
      </c>
      <c r="AJ62" s="44" t="s">
        <v>37</v>
      </c>
      <c r="AK62" s="44">
        <v>1391022</v>
      </c>
      <c r="AL62" s="44" t="s">
        <v>37</v>
      </c>
      <c r="AM62" s="44">
        <v>167660076</v>
      </c>
      <c r="AN62" s="44" t="s">
        <v>37</v>
      </c>
      <c r="AO62" s="44">
        <v>3830293</v>
      </c>
      <c r="AP62" s="44" t="s">
        <v>37</v>
      </c>
      <c r="AQ62" s="44">
        <v>117077320</v>
      </c>
      <c r="AR62" s="44" t="s">
        <v>37</v>
      </c>
      <c r="AS62" s="44">
        <v>9658216</v>
      </c>
      <c r="AT62" s="44" t="s">
        <v>37</v>
      </c>
      <c r="AU62" s="44">
        <v>304200778</v>
      </c>
      <c r="AV62" s="44" t="s">
        <v>37</v>
      </c>
      <c r="AW62" s="44">
        <v>36848750</v>
      </c>
      <c r="AX62" s="44" t="s">
        <v>37</v>
      </c>
      <c r="AY62" s="44">
        <v>21483318</v>
      </c>
      <c r="AZ62" s="44" t="s">
        <v>37</v>
      </c>
      <c r="BA62" s="44">
        <v>22562213</v>
      </c>
      <c r="BB62" s="44" t="s">
        <v>37</v>
      </c>
      <c r="BC62" s="44">
        <v>4797970</v>
      </c>
      <c r="BD62" s="44" t="s">
        <v>37</v>
      </c>
      <c r="BE62" s="44">
        <v>6091951</v>
      </c>
      <c r="BF62" s="44" t="s">
        <v>37</v>
      </c>
      <c r="BG62" s="44">
        <v>3020208</v>
      </c>
      <c r="BH62" s="44" t="s">
        <v>37</v>
      </c>
      <c r="BI62" s="44">
        <v>1057120</v>
      </c>
      <c r="BJ62" s="44" t="s">
        <v>37</v>
      </c>
      <c r="BK62" s="44">
        <v>22777632</v>
      </c>
      <c r="BL62" s="44" t="s">
        <v>37</v>
      </c>
      <c r="BM62" s="44">
        <v>48006157</v>
      </c>
      <c r="BN62" s="44" t="s">
        <v>37</v>
      </c>
      <c r="BO62" s="44">
        <v>1288126</v>
      </c>
      <c r="BP62" s="44" t="s">
        <v>37</v>
      </c>
      <c r="BQ62" s="44">
        <v>1475151</v>
      </c>
      <c r="BR62" s="44" t="s">
        <v>37</v>
      </c>
      <c r="BS62" s="44">
        <v>5500274</v>
      </c>
      <c r="BT62" s="44" t="s">
        <v>37</v>
      </c>
      <c r="BU62" s="44">
        <v>2821595</v>
      </c>
      <c r="BV62" s="44" t="s">
        <v>37</v>
      </c>
      <c r="BW62" s="44">
        <v>1020889</v>
      </c>
      <c r="BX62" s="44" t="s">
        <v>37</v>
      </c>
      <c r="BY62" s="44">
        <v>66852600</v>
      </c>
      <c r="BZ62" s="44" t="s">
        <v>37</v>
      </c>
      <c r="CA62" s="44">
        <v>11659001</v>
      </c>
      <c r="CB62" s="44" t="s">
        <v>37</v>
      </c>
      <c r="CC62" s="44">
        <v>3102555</v>
      </c>
      <c r="CD62" s="44" t="s">
        <v>37</v>
      </c>
      <c r="CE62" s="44">
        <v>13202724</v>
      </c>
      <c r="CF62" s="44" t="s">
        <v>37</v>
      </c>
      <c r="CG62" s="44">
        <v>23787612</v>
      </c>
      <c r="CH62" s="44" t="s">
        <v>37</v>
      </c>
      <c r="CI62" s="44">
        <v>57963523</v>
      </c>
      <c r="CJ62" s="44" t="s">
        <v>37</v>
      </c>
      <c r="CK62" s="44">
        <v>3909437</v>
      </c>
      <c r="CL62" s="44" t="s">
        <v>37</v>
      </c>
      <c r="CM62" s="44">
        <v>8377086</v>
      </c>
      <c r="CN62" s="44" t="s">
        <v>37</v>
      </c>
      <c r="CO62" s="44">
        <v>3550207</v>
      </c>
      <c r="CP62" s="44" t="s">
        <v>37</v>
      </c>
      <c r="CQ62" s="44">
        <v>6202083</v>
      </c>
      <c r="CR62" s="44" t="s">
        <v>37</v>
      </c>
      <c r="CS62" s="44">
        <v>60407211</v>
      </c>
      <c r="CT62" s="44" t="s">
        <v>37</v>
      </c>
      <c r="CU62" s="44">
        <v>293011400</v>
      </c>
      <c r="CV62" s="44" t="s">
        <v>37</v>
      </c>
      <c r="CW62" s="44">
        <v>41531915</v>
      </c>
      <c r="CX62" s="44" t="s">
        <v>37</v>
      </c>
      <c r="CY62" s="44">
        <v>3740863</v>
      </c>
      <c r="CZ62" s="44" t="s">
        <v>37</v>
      </c>
      <c r="DA62" s="44">
        <v>8409659</v>
      </c>
      <c r="DB62" s="44" t="s">
        <v>37</v>
      </c>
      <c r="DC62" s="44">
        <v>1378253</v>
      </c>
      <c r="DD62" s="44" t="s">
        <v>37</v>
      </c>
      <c r="DE62" s="44">
        <v>6828453</v>
      </c>
      <c r="DF62" s="44" t="s">
        <v>37</v>
      </c>
      <c r="DG62" s="44">
        <v>3886532</v>
      </c>
      <c r="DH62" s="44" t="s">
        <v>37</v>
      </c>
      <c r="DI62" s="44">
        <v>224692294</v>
      </c>
      <c r="DJ62" s="44" t="s">
        <v>37</v>
      </c>
      <c r="DK62" s="44">
        <v>11536376</v>
      </c>
      <c r="DL62" s="44" t="s">
        <v>37</v>
      </c>
      <c r="DM62" s="44">
        <v>38941008</v>
      </c>
      <c r="DN62" s="44" t="s">
        <v>37</v>
      </c>
      <c r="DO62" s="44">
        <v>38511004</v>
      </c>
      <c r="DP62" s="44" t="s">
        <v>37</v>
      </c>
      <c r="DQ62" s="44">
        <v>16370908</v>
      </c>
      <c r="DR62" s="44" t="s">
        <v>37</v>
      </c>
      <c r="DS62" s="44">
        <v>10039675</v>
      </c>
      <c r="DT62" s="44" t="s">
        <v>37</v>
      </c>
      <c r="DU62" s="44">
        <v>6492865</v>
      </c>
      <c r="DV62" s="44" t="s">
        <v>37</v>
      </c>
      <c r="DW62" s="44">
        <v>107075233</v>
      </c>
      <c r="DX62" s="44" t="s">
        <v>37</v>
      </c>
      <c r="DY62" s="44">
        <v>36319674</v>
      </c>
      <c r="DZ62" s="44" t="s">
        <v>37</v>
      </c>
      <c r="EA62" s="44">
        <v>10840478</v>
      </c>
      <c r="EB62" s="44" t="s">
        <v>37</v>
      </c>
      <c r="EC62" s="44">
        <v>9404195</v>
      </c>
      <c r="ED62" s="44" t="s">
        <v>37</v>
      </c>
      <c r="EE62" s="44">
        <v>89793837</v>
      </c>
      <c r="EF62" s="44" t="s">
        <v>37</v>
      </c>
      <c r="EG62" s="44">
        <v>5833670</v>
      </c>
      <c r="EH62" s="44" t="s">
        <v>37</v>
      </c>
      <c r="EI62" s="44">
        <v>1531529</v>
      </c>
      <c r="EJ62" s="44" t="s">
        <v>37</v>
      </c>
      <c r="EK62" s="44">
        <v>6317183</v>
      </c>
      <c r="EL62" s="44" t="s">
        <v>37</v>
      </c>
      <c r="EM62" s="44">
        <v>4786613</v>
      </c>
      <c r="EN62" s="44" t="s">
        <v>37</v>
      </c>
      <c r="EO62" s="44">
        <v>2001480</v>
      </c>
      <c r="EP62" s="44" t="s">
        <v>37</v>
      </c>
      <c r="EQ62" s="44">
        <v>1448684</v>
      </c>
      <c r="ER62" s="44" t="s">
        <v>37</v>
      </c>
      <c r="ES62" s="44">
        <v>11531082</v>
      </c>
      <c r="ET62" s="44" t="s">
        <v>37</v>
      </c>
      <c r="EU62" s="44">
        <v>30550055</v>
      </c>
      <c r="EV62" s="44" t="s">
        <v>37</v>
      </c>
      <c r="EW62" s="44">
        <v>64446185</v>
      </c>
      <c r="EX62" s="44" t="s">
        <v>37</v>
      </c>
      <c r="EZ62" s="44" t="s">
        <v>37</v>
      </c>
      <c r="FA62" s="44">
        <v>14383960</v>
      </c>
      <c r="FB62" s="44" t="s">
        <v>37</v>
      </c>
      <c r="FC62" s="44">
        <v>15193588</v>
      </c>
      <c r="FD62" s="44" t="s">
        <v>37</v>
      </c>
      <c r="FE62" s="44">
        <v>32502472</v>
      </c>
      <c r="FF62" s="44" t="s">
        <v>37</v>
      </c>
      <c r="FG62" s="44">
        <v>790614</v>
      </c>
      <c r="FH62" s="44" t="s">
        <v>37</v>
      </c>
      <c r="FI62" s="44">
        <v>60458160</v>
      </c>
      <c r="FJ62" s="44" t="s">
        <v>37</v>
      </c>
      <c r="FK62" s="44">
        <v>180798308</v>
      </c>
      <c r="FL62" s="44" t="s">
        <v>37</v>
      </c>
      <c r="FM62" s="44">
        <v>119871947</v>
      </c>
      <c r="FN62" s="44" t="s">
        <v>37</v>
      </c>
      <c r="FO62" s="44">
        <v>6829519</v>
      </c>
      <c r="FP62" s="44" t="s">
        <v>37</v>
      </c>
      <c r="FQ62" s="44">
        <v>19400431</v>
      </c>
      <c r="FR62" s="44" t="s">
        <v>37</v>
      </c>
      <c r="FS62" s="44">
        <v>28565808</v>
      </c>
      <c r="FT62" s="44" t="s">
        <v>37</v>
      </c>
      <c r="FU62" s="44">
        <v>14467865</v>
      </c>
      <c r="FV62" s="44" t="s">
        <v>37</v>
      </c>
      <c r="FW62" s="44">
        <v>10515764</v>
      </c>
      <c r="FX62" s="44" t="s">
        <v>37</v>
      </c>
      <c r="FY62" s="44">
        <v>41123819</v>
      </c>
      <c r="FZ62" s="44" t="s">
        <v>37</v>
      </c>
      <c r="GA62" s="44">
        <v>42279041</v>
      </c>
      <c r="GB62" s="44" t="s">
        <v>37</v>
      </c>
      <c r="GC62" s="44">
        <v>43813963</v>
      </c>
      <c r="GD62" s="44" t="s">
        <v>37</v>
      </c>
      <c r="GE62" s="44">
        <v>1739823</v>
      </c>
      <c r="GF62" s="44" t="s">
        <v>37</v>
      </c>
      <c r="GG62" s="44">
        <v>2726629</v>
      </c>
      <c r="GH62" s="44" t="s">
        <v>37</v>
      </c>
      <c r="GI62" s="44">
        <v>2547914</v>
      </c>
      <c r="GJ62" s="44" t="s">
        <v>37</v>
      </c>
      <c r="GK62" s="44">
        <v>24679918</v>
      </c>
      <c r="GL62" s="44" t="s">
        <v>37</v>
      </c>
      <c r="GM62" s="44">
        <v>24159026</v>
      </c>
      <c r="GN62" s="44" t="s">
        <v>37</v>
      </c>
      <c r="GP62" s="44" t="s">
        <v>37</v>
      </c>
      <c r="GQ62" s="44">
        <v>11814396</v>
      </c>
      <c r="GR62" s="44" t="s">
        <v>37</v>
      </c>
      <c r="GS62" s="44">
        <v>14634768</v>
      </c>
      <c r="GT62" s="44" t="s">
        <v>37</v>
      </c>
      <c r="GU62" s="44">
        <v>18653530</v>
      </c>
      <c r="GV62" s="44" t="s">
        <v>37</v>
      </c>
      <c r="GW62" s="44">
        <v>45558771</v>
      </c>
      <c r="GX62" s="44" t="s">
        <v>37</v>
      </c>
      <c r="GY62" s="44">
        <v>74465021</v>
      </c>
      <c r="GZ62" s="44" t="s">
        <v>37</v>
      </c>
      <c r="HA62" s="44">
        <v>48297579</v>
      </c>
      <c r="HB62" s="44" t="s">
        <v>37</v>
      </c>
      <c r="HC62" s="44">
        <v>12497</v>
      </c>
      <c r="HD62" s="44" t="s">
        <v>37</v>
      </c>
      <c r="HF62" s="44" t="s">
        <v>37</v>
      </c>
      <c r="HG62" s="44">
        <v>3255140524</v>
      </c>
      <c r="HH62" s="44" t="s">
        <v>37</v>
      </c>
      <c r="HI62" s="44">
        <v>12497</v>
      </c>
      <c r="HJ62" s="44" t="s">
        <v>37</v>
      </c>
      <c r="HK62" s="44">
        <v>3255153021</v>
      </c>
      <c r="HL62" s="44" t="s">
        <v>37</v>
      </c>
    </row>
    <row r="63" spans="1:220">
      <c r="A63" s="150" t="s">
        <v>408</v>
      </c>
      <c r="B63" s="54"/>
      <c r="D63" s="44" t="s">
        <v>37</v>
      </c>
      <c r="F63" s="44" t="s">
        <v>37</v>
      </c>
      <c r="H63" s="44" t="s">
        <v>37</v>
      </c>
      <c r="J63" s="44" t="s">
        <v>37</v>
      </c>
      <c r="L63" s="48" t="s">
        <v>37</v>
      </c>
      <c r="M63" s="51"/>
      <c r="N63" s="48" t="s">
        <v>37</v>
      </c>
      <c r="O63" s="51"/>
      <c r="P63" s="48" t="s">
        <v>37</v>
      </c>
      <c r="Q63" s="51"/>
      <c r="R63" s="48" t="s">
        <v>37</v>
      </c>
      <c r="S63" s="51"/>
      <c r="T63" s="48" t="s">
        <v>37</v>
      </c>
      <c r="V63" s="44" t="s">
        <v>37</v>
      </c>
      <c r="X63" s="44" t="s">
        <v>37</v>
      </c>
      <c r="Z63" s="44" t="s">
        <v>37</v>
      </c>
      <c r="AB63" s="44" t="s">
        <v>37</v>
      </c>
      <c r="AD63" s="44" t="s">
        <v>37</v>
      </c>
      <c r="AF63" s="44" t="s">
        <v>37</v>
      </c>
      <c r="AH63" s="44" t="s">
        <v>37</v>
      </c>
      <c r="AJ63" s="44" t="s">
        <v>37</v>
      </c>
      <c r="AL63" s="44" t="s">
        <v>37</v>
      </c>
      <c r="AN63" s="44" t="s">
        <v>37</v>
      </c>
      <c r="AP63" s="44" t="s">
        <v>37</v>
      </c>
      <c r="AR63" s="44" t="s">
        <v>37</v>
      </c>
      <c r="AT63" s="44" t="s">
        <v>37</v>
      </c>
      <c r="AV63" s="44" t="s">
        <v>37</v>
      </c>
      <c r="AX63" s="44" t="s">
        <v>37</v>
      </c>
      <c r="AZ63" s="44" t="s">
        <v>37</v>
      </c>
      <c r="BB63" s="44" t="s">
        <v>37</v>
      </c>
      <c r="BD63" s="44" t="s">
        <v>37</v>
      </c>
      <c r="BF63" s="44" t="s">
        <v>37</v>
      </c>
      <c r="BH63" s="44" t="s">
        <v>37</v>
      </c>
      <c r="BJ63" s="44" t="s">
        <v>37</v>
      </c>
      <c r="BL63" s="44" t="s">
        <v>37</v>
      </c>
      <c r="BN63" s="44" t="s">
        <v>37</v>
      </c>
      <c r="BP63" s="44" t="s">
        <v>37</v>
      </c>
      <c r="BR63" s="44" t="s">
        <v>37</v>
      </c>
      <c r="BT63" s="44" t="s">
        <v>37</v>
      </c>
      <c r="BV63" s="44" t="s">
        <v>37</v>
      </c>
      <c r="BX63" s="44" t="s">
        <v>37</v>
      </c>
      <c r="BZ63" s="44" t="s">
        <v>37</v>
      </c>
      <c r="CB63" s="44" t="s">
        <v>37</v>
      </c>
      <c r="CD63" s="44" t="s">
        <v>37</v>
      </c>
      <c r="CF63" s="44" t="s">
        <v>37</v>
      </c>
      <c r="CH63" s="44" t="s">
        <v>37</v>
      </c>
      <c r="CJ63" s="44" t="s">
        <v>37</v>
      </c>
      <c r="CL63" s="44" t="s">
        <v>37</v>
      </c>
      <c r="CN63" s="44" t="s">
        <v>37</v>
      </c>
      <c r="CP63" s="44" t="s">
        <v>37</v>
      </c>
      <c r="CR63" s="44" t="s">
        <v>37</v>
      </c>
      <c r="CT63" s="44" t="s">
        <v>37</v>
      </c>
      <c r="CV63" s="44" t="s">
        <v>37</v>
      </c>
      <c r="CX63" s="44" t="s">
        <v>37</v>
      </c>
      <c r="CZ63" s="44" t="s">
        <v>37</v>
      </c>
      <c r="DB63" s="44" t="s">
        <v>37</v>
      </c>
      <c r="DD63" s="44" t="s">
        <v>37</v>
      </c>
      <c r="DF63" s="44" t="s">
        <v>37</v>
      </c>
      <c r="DH63" s="44" t="s">
        <v>37</v>
      </c>
      <c r="DJ63" s="44" t="s">
        <v>37</v>
      </c>
      <c r="DL63" s="44" t="s">
        <v>37</v>
      </c>
      <c r="DN63" s="44" t="s">
        <v>37</v>
      </c>
      <c r="DP63" s="44" t="s">
        <v>37</v>
      </c>
      <c r="DR63" s="44" t="s">
        <v>37</v>
      </c>
      <c r="DT63" s="44" t="s">
        <v>37</v>
      </c>
      <c r="DV63" s="44" t="s">
        <v>37</v>
      </c>
      <c r="DX63" s="44" t="s">
        <v>37</v>
      </c>
      <c r="DZ63" s="44" t="s">
        <v>37</v>
      </c>
      <c r="EB63" s="44" t="s">
        <v>37</v>
      </c>
      <c r="ED63" s="44" t="s">
        <v>37</v>
      </c>
      <c r="EF63" s="44" t="s">
        <v>37</v>
      </c>
      <c r="EH63" s="44" t="s">
        <v>37</v>
      </c>
      <c r="EJ63" s="44" t="s">
        <v>37</v>
      </c>
      <c r="EL63" s="44" t="s">
        <v>37</v>
      </c>
      <c r="EN63" s="44" t="s">
        <v>37</v>
      </c>
      <c r="EP63" s="44" t="s">
        <v>37</v>
      </c>
      <c r="ER63" s="44" t="s">
        <v>37</v>
      </c>
      <c r="ET63" s="44" t="s">
        <v>37</v>
      </c>
      <c r="EV63" s="44" t="s">
        <v>37</v>
      </c>
      <c r="EX63" s="44" t="s">
        <v>37</v>
      </c>
      <c r="EZ63" s="44" t="s">
        <v>37</v>
      </c>
      <c r="FB63" s="44" t="s">
        <v>37</v>
      </c>
      <c r="FD63" s="44" t="s">
        <v>37</v>
      </c>
      <c r="FF63" s="44" t="s">
        <v>37</v>
      </c>
      <c r="FH63" s="44" t="s">
        <v>37</v>
      </c>
      <c r="FJ63" s="44" t="s">
        <v>37</v>
      </c>
      <c r="FL63" s="44" t="s">
        <v>37</v>
      </c>
      <c r="FN63" s="44" t="s">
        <v>37</v>
      </c>
      <c r="FP63" s="44" t="s">
        <v>37</v>
      </c>
      <c r="FR63" s="44" t="s">
        <v>37</v>
      </c>
      <c r="FT63" s="44" t="s">
        <v>37</v>
      </c>
      <c r="FV63" s="44" t="s">
        <v>37</v>
      </c>
      <c r="FX63" s="44" t="s">
        <v>37</v>
      </c>
      <c r="FZ63" s="44" t="s">
        <v>37</v>
      </c>
      <c r="GB63" s="44" t="s">
        <v>37</v>
      </c>
      <c r="GD63" s="44" t="s">
        <v>37</v>
      </c>
      <c r="GF63" s="44" t="s">
        <v>37</v>
      </c>
      <c r="GH63" s="44" t="s">
        <v>37</v>
      </c>
      <c r="GJ63" s="44" t="s">
        <v>37</v>
      </c>
      <c r="GL63" s="44" t="s">
        <v>37</v>
      </c>
      <c r="GN63" s="44" t="s">
        <v>37</v>
      </c>
      <c r="GP63" s="44" t="s">
        <v>37</v>
      </c>
      <c r="GR63" s="44" t="s">
        <v>37</v>
      </c>
      <c r="GT63" s="44" t="s">
        <v>37</v>
      </c>
      <c r="GV63" s="44" t="s">
        <v>37</v>
      </c>
      <c r="GX63" s="44" t="s">
        <v>37</v>
      </c>
      <c r="GZ63" s="44" t="s">
        <v>37</v>
      </c>
      <c r="HB63" s="44" t="s">
        <v>37</v>
      </c>
      <c r="HD63" s="44" t="s">
        <v>37</v>
      </c>
      <c r="HF63" s="44" t="s">
        <v>37</v>
      </c>
      <c r="HH63" s="44" t="s">
        <v>37</v>
      </c>
      <c r="HJ63" s="44" t="s">
        <v>37</v>
      </c>
      <c r="HL63" s="44" t="s">
        <v>37</v>
      </c>
    </row>
    <row r="64" spans="1:220">
      <c r="A64" s="150" t="s">
        <v>408</v>
      </c>
      <c r="B64" s="54">
        <v>2000</v>
      </c>
      <c r="C64" s="44" t="s">
        <v>92</v>
      </c>
      <c r="D64" s="44" t="s">
        <v>37</v>
      </c>
      <c r="F64" s="44" t="s">
        <v>37</v>
      </c>
      <c r="H64" s="44" t="s">
        <v>37</v>
      </c>
      <c r="J64" s="44" t="s">
        <v>37</v>
      </c>
      <c r="L64" s="48" t="s">
        <v>37</v>
      </c>
      <c r="M64" s="50"/>
      <c r="N64" s="48" t="s">
        <v>37</v>
      </c>
      <c r="O64" s="50"/>
      <c r="P64" s="48" t="s">
        <v>37</v>
      </c>
      <c r="Q64" s="50"/>
      <c r="R64" s="48" t="s">
        <v>37</v>
      </c>
      <c r="S64" s="50"/>
      <c r="T64" s="48" t="s">
        <v>37</v>
      </c>
      <c r="V64" s="44" t="s">
        <v>37</v>
      </c>
      <c r="X64" s="44" t="s">
        <v>37</v>
      </c>
      <c r="Z64" s="44" t="s">
        <v>37</v>
      </c>
      <c r="AB64" s="44" t="s">
        <v>37</v>
      </c>
      <c r="AD64" s="44" t="s">
        <v>37</v>
      </c>
      <c r="AF64" s="44" t="s">
        <v>37</v>
      </c>
      <c r="AH64" s="44" t="s">
        <v>37</v>
      </c>
      <c r="AJ64" s="44" t="s">
        <v>37</v>
      </c>
      <c r="AL64" s="44" t="s">
        <v>37</v>
      </c>
      <c r="AN64" s="44" t="s">
        <v>37</v>
      </c>
      <c r="AP64" s="44" t="s">
        <v>37</v>
      </c>
      <c r="AR64" s="44" t="s">
        <v>37</v>
      </c>
      <c r="AT64" s="44" t="s">
        <v>37</v>
      </c>
      <c r="AV64" s="44" t="s">
        <v>37</v>
      </c>
      <c r="AX64" s="44" t="s">
        <v>37</v>
      </c>
      <c r="AZ64" s="44" t="s">
        <v>37</v>
      </c>
      <c r="BB64" s="44" t="s">
        <v>37</v>
      </c>
      <c r="BD64" s="44" t="s">
        <v>37</v>
      </c>
      <c r="BF64" s="44" t="s">
        <v>37</v>
      </c>
      <c r="BH64" s="44" t="s">
        <v>37</v>
      </c>
      <c r="BJ64" s="44" t="s">
        <v>37</v>
      </c>
      <c r="BL64" s="44" t="s">
        <v>37</v>
      </c>
      <c r="BN64" s="44" t="s">
        <v>37</v>
      </c>
      <c r="BP64" s="44" t="s">
        <v>37</v>
      </c>
      <c r="BR64" s="44" t="s">
        <v>37</v>
      </c>
      <c r="BT64" s="44" t="s">
        <v>37</v>
      </c>
      <c r="BV64" s="44" t="s">
        <v>37</v>
      </c>
      <c r="BX64" s="44" t="s">
        <v>37</v>
      </c>
      <c r="BZ64" s="44" t="s">
        <v>37</v>
      </c>
      <c r="CB64" s="44" t="s">
        <v>37</v>
      </c>
      <c r="CD64" s="44" t="s">
        <v>37</v>
      </c>
      <c r="CF64" s="44" t="s">
        <v>37</v>
      </c>
      <c r="CH64" s="44" t="s">
        <v>37</v>
      </c>
      <c r="CJ64" s="44" t="s">
        <v>37</v>
      </c>
      <c r="CL64" s="44" t="s">
        <v>37</v>
      </c>
      <c r="CN64" s="44" t="s">
        <v>37</v>
      </c>
      <c r="CP64" s="44" t="s">
        <v>37</v>
      </c>
      <c r="CR64" s="44" t="s">
        <v>37</v>
      </c>
      <c r="CT64" s="44" t="s">
        <v>37</v>
      </c>
      <c r="CV64" s="44" t="s">
        <v>37</v>
      </c>
      <c r="CX64" s="44" t="s">
        <v>37</v>
      </c>
      <c r="CZ64" s="44" t="s">
        <v>37</v>
      </c>
      <c r="DB64" s="44" t="s">
        <v>37</v>
      </c>
      <c r="DD64" s="44" t="s">
        <v>37</v>
      </c>
      <c r="DF64" s="44" t="s">
        <v>37</v>
      </c>
      <c r="DH64" s="44" t="s">
        <v>37</v>
      </c>
      <c r="DJ64" s="44" t="s">
        <v>37</v>
      </c>
      <c r="DL64" s="44" t="s">
        <v>37</v>
      </c>
      <c r="DN64" s="44" t="s">
        <v>37</v>
      </c>
      <c r="DP64" s="44" t="s">
        <v>37</v>
      </c>
      <c r="DR64" s="44" t="s">
        <v>37</v>
      </c>
      <c r="DT64" s="44" t="s">
        <v>37</v>
      </c>
      <c r="DV64" s="44" t="s">
        <v>37</v>
      </c>
      <c r="DX64" s="44" t="s">
        <v>37</v>
      </c>
      <c r="DZ64" s="44" t="s">
        <v>37</v>
      </c>
      <c r="EB64" s="44" t="s">
        <v>37</v>
      </c>
      <c r="ED64" s="44" t="s">
        <v>37</v>
      </c>
      <c r="EF64" s="44" t="s">
        <v>37</v>
      </c>
      <c r="EH64" s="44" t="s">
        <v>37</v>
      </c>
      <c r="EJ64" s="44" t="s">
        <v>37</v>
      </c>
      <c r="EL64" s="44" t="s">
        <v>37</v>
      </c>
      <c r="EN64" s="44" t="s">
        <v>37</v>
      </c>
      <c r="EP64" s="44" t="s">
        <v>37</v>
      </c>
      <c r="ER64" s="44" t="s">
        <v>37</v>
      </c>
      <c r="ET64" s="44" t="s">
        <v>37</v>
      </c>
      <c r="EV64" s="44" t="s">
        <v>37</v>
      </c>
      <c r="EX64" s="44" t="s">
        <v>37</v>
      </c>
      <c r="EZ64" s="44" t="s">
        <v>37</v>
      </c>
      <c r="FB64" s="44" t="s">
        <v>37</v>
      </c>
      <c r="FD64" s="44" t="s">
        <v>37</v>
      </c>
      <c r="FF64" s="44" t="s">
        <v>37</v>
      </c>
      <c r="FH64" s="44" t="s">
        <v>37</v>
      </c>
      <c r="FJ64" s="44" t="s">
        <v>37</v>
      </c>
      <c r="FL64" s="44" t="s">
        <v>37</v>
      </c>
      <c r="FN64" s="44" t="s">
        <v>37</v>
      </c>
      <c r="FP64" s="44" t="s">
        <v>37</v>
      </c>
      <c r="FR64" s="44" t="s">
        <v>37</v>
      </c>
      <c r="FT64" s="44" t="s">
        <v>37</v>
      </c>
      <c r="FV64" s="44" t="s">
        <v>37</v>
      </c>
      <c r="FX64" s="44" t="s">
        <v>37</v>
      </c>
      <c r="FZ64" s="44" t="s">
        <v>37</v>
      </c>
      <c r="GB64" s="44" t="s">
        <v>37</v>
      </c>
      <c r="GD64" s="44" t="s">
        <v>37</v>
      </c>
      <c r="GF64" s="44" t="s">
        <v>37</v>
      </c>
      <c r="GH64" s="44" t="s">
        <v>37</v>
      </c>
      <c r="GJ64" s="44" t="s">
        <v>37</v>
      </c>
      <c r="GL64" s="44" t="s">
        <v>37</v>
      </c>
      <c r="GN64" s="44" t="s">
        <v>37</v>
      </c>
      <c r="GP64" s="44" t="s">
        <v>37</v>
      </c>
      <c r="GR64" s="44" t="s">
        <v>37</v>
      </c>
      <c r="GT64" s="44" t="s">
        <v>37</v>
      </c>
      <c r="GV64" s="44" t="s">
        <v>37</v>
      </c>
      <c r="GX64" s="44" t="s">
        <v>37</v>
      </c>
      <c r="GZ64" s="44" t="s">
        <v>37</v>
      </c>
      <c r="HB64" s="44" t="s">
        <v>37</v>
      </c>
      <c r="HD64" s="44" t="s">
        <v>37</v>
      </c>
      <c r="HF64" s="44" t="s">
        <v>37</v>
      </c>
      <c r="HH64" s="44" t="s">
        <v>37</v>
      </c>
      <c r="HJ64" s="44" t="s">
        <v>37</v>
      </c>
      <c r="HL64" s="44" t="s">
        <v>37</v>
      </c>
    </row>
    <row r="65" spans="1:220">
      <c r="A65" s="150" t="s">
        <v>410</v>
      </c>
      <c r="B65" s="44">
        <v>2100</v>
      </c>
      <c r="C65" s="44" t="s">
        <v>93</v>
      </c>
      <c r="D65" s="44" t="s">
        <v>37</v>
      </c>
      <c r="F65" s="44" t="s">
        <v>37</v>
      </c>
      <c r="G65" s="44">
        <v>964440</v>
      </c>
      <c r="H65" s="44" t="s">
        <v>37</v>
      </c>
      <c r="J65" s="44" t="s">
        <v>37</v>
      </c>
      <c r="L65" s="48" t="s">
        <v>37</v>
      </c>
      <c r="M65" s="50"/>
      <c r="N65" s="48" t="s">
        <v>37</v>
      </c>
      <c r="O65" s="50"/>
      <c r="P65" s="48" t="s">
        <v>37</v>
      </c>
      <c r="Q65" s="50"/>
      <c r="R65" s="48" t="s">
        <v>37</v>
      </c>
      <c r="S65" s="50"/>
      <c r="T65" s="48" t="s">
        <v>37</v>
      </c>
      <c r="U65" s="44">
        <v>77771</v>
      </c>
      <c r="V65" s="44" t="s">
        <v>37</v>
      </c>
      <c r="X65" s="44" t="s">
        <v>37</v>
      </c>
      <c r="Z65" s="44" t="s">
        <v>37</v>
      </c>
      <c r="AA65" s="44">
        <v>22619</v>
      </c>
      <c r="AB65" s="44" t="s">
        <v>37</v>
      </c>
      <c r="AC65" s="44">
        <v>37338</v>
      </c>
      <c r="AD65" s="44" t="s">
        <v>37</v>
      </c>
      <c r="AE65" s="44">
        <v>58067</v>
      </c>
      <c r="AF65" s="44" t="s">
        <v>37</v>
      </c>
      <c r="AH65" s="44" t="s">
        <v>37</v>
      </c>
      <c r="AI65" s="44">
        <v>52650</v>
      </c>
      <c r="AJ65" s="44" t="s">
        <v>37</v>
      </c>
      <c r="AL65" s="44" t="s">
        <v>37</v>
      </c>
      <c r="AN65" s="44" t="s">
        <v>37</v>
      </c>
      <c r="AP65" s="44" t="s">
        <v>37</v>
      </c>
      <c r="AQ65" s="44">
        <v>56180</v>
      </c>
      <c r="AR65" s="44" t="s">
        <v>37</v>
      </c>
      <c r="AT65" s="44" t="s">
        <v>37</v>
      </c>
      <c r="AU65" s="44">
        <v>123510</v>
      </c>
      <c r="AV65" s="44" t="s">
        <v>37</v>
      </c>
      <c r="AW65" s="44">
        <v>4099</v>
      </c>
      <c r="AX65" s="44" t="s">
        <v>37</v>
      </c>
      <c r="AY65" s="44">
        <v>1803083</v>
      </c>
      <c r="AZ65" s="44" t="s">
        <v>37</v>
      </c>
      <c r="BA65" s="44">
        <v>201369</v>
      </c>
      <c r="BB65" s="44" t="s">
        <v>37</v>
      </c>
      <c r="BD65" s="44" t="s">
        <v>37</v>
      </c>
      <c r="BF65" s="44" t="s">
        <v>37</v>
      </c>
      <c r="BH65" s="44" t="s">
        <v>37</v>
      </c>
      <c r="BJ65" s="44" t="s">
        <v>37</v>
      </c>
      <c r="BK65" s="44">
        <v>49449</v>
      </c>
      <c r="BL65" s="44" t="s">
        <v>37</v>
      </c>
      <c r="BN65" s="44" t="s">
        <v>37</v>
      </c>
      <c r="BO65" s="44">
        <v>2213625</v>
      </c>
      <c r="BP65" s="44" t="s">
        <v>37</v>
      </c>
      <c r="BQ65" s="44">
        <v>823890</v>
      </c>
      <c r="BR65" s="44" t="s">
        <v>37</v>
      </c>
      <c r="BS65" s="44">
        <v>1366477</v>
      </c>
      <c r="BT65" s="44" t="s">
        <v>37</v>
      </c>
      <c r="BU65" s="44">
        <v>588894</v>
      </c>
      <c r="BV65" s="44" t="s">
        <v>37</v>
      </c>
      <c r="BW65" s="44">
        <v>218419</v>
      </c>
      <c r="BX65" s="44" t="s">
        <v>37</v>
      </c>
      <c r="BY65" s="44">
        <v>1032712</v>
      </c>
      <c r="BZ65" s="44" t="s">
        <v>37</v>
      </c>
      <c r="CA65" s="44">
        <v>30000</v>
      </c>
      <c r="CB65" s="44" t="s">
        <v>37</v>
      </c>
      <c r="CD65" s="44" t="s">
        <v>37</v>
      </c>
      <c r="CE65" s="44">
        <v>93179</v>
      </c>
      <c r="CF65" s="44" t="s">
        <v>37</v>
      </c>
      <c r="CG65" s="44">
        <v>26147</v>
      </c>
      <c r="CH65" s="44" t="s">
        <v>37</v>
      </c>
      <c r="CI65" s="44">
        <v>39442</v>
      </c>
      <c r="CJ65" s="44" t="s">
        <v>37</v>
      </c>
      <c r="CL65" s="44" t="s">
        <v>37</v>
      </c>
      <c r="CM65" s="44">
        <v>129222</v>
      </c>
      <c r="CN65" s="44" t="s">
        <v>37</v>
      </c>
      <c r="CP65" s="44" t="s">
        <v>37</v>
      </c>
      <c r="CQ65" s="44">
        <v>1816</v>
      </c>
      <c r="CR65" s="44" t="s">
        <v>37</v>
      </c>
      <c r="CS65" s="44">
        <v>2808</v>
      </c>
      <c r="CT65" s="44" t="s">
        <v>37</v>
      </c>
      <c r="CU65" s="44">
        <v>4329237</v>
      </c>
      <c r="CV65" s="44" t="s">
        <v>37</v>
      </c>
      <c r="CX65" s="44" t="s">
        <v>37</v>
      </c>
      <c r="CY65" s="44">
        <v>7494</v>
      </c>
      <c r="CZ65" s="44" t="s">
        <v>37</v>
      </c>
      <c r="DB65" s="44" t="s">
        <v>37</v>
      </c>
      <c r="DC65" s="44">
        <v>502407</v>
      </c>
      <c r="DD65" s="44" t="s">
        <v>37</v>
      </c>
      <c r="DE65" s="44">
        <v>60084</v>
      </c>
      <c r="DF65" s="44" t="s">
        <v>37</v>
      </c>
      <c r="DH65" s="44" t="s">
        <v>37</v>
      </c>
      <c r="DI65" s="44">
        <v>1043570</v>
      </c>
      <c r="DJ65" s="44" t="s">
        <v>37</v>
      </c>
      <c r="DK65" s="44">
        <v>3191079</v>
      </c>
      <c r="DL65" s="44" t="s">
        <v>37</v>
      </c>
      <c r="DN65" s="44" t="s">
        <v>37</v>
      </c>
      <c r="DO65" s="44">
        <v>571822</v>
      </c>
      <c r="DP65" s="44" t="s">
        <v>37</v>
      </c>
      <c r="DR65" s="44" t="s">
        <v>37</v>
      </c>
      <c r="DT65" s="44" t="s">
        <v>37</v>
      </c>
      <c r="DU65" s="44">
        <v>393332</v>
      </c>
      <c r="DV65" s="44" t="s">
        <v>37</v>
      </c>
      <c r="DX65" s="44" t="s">
        <v>37</v>
      </c>
      <c r="DY65" s="44">
        <v>33542</v>
      </c>
      <c r="DZ65" s="44" t="s">
        <v>37</v>
      </c>
      <c r="EA65" s="44">
        <v>81374</v>
      </c>
      <c r="EB65" s="44" t="s">
        <v>37</v>
      </c>
      <c r="ED65" s="44" t="s">
        <v>37</v>
      </c>
      <c r="EF65" s="44" t="s">
        <v>37</v>
      </c>
      <c r="EH65" s="44" t="s">
        <v>37</v>
      </c>
      <c r="EI65" s="44">
        <v>147988</v>
      </c>
      <c r="EJ65" s="44" t="s">
        <v>37</v>
      </c>
      <c r="EK65" s="44">
        <v>133499</v>
      </c>
      <c r="EL65" s="44" t="s">
        <v>37</v>
      </c>
      <c r="EM65" s="44">
        <v>63012</v>
      </c>
      <c r="EN65" s="44" t="s">
        <v>37</v>
      </c>
      <c r="EO65" s="44">
        <v>371960</v>
      </c>
      <c r="EP65" s="44" t="s">
        <v>37</v>
      </c>
      <c r="EQ65" s="44">
        <v>151762</v>
      </c>
      <c r="ER65" s="44" t="s">
        <v>37</v>
      </c>
      <c r="ES65" s="44">
        <v>195526</v>
      </c>
      <c r="ET65" s="44" t="s">
        <v>37</v>
      </c>
      <c r="EV65" s="44" t="s">
        <v>37</v>
      </c>
      <c r="EW65" s="44">
        <v>323976</v>
      </c>
      <c r="EX65" s="44" t="s">
        <v>37</v>
      </c>
      <c r="EZ65" s="44" t="s">
        <v>37</v>
      </c>
      <c r="FA65" s="44">
        <v>800000</v>
      </c>
      <c r="FB65" s="44" t="s">
        <v>37</v>
      </c>
      <c r="FC65" s="44">
        <v>64101</v>
      </c>
      <c r="FD65" s="44" t="s">
        <v>37</v>
      </c>
      <c r="FE65" s="44">
        <v>79843</v>
      </c>
      <c r="FF65" s="44" t="s">
        <v>37</v>
      </c>
      <c r="FH65" s="44" t="s">
        <v>37</v>
      </c>
      <c r="FI65" s="44">
        <v>11578</v>
      </c>
      <c r="FJ65" s="44" t="s">
        <v>37</v>
      </c>
      <c r="FL65" s="44" t="s">
        <v>37</v>
      </c>
      <c r="FN65" s="44" t="s">
        <v>37</v>
      </c>
      <c r="FP65" s="44" t="s">
        <v>37</v>
      </c>
      <c r="FR65" s="44" t="s">
        <v>37</v>
      </c>
      <c r="FT65" s="44" t="s">
        <v>37</v>
      </c>
      <c r="FU65" s="44">
        <v>61003</v>
      </c>
      <c r="FV65" s="44" t="s">
        <v>37</v>
      </c>
      <c r="FW65" s="44">
        <v>146432</v>
      </c>
      <c r="FX65" s="44" t="s">
        <v>37</v>
      </c>
      <c r="FY65" s="44">
        <v>281112</v>
      </c>
      <c r="FZ65" s="44" t="s">
        <v>37</v>
      </c>
      <c r="GA65" s="44">
        <v>640668</v>
      </c>
      <c r="GB65" s="44" t="s">
        <v>37</v>
      </c>
      <c r="GC65" s="44">
        <v>332265</v>
      </c>
      <c r="GD65" s="44" t="s">
        <v>37</v>
      </c>
      <c r="GF65" s="44" t="s">
        <v>37</v>
      </c>
      <c r="GH65" s="44" t="s">
        <v>37</v>
      </c>
      <c r="GJ65" s="44" t="s">
        <v>37</v>
      </c>
      <c r="GK65" s="44">
        <v>196966</v>
      </c>
      <c r="GL65" s="44" t="s">
        <v>37</v>
      </c>
      <c r="GM65" s="44">
        <v>10942</v>
      </c>
      <c r="GN65" s="44" t="s">
        <v>37</v>
      </c>
      <c r="GP65" s="44" t="s">
        <v>37</v>
      </c>
      <c r="GR65" s="44" t="s">
        <v>37</v>
      </c>
      <c r="GT65" s="44" t="s">
        <v>37</v>
      </c>
      <c r="GU65" s="44">
        <v>73719</v>
      </c>
      <c r="GV65" s="44" t="s">
        <v>37</v>
      </c>
      <c r="GX65" s="44" t="s">
        <v>37</v>
      </c>
      <c r="GY65" s="44">
        <v>274549</v>
      </c>
      <c r="GZ65" s="44" t="s">
        <v>37</v>
      </c>
      <c r="HA65" s="44">
        <v>20193</v>
      </c>
      <c r="HB65" s="44" t="s">
        <v>37</v>
      </c>
      <c r="HC65" s="44">
        <v>2527750</v>
      </c>
      <c r="HD65" s="44" t="s">
        <v>37</v>
      </c>
      <c r="HE65" s="44">
        <v>4375941</v>
      </c>
      <c r="HF65" s="44" t="s">
        <v>37</v>
      </c>
      <c r="HG65" s="44">
        <v>24612241</v>
      </c>
      <c r="HH65" s="44" t="s">
        <v>37</v>
      </c>
      <c r="HI65" s="44">
        <v>6903691</v>
      </c>
      <c r="HJ65" s="44" t="s">
        <v>37</v>
      </c>
      <c r="HK65" s="44">
        <v>31515932</v>
      </c>
      <c r="HL65" s="44" t="s">
        <v>37</v>
      </c>
    </row>
    <row r="66" spans="1:220">
      <c r="A66" s="150" t="s">
        <v>410</v>
      </c>
      <c r="B66" s="44">
        <v>2200</v>
      </c>
      <c r="C66" s="44" t="s">
        <v>94</v>
      </c>
      <c r="D66" s="44" t="s">
        <v>37</v>
      </c>
      <c r="F66" s="44" t="s">
        <v>37</v>
      </c>
      <c r="H66" s="44" t="s">
        <v>37</v>
      </c>
      <c r="J66" s="44" t="s">
        <v>37</v>
      </c>
      <c r="L66" s="48" t="s">
        <v>37</v>
      </c>
      <c r="M66" s="50"/>
      <c r="N66" s="48" t="s">
        <v>37</v>
      </c>
      <c r="O66" s="50"/>
      <c r="P66" s="48" t="s">
        <v>37</v>
      </c>
      <c r="Q66" s="50"/>
      <c r="R66" s="48" t="s">
        <v>37</v>
      </c>
      <c r="S66" s="50"/>
      <c r="T66" s="48" t="s">
        <v>37</v>
      </c>
      <c r="V66" s="44" t="s">
        <v>37</v>
      </c>
      <c r="X66" s="44" t="s">
        <v>37</v>
      </c>
      <c r="Z66" s="44" t="s">
        <v>37</v>
      </c>
      <c r="AB66" s="44" t="s">
        <v>37</v>
      </c>
      <c r="AD66" s="44" t="s">
        <v>37</v>
      </c>
      <c r="AF66" s="44" t="s">
        <v>37</v>
      </c>
      <c r="AH66" s="44" t="s">
        <v>37</v>
      </c>
      <c r="AJ66" s="44" t="s">
        <v>37</v>
      </c>
      <c r="AL66" s="44" t="s">
        <v>37</v>
      </c>
      <c r="AN66" s="44" t="s">
        <v>37</v>
      </c>
      <c r="AP66" s="44" t="s">
        <v>37</v>
      </c>
      <c r="AR66" s="44" t="s">
        <v>37</v>
      </c>
      <c r="AT66" s="44" t="s">
        <v>37</v>
      </c>
      <c r="AV66" s="44" t="s">
        <v>37</v>
      </c>
      <c r="AX66" s="44" t="s">
        <v>37</v>
      </c>
      <c r="AY66" s="44">
        <v>360617</v>
      </c>
      <c r="AZ66" s="44" t="s">
        <v>37</v>
      </c>
      <c r="BB66" s="44" t="s">
        <v>37</v>
      </c>
      <c r="BD66" s="44" t="s">
        <v>37</v>
      </c>
      <c r="BF66" s="44" t="s">
        <v>37</v>
      </c>
      <c r="BH66" s="44" t="s">
        <v>37</v>
      </c>
      <c r="BJ66" s="44" t="s">
        <v>37</v>
      </c>
      <c r="BL66" s="44" t="s">
        <v>37</v>
      </c>
      <c r="BN66" s="44" t="s">
        <v>37</v>
      </c>
      <c r="BP66" s="44" t="s">
        <v>37</v>
      </c>
      <c r="BR66" s="44" t="s">
        <v>37</v>
      </c>
      <c r="BT66" s="44" t="s">
        <v>37</v>
      </c>
      <c r="BV66" s="44" t="s">
        <v>37</v>
      </c>
      <c r="BX66" s="44" t="s">
        <v>37</v>
      </c>
      <c r="BZ66" s="44" t="s">
        <v>37</v>
      </c>
      <c r="CB66" s="44" t="s">
        <v>37</v>
      </c>
      <c r="CD66" s="44" t="s">
        <v>37</v>
      </c>
      <c r="CE66" s="44">
        <v>1200</v>
      </c>
      <c r="CF66" s="44" t="s">
        <v>37</v>
      </c>
      <c r="CH66" s="44" t="s">
        <v>37</v>
      </c>
      <c r="CJ66" s="44" t="s">
        <v>37</v>
      </c>
      <c r="CL66" s="44" t="s">
        <v>37</v>
      </c>
      <c r="CN66" s="44" t="s">
        <v>37</v>
      </c>
      <c r="CP66" s="44" t="s">
        <v>37</v>
      </c>
      <c r="CR66" s="44" t="s">
        <v>37</v>
      </c>
      <c r="CT66" s="44" t="s">
        <v>37</v>
      </c>
      <c r="CV66" s="44" t="s">
        <v>37</v>
      </c>
      <c r="CX66" s="44" t="s">
        <v>37</v>
      </c>
      <c r="CZ66" s="44" t="s">
        <v>37</v>
      </c>
      <c r="DB66" s="44" t="s">
        <v>37</v>
      </c>
      <c r="DD66" s="44" t="s">
        <v>37</v>
      </c>
      <c r="DF66" s="44" t="s">
        <v>37</v>
      </c>
      <c r="DH66" s="44" t="s">
        <v>37</v>
      </c>
      <c r="DJ66" s="44" t="s">
        <v>37</v>
      </c>
      <c r="DL66" s="44" t="s">
        <v>37</v>
      </c>
      <c r="DN66" s="44" t="s">
        <v>37</v>
      </c>
      <c r="DP66" s="44" t="s">
        <v>37</v>
      </c>
      <c r="DR66" s="44" t="s">
        <v>37</v>
      </c>
      <c r="DT66" s="44" t="s">
        <v>37</v>
      </c>
      <c r="DV66" s="44" t="s">
        <v>37</v>
      </c>
      <c r="DX66" s="44" t="s">
        <v>37</v>
      </c>
      <c r="DZ66" s="44" t="s">
        <v>37</v>
      </c>
      <c r="EB66" s="44" t="s">
        <v>37</v>
      </c>
      <c r="ED66" s="44" t="s">
        <v>37</v>
      </c>
      <c r="EF66" s="44" t="s">
        <v>37</v>
      </c>
      <c r="EH66" s="44" t="s">
        <v>37</v>
      </c>
      <c r="EJ66" s="44" t="s">
        <v>37</v>
      </c>
      <c r="EL66" s="44" t="s">
        <v>37</v>
      </c>
      <c r="EN66" s="44" t="s">
        <v>37</v>
      </c>
      <c r="EP66" s="44" t="s">
        <v>37</v>
      </c>
      <c r="ER66" s="44" t="s">
        <v>37</v>
      </c>
      <c r="ET66" s="44" t="s">
        <v>37</v>
      </c>
      <c r="EV66" s="44" t="s">
        <v>37</v>
      </c>
      <c r="EX66" s="44" t="s">
        <v>37</v>
      </c>
      <c r="EZ66" s="44" t="s">
        <v>37</v>
      </c>
      <c r="FB66" s="44" t="s">
        <v>37</v>
      </c>
      <c r="FD66" s="44" t="s">
        <v>37</v>
      </c>
      <c r="FF66" s="44" t="s">
        <v>37</v>
      </c>
      <c r="FH66" s="44" t="s">
        <v>37</v>
      </c>
      <c r="FJ66" s="44" t="s">
        <v>37</v>
      </c>
      <c r="FL66" s="44" t="s">
        <v>37</v>
      </c>
      <c r="FN66" s="44" t="s">
        <v>37</v>
      </c>
      <c r="FP66" s="44" t="s">
        <v>37</v>
      </c>
      <c r="FR66" s="44" t="s">
        <v>37</v>
      </c>
      <c r="FT66" s="44" t="s">
        <v>37</v>
      </c>
      <c r="FV66" s="44" t="s">
        <v>37</v>
      </c>
      <c r="FX66" s="44" t="s">
        <v>37</v>
      </c>
      <c r="FZ66" s="44" t="s">
        <v>37</v>
      </c>
      <c r="GB66" s="44" t="s">
        <v>37</v>
      </c>
      <c r="GD66" s="44" t="s">
        <v>37</v>
      </c>
      <c r="GF66" s="44" t="s">
        <v>37</v>
      </c>
      <c r="GH66" s="44" t="s">
        <v>37</v>
      </c>
      <c r="GJ66" s="44" t="s">
        <v>37</v>
      </c>
      <c r="GL66" s="44" t="s">
        <v>37</v>
      </c>
      <c r="GN66" s="44" t="s">
        <v>37</v>
      </c>
      <c r="GP66" s="44" t="s">
        <v>37</v>
      </c>
      <c r="GR66" s="44" t="s">
        <v>37</v>
      </c>
      <c r="GT66" s="44" t="s">
        <v>37</v>
      </c>
      <c r="GV66" s="44" t="s">
        <v>37</v>
      </c>
      <c r="GX66" s="44" t="s">
        <v>37</v>
      </c>
      <c r="GZ66" s="44" t="s">
        <v>37</v>
      </c>
      <c r="HB66" s="44" t="s">
        <v>37</v>
      </c>
      <c r="HD66" s="44" t="s">
        <v>37</v>
      </c>
      <c r="HF66" s="44" t="s">
        <v>37</v>
      </c>
      <c r="HG66" s="44">
        <v>361817</v>
      </c>
      <c r="HH66" s="44" t="s">
        <v>37</v>
      </c>
      <c r="HJ66" s="44" t="s">
        <v>37</v>
      </c>
      <c r="HK66" s="44">
        <v>361817</v>
      </c>
      <c r="HL66" s="44" t="s">
        <v>37</v>
      </c>
    </row>
    <row r="67" spans="1:220">
      <c r="A67" s="150" t="s">
        <v>410</v>
      </c>
      <c r="B67" s="44">
        <v>2300</v>
      </c>
      <c r="C67" s="44" t="s">
        <v>95</v>
      </c>
      <c r="D67" s="44" t="s">
        <v>37</v>
      </c>
      <c r="E67" s="44">
        <v>182004</v>
      </c>
      <c r="F67" s="44" t="s">
        <v>37</v>
      </c>
      <c r="H67" s="44" t="s">
        <v>37</v>
      </c>
      <c r="J67" s="44" t="s">
        <v>37</v>
      </c>
      <c r="L67" s="48" t="s">
        <v>37</v>
      </c>
      <c r="M67" s="50"/>
      <c r="N67" s="48" t="s">
        <v>37</v>
      </c>
      <c r="O67" s="50"/>
      <c r="P67" s="48" t="s">
        <v>37</v>
      </c>
      <c r="Q67" s="50"/>
      <c r="R67" s="48" t="s">
        <v>37</v>
      </c>
      <c r="S67" s="50"/>
      <c r="T67" s="48" t="s">
        <v>37</v>
      </c>
      <c r="V67" s="44" t="s">
        <v>37</v>
      </c>
      <c r="X67" s="44" t="s">
        <v>37</v>
      </c>
      <c r="Z67" s="44" t="s">
        <v>37</v>
      </c>
      <c r="AA67" s="44">
        <v>107536</v>
      </c>
      <c r="AB67" s="44" t="s">
        <v>37</v>
      </c>
      <c r="AD67" s="44" t="s">
        <v>37</v>
      </c>
      <c r="AE67" s="44">
        <v>122094</v>
      </c>
      <c r="AF67" s="44" t="s">
        <v>37</v>
      </c>
      <c r="AG67" s="44">
        <v>20214</v>
      </c>
      <c r="AH67" s="44" t="s">
        <v>37</v>
      </c>
      <c r="AJ67" s="44" t="s">
        <v>37</v>
      </c>
      <c r="AL67" s="44" t="s">
        <v>37</v>
      </c>
      <c r="AN67" s="44" t="s">
        <v>37</v>
      </c>
      <c r="AP67" s="44" t="s">
        <v>37</v>
      </c>
      <c r="AR67" s="44" t="s">
        <v>37</v>
      </c>
      <c r="AS67" s="44">
        <v>183963</v>
      </c>
      <c r="AT67" s="44" t="s">
        <v>37</v>
      </c>
      <c r="AV67" s="44" t="s">
        <v>37</v>
      </c>
      <c r="AW67" s="44">
        <v>9862</v>
      </c>
      <c r="AX67" s="44" t="s">
        <v>37</v>
      </c>
      <c r="AY67" s="44">
        <v>129315</v>
      </c>
      <c r="AZ67" s="44" t="s">
        <v>37</v>
      </c>
      <c r="BA67" s="44">
        <v>104676</v>
      </c>
      <c r="BB67" s="44" t="s">
        <v>37</v>
      </c>
      <c r="BD67" s="44" t="s">
        <v>37</v>
      </c>
      <c r="BE67" s="44">
        <v>46464</v>
      </c>
      <c r="BF67" s="44" t="s">
        <v>37</v>
      </c>
      <c r="BG67" s="44">
        <v>33766</v>
      </c>
      <c r="BH67" s="44" t="s">
        <v>37</v>
      </c>
      <c r="BJ67" s="44" t="s">
        <v>37</v>
      </c>
      <c r="BL67" s="44" t="s">
        <v>37</v>
      </c>
      <c r="BN67" s="44" t="s">
        <v>37</v>
      </c>
      <c r="BP67" s="44" t="s">
        <v>37</v>
      </c>
      <c r="BR67" s="44" t="s">
        <v>37</v>
      </c>
      <c r="BT67" s="44" t="s">
        <v>37</v>
      </c>
      <c r="BU67" s="44">
        <v>107812</v>
      </c>
      <c r="BV67" s="44" t="s">
        <v>37</v>
      </c>
      <c r="BX67" s="44" t="s">
        <v>37</v>
      </c>
      <c r="BY67" s="44">
        <v>98200</v>
      </c>
      <c r="BZ67" s="44" t="s">
        <v>37</v>
      </c>
      <c r="CA67" s="44">
        <v>93344</v>
      </c>
      <c r="CB67" s="44" t="s">
        <v>37</v>
      </c>
      <c r="CD67" s="44" t="s">
        <v>37</v>
      </c>
      <c r="CF67" s="44" t="s">
        <v>37</v>
      </c>
      <c r="CG67" s="44">
        <v>94042</v>
      </c>
      <c r="CH67" s="44" t="s">
        <v>37</v>
      </c>
      <c r="CI67" s="44">
        <v>189533</v>
      </c>
      <c r="CJ67" s="44" t="s">
        <v>37</v>
      </c>
      <c r="CK67" s="44">
        <v>22453</v>
      </c>
      <c r="CL67" s="44" t="s">
        <v>37</v>
      </c>
      <c r="CM67" s="44">
        <v>25000</v>
      </c>
      <c r="CN67" s="44" t="s">
        <v>37</v>
      </c>
      <c r="CO67" s="44">
        <v>43267</v>
      </c>
      <c r="CP67" s="44" t="s">
        <v>37</v>
      </c>
      <c r="CR67" s="44" t="s">
        <v>37</v>
      </c>
      <c r="CT67" s="44" t="s">
        <v>37</v>
      </c>
      <c r="CV67" s="44" t="s">
        <v>37</v>
      </c>
      <c r="CX67" s="44" t="s">
        <v>37</v>
      </c>
      <c r="CY67" s="44">
        <v>34706</v>
      </c>
      <c r="CZ67" s="44" t="s">
        <v>37</v>
      </c>
      <c r="DB67" s="44" t="s">
        <v>37</v>
      </c>
      <c r="DD67" s="44" t="s">
        <v>37</v>
      </c>
      <c r="DF67" s="44" t="s">
        <v>37</v>
      </c>
      <c r="DH67" s="44" t="s">
        <v>37</v>
      </c>
      <c r="DJ67" s="44" t="s">
        <v>37</v>
      </c>
      <c r="DK67" s="44">
        <v>112841</v>
      </c>
      <c r="DL67" s="44" t="s">
        <v>37</v>
      </c>
      <c r="DN67" s="44" t="s">
        <v>37</v>
      </c>
      <c r="DP67" s="44" t="s">
        <v>37</v>
      </c>
      <c r="DR67" s="44" t="s">
        <v>37</v>
      </c>
      <c r="DS67" s="44">
        <v>91758</v>
      </c>
      <c r="DT67" s="44" t="s">
        <v>37</v>
      </c>
      <c r="DV67" s="44" t="s">
        <v>37</v>
      </c>
      <c r="DW67" s="44">
        <v>151695</v>
      </c>
      <c r="DX67" s="44" t="s">
        <v>37</v>
      </c>
      <c r="DZ67" s="44" t="s">
        <v>37</v>
      </c>
      <c r="EA67" s="44">
        <v>270559</v>
      </c>
      <c r="EB67" s="44" t="s">
        <v>37</v>
      </c>
      <c r="ED67" s="44" t="s">
        <v>37</v>
      </c>
      <c r="EF67" s="44" t="s">
        <v>37</v>
      </c>
      <c r="EH67" s="44" t="s">
        <v>37</v>
      </c>
      <c r="EJ67" s="44" t="s">
        <v>37</v>
      </c>
      <c r="EL67" s="44" t="s">
        <v>37</v>
      </c>
      <c r="EN67" s="44" t="s">
        <v>37</v>
      </c>
      <c r="EP67" s="44" t="s">
        <v>37</v>
      </c>
      <c r="ER67" s="44" t="s">
        <v>37</v>
      </c>
      <c r="ES67" s="44">
        <v>66665</v>
      </c>
      <c r="ET67" s="44" t="s">
        <v>37</v>
      </c>
      <c r="EU67" s="44">
        <v>51800</v>
      </c>
      <c r="EV67" s="44" t="s">
        <v>37</v>
      </c>
      <c r="EX67" s="44" t="s">
        <v>37</v>
      </c>
      <c r="EZ67" s="44" t="s">
        <v>37</v>
      </c>
      <c r="FB67" s="44" t="s">
        <v>37</v>
      </c>
      <c r="FD67" s="44" t="s">
        <v>37</v>
      </c>
      <c r="FF67" s="44" t="s">
        <v>37</v>
      </c>
      <c r="FH67" s="44" t="s">
        <v>37</v>
      </c>
      <c r="FI67" s="44">
        <v>272969</v>
      </c>
      <c r="FJ67" s="44" t="s">
        <v>37</v>
      </c>
      <c r="FL67" s="44" t="s">
        <v>37</v>
      </c>
      <c r="FN67" s="44" t="s">
        <v>37</v>
      </c>
      <c r="FP67" s="44" t="s">
        <v>37</v>
      </c>
      <c r="FQ67" s="44">
        <v>571818</v>
      </c>
      <c r="FR67" s="44" t="s">
        <v>37</v>
      </c>
      <c r="FT67" s="44" t="s">
        <v>37</v>
      </c>
      <c r="FV67" s="44" t="s">
        <v>37</v>
      </c>
      <c r="FW67" s="44">
        <v>72450</v>
      </c>
      <c r="FX67" s="44" t="s">
        <v>37</v>
      </c>
      <c r="FY67" s="44">
        <v>1344213</v>
      </c>
      <c r="FZ67" s="44" t="s">
        <v>37</v>
      </c>
      <c r="GB67" s="44" t="s">
        <v>37</v>
      </c>
      <c r="GC67" s="44">
        <v>582103</v>
      </c>
      <c r="GD67" s="44" t="s">
        <v>37</v>
      </c>
      <c r="GF67" s="44" t="s">
        <v>37</v>
      </c>
      <c r="GH67" s="44" t="s">
        <v>37</v>
      </c>
      <c r="GJ67" s="44" t="s">
        <v>37</v>
      </c>
      <c r="GK67" s="44">
        <v>116313</v>
      </c>
      <c r="GL67" s="44" t="s">
        <v>37</v>
      </c>
      <c r="GM67" s="44">
        <v>100584</v>
      </c>
      <c r="GN67" s="44" t="s">
        <v>37</v>
      </c>
      <c r="GP67" s="44" t="s">
        <v>37</v>
      </c>
      <c r="GQ67" s="44">
        <v>162552</v>
      </c>
      <c r="GR67" s="44" t="s">
        <v>37</v>
      </c>
      <c r="GS67" s="44">
        <v>187908</v>
      </c>
      <c r="GT67" s="44" t="s">
        <v>37</v>
      </c>
      <c r="GU67" s="44">
        <v>33750</v>
      </c>
      <c r="GV67" s="44" t="s">
        <v>37</v>
      </c>
      <c r="GX67" s="44" t="s">
        <v>37</v>
      </c>
      <c r="GY67" s="44">
        <v>58103</v>
      </c>
      <c r="GZ67" s="44" t="s">
        <v>37</v>
      </c>
      <c r="HA67" s="44">
        <v>25750</v>
      </c>
      <c r="HB67" s="44" t="s">
        <v>37</v>
      </c>
      <c r="HD67" s="44" t="s">
        <v>37</v>
      </c>
      <c r="HF67" s="44" t="s">
        <v>37</v>
      </c>
      <c r="HG67" s="44">
        <v>5922082</v>
      </c>
      <c r="HH67" s="44" t="s">
        <v>37</v>
      </c>
      <c r="HJ67" s="44" t="s">
        <v>37</v>
      </c>
      <c r="HK67" s="44">
        <v>5922082</v>
      </c>
      <c r="HL67" s="44" t="s">
        <v>37</v>
      </c>
    </row>
    <row r="68" spans="1:220">
      <c r="A68" s="150" t="s">
        <v>410</v>
      </c>
      <c r="B68" s="44">
        <v>2310</v>
      </c>
      <c r="C68" s="44" t="s">
        <v>96</v>
      </c>
      <c r="D68" s="44" t="s">
        <v>37</v>
      </c>
      <c r="F68" s="44" t="s">
        <v>37</v>
      </c>
      <c r="H68" s="44" t="s">
        <v>37</v>
      </c>
      <c r="J68" s="44" t="s">
        <v>37</v>
      </c>
      <c r="L68" s="48" t="s">
        <v>37</v>
      </c>
      <c r="M68" s="50"/>
      <c r="N68" s="48" t="s">
        <v>37</v>
      </c>
      <c r="O68" s="50"/>
      <c r="P68" s="48" t="s">
        <v>37</v>
      </c>
      <c r="Q68" s="50"/>
      <c r="R68" s="48" t="s">
        <v>37</v>
      </c>
      <c r="S68" s="50"/>
      <c r="T68" s="48" t="s">
        <v>37</v>
      </c>
      <c r="V68" s="44" t="s">
        <v>37</v>
      </c>
      <c r="X68" s="44" t="s">
        <v>37</v>
      </c>
      <c r="Z68" s="44" t="s">
        <v>37</v>
      </c>
      <c r="AB68" s="44" t="s">
        <v>37</v>
      </c>
      <c r="AD68" s="44" t="s">
        <v>37</v>
      </c>
      <c r="AF68" s="44" t="s">
        <v>37</v>
      </c>
      <c r="AH68" s="44" t="s">
        <v>37</v>
      </c>
      <c r="AJ68" s="44" t="s">
        <v>37</v>
      </c>
      <c r="AL68" s="44" t="s">
        <v>37</v>
      </c>
      <c r="AN68" s="44" t="s">
        <v>37</v>
      </c>
      <c r="AP68" s="44" t="s">
        <v>37</v>
      </c>
      <c r="AR68" s="44" t="s">
        <v>37</v>
      </c>
      <c r="AT68" s="44" t="s">
        <v>37</v>
      </c>
      <c r="AV68" s="44" t="s">
        <v>37</v>
      </c>
      <c r="AX68" s="44" t="s">
        <v>37</v>
      </c>
      <c r="AZ68" s="44" t="s">
        <v>37</v>
      </c>
      <c r="BB68" s="44" t="s">
        <v>37</v>
      </c>
      <c r="BD68" s="44" t="s">
        <v>37</v>
      </c>
      <c r="BE68" s="44">
        <v>465192</v>
      </c>
      <c r="BF68" s="44" t="s">
        <v>37</v>
      </c>
      <c r="BH68" s="44" t="s">
        <v>37</v>
      </c>
      <c r="BJ68" s="44" t="s">
        <v>37</v>
      </c>
      <c r="BL68" s="44" t="s">
        <v>37</v>
      </c>
      <c r="BN68" s="44" t="s">
        <v>37</v>
      </c>
      <c r="BP68" s="44" t="s">
        <v>37</v>
      </c>
      <c r="BR68" s="44" t="s">
        <v>37</v>
      </c>
      <c r="BT68" s="44" t="s">
        <v>37</v>
      </c>
      <c r="BV68" s="44" t="s">
        <v>37</v>
      </c>
      <c r="BX68" s="44" t="s">
        <v>37</v>
      </c>
      <c r="BZ68" s="44" t="s">
        <v>37</v>
      </c>
      <c r="CB68" s="44" t="s">
        <v>37</v>
      </c>
      <c r="CD68" s="44" t="s">
        <v>37</v>
      </c>
      <c r="CF68" s="44" t="s">
        <v>37</v>
      </c>
      <c r="CH68" s="44" t="s">
        <v>37</v>
      </c>
      <c r="CI68" s="44">
        <v>984917</v>
      </c>
      <c r="CJ68" s="44" t="s">
        <v>37</v>
      </c>
      <c r="CL68" s="44" t="s">
        <v>37</v>
      </c>
      <c r="CN68" s="44" t="s">
        <v>37</v>
      </c>
      <c r="CP68" s="44" t="s">
        <v>37</v>
      </c>
      <c r="CR68" s="44" t="s">
        <v>37</v>
      </c>
      <c r="CT68" s="44" t="s">
        <v>37</v>
      </c>
      <c r="CV68" s="44" t="s">
        <v>37</v>
      </c>
      <c r="CX68" s="44" t="s">
        <v>37</v>
      </c>
      <c r="CZ68" s="44" t="s">
        <v>37</v>
      </c>
      <c r="DB68" s="44" t="s">
        <v>37</v>
      </c>
      <c r="DD68" s="44" t="s">
        <v>37</v>
      </c>
      <c r="DF68" s="44" t="s">
        <v>37</v>
      </c>
      <c r="DH68" s="44" t="s">
        <v>37</v>
      </c>
      <c r="DJ68" s="44" t="s">
        <v>37</v>
      </c>
      <c r="DL68" s="44" t="s">
        <v>37</v>
      </c>
      <c r="DN68" s="44" t="s">
        <v>37</v>
      </c>
      <c r="DP68" s="44" t="s">
        <v>37</v>
      </c>
      <c r="DR68" s="44" t="s">
        <v>37</v>
      </c>
      <c r="DT68" s="44" t="s">
        <v>37</v>
      </c>
      <c r="DV68" s="44" t="s">
        <v>37</v>
      </c>
      <c r="DX68" s="44" t="s">
        <v>37</v>
      </c>
      <c r="DZ68" s="44" t="s">
        <v>37</v>
      </c>
      <c r="EB68" s="44" t="s">
        <v>37</v>
      </c>
      <c r="ED68" s="44" t="s">
        <v>37</v>
      </c>
      <c r="EF68" s="44" t="s">
        <v>37</v>
      </c>
      <c r="EH68" s="44" t="s">
        <v>37</v>
      </c>
      <c r="EJ68" s="44" t="s">
        <v>37</v>
      </c>
      <c r="EL68" s="44" t="s">
        <v>37</v>
      </c>
      <c r="EN68" s="44" t="s">
        <v>37</v>
      </c>
      <c r="EP68" s="44" t="s">
        <v>37</v>
      </c>
      <c r="ER68" s="44" t="s">
        <v>37</v>
      </c>
      <c r="ET68" s="44" t="s">
        <v>37</v>
      </c>
      <c r="EV68" s="44" t="s">
        <v>37</v>
      </c>
      <c r="EW68" s="44">
        <v>135415</v>
      </c>
      <c r="EX68" s="44" t="s">
        <v>37</v>
      </c>
      <c r="EZ68" s="44" t="s">
        <v>37</v>
      </c>
      <c r="FB68" s="44" t="s">
        <v>37</v>
      </c>
      <c r="FD68" s="44" t="s">
        <v>37</v>
      </c>
      <c r="FF68" s="44" t="s">
        <v>37</v>
      </c>
      <c r="FH68" s="44" t="s">
        <v>37</v>
      </c>
      <c r="FJ68" s="44" t="s">
        <v>37</v>
      </c>
      <c r="FL68" s="44" t="s">
        <v>37</v>
      </c>
      <c r="FN68" s="44" t="s">
        <v>37</v>
      </c>
      <c r="FP68" s="44" t="s">
        <v>37</v>
      </c>
      <c r="FR68" s="44" t="s">
        <v>37</v>
      </c>
      <c r="FS68" s="44">
        <v>18243</v>
      </c>
      <c r="FT68" s="44" t="s">
        <v>37</v>
      </c>
      <c r="FV68" s="44" t="s">
        <v>37</v>
      </c>
      <c r="FW68" s="44">
        <v>89899</v>
      </c>
      <c r="FX68" s="44" t="s">
        <v>37</v>
      </c>
      <c r="FZ68" s="44" t="s">
        <v>37</v>
      </c>
      <c r="GB68" s="44" t="s">
        <v>37</v>
      </c>
      <c r="GD68" s="44" t="s">
        <v>37</v>
      </c>
      <c r="GF68" s="44" t="s">
        <v>37</v>
      </c>
      <c r="GH68" s="44" t="s">
        <v>37</v>
      </c>
      <c r="GJ68" s="44" t="s">
        <v>37</v>
      </c>
      <c r="GL68" s="44" t="s">
        <v>37</v>
      </c>
      <c r="GN68" s="44" t="s">
        <v>37</v>
      </c>
      <c r="GP68" s="44" t="s">
        <v>37</v>
      </c>
      <c r="GR68" s="44" t="s">
        <v>37</v>
      </c>
      <c r="GT68" s="44" t="s">
        <v>37</v>
      </c>
      <c r="GV68" s="44" t="s">
        <v>37</v>
      </c>
      <c r="GX68" s="44" t="s">
        <v>37</v>
      </c>
      <c r="GZ68" s="44" t="s">
        <v>37</v>
      </c>
      <c r="HA68" s="44">
        <v>37178</v>
      </c>
      <c r="HB68" s="44" t="s">
        <v>37</v>
      </c>
      <c r="HD68" s="44" t="s">
        <v>37</v>
      </c>
      <c r="HF68" s="44" t="s">
        <v>37</v>
      </c>
      <c r="HG68" s="44">
        <v>1730844</v>
      </c>
      <c r="HH68" s="44" t="s">
        <v>37</v>
      </c>
      <c r="HJ68" s="44" t="s">
        <v>37</v>
      </c>
      <c r="HK68" s="44">
        <v>1730844</v>
      </c>
      <c r="HL68" s="44" t="s">
        <v>37</v>
      </c>
    </row>
    <row r="69" spans="1:220">
      <c r="A69" s="150" t="s">
        <v>408</v>
      </c>
      <c r="B69" s="54"/>
      <c r="D69" s="44" t="s">
        <v>37</v>
      </c>
      <c r="F69" s="44" t="s">
        <v>37</v>
      </c>
      <c r="H69" s="44" t="s">
        <v>37</v>
      </c>
      <c r="J69" s="44" t="s">
        <v>37</v>
      </c>
      <c r="L69" s="48" t="s">
        <v>37</v>
      </c>
      <c r="M69" s="50"/>
      <c r="N69" s="48" t="s">
        <v>37</v>
      </c>
      <c r="O69" s="50"/>
      <c r="P69" s="48" t="s">
        <v>37</v>
      </c>
      <c r="Q69" s="50"/>
      <c r="R69" s="48" t="s">
        <v>37</v>
      </c>
      <c r="S69" s="50"/>
      <c r="T69" s="48" t="s">
        <v>37</v>
      </c>
      <c r="V69" s="44" t="s">
        <v>37</v>
      </c>
      <c r="X69" s="44" t="s">
        <v>37</v>
      </c>
      <c r="Z69" s="44" t="s">
        <v>37</v>
      </c>
      <c r="AB69" s="44" t="s">
        <v>37</v>
      </c>
      <c r="AD69" s="44" t="s">
        <v>37</v>
      </c>
      <c r="AF69" s="44" t="s">
        <v>37</v>
      </c>
      <c r="AH69" s="44" t="s">
        <v>37</v>
      </c>
      <c r="AJ69" s="44" t="s">
        <v>37</v>
      </c>
      <c r="AL69" s="44" t="s">
        <v>37</v>
      </c>
      <c r="AN69" s="44" t="s">
        <v>37</v>
      </c>
      <c r="AP69" s="44" t="s">
        <v>37</v>
      </c>
      <c r="AR69" s="44" t="s">
        <v>37</v>
      </c>
      <c r="AT69" s="44" t="s">
        <v>37</v>
      </c>
      <c r="AV69" s="44" t="s">
        <v>37</v>
      </c>
      <c r="AX69" s="44" t="s">
        <v>37</v>
      </c>
      <c r="AZ69" s="44" t="s">
        <v>37</v>
      </c>
      <c r="BB69" s="44" t="s">
        <v>37</v>
      </c>
      <c r="BD69" s="44" t="s">
        <v>37</v>
      </c>
      <c r="BF69" s="44" t="s">
        <v>37</v>
      </c>
      <c r="BH69" s="44" t="s">
        <v>37</v>
      </c>
      <c r="BJ69" s="44" t="s">
        <v>37</v>
      </c>
      <c r="BL69" s="44" t="s">
        <v>37</v>
      </c>
      <c r="BN69" s="44" t="s">
        <v>37</v>
      </c>
      <c r="BP69" s="44" t="s">
        <v>37</v>
      </c>
      <c r="BR69" s="44" t="s">
        <v>37</v>
      </c>
      <c r="BT69" s="44" t="s">
        <v>37</v>
      </c>
      <c r="BV69" s="44" t="s">
        <v>37</v>
      </c>
      <c r="BX69" s="44" t="s">
        <v>37</v>
      </c>
      <c r="BZ69" s="44" t="s">
        <v>37</v>
      </c>
      <c r="CB69" s="44" t="s">
        <v>37</v>
      </c>
      <c r="CD69" s="44" t="s">
        <v>37</v>
      </c>
      <c r="CF69" s="44" t="s">
        <v>37</v>
      </c>
      <c r="CH69" s="44" t="s">
        <v>37</v>
      </c>
      <c r="CJ69" s="44" t="s">
        <v>37</v>
      </c>
      <c r="CL69" s="44" t="s">
        <v>37</v>
      </c>
      <c r="CN69" s="44" t="s">
        <v>37</v>
      </c>
      <c r="CP69" s="44" t="s">
        <v>37</v>
      </c>
      <c r="CR69" s="44" t="s">
        <v>37</v>
      </c>
      <c r="CT69" s="44" t="s">
        <v>37</v>
      </c>
      <c r="CV69" s="44" t="s">
        <v>37</v>
      </c>
      <c r="CX69" s="44" t="s">
        <v>37</v>
      </c>
      <c r="CZ69" s="44" t="s">
        <v>37</v>
      </c>
      <c r="DB69" s="44" t="s">
        <v>37</v>
      </c>
      <c r="DD69" s="44" t="s">
        <v>37</v>
      </c>
      <c r="DF69" s="44" t="s">
        <v>37</v>
      </c>
      <c r="DH69" s="44" t="s">
        <v>37</v>
      </c>
      <c r="DJ69" s="44" t="s">
        <v>37</v>
      </c>
      <c r="DL69" s="44" t="s">
        <v>37</v>
      </c>
      <c r="DN69" s="44" t="s">
        <v>37</v>
      </c>
      <c r="DP69" s="44" t="s">
        <v>37</v>
      </c>
      <c r="DR69" s="44" t="s">
        <v>37</v>
      </c>
      <c r="DT69" s="44" t="s">
        <v>37</v>
      </c>
      <c r="DV69" s="44" t="s">
        <v>37</v>
      </c>
      <c r="DX69" s="44" t="s">
        <v>37</v>
      </c>
      <c r="DZ69" s="44" t="s">
        <v>37</v>
      </c>
      <c r="EB69" s="44" t="s">
        <v>37</v>
      </c>
      <c r="ED69" s="44" t="s">
        <v>37</v>
      </c>
      <c r="EF69" s="44" t="s">
        <v>37</v>
      </c>
      <c r="EH69" s="44" t="s">
        <v>37</v>
      </c>
      <c r="EJ69" s="44" t="s">
        <v>37</v>
      </c>
      <c r="EL69" s="44" t="s">
        <v>37</v>
      </c>
      <c r="EN69" s="44" t="s">
        <v>37</v>
      </c>
      <c r="EP69" s="44" t="s">
        <v>37</v>
      </c>
      <c r="ER69" s="44" t="s">
        <v>37</v>
      </c>
      <c r="ET69" s="44" t="s">
        <v>37</v>
      </c>
      <c r="EV69" s="44" t="s">
        <v>37</v>
      </c>
      <c r="EX69" s="44" t="s">
        <v>37</v>
      </c>
      <c r="EZ69" s="44" t="s">
        <v>37</v>
      </c>
      <c r="FB69" s="44" t="s">
        <v>37</v>
      </c>
      <c r="FD69" s="44" t="s">
        <v>37</v>
      </c>
      <c r="FF69" s="44" t="s">
        <v>37</v>
      </c>
      <c r="FH69" s="44" t="s">
        <v>37</v>
      </c>
      <c r="FJ69" s="44" t="s">
        <v>37</v>
      </c>
      <c r="FL69" s="44" t="s">
        <v>37</v>
      </c>
      <c r="FN69" s="44" t="s">
        <v>37</v>
      </c>
      <c r="FP69" s="44" t="s">
        <v>37</v>
      </c>
      <c r="FR69" s="44" t="s">
        <v>37</v>
      </c>
      <c r="FT69" s="44" t="s">
        <v>37</v>
      </c>
      <c r="FV69" s="44" t="s">
        <v>37</v>
      </c>
      <c r="FX69" s="44" t="s">
        <v>37</v>
      </c>
      <c r="FZ69" s="44" t="s">
        <v>37</v>
      </c>
      <c r="GB69" s="44" t="s">
        <v>37</v>
      </c>
      <c r="GD69" s="44" t="s">
        <v>37</v>
      </c>
      <c r="GF69" s="44" t="s">
        <v>37</v>
      </c>
      <c r="GH69" s="44" t="s">
        <v>37</v>
      </c>
      <c r="GJ69" s="44" t="s">
        <v>37</v>
      </c>
      <c r="GL69" s="44" t="s">
        <v>37</v>
      </c>
      <c r="GN69" s="44" t="s">
        <v>37</v>
      </c>
      <c r="GP69" s="44" t="s">
        <v>37</v>
      </c>
      <c r="GR69" s="44" t="s">
        <v>37</v>
      </c>
      <c r="GT69" s="44" t="s">
        <v>37</v>
      </c>
      <c r="GV69" s="44" t="s">
        <v>37</v>
      </c>
      <c r="GX69" s="44" t="s">
        <v>37</v>
      </c>
      <c r="GZ69" s="44" t="s">
        <v>37</v>
      </c>
      <c r="HB69" s="44" t="s">
        <v>37</v>
      </c>
      <c r="HD69" s="44" t="s">
        <v>37</v>
      </c>
      <c r="HF69" s="44" t="s">
        <v>37</v>
      </c>
      <c r="HH69" s="44" t="s">
        <v>37</v>
      </c>
      <c r="HJ69" s="44" t="s">
        <v>37</v>
      </c>
      <c r="HL69" s="44" t="s">
        <v>37</v>
      </c>
    </row>
    <row r="70" spans="1:220">
      <c r="A70" s="150" t="s">
        <v>408</v>
      </c>
      <c r="B70" s="54" t="s">
        <v>90</v>
      </c>
      <c r="C70" s="44" t="s">
        <v>97</v>
      </c>
      <c r="D70" s="44" t="s">
        <v>37</v>
      </c>
      <c r="E70" s="44">
        <v>182004</v>
      </c>
      <c r="F70" s="44" t="s">
        <v>37</v>
      </c>
      <c r="G70" s="44">
        <v>964440</v>
      </c>
      <c r="H70" s="44" t="s">
        <v>37</v>
      </c>
      <c r="J70" s="44" t="s">
        <v>37</v>
      </c>
      <c r="L70" s="48" t="s">
        <v>37</v>
      </c>
      <c r="M70" s="50"/>
      <c r="N70" s="48" t="s">
        <v>37</v>
      </c>
      <c r="O70" s="50"/>
      <c r="P70" s="48" t="s">
        <v>37</v>
      </c>
      <c r="Q70" s="50"/>
      <c r="R70" s="48" t="s">
        <v>37</v>
      </c>
      <c r="S70" s="50"/>
      <c r="T70" s="48" t="s">
        <v>37</v>
      </c>
      <c r="U70" s="44">
        <v>77771</v>
      </c>
      <c r="V70" s="44" t="s">
        <v>37</v>
      </c>
      <c r="X70" s="44" t="s">
        <v>37</v>
      </c>
      <c r="Z70" s="44" t="s">
        <v>37</v>
      </c>
      <c r="AA70" s="44">
        <v>130155</v>
      </c>
      <c r="AB70" s="44" t="s">
        <v>37</v>
      </c>
      <c r="AC70" s="44">
        <v>37338</v>
      </c>
      <c r="AD70" s="44" t="s">
        <v>37</v>
      </c>
      <c r="AE70" s="44">
        <v>180161</v>
      </c>
      <c r="AF70" s="44" t="s">
        <v>37</v>
      </c>
      <c r="AG70" s="44">
        <v>20214</v>
      </c>
      <c r="AH70" s="44" t="s">
        <v>37</v>
      </c>
      <c r="AI70" s="44">
        <v>52650</v>
      </c>
      <c r="AJ70" s="44" t="s">
        <v>37</v>
      </c>
      <c r="AL70" s="44" t="s">
        <v>37</v>
      </c>
      <c r="AN70" s="44" t="s">
        <v>37</v>
      </c>
      <c r="AP70" s="44" t="s">
        <v>37</v>
      </c>
      <c r="AQ70" s="44">
        <v>56180</v>
      </c>
      <c r="AR70" s="44" t="s">
        <v>37</v>
      </c>
      <c r="AS70" s="44">
        <v>183963</v>
      </c>
      <c r="AT70" s="44" t="s">
        <v>37</v>
      </c>
      <c r="AU70" s="44">
        <v>123510</v>
      </c>
      <c r="AV70" s="44" t="s">
        <v>37</v>
      </c>
      <c r="AW70" s="44">
        <v>13961</v>
      </c>
      <c r="AX70" s="44" t="s">
        <v>37</v>
      </c>
      <c r="AY70" s="44">
        <v>2293015</v>
      </c>
      <c r="AZ70" s="44" t="s">
        <v>37</v>
      </c>
      <c r="BA70" s="44">
        <v>306045</v>
      </c>
      <c r="BB70" s="44" t="s">
        <v>37</v>
      </c>
      <c r="BD70" s="44" t="s">
        <v>37</v>
      </c>
      <c r="BE70" s="44">
        <v>511656</v>
      </c>
      <c r="BF70" s="44" t="s">
        <v>37</v>
      </c>
      <c r="BG70" s="44">
        <v>33766</v>
      </c>
      <c r="BH70" s="44" t="s">
        <v>37</v>
      </c>
      <c r="BJ70" s="44" t="s">
        <v>37</v>
      </c>
      <c r="BK70" s="44">
        <v>49449</v>
      </c>
      <c r="BL70" s="44" t="s">
        <v>37</v>
      </c>
      <c r="BN70" s="44" t="s">
        <v>37</v>
      </c>
      <c r="BO70" s="44">
        <v>2213625</v>
      </c>
      <c r="BP70" s="44" t="s">
        <v>37</v>
      </c>
      <c r="BQ70" s="44">
        <v>823890</v>
      </c>
      <c r="BR70" s="44" t="s">
        <v>37</v>
      </c>
      <c r="BS70" s="44">
        <v>1366477</v>
      </c>
      <c r="BT70" s="44" t="s">
        <v>37</v>
      </c>
      <c r="BU70" s="44">
        <v>696706</v>
      </c>
      <c r="BV70" s="44" t="s">
        <v>37</v>
      </c>
      <c r="BW70" s="44">
        <v>218419</v>
      </c>
      <c r="BX70" s="44" t="s">
        <v>37</v>
      </c>
      <c r="BY70" s="44">
        <v>1130912</v>
      </c>
      <c r="BZ70" s="44" t="s">
        <v>37</v>
      </c>
      <c r="CA70" s="44">
        <v>123344</v>
      </c>
      <c r="CB70" s="44" t="s">
        <v>37</v>
      </c>
      <c r="CD70" s="44" t="s">
        <v>37</v>
      </c>
      <c r="CE70" s="44">
        <v>94379</v>
      </c>
      <c r="CF70" s="44" t="s">
        <v>37</v>
      </c>
      <c r="CG70" s="44">
        <v>120189</v>
      </c>
      <c r="CH70" s="44" t="s">
        <v>37</v>
      </c>
      <c r="CI70" s="44">
        <v>1213892</v>
      </c>
      <c r="CJ70" s="44" t="s">
        <v>37</v>
      </c>
      <c r="CK70" s="44">
        <v>22453</v>
      </c>
      <c r="CL70" s="44" t="s">
        <v>37</v>
      </c>
      <c r="CM70" s="44">
        <v>154222</v>
      </c>
      <c r="CN70" s="44" t="s">
        <v>37</v>
      </c>
      <c r="CO70" s="44">
        <v>43267</v>
      </c>
      <c r="CP70" s="44" t="s">
        <v>37</v>
      </c>
      <c r="CQ70" s="44">
        <v>1816</v>
      </c>
      <c r="CR70" s="44" t="s">
        <v>37</v>
      </c>
      <c r="CS70" s="44">
        <v>2808</v>
      </c>
      <c r="CT70" s="44" t="s">
        <v>37</v>
      </c>
      <c r="CU70" s="44">
        <v>4329237</v>
      </c>
      <c r="CV70" s="44" t="s">
        <v>37</v>
      </c>
      <c r="CX70" s="44" t="s">
        <v>37</v>
      </c>
      <c r="CY70" s="44">
        <v>42200</v>
      </c>
      <c r="CZ70" s="44" t="s">
        <v>37</v>
      </c>
      <c r="DB70" s="44" t="s">
        <v>37</v>
      </c>
      <c r="DC70" s="44">
        <v>502407</v>
      </c>
      <c r="DD70" s="44" t="s">
        <v>37</v>
      </c>
      <c r="DE70" s="44">
        <v>60084</v>
      </c>
      <c r="DF70" s="44" t="s">
        <v>37</v>
      </c>
      <c r="DH70" s="44" t="s">
        <v>37</v>
      </c>
      <c r="DI70" s="44">
        <v>1043570</v>
      </c>
      <c r="DJ70" s="44" t="s">
        <v>37</v>
      </c>
      <c r="DK70" s="44">
        <v>3303920</v>
      </c>
      <c r="DL70" s="44" t="s">
        <v>37</v>
      </c>
      <c r="DN70" s="44" t="s">
        <v>37</v>
      </c>
      <c r="DO70" s="44">
        <v>571822</v>
      </c>
      <c r="DP70" s="44" t="s">
        <v>37</v>
      </c>
      <c r="DR70" s="44" t="s">
        <v>37</v>
      </c>
      <c r="DS70" s="44">
        <v>91758</v>
      </c>
      <c r="DT70" s="44" t="s">
        <v>37</v>
      </c>
      <c r="DU70" s="44">
        <v>393332</v>
      </c>
      <c r="DV70" s="44" t="s">
        <v>37</v>
      </c>
      <c r="DW70" s="44">
        <v>151695</v>
      </c>
      <c r="DX70" s="44" t="s">
        <v>37</v>
      </c>
      <c r="DY70" s="44">
        <v>33542</v>
      </c>
      <c r="DZ70" s="44" t="s">
        <v>37</v>
      </c>
      <c r="EA70" s="44">
        <v>351933</v>
      </c>
      <c r="EB70" s="44" t="s">
        <v>37</v>
      </c>
      <c r="ED70" s="44" t="s">
        <v>37</v>
      </c>
      <c r="EF70" s="44" t="s">
        <v>37</v>
      </c>
      <c r="EH70" s="44" t="s">
        <v>37</v>
      </c>
      <c r="EI70" s="44">
        <v>147988</v>
      </c>
      <c r="EJ70" s="44" t="s">
        <v>37</v>
      </c>
      <c r="EK70" s="44">
        <v>133499</v>
      </c>
      <c r="EL70" s="44" t="s">
        <v>37</v>
      </c>
      <c r="EM70" s="44">
        <v>63012</v>
      </c>
      <c r="EN70" s="44" t="s">
        <v>37</v>
      </c>
      <c r="EO70" s="44">
        <v>371960</v>
      </c>
      <c r="EP70" s="44" t="s">
        <v>37</v>
      </c>
      <c r="EQ70" s="44">
        <v>151762</v>
      </c>
      <c r="ER70" s="44" t="s">
        <v>37</v>
      </c>
      <c r="ES70" s="44">
        <v>262191</v>
      </c>
      <c r="ET70" s="44" t="s">
        <v>37</v>
      </c>
      <c r="EU70" s="44">
        <v>51800</v>
      </c>
      <c r="EV70" s="44" t="s">
        <v>37</v>
      </c>
      <c r="EW70" s="44">
        <v>459391</v>
      </c>
      <c r="EX70" s="44" t="s">
        <v>37</v>
      </c>
      <c r="EZ70" s="44" t="s">
        <v>37</v>
      </c>
      <c r="FA70" s="44">
        <v>800000</v>
      </c>
      <c r="FB70" s="44" t="s">
        <v>37</v>
      </c>
      <c r="FC70" s="44">
        <v>64101</v>
      </c>
      <c r="FD70" s="44" t="s">
        <v>37</v>
      </c>
      <c r="FE70" s="44">
        <v>79843</v>
      </c>
      <c r="FF70" s="44" t="s">
        <v>37</v>
      </c>
      <c r="FH70" s="44" t="s">
        <v>37</v>
      </c>
      <c r="FI70" s="44">
        <v>284547</v>
      </c>
      <c r="FJ70" s="44" t="s">
        <v>37</v>
      </c>
      <c r="FL70" s="44" t="s">
        <v>37</v>
      </c>
      <c r="FN70" s="44" t="s">
        <v>37</v>
      </c>
      <c r="FP70" s="44" t="s">
        <v>37</v>
      </c>
      <c r="FQ70" s="44">
        <v>571818</v>
      </c>
      <c r="FR70" s="44" t="s">
        <v>37</v>
      </c>
      <c r="FS70" s="44">
        <v>18243</v>
      </c>
      <c r="FT70" s="44" t="s">
        <v>37</v>
      </c>
      <c r="FU70" s="44">
        <v>61003</v>
      </c>
      <c r="FV70" s="44" t="s">
        <v>37</v>
      </c>
      <c r="FW70" s="44">
        <v>308781</v>
      </c>
      <c r="FX70" s="44" t="s">
        <v>37</v>
      </c>
      <c r="FY70" s="44">
        <v>1625325</v>
      </c>
      <c r="FZ70" s="44" t="s">
        <v>37</v>
      </c>
      <c r="GA70" s="44">
        <v>640668</v>
      </c>
      <c r="GB70" s="44" t="s">
        <v>37</v>
      </c>
      <c r="GC70" s="44">
        <v>914368</v>
      </c>
      <c r="GD70" s="44" t="s">
        <v>37</v>
      </c>
      <c r="GF70" s="44" t="s">
        <v>37</v>
      </c>
      <c r="GH70" s="44" t="s">
        <v>37</v>
      </c>
      <c r="GJ70" s="44" t="s">
        <v>37</v>
      </c>
      <c r="GK70" s="44">
        <v>313279</v>
      </c>
      <c r="GL70" s="44" t="s">
        <v>37</v>
      </c>
      <c r="GM70" s="44">
        <v>111526</v>
      </c>
      <c r="GN70" s="44" t="s">
        <v>37</v>
      </c>
      <c r="GP70" s="44" t="s">
        <v>37</v>
      </c>
      <c r="GQ70" s="44">
        <v>162552</v>
      </c>
      <c r="GR70" s="44" t="s">
        <v>37</v>
      </c>
      <c r="GS70" s="44">
        <v>187908</v>
      </c>
      <c r="GT70" s="44" t="s">
        <v>37</v>
      </c>
      <c r="GU70" s="44">
        <v>107469</v>
      </c>
      <c r="GV70" s="44" t="s">
        <v>37</v>
      </c>
      <c r="GX70" s="44" t="s">
        <v>37</v>
      </c>
      <c r="GY70" s="44">
        <v>332652</v>
      </c>
      <c r="GZ70" s="44" t="s">
        <v>37</v>
      </c>
      <c r="HA70" s="44">
        <v>83121</v>
      </c>
      <c r="HB70" s="44" t="s">
        <v>37</v>
      </c>
      <c r="HC70" s="44">
        <v>2527750</v>
      </c>
      <c r="HD70" s="44" t="s">
        <v>37</v>
      </c>
      <c r="HE70" s="44">
        <v>4375941</v>
      </c>
      <c r="HF70" s="44" t="s">
        <v>37</v>
      </c>
      <c r="HG70" s="44">
        <v>32626984</v>
      </c>
      <c r="HH70" s="44" t="s">
        <v>37</v>
      </c>
      <c r="HI70" s="44">
        <v>6903691</v>
      </c>
      <c r="HJ70" s="44" t="s">
        <v>37</v>
      </c>
      <c r="HK70" s="44">
        <v>39530675</v>
      </c>
      <c r="HL70" s="44" t="s">
        <v>37</v>
      </c>
    </row>
    <row r="71" spans="1:220">
      <c r="A71" s="150" t="s">
        <v>408</v>
      </c>
      <c r="B71" s="54"/>
      <c r="D71" s="44" t="s">
        <v>37</v>
      </c>
      <c r="F71" s="44" t="s">
        <v>37</v>
      </c>
      <c r="H71" s="44" t="s">
        <v>37</v>
      </c>
      <c r="J71" s="44" t="s">
        <v>37</v>
      </c>
      <c r="L71" s="48" t="s">
        <v>37</v>
      </c>
      <c r="M71" s="50"/>
      <c r="N71" s="48" t="s">
        <v>37</v>
      </c>
      <c r="O71" s="50"/>
      <c r="P71" s="48" t="s">
        <v>37</v>
      </c>
      <c r="Q71" s="50"/>
      <c r="R71" s="48" t="s">
        <v>37</v>
      </c>
      <c r="S71" s="50"/>
      <c r="T71" s="48" t="s">
        <v>37</v>
      </c>
      <c r="V71" s="44" t="s">
        <v>37</v>
      </c>
      <c r="X71" s="44" t="s">
        <v>37</v>
      </c>
      <c r="Z71" s="44" t="s">
        <v>37</v>
      </c>
      <c r="AB71" s="44" t="s">
        <v>37</v>
      </c>
      <c r="AD71" s="44" t="s">
        <v>37</v>
      </c>
      <c r="AF71" s="44" t="s">
        <v>37</v>
      </c>
      <c r="AH71" s="44" t="s">
        <v>37</v>
      </c>
      <c r="AJ71" s="44" t="s">
        <v>37</v>
      </c>
      <c r="AL71" s="44" t="s">
        <v>37</v>
      </c>
      <c r="AN71" s="44" t="s">
        <v>37</v>
      </c>
      <c r="AP71" s="44" t="s">
        <v>37</v>
      </c>
      <c r="AR71" s="44" t="s">
        <v>37</v>
      </c>
      <c r="AT71" s="44" t="s">
        <v>37</v>
      </c>
      <c r="AV71" s="44" t="s">
        <v>37</v>
      </c>
      <c r="AX71" s="44" t="s">
        <v>37</v>
      </c>
      <c r="AZ71" s="44" t="s">
        <v>37</v>
      </c>
      <c r="BB71" s="44" t="s">
        <v>37</v>
      </c>
      <c r="BD71" s="44" t="s">
        <v>37</v>
      </c>
      <c r="BF71" s="44" t="s">
        <v>37</v>
      </c>
      <c r="BH71" s="44" t="s">
        <v>37</v>
      </c>
      <c r="BJ71" s="44" t="s">
        <v>37</v>
      </c>
      <c r="BL71" s="44" t="s">
        <v>37</v>
      </c>
      <c r="BN71" s="44" t="s">
        <v>37</v>
      </c>
      <c r="BP71" s="44" t="s">
        <v>37</v>
      </c>
      <c r="BR71" s="44" t="s">
        <v>37</v>
      </c>
      <c r="BT71" s="44" t="s">
        <v>37</v>
      </c>
      <c r="BV71" s="44" t="s">
        <v>37</v>
      </c>
      <c r="BX71" s="44" t="s">
        <v>37</v>
      </c>
      <c r="BZ71" s="44" t="s">
        <v>37</v>
      </c>
      <c r="CB71" s="44" t="s">
        <v>37</v>
      </c>
      <c r="CD71" s="44" t="s">
        <v>37</v>
      </c>
      <c r="CF71" s="44" t="s">
        <v>37</v>
      </c>
      <c r="CH71" s="44" t="s">
        <v>37</v>
      </c>
      <c r="CJ71" s="44" t="s">
        <v>37</v>
      </c>
      <c r="CL71" s="44" t="s">
        <v>37</v>
      </c>
      <c r="CN71" s="44" t="s">
        <v>37</v>
      </c>
      <c r="CP71" s="44" t="s">
        <v>37</v>
      </c>
      <c r="CR71" s="44" t="s">
        <v>37</v>
      </c>
      <c r="CT71" s="44" t="s">
        <v>37</v>
      </c>
      <c r="CV71" s="44" t="s">
        <v>37</v>
      </c>
      <c r="CX71" s="44" t="s">
        <v>37</v>
      </c>
      <c r="CZ71" s="44" t="s">
        <v>37</v>
      </c>
      <c r="DB71" s="44" t="s">
        <v>37</v>
      </c>
      <c r="DD71" s="44" t="s">
        <v>37</v>
      </c>
      <c r="DF71" s="44" t="s">
        <v>37</v>
      </c>
      <c r="DH71" s="44" t="s">
        <v>37</v>
      </c>
      <c r="DJ71" s="44" t="s">
        <v>37</v>
      </c>
      <c r="DL71" s="44" t="s">
        <v>37</v>
      </c>
      <c r="DN71" s="44" t="s">
        <v>37</v>
      </c>
      <c r="DP71" s="44" t="s">
        <v>37</v>
      </c>
      <c r="DR71" s="44" t="s">
        <v>37</v>
      </c>
      <c r="DT71" s="44" t="s">
        <v>37</v>
      </c>
      <c r="DV71" s="44" t="s">
        <v>37</v>
      </c>
      <c r="DX71" s="44" t="s">
        <v>37</v>
      </c>
      <c r="DZ71" s="44" t="s">
        <v>37</v>
      </c>
      <c r="EB71" s="44" t="s">
        <v>37</v>
      </c>
      <c r="ED71" s="44" t="s">
        <v>37</v>
      </c>
      <c r="EF71" s="44" t="s">
        <v>37</v>
      </c>
      <c r="EH71" s="44" t="s">
        <v>37</v>
      </c>
      <c r="EJ71" s="44" t="s">
        <v>37</v>
      </c>
      <c r="EL71" s="44" t="s">
        <v>37</v>
      </c>
      <c r="EN71" s="44" t="s">
        <v>37</v>
      </c>
      <c r="EP71" s="44" t="s">
        <v>37</v>
      </c>
      <c r="ER71" s="44" t="s">
        <v>37</v>
      </c>
      <c r="ET71" s="44" t="s">
        <v>37</v>
      </c>
      <c r="EV71" s="44" t="s">
        <v>37</v>
      </c>
      <c r="EX71" s="44" t="s">
        <v>37</v>
      </c>
      <c r="EZ71" s="44" t="s">
        <v>37</v>
      </c>
      <c r="FB71" s="44" t="s">
        <v>37</v>
      </c>
      <c r="FD71" s="44" t="s">
        <v>37</v>
      </c>
      <c r="FF71" s="44" t="s">
        <v>37</v>
      </c>
      <c r="FH71" s="44" t="s">
        <v>37</v>
      </c>
      <c r="FJ71" s="44" t="s">
        <v>37</v>
      </c>
      <c r="FL71" s="44" t="s">
        <v>37</v>
      </c>
      <c r="FN71" s="44" t="s">
        <v>37</v>
      </c>
      <c r="FP71" s="44" t="s">
        <v>37</v>
      </c>
      <c r="FR71" s="44" t="s">
        <v>37</v>
      </c>
      <c r="FT71" s="44" t="s">
        <v>37</v>
      </c>
      <c r="FV71" s="44" t="s">
        <v>37</v>
      </c>
      <c r="FX71" s="44" t="s">
        <v>37</v>
      </c>
      <c r="FZ71" s="44" t="s">
        <v>37</v>
      </c>
      <c r="GB71" s="44" t="s">
        <v>37</v>
      </c>
      <c r="GD71" s="44" t="s">
        <v>37</v>
      </c>
      <c r="GF71" s="44" t="s">
        <v>37</v>
      </c>
      <c r="GH71" s="44" t="s">
        <v>37</v>
      </c>
      <c r="GJ71" s="44" t="s">
        <v>37</v>
      </c>
      <c r="GL71" s="44" t="s">
        <v>37</v>
      </c>
      <c r="GN71" s="44" t="s">
        <v>37</v>
      </c>
      <c r="GP71" s="44" t="s">
        <v>37</v>
      </c>
      <c r="GR71" s="44" t="s">
        <v>37</v>
      </c>
      <c r="GT71" s="44" t="s">
        <v>37</v>
      </c>
      <c r="GV71" s="44" t="s">
        <v>37</v>
      </c>
      <c r="GX71" s="44" t="s">
        <v>37</v>
      </c>
      <c r="GZ71" s="44" t="s">
        <v>37</v>
      </c>
      <c r="HB71" s="44" t="s">
        <v>37</v>
      </c>
      <c r="HD71" s="44" t="s">
        <v>37</v>
      </c>
      <c r="HF71" s="44" t="s">
        <v>37</v>
      </c>
      <c r="HH71" s="44" t="s">
        <v>37</v>
      </c>
      <c r="HJ71" s="44" t="s">
        <v>37</v>
      </c>
      <c r="HL71" s="44" t="s">
        <v>37</v>
      </c>
    </row>
    <row r="72" spans="1:220">
      <c r="A72" s="150" t="s">
        <v>408</v>
      </c>
      <c r="B72" s="54">
        <v>3000</v>
      </c>
      <c r="C72" s="44" t="s">
        <v>98</v>
      </c>
      <c r="D72" s="44" t="s">
        <v>37</v>
      </c>
      <c r="F72" s="44" t="s">
        <v>37</v>
      </c>
      <c r="H72" s="44" t="s">
        <v>37</v>
      </c>
      <c r="J72" s="44" t="s">
        <v>37</v>
      </c>
      <c r="L72" s="48" t="s">
        <v>37</v>
      </c>
      <c r="M72" s="50"/>
      <c r="N72" s="48" t="s">
        <v>37</v>
      </c>
      <c r="O72" s="50"/>
      <c r="P72" s="48" t="s">
        <v>37</v>
      </c>
      <c r="Q72" s="50"/>
      <c r="R72" s="48" t="s">
        <v>37</v>
      </c>
      <c r="S72" s="50"/>
      <c r="T72" s="48" t="s">
        <v>37</v>
      </c>
      <c r="V72" s="44" t="s">
        <v>37</v>
      </c>
      <c r="X72" s="44" t="s">
        <v>37</v>
      </c>
      <c r="Z72" s="44" t="s">
        <v>37</v>
      </c>
      <c r="AB72" s="44" t="s">
        <v>37</v>
      </c>
      <c r="AD72" s="44" t="s">
        <v>37</v>
      </c>
      <c r="AF72" s="44" t="s">
        <v>37</v>
      </c>
      <c r="AH72" s="44" t="s">
        <v>37</v>
      </c>
      <c r="AJ72" s="44" t="s">
        <v>37</v>
      </c>
      <c r="AL72" s="44" t="s">
        <v>37</v>
      </c>
      <c r="AN72" s="44" t="s">
        <v>37</v>
      </c>
      <c r="AP72" s="44" t="s">
        <v>37</v>
      </c>
      <c r="AR72" s="44" t="s">
        <v>37</v>
      </c>
      <c r="AT72" s="44" t="s">
        <v>37</v>
      </c>
      <c r="AV72" s="44" t="s">
        <v>37</v>
      </c>
      <c r="AX72" s="44" t="s">
        <v>37</v>
      </c>
      <c r="AZ72" s="44" t="s">
        <v>37</v>
      </c>
      <c r="BB72" s="44" t="s">
        <v>37</v>
      </c>
      <c r="BD72" s="44" t="s">
        <v>37</v>
      </c>
      <c r="BF72" s="44" t="s">
        <v>37</v>
      </c>
      <c r="BH72" s="44" t="s">
        <v>37</v>
      </c>
      <c r="BJ72" s="44" t="s">
        <v>37</v>
      </c>
      <c r="BL72" s="44" t="s">
        <v>37</v>
      </c>
      <c r="BN72" s="44" t="s">
        <v>37</v>
      </c>
      <c r="BP72" s="44" t="s">
        <v>37</v>
      </c>
      <c r="BR72" s="44" t="s">
        <v>37</v>
      </c>
      <c r="BT72" s="44" t="s">
        <v>37</v>
      </c>
      <c r="BV72" s="44" t="s">
        <v>37</v>
      </c>
      <c r="BX72" s="44" t="s">
        <v>37</v>
      </c>
      <c r="BZ72" s="44" t="s">
        <v>37</v>
      </c>
      <c r="CB72" s="44" t="s">
        <v>37</v>
      </c>
      <c r="CD72" s="44" t="s">
        <v>37</v>
      </c>
      <c r="CF72" s="44" t="s">
        <v>37</v>
      </c>
      <c r="CH72" s="44" t="s">
        <v>37</v>
      </c>
      <c r="CJ72" s="44" t="s">
        <v>37</v>
      </c>
      <c r="CL72" s="44" t="s">
        <v>37</v>
      </c>
      <c r="CN72" s="44" t="s">
        <v>37</v>
      </c>
      <c r="CP72" s="44" t="s">
        <v>37</v>
      </c>
      <c r="CR72" s="44" t="s">
        <v>37</v>
      </c>
      <c r="CT72" s="44" t="s">
        <v>37</v>
      </c>
      <c r="CV72" s="44" t="s">
        <v>37</v>
      </c>
      <c r="CX72" s="44" t="s">
        <v>37</v>
      </c>
      <c r="CZ72" s="44" t="s">
        <v>37</v>
      </c>
      <c r="DB72" s="44" t="s">
        <v>37</v>
      </c>
      <c r="DD72" s="44" t="s">
        <v>37</v>
      </c>
      <c r="DF72" s="44" t="s">
        <v>37</v>
      </c>
      <c r="DH72" s="44" t="s">
        <v>37</v>
      </c>
      <c r="DJ72" s="44" t="s">
        <v>37</v>
      </c>
      <c r="DL72" s="44" t="s">
        <v>37</v>
      </c>
      <c r="DN72" s="44" t="s">
        <v>37</v>
      </c>
      <c r="DP72" s="44" t="s">
        <v>37</v>
      </c>
      <c r="DR72" s="44" t="s">
        <v>37</v>
      </c>
      <c r="DT72" s="44" t="s">
        <v>37</v>
      </c>
      <c r="DV72" s="44" t="s">
        <v>37</v>
      </c>
      <c r="DX72" s="44" t="s">
        <v>37</v>
      </c>
      <c r="DZ72" s="44" t="s">
        <v>37</v>
      </c>
      <c r="EB72" s="44" t="s">
        <v>37</v>
      </c>
      <c r="ED72" s="44" t="s">
        <v>37</v>
      </c>
      <c r="EF72" s="44" t="s">
        <v>37</v>
      </c>
      <c r="EH72" s="44" t="s">
        <v>37</v>
      </c>
      <c r="EJ72" s="44" t="s">
        <v>37</v>
      </c>
      <c r="EL72" s="44" t="s">
        <v>37</v>
      </c>
      <c r="EN72" s="44" t="s">
        <v>37</v>
      </c>
      <c r="EP72" s="44" t="s">
        <v>37</v>
      </c>
      <c r="ER72" s="44" t="s">
        <v>37</v>
      </c>
      <c r="ET72" s="44" t="s">
        <v>37</v>
      </c>
      <c r="EV72" s="44" t="s">
        <v>37</v>
      </c>
      <c r="EX72" s="44" t="s">
        <v>37</v>
      </c>
      <c r="EZ72" s="44" t="s">
        <v>37</v>
      </c>
      <c r="FB72" s="44" t="s">
        <v>37</v>
      </c>
      <c r="FD72" s="44" t="s">
        <v>37</v>
      </c>
      <c r="FF72" s="44" t="s">
        <v>37</v>
      </c>
      <c r="FH72" s="44" t="s">
        <v>37</v>
      </c>
      <c r="FJ72" s="44" t="s">
        <v>37</v>
      </c>
      <c r="FL72" s="44" t="s">
        <v>37</v>
      </c>
      <c r="FN72" s="44" t="s">
        <v>37</v>
      </c>
      <c r="FP72" s="44" t="s">
        <v>37</v>
      </c>
      <c r="FR72" s="44" t="s">
        <v>37</v>
      </c>
      <c r="FT72" s="44" t="s">
        <v>37</v>
      </c>
      <c r="FV72" s="44" t="s">
        <v>37</v>
      </c>
      <c r="FX72" s="44" t="s">
        <v>37</v>
      </c>
      <c r="FZ72" s="44" t="s">
        <v>37</v>
      </c>
      <c r="GB72" s="44" t="s">
        <v>37</v>
      </c>
      <c r="GD72" s="44" t="s">
        <v>37</v>
      </c>
      <c r="GF72" s="44" t="s">
        <v>37</v>
      </c>
      <c r="GH72" s="44" t="s">
        <v>37</v>
      </c>
      <c r="GJ72" s="44" t="s">
        <v>37</v>
      </c>
      <c r="GL72" s="44" t="s">
        <v>37</v>
      </c>
      <c r="GN72" s="44" t="s">
        <v>37</v>
      </c>
      <c r="GP72" s="44" t="s">
        <v>37</v>
      </c>
      <c r="GR72" s="44" t="s">
        <v>37</v>
      </c>
      <c r="GT72" s="44" t="s">
        <v>37</v>
      </c>
      <c r="GV72" s="44" t="s">
        <v>37</v>
      </c>
      <c r="GX72" s="44" t="s">
        <v>37</v>
      </c>
      <c r="GZ72" s="44" t="s">
        <v>37</v>
      </c>
      <c r="HB72" s="44" t="s">
        <v>37</v>
      </c>
      <c r="HD72" s="44" t="s">
        <v>37</v>
      </c>
      <c r="HF72" s="44" t="s">
        <v>37</v>
      </c>
      <c r="HH72" s="44" t="s">
        <v>37</v>
      </c>
      <c r="HJ72" s="44" t="s">
        <v>37</v>
      </c>
      <c r="HL72" s="44" t="s">
        <v>37</v>
      </c>
    </row>
    <row r="73" spans="1:220">
      <c r="A73" s="150" t="s">
        <v>408</v>
      </c>
      <c r="B73" s="54">
        <v>3100</v>
      </c>
      <c r="C73" s="44" t="s">
        <v>99</v>
      </c>
      <c r="D73" s="44" t="s">
        <v>37</v>
      </c>
      <c r="F73" s="44" t="s">
        <v>37</v>
      </c>
      <c r="H73" s="44" t="s">
        <v>37</v>
      </c>
      <c r="J73" s="44" t="s">
        <v>37</v>
      </c>
      <c r="L73" s="48" t="s">
        <v>37</v>
      </c>
      <c r="M73" s="50"/>
      <c r="N73" s="48" t="s">
        <v>37</v>
      </c>
      <c r="O73" s="50"/>
      <c r="P73" s="48" t="s">
        <v>37</v>
      </c>
      <c r="Q73" s="50"/>
      <c r="R73" s="48" t="s">
        <v>37</v>
      </c>
      <c r="S73" s="50"/>
      <c r="T73" s="48" t="s">
        <v>37</v>
      </c>
      <c r="V73" s="44" t="s">
        <v>37</v>
      </c>
      <c r="X73" s="44" t="s">
        <v>37</v>
      </c>
      <c r="Z73" s="44" t="s">
        <v>37</v>
      </c>
      <c r="AB73" s="44" t="s">
        <v>37</v>
      </c>
      <c r="AD73" s="44" t="s">
        <v>37</v>
      </c>
      <c r="AF73" s="44" t="s">
        <v>37</v>
      </c>
      <c r="AH73" s="44" t="s">
        <v>37</v>
      </c>
      <c r="AJ73" s="44" t="s">
        <v>37</v>
      </c>
      <c r="AL73" s="44" t="s">
        <v>37</v>
      </c>
      <c r="AN73" s="44" t="s">
        <v>37</v>
      </c>
      <c r="AP73" s="44" t="s">
        <v>37</v>
      </c>
      <c r="AR73" s="44" t="s">
        <v>37</v>
      </c>
      <c r="AT73" s="44" t="s">
        <v>37</v>
      </c>
      <c r="AV73" s="44" t="s">
        <v>37</v>
      </c>
      <c r="AX73" s="44" t="s">
        <v>37</v>
      </c>
      <c r="AZ73" s="44" t="s">
        <v>37</v>
      </c>
      <c r="BB73" s="44" t="s">
        <v>37</v>
      </c>
      <c r="BD73" s="44" t="s">
        <v>37</v>
      </c>
      <c r="BF73" s="44" t="s">
        <v>37</v>
      </c>
      <c r="BH73" s="44" t="s">
        <v>37</v>
      </c>
      <c r="BJ73" s="44" t="s">
        <v>37</v>
      </c>
      <c r="BL73" s="44" t="s">
        <v>37</v>
      </c>
      <c r="BN73" s="44" t="s">
        <v>37</v>
      </c>
      <c r="BP73" s="44" t="s">
        <v>37</v>
      </c>
      <c r="BR73" s="44" t="s">
        <v>37</v>
      </c>
      <c r="BT73" s="44" t="s">
        <v>37</v>
      </c>
      <c r="BV73" s="44" t="s">
        <v>37</v>
      </c>
      <c r="BX73" s="44" t="s">
        <v>37</v>
      </c>
      <c r="BZ73" s="44" t="s">
        <v>37</v>
      </c>
      <c r="CB73" s="44" t="s">
        <v>37</v>
      </c>
      <c r="CD73" s="44" t="s">
        <v>37</v>
      </c>
      <c r="CF73" s="44" t="s">
        <v>37</v>
      </c>
      <c r="CH73" s="44" t="s">
        <v>37</v>
      </c>
      <c r="CJ73" s="44" t="s">
        <v>37</v>
      </c>
      <c r="CL73" s="44" t="s">
        <v>37</v>
      </c>
      <c r="CN73" s="44" t="s">
        <v>37</v>
      </c>
      <c r="CP73" s="44" t="s">
        <v>37</v>
      </c>
      <c r="CR73" s="44" t="s">
        <v>37</v>
      </c>
      <c r="CT73" s="44" t="s">
        <v>37</v>
      </c>
      <c r="CV73" s="44" t="s">
        <v>37</v>
      </c>
      <c r="CX73" s="44" t="s">
        <v>37</v>
      </c>
      <c r="CZ73" s="44" t="s">
        <v>37</v>
      </c>
      <c r="DB73" s="44" t="s">
        <v>37</v>
      </c>
      <c r="DD73" s="44" t="s">
        <v>37</v>
      </c>
      <c r="DF73" s="44" t="s">
        <v>37</v>
      </c>
      <c r="DH73" s="44" t="s">
        <v>37</v>
      </c>
      <c r="DJ73" s="44" t="s">
        <v>37</v>
      </c>
      <c r="DL73" s="44" t="s">
        <v>37</v>
      </c>
      <c r="DN73" s="44" t="s">
        <v>37</v>
      </c>
      <c r="DP73" s="44" t="s">
        <v>37</v>
      </c>
      <c r="DR73" s="44" t="s">
        <v>37</v>
      </c>
      <c r="DT73" s="44" t="s">
        <v>37</v>
      </c>
      <c r="DV73" s="44" t="s">
        <v>37</v>
      </c>
      <c r="DX73" s="44" t="s">
        <v>37</v>
      </c>
      <c r="DZ73" s="44" t="s">
        <v>37</v>
      </c>
      <c r="EB73" s="44" t="s">
        <v>37</v>
      </c>
      <c r="ED73" s="44" t="s">
        <v>37</v>
      </c>
      <c r="EF73" s="44" t="s">
        <v>37</v>
      </c>
      <c r="EH73" s="44" t="s">
        <v>37</v>
      </c>
      <c r="EJ73" s="44" t="s">
        <v>37</v>
      </c>
      <c r="EL73" s="44" t="s">
        <v>37</v>
      </c>
      <c r="EN73" s="44" t="s">
        <v>37</v>
      </c>
      <c r="EP73" s="44" t="s">
        <v>37</v>
      </c>
      <c r="ER73" s="44" t="s">
        <v>37</v>
      </c>
      <c r="ET73" s="44" t="s">
        <v>37</v>
      </c>
      <c r="EV73" s="44" t="s">
        <v>37</v>
      </c>
      <c r="EX73" s="44" t="s">
        <v>37</v>
      </c>
      <c r="EZ73" s="44" t="s">
        <v>37</v>
      </c>
      <c r="FB73" s="44" t="s">
        <v>37</v>
      </c>
      <c r="FD73" s="44" t="s">
        <v>37</v>
      </c>
      <c r="FF73" s="44" t="s">
        <v>37</v>
      </c>
      <c r="FH73" s="44" t="s">
        <v>37</v>
      </c>
      <c r="FJ73" s="44" t="s">
        <v>37</v>
      </c>
      <c r="FL73" s="44" t="s">
        <v>37</v>
      </c>
      <c r="FN73" s="44" t="s">
        <v>37</v>
      </c>
      <c r="FP73" s="44" t="s">
        <v>37</v>
      </c>
      <c r="FR73" s="44" t="s">
        <v>37</v>
      </c>
      <c r="FT73" s="44" t="s">
        <v>37</v>
      </c>
      <c r="FV73" s="44" t="s">
        <v>37</v>
      </c>
      <c r="FX73" s="44" t="s">
        <v>37</v>
      </c>
      <c r="FZ73" s="44" t="s">
        <v>37</v>
      </c>
      <c r="GB73" s="44" t="s">
        <v>37</v>
      </c>
      <c r="GD73" s="44" t="s">
        <v>37</v>
      </c>
      <c r="GF73" s="44" t="s">
        <v>37</v>
      </c>
      <c r="GH73" s="44" t="s">
        <v>37</v>
      </c>
      <c r="GJ73" s="44" t="s">
        <v>37</v>
      </c>
      <c r="GL73" s="44" t="s">
        <v>37</v>
      </c>
      <c r="GN73" s="44" t="s">
        <v>37</v>
      </c>
      <c r="GP73" s="44" t="s">
        <v>37</v>
      </c>
      <c r="GR73" s="44" t="s">
        <v>37</v>
      </c>
      <c r="GT73" s="44" t="s">
        <v>37</v>
      </c>
      <c r="GV73" s="44" t="s">
        <v>37</v>
      </c>
      <c r="GX73" s="44" t="s">
        <v>37</v>
      </c>
      <c r="GZ73" s="44" t="s">
        <v>37</v>
      </c>
      <c r="HB73" s="44" t="s">
        <v>37</v>
      </c>
      <c r="HD73" s="44" t="s">
        <v>37</v>
      </c>
      <c r="HF73" s="44" t="s">
        <v>37</v>
      </c>
      <c r="HH73" s="44" t="s">
        <v>37</v>
      </c>
      <c r="HJ73" s="44" t="s">
        <v>37</v>
      </c>
      <c r="HL73" s="44" t="s">
        <v>37</v>
      </c>
    </row>
    <row r="74" spans="1:220">
      <c r="A74" s="150" t="s">
        <v>408</v>
      </c>
      <c r="B74" s="54">
        <v>3110</v>
      </c>
      <c r="C74" s="44" t="s">
        <v>100</v>
      </c>
      <c r="D74" s="44" t="s">
        <v>37</v>
      </c>
      <c r="F74" s="44" t="s">
        <v>37</v>
      </c>
      <c r="H74" s="44" t="s">
        <v>37</v>
      </c>
      <c r="J74" s="44" t="s">
        <v>37</v>
      </c>
      <c r="L74" s="48" t="s">
        <v>37</v>
      </c>
      <c r="M74" s="50"/>
      <c r="N74" s="48" t="s">
        <v>37</v>
      </c>
      <c r="O74" s="50"/>
      <c r="P74" s="48" t="s">
        <v>37</v>
      </c>
      <c r="Q74" s="50"/>
      <c r="R74" s="48" t="s">
        <v>37</v>
      </c>
      <c r="S74" s="50"/>
      <c r="T74" s="48" t="s">
        <v>37</v>
      </c>
      <c r="V74" s="44" t="s">
        <v>37</v>
      </c>
      <c r="X74" s="44" t="s">
        <v>37</v>
      </c>
      <c r="Z74" s="44" t="s">
        <v>37</v>
      </c>
      <c r="AB74" s="44" t="s">
        <v>37</v>
      </c>
      <c r="AD74" s="44" t="s">
        <v>37</v>
      </c>
      <c r="AF74" s="44" t="s">
        <v>37</v>
      </c>
      <c r="AH74" s="44" t="s">
        <v>37</v>
      </c>
      <c r="AJ74" s="44" t="s">
        <v>37</v>
      </c>
      <c r="AL74" s="44" t="s">
        <v>37</v>
      </c>
      <c r="AN74" s="44" t="s">
        <v>37</v>
      </c>
      <c r="AP74" s="44" t="s">
        <v>37</v>
      </c>
      <c r="AR74" s="44" t="s">
        <v>37</v>
      </c>
      <c r="AT74" s="44" t="s">
        <v>37</v>
      </c>
      <c r="AV74" s="44" t="s">
        <v>37</v>
      </c>
      <c r="AX74" s="44" t="s">
        <v>37</v>
      </c>
      <c r="AZ74" s="44" t="s">
        <v>37</v>
      </c>
      <c r="BB74" s="44" t="s">
        <v>37</v>
      </c>
      <c r="BD74" s="44" t="s">
        <v>37</v>
      </c>
      <c r="BF74" s="44" t="s">
        <v>37</v>
      </c>
      <c r="BH74" s="44" t="s">
        <v>37</v>
      </c>
      <c r="BJ74" s="44" t="s">
        <v>37</v>
      </c>
      <c r="BL74" s="44" t="s">
        <v>37</v>
      </c>
      <c r="BN74" s="44" t="s">
        <v>37</v>
      </c>
      <c r="BP74" s="44" t="s">
        <v>37</v>
      </c>
      <c r="BR74" s="44" t="s">
        <v>37</v>
      </c>
      <c r="BT74" s="44" t="s">
        <v>37</v>
      </c>
      <c r="BV74" s="44" t="s">
        <v>37</v>
      </c>
      <c r="BX74" s="44" t="s">
        <v>37</v>
      </c>
      <c r="BZ74" s="44" t="s">
        <v>37</v>
      </c>
      <c r="CB74" s="44" t="s">
        <v>37</v>
      </c>
      <c r="CD74" s="44" t="s">
        <v>37</v>
      </c>
      <c r="CF74" s="44" t="s">
        <v>37</v>
      </c>
      <c r="CH74" s="44" t="s">
        <v>37</v>
      </c>
      <c r="CJ74" s="44" t="s">
        <v>37</v>
      </c>
      <c r="CL74" s="44" t="s">
        <v>37</v>
      </c>
      <c r="CN74" s="44" t="s">
        <v>37</v>
      </c>
      <c r="CP74" s="44" t="s">
        <v>37</v>
      </c>
      <c r="CR74" s="44" t="s">
        <v>37</v>
      </c>
      <c r="CT74" s="44" t="s">
        <v>37</v>
      </c>
      <c r="CV74" s="44" t="s">
        <v>37</v>
      </c>
      <c r="CX74" s="44" t="s">
        <v>37</v>
      </c>
      <c r="CZ74" s="44" t="s">
        <v>37</v>
      </c>
      <c r="DB74" s="44" t="s">
        <v>37</v>
      </c>
      <c r="DD74" s="44" t="s">
        <v>37</v>
      </c>
      <c r="DF74" s="44" t="s">
        <v>37</v>
      </c>
      <c r="DH74" s="44" t="s">
        <v>37</v>
      </c>
      <c r="DJ74" s="44" t="s">
        <v>37</v>
      </c>
      <c r="DL74" s="44" t="s">
        <v>37</v>
      </c>
      <c r="DN74" s="44" t="s">
        <v>37</v>
      </c>
      <c r="DP74" s="44" t="s">
        <v>37</v>
      </c>
      <c r="DR74" s="44" t="s">
        <v>37</v>
      </c>
      <c r="DT74" s="44" t="s">
        <v>37</v>
      </c>
      <c r="DV74" s="44" t="s">
        <v>37</v>
      </c>
      <c r="DX74" s="44" t="s">
        <v>37</v>
      </c>
      <c r="DZ74" s="44" t="s">
        <v>37</v>
      </c>
      <c r="EB74" s="44" t="s">
        <v>37</v>
      </c>
      <c r="ED74" s="44" t="s">
        <v>37</v>
      </c>
      <c r="EF74" s="44" t="s">
        <v>37</v>
      </c>
      <c r="EH74" s="44" t="s">
        <v>37</v>
      </c>
      <c r="EJ74" s="44" t="s">
        <v>37</v>
      </c>
      <c r="EL74" s="44" t="s">
        <v>37</v>
      </c>
      <c r="EN74" s="44" t="s">
        <v>37</v>
      </c>
      <c r="EP74" s="44" t="s">
        <v>37</v>
      </c>
      <c r="ER74" s="44" t="s">
        <v>37</v>
      </c>
      <c r="ET74" s="44" t="s">
        <v>37</v>
      </c>
      <c r="EV74" s="44" t="s">
        <v>37</v>
      </c>
      <c r="EX74" s="44" t="s">
        <v>37</v>
      </c>
      <c r="EZ74" s="44" t="s">
        <v>37</v>
      </c>
      <c r="FB74" s="44" t="s">
        <v>37</v>
      </c>
      <c r="FD74" s="44" t="s">
        <v>37</v>
      </c>
      <c r="FF74" s="44" t="s">
        <v>37</v>
      </c>
      <c r="FH74" s="44" t="s">
        <v>37</v>
      </c>
      <c r="FJ74" s="44" t="s">
        <v>37</v>
      </c>
      <c r="FL74" s="44" t="s">
        <v>37</v>
      </c>
      <c r="FN74" s="44" t="s">
        <v>37</v>
      </c>
      <c r="FP74" s="44" t="s">
        <v>37</v>
      </c>
      <c r="FR74" s="44" t="s">
        <v>37</v>
      </c>
      <c r="FT74" s="44" t="s">
        <v>37</v>
      </c>
      <c r="FV74" s="44" t="s">
        <v>37</v>
      </c>
      <c r="FX74" s="44" t="s">
        <v>37</v>
      </c>
      <c r="FZ74" s="44" t="s">
        <v>37</v>
      </c>
      <c r="GB74" s="44" t="s">
        <v>37</v>
      </c>
      <c r="GD74" s="44" t="s">
        <v>37</v>
      </c>
      <c r="GF74" s="44" t="s">
        <v>37</v>
      </c>
      <c r="GH74" s="44" t="s">
        <v>37</v>
      </c>
      <c r="GJ74" s="44" t="s">
        <v>37</v>
      </c>
      <c r="GL74" s="44" t="s">
        <v>37</v>
      </c>
      <c r="GN74" s="44" t="s">
        <v>37</v>
      </c>
      <c r="GP74" s="44" t="s">
        <v>37</v>
      </c>
      <c r="GR74" s="44" t="s">
        <v>37</v>
      </c>
      <c r="GT74" s="44" t="s">
        <v>37</v>
      </c>
      <c r="GV74" s="44" t="s">
        <v>37</v>
      </c>
      <c r="GX74" s="44" t="s">
        <v>37</v>
      </c>
      <c r="GZ74" s="44" t="s">
        <v>37</v>
      </c>
      <c r="HB74" s="44" t="s">
        <v>37</v>
      </c>
      <c r="HD74" s="44" t="s">
        <v>37</v>
      </c>
      <c r="HF74" s="44" t="s">
        <v>37</v>
      </c>
      <c r="HH74" s="44" t="s">
        <v>37</v>
      </c>
      <c r="HJ74" s="44" t="s">
        <v>37</v>
      </c>
      <c r="HL74" s="44" t="s">
        <v>37</v>
      </c>
    </row>
    <row r="75" spans="1:220">
      <c r="A75" s="150" t="s">
        <v>411</v>
      </c>
      <c r="B75" s="44">
        <v>3112</v>
      </c>
      <c r="C75" s="44" t="s">
        <v>101</v>
      </c>
      <c r="D75" s="44" t="s">
        <v>37</v>
      </c>
      <c r="F75" s="44" t="s">
        <v>37</v>
      </c>
      <c r="H75" s="44" t="s">
        <v>37</v>
      </c>
      <c r="J75" s="44" t="s">
        <v>37</v>
      </c>
      <c r="L75" s="48" t="s">
        <v>37</v>
      </c>
      <c r="M75" s="50"/>
      <c r="N75" s="48" t="s">
        <v>37</v>
      </c>
      <c r="O75" s="50"/>
      <c r="P75" s="48" t="s">
        <v>37</v>
      </c>
      <c r="Q75" s="50"/>
      <c r="R75" s="48" t="s">
        <v>37</v>
      </c>
      <c r="S75" s="50"/>
      <c r="T75" s="48" t="s">
        <v>37</v>
      </c>
      <c r="V75" s="44" t="s">
        <v>37</v>
      </c>
      <c r="X75" s="44" t="s">
        <v>37</v>
      </c>
      <c r="Z75" s="44" t="s">
        <v>37</v>
      </c>
      <c r="AB75" s="44" t="s">
        <v>37</v>
      </c>
      <c r="AD75" s="44" t="s">
        <v>37</v>
      </c>
      <c r="AF75" s="44" t="s">
        <v>37</v>
      </c>
      <c r="AH75" s="44" t="s">
        <v>37</v>
      </c>
      <c r="AJ75" s="44" t="s">
        <v>37</v>
      </c>
      <c r="AL75" s="44" t="s">
        <v>37</v>
      </c>
      <c r="AN75" s="44" t="s">
        <v>37</v>
      </c>
      <c r="AP75" s="44" t="s">
        <v>37</v>
      </c>
      <c r="AR75" s="44" t="s">
        <v>37</v>
      </c>
      <c r="AT75" s="44" t="s">
        <v>37</v>
      </c>
      <c r="AV75" s="44" t="s">
        <v>37</v>
      </c>
      <c r="AW75" s="44">
        <v>38919</v>
      </c>
      <c r="AX75" s="44" t="s">
        <v>37</v>
      </c>
      <c r="AZ75" s="44" t="s">
        <v>37</v>
      </c>
      <c r="BB75" s="44" t="s">
        <v>37</v>
      </c>
      <c r="BD75" s="44" t="s">
        <v>37</v>
      </c>
      <c r="BF75" s="44" t="s">
        <v>37</v>
      </c>
      <c r="BH75" s="44" t="s">
        <v>37</v>
      </c>
      <c r="BJ75" s="44" t="s">
        <v>37</v>
      </c>
      <c r="BL75" s="44" t="s">
        <v>37</v>
      </c>
      <c r="BN75" s="44" t="s">
        <v>37</v>
      </c>
      <c r="BP75" s="44" t="s">
        <v>37</v>
      </c>
      <c r="BR75" s="44" t="s">
        <v>37</v>
      </c>
      <c r="BT75" s="44" t="s">
        <v>37</v>
      </c>
      <c r="BV75" s="44" t="s">
        <v>37</v>
      </c>
      <c r="BX75" s="44" t="s">
        <v>37</v>
      </c>
      <c r="BZ75" s="44" t="s">
        <v>37</v>
      </c>
      <c r="CB75" s="44" t="s">
        <v>37</v>
      </c>
      <c r="CD75" s="44" t="s">
        <v>37</v>
      </c>
      <c r="CF75" s="44" t="s">
        <v>37</v>
      </c>
      <c r="CH75" s="44" t="s">
        <v>37</v>
      </c>
      <c r="CJ75" s="44" t="s">
        <v>37</v>
      </c>
      <c r="CL75" s="44" t="s">
        <v>37</v>
      </c>
      <c r="CN75" s="44" t="s">
        <v>37</v>
      </c>
      <c r="CP75" s="44" t="s">
        <v>37</v>
      </c>
      <c r="CR75" s="44" t="s">
        <v>37</v>
      </c>
      <c r="CT75" s="44" t="s">
        <v>37</v>
      </c>
      <c r="CV75" s="44" t="s">
        <v>37</v>
      </c>
      <c r="CX75" s="44" t="s">
        <v>37</v>
      </c>
      <c r="CZ75" s="44" t="s">
        <v>37</v>
      </c>
      <c r="DB75" s="44" t="s">
        <v>37</v>
      </c>
      <c r="DD75" s="44" t="s">
        <v>37</v>
      </c>
      <c r="DF75" s="44" t="s">
        <v>37</v>
      </c>
      <c r="DH75" s="44" t="s">
        <v>37</v>
      </c>
      <c r="DJ75" s="44" t="s">
        <v>37</v>
      </c>
      <c r="DL75" s="44" t="s">
        <v>37</v>
      </c>
      <c r="DM75" s="44">
        <v>46307</v>
      </c>
      <c r="DN75" s="44" t="s">
        <v>37</v>
      </c>
      <c r="DP75" s="44" t="s">
        <v>37</v>
      </c>
      <c r="DR75" s="44" t="s">
        <v>37</v>
      </c>
      <c r="DT75" s="44" t="s">
        <v>37</v>
      </c>
      <c r="DU75" s="44">
        <v>1721</v>
      </c>
      <c r="DV75" s="44" t="s">
        <v>37</v>
      </c>
      <c r="DX75" s="44" t="s">
        <v>37</v>
      </c>
      <c r="DZ75" s="44" t="s">
        <v>37</v>
      </c>
      <c r="EB75" s="44" t="s">
        <v>37</v>
      </c>
      <c r="ED75" s="44" t="s">
        <v>37</v>
      </c>
      <c r="EF75" s="44" t="s">
        <v>37</v>
      </c>
      <c r="EH75" s="44" t="s">
        <v>37</v>
      </c>
      <c r="EJ75" s="44" t="s">
        <v>37</v>
      </c>
      <c r="EL75" s="44" t="s">
        <v>37</v>
      </c>
      <c r="EN75" s="44" t="s">
        <v>37</v>
      </c>
      <c r="EP75" s="44" t="s">
        <v>37</v>
      </c>
      <c r="ER75" s="44" t="s">
        <v>37</v>
      </c>
      <c r="ET75" s="44" t="s">
        <v>37</v>
      </c>
      <c r="EV75" s="44" t="s">
        <v>37</v>
      </c>
      <c r="EW75" s="44">
        <v>69721</v>
      </c>
      <c r="EX75" s="44" t="s">
        <v>37</v>
      </c>
      <c r="EZ75" s="44" t="s">
        <v>37</v>
      </c>
      <c r="FB75" s="44" t="s">
        <v>37</v>
      </c>
      <c r="FD75" s="44" t="s">
        <v>37</v>
      </c>
      <c r="FF75" s="44" t="s">
        <v>37</v>
      </c>
      <c r="FH75" s="44" t="s">
        <v>37</v>
      </c>
      <c r="FJ75" s="44" t="s">
        <v>37</v>
      </c>
      <c r="FL75" s="44" t="s">
        <v>37</v>
      </c>
      <c r="FN75" s="44" t="s">
        <v>37</v>
      </c>
      <c r="FP75" s="44" t="s">
        <v>37</v>
      </c>
      <c r="FR75" s="44" t="s">
        <v>37</v>
      </c>
      <c r="FT75" s="44" t="s">
        <v>37</v>
      </c>
      <c r="FV75" s="44" t="s">
        <v>37</v>
      </c>
      <c r="FX75" s="44" t="s">
        <v>37</v>
      </c>
      <c r="FZ75" s="44" t="s">
        <v>37</v>
      </c>
      <c r="GB75" s="44" t="s">
        <v>37</v>
      </c>
      <c r="GD75" s="44" t="s">
        <v>37</v>
      </c>
      <c r="GF75" s="44" t="s">
        <v>37</v>
      </c>
      <c r="GH75" s="44" t="s">
        <v>37</v>
      </c>
      <c r="GJ75" s="44" t="s">
        <v>37</v>
      </c>
      <c r="GL75" s="44" t="s">
        <v>37</v>
      </c>
      <c r="GN75" s="44" t="s">
        <v>37</v>
      </c>
      <c r="GP75" s="44" t="s">
        <v>37</v>
      </c>
      <c r="GR75" s="44" t="s">
        <v>37</v>
      </c>
      <c r="GT75" s="44" t="s">
        <v>37</v>
      </c>
      <c r="GV75" s="44" t="s">
        <v>37</v>
      </c>
      <c r="GX75" s="44" t="s">
        <v>37</v>
      </c>
      <c r="GZ75" s="44" t="s">
        <v>37</v>
      </c>
      <c r="HB75" s="44" t="s">
        <v>37</v>
      </c>
      <c r="HD75" s="44" t="s">
        <v>37</v>
      </c>
      <c r="HF75" s="44" t="s">
        <v>37</v>
      </c>
      <c r="HG75" s="44">
        <v>156668</v>
      </c>
      <c r="HH75" s="44" t="s">
        <v>37</v>
      </c>
      <c r="HJ75" s="44" t="s">
        <v>37</v>
      </c>
      <c r="HK75" s="44">
        <v>156668</v>
      </c>
      <c r="HL75" s="44" t="s">
        <v>37</v>
      </c>
    </row>
    <row r="76" spans="1:220">
      <c r="A76" s="150" t="s">
        <v>411</v>
      </c>
      <c r="B76" s="44">
        <v>3113</v>
      </c>
      <c r="C76" s="44" t="s">
        <v>102</v>
      </c>
      <c r="D76" s="44" t="s">
        <v>37</v>
      </c>
      <c r="E76" s="44">
        <v>40261</v>
      </c>
      <c r="F76" s="44" t="s">
        <v>37</v>
      </c>
      <c r="G76" s="44">
        <v>52274</v>
      </c>
      <c r="H76" s="44" t="s">
        <v>37</v>
      </c>
      <c r="J76" s="44" t="s">
        <v>37</v>
      </c>
      <c r="L76" s="48" t="s">
        <v>37</v>
      </c>
      <c r="M76" s="50"/>
      <c r="N76" s="48" t="s">
        <v>37</v>
      </c>
      <c r="O76" s="51">
        <v>10147</v>
      </c>
      <c r="P76" s="48" t="s">
        <v>37</v>
      </c>
      <c r="Q76" s="51">
        <v>14552</v>
      </c>
      <c r="R76" s="48" t="s">
        <v>37</v>
      </c>
      <c r="S76" s="51">
        <v>5597</v>
      </c>
      <c r="T76" s="48" t="s">
        <v>37</v>
      </c>
      <c r="U76" s="44">
        <v>10106</v>
      </c>
      <c r="V76" s="44" t="s">
        <v>37</v>
      </c>
      <c r="X76" s="44" t="s">
        <v>37</v>
      </c>
      <c r="Z76" s="44" t="s">
        <v>37</v>
      </c>
      <c r="AB76" s="44" t="s">
        <v>37</v>
      </c>
      <c r="AD76" s="44" t="s">
        <v>37</v>
      </c>
      <c r="AF76" s="44" t="s">
        <v>37</v>
      </c>
      <c r="AH76" s="44" t="s">
        <v>37</v>
      </c>
      <c r="AJ76" s="44" t="s">
        <v>37</v>
      </c>
      <c r="AK76" s="44">
        <v>7906</v>
      </c>
      <c r="AL76" s="44" t="s">
        <v>37</v>
      </c>
      <c r="AN76" s="44" t="s">
        <v>37</v>
      </c>
      <c r="AP76" s="44" t="s">
        <v>37</v>
      </c>
      <c r="AR76" s="44" t="s">
        <v>37</v>
      </c>
      <c r="AT76" s="44" t="s">
        <v>37</v>
      </c>
      <c r="AV76" s="44" t="s">
        <v>37</v>
      </c>
      <c r="AW76" s="44">
        <v>18139</v>
      </c>
      <c r="AX76" s="44" t="s">
        <v>37</v>
      </c>
      <c r="AY76" s="44">
        <v>4730</v>
      </c>
      <c r="AZ76" s="44" t="s">
        <v>37</v>
      </c>
      <c r="BA76" s="44">
        <v>35428</v>
      </c>
      <c r="BB76" s="44" t="s">
        <v>37</v>
      </c>
      <c r="BD76" s="44" t="s">
        <v>37</v>
      </c>
      <c r="BF76" s="44" t="s">
        <v>37</v>
      </c>
      <c r="BH76" s="44" t="s">
        <v>37</v>
      </c>
      <c r="BI76" s="44">
        <v>10192</v>
      </c>
      <c r="BJ76" s="44" t="s">
        <v>37</v>
      </c>
      <c r="BL76" s="44" t="s">
        <v>37</v>
      </c>
      <c r="BM76" s="44">
        <v>17217</v>
      </c>
      <c r="BN76" s="44" t="s">
        <v>37</v>
      </c>
      <c r="BP76" s="44" t="s">
        <v>37</v>
      </c>
      <c r="BR76" s="44" t="s">
        <v>37</v>
      </c>
      <c r="BT76" s="44" t="s">
        <v>37</v>
      </c>
      <c r="BV76" s="44" t="s">
        <v>37</v>
      </c>
      <c r="BX76" s="44" t="s">
        <v>37</v>
      </c>
      <c r="BZ76" s="44" t="s">
        <v>37</v>
      </c>
      <c r="CB76" s="44" t="s">
        <v>37</v>
      </c>
      <c r="CD76" s="44" t="s">
        <v>37</v>
      </c>
      <c r="CE76" s="44">
        <v>20498</v>
      </c>
      <c r="CF76" s="44" t="s">
        <v>37</v>
      </c>
      <c r="CG76" s="44">
        <v>6959</v>
      </c>
      <c r="CH76" s="44" t="s">
        <v>37</v>
      </c>
      <c r="CJ76" s="44" t="s">
        <v>37</v>
      </c>
      <c r="CL76" s="44" t="s">
        <v>37</v>
      </c>
      <c r="CN76" s="44" t="s">
        <v>37</v>
      </c>
      <c r="CP76" s="44" t="s">
        <v>37</v>
      </c>
      <c r="CQ76" s="44">
        <v>12214</v>
      </c>
      <c r="CR76" s="44" t="s">
        <v>37</v>
      </c>
      <c r="CS76" s="44">
        <v>11732</v>
      </c>
      <c r="CT76" s="44" t="s">
        <v>37</v>
      </c>
      <c r="CV76" s="44" t="s">
        <v>37</v>
      </c>
      <c r="CX76" s="44" t="s">
        <v>37</v>
      </c>
      <c r="CZ76" s="44" t="s">
        <v>37</v>
      </c>
      <c r="DB76" s="44" t="s">
        <v>37</v>
      </c>
      <c r="DD76" s="44" t="s">
        <v>37</v>
      </c>
      <c r="DF76" s="44" t="s">
        <v>37</v>
      </c>
      <c r="DG76" s="44">
        <v>10039</v>
      </c>
      <c r="DH76" s="44" t="s">
        <v>37</v>
      </c>
      <c r="DI76" s="44">
        <v>37832</v>
      </c>
      <c r="DJ76" s="44" t="s">
        <v>37</v>
      </c>
      <c r="DL76" s="44" t="s">
        <v>37</v>
      </c>
      <c r="DN76" s="44" t="s">
        <v>37</v>
      </c>
      <c r="DO76" s="44">
        <v>12085</v>
      </c>
      <c r="DP76" s="44" t="s">
        <v>37</v>
      </c>
      <c r="DR76" s="44" t="s">
        <v>37</v>
      </c>
      <c r="DT76" s="44" t="s">
        <v>37</v>
      </c>
      <c r="DV76" s="44" t="s">
        <v>37</v>
      </c>
      <c r="DX76" s="44" t="s">
        <v>37</v>
      </c>
      <c r="DZ76" s="44" t="s">
        <v>37</v>
      </c>
      <c r="EB76" s="44" t="s">
        <v>37</v>
      </c>
      <c r="ED76" s="44" t="s">
        <v>37</v>
      </c>
      <c r="EF76" s="44" t="s">
        <v>37</v>
      </c>
      <c r="EH76" s="44" t="s">
        <v>37</v>
      </c>
      <c r="EJ76" s="44" t="s">
        <v>37</v>
      </c>
      <c r="EL76" s="44" t="s">
        <v>37</v>
      </c>
      <c r="EN76" s="44" t="s">
        <v>37</v>
      </c>
      <c r="EP76" s="44" t="s">
        <v>37</v>
      </c>
      <c r="EQ76" s="44">
        <v>11837</v>
      </c>
      <c r="ER76" s="44" t="s">
        <v>37</v>
      </c>
      <c r="ES76" s="44">
        <v>12447</v>
      </c>
      <c r="ET76" s="44" t="s">
        <v>37</v>
      </c>
      <c r="EV76" s="44" t="s">
        <v>37</v>
      </c>
      <c r="EW76" s="44">
        <v>12355</v>
      </c>
      <c r="EX76" s="44" t="s">
        <v>37</v>
      </c>
      <c r="EZ76" s="44" t="s">
        <v>37</v>
      </c>
      <c r="FA76" s="44">
        <v>9755</v>
      </c>
      <c r="FB76" s="44" t="s">
        <v>37</v>
      </c>
      <c r="FD76" s="44" t="s">
        <v>37</v>
      </c>
      <c r="FF76" s="44" t="s">
        <v>37</v>
      </c>
      <c r="FH76" s="44" t="s">
        <v>37</v>
      </c>
      <c r="FJ76" s="44" t="s">
        <v>37</v>
      </c>
      <c r="FL76" s="44" t="s">
        <v>37</v>
      </c>
      <c r="FN76" s="44" t="s">
        <v>37</v>
      </c>
      <c r="FP76" s="44" t="s">
        <v>37</v>
      </c>
      <c r="FR76" s="44" t="s">
        <v>37</v>
      </c>
      <c r="FT76" s="44" t="s">
        <v>37</v>
      </c>
      <c r="FV76" s="44" t="s">
        <v>37</v>
      </c>
      <c r="FX76" s="44" t="s">
        <v>37</v>
      </c>
      <c r="FZ76" s="44" t="s">
        <v>37</v>
      </c>
      <c r="GB76" s="44" t="s">
        <v>37</v>
      </c>
      <c r="GD76" s="44" t="s">
        <v>37</v>
      </c>
      <c r="GF76" s="44" t="s">
        <v>37</v>
      </c>
      <c r="GH76" s="44" t="s">
        <v>37</v>
      </c>
      <c r="GJ76" s="44" t="s">
        <v>37</v>
      </c>
      <c r="GK76" s="44">
        <v>21552</v>
      </c>
      <c r="GL76" s="44" t="s">
        <v>37</v>
      </c>
      <c r="GN76" s="44" t="s">
        <v>37</v>
      </c>
      <c r="GP76" s="44" t="s">
        <v>37</v>
      </c>
      <c r="GQ76" s="44">
        <v>12099</v>
      </c>
      <c r="GR76" s="44" t="s">
        <v>37</v>
      </c>
      <c r="GT76" s="44" t="s">
        <v>37</v>
      </c>
      <c r="GU76" s="44">
        <v>10125</v>
      </c>
      <c r="GV76" s="44" t="s">
        <v>37</v>
      </c>
      <c r="GX76" s="44" t="s">
        <v>37</v>
      </c>
      <c r="GZ76" s="44" t="s">
        <v>37</v>
      </c>
      <c r="HA76" s="44">
        <v>11116</v>
      </c>
      <c r="HB76" s="44" t="s">
        <v>37</v>
      </c>
      <c r="HD76" s="44" t="s">
        <v>37</v>
      </c>
      <c r="HF76" s="44" t="s">
        <v>37</v>
      </c>
      <c r="HG76" s="44">
        <v>439194</v>
      </c>
      <c r="HH76" s="44" t="s">
        <v>37</v>
      </c>
      <c r="HJ76" s="44" t="s">
        <v>37</v>
      </c>
      <c r="HK76" s="44">
        <v>439194</v>
      </c>
      <c r="HL76" s="44" t="s">
        <v>37</v>
      </c>
    </row>
    <row r="77" spans="1:220">
      <c r="A77" s="150" t="s">
        <v>411</v>
      </c>
      <c r="B77" s="44">
        <v>3117</v>
      </c>
      <c r="C77" s="44" t="s">
        <v>103</v>
      </c>
      <c r="D77" s="44" t="s">
        <v>37</v>
      </c>
      <c r="F77" s="44" t="s">
        <v>37</v>
      </c>
      <c r="G77" s="44">
        <v>14229</v>
      </c>
      <c r="H77" s="44" t="s">
        <v>37</v>
      </c>
      <c r="I77" s="44">
        <v>921</v>
      </c>
      <c r="J77" s="44" t="s">
        <v>37</v>
      </c>
      <c r="L77" s="48" t="s">
        <v>37</v>
      </c>
      <c r="M77" s="50"/>
      <c r="N77" s="48" t="s">
        <v>37</v>
      </c>
      <c r="O77" s="50"/>
      <c r="P77" s="48" t="s">
        <v>37</v>
      </c>
      <c r="Q77" s="50"/>
      <c r="R77" s="48" t="s">
        <v>37</v>
      </c>
      <c r="S77" s="51">
        <v>1107</v>
      </c>
      <c r="T77" s="48" t="s">
        <v>37</v>
      </c>
      <c r="V77" s="44" t="s">
        <v>37</v>
      </c>
      <c r="X77" s="44" t="s">
        <v>37</v>
      </c>
      <c r="Z77" s="44" t="s">
        <v>37</v>
      </c>
      <c r="AA77" s="44">
        <v>982</v>
      </c>
      <c r="AB77" s="44" t="s">
        <v>37</v>
      </c>
      <c r="AC77" s="44">
        <v>533</v>
      </c>
      <c r="AD77" s="44" t="s">
        <v>37</v>
      </c>
      <c r="AE77" s="44">
        <v>516</v>
      </c>
      <c r="AF77" s="44" t="s">
        <v>37</v>
      </c>
      <c r="AG77" s="44">
        <v>593</v>
      </c>
      <c r="AH77" s="44" t="s">
        <v>37</v>
      </c>
      <c r="AJ77" s="44" t="s">
        <v>37</v>
      </c>
      <c r="AL77" s="44" t="s">
        <v>37</v>
      </c>
      <c r="AN77" s="44" t="s">
        <v>37</v>
      </c>
      <c r="AP77" s="44" t="s">
        <v>37</v>
      </c>
      <c r="AQ77" s="44">
        <v>15061</v>
      </c>
      <c r="AR77" s="44" t="s">
        <v>37</v>
      </c>
      <c r="AS77" s="44">
        <v>815</v>
      </c>
      <c r="AT77" s="44" t="s">
        <v>37</v>
      </c>
      <c r="AV77" s="44" t="s">
        <v>37</v>
      </c>
      <c r="AW77" s="44">
        <v>5192</v>
      </c>
      <c r="AX77" s="44" t="s">
        <v>37</v>
      </c>
      <c r="AY77" s="44">
        <v>3415</v>
      </c>
      <c r="AZ77" s="44" t="s">
        <v>37</v>
      </c>
      <c r="BA77" s="44">
        <v>1498</v>
      </c>
      <c r="BB77" s="44" t="s">
        <v>37</v>
      </c>
      <c r="BD77" s="44" t="s">
        <v>37</v>
      </c>
      <c r="BF77" s="44" t="s">
        <v>37</v>
      </c>
      <c r="BG77" s="44">
        <v>843</v>
      </c>
      <c r="BH77" s="44" t="s">
        <v>37</v>
      </c>
      <c r="BJ77" s="44" t="s">
        <v>37</v>
      </c>
      <c r="BL77" s="44" t="s">
        <v>37</v>
      </c>
      <c r="BN77" s="44" t="s">
        <v>37</v>
      </c>
      <c r="BP77" s="44" t="s">
        <v>37</v>
      </c>
      <c r="BR77" s="44" t="s">
        <v>37</v>
      </c>
      <c r="BT77" s="44" t="s">
        <v>37</v>
      </c>
      <c r="BU77" s="44">
        <v>1011</v>
      </c>
      <c r="BV77" s="44" t="s">
        <v>37</v>
      </c>
      <c r="BX77" s="44" t="s">
        <v>37</v>
      </c>
      <c r="BY77" s="44">
        <v>11316</v>
      </c>
      <c r="BZ77" s="44" t="s">
        <v>37</v>
      </c>
      <c r="CA77" s="44">
        <v>302</v>
      </c>
      <c r="CB77" s="44" t="s">
        <v>37</v>
      </c>
      <c r="CD77" s="44" t="s">
        <v>37</v>
      </c>
      <c r="CF77" s="44" t="s">
        <v>37</v>
      </c>
      <c r="CH77" s="44" t="s">
        <v>37</v>
      </c>
      <c r="CI77" s="44">
        <v>9240</v>
      </c>
      <c r="CJ77" s="44" t="s">
        <v>37</v>
      </c>
      <c r="CK77" s="44">
        <v>719</v>
      </c>
      <c r="CL77" s="44" t="s">
        <v>37</v>
      </c>
      <c r="CN77" s="44" t="s">
        <v>37</v>
      </c>
      <c r="CP77" s="44" t="s">
        <v>37</v>
      </c>
      <c r="CQ77" s="44">
        <v>963</v>
      </c>
      <c r="CR77" s="44" t="s">
        <v>37</v>
      </c>
      <c r="CT77" s="44" t="s">
        <v>37</v>
      </c>
      <c r="CU77" s="44">
        <v>34171</v>
      </c>
      <c r="CV77" s="44" t="s">
        <v>37</v>
      </c>
      <c r="CW77" s="44">
        <v>4936</v>
      </c>
      <c r="CX77" s="44" t="s">
        <v>37</v>
      </c>
      <c r="CY77" s="44">
        <v>832</v>
      </c>
      <c r="CZ77" s="44" t="s">
        <v>37</v>
      </c>
      <c r="DB77" s="44" t="s">
        <v>37</v>
      </c>
      <c r="DD77" s="44" t="s">
        <v>37</v>
      </c>
      <c r="DE77" s="44">
        <v>1538</v>
      </c>
      <c r="DF77" s="44" t="s">
        <v>37</v>
      </c>
      <c r="DG77" s="44">
        <v>840</v>
      </c>
      <c r="DH77" s="44" t="s">
        <v>37</v>
      </c>
      <c r="DI77" s="44">
        <v>16440</v>
      </c>
      <c r="DJ77" s="44" t="s">
        <v>37</v>
      </c>
      <c r="DK77" s="44">
        <v>1776</v>
      </c>
      <c r="DL77" s="44" t="s">
        <v>37</v>
      </c>
      <c r="DM77" s="44">
        <v>5955</v>
      </c>
      <c r="DN77" s="44" t="s">
        <v>37</v>
      </c>
      <c r="DO77" s="44">
        <v>1298</v>
      </c>
      <c r="DP77" s="44" t="s">
        <v>37</v>
      </c>
      <c r="DR77" s="44" t="s">
        <v>37</v>
      </c>
      <c r="DS77" s="44">
        <v>2024</v>
      </c>
      <c r="DT77" s="44" t="s">
        <v>37</v>
      </c>
      <c r="DU77" s="44">
        <v>39815</v>
      </c>
      <c r="DV77" s="44" t="s">
        <v>37</v>
      </c>
      <c r="DW77" s="44">
        <v>11654</v>
      </c>
      <c r="DX77" s="44" t="s">
        <v>37</v>
      </c>
      <c r="DZ77" s="44" t="s">
        <v>37</v>
      </c>
      <c r="EB77" s="44" t="s">
        <v>37</v>
      </c>
      <c r="EC77" s="44">
        <v>2053</v>
      </c>
      <c r="ED77" s="44" t="s">
        <v>37</v>
      </c>
      <c r="EF77" s="44" t="s">
        <v>37</v>
      </c>
      <c r="EG77" s="44">
        <v>383</v>
      </c>
      <c r="EH77" s="44" t="s">
        <v>37</v>
      </c>
      <c r="EJ77" s="44" t="s">
        <v>37</v>
      </c>
      <c r="EK77" s="44">
        <v>1825</v>
      </c>
      <c r="EL77" s="44" t="s">
        <v>37</v>
      </c>
      <c r="EM77" s="44">
        <v>1044</v>
      </c>
      <c r="EN77" s="44" t="s">
        <v>37</v>
      </c>
      <c r="EO77" s="44">
        <v>528</v>
      </c>
      <c r="EP77" s="44" t="s">
        <v>37</v>
      </c>
      <c r="ER77" s="44" t="s">
        <v>37</v>
      </c>
      <c r="ET77" s="44" t="s">
        <v>37</v>
      </c>
      <c r="EV77" s="44" t="s">
        <v>37</v>
      </c>
      <c r="EX77" s="44" t="s">
        <v>37</v>
      </c>
      <c r="EZ77" s="44" t="s">
        <v>37</v>
      </c>
      <c r="FA77" s="44">
        <v>2046</v>
      </c>
      <c r="FB77" s="44" t="s">
        <v>37</v>
      </c>
      <c r="FC77" s="44">
        <v>1575</v>
      </c>
      <c r="FD77" s="44" t="s">
        <v>37</v>
      </c>
      <c r="FF77" s="44" t="s">
        <v>37</v>
      </c>
      <c r="FH77" s="44" t="s">
        <v>37</v>
      </c>
      <c r="FJ77" s="44" t="s">
        <v>37</v>
      </c>
      <c r="FL77" s="44" t="s">
        <v>37</v>
      </c>
      <c r="FM77" s="44">
        <v>9288</v>
      </c>
      <c r="FN77" s="44" t="s">
        <v>37</v>
      </c>
      <c r="FO77" s="44">
        <v>1381</v>
      </c>
      <c r="FP77" s="44" t="s">
        <v>37</v>
      </c>
      <c r="FQ77" s="44">
        <v>1183</v>
      </c>
      <c r="FR77" s="44" t="s">
        <v>37</v>
      </c>
      <c r="FS77" s="44">
        <v>4889</v>
      </c>
      <c r="FT77" s="44" t="s">
        <v>37</v>
      </c>
      <c r="FU77" s="44">
        <v>1778</v>
      </c>
      <c r="FV77" s="44" t="s">
        <v>37</v>
      </c>
      <c r="FX77" s="44" t="s">
        <v>37</v>
      </c>
      <c r="FZ77" s="44" t="s">
        <v>37</v>
      </c>
      <c r="GA77" s="44">
        <v>2588</v>
      </c>
      <c r="GB77" s="44" t="s">
        <v>37</v>
      </c>
      <c r="GD77" s="44" t="s">
        <v>37</v>
      </c>
      <c r="GF77" s="44" t="s">
        <v>37</v>
      </c>
      <c r="GH77" s="44" t="s">
        <v>37</v>
      </c>
      <c r="GJ77" s="44" t="s">
        <v>37</v>
      </c>
      <c r="GL77" s="44" t="s">
        <v>37</v>
      </c>
      <c r="GN77" s="44" t="s">
        <v>37</v>
      </c>
      <c r="GP77" s="44" t="s">
        <v>37</v>
      </c>
      <c r="GQ77" s="44">
        <v>1550</v>
      </c>
      <c r="GR77" s="44" t="s">
        <v>37</v>
      </c>
      <c r="GS77" s="44">
        <v>1067</v>
      </c>
      <c r="GT77" s="44" t="s">
        <v>37</v>
      </c>
      <c r="GU77" s="44">
        <v>2869</v>
      </c>
      <c r="GV77" s="44" t="s">
        <v>37</v>
      </c>
      <c r="GW77" s="44">
        <v>3503</v>
      </c>
      <c r="GX77" s="44" t="s">
        <v>37</v>
      </c>
      <c r="GZ77" s="44" t="s">
        <v>37</v>
      </c>
      <c r="HA77" s="44">
        <v>4137</v>
      </c>
      <c r="HB77" s="44" t="s">
        <v>37</v>
      </c>
      <c r="HC77" s="44">
        <v>1176</v>
      </c>
      <c r="HD77" s="44" t="s">
        <v>37</v>
      </c>
      <c r="HF77" s="44" t="s">
        <v>37</v>
      </c>
      <c r="HG77" s="44">
        <v>234222</v>
      </c>
      <c r="HH77" s="44" t="s">
        <v>37</v>
      </c>
      <c r="HI77" s="44">
        <v>1176</v>
      </c>
      <c r="HJ77" s="44" t="s">
        <v>37</v>
      </c>
      <c r="HK77" s="44">
        <v>235398</v>
      </c>
      <c r="HL77" s="44" t="s">
        <v>37</v>
      </c>
    </row>
    <row r="78" spans="1:220">
      <c r="A78" s="150" t="s">
        <v>411</v>
      </c>
      <c r="B78" s="44">
        <v>3118</v>
      </c>
      <c r="C78" s="44" t="s">
        <v>104</v>
      </c>
      <c r="D78" s="44" t="s">
        <v>37</v>
      </c>
      <c r="E78" s="44">
        <v>39117</v>
      </c>
      <c r="F78" s="44" t="s">
        <v>37</v>
      </c>
      <c r="G78" s="44">
        <v>295744</v>
      </c>
      <c r="H78" s="44" t="s">
        <v>37</v>
      </c>
      <c r="I78" s="44">
        <v>35842</v>
      </c>
      <c r="J78" s="44" t="s">
        <v>37</v>
      </c>
      <c r="L78" s="48" t="s">
        <v>37</v>
      </c>
      <c r="M78" s="51">
        <v>79630</v>
      </c>
      <c r="N78" s="48" t="s">
        <v>37</v>
      </c>
      <c r="O78" s="51">
        <v>79630</v>
      </c>
      <c r="P78" s="48" t="s">
        <v>37</v>
      </c>
      <c r="Q78" s="51">
        <v>39597</v>
      </c>
      <c r="R78" s="48" t="s">
        <v>37</v>
      </c>
      <c r="S78" s="51">
        <v>39815</v>
      </c>
      <c r="T78" s="48" t="s">
        <v>37</v>
      </c>
      <c r="U78" s="44">
        <v>159259</v>
      </c>
      <c r="V78" s="44" t="s">
        <v>37</v>
      </c>
      <c r="X78" s="44" t="s">
        <v>37</v>
      </c>
      <c r="Z78" s="44" t="s">
        <v>37</v>
      </c>
      <c r="AA78" s="44">
        <v>39815</v>
      </c>
      <c r="AB78" s="44" t="s">
        <v>37</v>
      </c>
      <c r="AD78" s="44" t="s">
        <v>37</v>
      </c>
      <c r="AF78" s="44" t="s">
        <v>37</v>
      </c>
      <c r="AH78" s="44" t="s">
        <v>37</v>
      </c>
      <c r="AI78" s="44">
        <v>62622</v>
      </c>
      <c r="AJ78" s="44" t="s">
        <v>37</v>
      </c>
      <c r="AL78" s="44" t="s">
        <v>37</v>
      </c>
      <c r="AM78" s="44">
        <v>287280</v>
      </c>
      <c r="AN78" s="44" t="s">
        <v>37</v>
      </c>
      <c r="AP78" s="44" t="s">
        <v>37</v>
      </c>
      <c r="AQ78" s="44">
        <v>398148</v>
      </c>
      <c r="AR78" s="44" t="s">
        <v>37</v>
      </c>
      <c r="AS78" s="44">
        <v>32557</v>
      </c>
      <c r="AT78" s="44" t="s">
        <v>37</v>
      </c>
      <c r="AU78" s="44">
        <v>361807</v>
      </c>
      <c r="AV78" s="44" t="s">
        <v>37</v>
      </c>
      <c r="AW78" s="44">
        <v>79630</v>
      </c>
      <c r="AX78" s="44" t="s">
        <v>37</v>
      </c>
      <c r="AY78" s="44">
        <v>79630</v>
      </c>
      <c r="AZ78" s="44" t="s">
        <v>37</v>
      </c>
      <c r="BA78" s="44">
        <v>153694</v>
      </c>
      <c r="BB78" s="44" t="s">
        <v>37</v>
      </c>
      <c r="BD78" s="44" t="s">
        <v>37</v>
      </c>
      <c r="BE78" s="44">
        <v>25751</v>
      </c>
      <c r="BF78" s="44" t="s">
        <v>37</v>
      </c>
      <c r="BG78" s="44">
        <v>39535</v>
      </c>
      <c r="BH78" s="44" t="s">
        <v>37</v>
      </c>
      <c r="BJ78" s="44" t="s">
        <v>37</v>
      </c>
      <c r="BK78" s="44">
        <v>111013</v>
      </c>
      <c r="BL78" s="44" t="s">
        <v>37</v>
      </c>
      <c r="BM78" s="44">
        <v>77231</v>
      </c>
      <c r="BN78" s="44" t="s">
        <v>37</v>
      </c>
      <c r="BP78" s="44" t="s">
        <v>37</v>
      </c>
      <c r="BQ78" s="44">
        <v>33996</v>
      </c>
      <c r="BR78" s="44" t="s">
        <v>37</v>
      </c>
      <c r="BS78" s="44">
        <v>39815</v>
      </c>
      <c r="BT78" s="44" t="s">
        <v>37</v>
      </c>
      <c r="BU78" s="44">
        <v>39815</v>
      </c>
      <c r="BV78" s="44" t="s">
        <v>37</v>
      </c>
      <c r="BX78" s="44" t="s">
        <v>37</v>
      </c>
      <c r="BY78" s="44">
        <v>238889</v>
      </c>
      <c r="BZ78" s="44" t="s">
        <v>37</v>
      </c>
      <c r="CA78" s="44">
        <v>39815</v>
      </c>
      <c r="CB78" s="44" t="s">
        <v>37</v>
      </c>
      <c r="CD78" s="44" t="s">
        <v>37</v>
      </c>
      <c r="CE78" s="44">
        <v>39815</v>
      </c>
      <c r="CF78" s="44" t="s">
        <v>37</v>
      </c>
      <c r="CH78" s="44" t="s">
        <v>37</v>
      </c>
      <c r="CI78" s="44">
        <v>259562</v>
      </c>
      <c r="CJ78" s="44" t="s">
        <v>37</v>
      </c>
      <c r="CL78" s="44" t="s">
        <v>37</v>
      </c>
      <c r="CM78" s="44">
        <v>78169</v>
      </c>
      <c r="CN78" s="44" t="s">
        <v>37</v>
      </c>
      <c r="CP78" s="44" t="s">
        <v>37</v>
      </c>
      <c r="CQ78" s="44">
        <v>39815</v>
      </c>
      <c r="CR78" s="44" t="s">
        <v>37</v>
      </c>
      <c r="CS78" s="44">
        <v>67701</v>
      </c>
      <c r="CT78" s="44" t="s">
        <v>37</v>
      </c>
      <c r="CU78" s="44">
        <v>796296</v>
      </c>
      <c r="CV78" s="44" t="s">
        <v>37</v>
      </c>
      <c r="CW78" s="44">
        <v>119444</v>
      </c>
      <c r="CX78" s="44" t="s">
        <v>37</v>
      </c>
      <c r="CY78" s="44">
        <v>39815</v>
      </c>
      <c r="CZ78" s="44" t="s">
        <v>37</v>
      </c>
      <c r="DA78" s="44">
        <v>39815</v>
      </c>
      <c r="DB78" s="44" t="s">
        <v>37</v>
      </c>
      <c r="DD78" s="44" t="s">
        <v>37</v>
      </c>
      <c r="DE78" s="44">
        <v>79630</v>
      </c>
      <c r="DF78" s="44" t="s">
        <v>37</v>
      </c>
      <c r="DG78" s="44">
        <v>27194</v>
      </c>
      <c r="DH78" s="44" t="s">
        <v>37</v>
      </c>
      <c r="DI78" s="44">
        <v>398148</v>
      </c>
      <c r="DJ78" s="44" t="s">
        <v>37</v>
      </c>
      <c r="DK78" s="44">
        <v>39815</v>
      </c>
      <c r="DL78" s="44" t="s">
        <v>37</v>
      </c>
      <c r="DM78" s="44">
        <v>79630</v>
      </c>
      <c r="DN78" s="44" t="s">
        <v>37</v>
      </c>
      <c r="DO78" s="44">
        <v>159259</v>
      </c>
      <c r="DP78" s="44" t="s">
        <v>37</v>
      </c>
      <c r="DQ78" s="44">
        <v>119444</v>
      </c>
      <c r="DR78" s="44" t="s">
        <v>37</v>
      </c>
      <c r="DS78" s="44">
        <v>39815</v>
      </c>
      <c r="DT78" s="44" t="s">
        <v>37</v>
      </c>
      <c r="DV78" s="44" t="s">
        <v>37</v>
      </c>
      <c r="DW78" s="44">
        <v>278704</v>
      </c>
      <c r="DX78" s="44" t="s">
        <v>37</v>
      </c>
      <c r="DY78" s="44">
        <v>159259</v>
      </c>
      <c r="DZ78" s="44" t="s">
        <v>37</v>
      </c>
      <c r="EB78" s="44" t="s">
        <v>37</v>
      </c>
      <c r="EC78" s="44">
        <v>33576</v>
      </c>
      <c r="ED78" s="44" t="s">
        <v>37</v>
      </c>
      <c r="EE78" s="44">
        <v>154767</v>
      </c>
      <c r="EF78" s="44" t="s">
        <v>37</v>
      </c>
      <c r="EH78" s="44" t="s">
        <v>37</v>
      </c>
      <c r="EJ78" s="44" t="s">
        <v>37</v>
      </c>
      <c r="EK78" s="44">
        <v>37113</v>
      </c>
      <c r="EL78" s="44" t="s">
        <v>37</v>
      </c>
      <c r="EM78" s="44">
        <v>39815</v>
      </c>
      <c r="EN78" s="44" t="s">
        <v>37</v>
      </c>
      <c r="EP78" s="44" t="s">
        <v>37</v>
      </c>
      <c r="ER78" s="44" t="s">
        <v>37</v>
      </c>
      <c r="ES78" s="44">
        <v>39815</v>
      </c>
      <c r="ET78" s="44" t="s">
        <v>37</v>
      </c>
      <c r="EU78" s="44">
        <v>39815</v>
      </c>
      <c r="EV78" s="44" t="s">
        <v>37</v>
      </c>
      <c r="EW78" s="44">
        <v>159259</v>
      </c>
      <c r="EX78" s="44" t="s">
        <v>37</v>
      </c>
      <c r="EZ78" s="44" t="s">
        <v>37</v>
      </c>
      <c r="FA78" s="44">
        <v>39101</v>
      </c>
      <c r="FB78" s="44" t="s">
        <v>37</v>
      </c>
      <c r="FC78" s="44">
        <v>104011</v>
      </c>
      <c r="FD78" s="44" t="s">
        <v>37</v>
      </c>
      <c r="FE78" s="44">
        <v>110744</v>
      </c>
      <c r="FF78" s="44" t="s">
        <v>37</v>
      </c>
      <c r="FH78" s="44" t="s">
        <v>37</v>
      </c>
      <c r="FI78" s="44">
        <v>199486</v>
      </c>
      <c r="FJ78" s="44" t="s">
        <v>37</v>
      </c>
      <c r="FK78" s="44">
        <v>318518</v>
      </c>
      <c r="FL78" s="44" t="s">
        <v>37</v>
      </c>
      <c r="FM78" s="44">
        <v>207312</v>
      </c>
      <c r="FN78" s="44" t="s">
        <v>37</v>
      </c>
      <c r="FO78" s="44">
        <v>39815</v>
      </c>
      <c r="FP78" s="44" t="s">
        <v>37</v>
      </c>
      <c r="FQ78" s="44">
        <v>79630</v>
      </c>
      <c r="FR78" s="44" t="s">
        <v>37</v>
      </c>
      <c r="FS78" s="44">
        <v>34391</v>
      </c>
      <c r="FT78" s="44" t="s">
        <v>37</v>
      </c>
      <c r="FU78" s="44">
        <v>39815</v>
      </c>
      <c r="FV78" s="44" t="s">
        <v>37</v>
      </c>
      <c r="FW78" s="44">
        <v>39815</v>
      </c>
      <c r="FX78" s="44" t="s">
        <v>37</v>
      </c>
      <c r="FY78" s="44">
        <v>79630</v>
      </c>
      <c r="FZ78" s="44" t="s">
        <v>37</v>
      </c>
      <c r="GA78" s="44">
        <v>119444</v>
      </c>
      <c r="GB78" s="44" t="s">
        <v>37</v>
      </c>
      <c r="GC78" s="44">
        <v>139883</v>
      </c>
      <c r="GD78" s="44" t="s">
        <v>37</v>
      </c>
      <c r="GF78" s="44" t="s">
        <v>37</v>
      </c>
      <c r="GH78" s="44" t="s">
        <v>37</v>
      </c>
      <c r="GJ78" s="44" t="s">
        <v>37</v>
      </c>
      <c r="GK78" s="44">
        <v>77387</v>
      </c>
      <c r="GL78" s="44" t="s">
        <v>37</v>
      </c>
      <c r="GM78" s="44">
        <v>119444</v>
      </c>
      <c r="GN78" s="44" t="s">
        <v>37</v>
      </c>
      <c r="GP78" s="44" t="s">
        <v>37</v>
      </c>
      <c r="GQ78" s="44">
        <v>79630</v>
      </c>
      <c r="GR78" s="44" t="s">
        <v>37</v>
      </c>
      <c r="GS78" s="44">
        <v>159259</v>
      </c>
      <c r="GT78" s="44" t="s">
        <v>37</v>
      </c>
      <c r="GU78" s="44">
        <v>39815</v>
      </c>
      <c r="GV78" s="44" t="s">
        <v>37</v>
      </c>
      <c r="GW78" s="44">
        <v>119444</v>
      </c>
      <c r="GX78" s="44" t="s">
        <v>37</v>
      </c>
      <c r="GY78" s="44">
        <v>159861</v>
      </c>
      <c r="GZ78" s="44" t="s">
        <v>37</v>
      </c>
      <c r="HA78" s="44">
        <v>119444</v>
      </c>
      <c r="HB78" s="44" t="s">
        <v>37</v>
      </c>
      <c r="HC78" s="44">
        <v>119444</v>
      </c>
      <c r="HD78" s="44" t="s">
        <v>37</v>
      </c>
      <c r="HF78" s="44" t="s">
        <v>37</v>
      </c>
      <c r="HG78" s="44">
        <v>8701046</v>
      </c>
      <c r="HH78" s="44" t="s">
        <v>37</v>
      </c>
      <c r="HI78" s="44">
        <v>119444</v>
      </c>
      <c r="HJ78" s="44" t="s">
        <v>37</v>
      </c>
      <c r="HK78" s="44">
        <v>8820490</v>
      </c>
      <c r="HL78" s="44" t="s">
        <v>37</v>
      </c>
    </row>
    <row r="79" spans="1:220">
      <c r="A79" s="150" t="s">
        <v>408</v>
      </c>
      <c r="B79" s="54">
        <v>3120</v>
      </c>
      <c r="C79" s="44" t="s">
        <v>105</v>
      </c>
      <c r="D79" s="44" t="s">
        <v>37</v>
      </c>
      <c r="F79" s="44" t="s">
        <v>37</v>
      </c>
      <c r="H79" s="44" t="s">
        <v>37</v>
      </c>
      <c r="J79" s="44" t="s">
        <v>37</v>
      </c>
      <c r="L79" s="48" t="s">
        <v>37</v>
      </c>
      <c r="M79" s="50"/>
      <c r="N79" s="48" t="s">
        <v>37</v>
      </c>
      <c r="O79" s="50"/>
      <c r="P79" s="48" t="s">
        <v>37</v>
      </c>
      <c r="Q79" s="50"/>
      <c r="R79" s="48" t="s">
        <v>37</v>
      </c>
      <c r="S79" s="50"/>
      <c r="T79" s="48" t="s">
        <v>37</v>
      </c>
      <c r="V79" s="44" t="s">
        <v>37</v>
      </c>
      <c r="X79" s="44" t="s">
        <v>37</v>
      </c>
      <c r="Z79" s="44" t="s">
        <v>37</v>
      </c>
      <c r="AB79" s="44" t="s">
        <v>37</v>
      </c>
      <c r="AD79" s="44" t="s">
        <v>37</v>
      </c>
      <c r="AF79" s="44" t="s">
        <v>37</v>
      </c>
      <c r="AH79" s="44" t="s">
        <v>37</v>
      </c>
      <c r="AJ79" s="44" t="s">
        <v>37</v>
      </c>
      <c r="AL79" s="44" t="s">
        <v>37</v>
      </c>
      <c r="AN79" s="44" t="s">
        <v>37</v>
      </c>
      <c r="AP79" s="44" t="s">
        <v>37</v>
      </c>
      <c r="AR79" s="44" t="s">
        <v>37</v>
      </c>
      <c r="AT79" s="44" t="s">
        <v>37</v>
      </c>
      <c r="AV79" s="44" t="s">
        <v>37</v>
      </c>
      <c r="AX79" s="44" t="s">
        <v>37</v>
      </c>
      <c r="AZ79" s="44" t="s">
        <v>37</v>
      </c>
      <c r="BB79" s="44" t="s">
        <v>37</v>
      </c>
      <c r="BD79" s="44" t="s">
        <v>37</v>
      </c>
      <c r="BF79" s="44" t="s">
        <v>37</v>
      </c>
      <c r="BH79" s="44" t="s">
        <v>37</v>
      </c>
      <c r="BJ79" s="44" t="s">
        <v>37</v>
      </c>
      <c r="BL79" s="44" t="s">
        <v>37</v>
      </c>
      <c r="BN79" s="44" t="s">
        <v>37</v>
      </c>
      <c r="BP79" s="44" t="s">
        <v>37</v>
      </c>
      <c r="BR79" s="44" t="s">
        <v>37</v>
      </c>
      <c r="BT79" s="44" t="s">
        <v>37</v>
      </c>
      <c r="BV79" s="44" t="s">
        <v>37</v>
      </c>
      <c r="BX79" s="44" t="s">
        <v>37</v>
      </c>
      <c r="BZ79" s="44" t="s">
        <v>37</v>
      </c>
      <c r="CB79" s="44" t="s">
        <v>37</v>
      </c>
      <c r="CD79" s="44" t="s">
        <v>37</v>
      </c>
      <c r="CF79" s="44" t="s">
        <v>37</v>
      </c>
      <c r="CH79" s="44" t="s">
        <v>37</v>
      </c>
      <c r="CJ79" s="44" t="s">
        <v>37</v>
      </c>
      <c r="CL79" s="44" t="s">
        <v>37</v>
      </c>
      <c r="CN79" s="44" t="s">
        <v>37</v>
      </c>
      <c r="CP79" s="44" t="s">
        <v>37</v>
      </c>
      <c r="CR79" s="44" t="s">
        <v>37</v>
      </c>
      <c r="CT79" s="44" t="s">
        <v>37</v>
      </c>
      <c r="CV79" s="44" t="s">
        <v>37</v>
      </c>
      <c r="CX79" s="44" t="s">
        <v>37</v>
      </c>
      <c r="CZ79" s="44" t="s">
        <v>37</v>
      </c>
      <c r="DB79" s="44" t="s">
        <v>37</v>
      </c>
      <c r="DD79" s="44" t="s">
        <v>37</v>
      </c>
      <c r="DF79" s="44" t="s">
        <v>37</v>
      </c>
      <c r="DH79" s="44" t="s">
        <v>37</v>
      </c>
      <c r="DJ79" s="44" t="s">
        <v>37</v>
      </c>
      <c r="DL79" s="44" t="s">
        <v>37</v>
      </c>
      <c r="DN79" s="44" t="s">
        <v>37</v>
      </c>
      <c r="DP79" s="44" t="s">
        <v>37</v>
      </c>
      <c r="DR79" s="44" t="s">
        <v>37</v>
      </c>
      <c r="DT79" s="44" t="s">
        <v>37</v>
      </c>
      <c r="DV79" s="44" t="s">
        <v>37</v>
      </c>
      <c r="DX79" s="44" t="s">
        <v>37</v>
      </c>
      <c r="DZ79" s="44" t="s">
        <v>37</v>
      </c>
      <c r="EB79" s="44" t="s">
        <v>37</v>
      </c>
      <c r="ED79" s="44" t="s">
        <v>37</v>
      </c>
      <c r="EF79" s="44" t="s">
        <v>37</v>
      </c>
      <c r="EH79" s="44" t="s">
        <v>37</v>
      </c>
      <c r="EJ79" s="44" t="s">
        <v>37</v>
      </c>
      <c r="EL79" s="44" t="s">
        <v>37</v>
      </c>
      <c r="EN79" s="44" t="s">
        <v>37</v>
      </c>
      <c r="EP79" s="44" t="s">
        <v>37</v>
      </c>
      <c r="ER79" s="44" t="s">
        <v>37</v>
      </c>
      <c r="ET79" s="44" t="s">
        <v>37</v>
      </c>
      <c r="EV79" s="44" t="s">
        <v>37</v>
      </c>
      <c r="EX79" s="44" t="s">
        <v>37</v>
      </c>
      <c r="EZ79" s="44" t="s">
        <v>37</v>
      </c>
      <c r="FB79" s="44" t="s">
        <v>37</v>
      </c>
      <c r="FD79" s="44" t="s">
        <v>37</v>
      </c>
      <c r="FF79" s="44" t="s">
        <v>37</v>
      </c>
      <c r="FH79" s="44" t="s">
        <v>37</v>
      </c>
      <c r="FJ79" s="44" t="s">
        <v>37</v>
      </c>
      <c r="FL79" s="44" t="s">
        <v>37</v>
      </c>
      <c r="FN79" s="44" t="s">
        <v>37</v>
      </c>
      <c r="FP79" s="44" t="s">
        <v>37</v>
      </c>
      <c r="FR79" s="44" t="s">
        <v>37</v>
      </c>
      <c r="FT79" s="44" t="s">
        <v>37</v>
      </c>
      <c r="FV79" s="44" t="s">
        <v>37</v>
      </c>
      <c r="FX79" s="44" t="s">
        <v>37</v>
      </c>
      <c r="FZ79" s="44" t="s">
        <v>37</v>
      </c>
      <c r="GB79" s="44" t="s">
        <v>37</v>
      </c>
      <c r="GD79" s="44" t="s">
        <v>37</v>
      </c>
      <c r="GF79" s="44" t="s">
        <v>37</v>
      </c>
      <c r="GH79" s="44" t="s">
        <v>37</v>
      </c>
      <c r="GJ79" s="44" t="s">
        <v>37</v>
      </c>
      <c r="GL79" s="44" t="s">
        <v>37</v>
      </c>
      <c r="GN79" s="44" t="s">
        <v>37</v>
      </c>
      <c r="GP79" s="44" t="s">
        <v>37</v>
      </c>
      <c r="GR79" s="44" t="s">
        <v>37</v>
      </c>
      <c r="GT79" s="44" t="s">
        <v>37</v>
      </c>
      <c r="GV79" s="44" t="s">
        <v>37</v>
      </c>
      <c r="GX79" s="44" t="s">
        <v>37</v>
      </c>
      <c r="GZ79" s="44" t="s">
        <v>37</v>
      </c>
      <c r="HB79" s="44" t="s">
        <v>37</v>
      </c>
      <c r="HD79" s="44" t="s">
        <v>37</v>
      </c>
      <c r="HF79" s="44" t="s">
        <v>37</v>
      </c>
      <c r="HH79" s="44" t="s">
        <v>37</v>
      </c>
      <c r="HJ79" s="44" t="s">
        <v>37</v>
      </c>
      <c r="HL79" s="44" t="s">
        <v>37</v>
      </c>
    </row>
    <row r="80" spans="1:220">
      <c r="A80" s="150" t="s">
        <v>411</v>
      </c>
      <c r="B80" s="44">
        <v>3121</v>
      </c>
      <c r="C80" s="44" t="s">
        <v>106</v>
      </c>
      <c r="D80" s="44" t="s">
        <v>37</v>
      </c>
      <c r="F80" s="44" t="s">
        <v>37</v>
      </c>
      <c r="H80" s="44" t="s">
        <v>37</v>
      </c>
      <c r="J80" s="44" t="s">
        <v>37</v>
      </c>
      <c r="L80" s="48" t="s">
        <v>37</v>
      </c>
      <c r="M80" s="50"/>
      <c r="N80" s="48" t="s">
        <v>37</v>
      </c>
      <c r="O80" s="50"/>
      <c r="P80" s="48" t="s">
        <v>37</v>
      </c>
      <c r="Q80" s="50"/>
      <c r="R80" s="48" t="s">
        <v>37</v>
      </c>
      <c r="S80" s="50"/>
      <c r="T80" s="48" t="s">
        <v>37</v>
      </c>
      <c r="V80" s="44" t="s">
        <v>37</v>
      </c>
      <c r="X80" s="44" t="s">
        <v>37</v>
      </c>
      <c r="Z80" s="44" t="s">
        <v>37</v>
      </c>
      <c r="AB80" s="44" t="s">
        <v>37</v>
      </c>
      <c r="AD80" s="44" t="s">
        <v>37</v>
      </c>
      <c r="AF80" s="44" t="s">
        <v>37</v>
      </c>
      <c r="AG80" s="44">
        <v>4457</v>
      </c>
      <c r="AH80" s="44" t="s">
        <v>37</v>
      </c>
      <c r="AJ80" s="44" t="s">
        <v>37</v>
      </c>
      <c r="AL80" s="44" t="s">
        <v>37</v>
      </c>
      <c r="AN80" s="44" t="s">
        <v>37</v>
      </c>
      <c r="AP80" s="44" t="s">
        <v>37</v>
      </c>
      <c r="AR80" s="44" t="s">
        <v>37</v>
      </c>
      <c r="AT80" s="44" t="s">
        <v>37</v>
      </c>
      <c r="AV80" s="44" t="s">
        <v>37</v>
      </c>
      <c r="AX80" s="44" t="s">
        <v>37</v>
      </c>
      <c r="AZ80" s="44" t="s">
        <v>37</v>
      </c>
      <c r="BB80" s="44" t="s">
        <v>37</v>
      </c>
      <c r="BD80" s="44" t="s">
        <v>37</v>
      </c>
      <c r="BF80" s="44" t="s">
        <v>37</v>
      </c>
      <c r="BH80" s="44" t="s">
        <v>37</v>
      </c>
      <c r="BJ80" s="44" t="s">
        <v>37</v>
      </c>
      <c r="BL80" s="44" t="s">
        <v>37</v>
      </c>
      <c r="BM80" s="44">
        <v>191095</v>
      </c>
      <c r="BN80" s="44" t="s">
        <v>37</v>
      </c>
      <c r="BP80" s="44" t="s">
        <v>37</v>
      </c>
      <c r="BR80" s="44" t="s">
        <v>37</v>
      </c>
      <c r="BS80" s="44">
        <v>9580</v>
      </c>
      <c r="BT80" s="44" t="s">
        <v>37</v>
      </c>
      <c r="BV80" s="44" t="s">
        <v>37</v>
      </c>
      <c r="BX80" s="44" t="s">
        <v>37</v>
      </c>
      <c r="BZ80" s="44" t="s">
        <v>37</v>
      </c>
      <c r="CB80" s="44" t="s">
        <v>37</v>
      </c>
      <c r="CD80" s="44" t="s">
        <v>37</v>
      </c>
      <c r="CF80" s="44" t="s">
        <v>37</v>
      </c>
      <c r="CH80" s="44" t="s">
        <v>37</v>
      </c>
      <c r="CJ80" s="44" t="s">
        <v>37</v>
      </c>
      <c r="CL80" s="44" t="s">
        <v>37</v>
      </c>
      <c r="CN80" s="44" t="s">
        <v>37</v>
      </c>
      <c r="CP80" s="44" t="s">
        <v>37</v>
      </c>
      <c r="CR80" s="44" t="s">
        <v>37</v>
      </c>
      <c r="CT80" s="44" t="s">
        <v>37</v>
      </c>
      <c r="CV80" s="44" t="s">
        <v>37</v>
      </c>
      <c r="CX80" s="44" t="s">
        <v>37</v>
      </c>
      <c r="CZ80" s="44" t="s">
        <v>37</v>
      </c>
      <c r="DB80" s="44" t="s">
        <v>37</v>
      </c>
      <c r="DD80" s="44" t="s">
        <v>37</v>
      </c>
      <c r="DF80" s="44" t="s">
        <v>37</v>
      </c>
      <c r="DH80" s="44" t="s">
        <v>37</v>
      </c>
      <c r="DJ80" s="44" t="s">
        <v>37</v>
      </c>
      <c r="DL80" s="44" t="s">
        <v>37</v>
      </c>
      <c r="DN80" s="44" t="s">
        <v>37</v>
      </c>
      <c r="DP80" s="44" t="s">
        <v>37</v>
      </c>
      <c r="DR80" s="44" t="s">
        <v>37</v>
      </c>
      <c r="DT80" s="44" t="s">
        <v>37</v>
      </c>
      <c r="DV80" s="44" t="s">
        <v>37</v>
      </c>
      <c r="DX80" s="44" t="s">
        <v>37</v>
      </c>
      <c r="DZ80" s="44" t="s">
        <v>37</v>
      </c>
      <c r="EB80" s="44" t="s">
        <v>37</v>
      </c>
      <c r="ED80" s="44" t="s">
        <v>37</v>
      </c>
      <c r="EF80" s="44" t="s">
        <v>37</v>
      </c>
      <c r="EH80" s="44" t="s">
        <v>37</v>
      </c>
      <c r="EJ80" s="44" t="s">
        <v>37</v>
      </c>
      <c r="EL80" s="44" t="s">
        <v>37</v>
      </c>
      <c r="EN80" s="44" t="s">
        <v>37</v>
      </c>
      <c r="EP80" s="44" t="s">
        <v>37</v>
      </c>
      <c r="ER80" s="44" t="s">
        <v>37</v>
      </c>
      <c r="ET80" s="44" t="s">
        <v>37</v>
      </c>
      <c r="EV80" s="44" t="s">
        <v>37</v>
      </c>
      <c r="EX80" s="44" t="s">
        <v>37</v>
      </c>
      <c r="EZ80" s="44" t="s">
        <v>37</v>
      </c>
      <c r="FB80" s="44" t="s">
        <v>37</v>
      </c>
      <c r="FD80" s="44" t="s">
        <v>37</v>
      </c>
      <c r="FF80" s="44" t="s">
        <v>37</v>
      </c>
      <c r="FH80" s="44" t="s">
        <v>37</v>
      </c>
      <c r="FJ80" s="44" t="s">
        <v>37</v>
      </c>
      <c r="FL80" s="44" t="s">
        <v>37</v>
      </c>
      <c r="FN80" s="44" t="s">
        <v>37</v>
      </c>
      <c r="FP80" s="44" t="s">
        <v>37</v>
      </c>
      <c r="FR80" s="44" t="s">
        <v>37</v>
      </c>
      <c r="FT80" s="44" t="s">
        <v>37</v>
      </c>
      <c r="FV80" s="44" t="s">
        <v>37</v>
      </c>
      <c r="FX80" s="44" t="s">
        <v>37</v>
      </c>
      <c r="FZ80" s="44" t="s">
        <v>37</v>
      </c>
      <c r="GA80" s="44">
        <v>22616</v>
      </c>
      <c r="GB80" s="44" t="s">
        <v>37</v>
      </c>
      <c r="GD80" s="44" t="s">
        <v>37</v>
      </c>
      <c r="GF80" s="44" t="s">
        <v>37</v>
      </c>
      <c r="GH80" s="44" t="s">
        <v>37</v>
      </c>
      <c r="GJ80" s="44" t="s">
        <v>37</v>
      </c>
      <c r="GL80" s="44" t="s">
        <v>37</v>
      </c>
      <c r="GN80" s="44" t="s">
        <v>37</v>
      </c>
      <c r="GP80" s="44" t="s">
        <v>37</v>
      </c>
      <c r="GR80" s="44" t="s">
        <v>37</v>
      </c>
      <c r="GT80" s="44" t="s">
        <v>37</v>
      </c>
      <c r="GV80" s="44" t="s">
        <v>37</v>
      </c>
      <c r="GX80" s="44" t="s">
        <v>37</v>
      </c>
      <c r="GZ80" s="44" t="s">
        <v>37</v>
      </c>
      <c r="HB80" s="44" t="s">
        <v>37</v>
      </c>
      <c r="HD80" s="44" t="s">
        <v>37</v>
      </c>
      <c r="HF80" s="44" t="s">
        <v>37</v>
      </c>
      <c r="HG80" s="44">
        <v>227748</v>
      </c>
      <c r="HH80" s="44" t="s">
        <v>37</v>
      </c>
      <c r="HJ80" s="44" t="s">
        <v>37</v>
      </c>
      <c r="HK80" s="44">
        <v>227748</v>
      </c>
      <c r="HL80" s="44" t="s">
        <v>37</v>
      </c>
    </row>
    <row r="81" spans="1:220">
      <c r="A81" s="150" t="s">
        <v>411</v>
      </c>
      <c r="B81" s="44">
        <v>3122</v>
      </c>
      <c r="C81" s="44" t="s">
        <v>107</v>
      </c>
      <c r="D81" s="44" t="s">
        <v>37</v>
      </c>
      <c r="F81" s="44" t="s">
        <v>37</v>
      </c>
      <c r="H81" s="44" t="s">
        <v>37</v>
      </c>
      <c r="J81" s="44" t="s">
        <v>37</v>
      </c>
      <c r="L81" s="48" t="s">
        <v>37</v>
      </c>
      <c r="M81" s="50"/>
      <c r="N81" s="48" t="s">
        <v>37</v>
      </c>
      <c r="O81" s="50"/>
      <c r="P81" s="48" t="s">
        <v>37</v>
      </c>
      <c r="Q81" s="50"/>
      <c r="R81" s="48" t="s">
        <v>37</v>
      </c>
      <c r="S81" s="50"/>
      <c r="T81" s="48" t="s">
        <v>37</v>
      </c>
      <c r="V81" s="44" t="s">
        <v>37</v>
      </c>
      <c r="X81" s="44" t="s">
        <v>37</v>
      </c>
      <c r="Z81" s="44" t="s">
        <v>37</v>
      </c>
      <c r="AB81" s="44" t="s">
        <v>37</v>
      </c>
      <c r="AD81" s="44" t="s">
        <v>37</v>
      </c>
      <c r="AF81" s="44" t="s">
        <v>37</v>
      </c>
      <c r="AH81" s="44" t="s">
        <v>37</v>
      </c>
      <c r="AJ81" s="44" t="s">
        <v>37</v>
      </c>
      <c r="AL81" s="44" t="s">
        <v>37</v>
      </c>
      <c r="AN81" s="44" t="s">
        <v>37</v>
      </c>
      <c r="AP81" s="44" t="s">
        <v>37</v>
      </c>
      <c r="AR81" s="44" t="s">
        <v>37</v>
      </c>
      <c r="AT81" s="44" t="s">
        <v>37</v>
      </c>
      <c r="AV81" s="44" t="s">
        <v>37</v>
      </c>
      <c r="AX81" s="44" t="s">
        <v>37</v>
      </c>
      <c r="AZ81" s="44" t="s">
        <v>37</v>
      </c>
      <c r="BB81" s="44" t="s">
        <v>37</v>
      </c>
      <c r="BD81" s="44" t="s">
        <v>37</v>
      </c>
      <c r="BF81" s="44" t="s">
        <v>37</v>
      </c>
      <c r="BH81" s="44" t="s">
        <v>37</v>
      </c>
      <c r="BJ81" s="44" t="s">
        <v>37</v>
      </c>
      <c r="BL81" s="44" t="s">
        <v>37</v>
      </c>
      <c r="BN81" s="44" t="s">
        <v>37</v>
      </c>
      <c r="BP81" s="44" t="s">
        <v>37</v>
      </c>
      <c r="BR81" s="44" t="s">
        <v>37</v>
      </c>
      <c r="BT81" s="44" t="s">
        <v>37</v>
      </c>
      <c r="BV81" s="44" t="s">
        <v>37</v>
      </c>
      <c r="BX81" s="44" t="s">
        <v>37</v>
      </c>
      <c r="BZ81" s="44" t="s">
        <v>37</v>
      </c>
      <c r="CB81" s="44" t="s">
        <v>37</v>
      </c>
      <c r="CD81" s="44" t="s">
        <v>37</v>
      </c>
      <c r="CF81" s="44" t="s">
        <v>37</v>
      </c>
      <c r="CH81" s="44" t="s">
        <v>37</v>
      </c>
      <c r="CJ81" s="44" t="s">
        <v>37</v>
      </c>
      <c r="CL81" s="44" t="s">
        <v>37</v>
      </c>
      <c r="CN81" s="44" t="s">
        <v>37</v>
      </c>
      <c r="CP81" s="44" t="s">
        <v>37</v>
      </c>
      <c r="CR81" s="44" t="s">
        <v>37</v>
      </c>
      <c r="CT81" s="44" t="s">
        <v>37</v>
      </c>
      <c r="CV81" s="44" t="s">
        <v>37</v>
      </c>
      <c r="CX81" s="44" t="s">
        <v>37</v>
      </c>
      <c r="CZ81" s="44" t="s">
        <v>37</v>
      </c>
      <c r="DB81" s="44" t="s">
        <v>37</v>
      </c>
      <c r="DD81" s="44" t="s">
        <v>37</v>
      </c>
      <c r="DF81" s="44" t="s">
        <v>37</v>
      </c>
      <c r="DH81" s="44" t="s">
        <v>37</v>
      </c>
      <c r="DJ81" s="44" t="s">
        <v>37</v>
      </c>
      <c r="DL81" s="44" t="s">
        <v>37</v>
      </c>
      <c r="DN81" s="44" t="s">
        <v>37</v>
      </c>
      <c r="DP81" s="44" t="s">
        <v>37</v>
      </c>
      <c r="DR81" s="44" t="s">
        <v>37</v>
      </c>
      <c r="DT81" s="44" t="s">
        <v>37</v>
      </c>
      <c r="DV81" s="44" t="s">
        <v>37</v>
      </c>
      <c r="DX81" s="44" t="s">
        <v>37</v>
      </c>
      <c r="DZ81" s="44" t="s">
        <v>37</v>
      </c>
      <c r="EB81" s="44" t="s">
        <v>37</v>
      </c>
      <c r="ED81" s="44" t="s">
        <v>37</v>
      </c>
      <c r="EF81" s="44" t="s">
        <v>37</v>
      </c>
      <c r="EH81" s="44" t="s">
        <v>37</v>
      </c>
      <c r="EJ81" s="44" t="s">
        <v>37</v>
      </c>
      <c r="EL81" s="44" t="s">
        <v>37</v>
      </c>
      <c r="EN81" s="44" t="s">
        <v>37</v>
      </c>
      <c r="EP81" s="44" t="s">
        <v>37</v>
      </c>
      <c r="ER81" s="44" t="s">
        <v>37</v>
      </c>
      <c r="ET81" s="44" t="s">
        <v>37</v>
      </c>
      <c r="EV81" s="44" t="s">
        <v>37</v>
      </c>
      <c r="EX81" s="44" t="s">
        <v>37</v>
      </c>
      <c r="EZ81" s="44" t="s">
        <v>37</v>
      </c>
      <c r="FB81" s="44" t="s">
        <v>37</v>
      </c>
      <c r="FD81" s="44" t="s">
        <v>37</v>
      </c>
      <c r="FF81" s="44" t="s">
        <v>37</v>
      </c>
      <c r="FH81" s="44" t="s">
        <v>37</v>
      </c>
      <c r="FJ81" s="44" t="s">
        <v>37</v>
      </c>
      <c r="FL81" s="44" t="s">
        <v>37</v>
      </c>
      <c r="FM81" s="44">
        <v>523508</v>
      </c>
      <c r="FN81" s="44" t="s">
        <v>37</v>
      </c>
      <c r="FP81" s="44" t="s">
        <v>37</v>
      </c>
      <c r="FR81" s="44" t="s">
        <v>37</v>
      </c>
      <c r="FT81" s="44" t="s">
        <v>37</v>
      </c>
      <c r="FV81" s="44" t="s">
        <v>37</v>
      </c>
      <c r="FX81" s="44" t="s">
        <v>37</v>
      </c>
      <c r="FZ81" s="44" t="s">
        <v>37</v>
      </c>
      <c r="GB81" s="44" t="s">
        <v>37</v>
      </c>
      <c r="GC81" s="44">
        <v>2301</v>
      </c>
      <c r="GD81" s="44" t="s">
        <v>37</v>
      </c>
      <c r="GF81" s="44" t="s">
        <v>37</v>
      </c>
      <c r="GH81" s="44" t="s">
        <v>37</v>
      </c>
      <c r="GJ81" s="44" t="s">
        <v>37</v>
      </c>
      <c r="GL81" s="44" t="s">
        <v>37</v>
      </c>
      <c r="GN81" s="44" t="s">
        <v>37</v>
      </c>
      <c r="GP81" s="44" t="s">
        <v>37</v>
      </c>
      <c r="GR81" s="44" t="s">
        <v>37</v>
      </c>
      <c r="GT81" s="44" t="s">
        <v>37</v>
      </c>
      <c r="GV81" s="44" t="s">
        <v>37</v>
      </c>
      <c r="GX81" s="44" t="s">
        <v>37</v>
      </c>
      <c r="GZ81" s="44" t="s">
        <v>37</v>
      </c>
      <c r="HB81" s="44" t="s">
        <v>37</v>
      </c>
      <c r="HD81" s="44" t="s">
        <v>37</v>
      </c>
      <c r="HF81" s="44" t="s">
        <v>37</v>
      </c>
      <c r="HG81" s="44">
        <v>525809</v>
      </c>
      <c r="HH81" s="44" t="s">
        <v>37</v>
      </c>
      <c r="HJ81" s="44" t="s">
        <v>37</v>
      </c>
      <c r="HK81" s="44">
        <v>525809</v>
      </c>
      <c r="HL81" s="44" t="s">
        <v>37</v>
      </c>
    </row>
    <row r="82" spans="1:220">
      <c r="A82" s="150" t="s">
        <v>411</v>
      </c>
      <c r="B82" s="44">
        <v>3123</v>
      </c>
      <c r="C82" s="44" t="s">
        <v>108</v>
      </c>
      <c r="D82" s="44" t="s">
        <v>37</v>
      </c>
      <c r="F82" s="44" t="s">
        <v>37</v>
      </c>
      <c r="H82" s="44" t="s">
        <v>37</v>
      </c>
      <c r="J82" s="44" t="s">
        <v>37</v>
      </c>
      <c r="L82" s="48" t="s">
        <v>37</v>
      </c>
      <c r="M82" s="50"/>
      <c r="N82" s="48" t="s">
        <v>37</v>
      </c>
      <c r="O82" s="50"/>
      <c r="P82" s="48" t="s">
        <v>37</v>
      </c>
      <c r="Q82" s="50"/>
      <c r="R82" s="48" t="s">
        <v>37</v>
      </c>
      <c r="S82" s="50"/>
      <c r="T82" s="48" t="s">
        <v>37</v>
      </c>
      <c r="V82" s="44" t="s">
        <v>37</v>
      </c>
      <c r="W82" s="44">
        <v>100000</v>
      </c>
      <c r="X82" s="44" t="s">
        <v>37</v>
      </c>
      <c r="Z82" s="44" t="s">
        <v>37</v>
      </c>
      <c r="AB82" s="44" t="s">
        <v>37</v>
      </c>
      <c r="AD82" s="44" t="s">
        <v>37</v>
      </c>
      <c r="AF82" s="44" t="s">
        <v>37</v>
      </c>
      <c r="AH82" s="44" t="s">
        <v>37</v>
      </c>
      <c r="AJ82" s="44" t="s">
        <v>37</v>
      </c>
      <c r="AL82" s="44" t="s">
        <v>37</v>
      </c>
      <c r="AN82" s="44" t="s">
        <v>37</v>
      </c>
      <c r="AP82" s="44" t="s">
        <v>37</v>
      </c>
      <c r="AR82" s="44" t="s">
        <v>37</v>
      </c>
      <c r="AT82" s="44" t="s">
        <v>37</v>
      </c>
      <c r="AV82" s="44" t="s">
        <v>37</v>
      </c>
      <c r="AX82" s="44" t="s">
        <v>37</v>
      </c>
      <c r="AZ82" s="44" t="s">
        <v>37</v>
      </c>
      <c r="BB82" s="44" t="s">
        <v>37</v>
      </c>
      <c r="BD82" s="44" t="s">
        <v>37</v>
      </c>
      <c r="BF82" s="44" t="s">
        <v>37</v>
      </c>
      <c r="BH82" s="44" t="s">
        <v>37</v>
      </c>
      <c r="BJ82" s="44" t="s">
        <v>37</v>
      </c>
      <c r="BL82" s="44" t="s">
        <v>37</v>
      </c>
      <c r="BN82" s="44" t="s">
        <v>37</v>
      </c>
      <c r="BP82" s="44" t="s">
        <v>37</v>
      </c>
      <c r="BR82" s="44" t="s">
        <v>37</v>
      </c>
      <c r="BS82" s="44">
        <v>25781</v>
      </c>
      <c r="BT82" s="44" t="s">
        <v>37</v>
      </c>
      <c r="BV82" s="44" t="s">
        <v>37</v>
      </c>
      <c r="BX82" s="44" t="s">
        <v>37</v>
      </c>
      <c r="BZ82" s="44" t="s">
        <v>37</v>
      </c>
      <c r="CB82" s="44" t="s">
        <v>37</v>
      </c>
      <c r="CD82" s="44" t="s">
        <v>37</v>
      </c>
      <c r="CF82" s="44" t="s">
        <v>37</v>
      </c>
      <c r="CH82" s="44" t="s">
        <v>37</v>
      </c>
      <c r="CJ82" s="44" t="s">
        <v>37</v>
      </c>
      <c r="CL82" s="44" t="s">
        <v>37</v>
      </c>
      <c r="CN82" s="44" t="s">
        <v>37</v>
      </c>
      <c r="CP82" s="44" t="s">
        <v>37</v>
      </c>
      <c r="CR82" s="44" t="s">
        <v>37</v>
      </c>
      <c r="CT82" s="44" t="s">
        <v>37</v>
      </c>
      <c r="CV82" s="44" t="s">
        <v>37</v>
      </c>
      <c r="CX82" s="44" t="s">
        <v>37</v>
      </c>
      <c r="CZ82" s="44" t="s">
        <v>37</v>
      </c>
      <c r="DB82" s="44" t="s">
        <v>37</v>
      </c>
      <c r="DD82" s="44" t="s">
        <v>37</v>
      </c>
      <c r="DF82" s="44" t="s">
        <v>37</v>
      </c>
      <c r="DH82" s="44" t="s">
        <v>37</v>
      </c>
      <c r="DJ82" s="44" t="s">
        <v>37</v>
      </c>
      <c r="DL82" s="44" t="s">
        <v>37</v>
      </c>
      <c r="DN82" s="44" t="s">
        <v>37</v>
      </c>
      <c r="DP82" s="44" t="s">
        <v>37</v>
      </c>
      <c r="DR82" s="44" t="s">
        <v>37</v>
      </c>
      <c r="DT82" s="44" t="s">
        <v>37</v>
      </c>
      <c r="DV82" s="44" t="s">
        <v>37</v>
      </c>
      <c r="DX82" s="44" t="s">
        <v>37</v>
      </c>
      <c r="DZ82" s="44" t="s">
        <v>37</v>
      </c>
      <c r="EB82" s="44" t="s">
        <v>37</v>
      </c>
      <c r="ED82" s="44" t="s">
        <v>37</v>
      </c>
      <c r="EF82" s="44" t="s">
        <v>37</v>
      </c>
      <c r="EH82" s="44" t="s">
        <v>37</v>
      </c>
      <c r="EJ82" s="44" t="s">
        <v>37</v>
      </c>
      <c r="EL82" s="44" t="s">
        <v>37</v>
      </c>
      <c r="EN82" s="44" t="s">
        <v>37</v>
      </c>
      <c r="EP82" s="44" t="s">
        <v>37</v>
      </c>
      <c r="ER82" s="44" t="s">
        <v>37</v>
      </c>
      <c r="ET82" s="44" t="s">
        <v>37</v>
      </c>
      <c r="EV82" s="44" t="s">
        <v>37</v>
      </c>
      <c r="EX82" s="44" t="s">
        <v>37</v>
      </c>
      <c r="EZ82" s="44" t="s">
        <v>37</v>
      </c>
      <c r="FB82" s="44" t="s">
        <v>37</v>
      </c>
      <c r="FD82" s="44" t="s">
        <v>37</v>
      </c>
      <c r="FF82" s="44" t="s">
        <v>37</v>
      </c>
      <c r="FH82" s="44" t="s">
        <v>37</v>
      </c>
      <c r="FJ82" s="44" t="s">
        <v>37</v>
      </c>
      <c r="FL82" s="44" t="s">
        <v>37</v>
      </c>
      <c r="FN82" s="44" t="s">
        <v>37</v>
      </c>
      <c r="FP82" s="44" t="s">
        <v>37</v>
      </c>
      <c r="FR82" s="44" t="s">
        <v>37</v>
      </c>
      <c r="FT82" s="44" t="s">
        <v>37</v>
      </c>
      <c r="FV82" s="44" t="s">
        <v>37</v>
      </c>
      <c r="FX82" s="44" t="s">
        <v>37</v>
      </c>
      <c r="FZ82" s="44" t="s">
        <v>37</v>
      </c>
      <c r="GB82" s="44" t="s">
        <v>37</v>
      </c>
      <c r="GC82" s="44">
        <v>73827</v>
      </c>
      <c r="GD82" s="44" t="s">
        <v>37</v>
      </c>
      <c r="GF82" s="44" t="s">
        <v>37</v>
      </c>
      <c r="GH82" s="44" t="s">
        <v>37</v>
      </c>
      <c r="GJ82" s="44" t="s">
        <v>37</v>
      </c>
      <c r="GL82" s="44" t="s">
        <v>37</v>
      </c>
      <c r="GN82" s="44" t="s">
        <v>37</v>
      </c>
      <c r="GP82" s="44" t="s">
        <v>37</v>
      </c>
      <c r="GR82" s="44" t="s">
        <v>37</v>
      </c>
      <c r="GT82" s="44" t="s">
        <v>37</v>
      </c>
      <c r="GV82" s="44" t="s">
        <v>37</v>
      </c>
      <c r="GX82" s="44" t="s">
        <v>37</v>
      </c>
      <c r="GZ82" s="44" t="s">
        <v>37</v>
      </c>
      <c r="HB82" s="44" t="s">
        <v>37</v>
      </c>
      <c r="HD82" s="44" t="s">
        <v>37</v>
      </c>
      <c r="HF82" s="44" t="s">
        <v>37</v>
      </c>
      <c r="HG82" s="44">
        <v>199608</v>
      </c>
      <c r="HH82" s="44" t="s">
        <v>37</v>
      </c>
      <c r="HJ82" s="44" t="s">
        <v>37</v>
      </c>
      <c r="HK82" s="44">
        <v>199608</v>
      </c>
      <c r="HL82" s="44" t="s">
        <v>37</v>
      </c>
    </row>
    <row r="83" spans="1:220">
      <c r="A83" s="150" t="s">
        <v>411</v>
      </c>
      <c r="B83" s="44">
        <v>3124</v>
      </c>
      <c r="C83" s="44" t="s">
        <v>109</v>
      </c>
      <c r="D83" s="44" t="s">
        <v>37</v>
      </c>
      <c r="F83" s="44" t="s">
        <v>37</v>
      </c>
      <c r="H83" s="44" t="s">
        <v>37</v>
      </c>
      <c r="J83" s="44" t="s">
        <v>37</v>
      </c>
      <c r="L83" s="48" t="s">
        <v>37</v>
      </c>
      <c r="M83" s="50"/>
      <c r="N83" s="48" t="s">
        <v>37</v>
      </c>
      <c r="O83" s="50"/>
      <c r="P83" s="48" t="s">
        <v>37</v>
      </c>
      <c r="Q83" s="50"/>
      <c r="R83" s="48" t="s">
        <v>37</v>
      </c>
      <c r="S83" s="50"/>
      <c r="T83" s="48" t="s">
        <v>37</v>
      </c>
      <c r="V83" s="44" t="s">
        <v>37</v>
      </c>
      <c r="X83" s="44" t="s">
        <v>37</v>
      </c>
      <c r="Z83" s="44" t="s">
        <v>37</v>
      </c>
      <c r="AB83" s="44" t="s">
        <v>37</v>
      </c>
      <c r="AD83" s="44" t="s">
        <v>37</v>
      </c>
      <c r="AF83" s="44" t="s">
        <v>37</v>
      </c>
      <c r="AH83" s="44" t="s">
        <v>37</v>
      </c>
      <c r="AJ83" s="44" t="s">
        <v>37</v>
      </c>
      <c r="AL83" s="44" t="s">
        <v>37</v>
      </c>
      <c r="AN83" s="44" t="s">
        <v>37</v>
      </c>
      <c r="AP83" s="44" t="s">
        <v>37</v>
      </c>
      <c r="AR83" s="44" t="s">
        <v>37</v>
      </c>
      <c r="AS83" s="44">
        <v>226</v>
      </c>
      <c r="AT83" s="44" t="s">
        <v>37</v>
      </c>
      <c r="AV83" s="44" t="s">
        <v>37</v>
      </c>
      <c r="AX83" s="44" t="s">
        <v>37</v>
      </c>
      <c r="AZ83" s="44" t="s">
        <v>37</v>
      </c>
      <c r="BB83" s="44" t="s">
        <v>37</v>
      </c>
      <c r="BD83" s="44" t="s">
        <v>37</v>
      </c>
      <c r="BF83" s="44" t="s">
        <v>37</v>
      </c>
      <c r="BH83" s="44" t="s">
        <v>37</v>
      </c>
      <c r="BJ83" s="44" t="s">
        <v>37</v>
      </c>
      <c r="BL83" s="44" t="s">
        <v>37</v>
      </c>
      <c r="BN83" s="44" t="s">
        <v>37</v>
      </c>
      <c r="BP83" s="44" t="s">
        <v>37</v>
      </c>
      <c r="BR83" s="44" t="s">
        <v>37</v>
      </c>
      <c r="BT83" s="44" t="s">
        <v>37</v>
      </c>
      <c r="BV83" s="44" t="s">
        <v>37</v>
      </c>
      <c r="BX83" s="44" t="s">
        <v>37</v>
      </c>
      <c r="BZ83" s="44" t="s">
        <v>37</v>
      </c>
      <c r="CB83" s="44" t="s">
        <v>37</v>
      </c>
      <c r="CD83" s="44" t="s">
        <v>37</v>
      </c>
      <c r="CF83" s="44" t="s">
        <v>37</v>
      </c>
      <c r="CH83" s="44" t="s">
        <v>37</v>
      </c>
      <c r="CJ83" s="44" t="s">
        <v>37</v>
      </c>
      <c r="CL83" s="44" t="s">
        <v>37</v>
      </c>
      <c r="CN83" s="44" t="s">
        <v>37</v>
      </c>
      <c r="CP83" s="44" t="s">
        <v>37</v>
      </c>
      <c r="CR83" s="44" t="s">
        <v>37</v>
      </c>
      <c r="CT83" s="44" t="s">
        <v>37</v>
      </c>
      <c r="CV83" s="44" t="s">
        <v>37</v>
      </c>
      <c r="CX83" s="44" t="s">
        <v>37</v>
      </c>
      <c r="CZ83" s="44" t="s">
        <v>37</v>
      </c>
      <c r="DB83" s="44" t="s">
        <v>37</v>
      </c>
      <c r="DD83" s="44" t="s">
        <v>37</v>
      </c>
      <c r="DF83" s="44" t="s">
        <v>37</v>
      </c>
      <c r="DH83" s="44" t="s">
        <v>37</v>
      </c>
      <c r="DJ83" s="44" t="s">
        <v>37</v>
      </c>
      <c r="DL83" s="44" t="s">
        <v>37</v>
      </c>
      <c r="DN83" s="44" t="s">
        <v>37</v>
      </c>
      <c r="DP83" s="44" t="s">
        <v>37</v>
      </c>
      <c r="DR83" s="44" t="s">
        <v>37</v>
      </c>
      <c r="DT83" s="44" t="s">
        <v>37</v>
      </c>
      <c r="DV83" s="44" t="s">
        <v>37</v>
      </c>
      <c r="DX83" s="44" t="s">
        <v>37</v>
      </c>
      <c r="DZ83" s="44" t="s">
        <v>37</v>
      </c>
      <c r="EB83" s="44" t="s">
        <v>37</v>
      </c>
      <c r="ED83" s="44" t="s">
        <v>37</v>
      </c>
      <c r="EF83" s="44" t="s">
        <v>37</v>
      </c>
      <c r="EH83" s="44" t="s">
        <v>37</v>
      </c>
      <c r="EJ83" s="44" t="s">
        <v>37</v>
      </c>
      <c r="EL83" s="44" t="s">
        <v>37</v>
      </c>
      <c r="EN83" s="44" t="s">
        <v>37</v>
      </c>
      <c r="EP83" s="44" t="s">
        <v>37</v>
      </c>
      <c r="ER83" s="44" t="s">
        <v>37</v>
      </c>
      <c r="ET83" s="44" t="s">
        <v>37</v>
      </c>
      <c r="EV83" s="44" t="s">
        <v>37</v>
      </c>
      <c r="EX83" s="44" t="s">
        <v>37</v>
      </c>
      <c r="EZ83" s="44" t="s">
        <v>37</v>
      </c>
      <c r="FB83" s="44" t="s">
        <v>37</v>
      </c>
      <c r="FD83" s="44" t="s">
        <v>37</v>
      </c>
      <c r="FF83" s="44" t="s">
        <v>37</v>
      </c>
      <c r="FH83" s="44" t="s">
        <v>37</v>
      </c>
      <c r="FJ83" s="44" t="s">
        <v>37</v>
      </c>
      <c r="FL83" s="44" t="s">
        <v>37</v>
      </c>
      <c r="FN83" s="44" t="s">
        <v>37</v>
      </c>
      <c r="FP83" s="44" t="s">
        <v>37</v>
      </c>
      <c r="FR83" s="44" t="s">
        <v>37</v>
      </c>
      <c r="FT83" s="44" t="s">
        <v>37</v>
      </c>
      <c r="FV83" s="44" t="s">
        <v>37</v>
      </c>
      <c r="FX83" s="44" t="s">
        <v>37</v>
      </c>
      <c r="FZ83" s="44" t="s">
        <v>37</v>
      </c>
      <c r="GB83" s="44" t="s">
        <v>37</v>
      </c>
      <c r="GD83" s="44" t="s">
        <v>37</v>
      </c>
      <c r="GF83" s="44" t="s">
        <v>37</v>
      </c>
      <c r="GH83" s="44" t="s">
        <v>37</v>
      </c>
      <c r="GJ83" s="44" t="s">
        <v>37</v>
      </c>
      <c r="GL83" s="44" t="s">
        <v>37</v>
      </c>
      <c r="GN83" s="44" t="s">
        <v>37</v>
      </c>
      <c r="GP83" s="44" t="s">
        <v>37</v>
      </c>
      <c r="GR83" s="44" t="s">
        <v>37</v>
      </c>
      <c r="GT83" s="44" t="s">
        <v>37</v>
      </c>
      <c r="GV83" s="44" t="s">
        <v>37</v>
      </c>
      <c r="GX83" s="44" t="s">
        <v>37</v>
      </c>
      <c r="GZ83" s="44" t="s">
        <v>37</v>
      </c>
      <c r="HB83" s="44" t="s">
        <v>37</v>
      </c>
      <c r="HD83" s="44" t="s">
        <v>37</v>
      </c>
      <c r="HF83" s="44" t="s">
        <v>37</v>
      </c>
      <c r="HG83" s="44">
        <v>226</v>
      </c>
      <c r="HH83" s="44" t="s">
        <v>37</v>
      </c>
      <c r="HJ83" s="44" t="s">
        <v>37</v>
      </c>
      <c r="HK83" s="44">
        <v>226</v>
      </c>
      <c r="HL83" s="44" t="s">
        <v>37</v>
      </c>
    </row>
    <row r="84" spans="1:220">
      <c r="A84" s="150" t="s">
        <v>411</v>
      </c>
      <c r="B84" s="44">
        <v>3125</v>
      </c>
      <c r="C84" s="44" t="s">
        <v>110</v>
      </c>
      <c r="D84" s="44" t="s">
        <v>37</v>
      </c>
      <c r="F84" s="44" t="s">
        <v>37</v>
      </c>
      <c r="G84" s="44">
        <v>244281</v>
      </c>
      <c r="H84" s="44" t="s">
        <v>37</v>
      </c>
      <c r="I84" s="44">
        <v>6149</v>
      </c>
      <c r="J84" s="44" t="s">
        <v>37</v>
      </c>
      <c r="L84" s="48" t="s">
        <v>37</v>
      </c>
      <c r="M84" s="51">
        <v>93599</v>
      </c>
      <c r="N84" s="48" t="s">
        <v>37</v>
      </c>
      <c r="O84" s="50"/>
      <c r="P84" s="48" t="s">
        <v>37</v>
      </c>
      <c r="Q84" s="51">
        <v>39507</v>
      </c>
      <c r="R84" s="48" t="s">
        <v>37</v>
      </c>
      <c r="S84" s="51">
        <v>32362</v>
      </c>
      <c r="T84" s="48" t="s">
        <v>37</v>
      </c>
      <c r="U84" s="44">
        <v>120924</v>
      </c>
      <c r="V84" s="44" t="s">
        <v>37</v>
      </c>
      <c r="X84" s="44" t="s">
        <v>37</v>
      </c>
      <c r="Y84" s="44">
        <v>62667</v>
      </c>
      <c r="Z84" s="44" t="s">
        <v>37</v>
      </c>
      <c r="AA84" s="44">
        <v>36514</v>
      </c>
      <c r="AB84" s="44" t="s">
        <v>37</v>
      </c>
      <c r="AC84" s="44">
        <v>10573</v>
      </c>
      <c r="AD84" s="44" t="s">
        <v>37</v>
      </c>
      <c r="AE84" s="44">
        <v>29412</v>
      </c>
      <c r="AF84" s="44" t="s">
        <v>37</v>
      </c>
      <c r="AG84" s="44">
        <v>24584</v>
      </c>
      <c r="AH84" s="44" t="s">
        <v>37</v>
      </c>
      <c r="AI84" s="44">
        <v>19336</v>
      </c>
      <c r="AJ84" s="44" t="s">
        <v>37</v>
      </c>
      <c r="AK84" s="44">
        <v>39202</v>
      </c>
      <c r="AL84" s="44" t="s">
        <v>37</v>
      </c>
      <c r="AN84" s="44" t="s">
        <v>37</v>
      </c>
      <c r="AP84" s="44" t="s">
        <v>37</v>
      </c>
      <c r="AQ84" s="44">
        <v>332932</v>
      </c>
      <c r="AR84" s="44" t="s">
        <v>37</v>
      </c>
      <c r="AS84" s="44">
        <v>37866</v>
      </c>
      <c r="AT84" s="44" t="s">
        <v>37</v>
      </c>
      <c r="AU84" s="44">
        <v>374106</v>
      </c>
      <c r="AV84" s="44" t="s">
        <v>37</v>
      </c>
      <c r="AW84" s="44">
        <v>81121</v>
      </c>
      <c r="AX84" s="44" t="s">
        <v>37</v>
      </c>
      <c r="AY84" s="44">
        <v>72691</v>
      </c>
      <c r="AZ84" s="44" t="s">
        <v>37</v>
      </c>
      <c r="BA84" s="44">
        <v>105199</v>
      </c>
      <c r="BB84" s="44" t="s">
        <v>37</v>
      </c>
      <c r="BD84" s="44" t="s">
        <v>37</v>
      </c>
      <c r="BE84" s="44">
        <v>20976</v>
      </c>
      <c r="BF84" s="44" t="s">
        <v>37</v>
      </c>
      <c r="BG84" s="44">
        <v>24022</v>
      </c>
      <c r="BH84" s="44" t="s">
        <v>37</v>
      </c>
      <c r="BJ84" s="44" t="s">
        <v>37</v>
      </c>
      <c r="BK84" s="44">
        <v>86042</v>
      </c>
      <c r="BL84" s="44" t="s">
        <v>37</v>
      </c>
      <c r="BM84" s="44">
        <v>101159</v>
      </c>
      <c r="BN84" s="44" t="s">
        <v>37</v>
      </c>
      <c r="BP84" s="44" t="s">
        <v>37</v>
      </c>
      <c r="BQ84" s="44">
        <v>5699</v>
      </c>
      <c r="BR84" s="44" t="s">
        <v>37</v>
      </c>
      <c r="BS84" s="44">
        <v>36749</v>
      </c>
      <c r="BT84" s="44" t="s">
        <v>37</v>
      </c>
      <c r="BU84" s="44">
        <v>30698</v>
      </c>
      <c r="BV84" s="44" t="s">
        <v>37</v>
      </c>
      <c r="BW84" s="44">
        <v>38327</v>
      </c>
      <c r="BX84" s="44" t="s">
        <v>37</v>
      </c>
      <c r="BY84" s="44">
        <v>162886</v>
      </c>
      <c r="BZ84" s="44" t="s">
        <v>37</v>
      </c>
      <c r="CA84" s="44">
        <v>33412</v>
      </c>
      <c r="CB84" s="44" t="s">
        <v>37</v>
      </c>
      <c r="CC84" s="44">
        <v>45791</v>
      </c>
      <c r="CD84" s="44" t="s">
        <v>37</v>
      </c>
      <c r="CE84" s="44">
        <v>46288</v>
      </c>
      <c r="CF84" s="44" t="s">
        <v>37</v>
      </c>
      <c r="CG84" s="44">
        <v>71845</v>
      </c>
      <c r="CH84" s="44" t="s">
        <v>37</v>
      </c>
      <c r="CI84" s="44">
        <v>164296</v>
      </c>
      <c r="CJ84" s="44" t="s">
        <v>37</v>
      </c>
      <c r="CK84" s="44">
        <v>31527</v>
      </c>
      <c r="CL84" s="44" t="s">
        <v>37</v>
      </c>
      <c r="CM84" s="44">
        <v>46490</v>
      </c>
      <c r="CN84" s="44" t="s">
        <v>37</v>
      </c>
      <c r="CO84" s="44">
        <v>38170</v>
      </c>
      <c r="CP84" s="44" t="s">
        <v>37</v>
      </c>
      <c r="CR84" s="44" t="s">
        <v>37</v>
      </c>
      <c r="CS84" s="44">
        <v>109889</v>
      </c>
      <c r="CT84" s="44" t="s">
        <v>37</v>
      </c>
      <c r="CV84" s="44" t="s">
        <v>37</v>
      </c>
      <c r="CX84" s="44" t="s">
        <v>37</v>
      </c>
      <c r="CY84" s="44">
        <v>33269</v>
      </c>
      <c r="CZ84" s="44" t="s">
        <v>37</v>
      </c>
      <c r="DA84" s="44">
        <v>22885</v>
      </c>
      <c r="DB84" s="44" t="s">
        <v>37</v>
      </c>
      <c r="DC84" s="44">
        <v>234989</v>
      </c>
      <c r="DD84" s="44" t="s">
        <v>37</v>
      </c>
      <c r="DE84" s="44">
        <v>47124</v>
      </c>
      <c r="DF84" s="44" t="s">
        <v>37</v>
      </c>
      <c r="DG84" s="44">
        <v>63678</v>
      </c>
      <c r="DH84" s="44" t="s">
        <v>37</v>
      </c>
      <c r="DI84" s="44">
        <v>284940</v>
      </c>
      <c r="DJ84" s="44" t="s">
        <v>37</v>
      </c>
      <c r="DK84" s="44">
        <v>42183</v>
      </c>
      <c r="DL84" s="44" t="s">
        <v>37</v>
      </c>
      <c r="DM84" s="44">
        <v>78388</v>
      </c>
      <c r="DN84" s="44" t="s">
        <v>37</v>
      </c>
      <c r="DP84" s="44" t="s">
        <v>37</v>
      </c>
      <c r="DR84" s="44" t="s">
        <v>37</v>
      </c>
      <c r="DT84" s="44" t="s">
        <v>37</v>
      </c>
      <c r="DV84" s="44" t="s">
        <v>37</v>
      </c>
      <c r="DX84" s="44" t="s">
        <v>37</v>
      </c>
      <c r="DZ84" s="44" t="s">
        <v>37</v>
      </c>
      <c r="EB84" s="44" t="s">
        <v>37</v>
      </c>
      <c r="ED84" s="44" t="s">
        <v>37</v>
      </c>
      <c r="EF84" s="44" t="s">
        <v>37</v>
      </c>
      <c r="EH84" s="44" t="s">
        <v>37</v>
      </c>
      <c r="EJ84" s="44" t="s">
        <v>37</v>
      </c>
      <c r="EL84" s="44" t="s">
        <v>37</v>
      </c>
      <c r="EN84" s="44" t="s">
        <v>37</v>
      </c>
      <c r="EP84" s="44" t="s">
        <v>37</v>
      </c>
      <c r="ER84" s="44" t="s">
        <v>37</v>
      </c>
      <c r="ET84" s="44" t="s">
        <v>37</v>
      </c>
      <c r="EV84" s="44" t="s">
        <v>37</v>
      </c>
      <c r="EX84" s="44" t="s">
        <v>37</v>
      </c>
      <c r="EZ84" s="44" t="s">
        <v>37</v>
      </c>
      <c r="FB84" s="44" t="s">
        <v>37</v>
      </c>
      <c r="FD84" s="44" t="s">
        <v>37</v>
      </c>
      <c r="FF84" s="44" t="s">
        <v>37</v>
      </c>
      <c r="FH84" s="44" t="s">
        <v>37</v>
      </c>
      <c r="FJ84" s="44" t="s">
        <v>37</v>
      </c>
      <c r="FL84" s="44" t="s">
        <v>37</v>
      </c>
      <c r="FN84" s="44" t="s">
        <v>37</v>
      </c>
      <c r="FP84" s="44" t="s">
        <v>37</v>
      </c>
      <c r="FR84" s="44" t="s">
        <v>37</v>
      </c>
      <c r="FT84" s="44" t="s">
        <v>37</v>
      </c>
      <c r="FU84" s="44">
        <v>16131</v>
      </c>
      <c r="FV84" s="44" t="s">
        <v>37</v>
      </c>
      <c r="FX84" s="44" t="s">
        <v>37</v>
      </c>
      <c r="FZ84" s="44" t="s">
        <v>37</v>
      </c>
      <c r="GB84" s="44" t="s">
        <v>37</v>
      </c>
      <c r="GD84" s="44" t="s">
        <v>37</v>
      </c>
      <c r="GF84" s="44" t="s">
        <v>37</v>
      </c>
      <c r="GH84" s="44" t="s">
        <v>37</v>
      </c>
      <c r="GJ84" s="44" t="s">
        <v>37</v>
      </c>
      <c r="GL84" s="44" t="s">
        <v>37</v>
      </c>
      <c r="GN84" s="44" t="s">
        <v>37</v>
      </c>
      <c r="GP84" s="44" t="s">
        <v>37</v>
      </c>
      <c r="GR84" s="44" t="s">
        <v>37</v>
      </c>
      <c r="GT84" s="44" t="s">
        <v>37</v>
      </c>
      <c r="GV84" s="44" t="s">
        <v>37</v>
      </c>
      <c r="GX84" s="44" t="s">
        <v>37</v>
      </c>
      <c r="GZ84" s="44" t="s">
        <v>37</v>
      </c>
      <c r="HB84" s="44" t="s">
        <v>37</v>
      </c>
      <c r="HD84" s="44" t="s">
        <v>37</v>
      </c>
      <c r="HF84" s="44" t="s">
        <v>37</v>
      </c>
      <c r="HG84" s="44">
        <v>3680878</v>
      </c>
      <c r="HH84" s="44" t="s">
        <v>37</v>
      </c>
      <c r="HJ84" s="44" t="s">
        <v>37</v>
      </c>
      <c r="HK84" s="44">
        <v>3680878</v>
      </c>
      <c r="HL84" s="44" t="s">
        <v>37</v>
      </c>
    </row>
    <row r="85" spans="1:220">
      <c r="A85" s="150" t="s">
        <v>411</v>
      </c>
      <c r="B85" s="44">
        <v>3126</v>
      </c>
      <c r="C85" s="44" t="s">
        <v>111</v>
      </c>
      <c r="D85" s="44" t="s">
        <v>37</v>
      </c>
      <c r="E85" s="44">
        <v>12754</v>
      </c>
      <c r="F85" s="44" t="s">
        <v>37</v>
      </c>
      <c r="G85" s="44">
        <v>9472</v>
      </c>
      <c r="H85" s="44" t="s">
        <v>37</v>
      </c>
      <c r="J85" s="44" t="s">
        <v>37</v>
      </c>
      <c r="L85" s="48" t="s">
        <v>37</v>
      </c>
      <c r="M85" s="51">
        <v>35500</v>
      </c>
      <c r="N85" s="48" t="s">
        <v>37</v>
      </c>
      <c r="O85" s="51">
        <v>17116</v>
      </c>
      <c r="P85" s="48" t="s">
        <v>37</v>
      </c>
      <c r="Q85" s="51">
        <v>12374</v>
      </c>
      <c r="R85" s="48" t="s">
        <v>37</v>
      </c>
      <c r="S85" s="51">
        <v>12799</v>
      </c>
      <c r="T85" s="48" t="s">
        <v>37</v>
      </c>
      <c r="U85" s="44">
        <v>56087</v>
      </c>
      <c r="V85" s="44" t="s">
        <v>37</v>
      </c>
      <c r="X85" s="44" t="s">
        <v>37</v>
      </c>
      <c r="Z85" s="44" t="s">
        <v>37</v>
      </c>
      <c r="AA85" s="44">
        <v>6985</v>
      </c>
      <c r="AB85" s="44" t="s">
        <v>37</v>
      </c>
      <c r="AD85" s="44" t="s">
        <v>37</v>
      </c>
      <c r="AF85" s="44" t="s">
        <v>37</v>
      </c>
      <c r="AG85" s="44">
        <v>2511</v>
      </c>
      <c r="AH85" s="44" t="s">
        <v>37</v>
      </c>
      <c r="AI85" s="44">
        <v>11782</v>
      </c>
      <c r="AJ85" s="44" t="s">
        <v>37</v>
      </c>
      <c r="AL85" s="44" t="s">
        <v>37</v>
      </c>
      <c r="AM85" s="44">
        <v>65272</v>
      </c>
      <c r="AN85" s="44" t="s">
        <v>37</v>
      </c>
      <c r="AP85" s="44" t="s">
        <v>37</v>
      </c>
      <c r="AQ85" s="44">
        <v>118313</v>
      </c>
      <c r="AR85" s="44" t="s">
        <v>37</v>
      </c>
      <c r="AS85" s="44">
        <v>6494</v>
      </c>
      <c r="AT85" s="44" t="s">
        <v>37</v>
      </c>
      <c r="AU85" s="44">
        <v>136305</v>
      </c>
      <c r="AV85" s="44" t="s">
        <v>37</v>
      </c>
      <c r="AW85" s="44">
        <v>37020</v>
      </c>
      <c r="AX85" s="44" t="s">
        <v>37</v>
      </c>
      <c r="AY85" s="44">
        <v>27326</v>
      </c>
      <c r="AZ85" s="44" t="s">
        <v>37</v>
      </c>
      <c r="BA85" s="44">
        <v>24507</v>
      </c>
      <c r="BB85" s="44" t="s">
        <v>37</v>
      </c>
      <c r="BC85" s="44">
        <v>4506</v>
      </c>
      <c r="BD85" s="44" t="s">
        <v>37</v>
      </c>
      <c r="BE85" s="44">
        <v>7041</v>
      </c>
      <c r="BF85" s="44" t="s">
        <v>37</v>
      </c>
      <c r="BG85" s="44">
        <v>4980</v>
      </c>
      <c r="BH85" s="44" t="s">
        <v>37</v>
      </c>
      <c r="BJ85" s="44" t="s">
        <v>37</v>
      </c>
      <c r="BK85" s="44">
        <v>28066</v>
      </c>
      <c r="BL85" s="44" t="s">
        <v>37</v>
      </c>
      <c r="BM85" s="44">
        <v>31188</v>
      </c>
      <c r="BN85" s="44" t="s">
        <v>37</v>
      </c>
      <c r="BP85" s="44" t="s">
        <v>37</v>
      </c>
      <c r="BQ85" s="44">
        <v>3720</v>
      </c>
      <c r="BR85" s="44" t="s">
        <v>37</v>
      </c>
      <c r="BS85" s="44">
        <v>6147</v>
      </c>
      <c r="BT85" s="44" t="s">
        <v>37</v>
      </c>
      <c r="BV85" s="44" t="s">
        <v>37</v>
      </c>
      <c r="BX85" s="44" t="s">
        <v>37</v>
      </c>
      <c r="BY85" s="44">
        <v>9772</v>
      </c>
      <c r="BZ85" s="44" t="s">
        <v>37</v>
      </c>
      <c r="CA85" s="44">
        <v>10084</v>
      </c>
      <c r="CB85" s="44" t="s">
        <v>37</v>
      </c>
      <c r="CD85" s="44" t="s">
        <v>37</v>
      </c>
      <c r="CE85" s="44">
        <v>18900</v>
      </c>
      <c r="CF85" s="44" t="s">
        <v>37</v>
      </c>
      <c r="CH85" s="44" t="s">
        <v>37</v>
      </c>
      <c r="CI85" s="44">
        <v>68135</v>
      </c>
      <c r="CJ85" s="44" t="s">
        <v>37</v>
      </c>
      <c r="CK85" s="44">
        <v>5440</v>
      </c>
      <c r="CL85" s="44" t="s">
        <v>37</v>
      </c>
      <c r="CM85" s="44">
        <v>17555</v>
      </c>
      <c r="CN85" s="44" t="s">
        <v>37</v>
      </c>
      <c r="CO85" s="44">
        <v>4552</v>
      </c>
      <c r="CP85" s="44" t="s">
        <v>37</v>
      </c>
      <c r="CQ85" s="44">
        <v>8077</v>
      </c>
      <c r="CR85" s="44" t="s">
        <v>37</v>
      </c>
      <c r="CS85" s="44">
        <v>23212</v>
      </c>
      <c r="CT85" s="44" t="s">
        <v>37</v>
      </c>
      <c r="CU85" s="44">
        <v>301844</v>
      </c>
      <c r="CV85" s="44" t="s">
        <v>37</v>
      </c>
      <c r="CW85" s="44">
        <v>20935</v>
      </c>
      <c r="CX85" s="44" t="s">
        <v>37</v>
      </c>
      <c r="CY85" s="44">
        <v>5416</v>
      </c>
      <c r="CZ85" s="44" t="s">
        <v>37</v>
      </c>
      <c r="DA85" s="44">
        <v>7529</v>
      </c>
      <c r="DB85" s="44" t="s">
        <v>37</v>
      </c>
      <c r="DD85" s="44" t="s">
        <v>37</v>
      </c>
      <c r="DE85" s="44">
        <v>20757</v>
      </c>
      <c r="DF85" s="44" t="s">
        <v>37</v>
      </c>
      <c r="DH85" s="44" t="s">
        <v>37</v>
      </c>
      <c r="DI85" s="44">
        <v>155897</v>
      </c>
      <c r="DJ85" s="44" t="s">
        <v>37</v>
      </c>
      <c r="DL85" s="44" t="s">
        <v>37</v>
      </c>
      <c r="DM85" s="44">
        <v>47166</v>
      </c>
      <c r="DN85" s="44" t="s">
        <v>37</v>
      </c>
      <c r="DO85" s="44">
        <v>50631</v>
      </c>
      <c r="DP85" s="44" t="s">
        <v>37</v>
      </c>
      <c r="DQ85" s="44">
        <v>16764</v>
      </c>
      <c r="DR85" s="44" t="s">
        <v>37</v>
      </c>
      <c r="DT85" s="44" t="s">
        <v>37</v>
      </c>
      <c r="DU85" s="44">
        <v>11286</v>
      </c>
      <c r="DV85" s="44" t="s">
        <v>37</v>
      </c>
      <c r="DW85" s="44">
        <v>90099</v>
      </c>
      <c r="DX85" s="44" t="s">
        <v>37</v>
      </c>
      <c r="DY85" s="44">
        <v>30908</v>
      </c>
      <c r="DZ85" s="44" t="s">
        <v>37</v>
      </c>
      <c r="EA85" s="44">
        <v>9666</v>
      </c>
      <c r="EB85" s="44" t="s">
        <v>37</v>
      </c>
      <c r="EC85" s="44">
        <v>18554</v>
      </c>
      <c r="ED85" s="44" t="s">
        <v>37</v>
      </c>
      <c r="EE85" s="44">
        <v>69629</v>
      </c>
      <c r="EF85" s="44" t="s">
        <v>37</v>
      </c>
      <c r="EH85" s="44" t="s">
        <v>37</v>
      </c>
      <c r="EJ85" s="44" t="s">
        <v>37</v>
      </c>
      <c r="EK85" s="44">
        <v>11765</v>
      </c>
      <c r="EL85" s="44" t="s">
        <v>37</v>
      </c>
      <c r="EM85" s="44">
        <v>8735</v>
      </c>
      <c r="EN85" s="44" t="s">
        <v>37</v>
      </c>
      <c r="EO85" s="44">
        <v>3777</v>
      </c>
      <c r="EP85" s="44" t="s">
        <v>37</v>
      </c>
      <c r="ER85" s="44" t="s">
        <v>37</v>
      </c>
      <c r="ES85" s="44">
        <v>22750</v>
      </c>
      <c r="ET85" s="44" t="s">
        <v>37</v>
      </c>
      <c r="EU85" s="44">
        <v>32098</v>
      </c>
      <c r="EV85" s="44" t="s">
        <v>37</v>
      </c>
      <c r="EW85" s="44">
        <v>49064</v>
      </c>
      <c r="EX85" s="44" t="s">
        <v>37</v>
      </c>
      <c r="EZ85" s="44" t="s">
        <v>37</v>
      </c>
      <c r="FB85" s="44" t="s">
        <v>37</v>
      </c>
      <c r="FC85" s="44">
        <v>18786</v>
      </c>
      <c r="FD85" s="44" t="s">
        <v>37</v>
      </c>
      <c r="FE85" s="44">
        <v>31189</v>
      </c>
      <c r="FF85" s="44" t="s">
        <v>37</v>
      </c>
      <c r="FH85" s="44" t="s">
        <v>37</v>
      </c>
      <c r="FI85" s="44">
        <v>75881</v>
      </c>
      <c r="FJ85" s="44" t="s">
        <v>37</v>
      </c>
      <c r="FK85" s="44">
        <v>177501</v>
      </c>
      <c r="FL85" s="44" t="s">
        <v>37</v>
      </c>
      <c r="FM85" s="44">
        <v>96569</v>
      </c>
      <c r="FN85" s="44" t="s">
        <v>37</v>
      </c>
      <c r="FO85" s="44">
        <v>10169</v>
      </c>
      <c r="FP85" s="44" t="s">
        <v>37</v>
      </c>
      <c r="FQ85" s="44">
        <v>21229</v>
      </c>
      <c r="FR85" s="44" t="s">
        <v>37</v>
      </c>
      <c r="FS85" s="44">
        <v>30844</v>
      </c>
      <c r="FT85" s="44" t="s">
        <v>37</v>
      </c>
      <c r="FU85" s="44">
        <v>14155</v>
      </c>
      <c r="FV85" s="44" t="s">
        <v>37</v>
      </c>
      <c r="FW85" s="44">
        <v>11697</v>
      </c>
      <c r="FX85" s="44" t="s">
        <v>37</v>
      </c>
      <c r="FY85" s="44">
        <v>30813</v>
      </c>
      <c r="FZ85" s="44" t="s">
        <v>37</v>
      </c>
      <c r="GA85" s="44">
        <v>43448</v>
      </c>
      <c r="GB85" s="44" t="s">
        <v>37</v>
      </c>
      <c r="GC85" s="44">
        <v>35848</v>
      </c>
      <c r="GD85" s="44" t="s">
        <v>37</v>
      </c>
      <c r="GF85" s="44" t="s">
        <v>37</v>
      </c>
      <c r="GH85" s="44" t="s">
        <v>37</v>
      </c>
      <c r="GJ85" s="44" t="s">
        <v>37</v>
      </c>
      <c r="GK85" s="44">
        <v>40824</v>
      </c>
      <c r="GL85" s="44" t="s">
        <v>37</v>
      </c>
      <c r="GM85" s="44">
        <v>35691</v>
      </c>
      <c r="GN85" s="44" t="s">
        <v>37</v>
      </c>
      <c r="GP85" s="44" t="s">
        <v>37</v>
      </c>
      <c r="GQ85" s="44">
        <v>21889</v>
      </c>
      <c r="GR85" s="44" t="s">
        <v>37</v>
      </c>
      <c r="GS85" s="44">
        <v>10322</v>
      </c>
      <c r="GT85" s="44" t="s">
        <v>37</v>
      </c>
      <c r="GU85" s="44">
        <v>22264</v>
      </c>
      <c r="GV85" s="44" t="s">
        <v>37</v>
      </c>
      <c r="GW85" s="44">
        <v>24808</v>
      </c>
      <c r="GX85" s="44" t="s">
        <v>37</v>
      </c>
      <c r="GY85" s="44">
        <v>74494</v>
      </c>
      <c r="GZ85" s="44" t="s">
        <v>37</v>
      </c>
      <c r="HA85" s="44">
        <v>33167</v>
      </c>
      <c r="HB85" s="44" t="s">
        <v>37</v>
      </c>
      <c r="HD85" s="44" t="s">
        <v>37</v>
      </c>
      <c r="HF85" s="44" t="s">
        <v>37</v>
      </c>
      <c r="HG85" s="44">
        <v>2690850</v>
      </c>
      <c r="HH85" s="44" t="s">
        <v>37</v>
      </c>
      <c r="HJ85" s="44" t="s">
        <v>37</v>
      </c>
      <c r="HK85" s="44">
        <v>2690850</v>
      </c>
      <c r="HL85" s="44" t="s">
        <v>37</v>
      </c>
    </row>
    <row r="86" spans="1:220">
      <c r="A86" s="150" t="s">
        <v>411</v>
      </c>
      <c r="B86" s="44">
        <v>3127</v>
      </c>
      <c r="C86" s="44" t="s">
        <v>112</v>
      </c>
      <c r="D86" s="44" t="s">
        <v>37</v>
      </c>
      <c r="F86" s="44" t="s">
        <v>37</v>
      </c>
      <c r="G86" s="44">
        <v>37422</v>
      </c>
      <c r="H86" s="44" t="s">
        <v>37</v>
      </c>
      <c r="J86" s="44" t="s">
        <v>37</v>
      </c>
      <c r="L86" s="48" t="s">
        <v>37</v>
      </c>
      <c r="M86" s="51">
        <v>37532</v>
      </c>
      <c r="N86" s="48" t="s">
        <v>37</v>
      </c>
      <c r="O86" s="51">
        <v>17687</v>
      </c>
      <c r="P86" s="48" t="s">
        <v>37</v>
      </c>
      <c r="Q86" s="50"/>
      <c r="R86" s="48" t="s">
        <v>37</v>
      </c>
      <c r="S86" s="51">
        <v>12851</v>
      </c>
      <c r="T86" s="48" t="s">
        <v>37</v>
      </c>
      <c r="U86" s="44">
        <v>35619</v>
      </c>
      <c r="V86" s="44" t="s">
        <v>37</v>
      </c>
      <c r="X86" s="44" t="s">
        <v>37</v>
      </c>
      <c r="Z86" s="44" t="s">
        <v>37</v>
      </c>
      <c r="AA86" s="44">
        <v>6814</v>
      </c>
      <c r="AB86" s="44" t="s">
        <v>37</v>
      </c>
      <c r="AD86" s="44" t="s">
        <v>37</v>
      </c>
      <c r="AE86" s="44">
        <v>3894</v>
      </c>
      <c r="AF86" s="44" t="s">
        <v>37</v>
      </c>
      <c r="AH86" s="44" t="s">
        <v>37</v>
      </c>
      <c r="AI86" s="44">
        <v>11792</v>
      </c>
      <c r="AJ86" s="44" t="s">
        <v>37</v>
      </c>
      <c r="AL86" s="44" t="s">
        <v>37</v>
      </c>
      <c r="AM86" s="44">
        <v>8535</v>
      </c>
      <c r="AN86" s="44" t="s">
        <v>37</v>
      </c>
      <c r="AP86" s="44" t="s">
        <v>37</v>
      </c>
      <c r="AQ86" s="44">
        <v>119566</v>
      </c>
      <c r="AR86" s="44" t="s">
        <v>37</v>
      </c>
      <c r="AS86" s="44">
        <v>8125</v>
      </c>
      <c r="AT86" s="44" t="s">
        <v>37</v>
      </c>
      <c r="AU86" s="44">
        <v>190363</v>
      </c>
      <c r="AV86" s="44" t="s">
        <v>37</v>
      </c>
      <c r="AW86" s="44">
        <v>41018</v>
      </c>
      <c r="AX86" s="44" t="s">
        <v>37</v>
      </c>
      <c r="AY86" s="44">
        <v>26980</v>
      </c>
      <c r="AZ86" s="44" t="s">
        <v>37</v>
      </c>
      <c r="BA86" s="44">
        <v>35216</v>
      </c>
      <c r="BB86" s="44" t="s">
        <v>37</v>
      </c>
      <c r="BC86" s="44">
        <v>678</v>
      </c>
      <c r="BD86" s="44" t="s">
        <v>37</v>
      </c>
      <c r="BF86" s="44" t="s">
        <v>37</v>
      </c>
      <c r="BG86" s="44">
        <v>5565</v>
      </c>
      <c r="BH86" s="44" t="s">
        <v>37</v>
      </c>
      <c r="BJ86" s="44" t="s">
        <v>37</v>
      </c>
      <c r="BL86" s="44" t="s">
        <v>37</v>
      </c>
      <c r="BM86" s="44">
        <v>5392</v>
      </c>
      <c r="BN86" s="44" t="s">
        <v>37</v>
      </c>
      <c r="BP86" s="44" t="s">
        <v>37</v>
      </c>
      <c r="BQ86" s="44">
        <v>3391</v>
      </c>
      <c r="BR86" s="44" t="s">
        <v>37</v>
      </c>
      <c r="BS86" s="44">
        <v>17320</v>
      </c>
      <c r="BT86" s="44" t="s">
        <v>37</v>
      </c>
      <c r="BU86" s="44">
        <v>7090</v>
      </c>
      <c r="BV86" s="44" t="s">
        <v>37</v>
      </c>
      <c r="BX86" s="44" t="s">
        <v>37</v>
      </c>
      <c r="BY86" s="44">
        <v>56314</v>
      </c>
      <c r="BZ86" s="44" t="s">
        <v>37</v>
      </c>
      <c r="CA86" s="44">
        <v>1324</v>
      </c>
      <c r="CB86" s="44" t="s">
        <v>37</v>
      </c>
      <c r="CD86" s="44" t="s">
        <v>37</v>
      </c>
      <c r="CE86" s="44">
        <v>18334</v>
      </c>
      <c r="CF86" s="44" t="s">
        <v>37</v>
      </c>
      <c r="CH86" s="44" t="s">
        <v>37</v>
      </c>
      <c r="CI86" s="44">
        <v>61327</v>
      </c>
      <c r="CJ86" s="44" t="s">
        <v>37</v>
      </c>
      <c r="CK86" s="44">
        <v>5285</v>
      </c>
      <c r="CL86" s="44" t="s">
        <v>37</v>
      </c>
      <c r="CN86" s="44" t="s">
        <v>37</v>
      </c>
      <c r="CO86" s="44">
        <v>245</v>
      </c>
      <c r="CP86" s="44" t="s">
        <v>37</v>
      </c>
      <c r="CQ86" s="44">
        <v>6633</v>
      </c>
      <c r="CR86" s="44" t="s">
        <v>37</v>
      </c>
      <c r="CS86" s="44">
        <v>44574</v>
      </c>
      <c r="CT86" s="44" t="s">
        <v>37</v>
      </c>
      <c r="CU86" s="44">
        <v>284016</v>
      </c>
      <c r="CV86" s="44" t="s">
        <v>37</v>
      </c>
      <c r="CW86" s="44">
        <v>42142</v>
      </c>
      <c r="CX86" s="44" t="s">
        <v>37</v>
      </c>
      <c r="CY86" s="44">
        <v>5215</v>
      </c>
      <c r="CZ86" s="44" t="s">
        <v>37</v>
      </c>
      <c r="DB86" s="44" t="s">
        <v>37</v>
      </c>
      <c r="DD86" s="44" t="s">
        <v>37</v>
      </c>
      <c r="DE86" s="44">
        <v>12385</v>
      </c>
      <c r="DF86" s="44" t="s">
        <v>37</v>
      </c>
      <c r="DG86" s="44">
        <v>5939</v>
      </c>
      <c r="DH86" s="44" t="s">
        <v>37</v>
      </c>
      <c r="DI86" s="44">
        <v>861</v>
      </c>
      <c r="DJ86" s="44" t="s">
        <v>37</v>
      </c>
      <c r="DK86" s="44">
        <v>14439</v>
      </c>
      <c r="DL86" s="44" t="s">
        <v>37</v>
      </c>
      <c r="DM86" s="44">
        <v>45682</v>
      </c>
      <c r="DN86" s="44" t="s">
        <v>37</v>
      </c>
      <c r="DO86" s="44">
        <v>43560</v>
      </c>
      <c r="DP86" s="44" t="s">
        <v>37</v>
      </c>
      <c r="DQ86" s="44">
        <v>13893</v>
      </c>
      <c r="DR86" s="44" t="s">
        <v>37</v>
      </c>
      <c r="DS86" s="44">
        <v>13862</v>
      </c>
      <c r="DT86" s="44" t="s">
        <v>37</v>
      </c>
      <c r="DU86" s="44">
        <v>12204</v>
      </c>
      <c r="DV86" s="44" t="s">
        <v>37</v>
      </c>
      <c r="DW86" s="44">
        <v>28555</v>
      </c>
      <c r="DX86" s="44" t="s">
        <v>37</v>
      </c>
      <c r="DY86" s="44">
        <v>39521</v>
      </c>
      <c r="DZ86" s="44" t="s">
        <v>37</v>
      </c>
      <c r="EA86" s="44">
        <v>9552</v>
      </c>
      <c r="EB86" s="44" t="s">
        <v>37</v>
      </c>
      <c r="EC86" s="44">
        <v>15241</v>
      </c>
      <c r="ED86" s="44" t="s">
        <v>37</v>
      </c>
      <c r="EE86" s="44">
        <v>1231</v>
      </c>
      <c r="EF86" s="44" t="s">
        <v>37</v>
      </c>
      <c r="EG86" s="44">
        <v>2520</v>
      </c>
      <c r="EH86" s="44" t="s">
        <v>37</v>
      </c>
      <c r="EJ86" s="44" t="s">
        <v>37</v>
      </c>
      <c r="EK86" s="44">
        <v>13536</v>
      </c>
      <c r="EL86" s="44" t="s">
        <v>37</v>
      </c>
      <c r="EM86" s="44">
        <v>9164</v>
      </c>
      <c r="EN86" s="44" t="s">
        <v>37</v>
      </c>
      <c r="EO86" s="44">
        <v>3660</v>
      </c>
      <c r="EP86" s="44" t="s">
        <v>37</v>
      </c>
      <c r="ER86" s="44" t="s">
        <v>37</v>
      </c>
      <c r="ES86" s="44">
        <v>22143</v>
      </c>
      <c r="ET86" s="44" t="s">
        <v>37</v>
      </c>
      <c r="EU86" s="44">
        <v>26663</v>
      </c>
      <c r="EV86" s="44" t="s">
        <v>37</v>
      </c>
      <c r="EW86" s="44">
        <v>47210</v>
      </c>
      <c r="EX86" s="44" t="s">
        <v>37</v>
      </c>
      <c r="EZ86" s="44" t="s">
        <v>37</v>
      </c>
      <c r="FA86" s="44">
        <v>14188</v>
      </c>
      <c r="FB86" s="44" t="s">
        <v>37</v>
      </c>
      <c r="FC86" s="44">
        <v>18418</v>
      </c>
      <c r="FD86" s="44" t="s">
        <v>37</v>
      </c>
      <c r="FE86" s="44">
        <v>31681</v>
      </c>
      <c r="FF86" s="44" t="s">
        <v>37</v>
      </c>
      <c r="FH86" s="44" t="s">
        <v>37</v>
      </c>
      <c r="FI86" s="44">
        <v>74139</v>
      </c>
      <c r="FJ86" s="44" t="s">
        <v>37</v>
      </c>
      <c r="FK86" s="44">
        <v>62100</v>
      </c>
      <c r="FL86" s="44" t="s">
        <v>37</v>
      </c>
      <c r="FM86" s="44">
        <v>29620</v>
      </c>
      <c r="FN86" s="44" t="s">
        <v>37</v>
      </c>
      <c r="FO86" s="44">
        <v>10121</v>
      </c>
      <c r="FP86" s="44" t="s">
        <v>37</v>
      </c>
      <c r="FQ86" s="44">
        <v>21045</v>
      </c>
      <c r="FR86" s="44" t="s">
        <v>37</v>
      </c>
      <c r="FS86" s="44">
        <v>9338</v>
      </c>
      <c r="FT86" s="44" t="s">
        <v>37</v>
      </c>
      <c r="FU86" s="44">
        <v>13663</v>
      </c>
      <c r="FV86" s="44" t="s">
        <v>37</v>
      </c>
      <c r="FW86" s="44">
        <v>13436</v>
      </c>
      <c r="FX86" s="44" t="s">
        <v>37</v>
      </c>
      <c r="FY86" s="44">
        <v>29152</v>
      </c>
      <c r="FZ86" s="44" t="s">
        <v>37</v>
      </c>
      <c r="GA86" s="44">
        <v>41537</v>
      </c>
      <c r="GB86" s="44" t="s">
        <v>37</v>
      </c>
      <c r="GC86" s="44">
        <v>33881</v>
      </c>
      <c r="GD86" s="44" t="s">
        <v>37</v>
      </c>
      <c r="GF86" s="44" t="s">
        <v>37</v>
      </c>
      <c r="GH86" s="44" t="s">
        <v>37</v>
      </c>
      <c r="GJ86" s="44" t="s">
        <v>37</v>
      </c>
      <c r="GK86" s="44">
        <v>36711</v>
      </c>
      <c r="GL86" s="44" t="s">
        <v>37</v>
      </c>
      <c r="GM86" s="44">
        <v>32253</v>
      </c>
      <c r="GN86" s="44" t="s">
        <v>37</v>
      </c>
      <c r="GP86" s="44" t="s">
        <v>37</v>
      </c>
      <c r="GQ86" s="44">
        <v>22145</v>
      </c>
      <c r="GR86" s="44" t="s">
        <v>37</v>
      </c>
      <c r="GS86" s="44">
        <v>22427</v>
      </c>
      <c r="GT86" s="44" t="s">
        <v>37</v>
      </c>
      <c r="GU86" s="44">
        <v>22740</v>
      </c>
      <c r="GV86" s="44" t="s">
        <v>37</v>
      </c>
      <c r="GW86" s="44">
        <v>22555</v>
      </c>
      <c r="GX86" s="44" t="s">
        <v>37</v>
      </c>
      <c r="GY86" s="44">
        <v>69844</v>
      </c>
      <c r="GZ86" s="44" t="s">
        <v>37</v>
      </c>
      <c r="HA86" s="44">
        <v>29823</v>
      </c>
      <c r="HB86" s="44" t="s">
        <v>37</v>
      </c>
      <c r="HD86" s="44" t="s">
        <v>37</v>
      </c>
      <c r="HF86" s="44" t="s">
        <v>37</v>
      </c>
      <c r="HG86" s="44">
        <v>2200897</v>
      </c>
      <c r="HH86" s="44" t="s">
        <v>37</v>
      </c>
      <c r="HJ86" s="44" t="s">
        <v>37</v>
      </c>
      <c r="HK86" s="44">
        <v>2200897</v>
      </c>
      <c r="HL86" s="44" t="s">
        <v>37</v>
      </c>
    </row>
    <row r="87" spans="1:220">
      <c r="A87" s="150" t="s">
        <v>411</v>
      </c>
      <c r="B87" s="44">
        <v>3128</v>
      </c>
      <c r="C87" s="44" t="s">
        <v>104</v>
      </c>
      <c r="D87" s="44" t="s">
        <v>37</v>
      </c>
      <c r="E87" s="44">
        <v>7201</v>
      </c>
      <c r="F87" s="44" t="s">
        <v>37</v>
      </c>
      <c r="H87" s="44" t="s">
        <v>37</v>
      </c>
      <c r="J87" s="44" t="s">
        <v>37</v>
      </c>
      <c r="L87" s="48" t="s">
        <v>37</v>
      </c>
      <c r="M87" s="51">
        <v>3233</v>
      </c>
      <c r="N87" s="48" t="s">
        <v>37</v>
      </c>
      <c r="O87" s="50"/>
      <c r="P87" s="48" t="s">
        <v>37</v>
      </c>
      <c r="Q87" s="50"/>
      <c r="R87" s="48" t="s">
        <v>37</v>
      </c>
      <c r="S87" s="50"/>
      <c r="T87" s="48" t="s">
        <v>37</v>
      </c>
      <c r="V87" s="44" t="s">
        <v>37</v>
      </c>
      <c r="X87" s="44" t="s">
        <v>37</v>
      </c>
      <c r="Z87" s="44" t="s">
        <v>37</v>
      </c>
      <c r="AB87" s="44" t="s">
        <v>37</v>
      </c>
      <c r="AD87" s="44" t="s">
        <v>37</v>
      </c>
      <c r="AF87" s="44" t="s">
        <v>37</v>
      </c>
      <c r="AH87" s="44" t="s">
        <v>37</v>
      </c>
      <c r="AJ87" s="44" t="s">
        <v>37</v>
      </c>
      <c r="AL87" s="44" t="s">
        <v>37</v>
      </c>
      <c r="AN87" s="44" t="s">
        <v>37</v>
      </c>
      <c r="AP87" s="44" t="s">
        <v>37</v>
      </c>
      <c r="AQ87" s="44">
        <v>109208</v>
      </c>
      <c r="AR87" s="44" t="s">
        <v>37</v>
      </c>
      <c r="AS87" s="44">
        <v>2900</v>
      </c>
      <c r="AT87" s="44" t="s">
        <v>37</v>
      </c>
      <c r="AU87" s="44">
        <v>49346</v>
      </c>
      <c r="AV87" s="44" t="s">
        <v>37</v>
      </c>
      <c r="AX87" s="44" t="s">
        <v>37</v>
      </c>
      <c r="AY87" s="44">
        <v>7109</v>
      </c>
      <c r="AZ87" s="44" t="s">
        <v>37</v>
      </c>
      <c r="BB87" s="44" t="s">
        <v>37</v>
      </c>
      <c r="BC87" s="44">
        <v>12000</v>
      </c>
      <c r="BD87" s="44" t="s">
        <v>37</v>
      </c>
      <c r="BF87" s="44" t="s">
        <v>37</v>
      </c>
      <c r="BH87" s="44" t="s">
        <v>37</v>
      </c>
      <c r="BJ87" s="44" t="s">
        <v>37</v>
      </c>
      <c r="BL87" s="44" t="s">
        <v>37</v>
      </c>
      <c r="BN87" s="44" t="s">
        <v>37</v>
      </c>
      <c r="BP87" s="44" t="s">
        <v>37</v>
      </c>
      <c r="BR87" s="44" t="s">
        <v>37</v>
      </c>
      <c r="BT87" s="44" t="s">
        <v>37</v>
      </c>
      <c r="BV87" s="44" t="s">
        <v>37</v>
      </c>
      <c r="BX87" s="44" t="s">
        <v>37</v>
      </c>
      <c r="BZ87" s="44" t="s">
        <v>37</v>
      </c>
      <c r="CB87" s="44" t="s">
        <v>37</v>
      </c>
      <c r="CD87" s="44" t="s">
        <v>37</v>
      </c>
      <c r="CF87" s="44" t="s">
        <v>37</v>
      </c>
      <c r="CH87" s="44" t="s">
        <v>37</v>
      </c>
      <c r="CI87" s="44">
        <v>29843</v>
      </c>
      <c r="CJ87" s="44" t="s">
        <v>37</v>
      </c>
      <c r="CL87" s="44" t="s">
        <v>37</v>
      </c>
      <c r="CN87" s="44" t="s">
        <v>37</v>
      </c>
      <c r="CP87" s="44" t="s">
        <v>37</v>
      </c>
      <c r="CR87" s="44" t="s">
        <v>37</v>
      </c>
      <c r="CT87" s="44" t="s">
        <v>37</v>
      </c>
      <c r="CU87" s="44">
        <v>7000</v>
      </c>
      <c r="CV87" s="44" t="s">
        <v>37</v>
      </c>
      <c r="CX87" s="44" t="s">
        <v>37</v>
      </c>
      <c r="CZ87" s="44" t="s">
        <v>37</v>
      </c>
      <c r="DB87" s="44" t="s">
        <v>37</v>
      </c>
      <c r="DD87" s="44" t="s">
        <v>37</v>
      </c>
      <c r="DF87" s="44" t="s">
        <v>37</v>
      </c>
      <c r="DH87" s="44" t="s">
        <v>37</v>
      </c>
      <c r="DI87" s="44">
        <v>4512</v>
      </c>
      <c r="DJ87" s="44" t="s">
        <v>37</v>
      </c>
      <c r="DL87" s="44" t="s">
        <v>37</v>
      </c>
      <c r="DN87" s="44" t="s">
        <v>37</v>
      </c>
      <c r="DO87" s="44">
        <v>7827</v>
      </c>
      <c r="DP87" s="44" t="s">
        <v>37</v>
      </c>
      <c r="DR87" s="44" t="s">
        <v>37</v>
      </c>
      <c r="DS87" s="44">
        <v>887</v>
      </c>
      <c r="DT87" s="44" t="s">
        <v>37</v>
      </c>
      <c r="DV87" s="44" t="s">
        <v>37</v>
      </c>
      <c r="DW87" s="44">
        <v>22396</v>
      </c>
      <c r="DX87" s="44" t="s">
        <v>37</v>
      </c>
      <c r="DZ87" s="44" t="s">
        <v>37</v>
      </c>
      <c r="EB87" s="44" t="s">
        <v>37</v>
      </c>
      <c r="ED87" s="44" t="s">
        <v>37</v>
      </c>
      <c r="EF87" s="44" t="s">
        <v>37</v>
      </c>
      <c r="EH87" s="44" t="s">
        <v>37</v>
      </c>
      <c r="EJ87" s="44" t="s">
        <v>37</v>
      </c>
      <c r="EL87" s="44" t="s">
        <v>37</v>
      </c>
      <c r="EN87" s="44" t="s">
        <v>37</v>
      </c>
      <c r="EP87" s="44" t="s">
        <v>37</v>
      </c>
      <c r="ER87" s="44" t="s">
        <v>37</v>
      </c>
      <c r="ET87" s="44" t="s">
        <v>37</v>
      </c>
      <c r="EU87" s="44">
        <v>7938</v>
      </c>
      <c r="EV87" s="44" t="s">
        <v>37</v>
      </c>
      <c r="EW87" s="44">
        <v>34909</v>
      </c>
      <c r="EX87" s="44" t="s">
        <v>37</v>
      </c>
      <c r="EZ87" s="44" t="s">
        <v>37</v>
      </c>
      <c r="FA87" s="44">
        <v>10214</v>
      </c>
      <c r="FB87" s="44" t="s">
        <v>37</v>
      </c>
      <c r="FD87" s="44" t="s">
        <v>37</v>
      </c>
      <c r="FF87" s="44" t="s">
        <v>37</v>
      </c>
      <c r="FH87" s="44" t="s">
        <v>37</v>
      </c>
      <c r="FI87" s="44">
        <v>2390</v>
      </c>
      <c r="FJ87" s="44" t="s">
        <v>37</v>
      </c>
      <c r="FK87" s="44">
        <v>21201</v>
      </c>
      <c r="FL87" s="44" t="s">
        <v>37</v>
      </c>
      <c r="FN87" s="44" t="s">
        <v>37</v>
      </c>
      <c r="FP87" s="44" t="s">
        <v>37</v>
      </c>
      <c r="FR87" s="44" t="s">
        <v>37</v>
      </c>
      <c r="FT87" s="44" t="s">
        <v>37</v>
      </c>
      <c r="FU87" s="44">
        <v>15800</v>
      </c>
      <c r="FV87" s="44" t="s">
        <v>37</v>
      </c>
      <c r="FX87" s="44" t="s">
        <v>37</v>
      </c>
      <c r="FZ87" s="44" t="s">
        <v>37</v>
      </c>
      <c r="GB87" s="44" t="s">
        <v>37</v>
      </c>
      <c r="GD87" s="44" t="s">
        <v>37</v>
      </c>
      <c r="GF87" s="44" t="s">
        <v>37</v>
      </c>
      <c r="GH87" s="44" t="s">
        <v>37</v>
      </c>
      <c r="GJ87" s="44" t="s">
        <v>37</v>
      </c>
      <c r="GL87" s="44" t="s">
        <v>37</v>
      </c>
      <c r="GM87" s="44">
        <v>14789</v>
      </c>
      <c r="GN87" s="44" t="s">
        <v>37</v>
      </c>
      <c r="GP87" s="44" t="s">
        <v>37</v>
      </c>
      <c r="GR87" s="44" t="s">
        <v>37</v>
      </c>
      <c r="GS87" s="44">
        <v>26208</v>
      </c>
      <c r="GT87" s="44" t="s">
        <v>37</v>
      </c>
      <c r="GU87" s="44">
        <v>1798</v>
      </c>
      <c r="GV87" s="44" t="s">
        <v>37</v>
      </c>
      <c r="GW87" s="44">
        <v>3087</v>
      </c>
      <c r="GX87" s="44" t="s">
        <v>37</v>
      </c>
      <c r="GY87" s="44">
        <v>6099</v>
      </c>
      <c r="GZ87" s="44" t="s">
        <v>37</v>
      </c>
      <c r="HA87" s="44">
        <v>27800</v>
      </c>
      <c r="HB87" s="44" t="s">
        <v>37</v>
      </c>
      <c r="HD87" s="44" t="s">
        <v>37</v>
      </c>
      <c r="HF87" s="44" t="s">
        <v>37</v>
      </c>
      <c r="HG87" s="44">
        <v>435695</v>
      </c>
      <c r="HH87" s="44" t="s">
        <v>37</v>
      </c>
      <c r="HJ87" s="44" t="s">
        <v>37</v>
      </c>
      <c r="HK87" s="44">
        <v>435695</v>
      </c>
      <c r="HL87" s="44" t="s">
        <v>37</v>
      </c>
    </row>
    <row r="88" spans="1:220">
      <c r="A88" s="150" t="s">
        <v>411</v>
      </c>
      <c r="B88" s="44">
        <v>3129</v>
      </c>
      <c r="C88" s="44" t="s">
        <v>113</v>
      </c>
      <c r="D88" s="44" t="s">
        <v>37</v>
      </c>
      <c r="F88" s="44" t="s">
        <v>37</v>
      </c>
      <c r="H88" s="44" t="s">
        <v>37</v>
      </c>
      <c r="J88" s="44" t="s">
        <v>37</v>
      </c>
      <c r="L88" s="48" t="s">
        <v>37</v>
      </c>
      <c r="M88" s="50"/>
      <c r="N88" s="48" t="s">
        <v>37</v>
      </c>
      <c r="O88" s="50"/>
      <c r="P88" s="48" t="s">
        <v>37</v>
      </c>
      <c r="Q88" s="50"/>
      <c r="R88" s="48" t="s">
        <v>37</v>
      </c>
      <c r="S88" s="50"/>
      <c r="T88" s="48" t="s">
        <v>37</v>
      </c>
      <c r="V88" s="44" t="s">
        <v>37</v>
      </c>
      <c r="X88" s="44" t="s">
        <v>37</v>
      </c>
      <c r="Z88" s="44" t="s">
        <v>37</v>
      </c>
      <c r="AB88" s="44" t="s">
        <v>37</v>
      </c>
      <c r="AD88" s="44" t="s">
        <v>37</v>
      </c>
      <c r="AF88" s="44" t="s">
        <v>37</v>
      </c>
      <c r="AH88" s="44" t="s">
        <v>37</v>
      </c>
      <c r="AJ88" s="44" t="s">
        <v>37</v>
      </c>
      <c r="AL88" s="44" t="s">
        <v>37</v>
      </c>
      <c r="AN88" s="44" t="s">
        <v>37</v>
      </c>
      <c r="AP88" s="44" t="s">
        <v>37</v>
      </c>
      <c r="AR88" s="44" t="s">
        <v>37</v>
      </c>
      <c r="AT88" s="44" t="s">
        <v>37</v>
      </c>
      <c r="AV88" s="44" t="s">
        <v>37</v>
      </c>
      <c r="AX88" s="44" t="s">
        <v>37</v>
      </c>
      <c r="AZ88" s="44" t="s">
        <v>37</v>
      </c>
      <c r="BB88" s="44" t="s">
        <v>37</v>
      </c>
      <c r="BD88" s="44" t="s">
        <v>37</v>
      </c>
      <c r="BF88" s="44" t="s">
        <v>37</v>
      </c>
      <c r="BH88" s="44" t="s">
        <v>37</v>
      </c>
      <c r="BJ88" s="44" t="s">
        <v>37</v>
      </c>
      <c r="BL88" s="44" t="s">
        <v>37</v>
      </c>
      <c r="BN88" s="44" t="s">
        <v>37</v>
      </c>
      <c r="BP88" s="44" t="s">
        <v>37</v>
      </c>
      <c r="BR88" s="44" t="s">
        <v>37</v>
      </c>
      <c r="BT88" s="44" t="s">
        <v>37</v>
      </c>
      <c r="BV88" s="44" t="s">
        <v>37</v>
      </c>
      <c r="BX88" s="44" t="s">
        <v>37</v>
      </c>
      <c r="BZ88" s="44" t="s">
        <v>37</v>
      </c>
      <c r="CB88" s="44" t="s">
        <v>37</v>
      </c>
      <c r="CD88" s="44" t="s">
        <v>37</v>
      </c>
      <c r="CF88" s="44" t="s">
        <v>37</v>
      </c>
      <c r="CH88" s="44" t="s">
        <v>37</v>
      </c>
      <c r="CJ88" s="44" t="s">
        <v>37</v>
      </c>
      <c r="CL88" s="44" t="s">
        <v>37</v>
      </c>
      <c r="CN88" s="44" t="s">
        <v>37</v>
      </c>
      <c r="CP88" s="44" t="s">
        <v>37</v>
      </c>
      <c r="CR88" s="44" t="s">
        <v>37</v>
      </c>
      <c r="CT88" s="44" t="s">
        <v>37</v>
      </c>
      <c r="CV88" s="44" t="s">
        <v>37</v>
      </c>
      <c r="CX88" s="44" t="s">
        <v>37</v>
      </c>
      <c r="CZ88" s="44" t="s">
        <v>37</v>
      </c>
      <c r="DB88" s="44" t="s">
        <v>37</v>
      </c>
      <c r="DD88" s="44" t="s">
        <v>37</v>
      </c>
      <c r="DF88" s="44" t="s">
        <v>37</v>
      </c>
      <c r="DH88" s="44" t="s">
        <v>37</v>
      </c>
      <c r="DJ88" s="44" t="s">
        <v>37</v>
      </c>
      <c r="DL88" s="44" t="s">
        <v>37</v>
      </c>
      <c r="DN88" s="44" t="s">
        <v>37</v>
      </c>
      <c r="DP88" s="44" t="s">
        <v>37</v>
      </c>
      <c r="DR88" s="44" t="s">
        <v>37</v>
      </c>
      <c r="DT88" s="44" t="s">
        <v>37</v>
      </c>
      <c r="DV88" s="44" t="s">
        <v>37</v>
      </c>
      <c r="DX88" s="44" t="s">
        <v>37</v>
      </c>
      <c r="DZ88" s="44" t="s">
        <v>37</v>
      </c>
      <c r="EB88" s="44" t="s">
        <v>37</v>
      </c>
      <c r="ED88" s="44" t="s">
        <v>37</v>
      </c>
      <c r="EF88" s="44" t="s">
        <v>37</v>
      </c>
      <c r="EH88" s="44" t="s">
        <v>37</v>
      </c>
      <c r="EJ88" s="44" t="s">
        <v>37</v>
      </c>
      <c r="EL88" s="44" t="s">
        <v>37</v>
      </c>
      <c r="EN88" s="44" t="s">
        <v>37</v>
      </c>
      <c r="EP88" s="44" t="s">
        <v>37</v>
      </c>
      <c r="ER88" s="44" t="s">
        <v>37</v>
      </c>
      <c r="ET88" s="44" t="s">
        <v>37</v>
      </c>
      <c r="EV88" s="44" t="s">
        <v>37</v>
      </c>
      <c r="EX88" s="44" t="s">
        <v>37</v>
      </c>
      <c r="EZ88" s="44" t="s">
        <v>37</v>
      </c>
      <c r="FB88" s="44" t="s">
        <v>37</v>
      </c>
      <c r="FD88" s="44" t="s">
        <v>37</v>
      </c>
      <c r="FF88" s="44" t="s">
        <v>37</v>
      </c>
      <c r="FH88" s="44" t="s">
        <v>37</v>
      </c>
      <c r="FJ88" s="44" t="s">
        <v>37</v>
      </c>
      <c r="FL88" s="44" t="s">
        <v>37</v>
      </c>
      <c r="FN88" s="44" t="s">
        <v>37</v>
      </c>
      <c r="FP88" s="44" t="s">
        <v>37</v>
      </c>
      <c r="FR88" s="44" t="s">
        <v>37</v>
      </c>
      <c r="FT88" s="44" t="s">
        <v>37</v>
      </c>
      <c r="FV88" s="44" t="s">
        <v>37</v>
      </c>
      <c r="FX88" s="44" t="s">
        <v>37</v>
      </c>
      <c r="FZ88" s="44" t="s">
        <v>37</v>
      </c>
      <c r="GB88" s="44" t="s">
        <v>37</v>
      </c>
      <c r="GD88" s="44" t="s">
        <v>37</v>
      </c>
      <c r="GF88" s="44" t="s">
        <v>37</v>
      </c>
      <c r="GH88" s="44" t="s">
        <v>37</v>
      </c>
      <c r="GJ88" s="44" t="s">
        <v>37</v>
      </c>
      <c r="GL88" s="44" t="s">
        <v>37</v>
      </c>
      <c r="GN88" s="44" t="s">
        <v>37</v>
      </c>
      <c r="GP88" s="44" t="s">
        <v>37</v>
      </c>
      <c r="GR88" s="44" t="s">
        <v>37</v>
      </c>
      <c r="GT88" s="44" t="s">
        <v>37</v>
      </c>
      <c r="GV88" s="44" t="s">
        <v>37</v>
      </c>
      <c r="GX88" s="44" t="s">
        <v>37</v>
      </c>
      <c r="GZ88" s="44" t="s">
        <v>37</v>
      </c>
      <c r="HB88" s="44" t="s">
        <v>37</v>
      </c>
      <c r="HD88" s="44" t="s">
        <v>37</v>
      </c>
      <c r="HF88" s="44" t="s">
        <v>37</v>
      </c>
      <c r="HH88" s="44" t="s">
        <v>37</v>
      </c>
      <c r="HJ88" s="44" t="s">
        <v>37</v>
      </c>
      <c r="HL88" s="44" t="s">
        <v>37</v>
      </c>
    </row>
    <row r="89" spans="1:220">
      <c r="A89" s="150" t="s">
        <v>408</v>
      </c>
      <c r="B89" s="54">
        <v>3130</v>
      </c>
      <c r="C89" s="44" t="s">
        <v>114</v>
      </c>
      <c r="D89" s="44" t="s">
        <v>37</v>
      </c>
      <c r="F89" s="44" t="s">
        <v>37</v>
      </c>
      <c r="H89" s="44" t="s">
        <v>37</v>
      </c>
      <c r="J89" s="44" t="s">
        <v>37</v>
      </c>
      <c r="L89" s="48" t="s">
        <v>37</v>
      </c>
      <c r="M89" s="50"/>
      <c r="N89" s="48" t="s">
        <v>37</v>
      </c>
      <c r="O89" s="50"/>
      <c r="P89" s="48" t="s">
        <v>37</v>
      </c>
      <c r="Q89" s="50"/>
      <c r="R89" s="48" t="s">
        <v>37</v>
      </c>
      <c r="S89" s="50"/>
      <c r="T89" s="48" t="s">
        <v>37</v>
      </c>
      <c r="V89" s="44" t="s">
        <v>37</v>
      </c>
      <c r="X89" s="44" t="s">
        <v>37</v>
      </c>
      <c r="Z89" s="44" t="s">
        <v>37</v>
      </c>
      <c r="AB89" s="44" t="s">
        <v>37</v>
      </c>
      <c r="AD89" s="44" t="s">
        <v>37</v>
      </c>
      <c r="AF89" s="44" t="s">
        <v>37</v>
      </c>
      <c r="AH89" s="44" t="s">
        <v>37</v>
      </c>
      <c r="AJ89" s="44" t="s">
        <v>37</v>
      </c>
      <c r="AL89" s="44" t="s">
        <v>37</v>
      </c>
      <c r="AN89" s="44" t="s">
        <v>37</v>
      </c>
      <c r="AP89" s="44" t="s">
        <v>37</v>
      </c>
      <c r="AR89" s="44" t="s">
        <v>37</v>
      </c>
      <c r="AT89" s="44" t="s">
        <v>37</v>
      </c>
      <c r="AV89" s="44" t="s">
        <v>37</v>
      </c>
      <c r="AX89" s="44" t="s">
        <v>37</v>
      </c>
      <c r="AZ89" s="44" t="s">
        <v>37</v>
      </c>
      <c r="BB89" s="44" t="s">
        <v>37</v>
      </c>
      <c r="BD89" s="44" t="s">
        <v>37</v>
      </c>
      <c r="BF89" s="44" t="s">
        <v>37</v>
      </c>
      <c r="BH89" s="44" t="s">
        <v>37</v>
      </c>
      <c r="BJ89" s="44" t="s">
        <v>37</v>
      </c>
      <c r="BL89" s="44" t="s">
        <v>37</v>
      </c>
      <c r="BN89" s="44" t="s">
        <v>37</v>
      </c>
      <c r="BP89" s="44" t="s">
        <v>37</v>
      </c>
      <c r="BR89" s="44" t="s">
        <v>37</v>
      </c>
      <c r="BT89" s="44" t="s">
        <v>37</v>
      </c>
      <c r="BV89" s="44" t="s">
        <v>37</v>
      </c>
      <c r="BX89" s="44" t="s">
        <v>37</v>
      </c>
      <c r="BZ89" s="44" t="s">
        <v>37</v>
      </c>
      <c r="CB89" s="44" t="s">
        <v>37</v>
      </c>
      <c r="CD89" s="44" t="s">
        <v>37</v>
      </c>
      <c r="CF89" s="44" t="s">
        <v>37</v>
      </c>
      <c r="CH89" s="44" t="s">
        <v>37</v>
      </c>
      <c r="CJ89" s="44" t="s">
        <v>37</v>
      </c>
      <c r="CL89" s="44" t="s">
        <v>37</v>
      </c>
      <c r="CN89" s="44" t="s">
        <v>37</v>
      </c>
      <c r="CP89" s="44" t="s">
        <v>37</v>
      </c>
      <c r="CR89" s="44" t="s">
        <v>37</v>
      </c>
      <c r="CT89" s="44" t="s">
        <v>37</v>
      </c>
      <c r="CV89" s="44" t="s">
        <v>37</v>
      </c>
      <c r="CX89" s="44" t="s">
        <v>37</v>
      </c>
      <c r="CZ89" s="44" t="s">
        <v>37</v>
      </c>
      <c r="DB89" s="44" t="s">
        <v>37</v>
      </c>
      <c r="DD89" s="44" t="s">
        <v>37</v>
      </c>
      <c r="DF89" s="44" t="s">
        <v>37</v>
      </c>
      <c r="DH89" s="44" t="s">
        <v>37</v>
      </c>
      <c r="DJ89" s="44" t="s">
        <v>37</v>
      </c>
      <c r="DL89" s="44" t="s">
        <v>37</v>
      </c>
      <c r="DN89" s="44" t="s">
        <v>37</v>
      </c>
      <c r="DP89" s="44" t="s">
        <v>37</v>
      </c>
      <c r="DR89" s="44" t="s">
        <v>37</v>
      </c>
      <c r="DT89" s="44" t="s">
        <v>37</v>
      </c>
      <c r="DV89" s="44" t="s">
        <v>37</v>
      </c>
      <c r="DX89" s="44" t="s">
        <v>37</v>
      </c>
      <c r="DZ89" s="44" t="s">
        <v>37</v>
      </c>
      <c r="EB89" s="44" t="s">
        <v>37</v>
      </c>
      <c r="ED89" s="44" t="s">
        <v>37</v>
      </c>
      <c r="EF89" s="44" t="s">
        <v>37</v>
      </c>
      <c r="EH89" s="44" t="s">
        <v>37</v>
      </c>
      <c r="EJ89" s="44" t="s">
        <v>37</v>
      </c>
      <c r="EL89" s="44" t="s">
        <v>37</v>
      </c>
      <c r="EN89" s="44" t="s">
        <v>37</v>
      </c>
      <c r="EP89" s="44" t="s">
        <v>37</v>
      </c>
      <c r="ER89" s="44" t="s">
        <v>37</v>
      </c>
      <c r="ET89" s="44" t="s">
        <v>37</v>
      </c>
      <c r="EV89" s="44" t="s">
        <v>37</v>
      </c>
      <c r="EX89" s="44" t="s">
        <v>37</v>
      </c>
      <c r="EZ89" s="44" t="s">
        <v>37</v>
      </c>
      <c r="FB89" s="44" t="s">
        <v>37</v>
      </c>
      <c r="FD89" s="44" t="s">
        <v>37</v>
      </c>
      <c r="FF89" s="44" t="s">
        <v>37</v>
      </c>
      <c r="FH89" s="44" t="s">
        <v>37</v>
      </c>
      <c r="FJ89" s="44" t="s">
        <v>37</v>
      </c>
      <c r="FL89" s="44" t="s">
        <v>37</v>
      </c>
      <c r="FN89" s="44" t="s">
        <v>37</v>
      </c>
      <c r="FP89" s="44" t="s">
        <v>37</v>
      </c>
      <c r="FR89" s="44" t="s">
        <v>37</v>
      </c>
      <c r="FT89" s="44" t="s">
        <v>37</v>
      </c>
      <c r="FV89" s="44" t="s">
        <v>37</v>
      </c>
      <c r="FX89" s="44" t="s">
        <v>37</v>
      </c>
      <c r="FZ89" s="44" t="s">
        <v>37</v>
      </c>
      <c r="GB89" s="44" t="s">
        <v>37</v>
      </c>
      <c r="GD89" s="44" t="s">
        <v>37</v>
      </c>
      <c r="GF89" s="44" t="s">
        <v>37</v>
      </c>
      <c r="GH89" s="44" t="s">
        <v>37</v>
      </c>
      <c r="GJ89" s="44" t="s">
        <v>37</v>
      </c>
      <c r="GL89" s="44" t="s">
        <v>37</v>
      </c>
      <c r="GN89" s="44" t="s">
        <v>37</v>
      </c>
      <c r="GP89" s="44" t="s">
        <v>37</v>
      </c>
      <c r="GR89" s="44" t="s">
        <v>37</v>
      </c>
      <c r="GT89" s="44" t="s">
        <v>37</v>
      </c>
      <c r="GV89" s="44" t="s">
        <v>37</v>
      </c>
      <c r="GX89" s="44" t="s">
        <v>37</v>
      </c>
      <c r="GZ89" s="44" t="s">
        <v>37</v>
      </c>
      <c r="HB89" s="44" t="s">
        <v>37</v>
      </c>
      <c r="HD89" s="44" t="s">
        <v>37</v>
      </c>
      <c r="HF89" s="44" t="s">
        <v>37</v>
      </c>
      <c r="HH89" s="44" t="s">
        <v>37</v>
      </c>
      <c r="HJ89" s="44" t="s">
        <v>37</v>
      </c>
      <c r="HL89" s="44" t="s">
        <v>37</v>
      </c>
    </row>
    <row r="90" spans="1:220">
      <c r="A90" s="150" t="s">
        <v>411</v>
      </c>
      <c r="B90" s="44">
        <v>3131</v>
      </c>
      <c r="C90" s="44" t="s">
        <v>115</v>
      </c>
      <c r="D90" s="44" t="s">
        <v>37</v>
      </c>
      <c r="E90" s="44">
        <v>764</v>
      </c>
      <c r="F90" s="44" t="s">
        <v>37</v>
      </c>
      <c r="G90" s="44">
        <v>9534</v>
      </c>
      <c r="H90" s="44" t="s">
        <v>37</v>
      </c>
      <c r="I90" s="44">
        <v>764</v>
      </c>
      <c r="J90" s="44" t="s">
        <v>37</v>
      </c>
      <c r="L90" s="48" t="s">
        <v>37</v>
      </c>
      <c r="M90" s="50">
        <v>859</v>
      </c>
      <c r="N90" s="48" t="s">
        <v>37</v>
      </c>
      <c r="O90" s="51">
        <v>5980</v>
      </c>
      <c r="P90" s="48" t="s">
        <v>37</v>
      </c>
      <c r="Q90" s="50">
        <v>859</v>
      </c>
      <c r="R90" s="48" t="s">
        <v>37</v>
      </c>
      <c r="S90" s="50">
        <v>859</v>
      </c>
      <c r="T90" s="48" t="s">
        <v>37</v>
      </c>
      <c r="U90" s="44">
        <v>5183</v>
      </c>
      <c r="V90" s="44" t="s">
        <v>37</v>
      </c>
      <c r="X90" s="44" t="s">
        <v>37</v>
      </c>
      <c r="Z90" s="44" t="s">
        <v>37</v>
      </c>
      <c r="AA90" s="44">
        <v>764</v>
      </c>
      <c r="AB90" s="44" t="s">
        <v>37</v>
      </c>
      <c r="AC90" s="44">
        <v>764</v>
      </c>
      <c r="AD90" s="44" t="s">
        <v>37</v>
      </c>
      <c r="AE90" s="44">
        <v>4146</v>
      </c>
      <c r="AF90" s="44" t="s">
        <v>37</v>
      </c>
      <c r="AG90" s="44">
        <v>764</v>
      </c>
      <c r="AH90" s="44" t="s">
        <v>37</v>
      </c>
      <c r="AI90" s="44">
        <v>764</v>
      </c>
      <c r="AJ90" s="44" t="s">
        <v>37</v>
      </c>
      <c r="AL90" s="44" t="s">
        <v>37</v>
      </c>
      <c r="AM90" s="44">
        <v>3437</v>
      </c>
      <c r="AN90" s="44" t="s">
        <v>37</v>
      </c>
      <c r="AP90" s="44" t="s">
        <v>37</v>
      </c>
      <c r="AQ90" s="44">
        <v>10378</v>
      </c>
      <c r="AR90" s="44" t="s">
        <v>37</v>
      </c>
      <c r="AS90" s="44">
        <v>21019</v>
      </c>
      <c r="AT90" s="44" t="s">
        <v>37</v>
      </c>
      <c r="AU90" s="44">
        <v>22083</v>
      </c>
      <c r="AV90" s="44" t="s">
        <v>37</v>
      </c>
      <c r="AW90" s="44">
        <v>1719</v>
      </c>
      <c r="AX90" s="44" t="s">
        <v>37</v>
      </c>
      <c r="AY90" s="44">
        <v>18326</v>
      </c>
      <c r="AZ90" s="44" t="s">
        <v>37</v>
      </c>
      <c r="BA90" s="44">
        <v>15108</v>
      </c>
      <c r="BB90" s="44" t="s">
        <v>37</v>
      </c>
      <c r="BC90" s="44">
        <v>764</v>
      </c>
      <c r="BD90" s="44" t="s">
        <v>37</v>
      </c>
      <c r="BE90" s="44">
        <v>764</v>
      </c>
      <c r="BF90" s="44" t="s">
        <v>37</v>
      </c>
      <c r="BG90" s="44">
        <v>764</v>
      </c>
      <c r="BH90" s="44" t="s">
        <v>37</v>
      </c>
      <c r="BJ90" s="44" t="s">
        <v>37</v>
      </c>
      <c r="BK90" s="44">
        <v>1719</v>
      </c>
      <c r="BL90" s="44" t="s">
        <v>37</v>
      </c>
      <c r="BM90" s="44">
        <v>4496</v>
      </c>
      <c r="BN90" s="44" t="s">
        <v>37</v>
      </c>
      <c r="BP90" s="44" t="s">
        <v>37</v>
      </c>
      <c r="BQ90" s="44">
        <v>764</v>
      </c>
      <c r="BR90" s="44" t="s">
        <v>37</v>
      </c>
      <c r="BS90" s="44">
        <v>4847</v>
      </c>
      <c r="BT90" s="44" t="s">
        <v>37</v>
      </c>
      <c r="BU90" s="44">
        <v>764</v>
      </c>
      <c r="BV90" s="44" t="s">
        <v>37</v>
      </c>
      <c r="BX90" s="44" t="s">
        <v>37</v>
      </c>
      <c r="BY90" s="44">
        <v>12606</v>
      </c>
      <c r="BZ90" s="44" t="s">
        <v>37</v>
      </c>
      <c r="CA90" s="44">
        <v>7633</v>
      </c>
      <c r="CB90" s="44" t="s">
        <v>37</v>
      </c>
      <c r="CD90" s="44" t="s">
        <v>37</v>
      </c>
      <c r="CE90" s="44">
        <v>764</v>
      </c>
      <c r="CF90" s="44" t="s">
        <v>37</v>
      </c>
      <c r="CG90" s="44">
        <v>5525</v>
      </c>
      <c r="CH90" s="44" t="s">
        <v>37</v>
      </c>
      <c r="CI90" s="44">
        <v>4498</v>
      </c>
      <c r="CJ90" s="44" t="s">
        <v>37</v>
      </c>
      <c r="CK90" s="44">
        <v>764</v>
      </c>
      <c r="CL90" s="44" t="s">
        <v>37</v>
      </c>
      <c r="CM90" s="44">
        <v>3099</v>
      </c>
      <c r="CN90" s="44" t="s">
        <v>37</v>
      </c>
      <c r="CO90" s="44">
        <v>764</v>
      </c>
      <c r="CP90" s="44" t="s">
        <v>37</v>
      </c>
      <c r="CQ90" s="44">
        <v>764</v>
      </c>
      <c r="CR90" s="44" t="s">
        <v>37</v>
      </c>
      <c r="CS90" s="44">
        <v>3899</v>
      </c>
      <c r="CT90" s="44" t="s">
        <v>37</v>
      </c>
      <c r="CU90" s="44">
        <v>160603</v>
      </c>
      <c r="CV90" s="44" t="s">
        <v>37</v>
      </c>
      <c r="CW90" s="44">
        <v>3280</v>
      </c>
      <c r="CX90" s="44" t="s">
        <v>37</v>
      </c>
      <c r="CY90" s="44">
        <v>5274</v>
      </c>
      <c r="CZ90" s="44" t="s">
        <v>37</v>
      </c>
      <c r="DA90" s="44">
        <v>764</v>
      </c>
      <c r="DB90" s="44" t="s">
        <v>37</v>
      </c>
      <c r="DD90" s="44" t="s">
        <v>37</v>
      </c>
      <c r="DE90" s="44">
        <v>5249</v>
      </c>
      <c r="DF90" s="44" t="s">
        <v>37</v>
      </c>
      <c r="DG90" s="44">
        <v>5070</v>
      </c>
      <c r="DH90" s="44" t="s">
        <v>37</v>
      </c>
      <c r="DI90" s="44">
        <v>10232</v>
      </c>
      <c r="DJ90" s="44" t="s">
        <v>37</v>
      </c>
      <c r="DK90" s="44">
        <v>3970</v>
      </c>
      <c r="DL90" s="44" t="s">
        <v>37</v>
      </c>
      <c r="DM90" s="44">
        <v>15496</v>
      </c>
      <c r="DN90" s="44" t="s">
        <v>37</v>
      </c>
      <c r="DO90" s="44">
        <v>11339</v>
      </c>
      <c r="DP90" s="44" t="s">
        <v>37</v>
      </c>
      <c r="DQ90" s="44">
        <v>29362</v>
      </c>
      <c r="DR90" s="44" t="s">
        <v>37</v>
      </c>
      <c r="DS90" s="44">
        <v>764</v>
      </c>
      <c r="DT90" s="44" t="s">
        <v>37</v>
      </c>
      <c r="DU90" s="44">
        <v>859</v>
      </c>
      <c r="DV90" s="44" t="s">
        <v>37</v>
      </c>
      <c r="DW90" s="44">
        <v>98145</v>
      </c>
      <c r="DX90" s="44" t="s">
        <v>37</v>
      </c>
      <c r="DY90" s="44">
        <v>5257</v>
      </c>
      <c r="DZ90" s="44" t="s">
        <v>37</v>
      </c>
      <c r="EA90" s="44">
        <v>764</v>
      </c>
      <c r="EB90" s="44" t="s">
        <v>37</v>
      </c>
      <c r="EC90" s="44">
        <v>10952</v>
      </c>
      <c r="ED90" s="44" t="s">
        <v>37</v>
      </c>
      <c r="EE90" s="44">
        <v>2578</v>
      </c>
      <c r="EF90" s="44" t="s">
        <v>37</v>
      </c>
      <c r="EG90" s="44">
        <v>764</v>
      </c>
      <c r="EH90" s="44" t="s">
        <v>37</v>
      </c>
      <c r="EJ90" s="44" t="s">
        <v>37</v>
      </c>
      <c r="EK90" s="44">
        <v>764</v>
      </c>
      <c r="EL90" s="44" t="s">
        <v>37</v>
      </c>
      <c r="EN90" s="44" t="s">
        <v>37</v>
      </c>
      <c r="EO90" s="44">
        <v>764</v>
      </c>
      <c r="EP90" s="44" t="s">
        <v>37</v>
      </c>
      <c r="ER90" s="44" t="s">
        <v>37</v>
      </c>
      <c r="ES90" s="44">
        <v>859</v>
      </c>
      <c r="ET90" s="44" t="s">
        <v>37</v>
      </c>
      <c r="EU90" s="44">
        <v>859</v>
      </c>
      <c r="EV90" s="44" t="s">
        <v>37</v>
      </c>
      <c r="EW90" s="44">
        <v>2731</v>
      </c>
      <c r="EX90" s="44" t="s">
        <v>37</v>
      </c>
      <c r="EZ90" s="44" t="s">
        <v>37</v>
      </c>
      <c r="FA90" s="44">
        <v>764</v>
      </c>
      <c r="FB90" s="44" t="s">
        <v>37</v>
      </c>
      <c r="FC90" s="44">
        <v>859</v>
      </c>
      <c r="FD90" s="44" t="s">
        <v>37</v>
      </c>
      <c r="FE90" s="44">
        <v>2578</v>
      </c>
      <c r="FF90" s="44" t="s">
        <v>37</v>
      </c>
      <c r="FH90" s="44" t="s">
        <v>37</v>
      </c>
      <c r="FI90" s="44">
        <v>26157</v>
      </c>
      <c r="FJ90" s="44" t="s">
        <v>37</v>
      </c>
      <c r="FK90" s="44">
        <v>7734</v>
      </c>
      <c r="FL90" s="44" t="s">
        <v>37</v>
      </c>
      <c r="FM90" s="44">
        <v>44131</v>
      </c>
      <c r="FN90" s="44" t="s">
        <v>37</v>
      </c>
      <c r="FO90" s="44">
        <v>765</v>
      </c>
      <c r="FP90" s="44" t="s">
        <v>37</v>
      </c>
      <c r="FQ90" s="44">
        <v>859</v>
      </c>
      <c r="FR90" s="44" t="s">
        <v>37</v>
      </c>
      <c r="FS90" s="44">
        <v>1617</v>
      </c>
      <c r="FT90" s="44" t="s">
        <v>37</v>
      </c>
      <c r="FU90" s="44">
        <v>18575</v>
      </c>
      <c r="FV90" s="44" t="s">
        <v>37</v>
      </c>
      <c r="FW90" s="44">
        <v>764</v>
      </c>
      <c r="FX90" s="44" t="s">
        <v>37</v>
      </c>
      <c r="FY90" s="44">
        <v>764</v>
      </c>
      <c r="FZ90" s="44" t="s">
        <v>37</v>
      </c>
      <c r="GA90" s="44">
        <v>8874</v>
      </c>
      <c r="GB90" s="44" t="s">
        <v>37</v>
      </c>
      <c r="GC90" s="44">
        <v>5156</v>
      </c>
      <c r="GD90" s="44" t="s">
        <v>37</v>
      </c>
      <c r="GF90" s="44" t="s">
        <v>37</v>
      </c>
      <c r="GH90" s="44" t="s">
        <v>37</v>
      </c>
      <c r="GJ90" s="44" t="s">
        <v>37</v>
      </c>
      <c r="GK90" s="44">
        <v>26473</v>
      </c>
      <c r="GL90" s="44" t="s">
        <v>37</v>
      </c>
      <c r="GM90" s="44">
        <v>1719</v>
      </c>
      <c r="GN90" s="44" t="s">
        <v>37</v>
      </c>
      <c r="GP90" s="44" t="s">
        <v>37</v>
      </c>
      <c r="GQ90" s="44">
        <v>23967</v>
      </c>
      <c r="GR90" s="44" t="s">
        <v>37</v>
      </c>
      <c r="GS90" s="44">
        <v>5329</v>
      </c>
      <c r="GT90" s="44" t="s">
        <v>37</v>
      </c>
      <c r="GU90" s="44">
        <v>8962</v>
      </c>
      <c r="GV90" s="44" t="s">
        <v>37</v>
      </c>
      <c r="GW90" s="44">
        <v>764</v>
      </c>
      <c r="GX90" s="44" t="s">
        <v>37</v>
      </c>
      <c r="GY90" s="44">
        <v>8080</v>
      </c>
      <c r="GZ90" s="44" t="s">
        <v>37</v>
      </c>
      <c r="HA90" s="44">
        <v>859</v>
      </c>
      <c r="HB90" s="44" t="s">
        <v>37</v>
      </c>
      <c r="HD90" s="44" t="s">
        <v>37</v>
      </c>
      <c r="HF90" s="44" t="s">
        <v>37</v>
      </c>
      <c r="HG90" s="44">
        <v>751721</v>
      </c>
      <c r="HH90" s="44" t="s">
        <v>37</v>
      </c>
      <c r="HJ90" s="44" t="s">
        <v>37</v>
      </c>
      <c r="HK90" s="44">
        <v>751721</v>
      </c>
      <c r="HL90" s="44" t="s">
        <v>37</v>
      </c>
    </row>
    <row r="91" spans="1:220">
      <c r="A91" s="150" t="s">
        <v>411</v>
      </c>
      <c r="B91" s="44">
        <v>3132</v>
      </c>
      <c r="C91" s="44" t="s">
        <v>116</v>
      </c>
      <c r="D91" s="44" t="s">
        <v>37</v>
      </c>
      <c r="E91" s="44">
        <v>1184</v>
      </c>
      <c r="F91" s="44" t="s">
        <v>37</v>
      </c>
      <c r="H91" s="44" t="s">
        <v>37</v>
      </c>
      <c r="J91" s="44" t="s">
        <v>37</v>
      </c>
      <c r="L91" s="48" t="s">
        <v>37</v>
      </c>
      <c r="M91" s="50"/>
      <c r="N91" s="48" t="s">
        <v>37</v>
      </c>
      <c r="O91" s="50"/>
      <c r="P91" s="48" t="s">
        <v>37</v>
      </c>
      <c r="Q91" s="50"/>
      <c r="R91" s="48" t="s">
        <v>37</v>
      </c>
      <c r="S91" s="50"/>
      <c r="T91" s="48" t="s">
        <v>37</v>
      </c>
      <c r="V91" s="44" t="s">
        <v>37</v>
      </c>
      <c r="X91" s="44" t="s">
        <v>37</v>
      </c>
      <c r="Z91" s="44" t="s">
        <v>37</v>
      </c>
      <c r="AA91" s="44">
        <v>1775</v>
      </c>
      <c r="AB91" s="44" t="s">
        <v>37</v>
      </c>
      <c r="AD91" s="44" t="s">
        <v>37</v>
      </c>
      <c r="AF91" s="44" t="s">
        <v>37</v>
      </c>
      <c r="AH91" s="44" t="s">
        <v>37</v>
      </c>
      <c r="AJ91" s="44" t="s">
        <v>37</v>
      </c>
      <c r="AL91" s="44" t="s">
        <v>37</v>
      </c>
      <c r="AM91" s="44">
        <v>9468</v>
      </c>
      <c r="AN91" s="44" t="s">
        <v>37</v>
      </c>
      <c r="AP91" s="44" t="s">
        <v>37</v>
      </c>
      <c r="AQ91" s="44">
        <v>592</v>
      </c>
      <c r="AR91" s="44" t="s">
        <v>37</v>
      </c>
      <c r="AS91" s="44">
        <v>7101</v>
      </c>
      <c r="AT91" s="44" t="s">
        <v>37</v>
      </c>
      <c r="AU91" s="44">
        <v>8285</v>
      </c>
      <c r="AV91" s="44" t="s">
        <v>37</v>
      </c>
      <c r="AW91" s="44">
        <v>1184</v>
      </c>
      <c r="AX91" s="44" t="s">
        <v>37</v>
      </c>
      <c r="AZ91" s="44" t="s">
        <v>37</v>
      </c>
      <c r="BB91" s="44" t="s">
        <v>37</v>
      </c>
      <c r="BD91" s="44" t="s">
        <v>37</v>
      </c>
      <c r="BF91" s="44" t="s">
        <v>37</v>
      </c>
      <c r="BH91" s="44" t="s">
        <v>37</v>
      </c>
      <c r="BJ91" s="44" t="s">
        <v>37</v>
      </c>
      <c r="BL91" s="44" t="s">
        <v>37</v>
      </c>
      <c r="BN91" s="44" t="s">
        <v>37</v>
      </c>
      <c r="BP91" s="44" t="s">
        <v>37</v>
      </c>
      <c r="BR91" s="44" t="s">
        <v>37</v>
      </c>
      <c r="BT91" s="44" t="s">
        <v>37</v>
      </c>
      <c r="BV91" s="44" t="s">
        <v>37</v>
      </c>
      <c r="BX91" s="44" t="s">
        <v>37</v>
      </c>
      <c r="BY91" s="44">
        <v>2368</v>
      </c>
      <c r="BZ91" s="44" t="s">
        <v>37</v>
      </c>
      <c r="CB91" s="44" t="s">
        <v>37</v>
      </c>
      <c r="CD91" s="44" t="s">
        <v>37</v>
      </c>
      <c r="CE91" s="44">
        <v>7693</v>
      </c>
      <c r="CF91" s="44" t="s">
        <v>37</v>
      </c>
      <c r="CG91" s="44">
        <v>4734</v>
      </c>
      <c r="CH91" s="44" t="s">
        <v>37</v>
      </c>
      <c r="CI91" s="44">
        <v>3551</v>
      </c>
      <c r="CJ91" s="44" t="s">
        <v>37</v>
      </c>
      <c r="CL91" s="44" t="s">
        <v>37</v>
      </c>
      <c r="CN91" s="44" t="s">
        <v>37</v>
      </c>
      <c r="CO91" s="44">
        <v>592</v>
      </c>
      <c r="CP91" s="44" t="s">
        <v>37</v>
      </c>
      <c r="CR91" s="44" t="s">
        <v>37</v>
      </c>
      <c r="CT91" s="44" t="s">
        <v>37</v>
      </c>
      <c r="CU91" s="44">
        <v>129002</v>
      </c>
      <c r="CV91" s="44" t="s">
        <v>37</v>
      </c>
      <c r="CW91" s="44">
        <v>592</v>
      </c>
      <c r="CX91" s="44" t="s">
        <v>37</v>
      </c>
      <c r="CZ91" s="44" t="s">
        <v>37</v>
      </c>
      <c r="DB91" s="44" t="s">
        <v>37</v>
      </c>
      <c r="DD91" s="44" t="s">
        <v>37</v>
      </c>
      <c r="DF91" s="44" t="s">
        <v>37</v>
      </c>
      <c r="DH91" s="44" t="s">
        <v>37</v>
      </c>
      <c r="DI91" s="44">
        <v>17161</v>
      </c>
      <c r="DJ91" s="44" t="s">
        <v>37</v>
      </c>
      <c r="DL91" s="44" t="s">
        <v>37</v>
      </c>
      <c r="DN91" s="44" t="s">
        <v>37</v>
      </c>
      <c r="DP91" s="44" t="s">
        <v>37</v>
      </c>
      <c r="DQ91" s="44">
        <v>3551</v>
      </c>
      <c r="DR91" s="44" t="s">
        <v>37</v>
      </c>
      <c r="DT91" s="44" t="s">
        <v>37</v>
      </c>
      <c r="DU91" s="44">
        <v>1775</v>
      </c>
      <c r="DV91" s="44" t="s">
        <v>37</v>
      </c>
      <c r="DW91" s="44">
        <v>117160</v>
      </c>
      <c r="DX91" s="44" t="s">
        <v>37</v>
      </c>
      <c r="DZ91" s="44" t="s">
        <v>37</v>
      </c>
      <c r="EB91" s="44" t="s">
        <v>37</v>
      </c>
      <c r="EC91" s="44">
        <v>1184</v>
      </c>
      <c r="ED91" s="44" t="s">
        <v>37</v>
      </c>
      <c r="EE91" s="44">
        <v>6509</v>
      </c>
      <c r="EF91" s="44" t="s">
        <v>37</v>
      </c>
      <c r="EH91" s="44" t="s">
        <v>37</v>
      </c>
      <c r="EJ91" s="44" t="s">
        <v>37</v>
      </c>
      <c r="EL91" s="44" t="s">
        <v>37</v>
      </c>
      <c r="EN91" s="44" t="s">
        <v>37</v>
      </c>
      <c r="EP91" s="44" t="s">
        <v>37</v>
      </c>
      <c r="ER91" s="44" t="s">
        <v>37</v>
      </c>
      <c r="ES91" s="44">
        <v>2367</v>
      </c>
      <c r="ET91" s="44" t="s">
        <v>37</v>
      </c>
      <c r="EV91" s="44" t="s">
        <v>37</v>
      </c>
      <c r="EW91" s="44">
        <v>7693</v>
      </c>
      <c r="EX91" s="44" t="s">
        <v>37</v>
      </c>
      <c r="EZ91" s="44" t="s">
        <v>37</v>
      </c>
      <c r="FB91" s="44" t="s">
        <v>37</v>
      </c>
      <c r="FC91" s="44">
        <v>7101</v>
      </c>
      <c r="FD91" s="44" t="s">
        <v>37</v>
      </c>
      <c r="FF91" s="44" t="s">
        <v>37</v>
      </c>
      <c r="FH91" s="44" t="s">
        <v>37</v>
      </c>
      <c r="FI91" s="44">
        <v>2367</v>
      </c>
      <c r="FJ91" s="44" t="s">
        <v>37</v>
      </c>
      <c r="FK91" s="44">
        <v>10652</v>
      </c>
      <c r="FL91" s="44" t="s">
        <v>37</v>
      </c>
      <c r="FM91" s="44">
        <v>2367</v>
      </c>
      <c r="FN91" s="44" t="s">
        <v>37</v>
      </c>
      <c r="FP91" s="44" t="s">
        <v>37</v>
      </c>
      <c r="FR91" s="44" t="s">
        <v>37</v>
      </c>
      <c r="FT91" s="44" t="s">
        <v>37</v>
      </c>
      <c r="FV91" s="44" t="s">
        <v>37</v>
      </c>
      <c r="FW91" s="44">
        <v>592</v>
      </c>
      <c r="FX91" s="44" t="s">
        <v>37</v>
      </c>
      <c r="FY91" s="44">
        <v>2367</v>
      </c>
      <c r="FZ91" s="44" t="s">
        <v>37</v>
      </c>
      <c r="GB91" s="44" t="s">
        <v>37</v>
      </c>
      <c r="GC91" s="44">
        <v>2959</v>
      </c>
      <c r="GD91" s="44" t="s">
        <v>37</v>
      </c>
      <c r="GF91" s="44" t="s">
        <v>37</v>
      </c>
      <c r="GH91" s="44" t="s">
        <v>37</v>
      </c>
      <c r="GJ91" s="44" t="s">
        <v>37</v>
      </c>
      <c r="GK91" s="44">
        <v>4734</v>
      </c>
      <c r="GL91" s="44" t="s">
        <v>37</v>
      </c>
      <c r="GM91" s="44">
        <v>4142</v>
      </c>
      <c r="GN91" s="44" t="s">
        <v>37</v>
      </c>
      <c r="GP91" s="44" t="s">
        <v>37</v>
      </c>
      <c r="GQ91" s="44">
        <v>1184</v>
      </c>
      <c r="GR91" s="44" t="s">
        <v>37</v>
      </c>
      <c r="GT91" s="44" t="s">
        <v>37</v>
      </c>
      <c r="GU91" s="44">
        <v>3551</v>
      </c>
      <c r="GV91" s="44" t="s">
        <v>37</v>
      </c>
      <c r="GW91" s="44">
        <v>592</v>
      </c>
      <c r="GX91" s="44" t="s">
        <v>37</v>
      </c>
      <c r="GZ91" s="44" t="s">
        <v>37</v>
      </c>
      <c r="HA91" s="44">
        <v>3551</v>
      </c>
      <c r="HB91" s="44" t="s">
        <v>37</v>
      </c>
      <c r="HD91" s="44" t="s">
        <v>37</v>
      </c>
      <c r="HF91" s="44" t="s">
        <v>37</v>
      </c>
      <c r="HG91" s="44">
        <v>381680</v>
      </c>
      <c r="HH91" s="44" t="s">
        <v>37</v>
      </c>
      <c r="HJ91" s="44" t="s">
        <v>37</v>
      </c>
      <c r="HK91" s="44">
        <v>381680</v>
      </c>
      <c r="HL91" s="44" t="s">
        <v>37</v>
      </c>
    </row>
    <row r="92" spans="1:220">
      <c r="A92" s="150" t="s">
        <v>411</v>
      </c>
      <c r="B92" s="44">
        <v>3134</v>
      </c>
      <c r="C92" s="44" t="s">
        <v>117</v>
      </c>
      <c r="D92" s="44" t="s">
        <v>37</v>
      </c>
      <c r="E92" s="44">
        <v>325933</v>
      </c>
      <c r="F92" s="44" t="s">
        <v>37</v>
      </c>
      <c r="H92" s="44" t="s">
        <v>37</v>
      </c>
      <c r="I92" s="44">
        <v>271132</v>
      </c>
      <c r="J92" s="44" t="s">
        <v>37</v>
      </c>
      <c r="L92" s="48" t="s">
        <v>37</v>
      </c>
      <c r="M92" s="50"/>
      <c r="N92" s="48" t="s">
        <v>37</v>
      </c>
      <c r="O92" s="50"/>
      <c r="P92" s="48" t="s">
        <v>37</v>
      </c>
      <c r="Q92" s="50"/>
      <c r="R92" s="48" t="s">
        <v>37</v>
      </c>
      <c r="S92" s="50"/>
      <c r="T92" s="48" t="s">
        <v>37</v>
      </c>
      <c r="V92" s="44" t="s">
        <v>37</v>
      </c>
      <c r="X92" s="44" t="s">
        <v>37</v>
      </c>
      <c r="Z92" s="44" t="s">
        <v>37</v>
      </c>
      <c r="AA92" s="44">
        <v>170</v>
      </c>
      <c r="AB92" s="44" t="s">
        <v>37</v>
      </c>
      <c r="AC92" s="44">
        <v>128866</v>
      </c>
      <c r="AD92" s="44" t="s">
        <v>37</v>
      </c>
      <c r="AE92" s="44">
        <v>73025</v>
      </c>
      <c r="AF92" s="44" t="s">
        <v>37</v>
      </c>
      <c r="AG92" s="44">
        <v>98</v>
      </c>
      <c r="AH92" s="44" t="s">
        <v>37</v>
      </c>
      <c r="AJ92" s="44" t="s">
        <v>37</v>
      </c>
      <c r="AL92" s="44" t="s">
        <v>37</v>
      </c>
      <c r="AN92" s="44" t="s">
        <v>37</v>
      </c>
      <c r="AP92" s="44" t="s">
        <v>37</v>
      </c>
      <c r="AQ92" s="44">
        <v>782131</v>
      </c>
      <c r="AR92" s="44" t="s">
        <v>37</v>
      </c>
      <c r="AT92" s="44" t="s">
        <v>37</v>
      </c>
      <c r="AV92" s="44" t="s">
        <v>37</v>
      </c>
      <c r="AX92" s="44" t="s">
        <v>37</v>
      </c>
      <c r="AZ92" s="44" t="s">
        <v>37</v>
      </c>
      <c r="BB92" s="44" t="s">
        <v>37</v>
      </c>
      <c r="BC92" s="44">
        <v>97835</v>
      </c>
      <c r="BD92" s="44" t="s">
        <v>37</v>
      </c>
      <c r="BE92" s="44">
        <v>320397</v>
      </c>
      <c r="BF92" s="44" t="s">
        <v>37</v>
      </c>
      <c r="BG92" s="44">
        <v>159451</v>
      </c>
      <c r="BH92" s="44" t="s">
        <v>37</v>
      </c>
      <c r="BJ92" s="44" t="s">
        <v>37</v>
      </c>
      <c r="BL92" s="44" t="s">
        <v>37</v>
      </c>
      <c r="BN92" s="44" t="s">
        <v>37</v>
      </c>
      <c r="BP92" s="44" t="s">
        <v>37</v>
      </c>
      <c r="BQ92" s="44">
        <v>139267</v>
      </c>
      <c r="BR92" s="44" t="s">
        <v>37</v>
      </c>
      <c r="BS92" s="44">
        <v>529349</v>
      </c>
      <c r="BT92" s="44" t="s">
        <v>37</v>
      </c>
      <c r="BU92" s="44">
        <v>284952</v>
      </c>
      <c r="BV92" s="44" t="s">
        <v>37</v>
      </c>
      <c r="BX92" s="44" t="s">
        <v>37</v>
      </c>
      <c r="BZ92" s="44" t="s">
        <v>37</v>
      </c>
      <c r="CB92" s="44" t="s">
        <v>37</v>
      </c>
      <c r="CD92" s="44" t="s">
        <v>37</v>
      </c>
      <c r="CF92" s="44" t="s">
        <v>37</v>
      </c>
      <c r="CH92" s="44" t="s">
        <v>37</v>
      </c>
      <c r="CI92" s="44">
        <v>327807</v>
      </c>
      <c r="CJ92" s="44" t="s">
        <v>37</v>
      </c>
      <c r="CK92" s="44">
        <v>235431</v>
      </c>
      <c r="CL92" s="44" t="s">
        <v>37</v>
      </c>
      <c r="CM92" s="44">
        <v>156175</v>
      </c>
      <c r="CN92" s="44" t="s">
        <v>37</v>
      </c>
      <c r="CO92" s="44">
        <v>202747</v>
      </c>
      <c r="CP92" s="44" t="s">
        <v>37</v>
      </c>
      <c r="CQ92" s="44">
        <v>180937</v>
      </c>
      <c r="CR92" s="44" t="s">
        <v>37</v>
      </c>
      <c r="CT92" s="44" t="s">
        <v>37</v>
      </c>
      <c r="CV92" s="44" t="s">
        <v>37</v>
      </c>
      <c r="CX92" s="44" t="s">
        <v>37</v>
      </c>
      <c r="CZ92" s="44" t="s">
        <v>37</v>
      </c>
      <c r="DB92" s="44" t="s">
        <v>37</v>
      </c>
      <c r="DD92" s="44" t="s">
        <v>37</v>
      </c>
      <c r="DE92" s="44">
        <v>350710</v>
      </c>
      <c r="DF92" s="44" t="s">
        <v>37</v>
      </c>
      <c r="DG92" s="44">
        <v>128049</v>
      </c>
      <c r="DH92" s="44" t="s">
        <v>37</v>
      </c>
      <c r="DJ92" s="44" t="s">
        <v>37</v>
      </c>
      <c r="DK92" s="44">
        <v>378766</v>
      </c>
      <c r="DL92" s="44" t="s">
        <v>37</v>
      </c>
      <c r="DN92" s="44" t="s">
        <v>37</v>
      </c>
      <c r="DP92" s="44" t="s">
        <v>37</v>
      </c>
      <c r="DQ92" s="44">
        <v>520638</v>
      </c>
      <c r="DR92" s="44" t="s">
        <v>37</v>
      </c>
      <c r="DS92" s="44">
        <v>239179</v>
      </c>
      <c r="DT92" s="44" t="s">
        <v>37</v>
      </c>
      <c r="DU92" s="44">
        <v>359205</v>
      </c>
      <c r="DV92" s="44" t="s">
        <v>37</v>
      </c>
      <c r="DX92" s="44" t="s">
        <v>37</v>
      </c>
      <c r="DZ92" s="44" t="s">
        <v>37</v>
      </c>
      <c r="EB92" s="44" t="s">
        <v>37</v>
      </c>
      <c r="EC92" s="44">
        <v>493170</v>
      </c>
      <c r="ED92" s="44" t="s">
        <v>37</v>
      </c>
      <c r="EF92" s="44" t="s">
        <v>37</v>
      </c>
      <c r="EH92" s="44" t="s">
        <v>37</v>
      </c>
      <c r="EJ92" s="44" t="s">
        <v>37</v>
      </c>
      <c r="EL92" s="44" t="s">
        <v>37</v>
      </c>
      <c r="EM92" s="44">
        <v>387437</v>
      </c>
      <c r="EN92" s="44" t="s">
        <v>37</v>
      </c>
      <c r="EO92" s="44">
        <v>201557</v>
      </c>
      <c r="EP92" s="44" t="s">
        <v>37</v>
      </c>
      <c r="ER92" s="44" t="s">
        <v>37</v>
      </c>
      <c r="ET92" s="44" t="s">
        <v>37</v>
      </c>
      <c r="EV92" s="44" t="s">
        <v>37</v>
      </c>
      <c r="EX92" s="44" t="s">
        <v>37</v>
      </c>
      <c r="EZ92" s="44" t="s">
        <v>37</v>
      </c>
      <c r="FA92" s="44">
        <v>595408</v>
      </c>
      <c r="FB92" s="44" t="s">
        <v>37</v>
      </c>
      <c r="FC92" s="44">
        <v>499007</v>
      </c>
      <c r="FD92" s="44" t="s">
        <v>37</v>
      </c>
      <c r="FE92" s="44">
        <v>1033133</v>
      </c>
      <c r="FF92" s="44" t="s">
        <v>37</v>
      </c>
      <c r="FH92" s="44" t="s">
        <v>37</v>
      </c>
      <c r="FJ92" s="44" t="s">
        <v>37</v>
      </c>
      <c r="FL92" s="44" t="s">
        <v>37</v>
      </c>
      <c r="FN92" s="44" t="s">
        <v>37</v>
      </c>
      <c r="FP92" s="44" t="s">
        <v>37</v>
      </c>
      <c r="FR92" s="44" t="s">
        <v>37</v>
      </c>
      <c r="FT92" s="44" t="s">
        <v>37</v>
      </c>
      <c r="FV92" s="44" t="s">
        <v>37</v>
      </c>
      <c r="FX92" s="44" t="s">
        <v>37</v>
      </c>
      <c r="FZ92" s="44" t="s">
        <v>37</v>
      </c>
      <c r="GB92" s="44" t="s">
        <v>37</v>
      </c>
      <c r="GD92" s="44" t="s">
        <v>37</v>
      </c>
      <c r="GF92" s="44" t="s">
        <v>37</v>
      </c>
      <c r="GH92" s="44" t="s">
        <v>37</v>
      </c>
      <c r="GJ92" s="44" t="s">
        <v>37</v>
      </c>
      <c r="GL92" s="44" t="s">
        <v>37</v>
      </c>
      <c r="GN92" s="44" t="s">
        <v>37</v>
      </c>
      <c r="GP92" s="44" t="s">
        <v>37</v>
      </c>
      <c r="GR92" s="44" t="s">
        <v>37</v>
      </c>
      <c r="GS92" s="44">
        <v>806192</v>
      </c>
      <c r="GT92" s="44" t="s">
        <v>37</v>
      </c>
      <c r="GV92" s="44" t="s">
        <v>37</v>
      </c>
      <c r="GX92" s="44" t="s">
        <v>37</v>
      </c>
      <c r="GZ92" s="44" t="s">
        <v>37</v>
      </c>
      <c r="HB92" s="44" t="s">
        <v>37</v>
      </c>
      <c r="HD92" s="44" t="s">
        <v>37</v>
      </c>
      <c r="HF92" s="44" t="s">
        <v>37</v>
      </c>
      <c r="HG92" s="44">
        <v>10208154</v>
      </c>
      <c r="HH92" s="44" t="s">
        <v>37</v>
      </c>
      <c r="HJ92" s="44" t="s">
        <v>37</v>
      </c>
      <c r="HK92" s="44">
        <v>10208154</v>
      </c>
      <c r="HL92" s="44" t="s">
        <v>37</v>
      </c>
    </row>
    <row r="93" spans="1:220">
      <c r="A93" s="150" t="s">
        <v>411</v>
      </c>
      <c r="B93" s="44">
        <v>3135</v>
      </c>
      <c r="C93" s="44" t="s">
        <v>118</v>
      </c>
      <c r="D93" s="44" t="s">
        <v>37</v>
      </c>
      <c r="F93" s="44" t="s">
        <v>37</v>
      </c>
      <c r="H93" s="44" t="s">
        <v>37</v>
      </c>
      <c r="J93" s="44" t="s">
        <v>37</v>
      </c>
      <c r="L93" s="48" t="s">
        <v>37</v>
      </c>
      <c r="M93" s="50"/>
      <c r="N93" s="48" t="s">
        <v>37</v>
      </c>
      <c r="O93" s="50"/>
      <c r="P93" s="48" t="s">
        <v>37</v>
      </c>
      <c r="Q93" s="50"/>
      <c r="R93" s="48" t="s">
        <v>37</v>
      </c>
      <c r="S93" s="50"/>
      <c r="T93" s="48" t="s">
        <v>37</v>
      </c>
      <c r="V93" s="44" t="s">
        <v>37</v>
      </c>
      <c r="X93" s="44" t="s">
        <v>37</v>
      </c>
      <c r="Z93" s="44" t="s">
        <v>37</v>
      </c>
      <c r="AB93" s="44" t="s">
        <v>37</v>
      </c>
      <c r="AD93" s="44" t="s">
        <v>37</v>
      </c>
      <c r="AF93" s="44" t="s">
        <v>37</v>
      </c>
      <c r="AH93" s="44" t="s">
        <v>37</v>
      </c>
      <c r="AJ93" s="44" t="s">
        <v>37</v>
      </c>
      <c r="AL93" s="44" t="s">
        <v>37</v>
      </c>
      <c r="AN93" s="44" t="s">
        <v>37</v>
      </c>
      <c r="AP93" s="44" t="s">
        <v>37</v>
      </c>
      <c r="AR93" s="44" t="s">
        <v>37</v>
      </c>
      <c r="AT93" s="44" t="s">
        <v>37</v>
      </c>
      <c r="AV93" s="44" t="s">
        <v>37</v>
      </c>
      <c r="AX93" s="44" t="s">
        <v>37</v>
      </c>
      <c r="AZ93" s="44" t="s">
        <v>37</v>
      </c>
      <c r="BB93" s="44" t="s">
        <v>37</v>
      </c>
      <c r="BD93" s="44" t="s">
        <v>37</v>
      </c>
      <c r="BF93" s="44" t="s">
        <v>37</v>
      </c>
      <c r="BH93" s="44" t="s">
        <v>37</v>
      </c>
      <c r="BJ93" s="44" t="s">
        <v>37</v>
      </c>
      <c r="BL93" s="44" t="s">
        <v>37</v>
      </c>
      <c r="BN93" s="44" t="s">
        <v>37</v>
      </c>
      <c r="BP93" s="44" t="s">
        <v>37</v>
      </c>
      <c r="BR93" s="44" t="s">
        <v>37</v>
      </c>
      <c r="BT93" s="44" t="s">
        <v>37</v>
      </c>
      <c r="BV93" s="44" t="s">
        <v>37</v>
      </c>
      <c r="BX93" s="44" t="s">
        <v>37</v>
      </c>
      <c r="BZ93" s="44" t="s">
        <v>37</v>
      </c>
      <c r="CB93" s="44" t="s">
        <v>37</v>
      </c>
      <c r="CD93" s="44" t="s">
        <v>37</v>
      </c>
      <c r="CF93" s="44" t="s">
        <v>37</v>
      </c>
      <c r="CH93" s="44" t="s">
        <v>37</v>
      </c>
      <c r="CJ93" s="44" t="s">
        <v>37</v>
      </c>
      <c r="CL93" s="44" t="s">
        <v>37</v>
      </c>
      <c r="CN93" s="44" t="s">
        <v>37</v>
      </c>
      <c r="CP93" s="44" t="s">
        <v>37</v>
      </c>
      <c r="CR93" s="44" t="s">
        <v>37</v>
      </c>
      <c r="CT93" s="44" t="s">
        <v>37</v>
      </c>
      <c r="CV93" s="44" t="s">
        <v>37</v>
      </c>
      <c r="CX93" s="44" t="s">
        <v>37</v>
      </c>
      <c r="CZ93" s="44" t="s">
        <v>37</v>
      </c>
      <c r="DB93" s="44" t="s">
        <v>37</v>
      </c>
      <c r="DD93" s="44" t="s">
        <v>37</v>
      </c>
      <c r="DF93" s="44" t="s">
        <v>37</v>
      </c>
      <c r="DH93" s="44" t="s">
        <v>37</v>
      </c>
      <c r="DJ93" s="44" t="s">
        <v>37</v>
      </c>
      <c r="DL93" s="44" t="s">
        <v>37</v>
      </c>
      <c r="DN93" s="44" t="s">
        <v>37</v>
      </c>
      <c r="DP93" s="44" t="s">
        <v>37</v>
      </c>
      <c r="DR93" s="44" t="s">
        <v>37</v>
      </c>
      <c r="DT93" s="44" t="s">
        <v>37</v>
      </c>
      <c r="DV93" s="44" t="s">
        <v>37</v>
      </c>
      <c r="DX93" s="44" t="s">
        <v>37</v>
      </c>
      <c r="DZ93" s="44" t="s">
        <v>37</v>
      </c>
      <c r="EB93" s="44" t="s">
        <v>37</v>
      </c>
      <c r="ED93" s="44" t="s">
        <v>37</v>
      </c>
      <c r="EF93" s="44" t="s">
        <v>37</v>
      </c>
      <c r="EH93" s="44" t="s">
        <v>37</v>
      </c>
      <c r="EJ93" s="44" t="s">
        <v>37</v>
      </c>
      <c r="EL93" s="44" t="s">
        <v>37</v>
      </c>
      <c r="EN93" s="44" t="s">
        <v>37</v>
      </c>
      <c r="EP93" s="44" t="s">
        <v>37</v>
      </c>
      <c r="ER93" s="44" t="s">
        <v>37</v>
      </c>
      <c r="ET93" s="44" t="s">
        <v>37</v>
      </c>
      <c r="EV93" s="44" t="s">
        <v>37</v>
      </c>
      <c r="EX93" s="44" t="s">
        <v>37</v>
      </c>
      <c r="EZ93" s="44" t="s">
        <v>37</v>
      </c>
      <c r="FB93" s="44" t="s">
        <v>37</v>
      </c>
      <c r="FD93" s="44" t="s">
        <v>37</v>
      </c>
      <c r="FF93" s="44" t="s">
        <v>37</v>
      </c>
      <c r="FH93" s="44" t="s">
        <v>37</v>
      </c>
      <c r="FJ93" s="44" t="s">
        <v>37</v>
      </c>
      <c r="FL93" s="44" t="s">
        <v>37</v>
      </c>
      <c r="FN93" s="44" t="s">
        <v>37</v>
      </c>
      <c r="FP93" s="44" t="s">
        <v>37</v>
      </c>
      <c r="FR93" s="44" t="s">
        <v>37</v>
      </c>
      <c r="FT93" s="44" t="s">
        <v>37</v>
      </c>
      <c r="FV93" s="44" t="s">
        <v>37</v>
      </c>
      <c r="FX93" s="44" t="s">
        <v>37</v>
      </c>
      <c r="FZ93" s="44" t="s">
        <v>37</v>
      </c>
      <c r="GB93" s="44" t="s">
        <v>37</v>
      </c>
      <c r="GD93" s="44" t="s">
        <v>37</v>
      </c>
      <c r="GF93" s="44" t="s">
        <v>37</v>
      </c>
      <c r="GH93" s="44" t="s">
        <v>37</v>
      </c>
      <c r="GJ93" s="44" t="s">
        <v>37</v>
      </c>
      <c r="GL93" s="44" t="s">
        <v>37</v>
      </c>
      <c r="GM93" s="44">
        <v>16821</v>
      </c>
      <c r="GN93" s="44" t="s">
        <v>37</v>
      </c>
      <c r="GP93" s="44" t="s">
        <v>37</v>
      </c>
      <c r="GR93" s="44" t="s">
        <v>37</v>
      </c>
      <c r="GT93" s="44" t="s">
        <v>37</v>
      </c>
      <c r="GV93" s="44" t="s">
        <v>37</v>
      </c>
      <c r="GX93" s="44" t="s">
        <v>37</v>
      </c>
      <c r="GZ93" s="44" t="s">
        <v>37</v>
      </c>
      <c r="HB93" s="44" t="s">
        <v>37</v>
      </c>
      <c r="HD93" s="44" t="s">
        <v>37</v>
      </c>
      <c r="HF93" s="44" t="s">
        <v>37</v>
      </c>
      <c r="HG93" s="44">
        <v>16821</v>
      </c>
      <c r="HH93" s="44" t="s">
        <v>37</v>
      </c>
      <c r="HJ93" s="44" t="s">
        <v>37</v>
      </c>
      <c r="HK93" s="44">
        <v>16821</v>
      </c>
      <c r="HL93" s="44" t="s">
        <v>37</v>
      </c>
    </row>
    <row r="94" spans="1:220">
      <c r="A94" s="150" t="s">
        <v>408</v>
      </c>
      <c r="B94" s="54">
        <v>3140</v>
      </c>
      <c r="C94" s="44" t="s">
        <v>119</v>
      </c>
      <c r="D94" s="44" t="s">
        <v>37</v>
      </c>
      <c r="F94" s="44" t="s">
        <v>37</v>
      </c>
      <c r="H94" s="44" t="s">
        <v>37</v>
      </c>
      <c r="J94" s="44" t="s">
        <v>37</v>
      </c>
      <c r="L94" s="48" t="s">
        <v>37</v>
      </c>
      <c r="M94" s="50"/>
      <c r="N94" s="48" t="s">
        <v>37</v>
      </c>
      <c r="O94" s="50"/>
      <c r="P94" s="48" t="s">
        <v>37</v>
      </c>
      <c r="Q94" s="50"/>
      <c r="R94" s="48" t="s">
        <v>37</v>
      </c>
      <c r="S94" s="50"/>
      <c r="T94" s="48" t="s">
        <v>37</v>
      </c>
      <c r="V94" s="44" t="s">
        <v>37</v>
      </c>
      <c r="X94" s="44" t="s">
        <v>37</v>
      </c>
      <c r="Z94" s="44" t="s">
        <v>37</v>
      </c>
      <c r="AB94" s="44" t="s">
        <v>37</v>
      </c>
      <c r="AD94" s="44" t="s">
        <v>37</v>
      </c>
      <c r="AF94" s="44" t="s">
        <v>37</v>
      </c>
      <c r="AH94" s="44" t="s">
        <v>37</v>
      </c>
      <c r="AJ94" s="44" t="s">
        <v>37</v>
      </c>
      <c r="AL94" s="44" t="s">
        <v>37</v>
      </c>
      <c r="AN94" s="44" t="s">
        <v>37</v>
      </c>
      <c r="AP94" s="44" t="s">
        <v>37</v>
      </c>
      <c r="AR94" s="44" t="s">
        <v>37</v>
      </c>
      <c r="AT94" s="44" t="s">
        <v>37</v>
      </c>
      <c r="AV94" s="44" t="s">
        <v>37</v>
      </c>
      <c r="AX94" s="44" t="s">
        <v>37</v>
      </c>
      <c r="AZ94" s="44" t="s">
        <v>37</v>
      </c>
      <c r="BB94" s="44" t="s">
        <v>37</v>
      </c>
      <c r="BD94" s="44" t="s">
        <v>37</v>
      </c>
      <c r="BF94" s="44" t="s">
        <v>37</v>
      </c>
      <c r="BH94" s="44" t="s">
        <v>37</v>
      </c>
      <c r="BJ94" s="44" t="s">
        <v>37</v>
      </c>
      <c r="BL94" s="44" t="s">
        <v>37</v>
      </c>
      <c r="BN94" s="44" t="s">
        <v>37</v>
      </c>
      <c r="BP94" s="44" t="s">
        <v>37</v>
      </c>
      <c r="BR94" s="44" t="s">
        <v>37</v>
      </c>
      <c r="BT94" s="44" t="s">
        <v>37</v>
      </c>
      <c r="BV94" s="44" t="s">
        <v>37</v>
      </c>
      <c r="BX94" s="44" t="s">
        <v>37</v>
      </c>
      <c r="BZ94" s="44" t="s">
        <v>37</v>
      </c>
      <c r="CB94" s="44" t="s">
        <v>37</v>
      </c>
      <c r="CD94" s="44" t="s">
        <v>37</v>
      </c>
      <c r="CF94" s="44" t="s">
        <v>37</v>
      </c>
      <c r="CH94" s="44" t="s">
        <v>37</v>
      </c>
      <c r="CJ94" s="44" t="s">
        <v>37</v>
      </c>
      <c r="CL94" s="44" t="s">
        <v>37</v>
      </c>
      <c r="CN94" s="44" t="s">
        <v>37</v>
      </c>
      <c r="CP94" s="44" t="s">
        <v>37</v>
      </c>
      <c r="CR94" s="44" t="s">
        <v>37</v>
      </c>
      <c r="CT94" s="44" t="s">
        <v>37</v>
      </c>
      <c r="CV94" s="44" t="s">
        <v>37</v>
      </c>
      <c r="CX94" s="44" t="s">
        <v>37</v>
      </c>
      <c r="CZ94" s="44" t="s">
        <v>37</v>
      </c>
      <c r="DB94" s="44" t="s">
        <v>37</v>
      </c>
      <c r="DD94" s="44" t="s">
        <v>37</v>
      </c>
      <c r="DF94" s="44" t="s">
        <v>37</v>
      </c>
      <c r="DH94" s="44" t="s">
        <v>37</v>
      </c>
      <c r="DJ94" s="44" t="s">
        <v>37</v>
      </c>
      <c r="DL94" s="44" t="s">
        <v>37</v>
      </c>
      <c r="DN94" s="44" t="s">
        <v>37</v>
      </c>
      <c r="DP94" s="44" t="s">
        <v>37</v>
      </c>
      <c r="DR94" s="44" t="s">
        <v>37</v>
      </c>
      <c r="DT94" s="44" t="s">
        <v>37</v>
      </c>
      <c r="DV94" s="44" t="s">
        <v>37</v>
      </c>
      <c r="DX94" s="44" t="s">
        <v>37</v>
      </c>
      <c r="DZ94" s="44" t="s">
        <v>37</v>
      </c>
      <c r="EB94" s="44" t="s">
        <v>37</v>
      </c>
      <c r="ED94" s="44" t="s">
        <v>37</v>
      </c>
      <c r="EF94" s="44" t="s">
        <v>37</v>
      </c>
      <c r="EH94" s="44" t="s">
        <v>37</v>
      </c>
      <c r="EJ94" s="44" t="s">
        <v>37</v>
      </c>
      <c r="EL94" s="44" t="s">
        <v>37</v>
      </c>
      <c r="EN94" s="44" t="s">
        <v>37</v>
      </c>
      <c r="EP94" s="44" t="s">
        <v>37</v>
      </c>
      <c r="ER94" s="44" t="s">
        <v>37</v>
      </c>
      <c r="ET94" s="44" t="s">
        <v>37</v>
      </c>
      <c r="EV94" s="44" t="s">
        <v>37</v>
      </c>
      <c r="EX94" s="44" t="s">
        <v>37</v>
      </c>
      <c r="EZ94" s="44" t="s">
        <v>37</v>
      </c>
      <c r="FB94" s="44" t="s">
        <v>37</v>
      </c>
      <c r="FD94" s="44" t="s">
        <v>37</v>
      </c>
      <c r="FF94" s="44" t="s">
        <v>37</v>
      </c>
      <c r="FH94" s="44" t="s">
        <v>37</v>
      </c>
      <c r="FJ94" s="44" t="s">
        <v>37</v>
      </c>
      <c r="FL94" s="44" t="s">
        <v>37</v>
      </c>
      <c r="FN94" s="44" t="s">
        <v>37</v>
      </c>
      <c r="FP94" s="44" t="s">
        <v>37</v>
      </c>
      <c r="FR94" s="44" t="s">
        <v>37</v>
      </c>
      <c r="FT94" s="44" t="s">
        <v>37</v>
      </c>
      <c r="FV94" s="44" t="s">
        <v>37</v>
      </c>
      <c r="FX94" s="44" t="s">
        <v>37</v>
      </c>
      <c r="FZ94" s="44" t="s">
        <v>37</v>
      </c>
      <c r="GB94" s="44" t="s">
        <v>37</v>
      </c>
      <c r="GD94" s="44" t="s">
        <v>37</v>
      </c>
      <c r="GF94" s="44" t="s">
        <v>37</v>
      </c>
      <c r="GH94" s="44" t="s">
        <v>37</v>
      </c>
      <c r="GJ94" s="44" t="s">
        <v>37</v>
      </c>
      <c r="GL94" s="44" t="s">
        <v>37</v>
      </c>
      <c r="GN94" s="44" t="s">
        <v>37</v>
      </c>
      <c r="GP94" s="44" t="s">
        <v>37</v>
      </c>
      <c r="GR94" s="44" t="s">
        <v>37</v>
      </c>
      <c r="GT94" s="44" t="s">
        <v>37</v>
      </c>
      <c r="GV94" s="44" t="s">
        <v>37</v>
      </c>
      <c r="GX94" s="44" t="s">
        <v>37</v>
      </c>
      <c r="GZ94" s="44" t="s">
        <v>37</v>
      </c>
      <c r="HB94" s="44" t="s">
        <v>37</v>
      </c>
      <c r="HD94" s="44" t="s">
        <v>37</v>
      </c>
      <c r="HF94" s="44" t="s">
        <v>37</v>
      </c>
      <c r="HH94" s="44" t="s">
        <v>37</v>
      </c>
      <c r="HJ94" s="44" t="s">
        <v>37</v>
      </c>
      <c r="HL94" s="44" t="s">
        <v>37</v>
      </c>
    </row>
    <row r="95" spans="1:220">
      <c r="A95" s="150"/>
      <c r="D95" s="44" t="s">
        <v>37</v>
      </c>
      <c r="E95" s="44" t="s">
        <v>38</v>
      </c>
      <c r="F95" s="44" t="s">
        <v>37</v>
      </c>
      <c r="G95" s="44" t="s">
        <v>39</v>
      </c>
      <c r="H95" s="44" t="s">
        <v>37</v>
      </c>
      <c r="I95" s="44" t="s">
        <v>40</v>
      </c>
      <c r="J95" s="44" t="s">
        <v>37</v>
      </c>
      <c r="K95" s="44" t="s">
        <v>41</v>
      </c>
      <c r="L95" s="48" t="s">
        <v>37</v>
      </c>
      <c r="M95" s="49" t="s">
        <v>303</v>
      </c>
      <c r="N95" s="48" t="s">
        <v>37</v>
      </c>
      <c r="O95" s="49" t="s">
        <v>304</v>
      </c>
      <c r="P95" s="48" t="s">
        <v>37</v>
      </c>
      <c r="Q95" s="49" t="s">
        <v>305</v>
      </c>
      <c r="R95" s="48" t="s">
        <v>37</v>
      </c>
      <c r="S95" s="49" t="s">
        <v>306</v>
      </c>
      <c r="T95" s="48" t="s">
        <v>37</v>
      </c>
      <c r="U95" s="44" t="s">
        <v>307</v>
      </c>
      <c r="V95" s="44" t="s">
        <v>37</v>
      </c>
      <c r="W95" s="44" t="s">
        <v>308</v>
      </c>
      <c r="X95" s="44" t="s">
        <v>37</v>
      </c>
      <c r="Y95" s="44" t="s">
        <v>309</v>
      </c>
      <c r="Z95" s="44" t="s">
        <v>37</v>
      </c>
      <c r="AA95" s="44" t="s">
        <v>310</v>
      </c>
      <c r="AB95" s="44" t="s">
        <v>37</v>
      </c>
      <c r="AC95" s="44" t="s">
        <v>311</v>
      </c>
      <c r="AD95" s="44" t="s">
        <v>37</v>
      </c>
      <c r="AE95" s="44" t="s">
        <v>312</v>
      </c>
      <c r="AF95" s="44" t="s">
        <v>37</v>
      </c>
      <c r="AG95" s="44" t="s">
        <v>313</v>
      </c>
      <c r="AH95" s="44" t="s">
        <v>37</v>
      </c>
      <c r="AI95" s="44" t="s">
        <v>314</v>
      </c>
      <c r="AJ95" s="44" t="s">
        <v>37</v>
      </c>
      <c r="AK95" s="44" t="s">
        <v>315</v>
      </c>
      <c r="AL95" s="44" t="s">
        <v>37</v>
      </c>
      <c r="AM95" s="44" t="s">
        <v>316</v>
      </c>
      <c r="AN95" s="44" t="s">
        <v>37</v>
      </c>
      <c r="AO95" s="44" t="s">
        <v>317</v>
      </c>
      <c r="AP95" s="44" t="s">
        <v>37</v>
      </c>
      <c r="AQ95" s="44" t="s">
        <v>318</v>
      </c>
      <c r="AR95" s="44" t="s">
        <v>37</v>
      </c>
      <c r="AS95" s="44" t="s">
        <v>319</v>
      </c>
      <c r="AT95" s="44" t="s">
        <v>37</v>
      </c>
      <c r="AU95" s="44" t="s">
        <v>320</v>
      </c>
      <c r="AV95" s="44" t="s">
        <v>37</v>
      </c>
      <c r="AW95" s="44" t="s">
        <v>321</v>
      </c>
      <c r="AX95" s="44" t="s">
        <v>37</v>
      </c>
      <c r="AY95" s="44" t="s">
        <v>322</v>
      </c>
      <c r="AZ95" s="44" t="s">
        <v>37</v>
      </c>
      <c r="BA95" s="44" t="s">
        <v>323</v>
      </c>
      <c r="BB95" s="44" t="s">
        <v>37</v>
      </c>
      <c r="BC95" s="44" t="s">
        <v>324</v>
      </c>
      <c r="BD95" s="44" t="s">
        <v>37</v>
      </c>
      <c r="BE95" s="44" t="s">
        <v>325</v>
      </c>
      <c r="BF95" s="44" t="s">
        <v>37</v>
      </c>
      <c r="BG95" s="44" t="s">
        <v>326</v>
      </c>
      <c r="BH95" s="44" t="s">
        <v>37</v>
      </c>
      <c r="BI95" s="44" t="s">
        <v>327</v>
      </c>
      <c r="BJ95" s="44" t="s">
        <v>37</v>
      </c>
      <c r="BK95" s="44" t="s">
        <v>328</v>
      </c>
      <c r="BL95" s="44" t="s">
        <v>37</v>
      </c>
      <c r="BM95" s="44" t="s">
        <v>329</v>
      </c>
      <c r="BN95" s="44" t="s">
        <v>37</v>
      </c>
      <c r="BO95" s="44" t="s">
        <v>330</v>
      </c>
      <c r="BP95" s="44" t="s">
        <v>37</v>
      </c>
      <c r="BQ95" s="44" t="s">
        <v>331</v>
      </c>
      <c r="BR95" s="44" t="s">
        <v>37</v>
      </c>
      <c r="BS95" s="44" t="s">
        <v>332</v>
      </c>
      <c r="BT95" s="44" t="s">
        <v>37</v>
      </c>
      <c r="BU95" s="44" t="s">
        <v>333</v>
      </c>
      <c r="BV95" s="44" t="s">
        <v>37</v>
      </c>
      <c r="BW95" s="44" t="s">
        <v>334</v>
      </c>
      <c r="BX95" s="44" t="s">
        <v>37</v>
      </c>
      <c r="BY95" s="44" t="s">
        <v>335</v>
      </c>
      <c r="BZ95" s="44" t="s">
        <v>37</v>
      </c>
      <c r="CA95" s="44" t="s">
        <v>336</v>
      </c>
      <c r="CB95" s="44" t="s">
        <v>37</v>
      </c>
      <c r="CC95" s="44" t="s">
        <v>337</v>
      </c>
      <c r="CD95" s="44" t="s">
        <v>37</v>
      </c>
      <c r="CE95" s="44" t="s">
        <v>338</v>
      </c>
      <c r="CF95" s="44" t="s">
        <v>37</v>
      </c>
      <c r="CG95" s="44" t="s">
        <v>339</v>
      </c>
      <c r="CH95" s="44" t="s">
        <v>37</v>
      </c>
      <c r="CI95" s="44" t="s">
        <v>340</v>
      </c>
      <c r="CJ95" s="44" t="s">
        <v>37</v>
      </c>
      <c r="CK95" s="44" t="s">
        <v>341</v>
      </c>
      <c r="CL95" s="44" t="s">
        <v>37</v>
      </c>
      <c r="CM95" s="44" t="s">
        <v>342</v>
      </c>
      <c r="CN95" s="44" t="s">
        <v>37</v>
      </c>
      <c r="CO95" s="44" t="s">
        <v>343</v>
      </c>
      <c r="CP95" s="44" t="s">
        <v>37</v>
      </c>
      <c r="CQ95" s="44" t="s">
        <v>344</v>
      </c>
      <c r="CR95" s="44" t="s">
        <v>37</v>
      </c>
      <c r="CS95" s="44" t="s">
        <v>345</v>
      </c>
      <c r="CT95" s="44" t="s">
        <v>37</v>
      </c>
      <c r="CU95" s="44" t="s">
        <v>346</v>
      </c>
      <c r="CV95" s="44" t="s">
        <v>37</v>
      </c>
      <c r="CW95" s="44" t="s">
        <v>347</v>
      </c>
      <c r="CX95" s="44" t="s">
        <v>37</v>
      </c>
      <c r="CY95" s="44" t="s">
        <v>348</v>
      </c>
      <c r="CZ95" s="44" t="s">
        <v>37</v>
      </c>
      <c r="DA95" s="44" t="s">
        <v>349</v>
      </c>
      <c r="DB95" s="44" t="s">
        <v>37</v>
      </c>
      <c r="DC95" s="44" t="s">
        <v>350</v>
      </c>
      <c r="DD95" s="44" t="s">
        <v>37</v>
      </c>
      <c r="DE95" s="44" t="s">
        <v>351</v>
      </c>
      <c r="DF95" s="44" t="s">
        <v>37</v>
      </c>
      <c r="DG95" s="44" t="s">
        <v>352</v>
      </c>
      <c r="DH95" s="44" t="s">
        <v>37</v>
      </c>
      <c r="DI95" s="44" t="s">
        <v>353</v>
      </c>
      <c r="DJ95" s="44" t="s">
        <v>37</v>
      </c>
      <c r="DK95" s="44" t="s">
        <v>354</v>
      </c>
      <c r="DL95" s="44" t="s">
        <v>37</v>
      </c>
      <c r="DM95" s="44" t="s">
        <v>355</v>
      </c>
      <c r="DN95" s="44" t="s">
        <v>37</v>
      </c>
      <c r="DO95" s="44" t="s">
        <v>356</v>
      </c>
      <c r="DP95" s="44" t="s">
        <v>37</v>
      </c>
      <c r="DQ95" s="44" t="s">
        <v>357</v>
      </c>
      <c r="DR95" s="44" t="s">
        <v>37</v>
      </c>
      <c r="DS95" s="44" t="s">
        <v>358</v>
      </c>
      <c r="DT95" s="44" t="s">
        <v>37</v>
      </c>
      <c r="DU95" s="44" t="s">
        <v>359</v>
      </c>
      <c r="DV95" s="44" t="s">
        <v>37</v>
      </c>
      <c r="DW95" s="44" t="s">
        <v>360</v>
      </c>
      <c r="DX95" s="44" t="s">
        <v>37</v>
      </c>
      <c r="DY95" s="44" t="s">
        <v>361</v>
      </c>
      <c r="DZ95" s="44" t="s">
        <v>37</v>
      </c>
      <c r="EA95" s="44" t="s">
        <v>362</v>
      </c>
      <c r="EB95" s="44" t="s">
        <v>37</v>
      </c>
      <c r="EC95" s="44" t="s">
        <v>363</v>
      </c>
      <c r="ED95" s="44" t="s">
        <v>37</v>
      </c>
      <c r="EE95" s="44" t="s">
        <v>364</v>
      </c>
      <c r="EF95" s="44" t="s">
        <v>37</v>
      </c>
      <c r="EG95" s="44" t="s">
        <v>365</v>
      </c>
      <c r="EH95" s="44" t="s">
        <v>37</v>
      </c>
      <c r="EI95" s="44" t="s">
        <v>366</v>
      </c>
      <c r="EJ95" s="44" t="s">
        <v>37</v>
      </c>
      <c r="EK95" s="44" t="s">
        <v>367</v>
      </c>
      <c r="EL95" s="44" t="s">
        <v>37</v>
      </c>
      <c r="EM95" s="44" t="s">
        <v>368</v>
      </c>
      <c r="EN95" s="44" t="s">
        <v>37</v>
      </c>
      <c r="EO95" s="44" t="s">
        <v>369</v>
      </c>
      <c r="EP95" s="44" t="s">
        <v>37</v>
      </c>
      <c r="EQ95" s="44" t="s">
        <v>370</v>
      </c>
      <c r="ER95" s="44" t="s">
        <v>37</v>
      </c>
      <c r="ES95" s="44" t="s">
        <v>371</v>
      </c>
      <c r="ET95" s="44" t="s">
        <v>37</v>
      </c>
      <c r="EU95" s="44" t="s">
        <v>372</v>
      </c>
      <c r="EV95" s="44" t="s">
        <v>37</v>
      </c>
      <c r="EW95" s="44" t="s">
        <v>373</v>
      </c>
      <c r="EX95" s="44" t="s">
        <v>37</v>
      </c>
      <c r="EY95" s="44" t="s">
        <v>374</v>
      </c>
      <c r="EZ95" s="44" t="s">
        <v>37</v>
      </c>
      <c r="FA95" s="44" t="s">
        <v>375</v>
      </c>
      <c r="FB95" s="44" t="s">
        <v>37</v>
      </c>
      <c r="FC95" s="44" t="s">
        <v>376</v>
      </c>
      <c r="FD95" s="44" t="s">
        <v>37</v>
      </c>
      <c r="FE95" s="44" t="s">
        <v>377</v>
      </c>
      <c r="FF95" s="44" t="s">
        <v>37</v>
      </c>
      <c r="FG95" s="44" t="s">
        <v>378</v>
      </c>
      <c r="FH95" s="44" t="s">
        <v>37</v>
      </c>
      <c r="FI95" s="44" t="s">
        <v>379</v>
      </c>
      <c r="FJ95" s="44" t="s">
        <v>37</v>
      </c>
      <c r="FK95" s="44" t="s">
        <v>380</v>
      </c>
      <c r="FL95" s="44" t="s">
        <v>37</v>
      </c>
      <c r="FM95" s="44" t="s">
        <v>381</v>
      </c>
      <c r="FN95" s="44" t="s">
        <v>37</v>
      </c>
      <c r="FO95" s="44" t="s">
        <v>382</v>
      </c>
      <c r="FP95" s="44" t="s">
        <v>37</v>
      </c>
      <c r="FQ95" s="44" t="s">
        <v>383</v>
      </c>
      <c r="FR95" s="44" t="s">
        <v>37</v>
      </c>
      <c r="FS95" s="44" t="s">
        <v>384</v>
      </c>
      <c r="FT95" s="44" t="s">
        <v>37</v>
      </c>
      <c r="FU95" s="44" t="s">
        <v>385</v>
      </c>
      <c r="FV95" s="44" t="s">
        <v>37</v>
      </c>
      <c r="FW95" s="44" t="s">
        <v>386</v>
      </c>
      <c r="FX95" s="44" t="s">
        <v>37</v>
      </c>
      <c r="FY95" s="44" t="s">
        <v>387</v>
      </c>
      <c r="FZ95" s="44" t="s">
        <v>37</v>
      </c>
      <c r="GA95" s="44" t="s">
        <v>388</v>
      </c>
      <c r="GB95" s="44" t="s">
        <v>37</v>
      </c>
      <c r="GC95" s="44" t="s">
        <v>389</v>
      </c>
      <c r="GD95" s="44" t="s">
        <v>37</v>
      </c>
      <c r="GE95" s="44" t="s">
        <v>390</v>
      </c>
      <c r="GF95" s="44" t="s">
        <v>37</v>
      </c>
      <c r="GG95" s="44" t="s">
        <v>391</v>
      </c>
      <c r="GH95" s="44" t="s">
        <v>37</v>
      </c>
      <c r="GI95" s="44" t="s">
        <v>392</v>
      </c>
      <c r="GJ95" s="44" t="s">
        <v>37</v>
      </c>
      <c r="GK95" s="44" t="s">
        <v>393</v>
      </c>
      <c r="GL95" s="44" t="s">
        <v>37</v>
      </c>
      <c r="GM95" s="44" t="s">
        <v>394</v>
      </c>
      <c r="GN95" s="44" t="s">
        <v>37</v>
      </c>
      <c r="GO95" s="44" t="s">
        <v>395</v>
      </c>
      <c r="GP95" s="44" t="s">
        <v>37</v>
      </c>
      <c r="GQ95" s="44" t="s">
        <v>396</v>
      </c>
      <c r="GR95" s="44" t="s">
        <v>37</v>
      </c>
      <c r="GS95" s="44" t="s">
        <v>397</v>
      </c>
      <c r="GT95" s="44" t="s">
        <v>37</v>
      </c>
      <c r="GU95" s="44" t="s">
        <v>398</v>
      </c>
      <c r="GV95" s="44" t="s">
        <v>37</v>
      </c>
      <c r="GW95" s="44" t="s">
        <v>399</v>
      </c>
      <c r="GX95" s="44" t="s">
        <v>37</v>
      </c>
      <c r="GY95" s="44" t="s">
        <v>400</v>
      </c>
      <c r="GZ95" s="44" t="s">
        <v>37</v>
      </c>
      <c r="HA95" s="44" t="s">
        <v>401</v>
      </c>
      <c r="HB95" s="44" t="s">
        <v>37</v>
      </c>
      <c r="HC95" s="44" t="s">
        <v>29</v>
      </c>
      <c r="HD95" s="44" t="s">
        <v>37</v>
      </c>
      <c r="HE95" s="44" t="s">
        <v>402</v>
      </c>
      <c r="HF95" s="44" t="s">
        <v>37</v>
      </c>
      <c r="HG95" s="44" t="s">
        <v>403</v>
      </c>
      <c r="HH95" s="44" t="s">
        <v>37</v>
      </c>
      <c r="HI95" s="44" t="s">
        <v>404</v>
      </c>
      <c r="HJ95" s="44" t="s">
        <v>37</v>
      </c>
      <c r="HK95" s="44" t="s">
        <v>405</v>
      </c>
      <c r="HL95" s="44" t="s">
        <v>37</v>
      </c>
    </row>
    <row r="96" spans="1:220">
      <c r="A96" s="150"/>
      <c r="D96" s="44" t="s">
        <v>37</v>
      </c>
      <c r="F96" s="44" t="s">
        <v>37</v>
      </c>
      <c r="H96" s="44" t="s">
        <v>37</v>
      </c>
      <c r="J96" s="44" t="s">
        <v>37</v>
      </c>
      <c r="L96" s="48" t="s">
        <v>37</v>
      </c>
      <c r="M96" s="50"/>
      <c r="N96" s="48" t="s">
        <v>37</v>
      </c>
      <c r="O96" s="50"/>
      <c r="P96" s="48" t="s">
        <v>37</v>
      </c>
      <c r="Q96" s="50"/>
      <c r="R96" s="48" t="s">
        <v>37</v>
      </c>
      <c r="S96" s="50"/>
      <c r="T96" s="48" t="s">
        <v>37</v>
      </c>
      <c r="V96" s="44" t="s">
        <v>37</v>
      </c>
      <c r="X96" s="44" t="s">
        <v>37</v>
      </c>
      <c r="Z96" s="44" t="s">
        <v>37</v>
      </c>
      <c r="AB96" s="44" t="s">
        <v>37</v>
      </c>
      <c r="AD96" s="44" t="s">
        <v>37</v>
      </c>
      <c r="AF96" s="44" t="s">
        <v>37</v>
      </c>
      <c r="AH96" s="44" t="s">
        <v>37</v>
      </c>
      <c r="AJ96" s="44" t="s">
        <v>37</v>
      </c>
      <c r="AL96" s="44" t="s">
        <v>37</v>
      </c>
      <c r="AN96" s="44" t="s">
        <v>37</v>
      </c>
      <c r="AP96" s="44" t="s">
        <v>37</v>
      </c>
      <c r="AR96" s="44" t="s">
        <v>37</v>
      </c>
      <c r="AT96" s="44" t="s">
        <v>37</v>
      </c>
      <c r="AV96" s="44" t="s">
        <v>37</v>
      </c>
      <c r="AX96" s="44" t="s">
        <v>37</v>
      </c>
      <c r="AZ96" s="44" t="s">
        <v>37</v>
      </c>
      <c r="BB96" s="44" t="s">
        <v>37</v>
      </c>
      <c r="BD96" s="44" t="s">
        <v>37</v>
      </c>
      <c r="BF96" s="44" t="s">
        <v>37</v>
      </c>
      <c r="BH96" s="44" t="s">
        <v>37</v>
      </c>
      <c r="BJ96" s="44" t="s">
        <v>37</v>
      </c>
      <c r="BL96" s="44" t="s">
        <v>37</v>
      </c>
      <c r="BN96" s="44" t="s">
        <v>37</v>
      </c>
      <c r="BP96" s="44" t="s">
        <v>37</v>
      </c>
      <c r="BR96" s="44" t="s">
        <v>37</v>
      </c>
      <c r="BT96" s="44" t="s">
        <v>37</v>
      </c>
      <c r="BV96" s="44" t="s">
        <v>37</v>
      </c>
      <c r="BX96" s="44" t="s">
        <v>37</v>
      </c>
      <c r="BZ96" s="44" t="s">
        <v>37</v>
      </c>
      <c r="CB96" s="44" t="s">
        <v>37</v>
      </c>
      <c r="CD96" s="44" t="s">
        <v>37</v>
      </c>
      <c r="CF96" s="44" t="s">
        <v>37</v>
      </c>
      <c r="CH96" s="44" t="s">
        <v>37</v>
      </c>
      <c r="CJ96" s="44" t="s">
        <v>37</v>
      </c>
      <c r="CL96" s="44" t="s">
        <v>37</v>
      </c>
      <c r="CN96" s="44" t="s">
        <v>37</v>
      </c>
      <c r="CP96" s="44" t="s">
        <v>37</v>
      </c>
      <c r="CR96" s="44" t="s">
        <v>37</v>
      </c>
      <c r="CT96" s="44" t="s">
        <v>37</v>
      </c>
      <c r="CV96" s="44" t="s">
        <v>37</v>
      </c>
      <c r="CX96" s="44" t="s">
        <v>37</v>
      </c>
      <c r="CZ96" s="44" t="s">
        <v>37</v>
      </c>
      <c r="DB96" s="44" t="s">
        <v>37</v>
      </c>
      <c r="DD96" s="44" t="s">
        <v>37</v>
      </c>
      <c r="DF96" s="44" t="s">
        <v>37</v>
      </c>
      <c r="DH96" s="44" t="s">
        <v>37</v>
      </c>
      <c r="DJ96" s="44" t="s">
        <v>37</v>
      </c>
      <c r="DL96" s="44" t="s">
        <v>37</v>
      </c>
      <c r="DN96" s="44" t="s">
        <v>37</v>
      </c>
      <c r="DP96" s="44" t="s">
        <v>37</v>
      </c>
      <c r="DR96" s="44" t="s">
        <v>37</v>
      </c>
      <c r="DT96" s="44" t="s">
        <v>37</v>
      </c>
      <c r="DV96" s="44" t="s">
        <v>37</v>
      </c>
      <c r="DX96" s="44" t="s">
        <v>37</v>
      </c>
      <c r="DZ96" s="44" t="s">
        <v>37</v>
      </c>
      <c r="EB96" s="44" t="s">
        <v>37</v>
      </c>
      <c r="ED96" s="44" t="s">
        <v>37</v>
      </c>
      <c r="EF96" s="44" t="s">
        <v>37</v>
      </c>
      <c r="EH96" s="44" t="s">
        <v>37</v>
      </c>
      <c r="EJ96" s="44" t="s">
        <v>37</v>
      </c>
      <c r="EL96" s="44" t="s">
        <v>37</v>
      </c>
      <c r="EN96" s="44" t="s">
        <v>37</v>
      </c>
      <c r="EP96" s="44" t="s">
        <v>37</v>
      </c>
      <c r="ER96" s="44" t="s">
        <v>37</v>
      </c>
      <c r="ET96" s="44" t="s">
        <v>37</v>
      </c>
      <c r="EV96" s="44" t="s">
        <v>37</v>
      </c>
      <c r="EX96" s="44" t="s">
        <v>37</v>
      </c>
      <c r="EZ96" s="44" t="s">
        <v>37</v>
      </c>
      <c r="FB96" s="44" t="s">
        <v>37</v>
      </c>
      <c r="FD96" s="44" t="s">
        <v>37</v>
      </c>
      <c r="FF96" s="44" t="s">
        <v>37</v>
      </c>
      <c r="FH96" s="44" t="s">
        <v>37</v>
      </c>
      <c r="FJ96" s="44" t="s">
        <v>37</v>
      </c>
      <c r="FL96" s="44" t="s">
        <v>37</v>
      </c>
      <c r="FN96" s="44" t="s">
        <v>37</v>
      </c>
      <c r="FP96" s="44" t="s">
        <v>37</v>
      </c>
      <c r="FR96" s="44" t="s">
        <v>37</v>
      </c>
      <c r="FT96" s="44" t="s">
        <v>37</v>
      </c>
      <c r="FV96" s="44" t="s">
        <v>37</v>
      </c>
      <c r="FX96" s="44" t="s">
        <v>37</v>
      </c>
      <c r="FZ96" s="44" t="s">
        <v>37</v>
      </c>
      <c r="GB96" s="44" t="s">
        <v>37</v>
      </c>
      <c r="GD96" s="44" t="s">
        <v>37</v>
      </c>
      <c r="GF96" s="44" t="s">
        <v>37</v>
      </c>
      <c r="GH96" s="44" t="s">
        <v>37</v>
      </c>
      <c r="GJ96" s="44" t="s">
        <v>37</v>
      </c>
      <c r="GL96" s="44" t="s">
        <v>37</v>
      </c>
      <c r="GN96" s="44" t="s">
        <v>37</v>
      </c>
      <c r="GP96" s="44" t="s">
        <v>37</v>
      </c>
      <c r="GR96" s="44" t="s">
        <v>37</v>
      </c>
      <c r="GT96" s="44" t="s">
        <v>37</v>
      </c>
      <c r="GV96" s="44" t="s">
        <v>37</v>
      </c>
      <c r="GX96" s="44" t="s">
        <v>37</v>
      </c>
      <c r="GZ96" s="44" t="s">
        <v>37</v>
      </c>
      <c r="HB96" s="44" t="s">
        <v>37</v>
      </c>
      <c r="HD96" s="44" t="s">
        <v>37</v>
      </c>
      <c r="HF96" s="44" t="s">
        <v>37</v>
      </c>
      <c r="HH96" s="44" t="s">
        <v>37</v>
      </c>
      <c r="HJ96" s="44" t="s">
        <v>37</v>
      </c>
      <c r="HL96" s="44" t="s">
        <v>37</v>
      </c>
    </row>
    <row r="97" spans="1:220">
      <c r="A97" s="150" t="s">
        <v>411</v>
      </c>
      <c r="B97" s="44">
        <v>3141</v>
      </c>
      <c r="C97" s="44" t="s">
        <v>120</v>
      </c>
      <c r="D97" s="44" t="s">
        <v>37</v>
      </c>
      <c r="F97" s="44" t="s">
        <v>37</v>
      </c>
      <c r="H97" s="44" t="s">
        <v>37</v>
      </c>
      <c r="J97" s="44" t="s">
        <v>37</v>
      </c>
      <c r="L97" s="48" t="s">
        <v>37</v>
      </c>
      <c r="M97" s="50"/>
      <c r="N97" s="48" t="s">
        <v>37</v>
      </c>
      <c r="O97" s="50"/>
      <c r="P97" s="48" t="s">
        <v>37</v>
      </c>
      <c r="Q97" s="50"/>
      <c r="R97" s="48" t="s">
        <v>37</v>
      </c>
      <c r="S97" s="50"/>
      <c r="T97" s="48" t="s">
        <v>37</v>
      </c>
      <c r="V97" s="44" t="s">
        <v>37</v>
      </c>
      <c r="X97" s="44" t="s">
        <v>37</v>
      </c>
      <c r="Z97" s="44" t="s">
        <v>37</v>
      </c>
      <c r="AB97" s="44" t="s">
        <v>37</v>
      </c>
      <c r="AD97" s="44" t="s">
        <v>37</v>
      </c>
      <c r="AF97" s="44" t="s">
        <v>37</v>
      </c>
      <c r="AH97" s="44" t="s">
        <v>37</v>
      </c>
      <c r="AJ97" s="44" t="s">
        <v>37</v>
      </c>
      <c r="AL97" s="44" t="s">
        <v>37</v>
      </c>
      <c r="AN97" s="44" t="s">
        <v>37</v>
      </c>
      <c r="AP97" s="44" t="s">
        <v>37</v>
      </c>
      <c r="AR97" s="44" t="s">
        <v>37</v>
      </c>
      <c r="AT97" s="44" t="s">
        <v>37</v>
      </c>
      <c r="AV97" s="44" t="s">
        <v>37</v>
      </c>
      <c r="AX97" s="44" t="s">
        <v>37</v>
      </c>
      <c r="AZ97" s="44" t="s">
        <v>37</v>
      </c>
      <c r="BB97" s="44" t="s">
        <v>37</v>
      </c>
      <c r="BD97" s="44" t="s">
        <v>37</v>
      </c>
      <c r="BF97" s="44" t="s">
        <v>37</v>
      </c>
      <c r="BH97" s="44" t="s">
        <v>37</v>
      </c>
      <c r="BJ97" s="44" t="s">
        <v>37</v>
      </c>
      <c r="BL97" s="44" t="s">
        <v>37</v>
      </c>
      <c r="BN97" s="44" t="s">
        <v>37</v>
      </c>
      <c r="BP97" s="44" t="s">
        <v>37</v>
      </c>
      <c r="BR97" s="44" t="s">
        <v>37</v>
      </c>
      <c r="BT97" s="44" t="s">
        <v>37</v>
      </c>
      <c r="BV97" s="44" t="s">
        <v>37</v>
      </c>
      <c r="BX97" s="44" t="s">
        <v>37</v>
      </c>
      <c r="BZ97" s="44" t="s">
        <v>37</v>
      </c>
      <c r="CB97" s="44" t="s">
        <v>37</v>
      </c>
      <c r="CD97" s="44" t="s">
        <v>37</v>
      </c>
      <c r="CF97" s="44" t="s">
        <v>37</v>
      </c>
      <c r="CH97" s="44" t="s">
        <v>37</v>
      </c>
      <c r="CJ97" s="44" t="s">
        <v>37</v>
      </c>
      <c r="CL97" s="44" t="s">
        <v>37</v>
      </c>
      <c r="CN97" s="44" t="s">
        <v>37</v>
      </c>
      <c r="CP97" s="44" t="s">
        <v>37</v>
      </c>
      <c r="CR97" s="44" t="s">
        <v>37</v>
      </c>
      <c r="CT97" s="44" t="s">
        <v>37</v>
      </c>
      <c r="CV97" s="44" t="s">
        <v>37</v>
      </c>
      <c r="CX97" s="44" t="s">
        <v>37</v>
      </c>
      <c r="CZ97" s="44" t="s">
        <v>37</v>
      </c>
      <c r="DB97" s="44" t="s">
        <v>37</v>
      </c>
      <c r="DD97" s="44" t="s">
        <v>37</v>
      </c>
      <c r="DF97" s="44" t="s">
        <v>37</v>
      </c>
      <c r="DH97" s="44" t="s">
        <v>37</v>
      </c>
      <c r="DJ97" s="44" t="s">
        <v>37</v>
      </c>
      <c r="DL97" s="44" t="s">
        <v>37</v>
      </c>
      <c r="DN97" s="44" t="s">
        <v>37</v>
      </c>
      <c r="DP97" s="44" t="s">
        <v>37</v>
      </c>
      <c r="DR97" s="44" t="s">
        <v>37</v>
      </c>
      <c r="DT97" s="44" t="s">
        <v>37</v>
      </c>
      <c r="DV97" s="44" t="s">
        <v>37</v>
      </c>
      <c r="DX97" s="44" t="s">
        <v>37</v>
      </c>
      <c r="DZ97" s="44" t="s">
        <v>37</v>
      </c>
      <c r="EB97" s="44" t="s">
        <v>37</v>
      </c>
      <c r="ED97" s="44" t="s">
        <v>37</v>
      </c>
      <c r="EF97" s="44" t="s">
        <v>37</v>
      </c>
      <c r="EH97" s="44" t="s">
        <v>37</v>
      </c>
      <c r="EJ97" s="44" t="s">
        <v>37</v>
      </c>
      <c r="EL97" s="44" t="s">
        <v>37</v>
      </c>
      <c r="EN97" s="44" t="s">
        <v>37</v>
      </c>
      <c r="EP97" s="44" t="s">
        <v>37</v>
      </c>
      <c r="ER97" s="44" t="s">
        <v>37</v>
      </c>
      <c r="ET97" s="44" t="s">
        <v>37</v>
      </c>
      <c r="EV97" s="44" t="s">
        <v>37</v>
      </c>
      <c r="EX97" s="44" t="s">
        <v>37</v>
      </c>
      <c r="EZ97" s="44" t="s">
        <v>37</v>
      </c>
      <c r="FB97" s="44" t="s">
        <v>37</v>
      </c>
      <c r="FD97" s="44" t="s">
        <v>37</v>
      </c>
      <c r="FF97" s="44" t="s">
        <v>37</v>
      </c>
      <c r="FH97" s="44" t="s">
        <v>37</v>
      </c>
      <c r="FJ97" s="44" t="s">
        <v>37</v>
      </c>
      <c r="FL97" s="44" t="s">
        <v>37</v>
      </c>
      <c r="FN97" s="44" t="s">
        <v>37</v>
      </c>
      <c r="FP97" s="44" t="s">
        <v>37</v>
      </c>
      <c r="FR97" s="44" t="s">
        <v>37</v>
      </c>
      <c r="FT97" s="44" t="s">
        <v>37</v>
      </c>
      <c r="FV97" s="44" t="s">
        <v>37</v>
      </c>
      <c r="FX97" s="44" t="s">
        <v>37</v>
      </c>
      <c r="FZ97" s="44" t="s">
        <v>37</v>
      </c>
      <c r="GB97" s="44" t="s">
        <v>37</v>
      </c>
      <c r="GD97" s="44" t="s">
        <v>37</v>
      </c>
      <c r="GF97" s="44" t="s">
        <v>37</v>
      </c>
      <c r="GH97" s="44" t="s">
        <v>37</v>
      </c>
      <c r="GJ97" s="44" t="s">
        <v>37</v>
      </c>
      <c r="GL97" s="44" t="s">
        <v>37</v>
      </c>
      <c r="GN97" s="44" t="s">
        <v>37</v>
      </c>
      <c r="GP97" s="44" t="s">
        <v>37</v>
      </c>
      <c r="GR97" s="44" t="s">
        <v>37</v>
      </c>
      <c r="GT97" s="44" t="s">
        <v>37</v>
      </c>
      <c r="GV97" s="44" t="s">
        <v>37</v>
      </c>
      <c r="GX97" s="44" t="s">
        <v>37</v>
      </c>
      <c r="GZ97" s="44" t="s">
        <v>37</v>
      </c>
      <c r="HB97" s="44" t="s">
        <v>37</v>
      </c>
      <c r="HD97" s="44" t="s">
        <v>37</v>
      </c>
      <c r="HF97" s="44" t="s">
        <v>37</v>
      </c>
      <c r="HH97" s="44" t="s">
        <v>37</v>
      </c>
      <c r="HJ97" s="44" t="s">
        <v>37</v>
      </c>
      <c r="HL97" s="44" t="s">
        <v>37</v>
      </c>
    </row>
    <row r="98" spans="1:220">
      <c r="A98" s="150" t="s">
        <v>411</v>
      </c>
      <c r="B98" s="44">
        <v>3142</v>
      </c>
      <c r="C98" s="44" t="s">
        <v>121</v>
      </c>
      <c r="D98" s="44" t="s">
        <v>37</v>
      </c>
      <c r="E98" s="44">
        <v>3502</v>
      </c>
      <c r="F98" s="44" t="s">
        <v>37</v>
      </c>
      <c r="G98" s="44">
        <v>14786</v>
      </c>
      <c r="H98" s="44" t="s">
        <v>37</v>
      </c>
      <c r="I98" s="44">
        <v>1556</v>
      </c>
      <c r="J98" s="44" t="s">
        <v>37</v>
      </c>
      <c r="K98" s="44">
        <v>17898</v>
      </c>
      <c r="L98" s="48" t="s">
        <v>37</v>
      </c>
      <c r="M98" s="50"/>
      <c r="N98" s="48" t="s">
        <v>37</v>
      </c>
      <c r="O98" s="50"/>
      <c r="P98" s="48" t="s">
        <v>37</v>
      </c>
      <c r="Q98" s="50"/>
      <c r="R98" s="48" t="s">
        <v>37</v>
      </c>
      <c r="S98" s="50"/>
      <c r="T98" s="48" t="s">
        <v>37</v>
      </c>
      <c r="V98" s="44" t="s">
        <v>37</v>
      </c>
      <c r="X98" s="44" t="s">
        <v>37</v>
      </c>
      <c r="Z98" s="44" t="s">
        <v>37</v>
      </c>
      <c r="AA98" s="44">
        <v>1556</v>
      </c>
      <c r="AB98" s="44" t="s">
        <v>37</v>
      </c>
      <c r="AC98" s="44">
        <v>1167</v>
      </c>
      <c r="AD98" s="44" t="s">
        <v>37</v>
      </c>
      <c r="AE98" s="44">
        <v>778</v>
      </c>
      <c r="AF98" s="44" t="s">
        <v>37</v>
      </c>
      <c r="AG98" s="44">
        <v>778</v>
      </c>
      <c r="AH98" s="44" t="s">
        <v>37</v>
      </c>
      <c r="AI98" s="44">
        <v>1556</v>
      </c>
      <c r="AJ98" s="44" t="s">
        <v>37</v>
      </c>
      <c r="AL98" s="44" t="s">
        <v>37</v>
      </c>
      <c r="AM98" s="44">
        <v>10895</v>
      </c>
      <c r="AN98" s="44" t="s">
        <v>37</v>
      </c>
      <c r="AP98" s="44" t="s">
        <v>37</v>
      </c>
      <c r="AQ98" s="44">
        <v>12840</v>
      </c>
      <c r="AR98" s="44" t="s">
        <v>37</v>
      </c>
      <c r="AS98" s="44">
        <v>1556</v>
      </c>
      <c r="AT98" s="44" t="s">
        <v>37</v>
      </c>
      <c r="AU98" s="44">
        <v>29571</v>
      </c>
      <c r="AV98" s="44" t="s">
        <v>37</v>
      </c>
      <c r="AW98" s="44">
        <v>7393</v>
      </c>
      <c r="AX98" s="44" t="s">
        <v>37</v>
      </c>
      <c r="AY98" s="44">
        <v>3502</v>
      </c>
      <c r="AZ98" s="44" t="s">
        <v>37</v>
      </c>
      <c r="BA98" s="44">
        <v>6225</v>
      </c>
      <c r="BB98" s="44" t="s">
        <v>37</v>
      </c>
      <c r="BC98" s="44">
        <v>1167</v>
      </c>
      <c r="BD98" s="44" t="s">
        <v>37</v>
      </c>
      <c r="BE98" s="44">
        <v>1945</v>
      </c>
      <c r="BF98" s="44" t="s">
        <v>37</v>
      </c>
      <c r="BG98" s="44">
        <v>778</v>
      </c>
      <c r="BH98" s="44" t="s">
        <v>37</v>
      </c>
      <c r="BJ98" s="44" t="s">
        <v>37</v>
      </c>
      <c r="BK98" s="44">
        <v>3891</v>
      </c>
      <c r="BL98" s="44" t="s">
        <v>37</v>
      </c>
      <c r="BM98" s="44">
        <v>7393</v>
      </c>
      <c r="BN98" s="44" t="s">
        <v>37</v>
      </c>
      <c r="BP98" s="44" t="s">
        <v>37</v>
      </c>
      <c r="BQ98" s="44">
        <v>778</v>
      </c>
      <c r="BR98" s="44" t="s">
        <v>37</v>
      </c>
      <c r="BS98" s="44">
        <v>2335</v>
      </c>
      <c r="BT98" s="44" t="s">
        <v>37</v>
      </c>
      <c r="BV98" s="44" t="s">
        <v>37</v>
      </c>
      <c r="BX98" s="44" t="s">
        <v>37</v>
      </c>
      <c r="BY98" s="44">
        <v>5447</v>
      </c>
      <c r="BZ98" s="44" t="s">
        <v>37</v>
      </c>
      <c r="CA98" s="44">
        <v>1946</v>
      </c>
      <c r="CB98" s="44" t="s">
        <v>37</v>
      </c>
      <c r="CD98" s="44" t="s">
        <v>37</v>
      </c>
      <c r="CE98" s="44">
        <v>2724</v>
      </c>
      <c r="CF98" s="44" t="s">
        <v>37</v>
      </c>
      <c r="CG98" s="44">
        <v>2724</v>
      </c>
      <c r="CH98" s="44" t="s">
        <v>37</v>
      </c>
      <c r="CI98" s="44">
        <v>7393</v>
      </c>
      <c r="CJ98" s="44" t="s">
        <v>37</v>
      </c>
      <c r="CK98" s="44">
        <v>778</v>
      </c>
      <c r="CL98" s="44" t="s">
        <v>37</v>
      </c>
      <c r="CM98" s="44">
        <v>3502</v>
      </c>
      <c r="CN98" s="44" t="s">
        <v>37</v>
      </c>
      <c r="CO98" s="44">
        <v>389</v>
      </c>
      <c r="CP98" s="44" t="s">
        <v>37</v>
      </c>
      <c r="CQ98" s="44">
        <v>1167</v>
      </c>
      <c r="CR98" s="44" t="s">
        <v>37</v>
      </c>
      <c r="CS98" s="44">
        <v>6615</v>
      </c>
      <c r="CT98" s="44" t="s">
        <v>37</v>
      </c>
      <c r="CU98" s="44">
        <v>33462</v>
      </c>
      <c r="CV98" s="44" t="s">
        <v>37</v>
      </c>
      <c r="CW98" s="44">
        <v>5836</v>
      </c>
      <c r="CX98" s="44" t="s">
        <v>37</v>
      </c>
      <c r="CY98" s="44">
        <v>1167</v>
      </c>
      <c r="CZ98" s="44" t="s">
        <v>37</v>
      </c>
      <c r="DA98" s="44">
        <v>1556</v>
      </c>
      <c r="DB98" s="44" t="s">
        <v>37</v>
      </c>
      <c r="DD98" s="44" t="s">
        <v>37</v>
      </c>
      <c r="DE98" s="44">
        <v>2724</v>
      </c>
      <c r="DF98" s="44" t="s">
        <v>37</v>
      </c>
      <c r="DG98" s="44">
        <v>1167</v>
      </c>
      <c r="DH98" s="44" t="s">
        <v>37</v>
      </c>
      <c r="DI98" s="44">
        <v>16731</v>
      </c>
      <c r="DJ98" s="44" t="s">
        <v>37</v>
      </c>
      <c r="DK98" s="44">
        <v>1167</v>
      </c>
      <c r="DL98" s="44" t="s">
        <v>37</v>
      </c>
      <c r="DM98" s="44">
        <v>7004</v>
      </c>
      <c r="DN98" s="44" t="s">
        <v>37</v>
      </c>
      <c r="DO98" s="44">
        <v>7004</v>
      </c>
      <c r="DP98" s="44" t="s">
        <v>37</v>
      </c>
      <c r="DQ98" s="44">
        <v>3891</v>
      </c>
      <c r="DR98" s="44" t="s">
        <v>37</v>
      </c>
      <c r="DS98" s="44">
        <v>2724</v>
      </c>
      <c r="DT98" s="44" t="s">
        <v>37</v>
      </c>
      <c r="DU98" s="44">
        <v>2335</v>
      </c>
      <c r="DV98" s="44" t="s">
        <v>37</v>
      </c>
      <c r="DW98" s="44">
        <v>7393</v>
      </c>
      <c r="DX98" s="44" t="s">
        <v>37</v>
      </c>
      <c r="DY98" s="44">
        <v>6225</v>
      </c>
      <c r="DZ98" s="44" t="s">
        <v>37</v>
      </c>
      <c r="EA98" s="44">
        <v>1556</v>
      </c>
      <c r="EB98" s="44" t="s">
        <v>37</v>
      </c>
      <c r="EC98" s="44">
        <v>1945</v>
      </c>
      <c r="ED98" s="44" t="s">
        <v>37</v>
      </c>
      <c r="EF98" s="44" t="s">
        <v>37</v>
      </c>
      <c r="EG98" s="44">
        <v>778</v>
      </c>
      <c r="EH98" s="44" t="s">
        <v>37</v>
      </c>
      <c r="EJ98" s="44" t="s">
        <v>37</v>
      </c>
      <c r="EK98" s="44">
        <v>1945</v>
      </c>
      <c r="EL98" s="44" t="s">
        <v>37</v>
      </c>
      <c r="EM98" s="44">
        <v>2335</v>
      </c>
      <c r="EN98" s="44" t="s">
        <v>37</v>
      </c>
      <c r="EO98" s="44">
        <v>1167</v>
      </c>
      <c r="EP98" s="44" t="s">
        <v>37</v>
      </c>
      <c r="ER98" s="44" t="s">
        <v>37</v>
      </c>
      <c r="ES98" s="44">
        <v>3502</v>
      </c>
      <c r="ET98" s="44" t="s">
        <v>37</v>
      </c>
      <c r="EU98" s="44">
        <v>4280</v>
      </c>
      <c r="EV98" s="44" t="s">
        <v>37</v>
      </c>
      <c r="EW98" s="44">
        <v>7393</v>
      </c>
      <c r="EX98" s="44" t="s">
        <v>37</v>
      </c>
      <c r="EZ98" s="44" t="s">
        <v>37</v>
      </c>
      <c r="FA98" s="44">
        <v>2335</v>
      </c>
      <c r="FB98" s="44" t="s">
        <v>37</v>
      </c>
      <c r="FC98" s="44">
        <v>2335</v>
      </c>
      <c r="FD98" s="44" t="s">
        <v>37</v>
      </c>
      <c r="FE98" s="44">
        <v>4669</v>
      </c>
      <c r="FF98" s="44" t="s">
        <v>37</v>
      </c>
      <c r="FH98" s="44" t="s">
        <v>37</v>
      </c>
      <c r="FI98" s="44">
        <v>10116</v>
      </c>
      <c r="FJ98" s="44" t="s">
        <v>37</v>
      </c>
      <c r="FK98" s="44">
        <v>18677</v>
      </c>
      <c r="FL98" s="44" t="s">
        <v>37</v>
      </c>
      <c r="FM98" s="44">
        <v>9338</v>
      </c>
      <c r="FN98" s="44" t="s">
        <v>37</v>
      </c>
      <c r="FO98" s="44">
        <v>1556</v>
      </c>
      <c r="FP98" s="44" t="s">
        <v>37</v>
      </c>
      <c r="FQ98" s="44">
        <v>2724</v>
      </c>
      <c r="FR98" s="44" t="s">
        <v>37</v>
      </c>
      <c r="FS98" s="44">
        <v>5058</v>
      </c>
      <c r="FT98" s="44" t="s">
        <v>37</v>
      </c>
      <c r="FU98" s="44">
        <v>2724</v>
      </c>
      <c r="FV98" s="44" t="s">
        <v>37</v>
      </c>
      <c r="FW98" s="44">
        <v>1556</v>
      </c>
      <c r="FX98" s="44" t="s">
        <v>37</v>
      </c>
      <c r="FY98" s="44">
        <v>3502</v>
      </c>
      <c r="FZ98" s="44" t="s">
        <v>37</v>
      </c>
      <c r="GA98" s="44">
        <v>5836</v>
      </c>
      <c r="GB98" s="44" t="s">
        <v>37</v>
      </c>
      <c r="GC98" s="44">
        <v>5447</v>
      </c>
      <c r="GD98" s="44" t="s">
        <v>37</v>
      </c>
      <c r="GF98" s="44" t="s">
        <v>37</v>
      </c>
      <c r="GH98" s="44" t="s">
        <v>37</v>
      </c>
      <c r="GJ98" s="44" t="s">
        <v>37</v>
      </c>
      <c r="GK98" s="44">
        <v>5836</v>
      </c>
      <c r="GL98" s="44" t="s">
        <v>37</v>
      </c>
      <c r="GM98" s="44">
        <v>4280</v>
      </c>
      <c r="GN98" s="44" t="s">
        <v>37</v>
      </c>
      <c r="GP98" s="44" t="s">
        <v>37</v>
      </c>
      <c r="GQ98" s="44">
        <v>3502</v>
      </c>
      <c r="GR98" s="44" t="s">
        <v>37</v>
      </c>
      <c r="GS98" s="44">
        <v>4669</v>
      </c>
      <c r="GT98" s="44" t="s">
        <v>37</v>
      </c>
      <c r="GU98" s="44">
        <v>3113</v>
      </c>
      <c r="GV98" s="44" t="s">
        <v>37</v>
      </c>
      <c r="GW98" s="44">
        <v>3113</v>
      </c>
      <c r="GX98" s="44" t="s">
        <v>37</v>
      </c>
      <c r="GY98" s="44">
        <v>8949</v>
      </c>
      <c r="GZ98" s="44" t="s">
        <v>37</v>
      </c>
      <c r="HA98" s="44">
        <v>3113</v>
      </c>
      <c r="HB98" s="44" t="s">
        <v>37</v>
      </c>
      <c r="HD98" s="44" t="s">
        <v>37</v>
      </c>
      <c r="HF98" s="44" t="s">
        <v>37</v>
      </c>
      <c r="HG98" s="44">
        <v>404266</v>
      </c>
      <c r="HH98" s="44" t="s">
        <v>37</v>
      </c>
      <c r="HJ98" s="44" t="s">
        <v>37</v>
      </c>
      <c r="HK98" s="44">
        <v>404266</v>
      </c>
      <c r="HL98" s="44" t="s">
        <v>37</v>
      </c>
    </row>
    <row r="99" spans="1:220">
      <c r="A99" s="150" t="s">
        <v>408</v>
      </c>
      <c r="B99" s="54">
        <v>3150</v>
      </c>
      <c r="C99" s="44" t="s">
        <v>122</v>
      </c>
      <c r="D99" s="44" t="s">
        <v>37</v>
      </c>
      <c r="F99" s="44" t="s">
        <v>37</v>
      </c>
      <c r="H99" s="44" t="s">
        <v>37</v>
      </c>
      <c r="J99" s="44" t="s">
        <v>37</v>
      </c>
      <c r="L99" s="48" t="s">
        <v>37</v>
      </c>
      <c r="M99" s="50"/>
      <c r="N99" s="48" t="s">
        <v>37</v>
      </c>
      <c r="O99" s="50"/>
      <c r="P99" s="48" t="s">
        <v>37</v>
      </c>
      <c r="Q99" s="50"/>
      <c r="R99" s="48" t="s">
        <v>37</v>
      </c>
      <c r="S99" s="50"/>
      <c r="T99" s="48" t="s">
        <v>37</v>
      </c>
      <c r="V99" s="44" t="s">
        <v>37</v>
      </c>
      <c r="X99" s="44" t="s">
        <v>37</v>
      </c>
      <c r="Z99" s="44" t="s">
        <v>37</v>
      </c>
      <c r="AB99" s="44" t="s">
        <v>37</v>
      </c>
      <c r="AD99" s="44" t="s">
        <v>37</v>
      </c>
      <c r="AF99" s="44" t="s">
        <v>37</v>
      </c>
      <c r="AH99" s="44" t="s">
        <v>37</v>
      </c>
      <c r="AJ99" s="44" t="s">
        <v>37</v>
      </c>
      <c r="AL99" s="44" t="s">
        <v>37</v>
      </c>
      <c r="AN99" s="44" t="s">
        <v>37</v>
      </c>
      <c r="AP99" s="44" t="s">
        <v>37</v>
      </c>
      <c r="AR99" s="44" t="s">
        <v>37</v>
      </c>
      <c r="AT99" s="44" t="s">
        <v>37</v>
      </c>
      <c r="AV99" s="44" t="s">
        <v>37</v>
      </c>
      <c r="AX99" s="44" t="s">
        <v>37</v>
      </c>
      <c r="AZ99" s="44" t="s">
        <v>37</v>
      </c>
      <c r="BB99" s="44" t="s">
        <v>37</v>
      </c>
      <c r="BD99" s="44" t="s">
        <v>37</v>
      </c>
      <c r="BF99" s="44" t="s">
        <v>37</v>
      </c>
      <c r="BH99" s="44" t="s">
        <v>37</v>
      </c>
      <c r="BJ99" s="44" t="s">
        <v>37</v>
      </c>
      <c r="BL99" s="44" t="s">
        <v>37</v>
      </c>
      <c r="BN99" s="44" t="s">
        <v>37</v>
      </c>
      <c r="BP99" s="44" t="s">
        <v>37</v>
      </c>
      <c r="BR99" s="44" t="s">
        <v>37</v>
      </c>
      <c r="BT99" s="44" t="s">
        <v>37</v>
      </c>
      <c r="BV99" s="44" t="s">
        <v>37</v>
      </c>
      <c r="BX99" s="44" t="s">
        <v>37</v>
      </c>
      <c r="BZ99" s="44" t="s">
        <v>37</v>
      </c>
      <c r="CB99" s="44" t="s">
        <v>37</v>
      </c>
      <c r="CD99" s="44" t="s">
        <v>37</v>
      </c>
      <c r="CF99" s="44" t="s">
        <v>37</v>
      </c>
      <c r="CH99" s="44" t="s">
        <v>37</v>
      </c>
      <c r="CJ99" s="44" t="s">
        <v>37</v>
      </c>
      <c r="CL99" s="44" t="s">
        <v>37</v>
      </c>
      <c r="CN99" s="44" t="s">
        <v>37</v>
      </c>
      <c r="CP99" s="44" t="s">
        <v>37</v>
      </c>
      <c r="CR99" s="44" t="s">
        <v>37</v>
      </c>
      <c r="CT99" s="44" t="s">
        <v>37</v>
      </c>
      <c r="CV99" s="44" t="s">
        <v>37</v>
      </c>
      <c r="CX99" s="44" t="s">
        <v>37</v>
      </c>
      <c r="CZ99" s="44" t="s">
        <v>37</v>
      </c>
      <c r="DB99" s="44" t="s">
        <v>37</v>
      </c>
      <c r="DD99" s="44" t="s">
        <v>37</v>
      </c>
      <c r="DF99" s="44" t="s">
        <v>37</v>
      </c>
      <c r="DH99" s="44" t="s">
        <v>37</v>
      </c>
      <c r="DJ99" s="44" t="s">
        <v>37</v>
      </c>
      <c r="DL99" s="44" t="s">
        <v>37</v>
      </c>
      <c r="DN99" s="44" t="s">
        <v>37</v>
      </c>
      <c r="DP99" s="44" t="s">
        <v>37</v>
      </c>
      <c r="DR99" s="44" t="s">
        <v>37</v>
      </c>
      <c r="DT99" s="44" t="s">
        <v>37</v>
      </c>
      <c r="DV99" s="44" t="s">
        <v>37</v>
      </c>
      <c r="DX99" s="44" t="s">
        <v>37</v>
      </c>
      <c r="DZ99" s="44" t="s">
        <v>37</v>
      </c>
      <c r="EB99" s="44" t="s">
        <v>37</v>
      </c>
      <c r="ED99" s="44" t="s">
        <v>37</v>
      </c>
      <c r="EF99" s="44" t="s">
        <v>37</v>
      </c>
      <c r="EH99" s="44" t="s">
        <v>37</v>
      </c>
      <c r="EJ99" s="44" t="s">
        <v>37</v>
      </c>
      <c r="EL99" s="44" t="s">
        <v>37</v>
      </c>
      <c r="EN99" s="44" t="s">
        <v>37</v>
      </c>
      <c r="EP99" s="44" t="s">
        <v>37</v>
      </c>
      <c r="ER99" s="44" t="s">
        <v>37</v>
      </c>
      <c r="ET99" s="44" t="s">
        <v>37</v>
      </c>
      <c r="EV99" s="44" t="s">
        <v>37</v>
      </c>
      <c r="EX99" s="44" t="s">
        <v>37</v>
      </c>
      <c r="EZ99" s="44" t="s">
        <v>37</v>
      </c>
      <c r="FB99" s="44" t="s">
        <v>37</v>
      </c>
      <c r="FD99" s="44" t="s">
        <v>37</v>
      </c>
      <c r="FF99" s="44" t="s">
        <v>37</v>
      </c>
      <c r="FH99" s="44" t="s">
        <v>37</v>
      </c>
      <c r="FJ99" s="44" t="s">
        <v>37</v>
      </c>
      <c r="FL99" s="44" t="s">
        <v>37</v>
      </c>
      <c r="FN99" s="44" t="s">
        <v>37</v>
      </c>
      <c r="FP99" s="44" t="s">
        <v>37</v>
      </c>
      <c r="FR99" s="44" t="s">
        <v>37</v>
      </c>
      <c r="FT99" s="44" t="s">
        <v>37</v>
      </c>
      <c r="FV99" s="44" t="s">
        <v>37</v>
      </c>
      <c r="FX99" s="44" t="s">
        <v>37</v>
      </c>
      <c r="FZ99" s="44" t="s">
        <v>37</v>
      </c>
      <c r="GB99" s="44" t="s">
        <v>37</v>
      </c>
      <c r="GD99" s="44" t="s">
        <v>37</v>
      </c>
      <c r="GF99" s="44" t="s">
        <v>37</v>
      </c>
      <c r="GH99" s="44" t="s">
        <v>37</v>
      </c>
      <c r="GJ99" s="44" t="s">
        <v>37</v>
      </c>
      <c r="GL99" s="44" t="s">
        <v>37</v>
      </c>
      <c r="GN99" s="44" t="s">
        <v>37</v>
      </c>
      <c r="GP99" s="44" t="s">
        <v>37</v>
      </c>
      <c r="GR99" s="44" t="s">
        <v>37</v>
      </c>
      <c r="GT99" s="44" t="s">
        <v>37</v>
      </c>
      <c r="GV99" s="44" t="s">
        <v>37</v>
      </c>
      <c r="GX99" s="44" t="s">
        <v>37</v>
      </c>
      <c r="GZ99" s="44" t="s">
        <v>37</v>
      </c>
      <c r="HB99" s="44" t="s">
        <v>37</v>
      </c>
      <c r="HD99" s="44" t="s">
        <v>37</v>
      </c>
      <c r="HF99" s="44" t="s">
        <v>37</v>
      </c>
      <c r="HH99" s="44" t="s">
        <v>37</v>
      </c>
      <c r="HJ99" s="44" t="s">
        <v>37</v>
      </c>
      <c r="HL99" s="44" t="s">
        <v>37</v>
      </c>
    </row>
    <row r="100" spans="1:220">
      <c r="A100" s="150" t="s">
        <v>407</v>
      </c>
      <c r="B100" s="54">
        <v>3151</v>
      </c>
      <c r="C100" s="44" t="s">
        <v>123</v>
      </c>
      <c r="D100" s="44" t="s">
        <v>37</v>
      </c>
      <c r="F100" s="44" t="s">
        <v>37</v>
      </c>
      <c r="G100" s="44">
        <v>9409</v>
      </c>
      <c r="H100" s="44" t="s">
        <v>37</v>
      </c>
      <c r="I100" s="44">
        <v>3043</v>
      </c>
      <c r="J100" s="44" t="s">
        <v>37</v>
      </c>
      <c r="L100" s="48" t="s">
        <v>37</v>
      </c>
      <c r="M100" s="50"/>
      <c r="N100" s="48" t="s">
        <v>37</v>
      </c>
      <c r="O100" s="50"/>
      <c r="P100" s="48" t="s">
        <v>37</v>
      </c>
      <c r="Q100" s="50"/>
      <c r="R100" s="48" t="s">
        <v>37</v>
      </c>
      <c r="S100" s="50"/>
      <c r="T100" s="48" t="s">
        <v>37</v>
      </c>
      <c r="U100" s="44">
        <v>12480</v>
      </c>
      <c r="V100" s="44" t="s">
        <v>37</v>
      </c>
      <c r="X100" s="44" t="s">
        <v>37</v>
      </c>
      <c r="Y100" s="44">
        <v>9892</v>
      </c>
      <c r="Z100" s="44" t="s">
        <v>37</v>
      </c>
      <c r="AB100" s="44" t="s">
        <v>37</v>
      </c>
      <c r="AD100" s="44" t="s">
        <v>37</v>
      </c>
      <c r="AF100" s="44" t="s">
        <v>37</v>
      </c>
      <c r="AH100" s="44" t="s">
        <v>37</v>
      </c>
      <c r="AJ100" s="44" t="s">
        <v>37</v>
      </c>
      <c r="AL100" s="44" t="s">
        <v>37</v>
      </c>
      <c r="AM100" s="44">
        <v>9409</v>
      </c>
      <c r="AN100" s="44" t="s">
        <v>37</v>
      </c>
      <c r="AP100" s="44" t="s">
        <v>37</v>
      </c>
      <c r="AR100" s="44" t="s">
        <v>37</v>
      </c>
      <c r="AS100" s="44">
        <v>10340</v>
      </c>
      <c r="AT100" s="44" t="s">
        <v>37</v>
      </c>
      <c r="AU100" s="44">
        <v>22480</v>
      </c>
      <c r="AV100" s="44" t="s">
        <v>37</v>
      </c>
      <c r="AW100" s="44">
        <v>13025</v>
      </c>
      <c r="AX100" s="44" t="s">
        <v>37</v>
      </c>
      <c r="AZ100" s="44" t="s">
        <v>37</v>
      </c>
      <c r="BB100" s="44" t="s">
        <v>37</v>
      </c>
      <c r="BD100" s="44" t="s">
        <v>37</v>
      </c>
      <c r="BF100" s="44" t="s">
        <v>37</v>
      </c>
      <c r="BH100" s="44" t="s">
        <v>37</v>
      </c>
      <c r="BI100" s="44">
        <v>166948</v>
      </c>
      <c r="BJ100" s="44" t="s">
        <v>37</v>
      </c>
      <c r="BK100" s="44">
        <v>12480</v>
      </c>
      <c r="BL100" s="44" t="s">
        <v>37</v>
      </c>
      <c r="BM100" s="44">
        <v>12237</v>
      </c>
      <c r="BN100" s="44" t="s">
        <v>37</v>
      </c>
      <c r="BP100" s="44" t="s">
        <v>37</v>
      </c>
      <c r="BR100" s="44" t="s">
        <v>37</v>
      </c>
      <c r="BT100" s="44" t="s">
        <v>37</v>
      </c>
      <c r="BV100" s="44" t="s">
        <v>37</v>
      </c>
      <c r="BX100" s="44" t="s">
        <v>37</v>
      </c>
      <c r="BY100" s="44">
        <v>12480</v>
      </c>
      <c r="BZ100" s="44" t="s">
        <v>37</v>
      </c>
      <c r="CB100" s="44" t="s">
        <v>37</v>
      </c>
      <c r="CD100" s="44" t="s">
        <v>37</v>
      </c>
      <c r="CF100" s="44" t="s">
        <v>37</v>
      </c>
      <c r="CH100" s="44" t="s">
        <v>37</v>
      </c>
      <c r="CI100" s="44">
        <v>10712</v>
      </c>
      <c r="CJ100" s="44" t="s">
        <v>37</v>
      </c>
      <c r="CL100" s="44" t="s">
        <v>37</v>
      </c>
      <c r="CN100" s="44" t="s">
        <v>37</v>
      </c>
      <c r="CP100" s="44" t="s">
        <v>37</v>
      </c>
      <c r="CR100" s="44" t="s">
        <v>37</v>
      </c>
      <c r="CT100" s="44" t="s">
        <v>37</v>
      </c>
      <c r="CU100" s="44">
        <v>129120</v>
      </c>
      <c r="CV100" s="44" t="s">
        <v>37</v>
      </c>
      <c r="CW100" s="44">
        <v>9409</v>
      </c>
      <c r="CX100" s="44" t="s">
        <v>37</v>
      </c>
      <c r="CZ100" s="44" t="s">
        <v>37</v>
      </c>
      <c r="DB100" s="44" t="s">
        <v>37</v>
      </c>
      <c r="DD100" s="44" t="s">
        <v>37</v>
      </c>
      <c r="DF100" s="44" t="s">
        <v>37</v>
      </c>
      <c r="DH100" s="44" t="s">
        <v>37</v>
      </c>
      <c r="DI100" s="44">
        <v>9469</v>
      </c>
      <c r="DJ100" s="44" t="s">
        <v>37</v>
      </c>
      <c r="DL100" s="44" t="s">
        <v>37</v>
      </c>
      <c r="DM100" s="44">
        <v>8840</v>
      </c>
      <c r="DN100" s="44" t="s">
        <v>37</v>
      </c>
      <c r="DO100" s="44">
        <v>18273</v>
      </c>
      <c r="DP100" s="44" t="s">
        <v>37</v>
      </c>
      <c r="DQ100" s="44">
        <v>5425</v>
      </c>
      <c r="DR100" s="44" t="s">
        <v>37</v>
      </c>
      <c r="DT100" s="44" t="s">
        <v>37</v>
      </c>
      <c r="DV100" s="44" t="s">
        <v>37</v>
      </c>
      <c r="DX100" s="44" t="s">
        <v>37</v>
      </c>
      <c r="DY100" s="44">
        <v>10819</v>
      </c>
      <c r="DZ100" s="44" t="s">
        <v>37</v>
      </c>
      <c r="EB100" s="44" t="s">
        <v>37</v>
      </c>
      <c r="ED100" s="44" t="s">
        <v>37</v>
      </c>
      <c r="EF100" s="44" t="s">
        <v>37</v>
      </c>
      <c r="EH100" s="44" t="s">
        <v>37</v>
      </c>
      <c r="EI100" s="44">
        <v>14703</v>
      </c>
      <c r="EJ100" s="44" t="s">
        <v>37</v>
      </c>
      <c r="EL100" s="44" t="s">
        <v>37</v>
      </c>
      <c r="EN100" s="44" t="s">
        <v>37</v>
      </c>
      <c r="EP100" s="44" t="s">
        <v>37</v>
      </c>
      <c r="ER100" s="44" t="s">
        <v>37</v>
      </c>
      <c r="ET100" s="44" t="s">
        <v>37</v>
      </c>
      <c r="EV100" s="44" t="s">
        <v>37</v>
      </c>
      <c r="EW100" s="44">
        <v>9409</v>
      </c>
      <c r="EX100" s="44" t="s">
        <v>37</v>
      </c>
      <c r="EZ100" s="44" t="s">
        <v>37</v>
      </c>
      <c r="FB100" s="44" t="s">
        <v>37</v>
      </c>
      <c r="FD100" s="44" t="s">
        <v>37</v>
      </c>
      <c r="FF100" s="44" t="s">
        <v>37</v>
      </c>
      <c r="FH100" s="44" t="s">
        <v>37</v>
      </c>
      <c r="FI100" s="44">
        <v>1620</v>
      </c>
      <c r="FJ100" s="44" t="s">
        <v>37</v>
      </c>
      <c r="FK100" s="44">
        <v>12480</v>
      </c>
      <c r="FL100" s="44" t="s">
        <v>37</v>
      </c>
      <c r="FN100" s="44" t="s">
        <v>37</v>
      </c>
      <c r="FP100" s="44" t="s">
        <v>37</v>
      </c>
      <c r="FR100" s="44" t="s">
        <v>37</v>
      </c>
      <c r="FT100" s="44" t="s">
        <v>37</v>
      </c>
      <c r="FV100" s="44" t="s">
        <v>37</v>
      </c>
      <c r="FX100" s="44" t="s">
        <v>37</v>
      </c>
      <c r="FZ100" s="44" t="s">
        <v>37</v>
      </c>
      <c r="GB100" s="44" t="s">
        <v>37</v>
      </c>
      <c r="GC100" s="44">
        <v>9717</v>
      </c>
      <c r="GD100" s="44" t="s">
        <v>37</v>
      </c>
      <c r="GF100" s="44" t="s">
        <v>37</v>
      </c>
      <c r="GH100" s="44" t="s">
        <v>37</v>
      </c>
      <c r="GJ100" s="44" t="s">
        <v>37</v>
      </c>
      <c r="GL100" s="44" t="s">
        <v>37</v>
      </c>
      <c r="GM100" s="44">
        <v>23230</v>
      </c>
      <c r="GN100" s="44" t="s">
        <v>37</v>
      </c>
      <c r="GP100" s="44" t="s">
        <v>37</v>
      </c>
      <c r="GQ100" s="44">
        <v>3071</v>
      </c>
      <c r="GR100" s="44" t="s">
        <v>37</v>
      </c>
      <c r="GT100" s="44" t="s">
        <v>37</v>
      </c>
      <c r="GV100" s="44" t="s">
        <v>37</v>
      </c>
      <c r="GX100" s="44" t="s">
        <v>37</v>
      </c>
      <c r="GY100" s="44">
        <v>14164</v>
      </c>
      <c r="GZ100" s="44" t="s">
        <v>37</v>
      </c>
      <c r="HB100" s="44" t="s">
        <v>37</v>
      </c>
      <c r="HD100" s="44" t="s">
        <v>37</v>
      </c>
      <c r="HE100" s="44">
        <v>111656</v>
      </c>
      <c r="HF100" s="44" t="s">
        <v>37</v>
      </c>
      <c r="HG100" s="44">
        <v>584684</v>
      </c>
      <c r="HH100" s="44" t="s">
        <v>37</v>
      </c>
      <c r="HI100" s="44">
        <v>111656</v>
      </c>
      <c r="HJ100" s="44" t="s">
        <v>37</v>
      </c>
      <c r="HK100" s="44">
        <v>696340</v>
      </c>
      <c r="HL100" s="44" t="s">
        <v>37</v>
      </c>
    </row>
    <row r="101" spans="1:220">
      <c r="A101" s="150" t="s">
        <v>407</v>
      </c>
      <c r="B101" s="54">
        <v>3152</v>
      </c>
      <c r="C101" s="44" t="s">
        <v>124</v>
      </c>
      <c r="D101" s="44" t="s">
        <v>37</v>
      </c>
      <c r="F101" s="44" t="s">
        <v>37</v>
      </c>
      <c r="H101" s="44" t="s">
        <v>37</v>
      </c>
      <c r="J101" s="44" t="s">
        <v>37</v>
      </c>
      <c r="L101" s="48" t="s">
        <v>37</v>
      </c>
      <c r="M101" s="50"/>
      <c r="N101" s="48" t="s">
        <v>37</v>
      </c>
      <c r="O101" s="50"/>
      <c r="P101" s="48" t="s">
        <v>37</v>
      </c>
      <c r="Q101" s="50"/>
      <c r="R101" s="48" t="s">
        <v>37</v>
      </c>
      <c r="S101" s="50"/>
      <c r="T101" s="48" t="s">
        <v>37</v>
      </c>
      <c r="V101" s="44" t="s">
        <v>37</v>
      </c>
      <c r="X101" s="44" t="s">
        <v>37</v>
      </c>
      <c r="Z101" s="44" t="s">
        <v>37</v>
      </c>
      <c r="AB101" s="44" t="s">
        <v>37</v>
      </c>
      <c r="AD101" s="44" t="s">
        <v>37</v>
      </c>
      <c r="AF101" s="44" t="s">
        <v>37</v>
      </c>
      <c r="AH101" s="44" t="s">
        <v>37</v>
      </c>
      <c r="AJ101" s="44" t="s">
        <v>37</v>
      </c>
      <c r="AL101" s="44" t="s">
        <v>37</v>
      </c>
      <c r="AN101" s="44" t="s">
        <v>37</v>
      </c>
      <c r="AP101" s="44" t="s">
        <v>37</v>
      </c>
      <c r="AR101" s="44" t="s">
        <v>37</v>
      </c>
      <c r="AT101" s="44" t="s">
        <v>37</v>
      </c>
      <c r="AV101" s="44" t="s">
        <v>37</v>
      </c>
      <c r="AX101" s="44" t="s">
        <v>37</v>
      </c>
      <c r="AZ101" s="44" t="s">
        <v>37</v>
      </c>
      <c r="BB101" s="44" t="s">
        <v>37</v>
      </c>
      <c r="BD101" s="44" t="s">
        <v>37</v>
      </c>
      <c r="BF101" s="44" t="s">
        <v>37</v>
      </c>
      <c r="BH101" s="44" t="s">
        <v>37</v>
      </c>
      <c r="BI101" s="44">
        <v>50000</v>
      </c>
      <c r="BJ101" s="44" t="s">
        <v>37</v>
      </c>
      <c r="BL101" s="44" t="s">
        <v>37</v>
      </c>
      <c r="BN101" s="44" t="s">
        <v>37</v>
      </c>
      <c r="BP101" s="44" t="s">
        <v>37</v>
      </c>
      <c r="BR101" s="44" t="s">
        <v>37</v>
      </c>
      <c r="BS101" s="44">
        <v>4715</v>
      </c>
      <c r="BT101" s="44" t="s">
        <v>37</v>
      </c>
      <c r="BV101" s="44" t="s">
        <v>37</v>
      </c>
      <c r="BX101" s="44" t="s">
        <v>37</v>
      </c>
      <c r="BZ101" s="44" t="s">
        <v>37</v>
      </c>
      <c r="CB101" s="44" t="s">
        <v>37</v>
      </c>
      <c r="CD101" s="44" t="s">
        <v>37</v>
      </c>
      <c r="CF101" s="44" t="s">
        <v>37</v>
      </c>
      <c r="CH101" s="44" t="s">
        <v>37</v>
      </c>
      <c r="CJ101" s="44" t="s">
        <v>37</v>
      </c>
      <c r="CL101" s="44" t="s">
        <v>37</v>
      </c>
      <c r="CN101" s="44" t="s">
        <v>37</v>
      </c>
      <c r="CP101" s="44" t="s">
        <v>37</v>
      </c>
      <c r="CR101" s="44" t="s">
        <v>37</v>
      </c>
      <c r="CT101" s="44" t="s">
        <v>37</v>
      </c>
      <c r="CV101" s="44" t="s">
        <v>37</v>
      </c>
      <c r="CX101" s="44" t="s">
        <v>37</v>
      </c>
      <c r="CZ101" s="44" t="s">
        <v>37</v>
      </c>
      <c r="DB101" s="44" t="s">
        <v>37</v>
      </c>
      <c r="DD101" s="44" t="s">
        <v>37</v>
      </c>
      <c r="DF101" s="44" t="s">
        <v>37</v>
      </c>
      <c r="DH101" s="44" t="s">
        <v>37</v>
      </c>
      <c r="DJ101" s="44" t="s">
        <v>37</v>
      </c>
      <c r="DL101" s="44" t="s">
        <v>37</v>
      </c>
      <c r="DN101" s="44" t="s">
        <v>37</v>
      </c>
      <c r="DP101" s="44" t="s">
        <v>37</v>
      </c>
      <c r="DR101" s="44" t="s">
        <v>37</v>
      </c>
      <c r="DT101" s="44" t="s">
        <v>37</v>
      </c>
      <c r="DV101" s="44" t="s">
        <v>37</v>
      </c>
      <c r="DX101" s="44" t="s">
        <v>37</v>
      </c>
      <c r="DZ101" s="44" t="s">
        <v>37</v>
      </c>
      <c r="EB101" s="44" t="s">
        <v>37</v>
      </c>
      <c r="ED101" s="44" t="s">
        <v>37</v>
      </c>
      <c r="EF101" s="44" t="s">
        <v>37</v>
      </c>
      <c r="EH101" s="44" t="s">
        <v>37</v>
      </c>
      <c r="EJ101" s="44" t="s">
        <v>37</v>
      </c>
      <c r="EL101" s="44" t="s">
        <v>37</v>
      </c>
      <c r="EN101" s="44" t="s">
        <v>37</v>
      </c>
      <c r="EP101" s="44" t="s">
        <v>37</v>
      </c>
      <c r="ER101" s="44" t="s">
        <v>37</v>
      </c>
      <c r="ET101" s="44" t="s">
        <v>37</v>
      </c>
      <c r="EV101" s="44" t="s">
        <v>37</v>
      </c>
      <c r="EX101" s="44" t="s">
        <v>37</v>
      </c>
      <c r="EZ101" s="44" t="s">
        <v>37</v>
      </c>
      <c r="FB101" s="44" t="s">
        <v>37</v>
      </c>
      <c r="FD101" s="44" t="s">
        <v>37</v>
      </c>
      <c r="FF101" s="44" t="s">
        <v>37</v>
      </c>
      <c r="FH101" s="44" t="s">
        <v>37</v>
      </c>
      <c r="FJ101" s="44" t="s">
        <v>37</v>
      </c>
      <c r="FL101" s="44" t="s">
        <v>37</v>
      </c>
      <c r="FN101" s="44" t="s">
        <v>37</v>
      </c>
      <c r="FP101" s="44" t="s">
        <v>37</v>
      </c>
      <c r="FR101" s="44" t="s">
        <v>37</v>
      </c>
      <c r="FT101" s="44" t="s">
        <v>37</v>
      </c>
      <c r="FV101" s="44" t="s">
        <v>37</v>
      </c>
      <c r="FX101" s="44" t="s">
        <v>37</v>
      </c>
      <c r="FZ101" s="44" t="s">
        <v>37</v>
      </c>
      <c r="GB101" s="44" t="s">
        <v>37</v>
      </c>
      <c r="GD101" s="44" t="s">
        <v>37</v>
      </c>
      <c r="GF101" s="44" t="s">
        <v>37</v>
      </c>
      <c r="GH101" s="44" t="s">
        <v>37</v>
      </c>
      <c r="GJ101" s="44" t="s">
        <v>37</v>
      </c>
      <c r="GL101" s="44" t="s">
        <v>37</v>
      </c>
      <c r="GN101" s="44" t="s">
        <v>37</v>
      </c>
      <c r="GP101" s="44" t="s">
        <v>37</v>
      </c>
      <c r="GR101" s="44" t="s">
        <v>37</v>
      </c>
      <c r="GT101" s="44" t="s">
        <v>37</v>
      </c>
      <c r="GV101" s="44" t="s">
        <v>37</v>
      </c>
      <c r="GX101" s="44" t="s">
        <v>37</v>
      </c>
      <c r="GZ101" s="44" t="s">
        <v>37</v>
      </c>
      <c r="HB101" s="44" t="s">
        <v>37</v>
      </c>
      <c r="HD101" s="44" t="s">
        <v>37</v>
      </c>
      <c r="HF101" s="44" t="s">
        <v>37</v>
      </c>
      <c r="HG101" s="44">
        <v>54715</v>
      </c>
      <c r="HH101" s="44" t="s">
        <v>37</v>
      </c>
      <c r="HJ101" s="44" t="s">
        <v>37</v>
      </c>
      <c r="HK101" s="44">
        <v>54715</v>
      </c>
      <c r="HL101" s="44" t="s">
        <v>37</v>
      </c>
    </row>
    <row r="102" spans="1:220">
      <c r="A102" s="150" t="s">
        <v>407</v>
      </c>
      <c r="B102" s="54">
        <v>3153</v>
      </c>
      <c r="C102" s="44" t="s">
        <v>125</v>
      </c>
      <c r="D102" s="44" t="s">
        <v>37</v>
      </c>
      <c r="F102" s="44" t="s">
        <v>37</v>
      </c>
      <c r="H102" s="44" t="s">
        <v>37</v>
      </c>
      <c r="J102" s="44" t="s">
        <v>37</v>
      </c>
      <c r="L102" s="48" t="s">
        <v>37</v>
      </c>
      <c r="M102" s="50"/>
      <c r="N102" s="48" t="s">
        <v>37</v>
      </c>
      <c r="O102" s="50"/>
      <c r="P102" s="48" t="s">
        <v>37</v>
      </c>
      <c r="Q102" s="50"/>
      <c r="R102" s="48" t="s">
        <v>37</v>
      </c>
      <c r="S102" s="50"/>
      <c r="T102" s="48" t="s">
        <v>37</v>
      </c>
      <c r="V102" s="44" t="s">
        <v>37</v>
      </c>
      <c r="X102" s="44" t="s">
        <v>37</v>
      </c>
      <c r="Z102" s="44" t="s">
        <v>37</v>
      </c>
      <c r="AB102" s="44" t="s">
        <v>37</v>
      </c>
      <c r="AD102" s="44" t="s">
        <v>37</v>
      </c>
      <c r="AF102" s="44" t="s">
        <v>37</v>
      </c>
      <c r="AH102" s="44" t="s">
        <v>37</v>
      </c>
      <c r="AJ102" s="44" t="s">
        <v>37</v>
      </c>
      <c r="AL102" s="44" t="s">
        <v>37</v>
      </c>
      <c r="AN102" s="44" t="s">
        <v>37</v>
      </c>
      <c r="AP102" s="44" t="s">
        <v>37</v>
      </c>
      <c r="AR102" s="44" t="s">
        <v>37</v>
      </c>
      <c r="AT102" s="44" t="s">
        <v>37</v>
      </c>
      <c r="AV102" s="44" t="s">
        <v>37</v>
      </c>
      <c r="AX102" s="44" t="s">
        <v>37</v>
      </c>
      <c r="AZ102" s="44" t="s">
        <v>37</v>
      </c>
      <c r="BB102" s="44" t="s">
        <v>37</v>
      </c>
      <c r="BD102" s="44" t="s">
        <v>37</v>
      </c>
      <c r="BF102" s="44" t="s">
        <v>37</v>
      </c>
      <c r="BH102" s="44" t="s">
        <v>37</v>
      </c>
      <c r="BJ102" s="44" t="s">
        <v>37</v>
      </c>
      <c r="BL102" s="44" t="s">
        <v>37</v>
      </c>
      <c r="BN102" s="44" t="s">
        <v>37</v>
      </c>
      <c r="BP102" s="44" t="s">
        <v>37</v>
      </c>
      <c r="BR102" s="44" t="s">
        <v>37</v>
      </c>
      <c r="BT102" s="44" t="s">
        <v>37</v>
      </c>
      <c r="BV102" s="44" t="s">
        <v>37</v>
      </c>
      <c r="BX102" s="44" t="s">
        <v>37</v>
      </c>
      <c r="BZ102" s="44" t="s">
        <v>37</v>
      </c>
      <c r="CB102" s="44" t="s">
        <v>37</v>
      </c>
      <c r="CD102" s="44" t="s">
        <v>37</v>
      </c>
      <c r="CF102" s="44" t="s">
        <v>37</v>
      </c>
      <c r="CH102" s="44" t="s">
        <v>37</v>
      </c>
      <c r="CJ102" s="44" t="s">
        <v>37</v>
      </c>
      <c r="CL102" s="44" t="s">
        <v>37</v>
      </c>
      <c r="CN102" s="44" t="s">
        <v>37</v>
      </c>
      <c r="CP102" s="44" t="s">
        <v>37</v>
      </c>
      <c r="CR102" s="44" t="s">
        <v>37</v>
      </c>
      <c r="CT102" s="44" t="s">
        <v>37</v>
      </c>
      <c r="CV102" s="44" t="s">
        <v>37</v>
      </c>
      <c r="CX102" s="44" t="s">
        <v>37</v>
      </c>
      <c r="CZ102" s="44" t="s">
        <v>37</v>
      </c>
      <c r="DB102" s="44" t="s">
        <v>37</v>
      </c>
      <c r="DD102" s="44" t="s">
        <v>37</v>
      </c>
      <c r="DF102" s="44" t="s">
        <v>37</v>
      </c>
      <c r="DH102" s="44" t="s">
        <v>37</v>
      </c>
      <c r="DJ102" s="44" t="s">
        <v>37</v>
      </c>
      <c r="DL102" s="44" t="s">
        <v>37</v>
      </c>
      <c r="DN102" s="44" t="s">
        <v>37</v>
      </c>
      <c r="DP102" s="44" t="s">
        <v>37</v>
      </c>
      <c r="DR102" s="44" t="s">
        <v>37</v>
      </c>
      <c r="DT102" s="44" t="s">
        <v>37</v>
      </c>
      <c r="DV102" s="44" t="s">
        <v>37</v>
      </c>
      <c r="DX102" s="44" t="s">
        <v>37</v>
      </c>
      <c r="DZ102" s="44" t="s">
        <v>37</v>
      </c>
      <c r="EB102" s="44" t="s">
        <v>37</v>
      </c>
      <c r="ED102" s="44" t="s">
        <v>37</v>
      </c>
      <c r="EF102" s="44" t="s">
        <v>37</v>
      </c>
      <c r="EH102" s="44" t="s">
        <v>37</v>
      </c>
      <c r="EJ102" s="44" t="s">
        <v>37</v>
      </c>
      <c r="EL102" s="44" t="s">
        <v>37</v>
      </c>
      <c r="EN102" s="44" t="s">
        <v>37</v>
      </c>
      <c r="EP102" s="44" t="s">
        <v>37</v>
      </c>
      <c r="ER102" s="44" t="s">
        <v>37</v>
      </c>
      <c r="ET102" s="44" t="s">
        <v>37</v>
      </c>
      <c r="EV102" s="44" t="s">
        <v>37</v>
      </c>
      <c r="EX102" s="44" t="s">
        <v>37</v>
      </c>
      <c r="EZ102" s="44" t="s">
        <v>37</v>
      </c>
      <c r="FB102" s="44" t="s">
        <v>37</v>
      </c>
      <c r="FD102" s="44" t="s">
        <v>37</v>
      </c>
      <c r="FF102" s="44" t="s">
        <v>37</v>
      </c>
      <c r="FH102" s="44" t="s">
        <v>37</v>
      </c>
      <c r="FJ102" s="44" t="s">
        <v>37</v>
      </c>
      <c r="FL102" s="44" t="s">
        <v>37</v>
      </c>
      <c r="FN102" s="44" t="s">
        <v>37</v>
      </c>
      <c r="FP102" s="44" t="s">
        <v>37</v>
      </c>
      <c r="FR102" s="44" t="s">
        <v>37</v>
      </c>
      <c r="FT102" s="44" t="s">
        <v>37</v>
      </c>
      <c r="FV102" s="44" t="s">
        <v>37</v>
      </c>
      <c r="FX102" s="44" t="s">
        <v>37</v>
      </c>
      <c r="FZ102" s="44" t="s">
        <v>37</v>
      </c>
      <c r="GB102" s="44" t="s">
        <v>37</v>
      </c>
      <c r="GD102" s="44" t="s">
        <v>37</v>
      </c>
      <c r="GF102" s="44" t="s">
        <v>37</v>
      </c>
      <c r="GH102" s="44" t="s">
        <v>37</v>
      </c>
      <c r="GJ102" s="44" t="s">
        <v>37</v>
      </c>
      <c r="GL102" s="44" t="s">
        <v>37</v>
      </c>
      <c r="GN102" s="44" t="s">
        <v>37</v>
      </c>
      <c r="GP102" s="44" t="s">
        <v>37</v>
      </c>
      <c r="GR102" s="44" t="s">
        <v>37</v>
      </c>
      <c r="GT102" s="44" t="s">
        <v>37</v>
      </c>
      <c r="GV102" s="44" t="s">
        <v>37</v>
      </c>
      <c r="GX102" s="44" t="s">
        <v>37</v>
      </c>
      <c r="GZ102" s="44" t="s">
        <v>37</v>
      </c>
      <c r="HB102" s="44" t="s">
        <v>37</v>
      </c>
      <c r="HD102" s="44" t="s">
        <v>37</v>
      </c>
      <c r="HF102" s="44" t="s">
        <v>37</v>
      </c>
      <c r="HH102" s="44" t="s">
        <v>37</v>
      </c>
      <c r="HJ102" s="44" t="s">
        <v>37</v>
      </c>
      <c r="HL102" s="44" t="s">
        <v>37</v>
      </c>
    </row>
    <row r="103" spans="1:220">
      <c r="A103" s="150" t="s">
        <v>407</v>
      </c>
      <c r="B103" s="54">
        <v>3154</v>
      </c>
      <c r="C103" s="44" t="s">
        <v>126</v>
      </c>
      <c r="D103" s="44" t="s">
        <v>37</v>
      </c>
      <c r="F103" s="44" t="s">
        <v>37</v>
      </c>
      <c r="H103" s="44" t="s">
        <v>37</v>
      </c>
      <c r="J103" s="44" t="s">
        <v>37</v>
      </c>
      <c r="L103" s="48" t="s">
        <v>37</v>
      </c>
      <c r="M103" s="50"/>
      <c r="N103" s="48" t="s">
        <v>37</v>
      </c>
      <c r="O103" s="50"/>
      <c r="P103" s="48" t="s">
        <v>37</v>
      </c>
      <c r="Q103" s="50"/>
      <c r="R103" s="48" t="s">
        <v>37</v>
      </c>
      <c r="S103" s="50"/>
      <c r="T103" s="48" t="s">
        <v>37</v>
      </c>
      <c r="V103" s="44" t="s">
        <v>37</v>
      </c>
      <c r="X103" s="44" t="s">
        <v>37</v>
      </c>
      <c r="Z103" s="44" t="s">
        <v>37</v>
      </c>
      <c r="AB103" s="44" t="s">
        <v>37</v>
      </c>
      <c r="AD103" s="44" t="s">
        <v>37</v>
      </c>
      <c r="AF103" s="44" t="s">
        <v>37</v>
      </c>
      <c r="AH103" s="44" t="s">
        <v>37</v>
      </c>
      <c r="AJ103" s="44" t="s">
        <v>37</v>
      </c>
      <c r="AL103" s="44" t="s">
        <v>37</v>
      </c>
      <c r="AN103" s="44" t="s">
        <v>37</v>
      </c>
      <c r="AP103" s="44" t="s">
        <v>37</v>
      </c>
      <c r="AR103" s="44" t="s">
        <v>37</v>
      </c>
      <c r="AT103" s="44" t="s">
        <v>37</v>
      </c>
      <c r="AV103" s="44" t="s">
        <v>37</v>
      </c>
      <c r="AX103" s="44" t="s">
        <v>37</v>
      </c>
      <c r="AZ103" s="44" t="s">
        <v>37</v>
      </c>
      <c r="BB103" s="44" t="s">
        <v>37</v>
      </c>
      <c r="BD103" s="44" t="s">
        <v>37</v>
      </c>
      <c r="BF103" s="44" t="s">
        <v>37</v>
      </c>
      <c r="BH103" s="44" t="s">
        <v>37</v>
      </c>
      <c r="BJ103" s="44" t="s">
        <v>37</v>
      </c>
      <c r="BL103" s="44" t="s">
        <v>37</v>
      </c>
      <c r="BN103" s="44" t="s">
        <v>37</v>
      </c>
      <c r="BP103" s="44" t="s">
        <v>37</v>
      </c>
      <c r="BR103" s="44" t="s">
        <v>37</v>
      </c>
      <c r="BT103" s="44" t="s">
        <v>37</v>
      </c>
      <c r="BV103" s="44" t="s">
        <v>37</v>
      </c>
      <c r="BX103" s="44" t="s">
        <v>37</v>
      </c>
      <c r="BZ103" s="44" t="s">
        <v>37</v>
      </c>
      <c r="CB103" s="44" t="s">
        <v>37</v>
      </c>
      <c r="CD103" s="44" t="s">
        <v>37</v>
      </c>
      <c r="CF103" s="44" t="s">
        <v>37</v>
      </c>
      <c r="CH103" s="44" t="s">
        <v>37</v>
      </c>
      <c r="CJ103" s="44" t="s">
        <v>37</v>
      </c>
      <c r="CL103" s="44" t="s">
        <v>37</v>
      </c>
      <c r="CN103" s="44" t="s">
        <v>37</v>
      </c>
      <c r="CP103" s="44" t="s">
        <v>37</v>
      </c>
      <c r="CR103" s="44" t="s">
        <v>37</v>
      </c>
      <c r="CT103" s="44" t="s">
        <v>37</v>
      </c>
      <c r="CV103" s="44" t="s">
        <v>37</v>
      </c>
      <c r="CW103" s="44">
        <v>5947</v>
      </c>
      <c r="CX103" s="44" t="s">
        <v>37</v>
      </c>
      <c r="CZ103" s="44" t="s">
        <v>37</v>
      </c>
      <c r="DB103" s="44" t="s">
        <v>37</v>
      </c>
      <c r="DD103" s="44" t="s">
        <v>37</v>
      </c>
      <c r="DE103" s="44">
        <v>8342</v>
      </c>
      <c r="DF103" s="44" t="s">
        <v>37</v>
      </c>
      <c r="DH103" s="44" t="s">
        <v>37</v>
      </c>
      <c r="DI103" s="44">
        <v>47347</v>
      </c>
      <c r="DJ103" s="44" t="s">
        <v>37</v>
      </c>
      <c r="DL103" s="44" t="s">
        <v>37</v>
      </c>
      <c r="DM103" s="44">
        <v>28956</v>
      </c>
      <c r="DN103" s="44" t="s">
        <v>37</v>
      </c>
      <c r="DO103" s="44">
        <v>28318</v>
      </c>
      <c r="DP103" s="44" t="s">
        <v>37</v>
      </c>
      <c r="DQ103" s="44">
        <v>23251</v>
      </c>
      <c r="DR103" s="44" t="s">
        <v>37</v>
      </c>
      <c r="DT103" s="44" t="s">
        <v>37</v>
      </c>
      <c r="DV103" s="44" t="s">
        <v>37</v>
      </c>
      <c r="DW103" s="44">
        <v>64352</v>
      </c>
      <c r="DX103" s="44" t="s">
        <v>37</v>
      </c>
      <c r="DY103" s="44">
        <v>29384</v>
      </c>
      <c r="DZ103" s="44" t="s">
        <v>37</v>
      </c>
      <c r="EA103" s="44">
        <v>10606</v>
      </c>
      <c r="EB103" s="44" t="s">
        <v>37</v>
      </c>
      <c r="ED103" s="44" t="s">
        <v>37</v>
      </c>
      <c r="EE103" s="44">
        <v>20332</v>
      </c>
      <c r="EF103" s="44" t="s">
        <v>37</v>
      </c>
      <c r="EG103" s="44">
        <v>10893</v>
      </c>
      <c r="EH103" s="44" t="s">
        <v>37</v>
      </c>
      <c r="EI103" s="44">
        <v>19413</v>
      </c>
      <c r="EJ103" s="44" t="s">
        <v>37</v>
      </c>
      <c r="EL103" s="44" t="s">
        <v>37</v>
      </c>
      <c r="EN103" s="44" t="s">
        <v>37</v>
      </c>
      <c r="EP103" s="44" t="s">
        <v>37</v>
      </c>
      <c r="ER103" s="44" t="s">
        <v>37</v>
      </c>
      <c r="ES103" s="44">
        <v>15163</v>
      </c>
      <c r="ET103" s="44" t="s">
        <v>37</v>
      </c>
      <c r="EU103" s="44">
        <v>28500</v>
      </c>
      <c r="EV103" s="44" t="s">
        <v>37</v>
      </c>
      <c r="EW103" s="44">
        <v>29701</v>
      </c>
      <c r="EX103" s="44" t="s">
        <v>37</v>
      </c>
      <c r="EZ103" s="44" t="s">
        <v>37</v>
      </c>
      <c r="FB103" s="44" t="s">
        <v>37</v>
      </c>
      <c r="FD103" s="44" t="s">
        <v>37</v>
      </c>
      <c r="FF103" s="44" t="s">
        <v>37</v>
      </c>
      <c r="FH103" s="44" t="s">
        <v>37</v>
      </c>
      <c r="FI103" s="44">
        <v>87592</v>
      </c>
      <c r="FJ103" s="44" t="s">
        <v>37</v>
      </c>
      <c r="FK103" s="44">
        <v>197676</v>
      </c>
      <c r="FL103" s="44" t="s">
        <v>37</v>
      </c>
      <c r="FM103" s="44">
        <v>36169</v>
      </c>
      <c r="FN103" s="44" t="s">
        <v>37</v>
      </c>
      <c r="FO103" s="44">
        <v>13511</v>
      </c>
      <c r="FP103" s="44" t="s">
        <v>37</v>
      </c>
      <c r="FR103" s="44" t="s">
        <v>37</v>
      </c>
      <c r="FT103" s="44" t="s">
        <v>37</v>
      </c>
      <c r="FV103" s="44" t="s">
        <v>37</v>
      </c>
      <c r="FX103" s="44" t="s">
        <v>37</v>
      </c>
      <c r="FZ103" s="44" t="s">
        <v>37</v>
      </c>
      <c r="GB103" s="44" t="s">
        <v>37</v>
      </c>
      <c r="GC103" s="44">
        <v>90551</v>
      </c>
      <c r="GD103" s="44" t="s">
        <v>37</v>
      </c>
      <c r="GF103" s="44" t="s">
        <v>37</v>
      </c>
      <c r="GH103" s="44" t="s">
        <v>37</v>
      </c>
      <c r="GJ103" s="44" t="s">
        <v>37</v>
      </c>
      <c r="GL103" s="44" t="s">
        <v>37</v>
      </c>
      <c r="GM103" s="44">
        <v>177115</v>
      </c>
      <c r="GN103" s="44" t="s">
        <v>37</v>
      </c>
      <c r="GP103" s="44" t="s">
        <v>37</v>
      </c>
      <c r="GQ103" s="44">
        <v>9301</v>
      </c>
      <c r="GR103" s="44" t="s">
        <v>37</v>
      </c>
      <c r="GS103" s="44">
        <v>23688</v>
      </c>
      <c r="GT103" s="44" t="s">
        <v>37</v>
      </c>
      <c r="GV103" s="44" t="s">
        <v>37</v>
      </c>
      <c r="GW103" s="44">
        <v>43070</v>
      </c>
      <c r="GX103" s="44" t="s">
        <v>37</v>
      </c>
      <c r="GY103" s="44">
        <v>32978</v>
      </c>
      <c r="GZ103" s="44" t="s">
        <v>37</v>
      </c>
      <c r="HB103" s="44" t="s">
        <v>37</v>
      </c>
      <c r="HD103" s="44" t="s">
        <v>37</v>
      </c>
      <c r="HF103" s="44" t="s">
        <v>37</v>
      </c>
      <c r="HG103" s="44">
        <v>1082156</v>
      </c>
      <c r="HH103" s="44" t="s">
        <v>37</v>
      </c>
      <c r="HJ103" s="44" t="s">
        <v>37</v>
      </c>
      <c r="HK103" s="44">
        <v>1082156</v>
      </c>
      <c r="HL103" s="44" t="s">
        <v>37</v>
      </c>
    </row>
    <row r="104" spans="1:220">
      <c r="A104" s="150" t="s">
        <v>411</v>
      </c>
      <c r="B104" s="44">
        <v>3160</v>
      </c>
      <c r="C104" s="44" t="s">
        <v>127</v>
      </c>
      <c r="D104" s="44" t="s">
        <v>37</v>
      </c>
      <c r="E104" s="44">
        <v>244234</v>
      </c>
      <c r="F104" s="44" t="s">
        <v>37</v>
      </c>
      <c r="G104" s="44">
        <v>1563886</v>
      </c>
      <c r="H104" s="44" t="s">
        <v>37</v>
      </c>
      <c r="I104" s="44">
        <v>196696</v>
      </c>
      <c r="J104" s="44" t="s">
        <v>37</v>
      </c>
      <c r="L104" s="48" t="s">
        <v>37</v>
      </c>
      <c r="M104" s="51">
        <v>398537</v>
      </c>
      <c r="N104" s="48" t="s">
        <v>37</v>
      </c>
      <c r="O104" s="51">
        <v>210353</v>
      </c>
      <c r="P104" s="48" t="s">
        <v>37</v>
      </c>
      <c r="Q104" s="51">
        <v>253620</v>
      </c>
      <c r="R104" s="48" t="s">
        <v>37</v>
      </c>
      <c r="S104" s="51">
        <v>205152</v>
      </c>
      <c r="T104" s="48" t="s">
        <v>37</v>
      </c>
      <c r="U104" s="44">
        <v>707555</v>
      </c>
      <c r="V104" s="44" t="s">
        <v>37</v>
      </c>
      <c r="X104" s="44" t="s">
        <v>37</v>
      </c>
      <c r="Z104" s="44" t="s">
        <v>37</v>
      </c>
      <c r="AA104" s="44">
        <v>116421</v>
      </c>
      <c r="AB104" s="44" t="s">
        <v>37</v>
      </c>
      <c r="AC104" s="44">
        <v>85868</v>
      </c>
      <c r="AD104" s="44" t="s">
        <v>37</v>
      </c>
      <c r="AE104" s="44">
        <v>47547</v>
      </c>
      <c r="AF104" s="44" t="s">
        <v>37</v>
      </c>
      <c r="AG104" s="44">
        <v>64935</v>
      </c>
      <c r="AH104" s="44" t="s">
        <v>37</v>
      </c>
      <c r="AI104" s="44">
        <v>180061</v>
      </c>
      <c r="AJ104" s="44" t="s">
        <v>37</v>
      </c>
      <c r="AL104" s="44" t="s">
        <v>37</v>
      </c>
      <c r="AM104" s="44">
        <v>1087572</v>
      </c>
      <c r="AN104" s="44" t="s">
        <v>37</v>
      </c>
      <c r="AP104" s="44" t="s">
        <v>37</v>
      </c>
      <c r="AQ104" s="44">
        <v>1810347</v>
      </c>
      <c r="AR104" s="44" t="s">
        <v>37</v>
      </c>
      <c r="AS104" s="44">
        <v>171735</v>
      </c>
      <c r="AT104" s="44" t="s">
        <v>37</v>
      </c>
      <c r="AU104" s="44">
        <v>2275337</v>
      </c>
      <c r="AV104" s="44" t="s">
        <v>37</v>
      </c>
      <c r="AW104" s="44">
        <v>498475</v>
      </c>
      <c r="AX104" s="44" t="s">
        <v>37</v>
      </c>
      <c r="AY104" s="44">
        <v>459586</v>
      </c>
      <c r="AZ104" s="44" t="s">
        <v>37</v>
      </c>
      <c r="BA104" s="44">
        <v>684660</v>
      </c>
      <c r="BB104" s="44" t="s">
        <v>37</v>
      </c>
      <c r="BC104" s="44">
        <v>137915</v>
      </c>
      <c r="BD104" s="44" t="s">
        <v>37</v>
      </c>
      <c r="BE104" s="44">
        <v>205818</v>
      </c>
      <c r="BF104" s="44" t="s">
        <v>37</v>
      </c>
      <c r="BG104" s="44">
        <v>102939</v>
      </c>
      <c r="BH104" s="44" t="s">
        <v>37</v>
      </c>
      <c r="BJ104" s="44" t="s">
        <v>37</v>
      </c>
      <c r="BK104" s="44">
        <v>809278</v>
      </c>
      <c r="BL104" s="44" t="s">
        <v>37</v>
      </c>
      <c r="BM104" s="44">
        <v>998716</v>
      </c>
      <c r="BN104" s="44" t="s">
        <v>37</v>
      </c>
      <c r="BP104" s="44" t="s">
        <v>37</v>
      </c>
      <c r="BQ104" s="44">
        <v>105517</v>
      </c>
      <c r="BR104" s="44" t="s">
        <v>37</v>
      </c>
      <c r="BS104" s="44">
        <v>186851</v>
      </c>
      <c r="BT104" s="44" t="s">
        <v>37</v>
      </c>
      <c r="BU104" s="44">
        <v>101905</v>
      </c>
      <c r="BV104" s="44" t="s">
        <v>37</v>
      </c>
      <c r="BX104" s="44" t="s">
        <v>37</v>
      </c>
      <c r="BY104" s="44">
        <v>1127768</v>
      </c>
      <c r="BZ104" s="44" t="s">
        <v>37</v>
      </c>
      <c r="CA104" s="44">
        <v>330053</v>
      </c>
      <c r="CB104" s="44" t="s">
        <v>37</v>
      </c>
      <c r="CD104" s="44" t="s">
        <v>37</v>
      </c>
      <c r="CE104" s="44">
        <v>357016</v>
      </c>
      <c r="CF104" s="44" t="s">
        <v>37</v>
      </c>
      <c r="CG104" s="44">
        <v>448655</v>
      </c>
      <c r="CH104" s="44" t="s">
        <v>37</v>
      </c>
      <c r="CI104" s="44">
        <v>718997</v>
      </c>
      <c r="CJ104" s="44" t="s">
        <v>37</v>
      </c>
      <c r="CK104" s="44">
        <v>91170</v>
      </c>
      <c r="CL104" s="44" t="s">
        <v>37</v>
      </c>
      <c r="CM104" s="44">
        <v>266639</v>
      </c>
      <c r="CN104" s="44" t="s">
        <v>37</v>
      </c>
      <c r="CO104" s="44">
        <v>74529</v>
      </c>
      <c r="CP104" s="44" t="s">
        <v>37</v>
      </c>
      <c r="CQ104" s="44">
        <v>63470</v>
      </c>
      <c r="CR104" s="44" t="s">
        <v>37</v>
      </c>
      <c r="CS104" s="44">
        <v>736036</v>
      </c>
      <c r="CT104" s="44" t="s">
        <v>37</v>
      </c>
      <c r="CU104" s="44">
        <v>2791205</v>
      </c>
      <c r="CV104" s="44" t="s">
        <v>37</v>
      </c>
      <c r="CW104" s="44">
        <v>478773</v>
      </c>
      <c r="CX104" s="44" t="s">
        <v>37</v>
      </c>
      <c r="CY104" s="44">
        <v>67279</v>
      </c>
      <c r="CZ104" s="44" t="s">
        <v>37</v>
      </c>
      <c r="DA104" s="44">
        <v>72931</v>
      </c>
      <c r="DB104" s="44" t="s">
        <v>37</v>
      </c>
      <c r="DD104" s="44" t="s">
        <v>37</v>
      </c>
      <c r="DE104" s="44">
        <v>213566</v>
      </c>
      <c r="DF104" s="44" t="s">
        <v>37</v>
      </c>
      <c r="DG104" s="44">
        <v>135688</v>
      </c>
      <c r="DH104" s="44" t="s">
        <v>37</v>
      </c>
      <c r="DI104" s="44">
        <v>2231248</v>
      </c>
      <c r="DJ104" s="44" t="s">
        <v>37</v>
      </c>
      <c r="DK104" s="44">
        <v>269668</v>
      </c>
      <c r="DL104" s="44" t="s">
        <v>37</v>
      </c>
      <c r="DM104" s="44">
        <v>737256</v>
      </c>
      <c r="DN104" s="44" t="s">
        <v>37</v>
      </c>
      <c r="DO104" s="44">
        <v>703539</v>
      </c>
      <c r="DP104" s="44" t="s">
        <v>37</v>
      </c>
      <c r="DQ104" s="44">
        <v>385075</v>
      </c>
      <c r="DR104" s="44" t="s">
        <v>37</v>
      </c>
      <c r="DS104" s="44">
        <v>209326</v>
      </c>
      <c r="DT104" s="44" t="s">
        <v>37</v>
      </c>
      <c r="DU104" s="44">
        <v>315331</v>
      </c>
      <c r="DV104" s="44" t="s">
        <v>37</v>
      </c>
      <c r="DW104" s="44">
        <v>1422282</v>
      </c>
      <c r="DX104" s="44" t="s">
        <v>37</v>
      </c>
      <c r="DY104" s="44">
        <v>543975</v>
      </c>
      <c r="DZ104" s="44" t="s">
        <v>37</v>
      </c>
      <c r="EA104" s="44">
        <v>170655</v>
      </c>
      <c r="EB104" s="44" t="s">
        <v>37</v>
      </c>
      <c r="EC104" s="44">
        <v>279043</v>
      </c>
      <c r="ED104" s="44" t="s">
        <v>37</v>
      </c>
      <c r="EE104" s="44">
        <v>697769</v>
      </c>
      <c r="EF104" s="44" t="s">
        <v>37</v>
      </c>
      <c r="EG104" s="44">
        <v>113595</v>
      </c>
      <c r="EH104" s="44" t="s">
        <v>37</v>
      </c>
      <c r="EJ104" s="44" t="s">
        <v>37</v>
      </c>
      <c r="EK104" s="44">
        <v>218556</v>
      </c>
      <c r="EL104" s="44" t="s">
        <v>37</v>
      </c>
      <c r="EM104" s="44">
        <v>110705</v>
      </c>
      <c r="EN104" s="44" t="s">
        <v>37</v>
      </c>
      <c r="EO104" s="44">
        <v>135223</v>
      </c>
      <c r="EP104" s="44" t="s">
        <v>37</v>
      </c>
      <c r="ER104" s="44" t="s">
        <v>37</v>
      </c>
      <c r="ES104" s="44">
        <v>460288</v>
      </c>
      <c r="ET104" s="44" t="s">
        <v>37</v>
      </c>
      <c r="EU104" s="44">
        <v>446574</v>
      </c>
      <c r="EV104" s="44" t="s">
        <v>37</v>
      </c>
      <c r="EW104" s="44">
        <v>775524</v>
      </c>
      <c r="EX104" s="44" t="s">
        <v>37</v>
      </c>
      <c r="EZ104" s="44" t="s">
        <v>37</v>
      </c>
      <c r="FA104" s="44">
        <v>427172</v>
      </c>
      <c r="FB104" s="44" t="s">
        <v>37</v>
      </c>
      <c r="FC104" s="44">
        <v>356152</v>
      </c>
      <c r="FD104" s="44" t="s">
        <v>37</v>
      </c>
      <c r="FE104" s="44">
        <v>473442</v>
      </c>
      <c r="FF104" s="44" t="s">
        <v>37</v>
      </c>
      <c r="FH104" s="44" t="s">
        <v>37</v>
      </c>
      <c r="FI104" s="44">
        <v>1003486</v>
      </c>
      <c r="FJ104" s="44" t="s">
        <v>37</v>
      </c>
      <c r="FK104" s="44">
        <v>1492491</v>
      </c>
      <c r="FL104" s="44" t="s">
        <v>37</v>
      </c>
      <c r="FM104" s="44">
        <v>798812</v>
      </c>
      <c r="FN104" s="44" t="s">
        <v>37</v>
      </c>
      <c r="FO104" s="44">
        <v>230140</v>
      </c>
      <c r="FP104" s="44" t="s">
        <v>37</v>
      </c>
      <c r="FQ104" s="44">
        <v>227450</v>
      </c>
      <c r="FR104" s="44" t="s">
        <v>37</v>
      </c>
      <c r="FS104" s="44">
        <v>407943</v>
      </c>
      <c r="FT104" s="44" t="s">
        <v>37</v>
      </c>
      <c r="FU104" s="44">
        <v>188067</v>
      </c>
      <c r="FV104" s="44" t="s">
        <v>37</v>
      </c>
      <c r="FW104" s="44">
        <v>154246</v>
      </c>
      <c r="FX104" s="44" t="s">
        <v>37</v>
      </c>
      <c r="FY104" s="44">
        <v>267577</v>
      </c>
      <c r="FZ104" s="44" t="s">
        <v>37</v>
      </c>
      <c r="GA104" s="44">
        <v>403192</v>
      </c>
      <c r="GB104" s="44" t="s">
        <v>37</v>
      </c>
      <c r="GC104" s="44">
        <v>521944</v>
      </c>
      <c r="GD104" s="44" t="s">
        <v>37</v>
      </c>
      <c r="GF104" s="44" t="s">
        <v>37</v>
      </c>
      <c r="GH104" s="44" t="s">
        <v>37</v>
      </c>
      <c r="GJ104" s="44" t="s">
        <v>37</v>
      </c>
      <c r="GK104" s="44">
        <v>830852</v>
      </c>
      <c r="GL104" s="44" t="s">
        <v>37</v>
      </c>
      <c r="GM104" s="44">
        <v>289747</v>
      </c>
      <c r="GN104" s="44" t="s">
        <v>37</v>
      </c>
      <c r="GP104" s="44" t="s">
        <v>37</v>
      </c>
      <c r="GQ104" s="44">
        <v>315559</v>
      </c>
      <c r="GR104" s="44" t="s">
        <v>37</v>
      </c>
      <c r="GS104" s="44">
        <v>638606</v>
      </c>
      <c r="GT104" s="44" t="s">
        <v>37</v>
      </c>
      <c r="GU104" s="44">
        <v>425627</v>
      </c>
      <c r="GV104" s="44" t="s">
        <v>37</v>
      </c>
      <c r="GW104" s="44">
        <v>324683</v>
      </c>
      <c r="GX104" s="44" t="s">
        <v>37</v>
      </c>
      <c r="GY104" s="44">
        <v>770927</v>
      </c>
      <c r="GZ104" s="44" t="s">
        <v>37</v>
      </c>
      <c r="HA104" s="44">
        <v>301542</v>
      </c>
      <c r="HB104" s="44" t="s">
        <v>37</v>
      </c>
      <c r="HD104" s="44" t="s">
        <v>37</v>
      </c>
      <c r="HF104" s="44" t="s">
        <v>37</v>
      </c>
      <c r="HG104" s="44">
        <v>42960580</v>
      </c>
      <c r="HH104" s="44" t="s">
        <v>37</v>
      </c>
      <c r="HJ104" s="44" t="s">
        <v>37</v>
      </c>
      <c r="HK104" s="44">
        <v>42960580</v>
      </c>
      <c r="HL104" s="44" t="s">
        <v>37</v>
      </c>
    </row>
    <row r="105" spans="1:220">
      <c r="A105" s="150" t="s">
        <v>411</v>
      </c>
      <c r="B105" s="44">
        <v>3161</v>
      </c>
      <c r="C105" s="44" t="s">
        <v>128</v>
      </c>
      <c r="D105" s="44" t="s">
        <v>37</v>
      </c>
      <c r="E105" s="44">
        <v>8709</v>
      </c>
      <c r="F105" s="44" t="s">
        <v>37</v>
      </c>
      <c r="H105" s="44" t="s">
        <v>37</v>
      </c>
      <c r="I105" s="44">
        <v>6791</v>
      </c>
      <c r="J105" s="44" t="s">
        <v>37</v>
      </c>
      <c r="L105" s="48" t="s">
        <v>37</v>
      </c>
      <c r="M105" s="50"/>
      <c r="N105" s="48" t="s">
        <v>37</v>
      </c>
      <c r="O105" s="51">
        <v>3949</v>
      </c>
      <c r="P105" s="48" t="s">
        <v>37</v>
      </c>
      <c r="Q105" s="50"/>
      <c r="R105" s="48" t="s">
        <v>37</v>
      </c>
      <c r="S105" s="51">
        <v>4131</v>
      </c>
      <c r="T105" s="48" t="s">
        <v>37</v>
      </c>
      <c r="V105" s="44" t="s">
        <v>37</v>
      </c>
      <c r="X105" s="44" t="s">
        <v>37</v>
      </c>
      <c r="Z105" s="44" t="s">
        <v>37</v>
      </c>
      <c r="AA105" s="44">
        <v>3038</v>
      </c>
      <c r="AB105" s="44" t="s">
        <v>37</v>
      </c>
      <c r="AD105" s="44" t="s">
        <v>37</v>
      </c>
      <c r="AE105" s="44">
        <v>4517</v>
      </c>
      <c r="AF105" s="44" t="s">
        <v>37</v>
      </c>
      <c r="AG105" s="44">
        <v>2953</v>
      </c>
      <c r="AH105" s="44" t="s">
        <v>37</v>
      </c>
      <c r="AI105" s="44">
        <v>3292</v>
      </c>
      <c r="AJ105" s="44" t="s">
        <v>37</v>
      </c>
      <c r="AL105" s="44" t="s">
        <v>37</v>
      </c>
      <c r="AM105" s="44">
        <v>3012</v>
      </c>
      <c r="AN105" s="44" t="s">
        <v>37</v>
      </c>
      <c r="AP105" s="44" t="s">
        <v>37</v>
      </c>
      <c r="AR105" s="44" t="s">
        <v>37</v>
      </c>
      <c r="AS105" s="44">
        <v>9417</v>
      </c>
      <c r="AT105" s="44" t="s">
        <v>37</v>
      </c>
      <c r="AU105" s="44">
        <v>119922</v>
      </c>
      <c r="AV105" s="44" t="s">
        <v>37</v>
      </c>
      <c r="AW105" s="44">
        <v>20444</v>
      </c>
      <c r="AX105" s="44" t="s">
        <v>37</v>
      </c>
      <c r="AZ105" s="44" t="s">
        <v>37</v>
      </c>
      <c r="BA105" s="44">
        <v>22068</v>
      </c>
      <c r="BB105" s="44" t="s">
        <v>37</v>
      </c>
      <c r="BC105" s="44">
        <v>1892</v>
      </c>
      <c r="BD105" s="44" t="s">
        <v>37</v>
      </c>
      <c r="BE105" s="44">
        <v>5209</v>
      </c>
      <c r="BF105" s="44" t="s">
        <v>37</v>
      </c>
      <c r="BG105" s="44">
        <v>2195</v>
      </c>
      <c r="BH105" s="44" t="s">
        <v>37</v>
      </c>
      <c r="BJ105" s="44" t="s">
        <v>37</v>
      </c>
      <c r="BK105" s="44">
        <v>2076</v>
      </c>
      <c r="BL105" s="44" t="s">
        <v>37</v>
      </c>
      <c r="BN105" s="44" t="s">
        <v>37</v>
      </c>
      <c r="BP105" s="44" t="s">
        <v>37</v>
      </c>
      <c r="BQ105" s="44">
        <v>3653</v>
      </c>
      <c r="BR105" s="44" t="s">
        <v>37</v>
      </c>
      <c r="BT105" s="44" t="s">
        <v>37</v>
      </c>
      <c r="BV105" s="44" t="s">
        <v>37</v>
      </c>
      <c r="BX105" s="44" t="s">
        <v>37</v>
      </c>
      <c r="BY105" s="44">
        <v>40083</v>
      </c>
      <c r="BZ105" s="44" t="s">
        <v>37</v>
      </c>
      <c r="CA105" s="44">
        <v>16515</v>
      </c>
      <c r="CB105" s="44" t="s">
        <v>37</v>
      </c>
      <c r="CD105" s="44" t="s">
        <v>37</v>
      </c>
      <c r="CF105" s="44" t="s">
        <v>37</v>
      </c>
      <c r="CH105" s="44" t="s">
        <v>37</v>
      </c>
      <c r="CJ105" s="44" t="s">
        <v>37</v>
      </c>
      <c r="CL105" s="44" t="s">
        <v>37</v>
      </c>
      <c r="CN105" s="44" t="s">
        <v>37</v>
      </c>
      <c r="CP105" s="44" t="s">
        <v>37</v>
      </c>
      <c r="CR105" s="44" t="s">
        <v>37</v>
      </c>
      <c r="CS105" s="44">
        <v>34183</v>
      </c>
      <c r="CT105" s="44" t="s">
        <v>37</v>
      </c>
      <c r="CV105" s="44" t="s">
        <v>37</v>
      </c>
      <c r="CX105" s="44" t="s">
        <v>37</v>
      </c>
      <c r="CZ105" s="44" t="s">
        <v>37</v>
      </c>
      <c r="DB105" s="44" t="s">
        <v>37</v>
      </c>
      <c r="DD105" s="44" t="s">
        <v>37</v>
      </c>
      <c r="DE105" s="44">
        <v>21306</v>
      </c>
      <c r="DF105" s="44" t="s">
        <v>37</v>
      </c>
      <c r="DG105" s="44">
        <v>3856</v>
      </c>
      <c r="DH105" s="44" t="s">
        <v>37</v>
      </c>
      <c r="DI105" s="44">
        <v>76865</v>
      </c>
      <c r="DJ105" s="44" t="s">
        <v>37</v>
      </c>
      <c r="DK105" s="44">
        <v>21847</v>
      </c>
      <c r="DL105" s="44" t="s">
        <v>37</v>
      </c>
      <c r="DN105" s="44" t="s">
        <v>37</v>
      </c>
      <c r="DO105" s="44">
        <v>16135</v>
      </c>
      <c r="DP105" s="44" t="s">
        <v>37</v>
      </c>
      <c r="DR105" s="44" t="s">
        <v>37</v>
      </c>
      <c r="DT105" s="44" t="s">
        <v>37</v>
      </c>
      <c r="DU105" s="44">
        <v>15498</v>
      </c>
      <c r="DV105" s="44" t="s">
        <v>37</v>
      </c>
      <c r="DW105" s="44">
        <v>6880</v>
      </c>
      <c r="DX105" s="44" t="s">
        <v>37</v>
      </c>
      <c r="DY105" s="44">
        <v>23602</v>
      </c>
      <c r="DZ105" s="44" t="s">
        <v>37</v>
      </c>
      <c r="EA105" s="44">
        <v>11141</v>
      </c>
      <c r="EB105" s="44" t="s">
        <v>37</v>
      </c>
      <c r="EC105" s="44">
        <v>8047</v>
      </c>
      <c r="ED105" s="44" t="s">
        <v>37</v>
      </c>
      <c r="EE105" s="44">
        <v>11316</v>
      </c>
      <c r="EF105" s="44" t="s">
        <v>37</v>
      </c>
      <c r="EH105" s="44" t="s">
        <v>37</v>
      </c>
      <c r="EJ105" s="44" t="s">
        <v>37</v>
      </c>
      <c r="EK105" s="44">
        <v>11529</v>
      </c>
      <c r="EL105" s="44" t="s">
        <v>37</v>
      </c>
      <c r="EM105" s="44">
        <v>4369</v>
      </c>
      <c r="EN105" s="44" t="s">
        <v>37</v>
      </c>
      <c r="EP105" s="44" t="s">
        <v>37</v>
      </c>
      <c r="ER105" s="44" t="s">
        <v>37</v>
      </c>
      <c r="ET105" s="44" t="s">
        <v>37</v>
      </c>
      <c r="EU105" s="44">
        <v>16043</v>
      </c>
      <c r="EV105" s="44" t="s">
        <v>37</v>
      </c>
      <c r="EX105" s="44" t="s">
        <v>37</v>
      </c>
      <c r="EZ105" s="44" t="s">
        <v>37</v>
      </c>
      <c r="FA105" s="44">
        <v>29903</v>
      </c>
      <c r="FB105" s="44" t="s">
        <v>37</v>
      </c>
      <c r="FC105" s="44">
        <v>2515</v>
      </c>
      <c r="FD105" s="44" t="s">
        <v>37</v>
      </c>
      <c r="FE105" s="44">
        <v>9021</v>
      </c>
      <c r="FF105" s="44" t="s">
        <v>37</v>
      </c>
      <c r="FH105" s="44" t="s">
        <v>37</v>
      </c>
      <c r="FI105" s="44">
        <v>27460</v>
      </c>
      <c r="FJ105" s="44" t="s">
        <v>37</v>
      </c>
      <c r="FK105" s="44">
        <v>9281</v>
      </c>
      <c r="FL105" s="44" t="s">
        <v>37</v>
      </c>
      <c r="FN105" s="44" t="s">
        <v>37</v>
      </c>
      <c r="FO105" s="44">
        <v>3449</v>
      </c>
      <c r="FP105" s="44" t="s">
        <v>37</v>
      </c>
      <c r="FQ105" s="44">
        <v>7059</v>
      </c>
      <c r="FR105" s="44" t="s">
        <v>37</v>
      </c>
      <c r="FT105" s="44" t="s">
        <v>37</v>
      </c>
      <c r="FV105" s="44" t="s">
        <v>37</v>
      </c>
      <c r="FW105" s="44">
        <v>8030</v>
      </c>
      <c r="FX105" s="44" t="s">
        <v>37</v>
      </c>
      <c r="FY105" s="44">
        <v>2191</v>
      </c>
      <c r="FZ105" s="44" t="s">
        <v>37</v>
      </c>
      <c r="GA105" s="44">
        <v>10552</v>
      </c>
      <c r="GB105" s="44" t="s">
        <v>37</v>
      </c>
      <c r="GC105" s="44">
        <v>4129</v>
      </c>
      <c r="GD105" s="44" t="s">
        <v>37</v>
      </c>
      <c r="GF105" s="44" t="s">
        <v>37</v>
      </c>
      <c r="GH105" s="44" t="s">
        <v>37</v>
      </c>
      <c r="GJ105" s="44" t="s">
        <v>37</v>
      </c>
      <c r="GK105" s="44">
        <v>34597</v>
      </c>
      <c r="GL105" s="44" t="s">
        <v>37</v>
      </c>
      <c r="GM105" s="44">
        <v>8481</v>
      </c>
      <c r="GN105" s="44" t="s">
        <v>37</v>
      </c>
      <c r="GP105" s="44" t="s">
        <v>37</v>
      </c>
      <c r="GR105" s="44" t="s">
        <v>37</v>
      </c>
      <c r="GS105" s="44">
        <v>16274</v>
      </c>
      <c r="GT105" s="44" t="s">
        <v>37</v>
      </c>
      <c r="GU105" s="44">
        <v>9676</v>
      </c>
      <c r="GV105" s="44" t="s">
        <v>37</v>
      </c>
      <c r="GW105" s="44">
        <v>7220</v>
      </c>
      <c r="GX105" s="44" t="s">
        <v>37</v>
      </c>
      <c r="GY105" s="44">
        <v>16590</v>
      </c>
      <c r="GZ105" s="44" t="s">
        <v>37</v>
      </c>
      <c r="HA105" s="44">
        <v>7318</v>
      </c>
      <c r="HB105" s="44" t="s">
        <v>37</v>
      </c>
      <c r="HD105" s="44" t="s">
        <v>37</v>
      </c>
      <c r="HF105" s="44" t="s">
        <v>37</v>
      </c>
      <c r="HG105" s="44">
        <v>780229</v>
      </c>
      <c r="HH105" s="44" t="s">
        <v>37</v>
      </c>
      <c r="HJ105" s="44" t="s">
        <v>37</v>
      </c>
      <c r="HK105" s="44">
        <v>780229</v>
      </c>
      <c r="HL105" s="44" t="s">
        <v>37</v>
      </c>
    </row>
    <row r="106" spans="1:220">
      <c r="A106" s="150" t="s">
        <v>411</v>
      </c>
      <c r="B106" s="44">
        <v>3162</v>
      </c>
      <c r="C106" s="44" t="s">
        <v>129</v>
      </c>
      <c r="D106" s="44" t="s">
        <v>37</v>
      </c>
      <c r="E106" s="44">
        <v>19185</v>
      </c>
      <c r="F106" s="44" t="s">
        <v>37</v>
      </c>
      <c r="G106" s="44">
        <v>110156</v>
      </c>
      <c r="H106" s="44" t="s">
        <v>37</v>
      </c>
      <c r="I106" s="44">
        <v>14853</v>
      </c>
      <c r="J106" s="44" t="s">
        <v>37</v>
      </c>
      <c r="L106" s="48" t="s">
        <v>37</v>
      </c>
      <c r="M106" s="51">
        <v>26611</v>
      </c>
      <c r="N106" s="48" t="s">
        <v>37</v>
      </c>
      <c r="O106" s="51">
        <v>15471</v>
      </c>
      <c r="P106" s="48" t="s">
        <v>37</v>
      </c>
      <c r="Q106" s="51">
        <v>19185</v>
      </c>
      <c r="R106" s="48" t="s">
        <v>37</v>
      </c>
      <c r="S106" s="51">
        <v>13615</v>
      </c>
      <c r="T106" s="48" t="s">
        <v>37</v>
      </c>
      <c r="U106" s="44">
        <v>51365</v>
      </c>
      <c r="V106" s="44" t="s">
        <v>37</v>
      </c>
      <c r="X106" s="44" t="s">
        <v>37</v>
      </c>
      <c r="Z106" s="44" t="s">
        <v>37</v>
      </c>
      <c r="AA106" s="44">
        <v>9283</v>
      </c>
      <c r="AB106" s="44" t="s">
        <v>37</v>
      </c>
      <c r="AC106" s="44">
        <v>7426</v>
      </c>
      <c r="AD106" s="44" t="s">
        <v>37</v>
      </c>
      <c r="AE106" s="44">
        <v>4332</v>
      </c>
      <c r="AF106" s="44" t="s">
        <v>37</v>
      </c>
      <c r="AG106" s="44">
        <v>4951</v>
      </c>
      <c r="AH106" s="44" t="s">
        <v>37</v>
      </c>
      <c r="AI106" s="44">
        <v>14234</v>
      </c>
      <c r="AJ106" s="44" t="s">
        <v>37</v>
      </c>
      <c r="AL106" s="44" t="s">
        <v>37</v>
      </c>
      <c r="AM106" s="44">
        <v>79213</v>
      </c>
      <c r="AN106" s="44" t="s">
        <v>37</v>
      </c>
      <c r="AP106" s="44" t="s">
        <v>37</v>
      </c>
      <c r="AQ106" s="44">
        <v>115726</v>
      </c>
      <c r="AR106" s="44" t="s">
        <v>37</v>
      </c>
      <c r="AS106" s="44">
        <v>14235</v>
      </c>
      <c r="AT106" s="44" t="s">
        <v>37</v>
      </c>
      <c r="AU106" s="44">
        <v>170804</v>
      </c>
      <c r="AV106" s="44" t="s">
        <v>37</v>
      </c>
      <c r="AW106" s="44">
        <v>31562</v>
      </c>
      <c r="AX106" s="44" t="s">
        <v>37</v>
      </c>
      <c r="AY106" s="44">
        <v>30943</v>
      </c>
      <c r="AZ106" s="44" t="s">
        <v>37</v>
      </c>
      <c r="BA106" s="44">
        <v>55697</v>
      </c>
      <c r="BB106" s="44" t="s">
        <v>37</v>
      </c>
      <c r="BC106" s="44">
        <v>9902</v>
      </c>
      <c r="BD106" s="44" t="s">
        <v>37</v>
      </c>
      <c r="BE106" s="44">
        <v>16090</v>
      </c>
      <c r="BF106" s="44" t="s">
        <v>37</v>
      </c>
      <c r="BG106" s="44">
        <v>9283</v>
      </c>
      <c r="BH106" s="44" t="s">
        <v>37</v>
      </c>
      <c r="BJ106" s="44" t="s">
        <v>37</v>
      </c>
      <c r="BK106" s="44">
        <v>54459</v>
      </c>
      <c r="BL106" s="44" t="s">
        <v>37</v>
      </c>
      <c r="BM106" s="44">
        <v>66218</v>
      </c>
      <c r="BN106" s="44" t="s">
        <v>37</v>
      </c>
      <c r="BP106" s="44" t="s">
        <v>37</v>
      </c>
      <c r="BQ106" s="44">
        <v>7426</v>
      </c>
      <c r="BR106" s="44" t="s">
        <v>37</v>
      </c>
      <c r="BS106" s="44">
        <v>12996</v>
      </c>
      <c r="BT106" s="44" t="s">
        <v>37</v>
      </c>
      <c r="BU106" s="44">
        <v>7426</v>
      </c>
      <c r="BV106" s="44" t="s">
        <v>37</v>
      </c>
      <c r="BX106" s="44" t="s">
        <v>37</v>
      </c>
      <c r="BY106" s="44">
        <v>66836</v>
      </c>
      <c r="BZ106" s="44" t="s">
        <v>37</v>
      </c>
      <c r="CA106" s="44">
        <v>20422</v>
      </c>
      <c r="CB106" s="44" t="s">
        <v>37</v>
      </c>
      <c r="CD106" s="44" t="s">
        <v>37</v>
      </c>
      <c r="CE106" s="44">
        <v>29086</v>
      </c>
      <c r="CF106" s="44" t="s">
        <v>37</v>
      </c>
      <c r="CG106" s="44">
        <v>26611</v>
      </c>
      <c r="CH106" s="44" t="s">
        <v>37</v>
      </c>
      <c r="CI106" s="44">
        <v>41463</v>
      </c>
      <c r="CJ106" s="44" t="s">
        <v>37</v>
      </c>
      <c r="CK106" s="44">
        <v>8045</v>
      </c>
      <c r="CL106" s="44" t="s">
        <v>37</v>
      </c>
      <c r="CM106" s="44">
        <v>18566</v>
      </c>
      <c r="CN106" s="44" t="s">
        <v>37</v>
      </c>
      <c r="CO106" s="44">
        <v>6807</v>
      </c>
      <c r="CP106" s="44" t="s">
        <v>37</v>
      </c>
      <c r="CQ106" s="44">
        <v>6189</v>
      </c>
      <c r="CR106" s="44" t="s">
        <v>37</v>
      </c>
      <c r="CS106" s="44">
        <v>53840</v>
      </c>
      <c r="CT106" s="44" t="s">
        <v>37</v>
      </c>
      <c r="CU106" s="44">
        <v>180087</v>
      </c>
      <c r="CV106" s="44" t="s">
        <v>37</v>
      </c>
      <c r="CW106" s="44">
        <v>32180</v>
      </c>
      <c r="CX106" s="44" t="s">
        <v>37</v>
      </c>
      <c r="CY106" s="44">
        <v>5570</v>
      </c>
      <c r="CZ106" s="44" t="s">
        <v>37</v>
      </c>
      <c r="DA106" s="44">
        <v>5570</v>
      </c>
      <c r="DB106" s="44" t="s">
        <v>37</v>
      </c>
      <c r="DD106" s="44" t="s">
        <v>37</v>
      </c>
      <c r="DE106" s="44">
        <v>15471</v>
      </c>
      <c r="DF106" s="44" t="s">
        <v>37</v>
      </c>
      <c r="DG106" s="44">
        <v>9902</v>
      </c>
      <c r="DH106" s="44" t="s">
        <v>37</v>
      </c>
      <c r="DI106" s="44">
        <v>173279</v>
      </c>
      <c r="DJ106" s="44" t="s">
        <v>37</v>
      </c>
      <c r="DK106" s="44">
        <v>23516</v>
      </c>
      <c r="DL106" s="44" t="s">
        <v>37</v>
      </c>
      <c r="DM106" s="44">
        <v>55697</v>
      </c>
      <c r="DN106" s="44" t="s">
        <v>37</v>
      </c>
      <c r="DO106" s="44">
        <v>42701</v>
      </c>
      <c r="DP106" s="44" t="s">
        <v>37</v>
      </c>
      <c r="DQ106" s="44">
        <v>30943</v>
      </c>
      <c r="DR106" s="44" t="s">
        <v>37</v>
      </c>
      <c r="DS106" s="44">
        <v>17947</v>
      </c>
      <c r="DT106" s="44" t="s">
        <v>37</v>
      </c>
      <c r="DU106" s="44">
        <v>25992</v>
      </c>
      <c r="DV106" s="44" t="s">
        <v>37</v>
      </c>
      <c r="DW106" s="44">
        <v>82927</v>
      </c>
      <c r="DX106" s="44" t="s">
        <v>37</v>
      </c>
      <c r="DY106" s="44">
        <v>42701</v>
      </c>
      <c r="DZ106" s="44" t="s">
        <v>37</v>
      </c>
      <c r="EA106" s="44">
        <v>11139</v>
      </c>
      <c r="EB106" s="44" t="s">
        <v>37</v>
      </c>
      <c r="EC106" s="44">
        <v>22898</v>
      </c>
      <c r="ED106" s="44" t="s">
        <v>37</v>
      </c>
      <c r="EE106" s="44">
        <v>57554</v>
      </c>
      <c r="EF106" s="44" t="s">
        <v>37</v>
      </c>
      <c r="EG106" s="44">
        <v>9283</v>
      </c>
      <c r="EH106" s="44" t="s">
        <v>37</v>
      </c>
      <c r="EJ106" s="44" t="s">
        <v>37</v>
      </c>
      <c r="EK106" s="44">
        <v>13615</v>
      </c>
      <c r="EL106" s="44" t="s">
        <v>37</v>
      </c>
      <c r="EM106" s="44">
        <v>9283</v>
      </c>
      <c r="EN106" s="44" t="s">
        <v>37</v>
      </c>
      <c r="EO106" s="44">
        <v>9902</v>
      </c>
      <c r="EP106" s="44" t="s">
        <v>37</v>
      </c>
      <c r="ER106" s="44" t="s">
        <v>37</v>
      </c>
      <c r="ES106" s="44">
        <v>34656</v>
      </c>
      <c r="ET106" s="44" t="s">
        <v>37</v>
      </c>
      <c r="EU106" s="44">
        <v>35275</v>
      </c>
      <c r="EV106" s="44" t="s">
        <v>37</v>
      </c>
      <c r="EW106" s="44">
        <v>53840</v>
      </c>
      <c r="EX106" s="44" t="s">
        <v>37</v>
      </c>
      <c r="EZ106" s="44" t="s">
        <v>37</v>
      </c>
      <c r="FA106" s="44">
        <v>34656</v>
      </c>
      <c r="FB106" s="44" t="s">
        <v>37</v>
      </c>
      <c r="FC106" s="44">
        <v>37131</v>
      </c>
      <c r="FD106" s="44" t="s">
        <v>37</v>
      </c>
      <c r="FE106" s="44">
        <v>40226</v>
      </c>
      <c r="FF106" s="44" t="s">
        <v>37</v>
      </c>
      <c r="FH106" s="44" t="s">
        <v>37</v>
      </c>
      <c r="FI106" s="44">
        <v>63123</v>
      </c>
      <c r="FJ106" s="44" t="s">
        <v>37</v>
      </c>
      <c r="FK106" s="44">
        <v>107062</v>
      </c>
      <c r="FL106" s="44" t="s">
        <v>37</v>
      </c>
      <c r="FM106" s="44">
        <v>51365</v>
      </c>
      <c r="FN106" s="44" t="s">
        <v>37</v>
      </c>
      <c r="FO106" s="44">
        <v>12996</v>
      </c>
      <c r="FP106" s="44" t="s">
        <v>37</v>
      </c>
      <c r="FQ106" s="44">
        <v>16090</v>
      </c>
      <c r="FR106" s="44" t="s">
        <v>37</v>
      </c>
      <c r="FS106" s="44">
        <v>27230</v>
      </c>
      <c r="FT106" s="44" t="s">
        <v>37</v>
      </c>
      <c r="FU106" s="44">
        <v>14234</v>
      </c>
      <c r="FV106" s="44" t="s">
        <v>37</v>
      </c>
      <c r="FW106" s="44">
        <v>12996</v>
      </c>
      <c r="FX106" s="44" t="s">
        <v>37</v>
      </c>
      <c r="FY106" s="44">
        <v>19803</v>
      </c>
      <c r="FZ106" s="44" t="s">
        <v>37</v>
      </c>
      <c r="GA106" s="44">
        <v>25992</v>
      </c>
      <c r="GB106" s="44" t="s">
        <v>37</v>
      </c>
      <c r="GC106" s="44">
        <v>44558</v>
      </c>
      <c r="GD106" s="44" t="s">
        <v>37</v>
      </c>
      <c r="GF106" s="44" t="s">
        <v>37</v>
      </c>
      <c r="GH106" s="44" t="s">
        <v>37</v>
      </c>
      <c r="GJ106" s="44" t="s">
        <v>37</v>
      </c>
      <c r="GK106" s="44">
        <v>68693</v>
      </c>
      <c r="GL106" s="44" t="s">
        <v>37</v>
      </c>
      <c r="GM106" s="44">
        <v>24135</v>
      </c>
      <c r="GN106" s="44" t="s">
        <v>37</v>
      </c>
      <c r="GP106" s="44" t="s">
        <v>37</v>
      </c>
      <c r="GQ106" s="44">
        <v>24135</v>
      </c>
      <c r="GR106" s="44" t="s">
        <v>37</v>
      </c>
      <c r="GS106" s="44">
        <v>45177</v>
      </c>
      <c r="GT106" s="44" t="s">
        <v>37</v>
      </c>
      <c r="GU106" s="44">
        <v>28467</v>
      </c>
      <c r="GV106" s="44" t="s">
        <v>37</v>
      </c>
      <c r="GW106" s="44">
        <v>22279</v>
      </c>
      <c r="GX106" s="44" t="s">
        <v>37</v>
      </c>
      <c r="GY106" s="44">
        <v>50746</v>
      </c>
      <c r="GZ106" s="44" t="s">
        <v>37</v>
      </c>
      <c r="HA106" s="44">
        <v>19803</v>
      </c>
      <c r="HB106" s="44" t="s">
        <v>37</v>
      </c>
      <c r="HD106" s="44" t="s">
        <v>37</v>
      </c>
      <c r="HF106" s="44" t="s">
        <v>37</v>
      </c>
      <c r="HG106" s="44">
        <v>3063337</v>
      </c>
      <c r="HH106" s="44" t="s">
        <v>37</v>
      </c>
      <c r="HJ106" s="44" t="s">
        <v>37</v>
      </c>
      <c r="HK106" s="44">
        <v>3063337</v>
      </c>
      <c r="HL106" s="44" t="s">
        <v>37</v>
      </c>
    </row>
    <row r="107" spans="1:220">
      <c r="A107" s="150" t="s">
        <v>411</v>
      </c>
      <c r="B107" s="44">
        <v>3163</v>
      </c>
      <c r="C107" s="44" t="s">
        <v>130</v>
      </c>
      <c r="D107" s="44" t="s">
        <v>37</v>
      </c>
      <c r="F107" s="44" t="s">
        <v>37</v>
      </c>
      <c r="H107" s="44" t="s">
        <v>37</v>
      </c>
      <c r="I107" s="44">
        <v>13135</v>
      </c>
      <c r="J107" s="44" t="s">
        <v>37</v>
      </c>
      <c r="L107" s="48" t="s">
        <v>37</v>
      </c>
      <c r="M107" s="50"/>
      <c r="N107" s="48" t="s">
        <v>37</v>
      </c>
      <c r="O107" s="50"/>
      <c r="P107" s="48" t="s">
        <v>37</v>
      </c>
      <c r="Q107" s="50"/>
      <c r="R107" s="48" t="s">
        <v>37</v>
      </c>
      <c r="S107" s="50"/>
      <c r="T107" s="48" t="s">
        <v>37</v>
      </c>
      <c r="V107" s="44" t="s">
        <v>37</v>
      </c>
      <c r="X107" s="44" t="s">
        <v>37</v>
      </c>
      <c r="Z107" s="44" t="s">
        <v>37</v>
      </c>
      <c r="AB107" s="44" t="s">
        <v>37</v>
      </c>
      <c r="AC107" s="44">
        <v>4440</v>
      </c>
      <c r="AD107" s="44" t="s">
        <v>37</v>
      </c>
      <c r="AE107" s="44">
        <v>2220</v>
      </c>
      <c r="AF107" s="44" t="s">
        <v>37</v>
      </c>
      <c r="AH107" s="44" t="s">
        <v>37</v>
      </c>
      <c r="AJ107" s="44" t="s">
        <v>37</v>
      </c>
      <c r="AL107" s="44" t="s">
        <v>37</v>
      </c>
      <c r="AN107" s="44" t="s">
        <v>37</v>
      </c>
      <c r="AP107" s="44" t="s">
        <v>37</v>
      </c>
      <c r="AQ107" s="44">
        <v>29600</v>
      </c>
      <c r="AR107" s="44" t="s">
        <v>37</v>
      </c>
      <c r="AT107" s="44" t="s">
        <v>37</v>
      </c>
      <c r="AV107" s="44" t="s">
        <v>37</v>
      </c>
      <c r="AX107" s="44" t="s">
        <v>37</v>
      </c>
      <c r="AZ107" s="44" t="s">
        <v>37</v>
      </c>
      <c r="BB107" s="44" t="s">
        <v>37</v>
      </c>
      <c r="BC107" s="44">
        <v>7770</v>
      </c>
      <c r="BD107" s="44" t="s">
        <v>37</v>
      </c>
      <c r="BE107" s="44">
        <v>7585</v>
      </c>
      <c r="BF107" s="44" t="s">
        <v>37</v>
      </c>
      <c r="BG107" s="44">
        <v>5550</v>
      </c>
      <c r="BH107" s="44" t="s">
        <v>37</v>
      </c>
      <c r="BJ107" s="44" t="s">
        <v>37</v>
      </c>
      <c r="BL107" s="44" t="s">
        <v>37</v>
      </c>
      <c r="BN107" s="44" t="s">
        <v>37</v>
      </c>
      <c r="BP107" s="44" t="s">
        <v>37</v>
      </c>
      <c r="BQ107" s="44">
        <v>2960</v>
      </c>
      <c r="BR107" s="44" t="s">
        <v>37</v>
      </c>
      <c r="BS107" s="44">
        <v>9065</v>
      </c>
      <c r="BT107" s="44" t="s">
        <v>37</v>
      </c>
      <c r="BU107" s="44">
        <v>5920</v>
      </c>
      <c r="BV107" s="44" t="s">
        <v>37</v>
      </c>
      <c r="BX107" s="44" t="s">
        <v>37</v>
      </c>
      <c r="BZ107" s="44" t="s">
        <v>37</v>
      </c>
      <c r="CB107" s="44" t="s">
        <v>37</v>
      </c>
      <c r="CD107" s="44" t="s">
        <v>37</v>
      </c>
      <c r="CF107" s="44" t="s">
        <v>37</v>
      </c>
      <c r="CH107" s="44" t="s">
        <v>37</v>
      </c>
      <c r="CI107" s="44">
        <v>13875</v>
      </c>
      <c r="CJ107" s="44" t="s">
        <v>37</v>
      </c>
      <c r="CL107" s="44" t="s">
        <v>37</v>
      </c>
      <c r="CM107" s="44">
        <v>555</v>
      </c>
      <c r="CN107" s="44" t="s">
        <v>37</v>
      </c>
      <c r="CO107" s="44">
        <v>9065</v>
      </c>
      <c r="CP107" s="44" t="s">
        <v>37</v>
      </c>
      <c r="CQ107" s="44">
        <v>5550</v>
      </c>
      <c r="CR107" s="44" t="s">
        <v>37</v>
      </c>
      <c r="CT107" s="44" t="s">
        <v>37</v>
      </c>
      <c r="CV107" s="44" t="s">
        <v>37</v>
      </c>
      <c r="CX107" s="44" t="s">
        <v>37</v>
      </c>
      <c r="CZ107" s="44" t="s">
        <v>37</v>
      </c>
      <c r="DB107" s="44" t="s">
        <v>37</v>
      </c>
      <c r="DD107" s="44" t="s">
        <v>37</v>
      </c>
      <c r="DE107" s="44">
        <v>11655</v>
      </c>
      <c r="DF107" s="44" t="s">
        <v>37</v>
      </c>
      <c r="DH107" s="44" t="s">
        <v>37</v>
      </c>
      <c r="DJ107" s="44" t="s">
        <v>37</v>
      </c>
      <c r="DK107" s="44">
        <v>19610</v>
      </c>
      <c r="DL107" s="44" t="s">
        <v>37</v>
      </c>
      <c r="DN107" s="44" t="s">
        <v>37</v>
      </c>
      <c r="DP107" s="44" t="s">
        <v>37</v>
      </c>
      <c r="DR107" s="44" t="s">
        <v>37</v>
      </c>
      <c r="DS107" s="44">
        <v>4070</v>
      </c>
      <c r="DT107" s="44" t="s">
        <v>37</v>
      </c>
      <c r="DU107" s="44">
        <v>12487</v>
      </c>
      <c r="DV107" s="44" t="s">
        <v>37</v>
      </c>
      <c r="DX107" s="44" t="s">
        <v>37</v>
      </c>
      <c r="DZ107" s="44" t="s">
        <v>37</v>
      </c>
      <c r="EB107" s="44" t="s">
        <v>37</v>
      </c>
      <c r="EC107" s="44">
        <v>1480</v>
      </c>
      <c r="ED107" s="44" t="s">
        <v>37</v>
      </c>
      <c r="EF107" s="44" t="s">
        <v>37</v>
      </c>
      <c r="EH107" s="44" t="s">
        <v>37</v>
      </c>
      <c r="EJ107" s="44" t="s">
        <v>37</v>
      </c>
      <c r="EL107" s="44" t="s">
        <v>37</v>
      </c>
      <c r="EM107" s="44">
        <v>5735</v>
      </c>
      <c r="EN107" s="44" t="s">
        <v>37</v>
      </c>
      <c r="EO107" s="44">
        <v>8880</v>
      </c>
      <c r="EP107" s="44" t="s">
        <v>37</v>
      </c>
      <c r="ER107" s="44" t="s">
        <v>37</v>
      </c>
      <c r="ET107" s="44" t="s">
        <v>37</v>
      </c>
      <c r="EV107" s="44" t="s">
        <v>37</v>
      </c>
      <c r="EX107" s="44" t="s">
        <v>37</v>
      </c>
      <c r="EZ107" s="44" t="s">
        <v>37</v>
      </c>
      <c r="FB107" s="44" t="s">
        <v>37</v>
      </c>
      <c r="FC107" s="44">
        <v>3885</v>
      </c>
      <c r="FD107" s="44" t="s">
        <v>37</v>
      </c>
      <c r="FE107" s="44">
        <v>1110</v>
      </c>
      <c r="FF107" s="44" t="s">
        <v>37</v>
      </c>
      <c r="FH107" s="44" t="s">
        <v>37</v>
      </c>
      <c r="FJ107" s="44" t="s">
        <v>37</v>
      </c>
      <c r="FL107" s="44" t="s">
        <v>37</v>
      </c>
      <c r="FN107" s="44" t="s">
        <v>37</v>
      </c>
      <c r="FP107" s="44" t="s">
        <v>37</v>
      </c>
      <c r="FR107" s="44" t="s">
        <v>37</v>
      </c>
      <c r="FT107" s="44" t="s">
        <v>37</v>
      </c>
      <c r="FV107" s="44" t="s">
        <v>37</v>
      </c>
      <c r="FX107" s="44" t="s">
        <v>37</v>
      </c>
      <c r="FZ107" s="44" t="s">
        <v>37</v>
      </c>
      <c r="GB107" s="44" t="s">
        <v>37</v>
      </c>
      <c r="GD107" s="44" t="s">
        <v>37</v>
      </c>
      <c r="GF107" s="44" t="s">
        <v>37</v>
      </c>
      <c r="GH107" s="44" t="s">
        <v>37</v>
      </c>
      <c r="GJ107" s="44" t="s">
        <v>37</v>
      </c>
      <c r="GL107" s="44" t="s">
        <v>37</v>
      </c>
      <c r="GN107" s="44" t="s">
        <v>37</v>
      </c>
      <c r="GP107" s="44" t="s">
        <v>37</v>
      </c>
      <c r="GR107" s="44" t="s">
        <v>37</v>
      </c>
      <c r="GS107" s="44">
        <v>23310</v>
      </c>
      <c r="GT107" s="44" t="s">
        <v>37</v>
      </c>
      <c r="GV107" s="44" t="s">
        <v>37</v>
      </c>
      <c r="GX107" s="44" t="s">
        <v>37</v>
      </c>
      <c r="GZ107" s="44" t="s">
        <v>37</v>
      </c>
      <c r="HB107" s="44" t="s">
        <v>37</v>
      </c>
      <c r="HD107" s="44" t="s">
        <v>37</v>
      </c>
      <c r="HF107" s="44" t="s">
        <v>37</v>
      </c>
      <c r="HG107" s="44">
        <v>209512</v>
      </c>
      <c r="HH107" s="44" t="s">
        <v>37</v>
      </c>
      <c r="HJ107" s="44" t="s">
        <v>37</v>
      </c>
      <c r="HK107" s="44">
        <v>209512</v>
      </c>
      <c r="HL107" s="44" t="s">
        <v>37</v>
      </c>
    </row>
    <row r="108" spans="1:220">
      <c r="A108" s="150" t="s">
        <v>411</v>
      </c>
      <c r="B108" s="44">
        <v>3165</v>
      </c>
      <c r="C108" s="44" t="s">
        <v>131</v>
      </c>
      <c r="D108" s="44" t="s">
        <v>37</v>
      </c>
      <c r="E108" s="44">
        <v>2205</v>
      </c>
      <c r="F108" s="44" t="s">
        <v>37</v>
      </c>
      <c r="G108" s="44">
        <v>6299</v>
      </c>
      <c r="H108" s="44" t="s">
        <v>37</v>
      </c>
      <c r="J108" s="44" t="s">
        <v>37</v>
      </c>
      <c r="L108" s="48" t="s">
        <v>37</v>
      </c>
      <c r="M108" s="51">
        <v>9149</v>
      </c>
      <c r="N108" s="48" t="s">
        <v>37</v>
      </c>
      <c r="O108" s="51">
        <v>2942</v>
      </c>
      <c r="P108" s="48" t="s">
        <v>37</v>
      </c>
      <c r="Q108" s="50"/>
      <c r="R108" s="48" t="s">
        <v>37</v>
      </c>
      <c r="S108" s="50"/>
      <c r="T108" s="48" t="s">
        <v>37</v>
      </c>
      <c r="U108" s="44">
        <v>10247</v>
      </c>
      <c r="V108" s="44" t="s">
        <v>37</v>
      </c>
      <c r="X108" s="44" t="s">
        <v>37</v>
      </c>
      <c r="Z108" s="44" t="s">
        <v>37</v>
      </c>
      <c r="AA108" s="44">
        <v>1298</v>
      </c>
      <c r="AB108" s="44" t="s">
        <v>37</v>
      </c>
      <c r="AC108" s="44">
        <v>1360</v>
      </c>
      <c r="AD108" s="44" t="s">
        <v>37</v>
      </c>
      <c r="AE108" s="44">
        <v>522</v>
      </c>
      <c r="AF108" s="44" t="s">
        <v>37</v>
      </c>
      <c r="AG108" s="44">
        <v>1460</v>
      </c>
      <c r="AH108" s="44" t="s">
        <v>37</v>
      </c>
      <c r="AI108" s="44">
        <v>3534</v>
      </c>
      <c r="AJ108" s="44" t="s">
        <v>37</v>
      </c>
      <c r="AL108" s="44" t="s">
        <v>37</v>
      </c>
      <c r="AM108" s="44">
        <v>4701</v>
      </c>
      <c r="AN108" s="44" t="s">
        <v>37</v>
      </c>
      <c r="AP108" s="44" t="s">
        <v>37</v>
      </c>
      <c r="AR108" s="44" t="s">
        <v>37</v>
      </c>
      <c r="AT108" s="44" t="s">
        <v>37</v>
      </c>
      <c r="AU108" s="44">
        <v>14173</v>
      </c>
      <c r="AV108" s="44" t="s">
        <v>37</v>
      </c>
      <c r="AW108" s="44">
        <v>5485</v>
      </c>
      <c r="AX108" s="44" t="s">
        <v>37</v>
      </c>
      <c r="AY108" s="44">
        <v>1191</v>
      </c>
      <c r="AZ108" s="44" t="s">
        <v>37</v>
      </c>
      <c r="BB108" s="44" t="s">
        <v>37</v>
      </c>
      <c r="BC108" s="44">
        <v>1536</v>
      </c>
      <c r="BD108" s="44" t="s">
        <v>37</v>
      </c>
      <c r="BF108" s="44" t="s">
        <v>37</v>
      </c>
      <c r="BG108" s="44">
        <v>1068</v>
      </c>
      <c r="BH108" s="44" t="s">
        <v>37</v>
      </c>
      <c r="BJ108" s="44" t="s">
        <v>37</v>
      </c>
      <c r="BK108" s="44">
        <v>3457</v>
      </c>
      <c r="BL108" s="44" t="s">
        <v>37</v>
      </c>
      <c r="BM108" s="44">
        <v>5377</v>
      </c>
      <c r="BN108" s="44" t="s">
        <v>37</v>
      </c>
      <c r="BP108" s="44" t="s">
        <v>37</v>
      </c>
      <c r="BQ108" s="44">
        <v>1767</v>
      </c>
      <c r="BR108" s="44" t="s">
        <v>37</v>
      </c>
      <c r="BT108" s="44" t="s">
        <v>37</v>
      </c>
      <c r="BV108" s="44" t="s">
        <v>37</v>
      </c>
      <c r="BX108" s="44" t="s">
        <v>37</v>
      </c>
      <c r="BY108" s="44">
        <v>9018</v>
      </c>
      <c r="BZ108" s="44" t="s">
        <v>37</v>
      </c>
      <c r="CA108" s="44">
        <v>1652</v>
      </c>
      <c r="CB108" s="44" t="s">
        <v>37</v>
      </c>
      <c r="CD108" s="44" t="s">
        <v>37</v>
      </c>
      <c r="CF108" s="44" t="s">
        <v>37</v>
      </c>
      <c r="CG108" s="44">
        <v>1444</v>
      </c>
      <c r="CH108" s="44" t="s">
        <v>37</v>
      </c>
      <c r="CI108" s="44">
        <v>3841</v>
      </c>
      <c r="CJ108" s="44" t="s">
        <v>37</v>
      </c>
      <c r="CL108" s="44" t="s">
        <v>37</v>
      </c>
      <c r="CN108" s="44" t="s">
        <v>37</v>
      </c>
      <c r="CP108" s="44" t="s">
        <v>37</v>
      </c>
      <c r="CR108" s="44" t="s">
        <v>37</v>
      </c>
      <c r="CS108" s="44">
        <v>1629</v>
      </c>
      <c r="CT108" s="44" t="s">
        <v>37</v>
      </c>
      <c r="CU108" s="44">
        <v>10201</v>
      </c>
      <c r="CV108" s="44" t="s">
        <v>37</v>
      </c>
      <c r="CW108" s="44">
        <v>6007</v>
      </c>
      <c r="CX108" s="44" t="s">
        <v>37</v>
      </c>
      <c r="CY108" s="44">
        <v>1383</v>
      </c>
      <c r="CZ108" s="44" t="s">
        <v>37</v>
      </c>
      <c r="DA108" s="44">
        <v>1306</v>
      </c>
      <c r="DB108" s="44" t="s">
        <v>37</v>
      </c>
      <c r="DD108" s="44" t="s">
        <v>37</v>
      </c>
      <c r="DF108" s="44" t="s">
        <v>37</v>
      </c>
      <c r="DG108" s="44">
        <v>922</v>
      </c>
      <c r="DH108" s="44" t="s">
        <v>37</v>
      </c>
      <c r="DI108" s="44">
        <v>9326</v>
      </c>
      <c r="DJ108" s="44" t="s">
        <v>37</v>
      </c>
      <c r="DK108" s="44">
        <v>1306</v>
      </c>
      <c r="DL108" s="44" t="s">
        <v>37</v>
      </c>
      <c r="DM108" s="44">
        <v>2171</v>
      </c>
      <c r="DN108" s="44" t="s">
        <v>37</v>
      </c>
      <c r="DP108" s="44" t="s">
        <v>37</v>
      </c>
      <c r="DR108" s="44" t="s">
        <v>37</v>
      </c>
      <c r="DT108" s="44" t="s">
        <v>37</v>
      </c>
      <c r="DU108" s="44">
        <v>2197</v>
      </c>
      <c r="DV108" s="44" t="s">
        <v>37</v>
      </c>
      <c r="DW108" s="44">
        <v>16708</v>
      </c>
      <c r="DX108" s="44" t="s">
        <v>37</v>
      </c>
      <c r="DY108" s="44">
        <v>1306</v>
      </c>
      <c r="DZ108" s="44" t="s">
        <v>37</v>
      </c>
      <c r="EB108" s="44" t="s">
        <v>37</v>
      </c>
      <c r="ED108" s="44" t="s">
        <v>37</v>
      </c>
      <c r="EE108" s="44">
        <v>2050</v>
      </c>
      <c r="EF108" s="44" t="s">
        <v>37</v>
      </c>
      <c r="EH108" s="44" t="s">
        <v>37</v>
      </c>
      <c r="EJ108" s="44" t="s">
        <v>37</v>
      </c>
      <c r="EK108" s="44">
        <v>1191</v>
      </c>
      <c r="EL108" s="44" t="s">
        <v>37</v>
      </c>
      <c r="EN108" s="44" t="s">
        <v>37</v>
      </c>
      <c r="EO108" s="44">
        <v>1191</v>
      </c>
      <c r="EP108" s="44" t="s">
        <v>37</v>
      </c>
      <c r="ER108" s="44" t="s">
        <v>37</v>
      </c>
      <c r="ET108" s="44" t="s">
        <v>37</v>
      </c>
      <c r="EU108" s="44">
        <v>5427</v>
      </c>
      <c r="EV108" s="44" t="s">
        <v>37</v>
      </c>
      <c r="EW108" s="44">
        <v>4878</v>
      </c>
      <c r="EX108" s="44" t="s">
        <v>37</v>
      </c>
      <c r="EZ108" s="44" t="s">
        <v>37</v>
      </c>
      <c r="FB108" s="44" t="s">
        <v>37</v>
      </c>
      <c r="FC108" s="44">
        <v>3687</v>
      </c>
      <c r="FD108" s="44" t="s">
        <v>37</v>
      </c>
      <c r="FE108" s="44">
        <v>3572</v>
      </c>
      <c r="FF108" s="44" t="s">
        <v>37</v>
      </c>
      <c r="FH108" s="44" t="s">
        <v>37</v>
      </c>
      <c r="FI108" s="44">
        <v>13720</v>
      </c>
      <c r="FJ108" s="44" t="s">
        <v>37</v>
      </c>
      <c r="FK108" s="44">
        <v>18336</v>
      </c>
      <c r="FL108" s="44" t="s">
        <v>37</v>
      </c>
      <c r="FN108" s="44" t="s">
        <v>37</v>
      </c>
      <c r="FP108" s="44" t="s">
        <v>37</v>
      </c>
      <c r="FQ108" s="44">
        <v>2842</v>
      </c>
      <c r="FR108" s="44" t="s">
        <v>37</v>
      </c>
      <c r="FS108" s="44">
        <v>6791</v>
      </c>
      <c r="FT108" s="44" t="s">
        <v>37</v>
      </c>
      <c r="FU108" s="44">
        <v>2919</v>
      </c>
      <c r="FV108" s="44" t="s">
        <v>37</v>
      </c>
      <c r="FW108" s="44">
        <v>1844</v>
      </c>
      <c r="FX108" s="44" t="s">
        <v>37</v>
      </c>
      <c r="FY108" s="44">
        <v>2957</v>
      </c>
      <c r="FZ108" s="44" t="s">
        <v>37</v>
      </c>
      <c r="GA108" s="44">
        <v>576</v>
      </c>
      <c r="GB108" s="44" t="s">
        <v>37</v>
      </c>
      <c r="GC108" s="44">
        <v>2235</v>
      </c>
      <c r="GD108" s="44" t="s">
        <v>37</v>
      </c>
      <c r="GF108" s="44" t="s">
        <v>37</v>
      </c>
      <c r="GH108" s="44" t="s">
        <v>37</v>
      </c>
      <c r="GJ108" s="44" t="s">
        <v>37</v>
      </c>
      <c r="GK108" s="44">
        <v>3065</v>
      </c>
      <c r="GL108" s="44" t="s">
        <v>37</v>
      </c>
      <c r="GN108" s="44" t="s">
        <v>37</v>
      </c>
      <c r="GP108" s="44" t="s">
        <v>37</v>
      </c>
      <c r="GQ108" s="44">
        <v>883</v>
      </c>
      <c r="GR108" s="44" t="s">
        <v>37</v>
      </c>
      <c r="GT108" s="44" t="s">
        <v>37</v>
      </c>
      <c r="GU108" s="44">
        <v>937</v>
      </c>
      <c r="GV108" s="44" t="s">
        <v>37</v>
      </c>
      <c r="GW108" s="44">
        <v>230</v>
      </c>
      <c r="GX108" s="44" t="s">
        <v>37</v>
      </c>
      <c r="GY108" s="44">
        <v>5162</v>
      </c>
      <c r="GZ108" s="44" t="s">
        <v>37</v>
      </c>
      <c r="HA108" s="44">
        <v>873</v>
      </c>
      <c r="HB108" s="44" t="s">
        <v>37</v>
      </c>
      <c r="HD108" s="44" t="s">
        <v>37</v>
      </c>
      <c r="HF108" s="44" t="s">
        <v>37</v>
      </c>
      <c r="HG108" s="44">
        <v>233554</v>
      </c>
      <c r="HH108" s="44" t="s">
        <v>37</v>
      </c>
      <c r="HJ108" s="44" t="s">
        <v>37</v>
      </c>
      <c r="HK108" s="44">
        <v>233554</v>
      </c>
      <c r="HL108" s="44" t="s">
        <v>37</v>
      </c>
    </row>
    <row r="109" spans="1:220">
      <c r="A109" s="150" t="s">
        <v>411</v>
      </c>
      <c r="B109" s="44">
        <v>3170</v>
      </c>
      <c r="C109" s="44" t="s">
        <v>132</v>
      </c>
      <c r="D109" s="44" t="s">
        <v>37</v>
      </c>
      <c r="E109" s="44">
        <v>29980</v>
      </c>
      <c r="F109" s="44" t="s">
        <v>37</v>
      </c>
      <c r="H109" s="44" t="s">
        <v>37</v>
      </c>
      <c r="J109" s="44" t="s">
        <v>37</v>
      </c>
      <c r="L109" s="48" t="s">
        <v>37</v>
      </c>
      <c r="M109" s="50"/>
      <c r="N109" s="48" t="s">
        <v>37</v>
      </c>
      <c r="O109" s="50"/>
      <c r="P109" s="48" t="s">
        <v>37</v>
      </c>
      <c r="Q109" s="50"/>
      <c r="R109" s="48" t="s">
        <v>37</v>
      </c>
      <c r="S109" s="50"/>
      <c r="T109" s="48" t="s">
        <v>37</v>
      </c>
      <c r="V109" s="44" t="s">
        <v>37</v>
      </c>
      <c r="X109" s="44" t="s">
        <v>37</v>
      </c>
      <c r="Z109" s="44" t="s">
        <v>37</v>
      </c>
      <c r="AA109" s="44">
        <v>7299</v>
      </c>
      <c r="AB109" s="44" t="s">
        <v>37</v>
      </c>
      <c r="AC109" s="44">
        <v>766</v>
      </c>
      <c r="AD109" s="44" t="s">
        <v>37</v>
      </c>
      <c r="AF109" s="44" t="s">
        <v>37</v>
      </c>
      <c r="AH109" s="44" t="s">
        <v>37</v>
      </c>
      <c r="AJ109" s="44" t="s">
        <v>37</v>
      </c>
      <c r="AL109" s="44" t="s">
        <v>37</v>
      </c>
      <c r="AM109" s="44">
        <v>81276</v>
      </c>
      <c r="AN109" s="44" t="s">
        <v>37</v>
      </c>
      <c r="AP109" s="44" t="s">
        <v>37</v>
      </c>
      <c r="AR109" s="44" t="s">
        <v>37</v>
      </c>
      <c r="AT109" s="44" t="s">
        <v>37</v>
      </c>
      <c r="AV109" s="44" t="s">
        <v>37</v>
      </c>
      <c r="AX109" s="44" t="s">
        <v>37</v>
      </c>
      <c r="AY109" s="44">
        <v>427</v>
      </c>
      <c r="AZ109" s="44" t="s">
        <v>37</v>
      </c>
      <c r="BB109" s="44" t="s">
        <v>37</v>
      </c>
      <c r="BD109" s="44" t="s">
        <v>37</v>
      </c>
      <c r="BF109" s="44" t="s">
        <v>37</v>
      </c>
      <c r="BH109" s="44" t="s">
        <v>37</v>
      </c>
      <c r="BJ109" s="44" t="s">
        <v>37</v>
      </c>
      <c r="BL109" s="44" t="s">
        <v>37</v>
      </c>
      <c r="BN109" s="44" t="s">
        <v>37</v>
      </c>
      <c r="BP109" s="44" t="s">
        <v>37</v>
      </c>
      <c r="BR109" s="44" t="s">
        <v>37</v>
      </c>
      <c r="BT109" s="44" t="s">
        <v>37</v>
      </c>
      <c r="BU109" s="44">
        <v>6964</v>
      </c>
      <c r="BV109" s="44" t="s">
        <v>37</v>
      </c>
      <c r="BX109" s="44" t="s">
        <v>37</v>
      </c>
      <c r="BZ109" s="44" t="s">
        <v>37</v>
      </c>
      <c r="CB109" s="44" t="s">
        <v>37</v>
      </c>
      <c r="CD109" s="44" t="s">
        <v>37</v>
      </c>
      <c r="CE109" s="44">
        <v>7082</v>
      </c>
      <c r="CF109" s="44" t="s">
        <v>37</v>
      </c>
      <c r="CH109" s="44" t="s">
        <v>37</v>
      </c>
      <c r="CJ109" s="44" t="s">
        <v>37</v>
      </c>
      <c r="CL109" s="44" t="s">
        <v>37</v>
      </c>
      <c r="CM109" s="44">
        <v>17226</v>
      </c>
      <c r="CN109" s="44" t="s">
        <v>37</v>
      </c>
      <c r="CP109" s="44" t="s">
        <v>37</v>
      </c>
      <c r="CR109" s="44" t="s">
        <v>37</v>
      </c>
      <c r="CT109" s="44" t="s">
        <v>37</v>
      </c>
      <c r="CU109" s="44">
        <v>287837</v>
      </c>
      <c r="CV109" s="44" t="s">
        <v>37</v>
      </c>
      <c r="CX109" s="44" t="s">
        <v>37</v>
      </c>
      <c r="CZ109" s="44" t="s">
        <v>37</v>
      </c>
      <c r="DB109" s="44" t="s">
        <v>37</v>
      </c>
      <c r="DD109" s="44" t="s">
        <v>37</v>
      </c>
      <c r="DE109" s="44">
        <v>4850</v>
      </c>
      <c r="DF109" s="44" t="s">
        <v>37</v>
      </c>
      <c r="DH109" s="44" t="s">
        <v>37</v>
      </c>
      <c r="DJ109" s="44" t="s">
        <v>37</v>
      </c>
      <c r="DL109" s="44" t="s">
        <v>37</v>
      </c>
      <c r="DN109" s="44" t="s">
        <v>37</v>
      </c>
      <c r="DO109" s="44">
        <v>7712</v>
      </c>
      <c r="DP109" s="44" t="s">
        <v>37</v>
      </c>
      <c r="DR109" s="44" t="s">
        <v>37</v>
      </c>
      <c r="DT109" s="44" t="s">
        <v>37</v>
      </c>
      <c r="DV109" s="44" t="s">
        <v>37</v>
      </c>
      <c r="DX109" s="44" t="s">
        <v>37</v>
      </c>
      <c r="DZ109" s="44" t="s">
        <v>37</v>
      </c>
      <c r="EB109" s="44" t="s">
        <v>37</v>
      </c>
      <c r="ED109" s="44" t="s">
        <v>37</v>
      </c>
      <c r="EF109" s="44" t="s">
        <v>37</v>
      </c>
      <c r="EH109" s="44" t="s">
        <v>37</v>
      </c>
      <c r="EJ109" s="44" t="s">
        <v>37</v>
      </c>
      <c r="EL109" s="44" t="s">
        <v>37</v>
      </c>
      <c r="EN109" s="44" t="s">
        <v>37</v>
      </c>
      <c r="EP109" s="44" t="s">
        <v>37</v>
      </c>
      <c r="ER109" s="44" t="s">
        <v>37</v>
      </c>
      <c r="ET109" s="44" t="s">
        <v>37</v>
      </c>
      <c r="EV109" s="44" t="s">
        <v>37</v>
      </c>
      <c r="EW109" s="44">
        <v>47587</v>
      </c>
      <c r="EX109" s="44" t="s">
        <v>37</v>
      </c>
      <c r="EZ109" s="44" t="s">
        <v>37</v>
      </c>
      <c r="FA109" s="44">
        <v>15153</v>
      </c>
      <c r="FB109" s="44" t="s">
        <v>37</v>
      </c>
      <c r="FD109" s="44" t="s">
        <v>37</v>
      </c>
      <c r="FF109" s="44" t="s">
        <v>37</v>
      </c>
      <c r="FH109" s="44" t="s">
        <v>37</v>
      </c>
      <c r="FJ109" s="44" t="s">
        <v>37</v>
      </c>
      <c r="FL109" s="44" t="s">
        <v>37</v>
      </c>
      <c r="FN109" s="44" t="s">
        <v>37</v>
      </c>
      <c r="FO109" s="44">
        <v>9540</v>
      </c>
      <c r="FP109" s="44" t="s">
        <v>37</v>
      </c>
      <c r="FR109" s="44" t="s">
        <v>37</v>
      </c>
      <c r="FS109" s="44">
        <v>39670</v>
      </c>
      <c r="FT109" s="44" t="s">
        <v>37</v>
      </c>
      <c r="FU109" s="44">
        <v>13751</v>
      </c>
      <c r="FV109" s="44" t="s">
        <v>37</v>
      </c>
      <c r="FW109" s="44">
        <v>13091</v>
      </c>
      <c r="FX109" s="44" t="s">
        <v>37</v>
      </c>
      <c r="FY109" s="44">
        <v>28808</v>
      </c>
      <c r="FZ109" s="44" t="s">
        <v>37</v>
      </c>
      <c r="GB109" s="44" t="s">
        <v>37</v>
      </c>
      <c r="GD109" s="44" t="s">
        <v>37</v>
      </c>
      <c r="GF109" s="44" t="s">
        <v>37</v>
      </c>
      <c r="GH109" s="44" t="s">
        <v>37</v>
      </c>
      <c r="GJ109" s="44" t="s">
        <v>37</v>
      </c>
      <c r="GK109" s="44">
        <v>40805</v>
      </c>
      <c r="GL109" s="44" t="s">
        <v>37</v>
      </c>
      <c r="GN109" s="44" t="s">
        <v>37</v>
      </c>
      <c r="GP109" s="44" t="s">
        <v>37</v>
      </c>
      <c r="GR109" s="44" t="s">
        <v>37</v>
      </c>
      <c r="GT109" s="44" t="s">
        <v>37</v>
      </c>
      <c r="GV109" s="44" t="s">
        <v>37</v>
      </c>
      <c r="GX109" s="44" t="s">
        <v>37</v>
      </c>
      <c r="GZ109" s="44" t="s">
        <v>37</v>
      </c>
      <c r="HB109" s="44" t="s">
        <v>37</v>
      </c>
      <c r="HD109" s="44" t="s">
        <v>37</v>
      </c>
      <c r="HF109" s="44" t="s">
        <v>37</v>
      </c>
      <c r="HG109" s="44">
        <v>659824</v>
      </c>
      <c r="HH109" s="44" t="s">
        <v>37</v>
      </c>
      <c r="HJ109" s="44" t="s">
        <v>37</v>
      </c>
      <c r="HK109" s="44">
        <v>659824</v>
      </c>
      <c r="HL109" s="44" t="s">
        <v>37</v>
      </c>
    </row>
    <row r="110" spans="1:220">
      <c r="A110" s="150" t="s">
        <v>411</v>
      </c>
      <c r="B110" s="44">
        <v>3172</v>
      </c>
      <c r="C110" s="44" t="s">
        <v>133</v>
      </c>
      <c r="D110" s="44" t="s">
        <v>37</v>
      </c>
      <c r="E110" s="44">
        <v>261085</v>
      </c>
      <c r="F110" s="44" t="s">
        <v>37</v>
      </c>
      <c r="H110" s="44" t="s">
        <v>37</v>
      </c>
      <c r="I110" s="44">
        <v>53761</v>
      </c>
      <c r="J110" s="44" t="s">
        <v>37</v>
      </c>
      <c r="L110" s="48" t="s">
        <v>37</v>
      </c>
      <c r="M110" s="50"/>
      <c r="N110" s="48" t="s">
        <v>37</v>
      </c>
      <c r="O110" s="50"/>
      <c r="P110" s="48" t="s">
        <v>37</v>
      </c>
      <c r="Q110" s="50"/>
      <c r="R110" s="48" t="s">
        <v>37</v>
      </c>
      <c r="S110" s="50"/>
      <c r="T110" s="48" t="s">
        <v>37</v>
      </c>
      <c r="V110" s="44" t="s">
        <v>37</v>
      </c>
      <c r="X110" s="44" t="s">
        <v>37</v>
      </c>
      <c r="Z110" s="44" t="s">
        <v>37</v>
      </c>
      <c r="AA110" s="44">
        <v>24883</v>
      </c>
      <c r="AB110" s="44" t="s">
        <v>37</v>
      </c>
      <c r="AC110" s="44">
        <v>31934</v>
      </c>
      <c r="AD110" s="44" t="s">
        <v>37</v>
      </c>
      <c r="AE110" s="44">
        <v>11890</v>
      </c>
      <c r="AF110" s="44" t="s">
        <v>37</v>
      </c>
      <c r="AG110" s="44">
        <v>8483</v>
      </c>
      <c r="AH110" s="44" t="s">
        <v>37</v>
      </c>
      <c r="AJ110" s="44" t="s">
        <v>37</v>
      </c>
      <c r="AL110" s="44" t="s">
        <v>37</v>
      </c>
      <c r="AM110" s="44">
        <v>108562</v>
      </c>
      <c r="AN110" s="44" t="s">
        <v>37</v>
      </c>
      <c r="AP110" s="44" t="s">
        <v>37</v>
      </c>
      <c r="AR110" s="44" t="s">
        <v>37</v>
      </c>
      <c r="AT110" s="44" t="s">
        <v>37</v>
      </c>
      <c r="AU110" s="44">
        <v>420241</v>
      </c>
      <c r="AV110" s="44" t="s">
        <v>37</v>
      </c>
      <c r="AW110" s="44">
        <v>106211</v>
      </c>
      <c r="AX110" s="44" t="s">
        <v>37</v>
      </c>
      <c r="AY110" s="44">
        <v>130435</v>
      </c>
      <c r="AZ110" s="44" t="s">
        <v>37</v>
      </c>
      <c r="BB110" s="44" t="s">
        <v>37</v>
      </c>
      <c r="BD110" s="44" t="s">
        <v>37</v>
      </c>
      <c r="BF110" s="44" t="s">
        <v>37</v>
      </c>
      <c r="BH110" s="44" t="s">
        <v>37</v>
      </c>
      <c r="BJ110" s="44" t="s">
        <v>37</v>
      </c>
      <c r="BK110" s="44">
        <v>72656</v>
      </c>
      <c r="BL110" s="44" t="s">
        <v>37</v>
      </c>
      <c r="BN110" s="44" t="s">
        <v>37</v>
      </c>
      <c r="BP110" s="44" t="s">
        <v>37</v>
      </c>
      <c r="BR110" s="44" t="s">
        <v>37</v>
      </c>
      <c r="BT110" s="44" t="s">
        <v>37</v>
      </c>
      <c r="BV110" s="44" t="s">
        <v>37</v>
      </c>
      <c r="BX110" s="44" t="s">
        <v>37</v>
      </c>
      <c r="BZ110" s="44" t="s">
        <v>37</v>
      </c>
      <c r="CB110" s="44" t="s">
        <v>37</v>
      </c>
      <c r="CD110" s="44" t="s">
        <v>37</v>
      </c>
      <c r="CE110" s="44">
        <v>215735</v>
      </c>
      <c r="CF110" s="44" t="s">
        <v>37</v>
      </c>
      <c r="CG110" s="44">
        <v>235300</v>
      </c>
      <c r="CH110" s="44" t="s">
        <v>37</v>
      </c>
      <c r="CJ110" s="44" t="s">
        <v>37</v>
      </c>
      <c r="CK110" s="44">
        <v>69040</v>
      </c>
      <c r="CL110" s="44" t="s">
        <v>37</v>
      </c>
      <c r="CM110" s="44">
        <v>220644</v>
      </c>
      <c r="CN110" s="44" t="s">
        <v>37</v>
      </c>
      <c r="CP110" s="44" t="s">
        <v>37</v>
      </c>
      <c r="CR110" s="44" t="s">
        <v>37</v>
      </c>
      <c r="CS110" s="44">
        <v>255009</v>
      </c>
      <c r="CT110" s="44" t="s">
        <v>37</v>
      </c>
      <c r="CU110" s="44">
        <v>810110</v>
      </c>
      <c r="CV110" s="44" t="s">
        <v>37</v>
      </c>
      <c r="CW110" s="44">
        <v>246323</v>
      </c>
      <c r="CX110" s="44" t="s">
        <v>37</v>
      </c>
      <c r="CY110" s="44">
        <v>18495</v>
      </c>
      <c r="CZ110" s="44" t="s">
        <v>37</v>
      </c>
      <c r="DA110" s="44">
        <v>10453</v>
      </c>
      <c r="DB110" s="44" t="s">
        <v>37</v>
      </c>
      <c r="DD110" s="44" t="s">
        <v>37</v>
      </c>
      <c r="DE110" s="44">
        <v>104361</v>
      </c>
      <c r="DF110" s="44" t="s">
        <v>37</v>
      </c>
      <c r="DG110" s="44">
        <v>5504</v>
      </c>
      <c r="DH110" s="44" t="s">
        <v>37</v>
      </c>
      <c r="DJ110" s="44" t="s">
        <v>37</v>
      </c>
      <c r="DL110" s="44" t="s">
        <v>37</v>
      </c>
      <c r="DM110" s="44">
        <v>119588</v>
      </c>
      <c r="DN110" s="44" t="s">
        <v>37</v>
      </c>
      <c r="DO110" s="44">
        <v>48212</v>
      </c>
      <c r="DP110" s="44" t="s">
        <v>37</v>
      </c>
      <c r="DQ110" s="44">
        <v>192359</v>
      </c>
      <c r="DR110" s="44" t="s">
        <v>37</v>
      </c>
      <c r="DT110" s="44" t="s">
        <v>37</v>
      </c>
      <c r="DV110" s="44" t="s">
        <v>37</v>
      </c>
      <c r="DW110" s="44">
        <v>263256</v>
      </c>
      <c r="DX110" s="44" t="s">
        <v>37</v>
      </c>
      <c r="DY110" s="44">
        <v>3215</v>
      </c>
      <c r="DZ110" s="44" t="s">
        <v>37</v>
      </c>
      <c r="EB110" s="44" t="s">
        <v>37</v>
      </c>
      <c r="EC110" s="44">
        <v>101190</v>
      </c>
      <c r="ED110" s="44" t="s">
        <v>37</v>
      </c>
      <c r="EF110" s="44" t="s">
        <v>37</v>
      </c>
      <c r="EH110" s="44" t="s">
        <v>37</v>
      </c>
      <c r="EJ110" s="44" t="s">
        <v>37</v>
      </c>
      <c r="EK110" s="44">
        <v>38956</v>
      </c>
      <c r="EL110" s="44" t="s">
        <v>37</v>
      </c>
      <c r="EM110" s="44">
        <v>25072</v>
      </c>
      <c r="EN110" s="44" t="s">
        <v>37</v>
      </c>
      <c r="EP110" s="44" t="s">
        <v>37</v>
      </c>
      <c r="ER110" s="44" t="s">
        <v>37</v>
      </c>
      <c r="ES110" s="44">
        <v>410225</v>
      </c>
      <c r="ET110" s="44" t="s">
        <v>37</v>
      </c>
      <c r="EU110" s="44">
        <v>22022</v>
      </c>
      <c r="EV110" s="44" t="s">
        <v>37</v>
      </c>
      <c r="EW110" s="44">
        <v>226055</v>
      </c>
      <c r="EX110" s="44" t="s">
        <v>37</v>
      </c>
      <c r="EZ110" s="44" t="s">
        <v>37</v>
      </c>
      <c r="FA110" s="44">
        <v>122626</v>
      </c>
      <c r="FB110" s="44" t="s">
        <v>37</v>
      </c>
      <c r="FC110" s="44">
        <v>84306</v>
      </c>
      <c r="FD110" s="44" t="s">
        <v>37</v>
      </c>
      <c r="FF110" s="44" t="s">
        <v>37</v>
      </c>
      <c r="FH110" s="44" t="s">
        <v>37</v>
      </c>
      <c r="FJ110" s="44" t="s">
        <v>37</v>
      </c>
      <c r="FK110" s="44">
        <v>368790</v>
      </c>
      <c r="FL110" s="44" t="s">
        <v>37</v>
      </c>
      <c r="FM110" s="44">
        <v>350926</v>
      </c>
      <c r="FN110" s="44" t="s">
        <v>37</v>
      </c>
      <c r="FO110" s="44">
        <v>32150</v>
      </c>
      <c r="FP110" s="44" t="s">
        <v>37</v>
      </c>
      <c r="FQ110" s="44">
        <v>66469</v>
      </c>
      <c r="FR110" s="44" t="s">
        <v>37</v>
      </c>
      <c r="FT110" s="44" t="s">
        <v>37</v>
      </c>
      <c r="FU110" s="44">
        <v>81567</v>
      </c>
      <c r="FV110" s="44" t="s">
        <v>37</v>
      </c>
      <c r="FW110" s="44">
        <v>31822</v>
      </c>
      <c r="FX110" s="44" t="s">
        <v>37</v>
      </c>
      <c r="FY110" s="44">
        <v>64924</v>
      </c>
      <c r="FZ110" s="44" t="s">
        <v>37</v>
      </c>
      <c r="GA110" s="44">
        <v>653296</v>
      </c>
      <c r="GB110" s="44" t="s">
        <v>37</v>
      </c>
      <c r="GD110" s="44" t="s">
        <v>37</v>
      </c>
      <c r="GF110" s="44" t="s">
        <v>37</v>
      </c>
      <c r="GH110" s="44" t="s">
        <v>37</v>
      </c>
      <c r="GJ110" s="44" t="s">
        <v>37</v>
      </c>
      <c r="GK110" s="44">
        <v>134700</v>
      </c>
      <c r="GL110" s="44" t="s">
        <v>37</v>
      </c>
      <c r="GN110" s="44" t="s">
        <v>37</v>
      </c>
      <c r="GP110" s="44" t="s">
        <v>37</v>
      </c>
      <c r="GR110" s="44" t="s">
        <v>37</v>
      </c>
      <c r="GS110" s="44">
        <v>32240</v>
      </c>
      <c r="GT110" s="44" t="s">
        <v>37</v>
      </c>
      <c r="GV110" s="44" t="s">
        <v>37</v>
      </c>
      <c r="GX110" s="44" t="s">
        <v>37</v>
      </c>
      <c r="GZ110" s="44" t="s">
        <v>37</v>
      </c>
      <c r="HA110" s="44">
        <v>47748</v>
      </c>
      <c r="HB110" s="44" t="s">
        <v>37</v>
      </c>
      <c r="HD110" s="44" t="s">
        <v>37</v>
      </c>
      <c r="HF110" s="44" t="s">
        <v>37</v>
      </c>
      <c r="HG110" s="44">
        <v>6942829</v>
      </c>
      <c r="HH110" s="44" t="s">
        <v>37</v>
      </c>
      <c r="HJ110" s="44" t="s">
        <v>37</v>
      </c>
      <c r="HK110" s="44">
        <v>6942829</v>
      </c>
      <c r="HL110" s="44" t="s">
        <v>37</v>
      </c>
    </row>
    <row r="111" spans="1:220">
      <c r="A111" s="150" t="s">
        <v>411</v>
      </c>
      <c r="B111" s="44">
        <v>3174</v>
      </c>
      <c r="C111" s="44" t="s">
        <v>134</v>
      </c>
      <c r="D111" s="44" t="s">
        <v>37</v>
      </c>
      <c r="F111" s="44" t="s">
        <v>37</v>
      </c>
      <c r="H111" s="44" t="s">
        <v>37</v>
      </c>
      <c r="J111" s="44" t="s">
        <v>37</v>
      </c>
      <c r="L111" s="48" t="s">
        <v>37</v>
      </c>
      <c r="M111" s="50"/>
      <c r="N111" s="48" t="s">
        <v>37</v>
      </c>
      <c r="O111" s="50"/>
      <c r="P111" s="48" t="s">
        <v>37</v>
      </c>
      <c r="Q111" s="50"/>
      <c r="R111" s="48" t="s">
        <v>37</v>
      </c>
      <c r="S111" s="50"/>
      <c r="T111" s="48" t="s">
        <v>37</v>
      </c>
      <c r="V111" s="44" t="s">
        <v>37</v>
      </c>
      <c r="X111" s="44" t="s">
        <v>37</v>
      </c>
      <c r="Z111" s="44" t="s">
        <v>37</v>
      </c>
      <c r="AB111" s="44" t="s">
        <v>37</v>
      </c>
      <c r="AD111" s="44" t="s">
        <v>37</v>
      </c>
      <c r="AF111" s="44" t="s">
        <v>37</v>
      </c>
      <c r="AH111" s="44" t="s">
        <v>37</v>
      </c>
      <c r="AJ111" s="44" t="s">
        <v>37</v>
      </c>
      <c r="AL111" s="44" t="s">
        <v>37</v>
      </c>
      <c r="AN111" s="44" t="s">
        <v>37</v>
      </c>
      <c r="AP111" s="44" t="s">
        <v>37</v>
      </c>
      <c r="AR111" s="44" t="s">
        <v>37</v>
      </c>
      <c r="AT111" s="44" t="s">
        <v>37</v>
      </c>
      <c r="AV111" s="44" t="s">
        <v>37</v>
      </c>
      <c r="AX111" s="44" t="s">
        <v>37</v>
      </c>
      <c r="AZ111" s="44" t="s">
        <v>37</v>
      </c>
      <c r="BB111" s="44" t="s">
        <v>37</v>
      </c>
      <c r="BD111" s="44" t="s">
        <v>37</v>
      </c>
      <c r="BF111" s="44" t="s">
        <v>37</v>
      </c>
      <c r="BH111" s="44" t="s">
        <v>37</v>
      </c>
      <c r="BJ111" s="44" t="s">
        <v>37</v>
      </c>
      <c r="BL111" s="44" t="s">
        <v>37</v>
      </c>
      <c r="BN111" s="44" t="s">
        <v>37</v>
      </c>
      <c r="BP111" s="44" t="s">
        <v>37</v>
      </c>
      <c r="BR111" s="44" t="s">
        <v>37</v>
      </c>
      <c r="BT111" s="44" t="s">
        <v>37</v>
      </c>
      <c r="BV111" s="44" t="s">
        <v>37</v>
      </c>
      <c r="BX111" s="44" t="s">
        <v>37</v>
      </c>
      <c r="BZ111" s="44" t="s">
        <v>37</v>
      </c>
      <c r="CB111" s="44" t="s">
        <v>37</v>
      </c>
      <c r="CD111" s="44" t="s">
        <v>37</v>
      </c>
      <c r="CF111" s="44" t="s">
        <v>37</v>
      </c>
      <c r="CH111" s="44" t="s">
        <v>37</v>
      </c>
      <c r="CJ111" s="44" t="s">
        <v>37</v>
      </c>
      <c r="CL111" s="44" t="s">
        <v>37</v>
      </c>
      <c r="CN111" s="44" t="s">
        <v>37</v>
      </c>
      <c r="CP111" s="44" t="s">
        <v>37</v>
      </c>
      <c r="CR111" s="44" t="s">
        <v>37</v>
      </c>
      <c r="CT111" s="44" t="s">
        <v>37</v>
      </c>
      <c r="CV111" s="44" t="s">
        <v>37</v>
      </c>
      <c r="CX111" s="44" t="s">
        <v>37</v>
      </c>
      <c r="CZ111" s="44" t="s">
        <v>37</v>
      </c>
      <c r="DB111" s="44" t="s">
        <v>37</v>
      </c>
      <c r="DD111" s="44" t="s">
        <v>37</v>
      </c>
      <c r="DF111" s="44" t="s">
        <v>37</v>
      </c>
      <c r="DH111" s="44" t="s">
        <v>37</v>
      </c>
      <c r="DJ111" s="44" t="s">
        <v>37</v>
      </c>
      <c r="DL111" s="44" t="s">
        <v>37</v>
      </c>
      <c r="DN111" s="44" t="s">
        <v>37</v>
      </c>
      <c r="DP111" s="44" t="s">
        <v>37</v>
      </c>
      <c r="DR111" s="44" t="s">
        <v>37</v>
      </c>
      <c r="DT111" s="44" t="s">
        <v>37</v>
      </c>
      <c r="DV111" s="44" t="s">
        <v>37</v>
      </c>
      <c r="DX111" s="44" t="s">
        <v>37</v>
      </c>
      <c r="DZ111" s="44" t="s">
        <v>37</v>
      </c>
      <c r="EB111" s="44" t="s">
        <v>37</v>
      </c>
      <c r="ED111" s="44" t="s">
        <v>37</v>
      </c>
      <c r="EF111" s="44" t="s">
        <v>37</v>
      </c>
      <c r="EH111" s="44" t="s">
        <v>37</v>
      </c>
      <c r="EJ111" s="44" t="s">
        <v>37</v>
      </c>
      <c r="EL111" s="44" t="s">
        <v>37</v>
      </c>
      <c r="EN111" s="44" t="s">
        <v>37</v>
      </c>
      <c r="EP111" s="44" t="s">
        <v>37</v>
      </c>
      <c r="ER111" s="44" t="s">
        <v>37</v>
      </c>
      <c r="ET111" s="44" t="s">
        <v>37</v>
      </c>
      <c r="EV111" s="44" t="s">
        <v>37</v>
      </c>
      <c r="EX111" s="44" t="s">
        <v>37</v>
      </c>
      <c r="EZ111" s="44" t="s">
        <v>37</v>
      </c>
      <c r="FB111" s="44" t="s">
        <v>37</v>
      </c>
      <c r="FD111" s="44" t="s">
        <v>37</v>
      </c>
      <c r="FF111" s="44" t="s">
        <v>37</v>
      </c>
      <c r="FH111" s="44" t="s">
        <v>37</v>
      </c>
      <c r="FJ111" s="44" t="s">
        <v>37</v>
      </c>
      <c r="FL111" s="44" t="s">
        <v>37</v>
      </c>
      <c r="FN111" s="44" t="s">
        <v>37</v>
      </c>
      <c r="FP111" s="44" t="s">
        <v>37</v>
      </c>
      <c r="FR111" s="44" t="s">
        <v>37</v>
      </c>
      <c r="FT111" s="44" t="s">
        <v>37</v>
      </c>
      <c r="FV111" s="44" t="s">
        <v>37</v>
      </c>
      <c r="FX111" s="44" t="s">
        <v>37</v>
      </c>
      <c r="FZ111" s="44" t="s">
        <v>37</v>
      </c>
      <c r="GB111" s="44" t="s">
        <v>37</v>
      </c>
      <c r="GD111" s="44" t="s">
        <v>37</v>
      </c>
      <c r="GF111" s="44" t="s">
        <v>37</v>
      </c>
      <c r="GH111" s="44" t="s">
        <v>37</v>
      </c>
      <c r="GJ111" s="44" t="s">
        <v>37</v>
      </c>
      <c r="GL111" s="44" t="s">
        <v>37</v>
      </c>
      <c r="GN111" s="44" t="s">
        <v>37</v>
      </c>
      <c r="GP111" s="44" t="s">
        <v>37</v>
      </c>
      <c r="GR111" s="44" t="s">
        <v>37</v>
      </c>
      <c r="GT111" s="44" t="s">
        <v>37</v>
      </c>
      <c r="GV111" s="44" t="s">
        <v>37</v>
      </c>
      <c r="GX111" s="44" t="s">
        <v>37</v>
      </c>
      <c r="GZ111" s="44" t="s">
        <v>37</v>
      </c>
      <c r="HB111" s="44" t="s">
        <v>37</v>
      </c>
      <c r="HD111" s="44" t="s">
        <v>37</v>
      </c>
      <c r="HF111" s="44" t="s">
        <v>37</v>
      </c>
      <c r="HH111" s="44" t="s">
        <v>37</v>
      </c>
      <c r="HJ111" s="44" t="s">
        <v>37</v>
      </c>
      <c r="HL111" s="44" t="s">
        <v>37</v>
      </c>
    </row>
    <row r="112" spans="1:220">
      <c r="A112" s="150" t="s">
        <v>411</v>
      </c>
      <c r="B112" s="44">
        <v>3180</v>
      </c>
      <c r="C112" s="44" t="s">
        <v>135</v>
      </c>
      <c r="D112" s="44" t="s">
        <v>37</v>
      </c>
      <c r="E112" s="44">
        <v>2667801</v>
      </c>
      <c r="F112" s="44" t="s">
        <v>37</v>
      </c>
      <c r="G112" s="44">
        <v>16820164</v>
      </c>
      <c r="H112" s="44" t="s">
        <v>37</v>
      </c>
      <c r="I112" s="44">
        <v>1229404</v>
      </c>
      <c r="J112" s="44" t="s">
        <v>37</v>
      </c>
      <c r="L112" s="48" t="s">
        <v>37</v>
      </c>
      <c r="M112" s="51">
        <v>6021648</v>
      </c>
      <c r="N112" s="48" t="s">
        <v>37</v>
      </c>
      <c r="O112" s="51">
        <v>2872461</v>
      </c>
      <c r="P112" s="48" t="s">
        <v>37</v>
      </c>
      <c r="Q112" s="51">
        <v>2213535</v>
      </c>
      <c r="R112" s="48" t="s">
        <v>37</v>
      </c>
      <c r="S112" s="51">
        <v>1555962</v>
      </c>
      <c r="T112" s="48" t="s">
        <v>37</v>
      </c>
      <c r="U112" s="44">
        <v>8248525</v>
      </c>
      <c r="V112" s="44" t="s">
        <v>37</v>
      </c>
      <c r="X112" s="44" t="s">
        <v>37</v>
      </c>
      <c r="Z112" s="44" t="s">
        <v>37</v>
      </c>
      <c r="AA112" s="44">
        <v>1325202</v>
      </c>
      <c r="AB112" s="44" t="s">
        <v>37</v>
      </c>
      <c r="AC112" s="44">
        <v>760367</v>
      </c>
      <c r="AD112" s="44" t="s">
        <v>37</v>
      </c>
      <c r="AE112" s="44">
        <v>751865</v>
      </c>
      <c r="AF112" s="44" t="s">
        <v>37</v>
      </c>
      <c r="AG112" s="44">
        <v>749259</v>
      </c>
      <c r="AH112" s="44" t="s">
        <v>37</v>
      </c>
      <c r="AI112" s="44">
        <v>2048883</v>
      </c>
      <c r="AJ112" s="44" t="s">
        <v>37</v>
      </c>
      <c r="AL112" s="44" t="s">
        <v>37</v>
      </c>
      <c r="AM112" s="44">
        <v>178357</v>
      </c>
      <c r="AN112" s="44" t="s">
        <v>37</v>
      </c>
      <c r="AP112" s="44" t="s">
        <v>37</v>
      </c>
      <c r="AQ112" s="44">
        <v>19326294</v>
      </c>
      <c r="AR112" s="44" t="s">
        <v>37</v>
      </c>
      <c r="AS112" s="44">
        <v>963294</v>
      </c>
      <c r="AT112" s="44" t="s">
        <v>37</v>
      </c>
      <c r="AU112" s="44">
        <v>13710198</v>
      </c>
      <c r="AV112" s="44" t="s">
        <v>37</v>
      </c>
      <c r="AW112" s="44">
        <v>6256085</v>
      </c>
      <c r="AX112" s="44" t="s">
        <v>37</v>
      </c>
      <c r="AY112" s="44">
        <v>4233474</v>
      </c>
      <c r="AZ112" s="44" t="s">
        <v>37</v>
      </c>
      <c r="BA112" s="44">
        <v>5987554</v>
      </c>
      <c r="BB112" s="44" t="s">
        <v>37</v>
      </c>
      <c r="BC112" s="44">
        <v>694935</v>
      </c>
      <c r="BD112" s="44" t="s">
        <v>37</v>
      </c>
      <c r="BE112" s="44">
        <v>2508886</v>
      </c>
      <c r="BF112" s="44" t="s">
        <v>37</v>
      </c>
      <c r="BG112" s="44">
        <v>1052094</v>
      </c>
      <c r="BH112" s="44" t="s">
        <v>37</v>
      </c>
      <c r="BJ112" s="44" t="s">
        <v>37</v>
      </c>
      <c r="BK112" s="44">
        <v>4335110</v>
      </c>
      <c r="BL112" s="44" t="s">
        <v>37</v>
      </c>
      <c r="BM112" s="44">
        <v>8190645</v>
      </c>
      <c r="BN112" s="44" t="s">
        <v>37</v>
      </c>
      <c r="BP112" s="44" t="s">
        <v>37</v>
      </c>
      <c r="BQ112" s="44">
        <v>674005</v>
      </c>
      <c r="BR112" s="44" t="s">
        <v>37</v>
      </c>
      <c r="BS112" s="44">
        <v>2755496</v>
      </c>
      <c r="BT112" s="44" t="s">
        <v>37</v>
      </c>
      <c r="BU112" s="44">
        <v>1227344</v>
      </c>
      <c r="BV112" s="44" t="s">
        <v>37</v>
      </c>
      <c r="BX112" s="44" t="s">
        <v>37</v>
      </c>
      <c r="BY112" s="44">
        <v>13915367</v>
      </c>
      <c r="BZ112" s="44" t="s">
        <v>37</v>
      </c>
      <c r="CA112" s="44">
        <v>1522279</v>
      </c>
      <c r="CB112" s="44" t="s">
        <v>37</v>
      </c>
      <c r="CD112" s="44" t="s">
        <v>37</v>
      </c>
      <c r="CE112" s="44">
        <v>3064917</v>
      </c>
      <c r="CF112" s="44" t="s">
        <v>37</v>
      </c>
      <c r="CG112" s="44">
        <v>1844829</v>
      </c>
      <c r="CH112" s="44" t="s">
        <v>37</v>
      </c>
      <c r="CI112" s="44">
        <v>10168308</v>
      </c>
      <c r="CJ112" s="44" t="s">
        <v>37</v>
      </c>
      <c r="CK112" s="44">
        <v>948439</v>
      </c>
      <c r="CL112" s="44" t="s">
        <v>37</v>
      </c>
      <c r="CM112" s="44">
        <v>2972558</v>
      </c>
      <c r="CN112" s="44" t="s">
        <v>37</v>
      </c>
      <c r="CO112" s="44">
        <v>713011</v>
      </c>
      <c r="CP112" s="44" t="s">
        <v>37</v>
      </c>
      <c r="CQ112" s="44">
        <v>1193797</v>
      </c>
      <c r="CR112" s="44" t="s">
        <v>37</v>
      </c>
      <c r="CS112" s="44">
        <v>4765447</v>
      </c>
      <c r="CT112" s="44" t="s">
        <v>37</v>
      </c>
      <c r="CU112" s="44">
        <v>40910830</v>
      </c>
      <c r="CV112" s="44" t="s">
        <v>37</v>
      </c>
      <c r="CW112" s="44">
        <v>6397073</v>
      </c>
      <c r="CX112" s="44" t="s">
        <v>37</v>
      </c>
      <c r="CY112" s="44">
        <v>917117</v>
      </c>
      <c r="CZ112" s="44" t="s">
        <v>37</v>
      </c>
      <c r="DA112" s="44">
        <v>808608</v>
      </c>
      <c r="DB112" s="44" t="s">
        <v>37</v>
      </c>
      <c r="DD112" s="44" t="s">
        <v>37</v>
      </c>
      <c r="DE112" s="44">
        <v>2123379</v>
      </c>
      <c r="DF112" s="44" t="s">
        <v>37</v>
      </c>
      <c r="DG112" s="44">
        <v>1068884</v>
      </c>
      <c r="DH112" s="44" t="s">
        <v>37</v>
      </c>
      <c r="DI112" s="44">
        <v>16778832</v>
      </c>
      <c r="DJ112" s="44" t="s">
        <v>37</v>
      </c>
      <c r="DK112" s="44">
        <v>1891968</v>
      </c>
      <c r="DL112" s="44" t="s">
        <v>37</v>
      </c>
      <c r="DM112" s="44">
        <v>7235535</v>
      </c>
      <c r="DN112" s="44" t="s">
        <v>37</v>
      </c>
      <c r="DO112" s="44">
        <v>8034389</v>
      </c>
      <c r="DP112" s="44" t="s">
        <v>37</v>
      </c>
      <c r="DQ112" s="44">
        <v>4310670</v>
      </c>
      <c r="DR112" s="44" t="s">
        <v>37</v>
      </c>
      <c r="DS112" s="44">
        <v>2523008</v>
      </c>
      <c r="DT112" s="44" t="s">
        <v>37</v>
      </c>
      <c r="DU112" s="44">
        <v>2065863</v>
      </c>
      <c r="DV112" s="44" t="s">
        <v>37</v>
      </c>
      <c r="DW112" s="44">
        <v>14003403</v>
      </c>
      <c r="DX112" s="44" t="s">
        <v>37</v>
      </c>
      <c r="DY112" s="44">
        <v>5803376</v>
      </c>
      <c r="DZ112" s="44" t="s">
        <v>37</v>
      </c>
      <c r="EA112" s="44">
        <v>1546513</v>
      </c>
      <c r="EB112" s="44" t="s">
        <v>37</v>
      </c>
      <c r="EC112" s="44">
        <v>2787380</v>
      </c>
      <c r="ED112" s="44" t="s">
        <v>37</v>
      </c>
      <c r="EE112" s="44">
        <v>11113435</v>
      </c>
      <c r="EF112" s="44" t="s">
        <v>37</v>
      </c>
      <c r="EG112" s="44">
        <v>466391</v>
      </c>
      <c r="EH112" s="44" t="s">
        <v>37</v>
      </c>
      <c r="EJ112" s="44" t="s">
        <v>37</v>
      </c>
      <c r="EK112" s="44">
        <v>2368868</v>
      </c>
      <c r="EL112" s="44" t="s">
        <v>37</v>
      </c>
      <c r="EM112" s="44">
        <v>1541749</v>
      </c>
      <c r="EN112" s="44" t="s">
        <v>37</v>
      </c>
      <c r="EO112" s="44">
        <v>703441</v>
      </c>
      <c r="EP112" s="44" t="s">
        <v>37</v>
      </c>
      <c r="ER112" s="44" t="s">
        <v>37</v>
      </c>
      <c r="ES112" s="44">
        <v>3706086</v>
      </c>
      <c r="ET112" s="44" t="s">
        <v>37</v>
      </c>
      <c r="EU112" s="44">
        <v>4249525</v>
      </c>
      <c r="EV112" s="44" t="s">
        <v>37</v>
      </c>
      <c r="EW112" s="44">
        <v>5388670</v>
      </c>
      <c r="EX112" s="44" t="s">
        <v>37</v>
      </c>
      <c r="EZ112" s="44" t="s">
        <v>37</v>
      </c>
      <c r="FA112" s="44">
        <v>2401573</v>
      </c>
      <c r="FB112" s="44" t="s">
        <v>37</v>
      </c>
      <c r="FC112" s="44">
        <v>3056678</v>
      </c>
      <c r="FD112" s="44" t="s">
        <v>37</v>
      </c>
      <c r="FE112" s="44">
        <v>4813856</v>
      </c>
      <c r="FF112" s="44" t="s">
        <v>37</v>
      </c>
      <c r="FH112" s="44" t="s">
        <v>37</v>
      </c>
      <c r="FI112" s="44">
        <v>10851436</v>
      </c>
      <c r="FJ112" s="44" t="s">
        <v>37</v>
      </c>
      <c r="FK112" s="44">
        <v>14531253</v>
      </c>
      <c r="FL112" s="44" t="s">
        <v>37</v>
      </c>
      <c r="FM112" s="44">
        <v>14867188</v>
      </c>
      <c r="FN112" s="44" t="s">
        <v>37</v>
      </c>
      <c r="FO112" s="44">
        <v>1544931</v>
      </c>
      <c r="FP112" s="44" t="s">
        <v>37</v>
      </c>
      <c r="FQ112" s="44">
        <v>3434108</v>
      </c>
      <c r="FR112" s="44" t="s">
        <v>37</v>
      </c>
      <c r="FS112" s="44">
        <v>6606868</v>
      </c>
      <c r="FT112" s="44" t="s">
        <v>37</v>
      </c>
      <c r="FU112" s="44">
        <v>2143224</v>
      </c>
      <c r="FV112" s="44" t="s">
        <v>37</v>
      </c>
      <c r="FW112" s="44">
        <v>2102850</v>
      </c>
      <c r="FX112" s="44" t="s">
        <v>37</v>
      </c>
      <c r="FY112" s="44">
        <v>3964831</v>
      </c>
      <c r="FZ112" s="44" t="s">
        <v>37</v>
      </c>
      <c r="GA112" s="44">
        <v>6215221</v>
      </c>
      <c r="GB112" s="44" t="s">
        <v>37</v>
      </c>
      <c r="GC112" s="44">
        <v>5267805</v>
      </c>
      <c r="GD112" s="44" t="s">
        <v>37</v>
      </c>
      <c r="GF112" s="44" t="s">
        <v>37</v>
      </c>
      <c r="GH112" s="44" t="s">
        <v>37</v>
      </c>
      <c r="GI112" s="44">
        <v>29036</v>
      </c>
      <c r="GJ112" s="44" t="s">
        <v>37</v>
      </c>
      <c r="GK112" s="44">
        <v>6792310</v>
      </c>
      <c r="GL112" s="44" t="s">
        <v>37</v>
      </c>
      <c r="GM112" s="44">
        <v>6439166</v>
      </c>
      <c r="GN112" s="44" t="s">
        <v>37</v>
      </c>
      <c r="GP112" s="44" t="s">
        <v>37</v>
      </c>
      <c r="GQ112" s="44">
        <v>3699609</v>
      </c>
      <c r="GR112" s="44" t="s">
        <v>37</v>
      </c>
      <c r="GS112" s="44">
        <v>4348525</v>
      </c>
      <c r="GT112" s="44" t="s">
        <v>37</v>
      </c>
      <c r="GU112" s="44">
        <v>3802845</v>
      </c>
      <c r="GV112" s="44" t="s">
        <v>37</v>
      </c>
      <c r="GW112" s="44">
        <v>2370730</v>
      </c>
      <c r="GX112" s="44" t="s">
        <v>37</v>
      </c>
      <c r="GY112" s="44">
        <v>11255293</v>
      </c>
      <c r="GZ112" s="44" t="s">
        <v>37</v>
      </c>
      <c r="HA112" s="44">
        <v>4682050</v>
      </c>
      <c r="HB112" s="44" t="s">
        <v>37</v>
      </c>
      <c r="HC112" s="44">
        <v>1077362</v>
      </c>
      <c r="HD112" s="44" t="s">
        <v>37</v>
      </c>
      <c r="HE112" s="44">
        <v>551805</v>
      </c>
      <c r="HF112" s="44" t="s">
        <v>37</v>
      </c>
      <c r="HG112" s="44">
        <v>434434178</v>
      </c>
      <c r="HH112" s="44" t="s">
        <v>37</v>
      </c>
      <c r="HI112" s="44">
        <v>1629167</v>
      </c>
      <c r="HJ112" s="44" t="s">
        <v>37</v>
      </c>
      <c r="HK112" s="44">
        <v>436063345</v>
      </c>
      <c r="HL112" s="44" t="s">
        <v>37</v>
      </c>
    </row>
    <row r="113" spans="1:220">
      <c r="A113" s="150" t="s">
        <v>411</v>
      </c>
      <c r="B113" s="44">
        <v>3181</v>
      </c>
      <c r="C113" s="44" t="s">
        <v>136</v>
      </c>
      <c r="D113" s="44" t="s">
        <v>37</v>
      </c>
      <c r="E113" s="44">
        <v>389035</v>
      </c>
      <c r="F113" s="44" t="s">
        <v>37</v>
      </c>
      <c r="G113" s="44">
        <v>2343349</v>
      </c>
      <c r="H113" s="44" t="s">
        <v>37</v>
      </c>
      <c r="I113" s="44">
        <v>217993</v>
      </c>
      <c r="J113" s="44" t="s">
        <v>37</v>
      </c>
      <c r="K113" s="44">
        <v>25908</v>
      </c>
      <c r="L113" s="48" t="s">
        <v>37</v>
      </c>
      <c r="M113" s="51">
        <v>677615</v>
      </c>
      <c r="N113" s="48" t="s">
        <v>37</v>
      </c>
      <c r="O113" s="51">
        <v>331400</v>
      </c>
      <c r="P113" s="48" t="s">
        <v>37</v>
      </c>
      <c r="Q113" s="50"/>
      <c r="R113" s="48" t="s">
        <v>37</v>
      </c>
      <c r="S113" s="51">
        <v>282183</v>
      </c>
      <c r="T113" s="48" t="s">
        <v>37</v>
      </c>
      <c r="U113" s="44">
        <v>1231768</v>
      </c>
      <c r="V113" s="44" t="s">
        <v>37</v>
      </c>
      <c r="X113" s="44" t="s">
        <v>37</v>
      </c>
      <c r="Y113" s="44">
        <v>43218</v>
      </c>
      <c r="Z113" s="44" t="s">
        <v>37</v>
      </c>
      <c r="AA113" s="44">
        <v>178251</v>
      </c>
      <c r="AB113" s="44" t="s">
        <v>37</v>
      </c>
      <c r="AC113" s="44">
        <v>142485</v>
      </c>
      <c r="AD113" s="44" t="s">
        <v>37</v>
      </c>
      <c r="AE113" s="44">
        <v>107586</v>
      </c>
      <c r="AF113" s="44" t="s">
        <v>37</v>
      </c>
      <c r="AG113" s="44">
        <v>101173</v>
      </c>
      <c r="AH113" s="44" t="s">
        <v>37</v>
      </c>
      <c r="AI113" s="44">
        <v>267894</v>
      </c>
      <c r="AJ113" s="44" t="s">
        <v>37</v>
      </c>
      <c r="AK113" s="44">
        <v>17135</v>
      </c>
      <c r="AL113" s="44" t="s">
        <v>37</v>
      </c>
      <c r="AM113" s="44">
        <v>1794289</v>
      </c>
      <c r="AN113" s="44" t="s">
        <v>37</v>
      </c>
      <c r="AO113" s="44">
        <v>43534</v>
      </c>
      <c r="AP113" s="44" t="s">
        <v>37</v>
      </c>
      <c r="AQ113" s="44">
        <v>2593034</v>
      </c>
      <c r="AR113" s="44" t="s">
        <v>37</v>
      </c>
      <c r="AS113" s="44">
        <v>242362</v>
      </c>
      <c r="AT113" s="44" t="s">
        <v>37</v>
      </c>
      <c r="AU113" s="44">
        <v>4450170</v>
      </c>
      <c r="AV113" s="44" t="s">
        <v>37</v>
      </c>
      <c r="AW113" s="44">
        <v>997731</v>
      </c>
      <c r="AX113" s="44" t="s">
        <v>37</v>
      </c>
      <c r="AY113" s="44">
        <v>646246</v>
      </c>
      <c r="AZ113" s="44" t="s">
        <v>37</v>
      </c>
      <c r="BA113" s="44">
        <v>746285</v>
      </c>
      <c r="BB113" s="44" t="s">
        <v>37</v>
      </c>
      <c r="BC113" s="44">
        <v>117898</v>
      </c>
      <c r="BD113" s="44" t="s">
        <v>37</v>
      </c>
      <c r="BE113" s="44">
        <v>282478</v>
      </c>
      <c r="BF113" s="44" t="s">
        <v>37</v>
      </c>
      <c r="BG113" s="44">
        <v>115789</v>
      </c>
      <c r="BH113" s="44" t="s">
        <v>37</v>
      </c>
      <c r="BJ113" s="44" t="s">
        <v>37</v>
      </c>
      <c r="BK113" s="44">
        <v>630896</v>
      </c>
      <c r="BL113" s="44" t="s">
        <v>37</v>
      </c>
      <c r="BM113" s="44">
        <v>1141025</v>
      </c>
      <c r="BN113" s="44" t="s">
        <v>37</v>
      </c>
      <c r="BO113" s="44">
        <v>579480</v>
      </c>
      <c r="BP113" s="44" t="s">
        <v>37</v>
      </c>
      <c r="BR113" s="44" t="s">
        <v>37</v>
      </c>
      <c r="BS113" s="44">
        <v>347688</v>
      </c>
      <c r="BT113" s="44" t="s">
        <v>37</v>
      </c>
      <c r="BV113" s="44" t="s">
        <v>37</v>
      </c>
      <c r="BX113" s="44" t="s">
        <v>37</v>
      </c>
      <c r="BY113" s="44">
        <v>1496045</v>
      </c>
      <c r="BZ113" s="44" t="s">
        <v>37</v>
      </c>
      <c r="CA113" s="44">
        <v>227880</v>
      </c>
      <c r="CB113" s="44" t="s">
        <v>37</v>
      </c>
      <c r="CC113" s="44">
        <v>30409</v>
      </c>
      <c r="CD113" s="44" t="s">
        <v>37</v>
      </c>
      <c r="CE113" s="44">
        <v>426222</v>
      </c>
      <c r="CF113" s="44" t="s">
        <v>37</v>
      </c>
      <c r="CG113" s="44">
        <v>522624</v>
      </c>
      <c r="CH113" s="44" t="s">
        <v>37</v>
      </c>
      <c r="CI113" s="44">
        <v>1602226</v>
      </c>
      <c r="CJ113" s="44" t="s">
        <v>37</v>
      </c>
      <c r="CK113" s="44">
        <v>120972</v>
      </c>
      <c r="CL113" s="44" t="s">
        <v>37</v>
      </c>
      <c r="CM113" s="44">
        <v>396204</v>
      </c>
      <c r="CN113" s="44" t="s">
        <v>37</v>
      </c>
      <c r="CO113" s="44">
        <v>121825</v>
      </c>
      <c r="CP113" s="44" t="s">
        <v>37</v>
      </c>
      <c r="CQ113" s="44">
        <v>164122</v>
      </c>
      <c r="CR113" s="44" t="s">
        <v>37</v>
      </c>
      <c r="CS113" s="44">
        <v>1180146</v>
      </c>
      <c r="CT113" s="44" t="s">
        <v>37</v>
      </c>
      <c r="CU113" s="44">
        <v>5636628</v>
      </c>
      <c r="CV113" s="44" t="s">
        <v>37</v>
      </c>
      <c r="CW113" s="44">
        <v>945586</v>
      </c>
      <c r="CX113" s="44" t="s">
        <v>37</v>
      </c>
      <c r="CY113" s="44">
        <v>122724</v>
      </c>
      <c r="CZ113" s="44" t="s">
        <v>37</v>
      </c>
      <c r="DA113" s="44">
        <v>163115</v>
      </c>
      <c r="DB113" s="44" t="s">
        <v>37</v>
      </c>
      <c r="DD113" s="44" t="s">
        <v>37</v>
      </c>
      <c r="DE113" s="44">
        <v>279381</v>
      </c>
      <c r="DF113" s="44" t="s">
        <v>37</v>
      </c>
      <c r="DG113" s="44">
        <v>154576</v>
      </c>
      <c r="DH113" s="44" t="s">
        <v>37</v>
      </c>
      <c r="DI113" s="44">
        <v>3535524</v>
      </c>
      <c r="DJ113" s="44" t="s">
        <v>37</v>
      </c>
      <c r="DK113" s="44">
        <v>264884</v>
      </c>
      <c r="DL113" s="44" t="s">
        <v>37</v>
      </c>
      <c r="DM113" s="44">
        <v>992917</v>
      </c>
      <c r="DN113" s="44" t="s">
        <v>37</v>
      </c>
      <c r="DO113" s="44">
        <v>1050540</v>
      </c>
      <c r="DP113" s="44" t="s">
        <v>37</v>
      </c>
      <c r="DQ113" s="44">
        <v>559630</v>
      </c>
      <c r="DR113" s="44" t="s">
        <v>37</v>
      </c>
      <c r="DS113" s="44">
        <v>315222</v>
      </c>
      <c r="DT113" s="44" t="s">
        <v>37</v>
      </c>
      <c r="DU113" s="44">
        <v>299591</v>
      </c>
      <c r="DV113" s="44" t="s">
        <v>37</v>
      </c>
      <c r="DW113" s="44">
        <v>1823591</v>
      </c>
      <c r="DX113" s="44" t="s">
        <v>37</v>
      </c>
      <c r="DY113" s="44">
        <v>978485</v>
      </c>
      <c r="DZ113" s="44" t="s">
        <v>37</v>
      </c>
      <c r="EA113" s="44">
        <v>273424</v>
      </c>
      <c r="EB113" s="44" t="s">
        <v>37</v>
      </c>
      <c r="EC113" s="44">
        <v>341589</v>
      </c>
      <c r="ED113" s="44" t="s">
        <v>37</v>
      </c>
      <c r="EE113" s="44">
        <v>1866479</v>
      </c>
      <c r="EF113" s="44" t="s">
        <v>37</v>
      </c>
      <c r="EG113" s="44">
        <v>116527</v>
      </c>
      <c r="EH113" s="44" t="s">
        <v>37</v>
      </c>
      <c r="EI113" s="44">
        <v>15263</v>
      </c>
      <c r="EJ113" s="44" t="s">
        <v>37</v>
      </c>
      <c r="EK113" s="44">
        <v>283746</v>
      </c>
      <c r="EL113" s="44" t="s">
        <v>37</v>
      </c>
      <c r="EM113" s="44">
        <v>204160</v>
      </c>
      <c r="EN113" s="44" t="s">
        <v>37</v>
      </c>
      <c r="EO113" s="44">
        <v>108388</v>
      </c>
      <c r="EP113" s="44" t="s">
        <v>37</v>
      </c>
      <c r="EQ113" s="44">
        <v>21876</v>
      </c>
      <c r="ER113" s="44" t="s">
        <v>37</v>
      </c>
      <c r="ES113" s="44">
        <v>515225</v>
      </c>
      <c r="ET113" s="44" t="s">
        <v>37</v>
      </c>
      <c r="EU113" s="44">
        <v>634009</v>
      </c>
      <c r="EV113" s="44" t="s">
        <v>37</v>
      </c>
      <c r="EW113" s="44">
        <v>1177316</v>
      </c>
      <c r="EX113" s="44" t="s">
        <v>37</v>
      </c>
      <c r="EZ113" s="44" t="s">
        <v>37</v>
      </c>
      <c r="FA113" s="44">
        <v>403578</v>
      </c>
      <c r="FB113" s="44" t="s">
        <v>37</v>
      </c>
      <c r="FC113" s="44">
        <v>433994</v>
      </c>
      <c r="FD113" s="44" t="s">
        <v>37</v>
      </c>
      <c r="FE113" s="44">
        <v>948740</v>
      </c>
      <c r="FF113" s="44" t="s">
        <v>37</v>
      </c>
      <c r="FH113" s="44" t="s">
        <v>37</v>
      </c>
      <c r="FI113" s="44">
        <v>1482857</v>
      </c>
      <c r="FJ113" s="44" t="s">
        <v>37</v>
      </c>
      <c r="FK113" s="44">
        <v>3286864</v>
      </c>
      <c r="FL113" s="44" t="s">
        <v>37</v>
      </c>
      <c r="FM113" s="44">
        <v>2038969</v>
      </c>
      <c r="FN113" s="44" t="s">
        <v>37</v>
      </c>
      <c r="FO113" s="44">
        <v>210556</v>
      </c>
      <c r="FP113" s="44" t="s">
        <v>37</v>
      </c>
      <c r="FQ113" s="44">
        <v>444552</v>
      </c>
      <c r="FR113" s="44" t="s">
        <v>37</v>
      </c>
      <c r="FS113" s="44">
        <v>718298</v>
      </c>
      <c r="FT113" s="44" t="s">
        <v>37</v>
      </c>
      <c r="FU113" s="44">
        <v>357206</v>
      </c>
      <c r="FV113" s="44" t="s">
        <v>37</v>
      </c>
      <c r="FW113" s="44">
        <v>251066</v>
      </c>
      <c r="FX113" s="44" t="s">
        <v>37</v>
      </c>
      <c r="FY113" s="44">
        <v>641145</v>
      </c>
      <c r="FZ113" s="44" t="s">
        <v>37</v>
      </c>
      <c r="GA113" s="44">
        <v>821761</v>
      </c>
      <c r="GB113" s="44" t="s">
        <v>37</v>
      </c>
      <c r="GC113" s="44">
        <v>1122771</v>
      </c>
      <c r="GD113" s="44" t="s">
        <v>37</v>
      </c>
      <c r="GF113" s="44" t="s">
        <v>37</v>
      </c>
      <c r="GG113" s="44">
        <v>32124</v>
      </c>
      <c r="GH113" s="44" t="s">
        <v>37</v>
      </c>
      <c r="GJ113" s="44" t="s">
        <v>37</v>
      </c>
      <c r="GK113" s="44">
        <v>881999</v>
      </c>
      <c r="GL113" s="44" t="s">
        <v>37</v>
      </c>
      <c r="GM113" s="44">
        <v>854428</v>
      </c>
      <c r="GN113" s="44" t="s">
        <v>37</v>
      </c>
      <c r="GP113" s="44" t="s">
        <v>37</v>
      </c>
      <c r="GQ113" s="44">
        <v>492719</v>
      </c>
      <c r="GR113" s="44" t="s">
        <v>37</v>
      </c>
      <c r="GS113" s="44">
        <v>597083</v>
      </c>
      <c r="GT113" s="44" t="s">
        <v>37</v>
      </c>
      <c r="GU113" s="44">
        <v>504478</v>
      </c>
      <c r="GV113" s="44" t="s">
        <v>37</v>
      </c>
      <c r="GW113" s="44">
        <v>602257</v>
      </c>
      <c r="GX113" s="44" t="s">
        <v>37</v>
      </c>
      <c r="GY113" s="44">
        <v>1520460</v>
      </c>
      <c r="GZ113" s="44" t="s">
        <v>37</v>
      </c>
      <c r="HA113" s="44">
        <v>646210</v>
      </c>
      <c r="HB113" s="44" t="s">
        <v>37</v>
      </c>
      <c r="HD113" s="44" t="s">
        <v>37</v>
      </c>
      <c r="HE113" s="44">
        <v>41948</v>
      </c>
      <c r="HF113" s="44" t="s">
        <v>37</v>
      </c>
      <c r="HG113" s="44">
        <v>69349084</v>
      </c>
      <c r="HH113" s="44" t="s">
        <v>37</v>
      </c>
      <c r="HI113" s="44">
        <v>41948</v>
      </c>
      <c r="HJ113" s="44" t="s">
        <v>37</v>
      </c>
      <c r="HK113" s="44">
        <v>69391032</v>
      </c>
      <c r="HL113" s="44" t="s">
        <v>37</v>
      </c>
    </row>
    <row r="114" spans="1:220">
      <c r="A114" s="150" t="s">
        <v>411</v>
      </c>
      <c r="B114" s="44">
        <v>3183</v>
      </c>
      <c r="C114" s="44" t="s">
        <v>137</v>
      </c>
      <c r="D114" s="44" t="s">
        <v>37</v>
      </c>
      <c r="F114" s="44" t="s">
        <v>37</v>
      </c>
      <c r="H114" s="44" t="s">
        <v>37</v>
      </c>
      <c r="J114" s="44" t="s">
        <v>37</v>
      </c>
      <c r="L114" s="48" t="s">
        <v>37</v>
      </c>
      <c r="M114" s="50"/>
      <c r="N114" s="48" t="s">
        <v>37</v>
      </c>
      <c r="O114" s="50"/>
      <c r="P114" s="48" t="s">
        <v>37</v>
      </c>
      <c r="Q114" s="50"/>
      <c r="R114" s="48" t="s">
        <v>37</v>
      </c>
      <c r="S114" s="50"/>
      <c r="T114" s="48" t="s">
        <v>37</v>
      </c>
      <c r="V114" s="44" t="s">
        <v>37</v>
      </c>
      <c r="X114" s="44" t="s">
        <v>37</v>
      </c>
      <c r="Z114" s="44" t="s">
        <v>37</v>
      </c>
      <c r="AB114" s="44" t="s">
        <v>37</v>
      </c>
      <c r="AD114" s="44" t="s">
        <v>37</v>
      </c>
      <c r="AF114" s="44" t="s">
        <v>37</v>
      </c>
      <c r="AH114" s="44" t="s">
        <v>37</v>
      </c>
      <c r="AJ114" s="44" t="s">
        <v>37</v>
      </c>
      <c r="AL114" s="44" t="s">
        <v>37</v>
      </c>
      <c r="AN114" s="44" t="s">
        <v>37</v>
      </c>
      <c r="AP114" s="44" t="s">
        <v>37</v>
      </c>
      <c r="AR114" s="44" t="s">
        <v>37</v>
      </c>
      <c r="AT114" s="44" t="s">
        <v>37</v>
      </c>
      <c r="AV114" s="44" t="s">
        <v>37</v>
      </c>
      <c r="AX114" s="44" t="s">
        <v>37</v>
      </c>
      <c r="AZ114" s="44" t="s">
        <v>37</v>
      </c>
      <c r="BB114" s="44" t="s">
        <v>37</v>
      </c>
      <c r="BD114" s="44" t="s">
        <v>37</v>
      </c>
      <c r="BF114" s="44" t="s">
        <v>37</v>
      </c>
      <c r="BH114" s="44" t="s">
        <v>37</v>
      </c>
      <c r="BJ114" s="44" t="s">
        <v>37</v>
      </c>
      <c r="BL114" s="44" t="s">
        <v>37</v>
      </c>
      <c r="BN114" s="44" t="s">
        <v>37</v>
      </c>
      <c r="BP114" s="44" t="s">
        <v>37</v>
      </c>
      <c r="BR114" s="44" t="s">
        <v>37</v>
      </c>
      <c r="BT114" s="44" t="s">
        <v>37</v>
      </c>
      <c r="BV114" s="44" t="s">
        <v>37</v>
      </c>
      <c r="BX114" s="44" t="s">
        <v>37</v>
      </c>
      <c r="BZ114" s="44" t="s">
        <v>37</v>
      </c>
      <c r="CB114" s="44" t="s">
        <v>37</v>
      </c>
      <c r="CD114" s="44" t="s">
        <v>37</v>
      </c>
      <c r="CF114" s="44" t="s">
        <v>37</v>
      </c>
      <c r="CH114" s="44" t="s">
        <v>37</v>
      </c>
      <c r="CJ114" s="44" t="s">
        <v>37</v>
      </c>
      <c r="CL114" s="44" t="s">
        <v>37</v>
      </c>
      <c r="CN114" s="44" t="s">
        <v>37</v>
      </c>
      <c r="CP114" s="44" t="s">
        <v>37</v>
      </c>
      <c r="CR114" s="44" t="s">
        <v>37</v>
      </c>
      <c r="CT114" s="44" t="s">
        <v>37</v>
      </c>
      <c r="CV114" s="44" t="s">
        <v>37</v>
      </c>
      <c r="CX114" s="44" t="s">
        <v>37</v>
      </c>
      <c r="CZ114" s="44" t="s">
        <v>37</v>
      </c>
      <c r="DB114" s="44" t="s">
        <v>37</v>
      </c>
      <c r="DD114" s="44" t="s">
        <v>37</v>
      </c>
      <c r="DF114" s="44" t="s">
        <v>37</v>
      </c>
      <c r="DH114" s="44" t="s">
        <v>37</v>
      </c>
      <c r="DJ114" s="44" t="s">
        <v>37</v>
      </c>
      <c r="DL114" s="44" t="s">
        <v>37</v>
      </c>
      <c r="DN114" s="44" t="s">
        <v>37</v>
      </c>
      <c r="DP114" s="44" t="s">
        <v>37</v>
      </c>
      <c r="DR114" s="44" t="s">
        <v>37</v>
      </c>
      <c r="DT114" s="44" t="s">
        <v>37</v>
      </c>
      <c r="DV114" s="44" t="s">
        <v>37</v>
      </c>
      <c r="DX114" s="44" t="s">
        <v>37</v>
      </c>
      <c r="DZ114" s="44" t="s">
        <v>37</v>
      </c>
      <c r="EB114" s="44" t="s">
        <v>37</v>
      </c>
      <c r="ED114" s="44" t="s">
        <v>37</v>
      </c>
      <c r="EF114" s="44" t="s">
        <v>37</v>
      </c>
      <c r="EH114" s="44" t="s">
        <v>37</v>
      </c>
      <c r="EJ114" s="44" t="s">
        <v>37</v>
      </c>
      <c r="EL114" s="44" t="s">
        <v>37</v>
      </c>
      <c r="EN114" s="44" t="s">
        <v>37</v>
      </c>
      <c r="EP114" s="44" t="s">
        <v>37</v>
      </c>
      <c r="ER114" s="44" t="s">
        <v>37</v>
      </c>
      <c r="ET114" s="44" t="s">
        <v>37</v>
      </c>
      <c r="EV114" s="44" t="s">
        <v>37</v>
      </c>
      <c r="EX114" s="44" t="s">
        <v>37</v>
      </c>
      <c r="EZ114" s="44" t="s">
        <v>37</v>
      </c>
      <c r="FB114" s="44" t="s">
        <v>37</v>
      </c>
      <c r="FD114" s="44" t="s">
        <v>37</v>
      </c>
      <c r="FF114" s="44" t="s">
        <v>37</v>
      </c>
      <c r="FH114" s="44" t="s">
        <v>37</v>
      </c>
      <c r="FJ114" s="44" t="s">
        <v>37</v>
      </c>
      <c r="FL114" s="44" t="s">
        <v>37</v>
      </c>
      <c r="FN114" s="44" t="s">
        <v>37</v>
      </c>
      <c r="FP114" s="44" t="s">
        <v>37</v>
      </c>
      <c r="FR114" s="44" t="s">
        <v>37</v>
      </c>
      <c r="FT114" s="44" t="s">
        <v>37</v>
      </c>
      <c r="FV114" s="44" t="s">
        <v>37</v>
      </c>
      <c r="FX114" s="44" t="s">
        <v>37</v>
      </c>
      <c r="FZ114" s="44" t="s">
        <v>37</v>
      </c>
      <c r="GB114" s="44" t="s">
        <v>37</v>
      </c>
      <c r="GD114" s="44" t="s">
        <v>37</v>
      </c>
      <c r="GF114" s="44" t="s">
        <v>37</v>
      </c>
      <c r="GH114" s="44" t="s">
        <v>37</v>
      </c>
      <c r="GJ114" s="44" t="s">
        <v>37</v>
      </c>
      <c r="GL114" s="44" t="s">
        <v>37</v>
      </c>
      <c r="GN114" s="44" t="s">
        <v>37</v>
      </c>
      <c r="GP114" s="44" t="s">
        <v>37</v>
      </c>
      <c r="GR114" s="44" t="s">
        <v>37</v>
      </c>
      <c r="GT114" s="44" t="s">
        <v>37</v>
      </c>
      <c r="GV114" s="44" t="s">
        <v>37</v>
      </c>
      <c r="GX114" s="44" t="s">
        <v>37</v>
      </c>
      <c r="GZ114" s="44" t="s">
        <v>37</v>
      </c>
      <c r="HB114" s="44" t="s">
        <v>37</v>
      </c>
      <c r="HD114" s="44" t="s">
        <v>37</v>
      </c>
      <c r="HF114" s="44" t="s">
        <v>37</v>
      </c>
      <c r="HH114" s="44" t="s">
        <v>37</v>
      </c>
      <c r="HJ114" s="44" t="s">
        <v>37</v>
      </c>
      <c r="HL114" s="44" t="s">
        <v>37</v>
      </c>
    </row>
    <row r="115" spans="1:220">
      <c r="A115" s="150" t="s">
        <v>411</v>
      </c>
      <c r="B115" s="44">
        <v>3183</v>
      </c>
      <c r="C115" s="44" t="s">
        <v>137</v>
      </c>
      <c r="D115" s="44" t="s">
        <v>37</v>
      </c>
      <c r="F115" s="44" t="s">
        <v>37</v>
      </c>
      <c r="H115" s="44" t="s">
        <v>37</v>
      </c>
      <c r="J115" s="44" t="s">
        <v>37</v>
      </c>
      <c r="L115" s="48" t="s">
        <v>37</v>
      </c>
      <c r="M115" s="50"/>
      <c r="N115" s="48" t="s">
        <v>37</v>
      </c>
      <c r="O115" s="50"/>
      <c r="P115" s="48" t="s">
        <v>37</v>
      </c>
      <c r="Q115" s="50"/>
      <c r="R115" s="48" t="s">
        <v>37</v>
      </c>
      <c r="S115" s="50"/>
      <c r="T115" s="48" t="s">
        <v>37</v>
      </c>
      <c r="V115" s="44" t="s">
        <v>37</v>
      </c>
      <c r="X115" s="44" t="s">
        <v>37</v>
      </c>
      <c r="Z115" s="44" t="s">
        <v>37</v>
      </c>
      <c r="AB115" s="44" t="s">
        <v>37</v>
      </c>
      <c r="AD115" s="44" t="s">
        <v>37</v>
      </c>
      <c r="AF115" s="44" t="s">
        <v>37</v>
      </c>
      <c r="AH115" s="44" t="s">
        <v>37</v>
      </c>
      <c r="AJ115" s="44" t="s">
        <v>37</v>
      </c>
      <c r="AL115" s="44" t="s">
        <v>37</v>
      </c>
      <c r="AN115" s="44" t="s">
        <v>37</v>
      </c>
      <c r="AP115" s="44" t="s">
        <v>37</v>
      </c>
      <c r="AR115" s="44" t="s">
        <v>37</v>
      </c>
      <c r="AT115" s="44" t="s">
        <v>37</v>
      </c>
      <c r="AV115" s="44" t="s">
        <v>37</v>
      </c>
      <c r="AX115" s="44" t="s">
        <v>37</v>
      </c>
      <c r="AZ115" s="44" t="s">
        <v>37</v>
      </c>
      <c r="BB115" s="44" t="s">
        <v>37</v>
      </c>
      <c r="BD115" s="44" t="s">
        <v>37</v>
      </c>
      <c r="BF115" s="44" t="s">
        <v>37</v>
      </c>
      <c r="BH115" s="44" t="s">
        <v>37</v>
      </c>
      <c r="BJ115" s="44" t="s">
        <v>37</v>
      </c>
      <c r="BL115" s="44" t="s">
        <v>37</v>
      </c>
      <c r="BN115" s="44" t="s">
        <v>37</v>
      </c>
      <c r="BP115" s="44" t="s">
        <v>37</v>
      </c>
      <c r="BR115" s="44" t="s">
        <v>37</v>
      </c>
      <c r="BT115" s="44" t="s">
        <v>37</v>
      </c>
      <c r="BV115" s="44" t="s">
        <v>37</v>
      </c>
      <c r="BX115" s="44" t="s">
        <v>37</v>
      </c>
      <c r="BZ115" s="44" t="s">
        <v>37</v>
      </c>
      <c r="CB115" s="44" t="s">
        <v>37</v>
      </c>
      <c r="CD115" s="44" t="s">
        <v>37</v>
      </c>
      <c r="CF115" s="44" t="s">
        <v>37</v>
      </c>
      <c r="CH115" s="44" t="s">
        <v>37</v>
      </c>
      <c r="CJ115" s="44" t="s">
        <v>37</v>
      </c>
      <c r="CL115" s="44" t="s">
        <v>37</v>
      </c>
      <c r="CN115" s="44" t="s">
        <v>37</v>
      </c>
      <c r="CP115" s="44" t="s">
        <v>37</v>
      </c>
      <c r="CR115" s="44" t="s">
        <v>37</v>
      </c>
      <c r="CT115" s="44" t="s">
        <v>37</v>
      </c>
      <c r="CV115" s="44" t="s">
        <v>37</v>
      </c>
      <c r="CX115" s="44" t="s">
        <v>37</v>
      </c>
      <c r="CZ115" s="44" t="s">
        <v>37</v>
      </c>
      <c r="DB115" s="44" t="s">
        <v>37</v>
      </c>
      <c r="DD115" s="44" t="s">
        <v>37</v>
      </c>
      <c r="DF115" s="44" t="s">
        <v>37</v>
      </c>
      <c r="DH115" s="44" t="s">
        <v>37</v>
      </c>
      <c r="DJ115" s="44" t="s">
        <v>37</v>
      </c>
      <c r="DL115" s="44" t="s">
        <v>37</v>
      </c>
      <c r="DN115" s="44" t="s">
        <v>37</v>
      </c>
      <c r="DP115" s="44" t="s">
        <v>37</v>
      </c>
      <c r="DR115" s="44" t="s">
        <v>37</v>
      </c>
      <c r="DT115" s="44" t="s">
        <v>37</v>
      </c>
      <c r="DV115" s="44" t="s">
        <v>37</v>
      </c>
      <c r="DX115" s="44" t="s">
        <v>37</v>
      </c>
      <c r="DZ115" s="44" t="s">
        <v>37</v>
      </c>
      <c r="EB115" s="44" t="s">
        <v>37</v>
      </c>
      <c r="ED115" s="44" t="s">
        <v>37</v>
      </c>
      <c r="EF115" s="44" t="s">
        <v>37</v>
      </c>
      <c r="EH115" s="44" t="s">
        <v>37</v>
      </c>
      <c r="EJ115" s="44" t="s">
        <v>37</v>
      </c>
      <c r="EL115" s="44" t="s">
        <v>37</v>
      </c>
      <c r="EN115" s="44" t="s">
        <v>37</v>
      </c>
      <c r="EP115" s="44" t="s">
        <v>37</v>
      </c>
      <c r="ER115" s="44" t="s">
        <v>37</v>
      </c>
      <c r="ET115" s="44" t="s">
        <v>37</v>
      </c>
      <c r="EV115" s="44" t="s">
        <v>37</v>
      </c>
      <c r="EX115" s="44" t="s">
        <v>37</v>
      </c>
      <c r="EZ115" s="44" t="s">
        <v>37</v>
      </c>
      <c r="FB115" s="44" t="s">
        <v>37</v>
      </c>
      <c r="FD115" s="44" t="s">
        <v>37</v>
      </c>
      <c r="FF115" s="44" t="s">
        <v>37</v>
      </c>
      <c r="FH115" s="44" t="s">
        <v>37</v>
      </c>
      <c r="FJ115" s="44" t="s">
        <v>37</v>
      </c>
      <c r="FL115" s="44" t="s">
        <v>37</v>
      </c>
      <c r="FN115" s="44" t="s">
        <v>37</v>
      </c>
      <c r="FP115" s="44" t="s">
        <v>37</v>
      </c>
      <c r="FR115" s="44" t="s">
        <v>37</v>
      </c>
      <c r="FT115" s="44" t="s">
        <v>37</v>
      </c>
      <c r="FV115" s="44" t="s">
        <v>37</v>
      </c>
      <c r="FX115" s="44" t="s">
        <v>37</v>
      </c>
      <c r="FZ115" s="44" t="s">
        <v>37</v>
      </c>
      <c r="GB115" s="44" t="s">
        <v>37</v>
      </c>
      <c r="GD115" s="44" t="s">
        <v>37</v>
      </c>
      <c r="GF115" s="44" t="s">
        <v>37</v>
      </c>
      <c r="GH115" s="44" t="s">
        <v>37</v>
      </c>
      <c r="GJ115" s="44" t="s">
        <v>37</v>
      </c>
      <c r="GL115" s="44" t="s">
        <v>37</v>
      </c>
      <c r="GN115" s="44" t="s">
        <v>37</v>
      </c>
      <c r="GP115" s="44" t="s">
        <v>37</v>
      </c>
      <c r="GR115" s="44" t="s">
        <v>37</v>
      </c>
      <c r="GT115" s="44" t="s">
        <v>37</v>
      </c>
      <c r="GV115" s="44" t="s">
        <v>37</v>
      </c>
      <c r="GX115" s="44" t="s">
        <v>37</v>
      </c>
      <c r="GZ115" s="44" t="s">
        <v>37</v>
      </c>
      <c r="HB115" s="44" t="s">
        <v>37</v>
      </c>
      <c r="HD115" s="44" t="s">
        <v>37</v>
      </c>
      <c r="HF115" s="44" t="s">
        <v>37</v>
      </c>
      <c r="HH115" s="44" t="s">
        <v>37</v>
      </c>
      <c r="HJ115" s="44" t="s">
        <v>37</v>
      </c>
      <c r="HL115" s="44" t="s">
        <v>37</v>
      </c>
    </row>
    <row r="116" spans="1:220">
      <c r="A116" s="150" t="s">
        <v>411</v>
      </c>
      <c r="B116" s="44">
        <v>3185</v>
      </c>
      <c r="C116" s="44" t="s">
        <v>138</v>
      </c>
      <c r="D116" s="44" t="s">
        <v>37</v>
      </c>
      <c r="F116" s="44" t="s">
        <v>37</v>
      </c>
      <c r="H116" s="44" t="s">
        <v>37</v>
      </c>
      <c r="J116" s="44" t="s">
        <v>37</v>
      </c>
      <c r="L116" s="48" t="s">
        <v>37</v>
      </c>
      <c r="M116" s="50"/>
      <c r="N116" s="48" t="s">
        <v>37</v>
      </c>
      <c r="O116" s="50"/>
      <c r="P116" s="48" t="s">
        <v>37</v>
      </c>
      <c r="Q116" s="50"/>
      <c r="R116" s="48" t="s">
        <v>37</v>
      </c>
      <c r="S116" s="50"/>
      <c r="T116" s="48" t="s">
        <v>37</v>
      </c>
      <c r="V116" s="44" t="s">
        <v>37</v>
      </c>
      <c r="X116" s="44" t="s">
        <v>37</v>
      </c>
      <c r="Z116" s="44" t="s">
        <v>37</v>
      </c>
      <c r="AB116" s="44" t="s">
        <v>37</v>
      </c>
      <c r="AD116" s="44" t="s">
        <v>37</v>
      </c>
      <c r="AF116" s="44" t="s">
        <v>37</v>
      </c>
      <c r="AH116" s="44" t="s">
        <v>37</v>
      </c>
      <c r="AJ116" s="44" t="s">
        <v>37</v>
      </c>
      <c r="AL116" s="44" t="s">
        <v>37</v>
      </c>
      <c r="AN116" s="44" t="s">
        <v>37</v>
      </c>
      <c r="AP116" s="44" t="s">
        <v>37</v>
      </c>
      <c r="AR116" s="44" t="s">
        <v>37</v>
      </c>
      <c r="AT116" s="44" t="s">
        <v>37</v>
      </c>
      <c r="AV116" s="44" t="s">
        <v>37</v>
      </c>
      <c r="AX116" s="44" t="s">
        <v>37</v>
      </c>
      <c r="AZ116" s="44" t="s">
        <v>37</v>
      </c>
      <c r="BB116" s="44" t="s">
        <v>37</v>
      </c>
      <c r="BD116" s="44" t="s">
        <v>37</v>
      </c>
      <c r="BF116" s="44" t="s">
        <v>37</v>
      </c>
      <c r="BH116" s="44" t="s">
        <v>37</v>
      </c>
      <c r="BJ116" s="44" t="s">
        <v>37</v>
      </c>
      <c r="BL116" s="44" t="s">
        <v>37</v>
      </c>
      <c r="BN116" s="44" t="s">
        <v>37</v>
      </c>
      <c r="BP116" s="44" t="s">
        <v>37</v>
      </c>
      <c r="BR116" s="44" t="s">
        <v>37</v>
      </c>
      <c r="BT116" s="44" t="s">
        <v>37</v>
      </c>
      <c r="BV116" s="44" t="s">
        <v>37</v>
      </c>
      <c r="BX116" s="44" t="s">
        <v>37</v>
      </c>
      <c r="BZ116" s="44" t="s">
        <v>37</v>
      </c>
      <c r="CB116" s="44" t="s">
        <v>37</v>
      </c>
      <c r="CD116" s="44" t="s">
        <v>37</v>
      </c>
      <c r="CF116" s="44" t="s">
        <v>37</v>
      </c>
      <c r="CH116" s="44" t="s">
        <v>37</v>
      </c>
      <c r="CJ116" s="44" t="s">
        <v>37</v>
      </c>
      <c r="CL116" s="44" t="s">
        <v>37</v>
      </c>
      <c r="CN116" s="44" t="s">
        <v>37</v>
      </c>
      <c r="CP116" s="44" t="s">
        <v>37</v>
      </c>
      <c r="CR116" s="44" t="s">
        <v>37</v>
      </c>
      <c r="CT116" s="44" t="s">
        <v>37</v>
      </c>
      <c r="CV116" s="44" t="s">
        <v>37</v>
      </c>
      <c r="CX116" s="44" t="s">
        <v>37</v>
      </c>
      <c r="CZ116" s="44" t="s">
        <v>37</v>
      </c>
      <c r="DB116" s="44" t="s">
        <v>37</v>
      </c>
      <c r="DD116" s="44" t="s">
        <v>37</v>
      </c>
      <c r="DF116" s="44" t="s">
        <v>37</v>
      </c>
      <c r="DH116" s="44" t="s">
        <v>37</v>
      </c>
      <c r="DJ116" s="44" t="s">
        <v>37</v>
      </c>
      <c r="DL116" s="44" t="s">
        <v>37</v>
      </c>
      <c r="DN116" s="44" t="s">
        <v>37</v>
      </c>
      <c r="DP116" s="44" t="s">
        <v>37</v>
      </c>
      <c r="DR116" s="44" t="s">
        <v>37</v>
      </c>
      <c r="DT116" s="44" t="s">
        <v>37</v>
      </c>
      <c r="DV116" s="44" t="s">
        <v>37</v>
      </c>
      <c r="DX116" s="44" t="s">
        <v>37</v>
      </c>
      <c r="DZ116" s="44" t="s">
        <v>37</v>
      </c>
      <c r="EB116" s="44" t="s">
        <v>37</v>
      </c>
      <c r="ED116" s="44" t="s">
        <v>37</v>
      </c>
      <c r="EF116" s="44" t="s">
        <v>37</v>
      </c>
      <c r="EH116" s="44" t="s">
        <v>37</v>
      </c>
      <c r="EJ116" s="44" t="s">
        <v>37</v>
      </c>
      <c r="EL116" s="44" t="s">
        <v>37</v>
      </c>
      <c r="EN116" s="44" t="s">
        <v>37</v>
      </c>
      <c r="EP116" s="44" t="s">
        <v>37</v>
      </c>
      <c r="ER116" s="44" t="s">
        <v>37</v>
      </c>
      <c r="ET116" s="44" t="s">
        <v>37</v>
      </c>
      <c r="EV116" s="44" t="s">
        <v>37</v>
      </c>
      <c r="EX116" s="44" t="s">
        <v>37</v>
      </c>
      <c r="EZ116" s="44" t="s">
        <v>37</v>
      </c>
      <c r="FB116" s="44" t="s">
        <v>37</v>
      </c>
      <c r="FD116" s="44" t="s">
        <v>37</v>
      </c>
      <c r="FF116" s="44" t="s">
        <v>37</v>
      </c>
      <c r="FH116" s="44" t="s">
        <v>37</v>
      </c>
      <c r="FJ116" s="44" t="s">
        <v>37</v>
      </c>
      <c r="FL116" s="44" t="s">
        <v>37</v>
      </c>
      <c r="FN116" s="44" t="s">
        <v>37</v>
      </c>
      <c r="FP116" s="44" t="s">
        <v>37</v>
      </c>
      <c r="FR116" s="44" t="s">
        <v>37</v>
      </c>
      <c r="FT116" s="44" t="s">
        <v>37</v>
      </c>
      <c r="FV116" s="44" t="s">
        <v>37</v>
      </c>
      <c r="FX116" s="44" t="s">
        <v>37</v>
      </c>
      <c r="FZ116" s="44" t="s">
        <v>37</v>
      </c>
      <c r="GB116" s="44" t="s">
        <v>37</v>
      </c>
      <c r="GD116" s="44" t="s">
        <v>37</v>
      </c>
      <c r="GF116" s="44" t="s">
        <v>37</v>
      </c>
      <c r="GH116" s="44" t="s">
        <v>37</v>
      </c>
      <c r="GJ116" s="44" t="s">
        <v>37</v>
      </c>
      <c r="GL116" s="44" t="s">
        <v>37</v>
      </c>
      <c r="GN116" s="44" t="s">
        <v>37</v>
      </c>
      <c r="GP116" s="44" t="s">
        <v>37</v>
      </c>
      <c r="GR116" s="44" t="s">
        <v>37</v>
      </c>
      <c r="GT116" s="44" t="s">
        <v>37</v>
      </c>
      <c r="GV116" s="44" t="s">
        <v>37</v>
      </c>
      <c r="GX116" s="44" t="s">
        <v>37</v>
      </c>
      <c r="GZ116" s="44" t="s">
        <v>37</v>
      </c>
      <c r="HB116" s="44" t="s">
        <v>37</v>
      </c>
      <c r="HD116" s="44" t="s">
        <v>37</v>
      </c>
      <c r="HF116" s="44" t="s">
        <v>37</v>
      </c>
      <c r="HH116" s="44" t="s">
        <v>37</v>
      </c>
      <c r="HJ116" s="44" t="s">
        <v>37</v>
      </c>
      <c r="HL116" s="44" t="s">
        <v>37</v>
      </c>
    </row>
    <row r="117" spans="1:220">
      <c r="A117" s="150" t="s">
        <v>408</v>
      </c>
      <c r="B117" s="54">
        <v>3190</v>
      </c>
      <c r="C117" s="44" t="s">
        <v>139</v>
      </c>
      <c r="D117" s="44" t="s">
        <v>37</v>
      </c>
      <c r="F117" s="44" t="s">
        <v>37</v>
      </c>
      <c r="H117" s="44" t="s">
        <v>37</v>
      </c>
      <c r="J117" s="44" t="s">
        <v>37</v>
      </c>
      <c r="L117" s="48" t="s">
        <v>37</v>
      </c>
      <c r="M117" s="50"/>
      <c r="N117" s="48" t="s">
        <v>37</v>
      </c>
      <c r="O117" s="50"/>
      <c r="P117" s="48" t="s">
        <v>37</v>
      </c>
      <c r="Q117" s="50"/>
      <c r="R117" s="48" t="s">
        <v>37</v>
      </c>
      <c r="S117" s="50"/>
      <c r="T117" s="48" t="s">
        <v>37</v>
      </c>
      <c r="V117" s="44" t="s">
        <v>37</v>
      </c>
      <c r="X117" s="44" t="s">
        <v>37</v>
      </c>
      <c r="Z117" s="44" t="s">
        <v>37</v>
      </c>
      <c r="AB117" s="44" t="s">
        <v>37</v>
      </c>
      <c r="AD117" s="44" t="s">
        <v>37</v>
      </c>
      <c r="AF117" s="44" t="s">
        <v>37</v>
      </c>
      <c r="AH117" s="44" t="s">
        <v>37</v>
      </c>
      <c r="AJ117" s="44" t="s">
        <v>37</v>
      </c>
      <c r="AL117" s="44" t="s">
        <v>37</v>
      </c>
      <c r="AN117" s="44" t="s">
        <v>37</v>
      </c>
      <c r="AP117" s="44" t="s">
        <v>37</v>
      </c>
      <c r="AR117" s="44" t="s">
        <v>37</v>
      </c>
      <c r="AT117" s="44" t="s">
        <v>37</v>
      </c>
      <c r="AV117" s="44" t="s">
        <v>37</v>
      </c>
      <c r="AX117" s="44" t="s">
        <v>37</v>
      </c>
      <c r="AZ117" s="44" t="s">
        <v>37</v>
      </c>
      <c r="BB117" s="44" t="s">
        <v>37</v>
      </c>
      <c r="BD117" s="44" t="s">
        <v>37</v>
      </c>
      <c r="BF117" s="44" t="s">
        <v>37</v>
      </c>
      <c r="BH117" s="44" t="s">
        <v>37</v>
      </c>
      <c r="BJ117" s="44" t="s">
        <v>37</v>
      </c>
      <c r="BL117" s="44" t="s">
        <v>37</v>
      </c>
      <c r="BN117" s="44" t="s">
        <v>37</v>
      </c>
      <c r="BP117" s="44" t="s">
        <v>37</v>
      </c>
      <c r="BR117" s="44" t="s">
        <v>37</v>
      </c>
      <c r="BT117" s="44" t="s">
        <v>37</v>
      </c>
      <c r="BV117" s="44" t="s">
        <v>37</v>
      </c>
      <c r="BX117" s="44" t="s">
        <v>37</v>
      </c>
      <c r="BZ117" s="44" t="s">
        <v>37</v>
      </c>
      <c r="CB117" s="44" t="s">
        <v>37</v>
      </c>
      <c r="CD117" s="44" t="s">
        <v>37</v>
      </c>
      <c r="CF117" s="44" t="s">
        <v>37</v>
      </c>
      <c r="CH117" s="44" t="s">
        <v>37</v>
      </c>
      <c r="CJ117" s="44" t="s">
        <v>37</v>
      </c>
      <c r="CL117" s="44" t="s">
        <v>37</v>
      </c>
      <c r="CN117" s="44" t="s">
        <v>37</v>
      </c>
      <c r="CP117" s="44" t="s">
        <v>37</v>
      </c>
      <c r="CR117" s="44" t="s">
        <v>37</v>
      </c>
      <c r="CT117" s="44" t="s">
        <v>37</v>
      </c>
      <c r="CV117" s="44" t="s">
        <v>37</v>
      </c>
      <c r="CX117" s="44" t="s">
        <v>37</v>
      </c>
      <c r="CZ117" s="44" t="s">
        <v>37</v>
      </c>
      <c r="DB117" s="44" t="s">
        <v>37</v>
      </c>
      <c r="DD117" s="44" t="s">
        <v>37</v>
      </c>
      <c r="DF117" s="44" t="s">
        <v>37</v>
      </c>
      <c r="DH117" s="44" t="s">
        <v>37</v>
      </c>
      <c r="DJ117" s="44" t="s">
        <v>37</v>
      </c>
      <c r="DL117" s="44" t="s">
        <v>37</v>
      </c>
      <c r="DN117" s="44" t="s">
        <v>37</v>
      </c>
      <c r="DP117" s="44" t="s">
        <v>37</v>
      </c>
      <c r="DR117" s="44" t="s">
        <v>37</v>
      </c>
      <c r="DT117" s="44" t="s">
        <v>37</v>
      </c>
      <c r="DV117" s="44" t="s">
        <v>37</v>
      </c>
      <c r="DX117" s="44" t="s">
        <v>37</v>
      </c>
      <c r="DZ117" s="44" t="s">
        <v>37</v>
      </c>
      <c r="EB117" s="44" t="s">
        <v>37</v>
      </c>
      <c r="ED117" s="44" t="s">
        <v>37</v>
      </c>
      <c r="EF117" s="44" t="s">
        <v>37</v>
      </c>
      <c r="EH117" s="44" t="s">
        <v>37</v>
      </c>
      <c r="EJ117" s="44" t="s">
        <v>37</v>
      </c>
      <c r="EL117" s="44" t="s">
        <v>37</v>
      </c>
      <c r="EN117" s="44" t="s">
        <v>37</v>
      </c>
      <c r="EP117" s="44" t="s">
        <v>37</v>
      </c>
      <c r="ER117" s="44" t="s">
        <v>37</v>
      </c>
      <c r="ET117" s="44" t="s">
        <v>37</v>
      </c>
      <c r="EV117" s="44" t="s">
        <v>37</v>
      </c>
      <c r="EX117" s="44" t="s">
        <v>37</v>
      </c>
      <c r="EZ117" s="44" t="s">
        <v>37</v>
      </c>
      <c r="FB117" s="44" t="s">
        <v>37</v>
      </c>
      <c r="FD117" s="44" t="s">
        <v>37</v>
      </c>
      <c r="FF117" s="44" t="s">
        <v>37</v>
      </c>
      <c r="FH117" s="44" t="s">
        <v>37</v>
      </c>
      <c r="FJ117" s="44" t="s">
        <v>37</v>
      </c>
      <c r="FL117" s="44" t="s">
        <v>37</v>
      </c>
      <c r="FN117" s="44" t="s">
        <v>37</v>
      </c>
      <c r="FP117" s="44" t="s">
        <v>37</v>
      </c>
      <c r="FR117" s="44" t="s">
        <v>37</v>
      </c>
      <c r="FT117" s="44" t="s">
        <v>37</v>
      </c>
      <c r="FV117" s="44" t="s">
        <v>37</v>
      </c>
      <c r="FX117" s="44" t="s">
        <v>37</v>
      </c>
      <c r="FZ117" s="44" t="s">
        <v>37</v>
      </c>
      <c r="GB117" s="44" t="s">
        <v>37</v>
      </c>
      <c r="GD117" s="44" t="s">
        <v>37</v>
      </c>
      <c r="GF117" s="44" t="s">
        <v>37</v>
      </c>
      <c r="GH117" s="44" t="s">
        <v>37</v>
      </c>
      <c r="GJ117" s="44" t="s">
        <v>37</v>
      </c>
      <c r="GL117" s="44" t="s">
        <v>37</v>
      </c>
      <c r="GN117" s="44" t="s">
        <v>37</v>
      </c>
      <c r="GP117" s="44" t="s">
        <v>37</v>
      </c>
      <c r="GR117" s="44" t="s">
        <v>37</v>
      </c>
      <c r="GT117" s="44" t="s">
        <v>37</v>
      </c>
      <c r="GV117" s="44" t="s">
        <v>37</v>
      </c>
      <c r="GX117" s="44" t="s">
        <v>37</v>
      </c>
      <c r="GZ117" s="44" t="s">
        <v>37</v>
      </c>
      <c r="HB117" s="44" t="s">
        <v>37</v>
      </c>
      <c r="HD117" s="44" t="s">
        <v>37</v>
      </c>
      <c r="HF117" s="44" t="s">
        <v>37</v>
      </c>
      <c r="HH117" s="44" t="s">
        <v>37</v>
      </c>
      <c r="HJ117" s="44" t="s">
        <v>37</v>
      </c>
      <c r="HL117" s="44" t="s">
        <v>37</v>
      </c>
    </row>
    <row r="118" spans="1:220">
      <c r="A118" s="150" t="s">
        <v>411</v>
      </c>
      <c r="B118" s="44">
        <v>3191</v>
      </c>
      <c r="C118" s="44" t="s">
        <v>140</v>
      </c>
      <c r="D118" s="44" t="s">
        <v>37</v>
      </c>
      <c r="F118" s="44" t="s">
        <v>37</v>
      </c>
      <c r="G118" s="44">
        <v>7278</v>
      </c>
      <c r="H118" s="44" t="s">
        <v>37</v>
      </c>
      <c r="J118" s="44" t="s">
        <v>37</v>
      </c>
      <c r="L118" s="48" t="s">
        <v>37</v>
      </c>
      <c r="M118" s="50"/>
      <c r="N118" s="48" t="s">
        <v>37</v>
      </c>
      <c r="O118" s="50"/>
      <c r="P118" s="48" t="s">
        <v>37</v>
      </c>
      <c r="Q118" s="50"/>
      <c r="R118" s="48" t="s">
        <v>37</v>
      </c>
      <c r="S118" s="50"/>
      <c r="T118" s="48" t="s">
        <v>37</v>
      </c>
      <c r="V118" s="44" t="s">
        <v>37</v>
      </c>
      <c r="X118" s="44" t="s">
        <v>37</v>
      </c>
      <c r="Z118" s="44" t="s">
        <v>37</v>
      </c>
      <c r="AB118" s="44" t="s">
        <v>37</v>
      </c>
      <c r="AD118" s="44" t="s">
        <v>37</v>
      </c>
      <c r="AF118" s="44" t="s">
        <v>37</v>
      </c>
      <c r="AH118" s="44" t="s">
        <v>37</v>
      </c>
      <c r="AJ118" s="44" t="s">
        <v>37</v>
      </c>
      <c r="AL118" s="44" t="s">
        <v>37</v>
      </c>
      <c r="AN118" s="44" t="s">
        <v>37</v>
      </c>
      <c r="AP118" s="44" t="s">
        <v>37</v>
      </c>
      <c r="AR118" s="44" t="s">
        <v>37</v>
      </c>
      <c r="AT118" s="44" t="s">
        <v>37</v>
      </c>
      <c r="AV118" s="44" t="s">
        <v>37</v>
      </c>
      <c r="AX118" s="44" t="s">
        <v>37</v>
      </c>
      <c r="AZ118" s="44" t="s">
        <v>37</v>
      </c>
      <c r="BB118" s="44" t="s">
        <v>37</v>
      </c>
      <c r="BD118" s="44" t="s">
        <v>37</v>
      </c>
      <c r="BF118" s="44" t="s">
        <v>37</v>
      </c>
      <c r="BH118" s="44" t="s">
        <v>37</v>
      </c>
      <c r="BJ118" s="44" t="s">
        <v>37</v>
      </c>
      <c r="BL118" s="44" t="s">
        <v>37</v>
      </c>
      <c r="BN118" s="44" t="s">
        <v>37</v>
      </c>
      <c r="BP118" s="44" t="s">
        <v>37</v>
      </c>
      <c r="BR118" s="44" t="s">
        <v>37</v>
      </c>
      <c r="BT118" s="44" t="s">
        <v>37</v>
      </c>
      <c r="BV118" s="44" t="s">
        <v>37</v>
      </c>
      <c r="BX118" s="44" t="s">
        <v>37</v>
      </c>
      <c r="BZ118" s="44" t="s">
        <v>37</v>
      </c>
      <c r="CB118" s="44" t="s">
        <v>37</v>
      </c>
      <c r="CD118" s="44" t="s">
        <v>37</v>
      </c>
      <c r="CF118" s="44" t="s">
        <v>37</v>
      </c>
      <c r="CH118" s="44" t="s">
        <v>37</v>
      </c>
      <c r="CJ118" s="44" t="s">
        <v>37</v>
      </c>
      <c r="CL118" s="44" t="s">
        <v>37</v>
      </c>
      <c r="CN118" s="44" t="s">
        <v>37</v>
      </c>
      <c r="CP118" s="44" t="s">
        <v>37</v>
      </c>
      <c r="CR118" s="44" t="s">
        <v>37</v>
      </c>
      <c r="CT118" s="44" t="s">
        <v>37</v>
      </c>
      <c r="CV118" s="44" t="s">
        <v>37</v>
      </c>
      <c r="CX118" s="44" t="s">
        <v>37</v>
      </c>
      <c r="CZ118" s="44" t="s">
        <v>37</v>
      </c>
      <c r="DB118" s="44" t="s">
        <v>37</v>
      </c>
      <c r="DD118" s="44" t="s">
        <v>37</v>
      </c>
      <c r="DF118" s="44" t="s">
        <v>37</v>
      </c>
      <c r="DH118" s="44" t="s">
        <v>37</v>
      </c>
      <c r="DJ118" s="44" t="s">
        <v>37</v>
      </c>
      <c r="DL118" s="44" t="s">
        <v>37</v>
      </c>
      <c r="DN118" s="44" t="s">
        <v>37</v>
      </c>
      <c r="DP118" s="44" t="s">
        <v>37</v>
      </c>
      <c r="DQ118" s="44">
        <v>10038</v>
      </c>
      <c r="DR118" s="44" t="s">
        <v>37</v>
      </c>
      <c r="DT118" s="44" t="s">
        <v>37</v>
      </c>
      <c r="DV118" s="44" t="s">
        <v>37</v>
      </c>
      <c r="DX118" s="44" t="s">
        <v>37</v>
      </c>
      <c r="DZ118" s="44" t="s">
        <v>37</v>
      </c>
      <c r="EB118" s="44" t="s">
        <v>37</v>
      </c>
      <c r="ED118" s="44" t="s">
        <v>37</v>
      </c>
      <c r="EF118" s="44" t="s">
        <v>37</v>
      </c>
      <c r="EH118" s="44" t="s">
        <v>37</v>
      </c>
      <c r="EJ118" s="44" t="s">
        <v>37</v>
      </c>
      <c r="EL118" s="44" t="s">
        <v>37</v>
      </c>
      <c r="EN118" s="44" t="s">
        <v>37</v>
      </c>
      <c r="EP118" s="44" t="s">
        <v>37</v>
      </c>
      <c r="ER118" s="44" t="s">
        <v>37</v>
      </c>
      <c r="ET118" s="44" t="s">
        <v>37</v>
      </c>
      <c r="EV118" s="44" t="s">
        <v>37</v>
      </c>
      <c r="EX118" s="44" t="s">
        <v>37</v>
      </c>
      <c r="EZ118" s="44" t="s">
        <v>37</v>
      </c>
      <c r="FB118" s="44" t="s">
        <v>37</v>
      </c>
      <c r="FD118" s="44" t="s">
        <v>37</v>
      </c>
      <c r="FF118" s="44" t="s">
        <v>37</v>
      </c>
      <c r="FH118" s="44" t="s">
        <v>37</v>
      </c>
      <c r="FJ118" s="44" t="s">
        <v>37</v>
      </c>
      <c r="FL118" s="44" t="s">
        <v>37</v>
      </c>
      <c r="FN118" s="44" t="s">
        <v>37</v>
      </c>
      <c r="FP118" s="44" t="s">
        <v>37</v>
      </c>
      <c r="FR118" s="44" t="s">
        <v>37</v>
      </c>
      <c r="FT118" s="44" t="s">
        <v>37</v>
      </c>
      <c r="FV118" s="44" t="s">
        <v>37</v>
      </c>
      <c r="FX118" s="44" t="s">
        <v>37</v>
      </c>
      <c r="FZ118" s="44" t="s">
        <v>37</v>
      </c>
      <c r="GB118" s="44" t="s">
        <v>37</v>
      </c>
      <c r="GD118" s="44" t="s">
        <v>37</v>
      </c>
      <c r="GF118" s="44" t="s">
        <v>37</v>
      </c>
      <c r="GH118" s="44" t="s">
        <v>37</v>
      </c>
      <c r="GJ118" s="44" t="s">
        <v>37</v>
      </c>
      <c r="GL118" s="44" t="s">
        <v>37</v>
      </c>
      <c r="GN118" s="44" t="s">
        <v>37</v>
      </c>
      <c r="GP118" s="44" t="s">
        <v>37</v>
      </c>
      <c r="GR118" s="44" t="s">
        <v>37</v>
      </c>
      <c r="GT118" s="44" t="s">
        <v>37</v>
      </c>
      <c r="GV118" s="44" t="s">
        <v>37</v>
      </c>
      <c r="GX118" s="44" t="s">
        <v>37</v>
      </c>
      <c r="GZ118" s="44" t="s">
        <v>37</v>
      </c>
      <c r="HB118" s="44" t="s">
        <v>37</v>
      </c>
      <c r="HD118" s="44" t="s">
        <v>37</v>
      </c>
      <c r="HF118" s="44" t="s">
        <v>37</v>
      </c>
      <c r="HG118" s="44">
        <v>17316</v>
      </c>
      <c r="HH118" s="44" t="s">
        <v>37</v>
      </c>
      <c r="HJ118" s="44" t="s">
        <v>37</v>
      </c>
      <c r="HK118" s="44">
        <v>17316</v>
      </c>
      <c r="HL118" s="44" t="s">
        <v>37</v>
      </c>
    </row>
    <row r="119" spans="1:220">
      <c r="A119" s="150" t="s">
        <v>411</v>
      </c>
      <c r="B119" s="44">
        <v>3192</v>
      </c>
      <c r="C119" s="44" t="s">
        <v>141</v>
      </c>
      <c r="D119" s="44" t="s">
        <v>37</v>
      </c>
      <c r="F119" s="44" t="s">
        <v>37</v>
      </c>
      <c r="H119" s="44" t="s">
        <v>37</v>
      </c>
      <c r="J119" s="44" t="s">
        <v>37</v>
      </c>
      <c r="L119" s="48" t="s">
        <v>37</v>
      </c>
      <c r="M119" s="50"/>
      <c r="N119" s="48" t="s">
        <v>37</v>
      </c>
      <c r="O119" s="50"/>
      <c r="P119" s="48" t="s">
        <v>37</v>
      </c>
      <c r="Q119" s="50"/>
      <c r="R119" s="48" t="s">
        <v>37</v>
      </c>
      <c r="S119" s="50"/>
      <c r="T119" s="48" t="s">
        <v>37</v>
      </c>
      <c r="V119" s="44" t="s">
        <v>37</v>
      </c>
      <c r="X119" s="44" t="s">
        <v>37</v>
      </c>
      <c r="Z119" s="44" t="s">
        <v>37</v>
      </c>
      <c r="AB119" s="44" t="s">
        <v>37</v>
      </c>
      <c r="AD119" s="44" t="s">
        <v>37</v>
      </c>
      <c r="AF119" s="44" t="s">
        <v>37</v>
      </c>
      <c r="AH119" s="44" t="s">
        <v>37</v>
      </c>
      <c r="AJ119" s="44" t="s">
        <v>37</v>
      </c>
      <c r="AL119" s="44" t="s">
        <v>37</v>
      </c>
      <c r="AN119" s="44" t="s">
        <v>37</v>
      </c>
      <c r="AP119" s="44" t="s">
        <v>37</v>
      </c>
      <c r="AR119" s="44" t="s">
        <v>37</v>
      </c>
      <c r="AT119" s="44" t="s">
        <v>37</v>
      </c>
      <c r="AV119" s="44" t="s">
        <v>37</v>
      </c>
      <c r="AX119" s="44" t="s">
        <v>37</v>
      </c>
      <c r="AZ119" s="44" t="s">
        <v>37</v>
      </c>
      <c r="BB119" s="44" t="s">
        <v>37</v>
      </c>
      <c r="BD119" s="44" t="s">
        <v>37</v>
      </c>
      <c r="BF119" s="44" t="s">
        <v>37</v>
      </c>
      <c r="BH119" s="44" t="s">
        <v>37</v>
      </c>
      <c r="BJ119" s="44" t="s">
        <v>37</v>
      </c>
      <c r="BL119" s="44" t="s">
        <v>37</v>
      </c>
      <c r="BN119" s="44" t="s">
        <v>37</v>
      </c>
      <c r="BP119" s="44" t="s">
        <v>37</v>
      </c>
      <c r="BR119" s="44" t="s">
        <v>37</v>
      </c>
      <c r="BT119" s="44" t="s">
        <v>37</v>
      </c>
      <c r="BV119" s="44" t="s">
        <v>37</v>
      </c>
      <c r="BX119" s="44" t="s">
        <v>37</v>
      </c>
      <c r="BZ119" s="44" t="s">
        <v>37</v>
      </c>
      <c r="CB119" s="44" t="s">
        <v>37</v>
      </c>
      <c r="CD119" s="44" t="s">
        <v>37</v>
      </c>
      <c r="CF119" s="44" t="s">
        <v>37</v>
      </c>
      <c r="CH119" s="44" t="s">
        <v>37</v>
      </c>
      <c r="CJ119" s="44" t="s">
        <v>37</v>
      </c>
      <c r="CL119" s="44" t="s">
        <v>37</v>
      </c>
      <c r="CN119" s="44" t="s">
        <v>37</v>
      </c>
      <c r="CP119" s="44" t="s">
        <v>37</v>
      </c>
      <c r="CR119" s="44" t="s">
        <v>37</v>
      </c>
      <c r="CT119" s="44" t="s">
        <v>37</v>
      </c>
      <c r="CV119" s="44" t="s">
        <v>37</v>
      </c>
      <c r="CX119" s="44" t="s">
        <v>37</v>
      </c>
      <c r="CZ119" s="44" t="s">
        <v>37</v>
      </c>
      <c r="DB119" s="44" t="s">
        <v>37</v>
      </c>
      <c r="DD119" s="44" t="s">
        <v>37</v>
      </c>
      <c r="DF119" s="44" t="s">
        <v>37</v>
      </c>
      <c r="DH119" s="44" t="s">
        <v>37</v>
      </c>
      <c r="DJ119" s="44" t="s">
        <v>37</v>
      </c>
      <c r="DL119" s="44" t="s">
        <v>37</v>
      </c>
      <c r="DN119" s="44" t="s">
        <v>37</v>
      </c>
      <c r="DP119" s="44" t="s">
        <v>37</v>
      </c>
      <c r="DR119" s="44" t="s">
        <v>37</v>
      </c>
      <c r="DT119" s="44" t="s">
        <v>37</v>
      </c>
      <c r="DV119" s="44" t="s">
        <v>37</v>
      </c>
      <c r="DX119" s="44" t="s">
        <v>37</v>
      </c>
      <c r="DZ119" s="44" t="s">
        <v>37</v>
      </c>
      <c r="EB119" s="44" t="s">
        <v>37</v>
      </c>
      <c r="ED119" s="44" t="s">
        <v>37</v>
      </c>
      <c r="EF119" s="44" t="s">
        <v>37</v>
      </c>
      <c r="EH119" s="44" t="s">
        <v>37</v>
      </c>
      <c r="EJ119" s="44" t="s">
        <v>37</v>
      </c>
      <c r="EL119" s="44" t="s">
        <v>37</v>
      </c>
      <c r="EM119" s="44">
        <v>746</v>
      </c>
      <c r="EN119" s="44" t="s">
        <v>37</v>
      </c>
      <c r="EP119" s="44" t="s">
        <v>37</v>
      </c>
      <c r="ER119" s="44" t="s">
        <v>37</v>
      </c>
      <c r="ET119" s="44" t="s">
        <v>37</v>
      </c>
      <c r="EV119" s="44" t="s">
        <v>37</v>
      </c>
      <c r="EX119" s="44" t="s">
        <v>37</v>
      </c>
      <c r="EZ119" s="44" t="s">
        <v>37</v>
      </c>
      <c r="FB119" s="44" t="s">
        <v>37</v>
      </c>
      <c r="FD119" s="44" t="s">
        <v>37</v>
      </c>
      <c r="FF119" s="44" t="s">
        <v>37</v>
      </c>
      <c r="FH119" s="44" t="s">
        <v>37</v>
      </c>
      <c r="FJ119" s="44" t="s">
        <v>37</v>
      </c>
      <c r="FL119" s="44" t="s">
        <v>37</v>
      </c>
      <c r="FN119" s="44" t="s">
        <v>37</v>
      </c>
      <c r="FP119" s="44" t="s">
        <v>37</v>
      </c>
      <c r="FR119" s="44" t="s">
        <v>37</v>
      </c>
      <c r="FT119" s="44" t="s">
        <v>37</v>
      </c>
      <c r="FV119" s="44" t="s">
        <v>37</v>
      </c>
      <c r="FX119" s="44" t="s">
        <v>37</v>
      </c>
      <c r="FZ119" s="44" t="s">
        <v>37</v>
      </c>
      <c r="GB119" s="44" t="s">
        <v>37</v>
      </c>
      <c r="GD119" s="44" t="s">
        <v>37</v>
      </c>
      <c r="GF119" s="44" t="s">
        <v>37</v>
      </c>
      <c r="GH119" s="44" t="s">
        <v>37</v>
      </c>
      <c r="GJ119" s="44" t="s">
        <v>37</v>
      </c>
      <c r="GL119" s="44" t="s">
        <v>37</v>
      </c>
      <c r="GN119" s="44" t="s">
        <v>37</v>
      </c>
      <c r="GP119" s="44" t="s">
        <v>37</v>
      </c>
      <c r="GR119" s="44" t="s">
        <v>37</v>
      </c>
      <c r="GT119" s="44" t="s">
        <v>37</v>
      </c>
      <c r="GV119" s="44" t="s">
        <v>37</v>
      </c>
      <c r="GX119" s="44" t="s">
        <v>37</v>
      </c>
      <c r="GZ119" s="44" t="s">
        <v>37</v>
      </c>
      <c r="HB119" s="44" t="s">
        <v>37</v>
      </c>
      <c r="HD119" s="44" t="s">
        <v>37</v>
      </c>
      <c r="HF119" s="44" t="s">
        <v>37</v>
      </c>
      <c r="HG119" s="44">
        <v>746</v>
      </c>
      <c r="HH119" s="44" t="s">
        <v>37</v>
      </c>
      <c r="HJ119" s="44" t="s">
        <v>37</v>
      </c>
      <c r="HK119" s="44">
        <v>746</v>
      </c>
      <c r="HL119" s="44" t="s">
        <v>37</v>
      </c>
    </row>
    <row r="120" spans="1:220">
      <c r="A120" s="150" t="s">
        <v>411</v>
      </c>
      <c r="B120" s="44">
        <v>3193</v>
      </c>
      <c r="C120" s="44" t="s">
        <v>142</v>
      </c>
      <c r="D120" s="44" t="s">
        <v>37</v>
      </c>
      <c r="E120" s="44">
        <v>3374</v>
      </c>
      <c r="F120" s="44" t="s">
        <v>37</v>
      </c>
      <c r="G120" s="44">
        <v>9137</v>
      </c>
      <c r="H120" s="44" t="s">
        <v>37</v>
      </c>
      <c r="J120" s="44" t="s">
        <v>37</v>
      </c>
      <c r="L120" s="48" t="s">
        <v>37</v>
      </c>
      <c r="M120" s="51">
        <v>1323</v>
      </c>
      <c r="N120" s="48" t="s">
        <v>37</v>
      </c>
      <c r="O120" s="51">
        <v>1127</v>
      </c>
      <c r="P120" s="48" t="s">
        <v>37</v>
      </c>
      <c r="Q120" s="50">
        <v>668</v>
      </c>
      <c r="R120" s="48" t="s">
        <v>37</v>
      </c>
      <c r="S120" s="50">
        <v>795</v>
      </c>
      <c r="T120" s="48" t="s">
        <v>37</v>
      </c>
      <c r="V120" s="44" t="s">
        <v>37</v>
      </c>
      <c r="X120" s="44" t="s">
        <v>37</v>
      </c>
      <c r="Z120" s="44" t="s">
        <v>37</v>
      </c>
      <c r="AA120" s="44">
        <v>986</v>
      </c>
      <c r="AB120" s="44" t="s">
        <v>37</v>
      </c>
      <c r="AC120" s="44">
        <v>1066</v>
      </c>
      <c r="AD120" s="44" t="s">
        <v>37</v>
      </c>
      <c r="AE120" s="44">
        <v>468</v>
      </c>
      <c r="AF120" s="44" t="s">
        <v>37</v>
      </c>
      <c r="AH120" s="44" t="s">
        <v>37</v>
      </c>
      <c r="AI120" s="44">
        <v>1641</v>
      </c>
      <c r="AJ120" s="44" t="s">
        <v>37</v>
      </c>
      <c r="AL120" s="44" t="s">
        <v>37</v>
      </c>
      <c r="AN120" s="44" t="s">
        <v>37</v>
      </c>
      <c r="AP120" s="44" t="s">
        <v>37</v>
      </c>
      <c r="AQ120" s="44">
        <v>7644</v>
      </c>
      <c r="AR120" s="44" t="s">
        <v>37</v>
      </c>
      <c r="AT120" s="44" t="s">
        <v>37</v>
      </c>
      <c r="AU120" s="44">
        <v>11931</v>
      </c>
      <c r="AV120" s="44" t="s">
        <v>37</v>
      </c>
      <c r="AW120" s="44">
        <v>4032</v>
      </c>
      <c r="AX120" s="44" t="s">
        <v>37</v>
      </c>
      <c r="AZ120" s="44" t="s">
        <v>37</v>
      </c>
      <c r="BA120" s="44">
        <v>3109</v>
      </c>
      <c r="BB120" s="44" t="s">
        <v>37</v>
      </c>
      <c r="BC120" s="44">
        <v>1972</v>
      </c>
      <c r="BD120" s="44" t="s">
        <v>37</v>
      </c>
      <c r="BF120" s="44" t="s">
        <v>37</v>
      </c>
      <c r="BG120" s="44">
        <v>515</v>
      </c>
      <c r="BH120" s="44" t="s">
        <v>37</v>
      </c>
      <c r="BJ120" s="44" t="s">
        <v>37</v>
      </c>
      <c r="BK120" s="44">
        <v>2773</v>
      </c>
      <c r="BL120" s="44" t="s">
        <v>37</v>
      </c>
      <c r="BN120" s="44" t="s">
        <v>37</v>
      </c>
      <c r="BP120" s="44" t="s">
        <v>37</v>
      </c>
      <c r="BQ120" s="44">
        <v>613</v>
      </c>
      <c r="BR120" s="44" t="s">
        <v>37</v>
      </c>
      <c r="BT120" s="44" t="s">
        <v>37</v>
      </c>
      <c r="BU120" s="44">
        <v>607</v>
      </c>
      <c r="BV120" s="44" t="s">
        <v>37</v>
      </c>
      <c r="BX120" s="44" t="s">
        <v>37</v>
      </c>
      <c r="BY120" s="44">
        <v>3898</v>
      </c>
      <c r="BZ120" s="44" t="s">
        <v>37</v>
      </c>
      <c r="CB120" s="44" t="s">
        <v>37</v>
      </c>
      <c r="CD120" s="44" t="s">
        <v>37</v>
      </c>
      <c r="CF120" s="44" t="s">
        <v>37</v>
      </c>
      <c r="CH120" s="44" t="s">
        <v>37</v>
      </c>
      <c r="CI120" s="44">
        <v>11138</v>
      </c>
      <c r="CJ120" s="44" t="s">
        <v>37</v>
      </c>
      <c r="CK120" s="44">
        <v>427</v>
      </c>
      <c r="CL120" s="44" t="s">
        <v>37</v>
      </c>
      <c r="CN120" s="44" t="s">
        <v>37</v>
      </c>
      <c r="CO120" s="44">
        <v>573</v>
      </c>
      <c r="CP120" s="44" t="s">
        <v>37</v>
      </c>
      <c r="CQ120" s="44">
        <v>492</v>
      </c>
      <c r="CR120" s="44" t="s">
        <v>37</v>
      </c>
      <c r="CT120" s="44" t="s">
        <v>37</v>
      </c>
      <c r="CU120" s="44">
        <v>1944</v>
      </c>
      <c r="CV120" s="44" t="s">
        <v>37</v>
      </c>
      <c r="CW120" s="44">
        <v>16534</v>
      </c>
      <c r="CX120" s="44" t="s">
        <v>37</v>
      </c>
      <c r="CY120" s="44">
        <v>337</v>
      </c>
      <c r="CZ120" s="44" t="s">
        <v>37</v>
      </c>
      <c r="DB120" s="44" t="s">
        <v>37</v>
      </c>
      <c r="DD120" s="44" t="s">
        <v>37</v>
      </c>
      <c r="DF120" s="44" t="s">
        <v>37</v>
      </c>
      <c r="DG120" s="44">
        <v>1512</v>
      </c>
      <c r="DH120" s="44" t="s">
        <v>37</v>
      </c>
      <c r="DI120" s="44">
        <v>8957</v>
      </c>
      <c r="DJ120" s="44" t="s">
        <v>37</v>
      </c>
      <c r="DK120" s="44">
        <v>2712</v>
      </c>
      <c r="DL120" s="44" t="s">
        <v>37</v>
      </c>
      <c r="DM120" s="44">
        <v>8742</v>
      </c>
      <c r="DN120" s="44" t="s">
        <v>37</v>
      </c>
      <c r="DO120" s="44">
        <v>136</v>
      </c>
      <c r="DP120" s="44" t="s">
        <v>37</v>
      </c>
      <c r="DR120" s="44" t="s">
        <v>37</v>
      </c>
      <c r="DS120" s="44">
        <v>710</v>
      </c>
      <c r="DT120" s="44" t="s">
        <v>37</v>
      </c>
      <c r="DU120" s="44">
        <v>2354</v>
      </c>
      <c r="DV120" s="44" t="s">
        <v>37</v>
      </c>
      <c r="DW120" s="44">
        <v>6949</v>
      </c>
      <c r="DX120" s="44" t="s">
        <v>37</v>
      </c>
      <c r="DZ120" s="44" t="s">
        <v>37</v>
      </c>
      <c r="EA120" s="44">
        <v>1051</v>
      </c>
      <c r="EB120" s="44" t="s">
        <v>37</v>
      </c>
      <c r="ED120" s="44" t="s">
        <v>37</v>
      </c>
      <c r="EE120" s="44">
        <v>614</v>
      </c>
      <c r="EF120" s="44" t="s">
        <v>37</v>
      </c>
      <c r="EH120" s="44" t="s">
        <v>37</v>
      </c>
      <c r="EJ120" s="44" t="s">
        <v>37</v>
      </c>
      <c r="EK120" s="44">
        <v>1242</v>
      </c>
      <c r="EL120" s="44" t="s">
        <v>37</v>
      </c>
      <c r="EM120" s="44">
        <v>596</v>
      </c>
      <c r="EN120" s="44" t="s">
        <v>37</v>
      </c>
      <c r="EO120" s="44">
        <v>344</v>
      </c>
      <c r="EP120" s="44" t="s">
        <v>37</v>
      </c>
      <c r="ER120" s="44" t="s">
        <v>37</v>
      </c>
      <c r="ET120" s="44" t="s">
        <v>37</v>
      </c>
      <c r="EU120" s="44">
        <v>6145</v>
      </c>
      <c r="EV120" s="44" t="s">
        <v>37</v>
      </c>
      <c r="EW120" s="44">
        <v>1505</v>
      </c>
      <c r="EX120" s="44" t="s">
        <v>37</v>
      </c>
      <c r="EZ120" s="44" t="s">
        <v>37</v>
      </c>
      <c r="FA120" s="44">
        <v>1487</v>
      </c>
      <c r="FB120" s="44" t="s">
        <v>37</v>
      </c>
      <c r="FC120" s="44">
        <v>1227</v>
      </c>
      <c r="FD120" s="44" t="s">
        <v>37</v>
      </c>
      <c r="FE120" s="44">
        <v>5804</v>
      </c>
      <c r="FF120" s="44" t="s">
        <v>37</v>
      </c>
      <c r="FH120" s="44" t="s">
        <v>37</v>
      </c>
      <c r="FI120" s="44">
        <v>5332</v>
      </c>
      <c r="FJ120" s="44" t="s">
        <v>37</v>
      </c>
      <c r="FK120" s="44">
        <v>11630</v>
      </c>
      <c r="FL120" s="44" t="s">
        <v>37</v>
      </c>
      <c r="FM120" s="44">
        <v>15593</v>
      </c>
      <c r="FN120" s="44" t="s">
        <v>37</v>
      </c>
      <c r="FO120" s="44">
        <v>1130</v>
      </c>
      <c r="FP120" s="44" t="s">
        <v>37</v>
      </c>
      <c r="FQ120" s="44">
        <v>1313</v>
      </c>
      <c r="FR120" s="44" t="s">
        <v>37</v>
      </c>
      <c r="FS120" s="44">
        <v>2071</v>
      </c>
      <c r="FT120" s="44" t="s">
        <v>37</v>
      </c>
      <c r="FU120" s="44">
        <v>734</v>
      </c>
      <c r="FV120" s="44" t="s">
        <v>37</v>
      </c>
      <c r="FW120" s="44">
        <v>929</v>
      </c>
      <c r="FX120" s="44" t="s">
        <v>37</v>
      </c>
      <c r="FY120" s="44">
        <v>3026</v>
      </c>
      <c r="FZ120" s="44" t="s">
        <v>37</v>
      </c>
      <c r="GA120" s="44">
        <v>7653</v>
      </c>
      <c r="GB120" s="44" t="s">
        <v>37</v>
      </c>
      <c r="GC120" s="44">
        <v>21735</v>
      </c>
      <c r="GD120" s="44" t="s">
        <v>37</v>
      </c>
      <c r="GF120" s="44" t="s">
        <v>37</v>
      </c>
      <c r="GH120" s="44" t="s">
        <v>37</v>
      </c>
      <c r="GJ120" s="44" t="s">
        <v>37</v>
      </c>
      <c r="GK120" s="44">
        <v>1380</v>
      </c>
      <c r="GL120" s="44" t="s">
        <v>37</v>
      </c>
      <c r="GN120" s="44" t="s">
        <v>37</v>
      </c>
      <c r="GP120" s="44" t="s">
        <v>37</v>
      </c>
      <c r="GR120" s="44" t="s">
        <v>37</v>
      </c>
      <c r="GT120" s="44" t="s">
        <v>37</v>
      </c>
      <c r="GV120" s="44" t="s">
        <v>37</v>
      </c>
      <c r="GW120" s="44">
        <v>1127</v>
      </c>
      <c r="GX120" s="44" t="s">
        <v>37</v>
      </c>
      <c r="GY120" s="44">
        <v>4610</v>
      </c>
      <c r="GZ120" s="44" t="s">
        <v>37</v>
      </c>
      <c r="HA120" s="44">
        <v>1334</v>
      </c>
      <c r="HB120" s="44" t="s">
        <v>37</v>
      </c>
      <c r="HD120" s="44" t="s">
        <v>37</v>
      </c>
      <c r="HF120" s="44" t="s">
        <v>37</v>
      </c>
      <c r="HG120" s="44">
        <v>220808</v>
      </c>
      <c r="HH120" s="44" t="s">
        <v>37</v>
      </c>
      <c r="HJ120" s="44" t="s">
        <v>37</v>
      </c>
      <c r="HK120" s="44">
        <v>220808</v>
      </c>
      <c r="HL120" s="44" t="s">
        <v>37</v>
      </c>
    </row>
    <row r="121" spans="1:220">
      <c r="A121" s="150" t="s">
        <v>411</v>
      </c>
      <c r="B121" s="44">
        <v>3194</v>
      </c>
      <c r="C121" s="44" t="s">
        <v>143</v>
      </c>
      <c r="D121" s="44" t="s">
        <v>37</v>
      </c>
      <c r="F121" s="44" t="s">
        <v>37</v>
      </c>
      <c r="H121" s="44" t="s">
        <v>37</v>
      </c>
      <c r="J121" s="44" t="s">
        <v>37</v>
      </c>
      <c r="L121" s="48" t="s">
        <v>37</v>
      </c>
      <c r="M121" s="50"/>
      <c r="N121" s="48" t="s">
        <v>37</v>
      </c>
      <c r="O121" s="50"/>
      <c r="P121" s="48" t="s">
        <v>37</v>
      </c>
      <c r="Q121" s="50"/>
      <c r="R121" s="48" t="s">
        <v>37</v>
      </c>
      <c r="S121" s="50"/>
      <c r="T121" s="48" t="s">
        <v>37</v>
      </c>
      <c r="V121" s="44" t="s">
        <v>37</v>
      </c>
      <c r="X121" s="44" t="s">
        <v>37</v>
      </c>
      <c r="Z121" s="44" t="s">
        <v>37</v>
      </c>
      <c r="AB121" s="44" t="s">
        <v>37</v>
      </c>
      <c r="AD121" s="44" t="s">
        <v>37</v>
      </c>
      <c r="AF121" s="44" t="s">
        <v>37</v>
      </c>
      <c r="AH121" s="44" t="s">
        <v>37</v>
      </c>
      <c r="AJ121" s="44" t="s">
        <v>37</v>
      </c>
      <c r="AL121" s="44" t="s">
        <v>37</v>
      </c>
      <c r="AN121" s="44" t="s">
        <v>37</v>
      </c>
      <c r="AP121" s="44" t="s">
        <v>37</v>
      </c>
      <c r="AR121" s="44" t="s">
        <v>37</v>
      </c>
      <c r="AT121" s="44" t="s">
        <v>37</v>
      </c>
      <c r="AV121" s="44" t="s">
        <v>37</v>
      </c>
      <c r="AX121" s="44" t="s">
        <v>37</v>
      </c>
      <c r="AZ121" s="44" t="s">
        <v>37</v>
      </c>
      <c r="BB121" s="44" t="s">
        <v>37</v>
      </c>
      <c r="BD121" s="44" t="s">
        <v>37</v>
      </c>
      <c r="BF121" s="44" t="s">
        <v>37</v>
      </c>
      <c r="BH121" s="44" t="s">
        <v>37</v>
      </c>
      <c r="BJ121" s="44" t="s">
        <v>37</v>
      </c>
      <c r="BL121" s="44" t="s">
        <v>37</v>
      </c>
      <c r="BN121" s="44" t="s">
        <v>37</v>
      </c>
      <c r="BP121" s="44" t="s">
        <v>37</v>
      </c>
      <c r="BR121" s="44" t="s">
        <v>37</v>
      </c>
      <c r="BT121" s="44" t="s">
        <v>37</v>
      </c>
      <c r="BV121" s="44" t="s">
        <v>37</v>
      </c>
      <c r="BX121" s="44" t="s">
        <v>37</v>
      </c>
      <c r="BZ121" s="44" t="s">
        <v>37</v>
      </c>
      <c r="CB121" s="44" t="s">
        <v>37</v>
      </c>
      <c r="CD121" s="44" t="s">
        <v>37</v>
      </c>
      <c r="CF121" s="44" t="s">
        <v>37</v>
      </c>
      <c r="CH121" s="44" t="s">
        <v>37</v>
      </c>
      <c r="CJ121" s="44" t="s">
        <v>37</v>
      </c>
      <c r="CL121" s="44" t="s">
        <v>37</v>
      </c>
      <c r="CN121" s="44" t="s">
        <v>37</v>
      </c>
      <c r="CP121" s="44" t="s">
        <v>37</v>
      </c>
      <c r="CR121" s="44" t="s">
        <v>37</v>
      </c>
      <c r="CT121" s="44" t="s">
        <v>37</v>
      </c>
      <c r="CV121" s="44" t="s">
        <v>37</v>
      </c>
      <c r="CX121" s="44" t="s">
        <v>37</v>
      </c>
      <c r="CZ121" s="44" t="s">
        <v>37</v>
      </c>
      <c r="DB121" s="44" t="s">
        <v>37</v>
      </c>
      <c r="DD121" s="44" t="s">
        <v>37</v>
      </c>
      <c r="DF121" s="44" t="s">
        <v>37</v>
      </c>
      <c r="DH121" s="44" t="s">
        <v>37</v>
      </c>
      <c r="DJ121" s="44" t="s">
        <v>37</v>
      </c>
      <c r="DL121" s="44" t="s">
        <v>37</v>
      </c>
      <c r="DN121" s="44" t="s">
        <v>37</v>
      </c>
      <c r="DP121" s="44" t="s">
        <v>37</v>
      </c>
      <c r="DR121" s="44" t="s">
        <v>37</v>
      </c>
      <c r="DT121" s="44" t="s">
        <v>37</v>
      </c>
      <c r="DV121" s="44" t="s">
        <v>37</v>
      </c>
      <c r="DX121" s="44" t="s">
        <v>37</v>
      </c>
      <c r="DZ121" s="44" t="s">
        <v>37</v>
      </c>
      <c r="EB121" s="44" t="s">
        <v>37</v>
      </c>
      <c r="ED121" s="44" t="s">
        <v>37</v>
      </c>
      <c r="EF121" s="44" t="s">
        <v>37</v>
      </c>
      <c r="EH121" s="44" t="s">
        <v>37</v>
      </c>
      <c r="EJ121" s="44" t="s">
        <v>37</v>
      </c>
      <c r="EL121" s="44" t="s">
        <v>37</v>
      </c>
      <c r="EN121" s="44" t="s">
        <v>37</v>
      </c>
      <c r="EP121" s="44" t="s">
        <v>37</v>
      </c>
      <c r="ER121" s="44" t="s">
        <v>37</v>
      </c>
      <c r="ET121" s="44" t="s">
        <v>37</v>
      </c>
      <c r="EV121" s="44" t="s">
        <v>37</v>
      </c>
      <c r="EX121" s="44" t="s">
        <v>37</v>
      </c>
      <c r="EZ121" s="44" t="s">
        <v>37</v>
      </c>
      <c r="FB121" s="44" t="s">
        <v>37</v>
      </c>
      <c r="FD121" s="44" t="s">
        <v>37</v>
      </c>
      <c r="FF121" s="44" t="s">
        <v>37</v>
      </c>
      <c r="FH121" s="44" t="s">
        <v>37</v>
      </c>
      <c r="FJ121" s="44" t="s">
        <v>37</v>
      </c>
      <c r="FL121" s="44" t="s">
        <v>37</v>
      </c>
      <c r="FN121" s="44" t="s">
        <v>37</v>
      </c>
      <c r="FP121" s="44" t="s">
        <v>37</v>
      </c>
      <c r="FR121" s="44" t="s">
        <v>37</v>
      </c>
      <c r="FT121" s="44" t="s">
        <v>37</v>
      </c>
      <c r="FV121" s="44" t="s">
        <v>37</v>
      </c>
      <c r="FX121" s="44" t="s">
        <v>37</v>
      </c>
      <c r="FZ121" s="44" t="s">
        <v>37</v>
      </c>
      <c r="GB121" s="44" t="s">
        <v>37</v>
      </c>
      <c r="GD121" s="44" t="s">
        <v>37</v>
      </c>
      <c r="GF121" s="44" t="s">
        <v>37</v>
      </c>
      <c r="GH121" s="44" t="s">
        <v>37</v>
      </c>
      <c r="GJ121" s="44" t="s">
        <v>37</v>
      </c>
      <c r="GL121" s="44" t="s">
        <v>37</v>
      </c>
      <c r="GN121" s="44" t="s">
        <v>37</v>
      </c>
      <c r="GP121" s="44" t="s">
        <v>37</v>
      </c>
      <c r="GR121" s="44" t="s">
        <v>37</v>
      </c>
      <c r="GT121" s="44" t="s">
        <v>37</v>
      </c>
      <c r="GV121" s="44" t="s">
        <v>37</v>
      </c>
      <c r="GX121" s="44" t="s">
        <v>37</v>
      </c>
      <c r="GZ121" s="44" t="s">
        <v>37</v>
      </c>
      <c r="HB121" s="44" t="s">
        <v>37</v>
      </c>
      <c r="HD121" s="44" t="s">
        <v>37</v>
      </c>
      <c r="HF121" s="44" t="s">
        <v>37</v>
      </c>
      <c r="HH121" s="44" t="s">
        <v>37</v>
      </c>
      <c r="HJ121" s="44" t="s">
        <v>37</v>
      </c>
      <c r="HL121" s="44" t="s">
        <v>37</v>
      </c>
    </row>
    <row r="122" spans="1:220">
      <c r="A122" s="150" t="s">
        <v>411</v>
      </c>
      <c r="B122" s="44">
        <v>3195</v>
      </c>
      <c r="C122" s="44" t="s">
        <v>144</v>
      </c>
      <c r="D122" s="44" t="s">
        <v>37</v>
      </c>
      <c r="F122" s="44" t="s">
        <v>37</v>
      </c>
      <c r="H122" s="44" t="s">
        <v>37</v>
      </c>
      <c r="J122" s="44" t="s">
        <v>37</v>
      </c>
      <c r="L122" s="48" t="s">
        <v>37</v>
      </c>
      <c r="M122" s="50"/>
      <c r="N122" s="48" t="s">
        <v>37</v>
      </c>
      <c r="O122" s="50"/>
      <c r="P122" s="48" t="s">
        <v>37</v>
      </c>
      <c r="Q122" s="50"/>
      <c r="R122" s="48" t="s">
        <v>37</v>
      </c>
      <c r="S122" s="50"/>
      <c r="T122" s="48" t="s">
        <v>37</v>
      </c>
      <c r="U122" s="44">
        <v>7561</v>
      </c>
      <c r="V122" s="44" t="s">
        <v>37</v>
      </c>
      <c r="X122" s="44" t="s">
        <v>37</v>
      </c>
      <c r="Z122" s="44" t="s">
        <v>37</v>
      </c>
      <c r="AB122" s="44" t="s">
        <v>37</v>
      </c>
      <c r="AD122" s="44" t="s">
        <v>37</v>
      </c>
      <c r="AF122" s="44" t="s">
        <v>37</v>
      </c>
      <c r="AH122" s="44" t="s">
        <v>37</v>
      </c>
      <c r="AJ122" s="44" t="s">
        <v>37</v>
      </c>
      <c r="AL122" s="44" t="s">
        <v>37</v>
      </c>
      <c r="AN122" s="44" t="s">
        <v>37</v>
      </c>
      <c r="AP122" s="44" t="s">
        <v>37</v>
      </c>
      <c r="AR122" s="44" t="s">
        <v>37</v>
      </c>
      <c r="AT122" s="44" t="s">
        <v>37</v>
      </c>
      <c r="AV122" s="44" t="s">
        <v>37</v>
      </c>
      <c r="AX122" s="44" t="s">
        <v>37</v>
      </c>
      <c r="AZ122" s="44" t="s">
        <v>37</v>
      </c>
      <c r="BB122" s="44" t="s">
        <v>37</v>
      </c>
      <c r="BD122" s="44" t="s">
        <v>37</v>
      </c>
      <c r="BF122" s="44" t="s">
        <v>37</v>
      </c>
      <c r="BH122" s="44" t="s">
        <v>37</v>
      </c>
      <c r="BJ122" s="44" t="s">
        <v>37</v>
      </c>
      <c r="BL122" s="44" t="s">
        <v>37</v>
      </c>
      <c r="BN122" s="44" t="s">
        <v>37</v>
      </c>
      <c r="BP122" s="44" t="s">
        <v>37</v>
      </c>
      <c r="BR122" s="44" t="s">
        <v>37</v>
      </c>
      <c r="BT122" s="44" t="s">
        <v>37</v>
      </c>
      <c r="BV122" s="44" t="s">
        <v>37</v>
      </c>
      <c r="BX122" s="44" t="s">
        <v>37</v>
      </c>
      <c r="BZ122" s="44" t="s">
        <v>37</v>
      </c>
      <c r="CB122" s="44" t="s">
        <v>37</v>
      </c>
      <c r="CD122" s="44" t="s">
        <v>37</v>
      </c>
      <c r="CF122" s="44" t="s">
        <v>37</v>
      </c>
      <c r="CH122" s="44" t="s">
        <v>37</v>
      </c>
      <c r="CJ122" s="44" t="s">
        <v>37</v>
      </c>
      <c r="CL122" s="44" t="s">
        <v>37</v>
      </c>
      <c r="CN122" s="44" t="s">
        <v>37</v>
      </c>
      <c r="CP122" s="44" t="s">
        <v>37</v>
      </c>
      <c r="CR122" s="44" t="s">
        <v>37</v>
      </c>
      <c r="CT122" s="44" t="s">
        <v>37</v>
      </c>
      <c r="CV122" s="44" t="s">
        <v>37</v>
      </c>
      <c r="CW122" s="44">
        <v>28000</v>
      </c>
      <c r="CX122" s="44" t="s">
        <v>37</v>
      </c>
      <c r="CZ122" s="44" t="s">
        <v>37</v>
      </c>
      <c r="DB122" s="44" t="s">
        <v>37</v>
      </c>
      <c r="DD122" s="44" t="s">
        <v>37</v>
      </c>
      <c r="DF122" s="44" t="s">
        <v>37</v>
      </c>
      <c r="DH122" s="44" t="s">
        <v>37</v>
      </c>
      <c r="DJ122" s="44" t="s">
        <v>37</v>
      </c>
      <c r="DL122" s="44" t="s">
        <v>37</v>
      </c>
      <c r="DN122" s="44" t="s">
        <v>37</v>
      </c>
      <c r="DP122" s="44" t="s">
        <v>37</v>
      </c>
      <c r="DQ122" s="44">
        <v>9300</v>
      </c>
      <c r="DR122" s="44" t="s">
        <v>37</v>
      </c>
      <c r="DS122" s="44">
        <v>28000</v>
      </c>
      <c r="DT122" s="44" t="s">
        <v>37</v>
      </c>
      <c r="DV122" s="44" t="s">
        <v>37</v>
      </c>
      <c r="DW122" s="44">
        <v>25415</v>
      </c>
      <c r="DX122" s="44" t="s">
        <v>37</v>
      </c>
      <c r="DY122" s="44">
        <v>56000</v>
      </c>
      <c r="DZ122" s="44" t="s">
        <v>37</v>
      </c>
      <c r="EB122" s="44" t="s">
        <v>37</v>
      </c>
      <c r="EC122" s="44">
        <v>149943</v>
      </c>
      <c r="ED122" s="44" t="s">
        <v>37</v>
      </c>
      <c r="EE122" s="44">
        <v>27001</v>
      </c>
      <c r="EF122" s="44" t="s">
        <v>37</v>
      </c>
      <c r="EH122" s="44" t="s">
        <v>37</v>
      </c>
      <c r="EJ122" s="44" t="s">
        <v>37</v>
      </c>
      <c r="EL122" s="44" t="s">
        <v>37</v>
      </c>
      <c r="EN122" s="44" t="s">
        <v>37</v>
      </c>
      <c r="EO122" s="44">
        <v>21000</v>
      </c>
      <c r="EP122" s="44" t="s">
        <v>37</v>
      </c>
      <c r="ER122" s="44" t="s">
        <v>37</v>
      </c>
      <c r="ET122" s="44" t="s">
        <v>37</v>
      </c>
      <c r="EU122" s="44">
        <v>17792</v>
      </c>
      <c r="EV122" s="44" t="s">
        <v>37</v>
      </c>
      <c r="EW122" s="44">
        <v>28000</v>
      </c>
      <c r="EX122" s="44" t="s">
        <v>37</v>
      </c>
      <c r="EZ122" s="44" t="s">
        <v>37</v>
      </c>
      <c r="FB122" s="44" t="s">
        <v>37</v>
      </c>
      <c r="FD122" s="44" t="s">
        <v>37</v>
      </c>
      <c r="FE122" s="44">
        <v>28000</v>
      </c>
      <c r="FF122" s="44" t="s">
        <v>37</v>
      </c>
      <c r="FH122" s="44" t="s">
        <v>37</v>
      </c>
      <c r="FJ122" s="44" t="s">
        <v>37</v>
      </c>
      <c r="FK122" s="44">
        <v>3745</v>
      </c>
      <c r="FL122" s="44" t="s">
        <v>37</v>
      </c>
      <c r="FM122" s="44">
        <v>81065</v>
      </c>
      <c r="FN122" s="44" t="s">
        <v>37</v>
      </c>
      <c r="FP122" s="44" t="s">
        <v>37</v>
      </c>
      <c r="FQ122" s="44">
        <v>28000</v>
      </c>
      <c r="FR122" s="44" t="s">
        <v>37</v>
      </c>
      <c r="FS122" s="44">
        <v>28000</v>
      </c>
      <c r="FT122" s="44" t="s">
        <v>37</v>
      </c>
      <c r="FV122" s="44" t="s">
        <v>37</v>
      </c>
      <c r="FX122" s="44" t="s">
        <v>37</v>
      </c>
      <c r="FZ122" s="44" t="s">
        <v>37</v>
      </c>
      <c r="GA122" s="44">
        <v>27403</v>
      </c>
      <c r="GB122" s="44" t="s">
        <v>37</v>
      </c>
      <c r="GC122" s="44">
        <v>24999</v>
      </c>
      <c r="GD122" s="44" t="s">
        <v>37</v>
      </c>
      <c r="GF122" s="44" t="s">
        <v>37</v>
      </c>
      <c r="GH122" s="44" t="s">
        <v>37</v>
      </c>
      <c r="GJ122" s="44" t="s">
        <v>37</v>
      </c>
      <c r="GK122" s="44">
        <v>28000</v>
      </c>
      <c r="GL122" s="44" t="s">
        <v>37</v>
      </c>
      <c r="GM122" s="44">
        <v>26718</v>
      </c>
      <c r="GN122" s="44" t="s">
        <v>37</v>
      </c>
      <c r="GP122" s="44" t="s">
        <v>37</v>
      </c>
      <c r="GQ122" s="44">
        <v>27538</v>
      </c>
      <c r="GR122" s="44" t="s">
        <v>37</v>
      </c>
      <c r="GT122" s="44" t="s">
        <v>37</v>
      </c>
      <c r="GV122" s="44" t="s">
        <v>37</v>
      </c>
      <c r="GX122" s="44" t="s">
        <v>37</v>
      </c>
      <c r="GY122" s="44">
        <v>28000</v>
      </c>
      <c r="GZ122" s="44" t="s">
        <v>37</v>
      </c>
      <c r="HB122" s="44" t="s">
        <v>37</v>
      </c>
      <c r="HD122" s="44" t="s">
        <v>37</v>
      </c>
      <c r="HF122" s="44" t="s">
        <v>37</v>
      </c>
      <c r="HG122" s="44">
        <v>729480</v>
      </c>
      <c r="HH122" s="44" t="s">
        <v>37</v>
      </c>
      <c r="HJ122" s="44" t="s">
        <v>37</v>
      </c>
      <c r="HK122" s="44">
        <v>729480</v>
      </c>
      <c r="HL122" s="44" t="s">
        <v>37</v>
      </c>
    </row>
    <row r="123" spans="1:220">
      <c r="A123" s="150" t="s">
        <v>411</v>
      </c>
      <c r="B123" s="44">
        <v>3196</v>
      </c>
      <c r="C123" s="44" t="s">
        <v>145</v>
      </c>
      <c r="D123" s="44" t="s">
        <v>37</v>
      </c>
      <c r="F123" s="44" t="s">
        <v>37</v>
      </c>
      <c r="H123" s="44" t="s">
        <v>37</v>
      </c>
      <c r="J123" s="44" t="s">
        <v>37</v>
      </c>
      <c r="L123" s="48" t="s">
        <v>37</v>
      </c>
      <c r="M123" s="50"/>
      <c r="N123" s="48" t="s">
        <v>37</v>
      </c>
      <c r="O123" s="50"/>
      <c r="P123" s="48" t="s">
        <v>37</v>
      </c>
      <c r="Q123" s="50"/>
      <c r="R123" s="48" t="s">
        <v>37</v>
      </c>
      <c r="S123" s="50"/>
      <c r="T123" s="48" t="s">
        <v>37</v>
      </c>
      <c r="V123" s="44" t="s">
        <v>37</v>
      </c>
      <c r="X123" s="44" t="s">
        <v>37</v>
      </c>
      <c r="Z123" s="44" t="s">
        <v>37</v>
      </c>
      <c r="AB123" s="44" t="s">
        <v>37</v>
      </c>
      <c r="AD123" s="44" t="s">
        <v>37</v>
      </c>
      <c r="AF123" s="44" t="s">
        <v>37</v>
      </c>
      <c r="AH123" s="44" t="s">
        <v>37</v>
      </c>
      <c r="AJ123" s="44" t="s">
        <v>37</v>
      </c>
      <c r="AL123" s="44" t="s">
        <v>37</v>
      </c>
      <c r="AN123" s="44" t="s">
        <v>37</v>
      </c>
      <c r="AP123" s="44" t="s">
        <v>37</v>
      </c>
      <c r="AR123" s="44" t="s">
        <v>37</v>
      </c>
      <c r="AT123" s="44" t="s">
        <v>37</v>
      </c>
      <c r="AV123" s="44" t="s">
        <v>37</v>
      </c>
      <c r="AX123" s="44" t="s">
        <v>37</v>
      </c>
      <c r="AZ123" s="44" t="s">
        <v>37</v>
      </c>
      <c r="BB123" s="44" t="s">
        <v>37</v>
      </c>
      <c r="BD123" s="44" t="s">
        <v>37</v>
      </c>
      <c r="BF123" s="44" t="s">
        <v>37</v>
      </c>
      <c r="BH123" s="44" t="s">
        <v>37</v>
      </c>
      <c r="BJ123" s="44" t="s">
        <v>37</v>
      </c>
      <c r="BL123" s="44" t="s">
        <v>37</v>
      </c>
      <c r="BN123" s="44" t="s">
        <v>37</v>
      </c>
      <c r="BP123" s="44" t="s">
        <v>37</v>
      </c>
      <c r="BR123" s="44" t="s">
        <v>37</v>
      </c>
      <c r="BT123" s="44" t="s">
        <v>37</v>
      </c>
      <c r="BV123" s="44" t="s">
        <v>37</v>
      </c>
      <c r="BX123" s="44" t="s">
        <v>37</v>
      </c>
      <c r="BZ123" s="44" t="s">
        <v>37</v>
      </c>
      <c r="CB123" s="44" t="s">
        <v>37</v>
      </c>
      <c r="CD123" s="44" t="s">
        <v>37</v>
      </c>
      <c r="CF123" s="44" t="s">
        <v>37</v>
      </c>
      <c r="CH123" s="44" t="s">
        <v>37</v>
      </c>
      <c r="CJ123" s="44" t="s">
        <v>37</v>
      </c>
      <c r="CL123" s="44" t="s">
        <v>37</v>
      </c>
      <c r="CN123" s="44" t="s">
        <v>37</v>
      </c>
      <c r="CP123" s="44" t="s">
        <v>37</v>
      </c>
      <c r="CR123" s="44" t="s">
        <v>37</v>
      </c>
      <c r="CT123" s="44" t="s">
        <v>37</v>
      </c>
      <c r="CV123" s="44" t="s">
        <v>37</v>
      </c>
      <c r="CX123" s="44" t="s">
        <v>37</v>
      </c>
      <c r="CZ123" s="44" t="s">
        <v>37</v>
      </c>
      <c r="DB123" s="44" t="s">
        <v>37</v>
      </c>
      <c r="DD123" s="44" t="s">
        <v>37</v>
      </c>
      <c r="DF123" s="44" t="s">
        <v>37</v>
      </c>
      <c r="DH123" s="44" t="s">
        <v>37</v>
      </c>
      <c r="DJ123" s="44" t="s">
        <v>37</v>
      </c>
      <c r="DL123" s="44" t="s">
        <v>37</v>
      </c>
      <c r="DN123" s="44" t="s">
        <v>37</v>
      </c>
      <c r="DP123" s="44" t="s">
        <v>37</v>
      </c>
      <c r="DR123" s="44" t="s">
        <v>37</v>
      </c>
      <c r="DT123" s="44" t="s">
        <v>37</v>
      </c>
      <c r="DU123" s="44">
        <v>454</v>
      </c>
      <c r="DV123" s="44" t="s">
        <v>37</v>
      </c>
      <c r="DX123" s="44" t="s">
        <v>37</v>
      </c>
      <c r="DZ123" s="44" t="s">
        <v>37</v>
      </c>
      <c r="EB123" s="44" t="s">
        <v>37</v>
      </c>
      <c r="ED123" s="44" t="s">
        <v>37</v>
      </c>
      <c r="EF123" s="44" t="s">
        <v>37</v>
      </c>
      <c r="EH123" s="44" t="s">
        <v>37</v>
      </c>
      <c r="EJ123" s="44" t="s">
        <v>37</v>
      </c>
      <c r="EL123" s="44" t="s">
        <v>37</v>
      </c>
      <c r="EN123" s="44" t="s">
        <v>37</v>
      </c>
      <c r="EP123" s="44" t="s">
        <v>37</v>
      </c>
      <c r="ER123" s="44" t="s">
        <v>37</v>
      </c>
      <c r="ET123" s="44" t="s">
        <v>37</v>
      </c>
      <c r="EV123" s="44" t="s">
        <v>37</v>
      </c>
      <c r="EX123" s="44" t="s">
        <v>37</v>
      </c>
      <c r="EZ123" s="44" t="s">
        <v>37</v>
      </c>
      <c r="FB123" s="44" t="s">
        <v>37</v>
      </c>
      <c r="FD123" s="44" t="s">
        <v>37</v>
      </c>
      <c r="FF123" s="44" t="s">
        <v>37</v>
      </c>
      <c r="FH123" s="44" t="s">
        <v>37</v>
      </c>
      <c r="FJ123" s="44" t="s">
        <v>37</v>
      </c>
      <c r="FL123" s="44" t="s">
        <v>37</v>
      </c>
      <c r="FN123" s="44" t="s">
        <v>37</v>
      </c>
      <c r="FP123" s="44" t="s">
        <v>37</v>
      </c>
      <c r="FR123" s="44" t="s">
        <v>37</v>
      </c>
      <c r="FT123" s="44" t="s">
        <v>37</v>
      </c>
      <c r="FV123" s="44" t="s">
        <v>37</v>
      </c>
      <c r="FX123" s="44" t="s">
        <v>37</v>
      </c>
      <c r="FZ123" s="44" t="s">
        <v>37</v>
      </c>
      <c r="GB123" s="44" t="s">
        <v>37</v>
      </c>
      <c r="GD123" s="44" t="s">
        <v>37</v>
      </c>
      <c r="GF123" s="44" t="s">
        <v>37</v>
      </c>
      <c r="GH123" s="44" t="s">
        <v>37</v>
      </c>
      <c r="GJ123" s="44" t="s">
        <v>37</v>
      </c>
      <c r="GL123" s="44" t="s">
        <v>37</v>
      </c>
      <c r="GN123" s="44" t="s">
        <v>37</v>
      </c>
      <c r="GP123" s="44" t="s">
        <v>37</v>
      </c>
      <c r="GR123" s="44" t="s">
        <v>37</v>
      </c>
      <c r="GT123" s="44" t="s">
        <v>37</v>
      </c>
      <c r="GV123" s="44" t="s">
        <v>37</v>
      </c>
      <c r="GX123" s="44" t="s">
        <v>37</v>
      </c>
      <c r="GZ123" s="44" t="s">
        <v>37</v>
      </c>
      <c r="HB123" s="44" t="s">
        <v>37</v>
      </c>
      <c r="HD123" s="44" t="s">
        <v>37</v>
      </c>
      <c r="HF123" s="44" t="s">
        <v>37</v>
      </c>
      <c r="HG123" s="44">
        <v>454</v>
      </c>
      <c r="HH123" s="44" t="s">
        <v>37</v>
      </c>
      <c r="HJ123" s="44" t="s">
        <v>37</v>
      </c>
      <c r="HK123" s="44">
        <v>454</v>
      </c>
      <c r="HL123" s="44" t="s">
        <v>37</v>
      </c>
    </row>
    <row r="124" spans="1:220">
      <c r="A124" s="150" t="s">
        <v>411</v>
      </c>
      <c r="B124" s="44">
        <v>3198</v>
      </c>
      <c r="C124" s="44" t="s">
        <v>146</v>
      </c>
      <c r="D124" s="44" t="s">
        <v>37</v>
      </c>
      <c r="F124" s="44" t="s">
        <v>37</v>
      </c>
      <c r="G124" s="44">
        <v>322</v>
      </c>
      <c r="H124" s="44" t="s">
        <v>37</v>
      </c>
      <c r="I124" s="44">
        <v>9066</v>
      </c>
      <c r="J124" s="44" t="s">
        <v>37</v>
      </c>
      <c r="L124" s="48" t="s">
        <v>37</v>
      </c>
      <c r="M124" s="50"/>
      <c r="N124" s="48" t="s">
        <v>37</v>
      </c>
      <c r="O124" s="50"/>
      <c r="P124" s="48" t="s">
        <v>37</v>
      </c>
      <c r="Q124" s="50"/>
      <c r="R124" s="48" t="s">
        <v>37</v>
      </c>
      <c r="S124" s="50"/>
      <c r="T124" s="48" t="s">
        <v>37</v>
      </c>
      <c r="U124" s="44">
        <v>24348</v>
      </c>
      <c r="V124" s="44" t="s">
        <v>37</v>
      </c>
      <c r="X124" s="44" t="s">
        <v>37</v>
      </c>
      <c r="Z124" s="44" t="s">
        <v>37</v>
      </c>
      <c r="AB124" s="44" t="s">
        <v>37</v>
      </c>
      <c r="AC124" s="44">
        <v>4706</v>
      </c>
      <c r="AD124" s="44" t="s">
        <v>37</v>
      </c>
      <c r="AF124" s="44" t="s">
        <v>37</v>
      </c>
      <c r="AG124" s="44">
        <v>896</v>
      </c>
      <c r="AH124" s="44" t="s">
        <v>37</v>
      </c>
      <c r="AJ124" s="44" t="s">
        <v>37</v>
      </c>
      <c r="AL124" s="44" t="s">
        <v>37</v>
      </c>
      <c r="AM124" s="44">
        <v>23930</v>
      </c>
      <c r="AN124" s="44" t="s">
        <v>37</v>
      </c>
      <c r="AP124" s="44" t="s">
        <v>37</v>
      </c>
      <c r="AR124" s="44" t="s">
        <v>37</v>
      </c>
      <c r="AS124" s="44">
        <v>17070</v>
      </c>
      <c r="AT124" s="44" t="s">
        <v>37</v>
      </c>
      <c r="AV124" s="44" t="s">
        <v>37</v>
      </c>
      <c r="AW124" s="44">
        <v>19608</v>
      </c>
      <c r="AX124" s="44" t="s">
        <v>37</v>
      </c>
      <c r="AZ124" s="44" t="s">
        <v>37</v>
      </c>
      <c r="BB124" s="44" t="s">
        <v>37</v>
      </c>
      <c r="BD124" s="44" t="s">
        <v>37</v>
      </c>
      <c r="BF124" s="44" t="s">
        <v>37</v>
      </c>
      <c r="BH124" s="44" t="s">
        <v>37</v>
      </c>
      <c r="BJ124" s="44" t="s">
        <v>37</v>
      </c>
      <c r="BK124" s="44">
        <v>26794</v>
      </c>
      <c r="BL124" s="44" t="s">
        <v>37</v>
      </c>
      <c r="BM124" s="44">
        <v>135516</v>
      </c>
      <c r="BN124" s="44" t="s">
        <v>37</v>
      </c>
      <c r="BP124" s="44" t="s">
        <v>37</v>
      </c>
      <c r="BQ124" s="44">
        <v>813</v>
      </c>
      <c r="BR124" s="44" t="s">
        <v>37</v>
      </c>
      <c r="BT124" s="44" t="s">
        <v>37</v>
      </c>
      <c r="BV124" s="44" t="s">
        <v>37</v>
      </c>
      <c r="BX124" s="44" t="s">
        <v>37</v>
      </c>
      <c r="BZ124" s="44" t="s">
        <v>37</v>
      </c>
      <c r="CB124" s="44" t="s">
        <v>37</v>
      </c>
      <c r="CD124" s="44" t="s">
        <v>37</v>
      </c>
      <c r="CE124" s="44">
        <v>15419</v>
      </c>
      <c r="CF124" s="44" t="s">
        <v>37</v>
      </c>
      <c r="CH124" s="44" t="s">
        <v>37</v>
      </c>
      <c r="CJ124" s="44" t="s">
        <v>37</v>
      </c>
      <c r="CL124" s="44" t="s">
        <v>37</v>
      </c>
      <c r="CM124" s="44">
        <v>20916</v>
      </c>
      <c r="CN124" s="44" t="s">
        <v>37</v>
      </c>
      <c r="CP124" s="44" t="s">
        <v>37</v>
      </c>
      <c r="CR124" s="44" t="s">
        <v>37</v>
      </c>
      <c r="CS124" s="44">
        <v>39380</v>
      </c>
      <c r="CT124" s="44" t="s">
        <v>37</v>
      </c>
      <c r="CU124" s="44">
        <v>155232</v>
      </c>
      <c r="CV124" s="44" t="s">
        <v>37</v>
      </c>
      <c r="CW124" s="44">
        <v>36444</v>
      </c>
      <c r="CX124" s="44" t="s">
        <v>37</v>
      </c>
      <c r="CZ124" s="44" t="s">
        <v>37</v>
      </c>
      <c r="DB124" s="44" t="s">
        <v>37</v>
      </c>
      <c r="DD124" s="44" t="s">
        <v>37</v>
      </c>
      <c r="DE124" s="44">
        <v>3591</v>
      </c>
      <c r="DF124" s="44" t="s">
        <v>37</v>
      </c>
      <c r="DH124" s="44" t="s">
        <v>37</v>
      </c>
      <c r="DJ124" s="44" t="s">
        <v>37</v>
      </c>
      <c r="DL124" s="44" t="s">
        <v>37</v>
      </c>
      <c r="DN124" s="44" t="s">
        <v>37</v>
      </c>
      <c r="DP124" s="44" t="s">
        <v>37</v>
      </c>
      <c r="DR124" s="44" t="s">
        <v>37</v>
      </c>
      <c r="DT124" s="44" t="s">
        <v>37</v>
      </c>
      <c r="DV124" s="44" t="s">
        <v>37</v>
      </c>
      <c r="DX124" s="44" t="s">
        <v>37</v>
      </c>
      <c r="DZ124" s="44" t="s">
        <v>37</v>
      </c>
      <c r="EB124" s="44" t="s">
        <v>37</v>
      </c>
      <c r="ED124" s="44" t="s">
        <v>37</v>
      </c>
      <c r="EF124" s="44" t="s">
        <v>37</v>
      </c>
      <c r="EH124" s="44" t="s">
        <v>37</v>
      </c>
      <c r="EJ124" s="44" t="s">
        <v>37</v>
      </c>
      <c r="EL124" s="44" t="s">
        <v>37</v>
      </c>
      <c r="EN124" s="44" t="s">
        <v>37</v>
      </c>
      <c r="EP124" s="44" t="s">
        <v>37</v>
      </c>
      <c r="ER124" s="44" t="s">
        <v>37</v>
      </c>
      <c r="ET124" s="44" t="s">
        <v>37</v>
      </c>
      <c r="EV124" s="44" t="s">
        <v>37</v>
      </c>
      <c r="EX124" s="44" t="s">
        <v>37</v>
      </c>
      <c r="EZ124" s="44" t="s">
        <v>37</v>
      </c>
      <c r="FB124" s="44" t="s">
        <v>37</v>
      </c>
      <c r="FD124" s="44" t="s">
        <v>37</v>
      </c>
      <c r="FF124" s="44" t="s">
        <v>37</v>
      </c>
      <c r="FH124" s="44" t="s">
        <v>37</v>
      </c>
      <c r="FJ124" s="44" t="s">
        <v>37</v>
      </c>
      <c r="FL124" s="44" t="s">
        <v>37</v>
      </c>
      <c r="FM124" s="44">
        <v>74500</v>
      </c>
      <c r="FN124" s="44" t="s">
        <v>37</v>
      </c>
      <c r="FP124" s="44" t="s">
        <v>37</v>
      </c>
      <c r="FR124" s="44" t="s">
        <v>37</v>
      </c>
      <c r="FT124" s="44" t="s">
        <v>37</v>
      </c>
      <c r="FV124" s="44" t="s">
        <v>37</v>
      </c>
      <c r="FX124" s="44" t="s">
        <v>37</v>
      </c>
      <c r="FZ124" s="44" t="s">
        <v>37</v>
      </c>
      <c r="GB124" s="44" t="s">
        <v>37</v>
      </c>
      <c r="GC124" s="44">
        <v>32150</v>
      </c>
      <c r="GD124" s="44" t="s">
        <v>37</v>
      </c>
      <c r="GF124" s="44" t="s">
        <v>37</v>
      </c>
      <c r="GH124" s="44" t="s">
        <v>37</v>
      </c>
      <c r="GJ124" s="44" t="s">
        <v>37</v>
      </c>
      <c r="GL124" s="44" t="s">
        <v>37</v>
      </c>
      <c r="GN124" s="44" t="s">
        <v>37</v>
      </c>
      <c r="GP124" s="44" t="s">
        <v>37</v>
      </c>
      <c r="GR124" s="44" t="s">
        <v>37</v>
      </c>
      <c r="GT124" s="44" t="s">
        <v>37</v>
      </c>
      <c r="GV124" s="44" t="s">
        <v>37</v>
      </c>
      <c r="GW124" s="44">
        <v>8025</v>
      </c>
      <c r="GX124" s="44" t="s">
        <v>37</v>
      </c>
      <c r="GZ124" s="44" t="s">
        <v>37</v>
      </c>
      <c r="HB124" s="44" t="s">
        <v>37</v>
      </c>
      <c r="HD124" s="44" t="s">
        <v>37</v>
      </c>
      <c r="HF124" s="44" t="s">
        <v>37</v>
      </c>
      <c r="HG124" s="44">
        <v>648726</v>
      </c>
      <c r="HH124" s="44" t="s">
        <v>37</v>
      </c>
      <c r="HJ124" s="44" t="s">
        <v>37</v>
      </c>
      <c r="HK124" s="44">
        <v>648726</v>
      </c>
      <c r="HL124" s="44" t="s">
        <v>37</v>
      </c>
    </row>
    <row r="125" spans="1:220">
      <c r="A125" s="150" t="s">
        <v>411</v>
      </c>
      <c r="B125" s="44">
        <v>3199</v>
      </c>
      <c r="C125" s="44" t="s">
        <v>147</v>
      </c>
      <c r="D125" s="44" t="s">
        <v>37</v>
      </c>
      <c r="E125" s="44">
        <v>18535</v>
      </c>
      <c r="F125" s="44" t="s">
        <v>37</v>
      </c>
      <c r="G125" s="44">
        <v>127290</v>
      </c>
      <c r="H125" s="44" t="s">
        <v>37</v>
      </c>
      <c r="I125" s="44">
        <v>10723</v>
      </c>
      <c r="J125" s="44" t="s">
        <v>37</v>
      </c>
      <c r="L125" s="48" t="s">
        <v>37</v>
      </c>
      <c r="M125" s="51">
        <v>60450</v>
      </c>
      <c r="N125" s="48" t="s">
        <v>37</v>
      </c>
      <c r="O125" s="51">
        <v>20576</v>
      </c>
      <c r="P125" s="48" t="s">
        <v>37</v>
      </c>
      <c r="Q125" s="51">
        <v>90605</v>
      </c>
      <c r="R125" s="48" t="s">
        <v>37</v>
      </c>
      <c r="S125" s="51">
        <v>28923</v>
      </c>
      <c r="T125" s="48" t="s">
        <v>37</v>
      </c>
      <c r="U125" s="44">
        <v>185817</v>
      </c>
      <c r="V125" s="44" t="s">
        <v>37</v>
      </c>
      <c r="W125" s="44">
        <v>1796</v>
      </c>
      <c r="X125" s="44" t="s">
        <v>37</v>
      </c>
      <c r="Z125" s="44" t="s">
        <v>37</v>
      </c>
      <c r="AA125" s="44">
        <v>13897</v>
      </c>
      <c r="AB125" s="44" t="s">
        <v>37</v>
      </c>
      <c r="AC125" s="44">
        <v>7272</v>
      </c>
      <c r="AD125" s="44" t="s">
        <v>37</v>
      </c>
      <c r="AE125" s="44">
        <v>5573</v>
      </c>
      <c r="AF125" s="44" t="s">
        <v>37</v>
      </c>
      <c r="AG125" s="44">
        <v>6498</v>
      </c>
      <c r="AH125" s="44" t="s">
        <v>37</v>
      </c>
      <c r="AI125" s="44">
        <v>76753</v>
      </c>
      <c r="AJ125" s="44" t="s">
        <v>37</v>
      </c>
      <c r="AL125" s="44" t="s">
        <v>37</v>
      </c>
      <c r="AM125" s="44">
        <v>42057</v>
      </c>
      <c r="AN125" s="44" t="s">
        <v>37</v>
      </c>
      <c r="AP125" s="44" t="s">
        <v>37</v>
      </c>
      <c r="AQ125" s="44">
        <v>473482</v>
      </c>
      <c r="AR125" s="44" t="s">
        <v>37</v>
      </c>
      <c r="AS125" s="44">
        <v>8473</v>
      </c>
      <c r="AT125" s="44" t="s">
        <v>37</v>
      </c>
      <c r="AU125" s="44">
        <v>124290</v>
      </c>
      <c r="AV125" s="44" t="s">
        <v>37</v>
      </c>
      <c r="AW125" s="44">
        <v>50380</v>
      </c>
      <c r="AX125" s="44" t="s">
        <v>37</v>
      </c>
      <c r="AY125" s="44">
        <v>6408</v>
      </c>
      <c r="AZ125" s="44" t="s">
        <v>37</v>
      </c>
      <c r="BA125" s="44">
        <v>48642</v>
      </c>
      <c r="BB125" s="44" t="s">
        <v>37</v>
      </c>
      <c r="BC125" s="44">
        <v>6767</v>
      </c>
      <c r="BD125" s="44" t="s">
        <v>37</v>
      </c>
      <c r="BE125" s="44">
        <v>17212</v>
      </c>
      <c r="BF125" s="44" t="s">
        <v>37</v>
      </c>
      <c r="BG125" s="44">
        <v>7468</v>
      </c>
      <c r="BH125" s="44" t="s">
        <v>37</v>
      </c>
      <c r="BJ125" s="44" t="s">
        <v>37</v>
      </c>
      <c r="BK125" s="44">
        <v>29485</v>
      </c>
      <c r="BL125" s="44" t="s">
        <v>37</v>
      </c>
      <c r="BM125" s="44">
        <v>199854</v>
      </c>
      <c r="BN125" s="44" t="s">
        <v>37</v>
      </c>
      <c r="BP125" s="44" t="s">
        <v>37</v>
      </c>
      <c r="BQ125" s="44">
        <v>6912</v>
      </c>
      <c r="BR125" s="44" t="s">
        <v>37</v>
      </c>
      <c r="BS125" s="44">
        <v>25243</v>
      </c>
      <c r="BT125" s="44" t="s">
        <v>37</v>
      </c>
      <c r="BU125" s="44">
        <v>9766</v>
      </c>
      <c r="BV125" s="44" t="s">
        <v>37</v>
      </c>
      <c r="BX125" s="44" t="s">
        <v>37</v>
      </c>
      <c r="BY125" s="44">
        <v>114095</v>
      </c>
      <c r="BZ125" s="44" t="s">
        <v>37</v>
      </c>
      <c r="CA125" s="44">
        <v>15324</v>
      </c>
      <c r="CB125" s="44" t="s">
        <v>37</v>
      </c>
      <c r="CD125" s="44" t="s">
        <v>37</v>
      </c>
      <c r="CE125" s="44">
        <v>64778</v>
      </c>
      <c r="CF125" s="44" t="s">
        <v>37</v>
      </c>
      <c r="CG125" s="44">
        <v>16339</v>
      </c>
      <c r="CH125" s="44" t="s">
        <v>37</v>
      </c>
      <c r="CI125" s="44">
        <v>235163</v>
      </c>
      <c r="CJ125" s="44" t="s">
        <v>37</v>
      </c>
      <c r="CK125" s="44">
        <v>6857</v>
      </c>
      <c r="CL125" s="44" t="s">
        <v>37</v>
      </c>
      <c r="CM125" s="44">
        <v>37258</v>
      </c>
      <c r="CN125" s="44" t="s">
        <v>37</v>
      </c>
      <c r="CO125" s="44">
        <v>6653</v>
      </c>
      <c r="CP125" s="44" t="s">
        <v>37</v>
      </c>
      <c r="CQ125" s="44">
        <v>10129</v>
      </c>
      <c r="CR125" s="44" t="s">
        <v>37</v>
      </c>
      <c r="CS125" s="44">
        <v>34569</v>
      </c>
      <c r="CT125" s="44" t="s">
        <v>37</v>
      </c>
      <c r="CU125" s="44">
        <v>330452</v>
      </c>
      <c r="CV125" s="44" t="s">
        <v>37</v>
      </c>
      <c r="CW125" s="44">
        <v>55925</v>
      </c>
      <c r="CX125" s="44" t="s">
        <v>37</v>
      </c>
      <c r="CY125" s="44">
        <v>6442</v>
      </c>
      <c r="CZ125" s="44" t="s">
        <v>37</v>
      </c>
      <c r="DA125" s="44">
        <v>5684</v>
      </c>
      <c r="DB125" s="44" t="s">
        <v>37</v>
      </c>
      <c r="DD125" s="44" t="s">
        <v>37</v>
      </c>
      <c r="DE125" s="44">
        <v>17222</v>
      </c>
      <c r="DF125" s="44" t="s">
        <v>37</v>
      </c>
      <c r="DG125" s="44">
        <v>15708</v>
      </c>
      <c r="DH125" s="44" t="s">
        <v>37</v>
      </c>
      <c r="DI125" s="44">
        <v>215621</v>
      </c>
      <c r="DJ125" s="44" t="s">
        <v>37</v>
      </c>
      <c r="DK125" s="44">
        <v>18464</v>
      </c>
      <c r="DL125" s="44" t="s">
        <v>37</v>
      </c>
      <c r="DM125" s="44">
        <v>186645</v>
      </c>
      <c r="DN125" s="44" t="s">
        <v>37</v>
      </c>
      <c r="DO125" s="44">
        <v>60001</v>
      </c>
      <c r="DP125" s="44" t="s">
        <v>37</v>
      </c>
      <c r="DQ125" s="44">
        <v>31206</v>
      </c>
      <c r="DR125" s="44" t="s">
        <v>37</v>
      </c>
      <c r="DS125" s="44">
        <v>17158</v>
      </c>
      <c r="DT125" s="44" t="s">
        <v>37</v>
      </c>
      <c r="DU125" s="44">
        <v>22254</v>
      </c>
      <c r="DV125" s="44" t="s">
        <v>37</v>
      </c>
      <c r="DW125" s="44">
        <v>110393</v>
      </c>
      <c r="DX125" s="44" t="s">
        <v>37</v>
      </c>
      <c r="DY125" s="44">
        <v>42472</v>
      </c>
      <c r="DZ125" s="44" t="s">
        <v>37</v>
      </c>
      <c r="EA125" s="44">
        <v>10912</v>
      </c>
      <c r="EB125" s="44" t="s">
        <v>37</v>
      </c>
      <c r="EC125" s="44">
        <v>112941</v>
      </c>
      <c r="ED125" s="44" t="s">
        <v>37</v>
      </c>
      <c r="EE125" s="44">
        <v>83622</v>
      </c>
      <c r="EF125" s="44" t="s">
        <v>37</v>
      </c>
      <c r="EG125" s="44">
        <v>2981</v>
      </c>
      <c r="EH125" s="44" t="s">
        <v>37</v>
      </c>
      <c r="EJ125" s="44" t="s">
        <v>37</v>
      </c>
      <c r="EK125" s="44">
        <v>16250</v>
      </c>
      <c r="EL125" s="44" t="s">
        <v>37</v>
      </c>
      <c r="EM125" s="44">
        <v>12317</v>
      </c>
      <c r="EN125" s="44" t="s">
        <v>37</v>
      </c>
      <c r="EO125" s="44">
        <v>9197</v>
      </c>
      <c r="EP125" s="44" t="s">
        <v>37</v>
      </c>
      <c r="ER125" s="44" t="s">
        <v>37</v>
      </c>
      <c r="ES125" s="44">
        <v>28574</v>
      </c>
      <c r="ET125" s="44" t="s">
        <v>37</v>
      </c>
      <c r="EU125" s="44">
        <v>34646</v>
      </c>
      <c r="EV125" s="44" t="s">
        <v>37</v>
      </c>
      <c r="EW125" s="44">
        <v>40120</v>
      </c>
      <c r="EX125" s="44" t="s">
        <v>37</v>
      </c>
      <c r="EZ125" s="44" t="s">
        <v>37</v>
      </c>
      <c r="FA125" s="44">
        <v>135286</v>
      </c>
      <c r="FB125" s="44" t="s">
        <v>37</v>
      </c>
      <c r="FC125" s="44">
        <v>146703</v>
      </c>
      <c r="FD125" s="44" t="s">
        <v>37</v>
      </c>
      <c r="FE125" s="44">
        <v>258171</v>
      </c>
      <c r="FF125" s="44" t="s">
        <v>37</v>
      </c>
      <c r="FH125" s="44" t="s">
        <v>37</v>
      </c>
      <c r="FI125" s="44">
        <v>91112</v>
      </c>
      <c r="FJ125" s="44" t="s">
        <v>37</v>
      </c>
      <c r="FK125" s="44">
        <v>130830</v>
      </c>
      <c r="FL125" s="44" t="s">
        <v>37</v>
      </c>
      <c r="FM125" s="44">
        <v>121232</v>
      </c>
      <c r="FN125" s="44" t="s">
        <v>37</v>
      </c>
      <c r="FO125" s="44">
        <v>11218</v>
      </c>
      <c r="FP125" s="44" t="s">
        <v>37</v>
      </c>
      <c r="FQ125" s="44">
        <v>29449</v>
      </c>
      <c r="FR125" s="44" t="s">
        <v>37</v>
      </c>
      <c r="FS125" s="44">
        <v>48899</v>
      </c>
      <c r="FT125" s="44" t="s">
        <v>37</v>
      </c>
      <c r="FU125" s="44">
        <v>88407</v>
      </c>
      <c r="FV125" s="44" t="s">
        <v>37</v>
      </c>
      <c r="FW125" s="44">
        <v>15328</v>
      </c>
      <c r="FX125" s="44" t="s">
        <v>37</v>
      </c>
      <c r="FY125" s="44">
        <v>43602</v>
      </c>
      <c r="FZ125" s="44" t="s">
        <v>37</v>
      </c>
      <c r="GA125" s="44">
        <v>48404</v>
      </c>
      <c r="GB125" s="44" t="s">
        <v>37</v>
      </c>
      <c r="GC125" s="44">
        <v>49321</v>
      </c>
      <c r="GD125" s="44" t="s">
        <v>37</v>
      </c>
      <c r="GF125" s="44" t="s">
        <v>37</v>
      </c>
      <c r="GH125" s="44" t="s">
        <v>37</v>
      </c>
      <c r="GJ125" s="44" t="s">
        <v>37</v>
      </c>
      <c r="GK125" s="44">
        <v>59905</v>
      </c>
      <c r="GL125" s="44" t="s">
        <v>37</v>
      </c>
      <c r="GM125" s="44">
        <v>46114</v>
      </c>
      <c r="GN125" s="44" t="s">
        <v>37</v>
      </c>
      <c r="GP125" s="44" t="s">
        <v>37</v>
      </c>
      <c r="GQ125" s="44">
        <v>35059</v>
      </c>
      <c r="GR125" s="44" t="s">
        <v>37</v>
      </c>
      <c r="GS125" s="44">
        <v>35012</v>
      </c>
      <c r="GT125" s="44" t="s">
        <v>37</v>
      </c>
      <c r="GU125" s="44">
        <v>26935</v>
      </c>
      <c r="GV125" s="44" t="s">
        <v>37</v>
      </c>
      <c r="GW125" s="44">
        <v>3644</v>
      </c>
      <c r="GX125" s="44" t="s">
        <v>37</v>
      </c>
      <c r="GY125" s="44">
        <v>94907</v>
      </c>
      <c r="GZ125" s="44" t="s">
        <v>37</v>
      </c>
      <c r="HA125" s="44">
        <v>38921</v>
      </c>
      <c r="HB125" s="44" t="s">
        <v>37</v>
      </c>
      <c r="HD125" s="44" t="s">
        <v>37</v>
      </c>
      <c r="HF125" s="44" t="s">
        <v>37</v>
      </c>
      <c r="HG125" s="44">
        <v>5297978</v>
      </c>
      <c r="HH125" s="44" t="s">
        <v>37</v>
      </c>
      <c r="HJ125" s="44" t="s">
        <v>37</v>
      </c>
      <c r="HK125" s="44">
        <v>5297978</v>
      </c>
      <c r="HL125" s="44" t="s">
        <v>37</v>
      </c>
    </row>
    <row r="126" spans="1:220">
      <c r="A126" s="150" t="s">
        <v>408</v>
      </c>
      <c r="B126" s="54">
        <v>3200</v>
      </c>
      <c r="C126" s="44" t="s">
        <v>148</v>
      </c>
      <c r="D126" s="44" t="s">
        <v>37</v>
      </c>
      <c r="F126" s="44" t="s">
        <v>37</v>
      </c>
      <c r="H126" s="44" t="s">
        <v>37</v>
      </c>
      <c r="J126" s="44" t="s">
        <v>37</v>
      </c>
      <c r="L126" s="48" t="s">
        <v>37</v>
      </c>
      <c r="M126" s="50"/>
      <c r="N126" s="48" t="s">
        <v>37</v>
      </c>
      <c r="O126" s="50"/>
      <c r="P126" s="48" t="s">
        <v>37</v>
      </c>
      <c r="Q126" s="50"/>
      <c r="R126" s="48" t="s">
        <v>37</v>
      </c>
      <c r="S126" s="50"/>
      <c r="T126" s="48" t="s">
        <v>37</v>
      </c>
      <c r="V126" s="44" t="s">
        <v>37</v>
      </c>
      <c r="X126" s="44" t="s">
        <v>37</v>
      </c>
      <c r="Z126" s="44" t="s">
        <v>37</v>
      </c>
      <c r="AB126" s="44" t="s">
        <v>37</v>
      </c>
      <c r="AD126" s="44" t="s">
        <v>37</v>
      </c>
      <c r="AF126" s="44" t="s">
        <v>37</v>
      </c>
      <c r="AH126" s="44" t="s">
        <v>37</v>
      </c>
      <c r="AJ126" s="44" t="s">
        <v>37</v>
      </c>
      <c r="AL126" s="44" t="s">
        <v>37</v>
      </c>
      <c r="AN126" s="44" t="s">
        <v>37</v>
      </c>
      <c r="AP126" s="44" t="s">
        <v>37</v>
      </c>
      <c r="AR126" s="44" t="s">
        <v>37</v>
      </c>
      <c r="AT126" s="44" t="s">
        <v>37</v>
      </c>
      <c r="AV126" s="44" t="s">
        <v>37</v>
      </c>
      <c r="AX126" s="44" t="s">
        <v>37</v>
      </c>
      <c r="AZ126" s="44" t="s">
        <v>37</v>
      </c>
      <c r="BB126" s="44" t="s">
        <v>37</v>
      </c>
      <c r="BD126" s="44" t="s">
        <v>37</v>
      </c>
      <c r="BF126" s="44" t="s">
        <v>37</v>
      </c>
      <c r="BH126" s="44" t="s">
        <v>37</v>
      </c>
      <c r="BJ126" s="44" t="s">
        <v>37</v>
      </c>
      <c r="BL126" s="44" t="s">
        <v>37</v>
      </c>
      <c r="BN126" s="44" t="s">
        <v>37</v>
      </c>
      <c r="BP126" s="44" t="s">
        <v>37</v>
      </c>
      <c r="BR126" s="44" t="s">
        <v>37</v>
      </c>
      <c r="BT126" s="44" t="s">
        <v>37</v>
      </c>
      <c r="BV126" s="44" t="s">
        <v>37</v>
      </c>
      <c r="BX126" s="44" t="s">
        <v>37</v>
      </c>
      <c r="BZ126" s="44" t="s">
        <v>37</v>
      </c>
      <c r="CB126" s="44" t="s">
        <v>37</v>
      </c>
      <c r="CD126" s="44" t="s">
        <v>37</v>
      </c>
      <c r="CF126" s="44" t="s">
        <v>37</v>
      </c>
      <c r="CH126" s="44" t="s">
        <v>37</v>
      </c>
      <c r="CJ126" s="44" t="s">
        <v>37</v>
      </c>
      <c r="CL126" s="44" t="s">
        <v>37</v>
      </c>
      <c r="CN126" s="44" t="s">
        <v>37</v>
      </c>
      <c r="CP126" s="44" t="s">
        <v>37</v>
      </c>
      <c r="CR126" s="44" t="s">
        <v>37</v>
      </c>
      <c r="CT126" s="44" t="s">
        <v>37</v>
      </c>
      <c r="CV126" s="44" t="s">
        <v>37</v>
      </c>
      <c r="CX126" s="44" t="s">
        <v>37</v>
      </c>
      <c r="CZ126" s="44" t="s">
        <v>37</v>
      </c>
      <c r="DB126" s="44" t="s">
        <v>37</v>
      </c>
      <c r="DD126" s="44" t="s">
        <v>37</v>
      </c>
      <c r="DF126" s="44" t="s">
        <v>37</v>
      </c>
      <c r="DH126" s="44" t="s">
        <v>37</v>
      </c>
      <c r="DJ126" s="44" t="s">
        <v>37</v>
      </c>
      <c r="DL126" s="44" t="s">
        <v>37</v>
      </c>
      <c r="DN126" s="44" t="s">
        <v>37</v>
      </c>
      <c r="DP126" s="44" t="s">
        <v>37</v>
      </c>
      <c r="DR126" s="44" t="s">
        <v>37</v>
      </c>
      <c r="DT126" s="44" t="s">
        <v>37</v>
      </c>
      <c r="DV126" s="44" t="s">
        <v>37</v>
      </c>
      <c r="DX126" s="44" t="s">
        <v>37</v>
      </c>
      <c r="DZ126" s="44" t="s">
        <v>37</v>
      </c>
      <c r="EB126" s="44" t="s">
        <v>37</v>
      </c>
      <c r="ED126" s="44" t="s">
        <v>37</v>
      </c>
      <c r="EF126" s="44" t="s">
        <v>37</v>
      </c>
      <c r="EH126" s="44" t="s">
        <v>37</v>
      </c>
      <c r="EJ126" s="44" t="s">
        <v>37</v>
      </c>
      <c r="EL126" s="44" t="s">
        <v>37</v>
      </c>
      <c r="EN126" s="44" t="s">
        <v>37</v>
      </c>
      <c r="EP126" s="44" t="s">
        <v>37</v>
      </c>
      <c r="ER126" s="44" t="s">
        <v>37</v>
      </c>
      <c r="ET126" s="44" t="s">
        <v>37</v>
      </c>
      <c r="EV126" s="44" t="s">
        <v>37</v>
      </c>
      <c r="EX126" s="44" t="s">
        <v>37</v>
      </c>
      <c r="EZ126" s="44" t="s">
        <v>37</v>
      </c>
      <c r="FB126" s="44" t="s">
        <v>37</v>
      </c>
      <c r="FD126" s="44" t="s">
        <v>37</v>
      </c>
      <c r="FF126" s="44" t="s">
        <v>37</v>
      </c>
      <c r="FH126" s="44" t="s">
        <v>37</v>
      </c>
      <c r="FJ126" s="44" t="s">
        <v>37</v>
      </c>
      <c r="FL126" s="44" t="s">
        <v>37</v>
      </c>
      <c r="FN126" s="44" t="s">
        <v>37</v>
      </c>
      <c r="FP126" s="44" t="s">
        <v>37</v>
      </c>
      <c r="FR126" s="44" t="s">
        <v>37</v>
      </c>
      <c r="FT126" s="44" t="s">
        <v>37</v>
      </c>
      <c r="FV126" s="44" t="s">
        <v>37</v>
      </c>
      <c r="FX126" s="44" t="s">
        <v>37</v>
      </c>
      <c r="FZ126" s="44" t="s">
        <v>37</v>
      </c>
      <c r="GB126" s="44" t="s">
        <v>37</v>
      </c>
      <c r="GD126" s="44" t="s">
        <v>37</v>
      </c>
      <c r="GF126" s="44" t="s">
        <v>37</v>
      </c>
      <c r="GH126" s="44" t="s">
        <v>37</v>
      </c>
      <c r="GJ126" s="44" t="s">
        <v>37</v>
      </c>
      <c r="GL126" s="44" t="s">
        <v>37</v>
      </c>
      <c r="GN126" s="44" t="s">
        <v>37</v>
      </c>
      <c r="GP126" s="44" t="s">
        <v>37</v>
      </c>
      <c r="GR126" s="44" t="s">
        <v>37</v>
      </c>
      <c r="GT126" s="44" t="s">
        <v>37</v>
      </c>
      <c r="GV126" s="44" t="s">
        <v>37</v>
      </c>
      <c r="GX126" s="44" t="s">
        <v>37</v>
      </c>
      <c r="GZ126" s="44" t="s">
        <v>37</v>
      </c>
      <c r="HB126" s="44" t="s">
        <v>37</v>
      </c>
      <c r="HD126" s="44" t="s">
        <v>37</v>
      </c>
      <c r="HF126" s="44" t="s">
        <v>37</v>
      </c>
      <c r="HH126" s="44" t="s">
        <v>37</v>
      </c>
      <c r="HJ126" s="44" t="s">
        <v>37</v>
      </c>
      <c r="HL126" s="44" t="s">
        <v>37</v>
      </c>
    </row>
    <row r="127" spans="1:220">
      <c r="A127" s="150" t="s">
        <v>411</v>
      </c>
      <c r="B127" s="44">
        <v>3220</v>
      </c>
      <c r="C127" s="44" t="s">
        <v>149</v>
      </c>
      <c r="D127" s="44" t="s">
        <v>37</v>
      </c>
      <c r="F127" s="44" t="s">
        <v>37</v>
      </c>
      <c r="H127" s="44" t="s">
        <v>37</v>
      </c>
      <c r="J127" s="44" t="s">
        <v>37</v>
      </c>
      <c r="L127" s="48" t="s">
        <v>37</v>
      </c>
      <c r="M127" s="50"/>
      <c r="N127" s="48" t="s">
        <v>37</v>
      </c>
      <c r="O127" s="50"/>
      <c r="P127" s="48" t="s">
        <v>37</v>
      </c>
      <c r="Q127" s="50"/>
      <c r="R127" s="48" t="s">
        <v>37</v>
      </c>
      <c r="S127" s="50"/>
      <c r="T127" s="48" t="s">
        <v>37</v>
      </c>
      <c r="V127" s="44" t="s">
        <v>37</v>
      </c>
      <c r="X127" s="44" t="s">
        <v>37</v>
      </c>
      <c r="Z127" s="44" t="s">
        <v>37</v>
      </c>
      <c r="AB127" s="44" t="s">
        <v>37</v>
      </c>
      <c r="AD127" s="44" t="s">
        <v>37</v>
      </c>
      <c r="AF127" s="44" t="s">
        <v>37</v>
      </c>
      <c r="AH127" s="44" t="s">
        <v>37</v>
      </c>
      <c r="AJ127" s="44" t="s">
        <v>37</v>
      </c>
      <c r="AL127" s="44" t="s">
        <v>37</v>
      </c>
      <c r="AN127" s="44" t="s">
        <v>37</v>
      </c>
      <c r="AP127" s="44" t="s">
        <v>37</v>
      </c>
      <c r="AR127" s="44" t="s">
        <v>37</v>
      </c>
      <c r="AT127" s="44" t="s">
        <v>37</v>
      </c>
      <c r="AV127" s="44" t="s">
        <v>37</v>
      </c>
      <c r="AX127" s="44" t="s">
        <v>37</v>
      </c>
      <c r="AZ127" s="44" t="s">
        <v>37</v>
      </c>
      <c r="BB127" s="44" t="s">
        <v>37</v>
      </c>
      <c r="BD127" s="44" t="s">
        <v>37</v>
      </c>
      <c r="BF127" s="44" t="s">
        <v>37</v>
      </c>
      <c r="BH127" s="44" t="s">
        <v>37</v>
      </c>
      <c r="BJ127" s="44" t="s">
        <v>37</v>
      </c>
      <c r="BL127" s="44" t="s">
        <v>37</v>
      </c>
      <c r="BN127" s="44" t="s">
        <v>37</v>
      </c>
      <c r="BP127" s="44" t="s">
        <v>37</v>
      </c>
      <c r="BR127" s="44" t="s">
        <v>37</v>
      </c>
      <c r="BT127" s="44" t="s">
        <v>37</v>
      </c>
      <c r="BV127" s="44" t="s">
        <v>37</v>
      </c>
      <c r="BX127" s="44" t="s">
        <v>37</v>
      </c>
      <c r="BZ127" s="44" t="s">
        <v>37</v>
      </c>
      <c r="CB127" s="44" t="s">
        <v>37</v>
      </c>
      <c r="CD127" s="44" t="s">
        <v>37</v>
      </c>
      <c r="CF127" s="44" t="s">
        <v>37</v>
      </c>
      <c r="CH127" s="44" t="s">
        <v>37</v>
      </c>
      <c r="CJ127" s="44" t="s">
        <v>37</v>
      </c>
      <c r="CL127" s="44" t="s">
        <v>37</v>
      </c>
      <c r="CN127" s="44" t="s">
        <v>37</v>
      </c>
      <c r="CP127" s="44" t="s">
        <v>37</v>
      </c>
      <c r="CR127" s="44" t="s">
        <v>37</v>
      </c>
      <c r="CT127" s="44" t="s">
        <v>37</v>
      </c>
      <c r="CV127" s="44" t="s">
        <v>37</v>
      </c>
      <c r="CX127" s="44" t="s">
        <v>37</v>
      </c>
      <c r="CZ127" s="44" t="s">
        <v>37</v>
      </c>
      <c r="DB127" s="44" t="s">
        <v>37</v>
      </c>
      <c r="DD127" s="44" t="s">
        <v>37</v>
      </c>
      <c r="DF127" s="44" t="s">
        <v>37</v>
      </c>
      <c r="DH127" s="44" t="s">
        <v>37</v>
      </c>
      <c r="DJ127" s="44" t="s">
        <v>37</v>
      </c>
      <c r="DL127" s="44" t="s">
        <v>37</v>
      </c>
      <c r="DN127" s="44" t="s">
        <v>37</v>
      </c>
      <c r="DP127" s="44" t="s">
        <v>37</v>
      </c>
      <c r="DR127" s="44" t="s">
        <v>37</v>
      </c>
      <c r="DT127" s="44" t="s">
        <v>37</v>
      </c>
      <c r="DV127" s="44" t="s">
        <v>37</v>
      </c>
      <c r="DX127" s="44" t="s">
        <v>37</v>
      </c>
      <c r="DZ127" s="44" t="s">
        <v>37</v>
      </c>
      <c r="EB127" s="44" t="s">
        <v>37</v>
      </c>
      <c r="ED127" s="44" t="s">
        <v>37</v>
      </c>
      <c r="EF127" s="44" t="s">
        <v>37</v>
      </c>
      <c r="EH127" s="44" t="s">
        <v>37</v>
      </c>
      <c r="EJ127" s="44" t="s">
        <v>37</v>
      </c>
      <c r="EL127" s="44" t="s">
        <v>37</v>
      </c>
      <c r="EN127" s="44" t="s">
        <v>37</v>
      </c>
      <c r="EP127" s="44" t="s">
        <v>37</v>
      </c>
      <c r="ER127" s="44" t="s">
        <v>37</v>
      </c>
      <c r="ET127" s="44" t="s">
        <v>37</v>
      </c>
      <c r="EV127" s="44" t="s">
        <v>37</v>
      </c>
      <c r="EX127" s="44" t="s">
        <v>37</v>
      </c>
      <c r="EZ127" s="44" t="s">
        <v>37</v>
      </c>
      <c r="FB127" s="44" t="s">
        <v>37</v>
      </c>
      <c r="FD127" s="44" t="s">
        <v>37</v>
      </c>
      <c r="FF127" s="44" t="s">
        <v>37</v>
      </c>
      <c r="FH127" s="44" t="s">
        <v>37</v>
      </c>
      <c r="FJ127" s="44" t="s">
        <v>37</v>
      </c>
      <c r="FL127" s="44" t="s">
        <v>37</v>
      </c>
      <c r="FN127" s="44" t="s">
        <v>37</v>
      </c>
      <c r="FP127" s="44" t="s">
        <v>37</v>
      </c>
      <c r="FR127" s="44" t="s">
        <v>37</v>
      </c>
      <c r="FT127" s="44" t="s">
        <v>37</v>
      </c>
      <c r="FV127" s="44" t="s">
        <v>37</v>
      </c>
      <c r="FX127" s="44" t="s">
        <v>37</v>
      </c>
      <c r="FZ127" s="44" t="s">
        <v>37</v>
      </c>
      <c r="GB127" s="44" t="s">
        <v>37</v>
      </c>
      <c r="GD127" s="44" t="s">
        <v>37</v>
      </c>
      <c r="GF127" s="44" t="s">
        <v>37</v>
      </c>
      <c r="GH127" s="44" t="s">
        <v>37</v>
      </c>
      <c r="GJ127" s="44" t="s">
        <v>37</v>
      </c>
      <c r="GL127" s="44" t="s">
        <v>37</v>
      </c>
      <c r="GN127" s="44" t="s">
        <v>37</v>
      </c>
      <c r="GP127" s="44" t="s">
        <v>37</v>
      </c>
      <c r="GR127" s="44" t="s">
        <v>37</v>
      </c>
      <c r="GT127" s="44" t="s">
        <v>37</v>
      </c>
      <c r="GV127" s="44" t="s">
        <v>37</v>
      </c>
      <c r="GX127" s="44" t="s">
        <v>37</v>
      </c>
      <c r="GZ127" s="44" t="s">
        <v>37</v>
      </c>
      <c r="HB127" s="44" t="s">
        <v>37</v>
      </c>
      <c r="HD127" s="44" t="s">
        <v>37</v>
      </c>
      <c r="HF127" s="44" t="s">
        <v>37</v>
      </c>
      <c r="HH127" s="44" t="s">
        <v>37</v>
      </c>
      <c r="HJ127" s="44" t="s">
        <v>37</v>
      </c>
      <c r="HL127" s="44" t="s">
        <v>37</v>
      </c>
    </row>
    <row r="128" spans="1:220">
      <c r="A128" s="150" t="s">
        <v>411</v>
      </c>
      <c r="B128" s="44">
        <v>3230</v>
      </c>
      <c r="C128" s="44" t="s">
        <v>150</v>
      </c>
      <c r="D128" s="44" t="s">
        <v>37</v>
      </c>
      <c r="F128" s="44" t="s">
        <v>37</v>
      </c>
      <c r="H128" s="44" t="s">
        <v>37</v>
      </c>
      <c r="J128" s="44" t="s">
        <v>37</v>
      </c>
      <c r="L128" s="48" t="s">
        <v>37</v>
      </c>
      <c r="M128" s="50"/>
      <c r="N128" s="48" t="s">
        <v>37</v>
      </c>
      <c r="O128" s="50"/>
      <c r="P128" s="48" t="s">
        <v>37</v>
      </c>
      <c r="Q128" s="50"/>
      <c r="R128" s="48" t="s">
        <v>37</v>
      </c>
      <c r="S128" s="50"/>
      <c r="T128" s="48" t="s">
        <v>37</v>
      </c>
      <c r="V128" s="44" t="s">
        <v>37</v>
      </c>
      <c r="X128" s="44" t="s">
        <v>37</v>
      </c>
      <c r="Z128" s="44" t="s">
        <v>37</v>
      </c>
      <c r="AB128" s="44" t="s">
        <v>37</v>
      </c>
      <c r="AD128" s="44" t="s">
        <v>37</v>
      </c>
      <c r="AF128" s="44" t="s">
        <v>37</v>
      </c>
      <c r="AH128" s="44" t="s">
        <v>37</v>
      </c>
      <c r="AJ128" s="44" t="s">
        <v>37</v>
      </c>
      <c r="AL128" s="44" t="s">
        <v>37</v>
      </c>
      <c r="AN128" s="44" t="s">
        <v>37</v>
      </c>
      <c r="AP128" s="44" t="s">
        <v>37</v>
      </c>
      <c r="AR128" s="44" t="s">
        <v>37</v>
      </c>
      <c r="AT128" s="44" t="s">
        <v>37</v>
      </c>
      <c r="AV128" s="44" t="s">
        <v>37</v>
      </c>
      <c r="AX128" s="44" t="s">
        <v>37</v>
      </c>
      <c r="AZ128" s="44" t="s">
        <v>37</v>
      </c>
      <c r="BB128" s="44" t="s">
        <v>37</v>
      </c>
      <c r="BD128" s="44" t="s">
        <v>37</v>
      </c>
      <c r="BF128" s="44" t="s">
        <v>37</v>
      </c>
      <c r="BH128" s="44" t="s">
        <v>37</v>
      </c>
      <c r="BJ128" s="44" t="s">
        <v>37</v>
      </c>
      <c r="BL128" s="44" t="s">
        <v>37</v>
      </c>
      <c r="BN128" s="44" t="s">
        <v>37</v>
      </c>
      <c r="BP128" s="44" t="s">
        <v>37</v>
      </c>
      <c r="BR128" s="44" t="s">
        <v>37</v>
      </c>
      <c r="BT128" s="44" t="s">
        <v>37</v>
      </c>
      <c r="BV128" s="44" t="s">
        <v>37</v>
      </c>
      <c r="BX128" s="44" t="s">
        <v>37</v>
      </c>
      <c r="BZ128" s="44" t="s">
        <v>37</v>
      </c>
      <c r="CB128" s="44" t="s">
        <v>37</v>
      </c>
      <c r="CD128" s="44" t="s">
        <v>37</v>
      </c>
      <c r="CF128" s="44" t="s">
        <v>37</v>
      </c>
      <c r="CH128" s="44" t="s">
        <v>37</v>
      </c>
      <c r="CJ128" s="44" t="s">
        <v>37</v>
      </c>
      <c r="CL128" s="44" t="s">
        <v>37</v>
      </c>
      <c r="CN128" s="44" t="s">
        <v>37</v>
      </c>
      <c r="CP128" s="44" t="s">
        <v>37</v>
      </c>
      <c r="CR128" s="44" t="s">
        <v>37</v>
      </c>
      <c r="CT128" s="44" t="s">
        <v>37</v>
      </c>
      <c r="CV128" s="44" t="s">
        <v>37</v>
      </c>
      <c r="CX128" s="44" t="s">
        <v>37</v>
      </c>
      <c r="CZ128" s="44" t="s">
        <v>37</v>
      </c>
      <c r="DB128" s="44" t="s">
        <v>37</v>
      </c>
      <c r="DD128" s="44" t="s">
        <v>37</v>
      </c>
      <c r="DF128" s="44" t="s">
        <v>37</v>
      </c>
      <c r="DH128" s="44" t="s">
        <v>37</v>
      </c>
      <c r="DJ128" s="44" t="s">
        <v>37</v>
      </c>
      <c r="DL128" s="44" t="s">
        <v>37</v>
      </c>
      <c r="DN128" s="44" t="s">
        <v>37</v>
      </c>
      <c r="DP128" s="44" t="s">
        <v>37</v>
      </c>
      <c r="DR128" s="44" t="s">
        <v>37</v>
      </c>
      <c r="DT128" s="44" t="s">
        <v>37</v>
      </c>
      <c r="DV128" s="44" t="s">
        <v>37</v>
      </c>
      <c r="DX128" s="44" t="s">
        <v>37</v>
      </c>
      <c r="DZ128" s="44" t="s">
        <v>37</v>
      </c>
      <c r="EB128" s="44" t="s">
        <v>37</v>
      </c>
      <c r="ED128" s="44" t="s">
        <v>37</v>
      </c>
      <c r="EF128" s="44" t="s">
        <v>37</v>
      </c>
      <c r="EH128" s="44" t="s">
        <v>37</v>
      </c>
      <c r="EJ128" s="44" t="s">
        <v>37</v>
      </c>
      <c r="EL128" s="44" t="s">
        <v>37</v>
      </c>
      <c r="EN128" s="44" t="s">
        <v>37</v>
      </c>
      <c r="EP128" s="44" t="s">
        <v>37</v>
      </c>
      <c r="ER128" s="44" t="s">
        <v>37</v>
      </c>
      <c r="ET128" s="44" t="s">
        <v>37</v>
      </c>
      <c r="EV128" s="44" t="s">
        <v>37</v>
      </c>
      <c r="EX128" s="44" t="s">
        <v>37</v>
      </c>
      <c r="EZ128" s="44" t="s">
        <v>37</v>
      </c>
      <c r="FB128" s="44" t="s">
        <v>37</v>
      </c>
      <c r="FD128" s="44" t="s">
        <v>37</v>
      </c>
      <c r="FF128" s="44" t="s">
        <v>37</v>
      </c>
      <c r="FH128" s="44" t="s">
        <v>37</v>
      </c>
      <c r="FJ128" s="44" t="s">
        <v>37</v>
      </c>
      <c r="FL128" s="44" t="s">
        <v>37</v>
      </c>
      <c r="FN128" s="44" t="s">
        <v>37</v>
      </c>
      <c r="FP128" s="44" t="s">
        <v>37</v>
      </c>
      <c r="FR128" s="44" t="s">
        <v>37</v>
      </c>
      <c r="FT128" s="44" t="s">
        <v>37</v>
      </c>
      <c r="FV128" s="44" t="s">
        <v>37</v>
      </c>
      <c r="FX128" s="44" t="s">
        <v>37</v>
      </c>
      <c r="FZ128" s="44" t="s">
        <v>37</v>
      </c>
      <c r="GB128" s="44" t="s">
        <v>37</v>
      </c>
      <c r="GD128" s="44" t="s">
        <v>37</v>
      </c>
      <c r="GF128" s="44" t="s">
        <v>37</v>
      </c>
      <c r="GH128" s="44" t="s">
        <v>37</v>
      </c>
      <c r="GJ128" s="44" t="s">
        <v>37</v>
      </c>
      <c r="GL128" s="44" t="s">
        <v>37</v>
      </c>
      <c r="GN128" s="44" t="s">
        <v>37</v>
      </c>
      <c r="GP128" s="44" t="s">
        <v>37</v>
      </c>
      <c r="GR128" s="44" t="s">
        <v>37</v>
      </c>
      <c r="GT128" s="44" t="s">
        <v>37</v>
      </c>
      <c r="GV128" s="44" t="s">
        <v>37</v>
      </c>
      <c r="GX128" s="44" t="s">
        <v>37</v>
      </c>
      <c r="GZ128" s="44" t="s">
        <v>37</v>
      </c>
      <c r="HB128" s="44" t="s">
        <v>37</v>
      </c>
      <c r="HD128" s="44" t="s">
        <v>37</v>
      </c>
      <c r="HF128" s="44" t="s">
        <v>37</v>
      </c>
      <c r="HH128" s="44" t="s">
        <v>37</v>
      </c>
      <c r="HJ128" s="44" t="s">
        <v>37</v>
      </c>
      <c r="HL128" s="44" t="s">
        <v>37</v>
      </c>
    </row>
    <row r="129" spans="1:220">
      <c r="A129" s="150" t="s">
        <v>408</v>
      </c>
      <c r="B129" s="54">
        <v>3290</v>
      </c>
      <c r="C129" s="44" t="s">
        <v>151</v>
      </c>
      <c r="D129" s="44" t="s">
        <v>37</v>
      </c>
      <c r="F129" s="44" t="s">
        <v>37</v>
      </c>
      <c r="H129" s="44" t="s">
        <v>37</v>
      </c>
      <c r="J129" s="44" t="s">
        <v>37</v>
      </c>
      <c r="L129" s="48" t="s">
        <v>37</v>
      </c>
      <c r="M129" s="50"/>
      <c r="N129" s="48" t="s">
        <v>37</v>
      </c>
      <c r="O129" s="50"/>
      <c r="P129" s="48" t="s">
        <v>37</v>
      </c>
      <c r="Q129" s="50"/>
      <c r="R129" s="48" t="s">
        <v>37</v>
      </c>
      <c r="S129" s="50"/>
      <c r="T129" s="48" t="s">
        <v>37</v>
      </c>
      <c r="V129" s="44" t="s">
        <v>37</v>
      </c>
      <c r="X129" s="44" t="s">
        <v>37</v>
      </c>
      <c r="Z129" s="44" t="s">
        <v>37</v>
      </c>
      <c r="AB129" s="44" t="s">
        <v>37</v>
      </c>
      <c r="AD129" s="44" t="s">
        <v>37</v>
      </c>
      <c r="AF129" s="44" t="s">
        <v>37</v>
      </c>
      <c r="AH129" s="44" t="s">
        <v>37</v>
      </c>
      <c r="AJ129" s="44" t="s">
        <v>37</v>
      </c>
      <c r="AL129" s="44" t="s">
        <v>37</v>
      </c>
      <c r="AN129" s="44" t="s">
        <v>37</v>
      </c>
      <c r="AP129" s="44" t="s">
        <v>37</v>
      </c>
      <c r="AR129" s="44" t="s">
        <v>37</v>
      </c>
      <c r="AT129" s="44" t="s">
        <v>37</v>
      </c>
      <c r="AV129" s="44" t="s">
        <v>37</v>
      </c>
      <c r="AX129" s="44" t="s">
        <v>37</v>
      </c>
      <c r="AZ129" s="44" t="s">
        <v>37</v>
      </c>
      <c r="BB129" s="44" t="s">
        <v>37</v>
      </c>
      <c r="BD129" s="44" t="s">
        <v>37</v>
      </c>
      <c r="BF129" s="44" t="s">
        <v>37</v>
      </c>
      <c r="BH129" s="44" t="s">
        <v>37</v>
      </c>
      <c r="BJ129" s="44" t="s">
        <v>37</v>
      </c>
      <c r="BL129" s="44" t="s">
        <v>37</v>
      </c>
      <c r="BN129" s="44" t="s">
        <v>37</v>
      </c>
      <c r="BP129" s="44" t="s">
        <v>37</v>
      </c>
      <c r="BR129" s="44" t="s">
        <v>37</v>
      </c>
      <c r="BT129" s="44" t="s">
        <v>37</v>
      </c>
      <c r="BV129" s="44" t="s">
        <v>37</v>
      </c>
      <c r="BX129" s="44" t="s">
        <v>37</v>
      </c>
      <c r="BZ129" s="44" t="s">
        <v>37</v>
      </c>
      <c r="CB129" s="44" t="s">
        <v>37</v>
      </c>
      <c r="CD129" s="44" t="s">
        <v>37</v>
      </c>
      <c r="CF129" s="44" t="s">
        <v>37</v>
      </c>
      <c r="CH129" s="44" t="s">
        <v>37</v>
      </c>
      <c r="CJ129" s="44" t="s">
        <v>37</v>
      </c>
      <c r="CL129" s="44" t="s">
        <v>37</v>
      </c>
      <c r="CN129" s="44" t="s">
        <v>37</v>
      </c>
      <c r="CP129" s="44" t="s">
        <v>37</v>
      </c>
      <c r="CR129" s="44" t="s">
        <v>37</v>
      </c>
      <c r="CT129" s="44" t="s">
        <v>37</v>
      </c>
      <c r="CV129" s="44" t="s">
        <v>37</v>
      </c>
      <c r="CX129" s="44" t="s">
        <v>37</v>
      </c>
      <c r="CZ129" s="44" t="s">
        <v>37</v>
      </c>
      <c r="DB129" s="44" t="s">
        <v>37</v>
      </c>
      <c r="DD129" s="44" t="s">
        <v>37</v>
      </c>
      <c r="DF129" s="44" t="s">
        <v>37</v>
      </c>
      <c r="DH129" s="44" t="s">
        <v>37</v>
      </c>
      <c r="DJ129" s="44" t="s">
        <v>37</v>
      </c>
      <c r="DL129" s="44" t="s">
        <v>37</v>
      </c>
      <c r="DN129" s="44" t="s">
        <v>37</v>
      </c>
      <c r="DP129" s="44" t="s">
        <v>37</v>
      </c>
      <c r="DR129" s="44" t="s">
        <v>37</v>
      </c>
      <c r="DT129" s="44" t="s">
        <v>37</v>
      </c>
      <c r="DV129" s="44" t="s">
        <v>37</v>
      </c>
      <c r="DX129" s="44" t="s">
        <v>37</v>
      </c>
      <c r="DZ129" s="44" t="s">
        <v>37</v>
      </c>
      <c r="EB129" s="44" t="s">
        <v>37</v>
      </c>
      <c r="ED129" s="44" t="s">
        <v>37</v>
      </c>
      <c r="EF129" s="44" t="s">
        <v>37</v>
      </c>
      <c r="EH129" s="44" t="s">
        <v>37</v>
      </c>
      <c r="EJ129" s="44" t="s">
        <v>37</v>
      </c>
      <c r="EL129" s="44" t="s">
        <v>37</v>
      </c>
      <c r="EN129" s="44" t="s">
        <v>37</v>
      </c>
      <c r="EP129" s="44" t="s">
        <v>37</v>
      </c>
      <c r="ER129" s="44" t="s">
        <v>37</v>
      </c>
      <c r="ET129" s="44" t="s">
        <v>37</v>
      </c>
      <c r="EV129" s="44" t="s">
        <v>37</v>
      </c>
      <c r="EX129" s="44" t="s">
        <v>37</v>
      </c>
      <c r="EZ129" s="44" t="s">
        <v>37</v>
      </c>
      <c r="FB129" s="44" t="s">
        <v>37</v>
      </c>
      <c r="FD129" s="44" t="s">
        <v>37</v>
      </c>
      <c r="FF129" s="44" t="s">
        <v>37</v>
      </c>
      <c r="FH129" s="44" t="s">
        <v>37</v>
      </c>
      <c r="FJ129" s="44" t="s">
        <v>37</v>
      </c>
      <c r="FL129" s="44" t="s">
        <v>37</v>
      </c>
      <c r="FN129" s="44" t="s">
        <v>37</v>
      </c>
      <c r="FP129" s="44" t="s">
        <v>37</v>
      </c>
      <c r="FR129" s="44" t="s">
        <v>37</v>
      </c>
      <c r="FT129" s="44" t="s">
        <v>37</v>
      </c>
      <c r="FV129" s="44" t="s">
        <v>37</v>
      </c>
      <c r="FX129" s="44" t="s">
        <v>37</v>
      </c>
      <c r="FZ129" s="44" t="s">
        <v>37</v>
      </c>
      <c r="GB129" s="44" t="s">
        <v>37</v>
      </c>
      <c r="GD129" s="44" t="s">
        <v>37</v>
      </c>
      <c r="GF129" s="44" t="s">
        <v>37</v>
      </c>
      <c r="GH129" s="44" t="s">
        <v>37</v>
      </c>
      <c r="GJ129" s="44" t="s">
        <v>37</v>
      </c>
      <c r="GL129" s="44" t="s">
        <v>37</v>
      </c>
      <c r="GN129" s="44" t="s">
        <v>37</v>
      </c>
      <c r="GP129" s="44" t="s">
        <v>37</v>
      </c>
      <c r="GR129" s="44" t="s">
        <v>37</v>
      </c>
      <c r="GT129" s="44" t="s">
        <v>37</v>
      </c>
      <c r="GV129" s="44" t="s">
        <v>37</v>
      </c>
      <c r="GX129" s="44" t="s">
        <v>37</v>
      </c>
      <c r="GZ129" s="44" t="s">
        <v>37</v>
      </c>
      <c r="HB129" s="44" t="s">
        <v>37</v>
      </c>
      <c r="HD129" s="44" t="s">
        <v>37</v>
      </c>
      <c r="HF129" s="44" t="s">
        <v>37</v>
      </c>
      <c r="HH129" s="44" t="s">
        <v>37</v>
      </c>
      <c r="HJ129" s="44" t="s">
        <v>37</v>
      </c>
      <c r="HL129" s="44" t="s">
        <v>37</v>
      </c>
    </row>
    <row r="130" spans="1:220">
      <c r="A130" s="150" t="s">
        <v>411</v>
      </c>
      <c r="B130" s="44">
        <v>3299</v>
      </c>
      <c r="C130" s="44" t="s">
        <v>152</v>
      </c>
      <c r="D130" s="44" t="s">
        <v>37</v>
      </c>
      <c r="F130" s="44" t="s">
        <v>37</v>
      </c>
      <c r="H130" s="44" t="s">
        <v>37</v>
      </c>
      <c r="J130" s="44" t="s">
        <v>37</v>
      </c>
      <c r="L130" s="48" t="s">
        <v>37</v>
      </c>
      <c r="M130" s="50"/>
      <c r="N130" s="48" t="s">
        <v>37</v>
      </c>
      <c r="O130" s="50"/>
      <c r="P130" s="48" t="s">
        <v>37</v>
      </c>
      <c r="Q130" s="50"/>
      <c r="R130" s="48" t="s">
        <v>37</v>
      </c>
      <c r="S130" s="50"/>
      <c r="T130" s="48" t="s">
        <v>37</v>
      </c>
      <c r="V130" s="44" t="s">
        <v>37</v>
      </c>
      <c r="X130" s="44" t="s">
        <v>37</v>
      </c>
      <c r="Z130" s="44" t="s">
        <v>37</v>
      </c>
      <c r="AB130" s="44" t="s">
        <v>37</v>
      </c>
      <c r="AD130" s="44" t="s">
        <v>37</v>
      </c>
      <c r="AF130" s="44" t="s">
        <v>37</v>
      </c>
      <c r="AH130" s="44" t="s">
        <v>37</v>
      </c>
      <c r="AJ130" s="44" t="s">
        <v>37</v>
      </c>
      <c r="AL130" s="44" t="s">
        <v>37</v>
      </c>
      <c r="AN130" s="44" t="s">
        <v>37</v>
      </c>
      <c r="AP130" s="44" t="s">
        <v>37</v>
      </c>
      <c r="AR130" s="44" t="s">
        <v>37</v>
      </c>
      <c r="AT130" s="44" t="s">
        <v>37</v>
      </c>
      <c r="AV130" s="44" t="s">
        <v>37</v>
      </c>
      <c r="AX130" s="44" t="s">
        <v>37</v>
      </c>
      <c r="AZ130" s="44" t="s">
        <v>37</v>
      </c>
      <c r="BB130" s="44" t="s">
        <v>37</v>
      </c>
      <c r="BD130" s="44" t="s">
        <v>37</v>
      </c>
      <c r="BF130" s="44" t="s">
        <v>37</v>
      </c>
      <c r="BH130" s="44" t="s">
        <v>37</v>
      </c>
      <c r="BJ130" s="44" t="s">
        <v>37</v>
      </c>
      <c r="BL130" s="44" t="s">
        <v>37</v>
      </c>
      <c r="BN130" s="44" t="s">
        <v>37</v>
      </c>
      <c r="BP130" s="44" t="s">
        <v>37</v>
      </c>
      <c r="BR130" s="44" t="s">
        <v>37</v>
      </c>
      <c r="BT130" s="44" t="s">
        <v>37</v>
      </c>
      <c r="BV130" s="44" t="s">
        <v>37</v>
      </c>
      <c r="BX130" s="44" t="s">
        <v>37</v>
      </c>
      <c r="BZ130" s="44" t="s">
        <v>37</v>
      </c>
      <c r="CB130" s="44" t="s">
        <v>37</v>
      </c>
      <c r="CD130" s="44" t="s">
        <v>37</v>
      </c>
      <c r="CF130" s="44" t="s">
        <v>37</v>
      </c>
      <c r="CH130" s="44" t="s">
        <v>37</v>
      </c>
      <c r="CJ130" s="44" t="s">
        <v>37</v>
      </c>
      <c r="CL130" s="44" t="s">
        <v>37</v>
      </c>
      <c r="CN130" s="44" t="s">
        <v>37</v>
      </c>
      <c r="CP130" s="44" t="s">
        <v>37</v>
      </c>
      <c r="CR130" s="44" t="s">
        <v>37</v>
      </c>
      <c r="CT130" s="44" t="s">
        <v>37</v>
      </c>
      <c r="CV130" s="44" t="s">
        <v>37</v>
      </c>
      <c r="CX130" s="44" t="s">
        <v>37</v>
      </c>
      <c r="CZ130" s="44" t="s">
        <v>37</v>
      </c>
      <c r="DB130" s="44" t="s">
        <v>37</v>
      </c>
      <c r="DD130" s="44" t="s">
        <v>37</v>
      </c>
      <c r="DF130" s="44" t="s">
        <v>37</v>
      </c>
      <c r="DH130" s="44" t="s">
        <v>37</v>
      </c>
      <c r="DJ130" s="44" t="s">
        <v>37</v>
      </c>
      <c r="DL130" s="44" t="s">
        <v>37</v>
      </c>
      <c r="DN130" s="44" t="s">
        <v>37</v>
      </c>
      <c r="DP130" s="44" t="s">
        <v>37</v>
      </c>
      <c r="DR130" s="44" t="s">
        <v>37</v>
      </c>
      <c r="DT130" s="44" t="s">
        <v>37</v>
      </c>
      <c r="DV130" s="44" t="s">
        <v>37</v>
      </c>
      <c r="DX130" s="44" t="s">
        <v>37</v>
      </c>
      <c r="DZ130" s="44" t="s">
        <v>37</v>
      </c>
      <c r="EB130" s="44" t="s">
        <v>37</v>
      </c>
      <c r="ED130" s="44" t="s">
        <v>37</v>
      </c>
      <c r="EF130" s="44" t="s">
        <v>37</v>
      </c>
      <c r="EH130" s="44" t="s">
        <v>37</v>
      </c>
      <c r="EJ130" s="44" t="s">
        <v>37</v>
      </c>
      <c r="EL130" s="44" t="s">
        <v>37</v>
      </c>
      <c r="EN130" s="44" t="s">
        <v>37</v>
      </c>
      <c r="EP130" s="44" t="s">
        <v>37</v>
      </c>
      <c r="ER130" s="44" t="s">
        <v>37</v>
      </c>
      <c r="ET130" s="44" t="s">
        <v>37</v>
      </c>
      <c r="EV130" s="44" t="s">
        <v>37</v>
      </c>
      <c r="EX130" s="44" t="s">
        <v>37</v>
      </c>
      <c r="EZ130" s="44" t="s">
        <v>37</v>
      </c>
      <c r="FB130" s="44" t="s">
        <v>37</v>
      </c>
      <c r="FD130" s="44" t="s">
        <v>37</v>
      </c>
      <c r="FF130" s="44" t="s">
        <v>37</v>
      </c>
      <c r="FH130" s="44" t="s">
        <v>37</v>
      </c>
      <c r="FJ130" s="44" t="s">
        <v>37</v>
      </c>
      <c r="FL130" s="44" t="s">
        <v>37</v>
      </c>
      <c r="FN130" s="44" t="s">
        <v>37</v>
      </c>
      <c r="FP130" s="44" t="s">
        <v>37</v>
      </c>
      <c r="FR130" s="44" t="s">
        <v>37</v>
      </c>
      <c r="FT130" s="44" t="s">
        <v>37</v>
      </c>
      <c r="FV130" s="44" t="s">
        <v>37</v>
      </c>
      <c r="FX130" s="44" t="s">
        <v>37</v>
      </c>
      <c r="FZ130" s="44" t="s">
        <v>37</v>
      </c>
      <c r="GB130" s="44" t="s">
        <v>37</v>
      </c>
      <c r="GD130" s="44" t="s">
        <v>37</v>
      </c>
      <c r="GF130" s="44" t="s">
        <v>37</v>
      </c>
      <c r="GH130" s="44" t="s">
        <v>37</v>
      </c>
      <c r="GJ130" s="44" t="s">
        <v>37</v>
      </c>
      <c r="GL130" s="44" t="s">
        <v>37</v>
      </c>
      <c r="GN130" s="44" t="s">
        <v>37</v>
      </c>
      <c r="GP130" s="44" t="s">
        <v>37</v>
      </c>
      <c r="GR130" s="44" t="s">
        <v>37</v>
      </c>
      <c r="GT130" s="44" t="s">
        <v>37</v>
      </c>
      <c r="GV130" s="44" t="s">
        <v>37</v>
      </c>
      <c r="GX130" s="44" t="s">
        <v>37</v>
      </c>
      <c r="GZ130" s="44" t="s">
        <v>37</v>
      </c>
      <c r="HB130" s="44" t="s">
        <v>37</v>
      </c>
      <c r="HD130" s="44" t="s">
        <v>37</v>
      </c>
      <c r="HF130" s="44" t="s">
        <v>37</v>
      </c>
      <c r="HH130" s="44" t="s">
        <v>37</v>
      </c>
      <c r="HJ130" s="44" t="s">
        <v>37</v>
      </c>
      <c r="HL130" s="44" t="s">
        <v>37</v>
      </c>
    </row>
    <row r="131" spans="1:220">
      <c r="A131" s="150" t="s">
        <v>408</v>
      </c>
      <c r="B131" s="54">
        <v>3300</v>
      </c>
      <c r="C131" s="44" t="s">
        <v>153</v>
      </c>
      <c r="D131" s="44" t="s">
        <v>37</v>
      </c>
      <c r="F131" s="44" t="s">
        <v>37</v>
      </c>
      <c r="H131" s="44" t="s">
        <v>37</v>
      </c>
      <c r="J131" s="44" t="s">
        <v>37</v>
      </c>
      <c r="L131" s="48" t="s">
        <v>37</v>
      </c>
      <c r="M131" s="50"/>
      <c r="N131" s="48" t="s">
        <v>37</v>
      </c>
      <c r="O131" s="50"/>
      <c r="P131" s="48" t="s">
        <v>37</v>
      </c>
      <c r="Q131" s="50"/>
      <c r="R131" s="48" t="s">
        <v>37</v>
      </c>
      <c r="S131" s="50"/>
      <c r="T131" s="48" t="s">
        <v>37</v>
      </c>
      <c r="V131" s="44" t="s">
        <v>37</v>
      </c>
      <c r="X131" s="44" t="s">
        <v>37</v>
      </c>
      <c r="Z131" s="44" t="s">
        <v>37</v>
      </c>
      <c r="AB131" s="44" t="s">
        <v>37</v>
      </c>
      <c r="AD131" s="44" t="s">
        <v>37</v>
      </c>
      <c r="AF131" s="44" t="s">
        <v>37</v>
      </c>
      <c r="AH131" s="44" t="s">
        <v>37</v>
      </c>
      <c r="AJ131" s="44" t="s">
        <v>37</v>
      </c>
      <c r="AL131" s="44" t="s">
        <v>37</v>
      </c>
      <c r="AN131" s="44" t="s">
        <v>37</v>
      </c>
      <c r="AP131" s="44" t="s">
        <v>37</v>
      </c>
      <c r="AR131" s="44" t="s">
        <v>37</v>
      </c>
      <c r="AT131" s="44" t="s">
        <v>37</v>
      </c>
      <c r="AV131" s="44" t="s">
        <v>37</v>
      </c>
      <c r="AX131" s="44" t="s">
        <v>37</v>
      </c>
      <c r="AZ131" s="44" t="s">
        <v>37</v>
      </c>
      <c r="BB131" s="44" t="s">
        <v>37</v>
      </c>
      <c r="BD131" s="44" t="s">
        <v>37</v>
      </c>
      <c r="BF131" s="44" t="s">
        <v>37</v>
      </c>
      <c r="BH131" s="44" t="s">
        <v>37</v>
      </c>
      <c r="BJ131" s="44" t="s">
        <v>37</v>
      </c>
      <c r="BL131" s="44" t="s">
        <v>37</v>
      </c>
      <c r="BN131" s="44" t="s">
        <v>37</v>
      </c>
      <c r="BP131" s="44" t="s">
        <v>37</v>
      </c>
      <c r="BR131" s="44" t="s">
        <v>37</v>
      </c>
      <c r="BT131" s="44" t="s">
        <v>37</v>
      </c>
      <c r="BV131" s="44" t="s">
        <v>37</v>
      </c>
      <c r="BX131" s="44" t="s">
        <v>37</v>
      </c>
      <c r="BZ131" s="44" t="s">
        <v>37</v>
      </c>
      <c r="CB131" s="44" t="s">
        <v>37</v>
      </c>
      <c r="CD131" s="44" t="s">
        <v>37</v>
      </c>
      <c r="CF131" s="44" t="s">
        <v>37</v>
      </c>
      <c r="CH131" s="44" t="s">
        <v>37</v>
      </c>
      <c r="CJ131" s="44" t="s">
        <v>37</v>
      </c>
      <c r="CL131" s="44" t="s">
        <v>37</v>
      </c>
      <c r="CN131" s="44" t="s">
        <v>37</v>
      </c>
      <c r="CP131" s="44" t="s">
        <v>37</v>
      </c>
      <c r="CR131" s="44" t="s">
        <v>37</v>
      </c>
      <c r="CT131" s="44" t="s">
        <v>37</v>
      </c>
      <c r="CV131" s="44" t="s">
        <v>37</v>
      </c>
      <c r="CX131" s="44" t="s">
        <v>37</v>
      </c>
      <c r="CZ131" s="44" t="s">
        <v>37</v>
      </c>
      <c r="DB131" s="44" t="s">
        <v>37</v>
      </c>
      <c r="DD131" s="44" t="s">
        <v>37</v>
      </c>
      <c r="DF131" s="44" t="s">
        <v>37</v>
      </c>
      <c r="DH131" s="44" t="s">
        <v>37</v>
      </c>
      <c r="DJ131" s="44" t="s">
        <v>37</v>
      </c>
      <c r="DL131" s="44" t="s">
        <v>37</v>
      </c>
      <c r="DN131" s="44" t="s">
        <v>37</v>
      </c>
      <c r="DP131" s="44" t="s">
        <v>37</v>
      </c>
      <c r="DR131" s="44" t="s">
        <v>37</v>
      </c>
      <c r="DT131" s="44" t="s">
        <v>37</v>
      </c>
      <c r="DV131" s="44" t="s">
        <v>37</v>
      </c>
      <c r="DX131" s="44" t="s">
        <v>37</v>
      </c>
      <c r="DZ131" s="44" t="s">
        <v>37</v>
      </c>
      <c r="EB131" s="44" t="s">
        <v>37</v>
      </c>
      <c r="ED131" s="44" t="s">
        <v>37</v>
      </c>
      <c r="EF131" s="44" t="s">
        <v>37</v>
      </c>
      <c r="EH131" s="44" t="s">
        <v>37</v>
      </c>
      <c r="EJ131" s="44" t="s">
        <v>37</v>
      </c>
      <c r="EL131" s="44" t="s">
        <v>37</v>
      </c>
      <c r="EN131" s="44" t="s">
        <v>37</v>
      </c>
      <c r="EP131" s="44" t="s">
        <v>37</v>
      </c>
      <c r="ER131" s="44" t="s">
        <v>37</v>
      </c>
      <c r="ET131" s="44" t="s">
        <v>37</v>
      </c>
      <c r="EV131" s="44" t="s">
        <v>37</v>
      </c>
      <c r="EX131" s="44" t="s">
        <v>37</v>
      </c>
      <c r="EZ131" s="44" t="s">
        <v>37</v>
      </c>
      <c r="FB131" s="44" t="s">
        <v>37</v>
      </c>
      <c r="FD131" s="44" t="s">
        <v>37</v>
      </c>
      <c r="FF131" s="44" t="s">
        <v>37</v>
      </c>
      <c r="FH131" s="44" t="s">
        <v>37</v>
      </c>
      <c r="FJ131" s="44" t="s">
        <v>37</v>
      </c>
      <c r="FL131" s="44" t="s">
        <v>37</v>
      </c>
      <c r="FN131" s="44" t="s">
        <v>37</v>
      </c>
      <c r="FP131" s="44" t="s">
        <v>37</v>
      </c>
      <c r="FR131" s="44" t="s">
        <v>37</v>
      </c>
      <c r="FT131" s="44" t="s">
        <v>37</v>
      </c>
      <c r="FV131" s="44" t="s">
        <v>37</v>
      </c>
      <c r="FX131" s="44" t="s">
        <v>37</v>
      </c>
      <c r="FZ131" s="44" t="s">
        <v>37</v>
      </c>
      <c r="GB131" s="44" t="s">
        <v>37</v>
      </c>
      <c r="GD131" s="44" t="s">
        <v>37</v>
      </c>
      <c r="GF131" s="44" t="s">
        <v>37</v>
      </c>
      <c r="GH131" s="44" t="s">
        <v>37</v>
      </c>
      <c r="GJ131" s="44" t="s">
        <v>37</v>
      </c>
      <c r="GL131" s="44" t="s">
        <v>37</v>
      </c>
      <c r="GN131" s="44" t="s">
        <v>37</v>
      </c>
      <c r="GP131" s="44" t="s">
        <v>37</v>
      </c>
      <c r="GR131" s="44" t="s">
        <v>37</v>
      </c>
      <c r="GT131" s="44" t="s">
        <v>37</v>
      </c>
      <c r="GV131" s="44" t="s">
        <v>37</v>
      </c>
      <c r="GX131" s="44" t="s">
        <v>37</v>
      </c>
      <c r="GZ131" s="44" t="s">
        <v>37</v>
      </c>
      <c r="HB131" s="44" t="s">
        <v>37</v>
      </c>
      <c r="HD131" s="44" t="s">
        <v>37</v>
      </c>
      <c r="HF131" s="44" t="s">
        <v>37</v>
      </c>
      <c r="HH131" s="44" t="s">
        <v>37</v>
      </c>
      <c r="HJ131" s="44" t="s">
        <v>37</v>
      </c>
      <c r="HL131" s="44" t="s">
        <v>37</v>
      </c>
    </row>
    <row r="132" spans="1:220">
      <c r="A132" s="150" t="s">
        <v>408</v>
      </c>
      <c r="B132" s="54">
        <v>3310</v>
      </c>
      <c r="C132" s="44" t="s">
        <v>154</v>
      </c>
      <c r="D132" s="44" t="s">
        <v>37</v>
      </c>
      <c r="F132" s="44" t="s">
        <v>37</v>
      </c>
      <c r="H132" s="44" t="s">
        <v>37</v>
      </c>
      <c r="J132" s="44" t="s">
        <v>37</v>
      </c>
      <c r="L132" s="48" t="s">
        <v>37</v>
      </c>
      <c r="M132" s="50"/>
      <c r="N132" s="48" t="s">
        <v>37</v>
      </c>
      <c r="O132" s="50"/>
      <c r="P132" s="48" t="s">
        <v>37</v>
      </c>
      <c r="Q132" s="50"/>
      <c r="R132" s="48" t="s">
        <v>37</v>
      </c>
      <c r="S132" s="50"/>
      <c r="T132" s="48" t="s">
        <v>37</v>
      </c>
      <c r="V132" s="44" t="s">
        <v>37</v>
      </c>
      <c r="X132" s="44" t="s">
        <v>37</v>
      </c>
      <c r="Z132" s="44" t="s">
        <v>37</v>
      </c>
      <c r="AB132" s="44" t="s">
        <v>37</v>
      </c>
      <c r="AD132" s="44" t="s">
        <v>37</v>
      </c>
      <c r="AF132" s="44" t="s">
        <v>37</v>
      </c>
      <c r="AH132" s="44" t="s">
        <v>37</v>
      </c>
      <c r="AJ132" s="44" t="s">
        <v>37</v>
      </c>
      <c r="AL132" s="44" t="s">
        <v>37</v>
      </c>
      <c r="AN132" s="44" t="s">
        <v>37</v>
      </c>
      <c r="AP132" s="44" t="s">
        <v>37</v>
      </c>
      <c r="AR132" s="44" t="s">
        <v>37</v>
      </c>
      <c r="AT132" s="44" t="s">
        <v>37</v>
      </c>
      <c r="AV132" s="44" t="s">
        <v>37</v>
      </c>
      <c r="AX132" s="44" t="s">
        <v>37</v>
      </c>
      <c r="AZ132" s="44" t="s">
        <v>37</v>
      </c>
      <c r="BB132" s="44" t="s">
        <v>37</v>
      </c>
      <c r="BD132" s="44" t="s">
        <v>37</v>
      </c>
      <c r="BF132" s="44" t="s">
        <v>37</v>
      </c>
      <c r="BH132" s="44" t="s">
        <v>37</v>
      </c>
      <c r="BJ132" s="44" t="s">
        <v>37</v>
      </c>
      <c r="BL132" s="44" t="s">
        <v>37</v>
      </c>
      <c r="BN132" s="44" t="s">
        <v>37</v>
      </c>
      <c r="BP132" s="44" t="s">
        <v>37</v>
      </c>
      <c r="BR132" s="44" t="s">
        <v>37</v>
      </c>
      <c r="BT132" s="44" t="s">
        <v>37</v>
      </c>
      <c r="BV132" s="44" t="s">
        <v>37</v>
      </c>
      <c r="BX132" s="44" t="s">
        <v>37</v>
      </c>
      <c r="BZ132" s="44" t="s">
        <v>37</v>
      </c>
      <c r="CB132" s="44" t="s">
        <v>37</v>
      </c>
      <c r="CD132" s="44" t="s">
        <v>37</v>
      </c>
      <c r="CF132" s="44" t="s">
        <v>37</v>
      </c>
      <c r="CH132" s="44" t="s">
        <v>37</v>
      </c>
      <c r="CJ132" s="44" t="s">
        <v>37</v>
      </c>
      <c r="CL132" s="44" t="s">
        <v>37</v>
      </c>
      <c r="CN132" s="44" t="s">
        <v>37</v>
      </c>
      <c r="CP132" s="44" t="s">
        <v>37</v>
      </c>
      <c r="CR132" s="44" t="s">
        <v>37</v>
      </c>
      <c r="CT132" s="44" t="s">
        <v>37</v>
      </c>
      <c r="CV132" s="44" t="s">
        <v>37</v>
      </c>
      <c r="CX132" s="44" t="s">
        <v>37</v>
      </c>
      <c r="CZ132" s="44" t="s">
        <v>37</v>
      </c>
      <c r="DB132" s="44" t="s">
        <v>37</v>
      </c>
      <c r="DD132" s="44" t="s">
        <v>37</v>
      </c>
      <c r="DF132" s="44" t="s">
        <v>37</v>
      </c>
      <c r="DH132" s="44" t="s">
        <v>37</v>
      </c>
      <c r="DJ132" s="44" t="s">
        <v>37</v>
      </c>
      <c r="DL132" s="44" t="s">
        <v>37</v>
      </c>
      <c r="DN132" s="44" t="s">
        <v>37</v>
      </c>
      <c r="DP132" s="44" t="s">
        <v>37</v>
      </c>
      <c r="DR132" s="44" t="s">
        <v>37</v>
      </c>
      <c r="DT132" s="44" t="s">
        <v>37</v>
      </c>
      <c r="DV132" s="44" t="s">
        <v>37</v>
      </c>
      <c r="DX132" s="44" t="s">
        <v>37</v>
      </c>
      <c r="DZ132" s="44" t="s">
        <v>37</v>
      </c>
      <c r="EB132" s="44" t="s">
        <v>37</v>
      </c>
      <c r="ED132" s="44" t="s">
        <v>37</v>
      </c>
      <c r="EF132" s="44" t="s">
        <v>37</v>
      </c>
      <c r="EH132" s="44" t="s">
        <v>37</v>
      </c>
      <c r="EJ132" s="44" t="s">
        <v>37</v>
      </c>
      <c r="EL132" s="44" t="s">
        <v>37</v>
      </c>
      <c r="EN132" s="44" t="s">
        <v>37</v>
      </c>
      <c r="EP132" s="44" t="s">
        <v>37</v>
      </c>
      <c r="ER132" s="44" t="s">
        <v>37</v>
      </c>
      <c r="ET132" s="44" t="s">
        <v>37</v>
      </c>
      <c r="EV132" s="44" t="s">
        <v>37</v>
      </c>
      <c r="EX132" s="44" t="s">
        <v>37</v>
      </c>
      <c r="EZ132" s="44" t="s">
        <v>37</v>
      </c>
      <c r="FB132" s="44" t="s">
        <v>37</v>
      </c>
      <c r="FD132" s="44" t="s">
        <v>37</v>
      </c>
      <c r="FF132" s="44" t="s">
        <v>37</v>
      </c>
      <c r="FH132" s="44" t="s">
        <v>37</v>
      </c>
      <c r="FJ132" s="44" t="s">
        <v>37</v>
      </c>
      <c r="FL132" s="44" t="s">
        <v>37</v>
      </c>
      <c r="FN132" s="44" t="s">
        <v>37</v>
      </c>
      <c r="FP132" s="44" t="s">
        <v>37</v>
      </c>
      <c r="FR132" s="44" t="s">
        <v>37</v>
      </c>
      <c r="FT132" s="44" t="s">
        <v>37</v>
      </c>
      <c r="FV132" s="44" t="s">
        <v>37</v>
      </c>
      <c r="FX132" s="44" t="s">
        <v>37</v>
      </c>
      <c r="FZ132" s="44" t="s">
        <v>37</v>
      </c>
      <c r="GB132" s="44" t="s">
        <v>37</v>
      </c>
      <c r="GD132" s="44" t="s">
        <v>37</v>
      </c>
      <c r="GF132" s="44" t="s">
        <v>37</v>
      </c>
      <c r="GH132" s="44" t="s">
        <v>37</v>
      </c>
      <c r="GJ132" s="44" t="s">
        <v>37</v>
      </c>
      <c r="GL132" s="44" t="s">
        <v>37</v>
      </c>
      <c r="GN132" s="44" t="s">
        <v>37</v>
      </c>
      <c r="GP132" s="44" t="s">
        <v>37</v>
      </c>
      <c r="GR132" s="44" t="s">
        <v>37</v>
      </c>
      <c r="GT132" s="44" t="s">
        <v>37</v>
      </c>
      <c r="GV132" s="44" t="s">
        <v>37</v>
      </c>
      <c r="GX132" s="44" t="s">
        <v>37</v>
      </c>
      <c r="GZ132" s="44" t="s">
        <v>37</v>
      </c>
      <c r="HB132" s="44" t="s">
        <v>37</v>
      </c>
      <c r="HD132" s="44" t="s">
        <v>37</v>
      </c>
      <c r="HF132" s="44" t="s">
        <v>37</v>
      </c>
      <c r="HH132" s="44" t="s">
        <v>37</v>
      </c>
      <c r="HJ132" s="44" t="s">
        <v>37</v>
      </c>
      <c r="HL132" s="44" t="s">
        <v>37</v>
      </c>
    </row>
    <row r="133" spans="1:220">
      <c r="A133" s="150" t="s">
        <v>411</v>
      </c>
      <c r="B133" s="44">
        <v>3311</v>
      </c>
      <c r="C133" s="44" t="s">
        <v>155</v>
      </c>
      <c r="D133" s="44" t="s">
        <v>37</v>
      </c>
      <c r="E133" s="44">
        <v>534325</v>
      </c>
      <c r="F133" s="44" t="s">
        <v>37</v>
      </c>
      <c r="G133" s="44">
        <v>3950064</v>
      </c>
      <c r="H133" s="44" t="s">
        <v>37</v>
      </c>
      <c r="I133" s="44">
        <v>315432</v>
      </c>
      <c r="J133" s="44" t="s">
        <v>37</v>
      </c>
      <c r="L133" s="48" t="s">
        <v>37</v>
      </c>
      <c r="M133" s="51">
        <v>1551825</v>
      </c>
      <c r="N133" s="48" t="s">
        <v>37</v>
      </c>
      <c r="O133" s="51">
        <v>581412</v>
      </c>
      <c r="P133" s="48" t="s">
        <v>37</v>
      </c>
      <c r="Q133" s="51">
        <v>390859</v>
      </c>
      <c r="R133" s="48" t="s">
        <v>37</v>
      </c>
      <c r="S133" s="51">
        <v>344771</v>
      </c>
      <c r="T133" s="48" t="s">
        <v>37</v>
      </c>
      <c r="U133" s="44">
        <v>1960051</v>
      </c>
      <c r="V133" s="44" t="s">
        <v>37</v>
      </c>
      <c r="X133" s="44" t="s">
        <v>37</v>
      </c>
      <c r="Z133" s="44" t="s">
        <v>37</v>
      </c>
      <c r="AA133" s="44">
        <v>244592</v>
      </c>
      <c r="AB133" s="44" t="s">
        <v>37</v>
      </c>
      <c r="AC133" s="44">
        <v>128688</v>
      </c>
      <c r="AD133" s="44" t="s">
        <v>37</v>
      </c>
      <c r="AE133" s="44">
        <v>166759</v>
      </c>
      <c r="AF133" s="44" t="s">
        <v>37</v>
      </c>
      <c r="AG133" s="44">
        <v>138281</v>
      </c>
      <c r="AH133" s="44" t="s">
        <v>37</v>
      </c>
      <c r="AI133" s="44">
        <v>402144</v>
      </c>
      <c r="AJ133" s="44" t="s">
        <v>37</v>
      </c>
      <c r="AL133" s="44" t="s">
        <v>37</v>
      </c>
      <c r="AM133" s="44">
        <v>98615</v>
      </c>
      <c r="AN133" s="44" t="s">
        <v>37</v>
      </c>
      <c r="AP133" s="44" t="s">
        <v>37</v>
      </c>
      <c r="AQ133" s="44">
        <v>4347561</v>
      </c>
      <c r="AR133" s="44" t="s">
        <v>37</v>
      </c>
      <c r="AS133" s="44">
        <v>166699</v>
      </c>
      <c r="AT133" s="44" t="s">
        <v>37</v>
      </c>
      <c r="AU133" s="44">
        <v>3218943</v>
      </c>
      <c r="AV133" s="44" t="s">
        <v>37</v>
      </c>
      <c r="AW133" s="44">
        <v>1405890</v>
      </c>
      <c r="AX133" s="44" t="s">
        <v>37</v>
      </c>
      <c r="AY133" s="44">
        <v>928091</v>
      </c>
      <c r="AZ133" s="44" t="s">
        <v>37</v>
      </c>
      <c r="BA133" s="44">
        <v>1344964</v>
      </c>
      <c r="BB133" s="44" t="s">
        <v>37</v>
      </c>
      <c r="BC133" s="44">
        <v>114638</v>
      </c>
      <c r="BD133" s="44" t="s">
        <v>37</v>
      </c>
      <c r="BE133" s="44">
        <v>538161</v>
      </c>
      <c r="BF133" s="44" t="s">
        <v>37</v>
      </c>
      <c r="BG133" s="44">
        <v>246732</v>
      </c>
      <c r="BH133" s="44" t="s">
        <v>37</v>
      </c>
      <c r="BJ133" s="44" t="s">
        <v>37</v>
      </c>
      <c r="BK133" s="44">
        <v>978137</v>
      </c>
      <c r="BL133" s="44" t="s">
        <v>37</v>
      </c>
      <c r="BM133" s="44">
        <v>1640749</v>
      </c>
      <c r="BN133" s="44" t="s">
        <v>37</v>
      </c>
      <c r="BP133" s="44" t="s">
        <v>37</v>
      </c>
      <c r="BQ133" s="44">
        <v>147464</v>
      </c>
      <c r="BR133" s="44" t="s">
        <v>37</v>
      </c>
      <c r="BS133" s="44">
        <v>688073</v>
      </c>
      <c r="BT133" s="44" t="s">
        <v>37</v>
      </c>
      <c r="BU133" s="44">
        <v>286206</v>
      </c>
      <c r="BV133" s="44" t="s">
        <v>37</v>
      </c>
      <c r="BX133" s="44" t="s">
        <v>37</v>
      </c>
      <c r="BY133" s="44">
        <v>3309815</v>
      </c>
      <c r="BZ133" s="44" t="s">
        <v>37</v>
      </c>
      <c r="CA133" s="44">
        <v>308475</v>
      </c>
      <c r="CB133" s="44" t="s">
        <v>37</v>
      </c>
      <c r="CD133" s="44" t="s">
        <v>37</v>
      </c>
      <c r="CE133" s="44">
        <v>758205</v>
      </c>
      <c r="CF133" s="44" t="s">
        <v>37</v>
      </c>
      <c r="CG133" s="44">
        <v>335990</v>
      </c>
      <c r="CH133" s="44" t="s">
        <v>37</v>
      </c>
      <c r="CI133" s="44">
        <v>2402631</v>
      </c>
      <c r="CJ133" s="44" t="s">
        <v>37</v>
      </c>
      <c r="CK133" s="44">
        <v>203244</v>
      </c>
      <c r="CL133" s="44" t="s">
        <v>37</v>
      </c>
      <c r="CM133" s="44">
        <v>682241</v>
      </c>
      <c r="CN133" s="44" t="s">
        <v>37</v>
      </c>
      <c r="CO133" s="44">
        <v>155807</v>
      </c>
      <c r="CP133" s="44" t="s">
        <v>37</v>
      </c>
      <c r="CQ133" s="44">
        <v>259133</v>
      </c>
      <c r="CR133" s="44" t="s">
        <v>37</v>
      </c>
      <c r="CS133" s="44">
        <v>986803</v>
      </c>
      <c r="CT133" s="44" t="s">
        <v>37</v>
      </c>
      <c r="CU133" s="44">
        <v>9732726</v>
      </c>
      <c r="CV133" s="44" t="s">
        <v>37</v>
      </c>
      <c r="CW133" s="44">
        <v>1488600</v>
      </c>
      <c r="CX133" s="44" t="s">
        <v>37</v>
      </c>
      <c r="CY133" s="44">
        <v>159443</v>
      </c>
      <c r="CZ133" s="44" t="s">
        <v>37</v>
      </c>
      <c r="DA133" s="44">
        <v>185149</v>
      </c>
      <c r="DB133" s="44" t="s">
        <v>37</v>
      </c>
      <c r="DD133" s="44" t="s">
        <v>37</v>
      </c>
      <c r="DE133" s="44">
        <v>442144</v>
      </c>
      <c r="DF133" s="44" t="s">
        <v>37</v>
      </c>
      <c r="DG133" s="44">
        <v>183121</v>
      </c>
      <c r="DH133" s="44" t="s">
        <v>37</v>
      </c>
      <c r="DI133" s="44">
        <v>4486602</v>
      </c>
      <c r="DJ133" s="44" t="s">
        <v>37</v>
      </c>
      <c r="DK133" s="44">
        <v>513511</v>
      </c>
      <c r="DL133" s="44" t="s">
        <v>37</v>
      </c>
      <c r="DM133" s="44">
        <v>1616428</v>
      </c>
      <c r="DN133" s="44" t="s">
        <v>37</v>
      </c>
      <c r="DO133" s="44">
        <v>1973342</v>
      </c>
      <c r="DP133" s="44" t="s">
        <v>37</v>
      </c>
      <c r="DQ133" s="44">
        <v>924409</v>
      </c>
      <c r="DR133" s="44" t="s">
        <v>37</v>
      </c>
      <c r="DS133" s="44">
        <v>463133</v>
      </c>
      <c r="DT133" s="44" t="s">
        <v>37</v>
      </c>
      <c r="DU133" s="44">
        <v>415038</v>
      </c>
      <c r="DV133" s="44" t="s">
        <v>37</v>
      </c>
      <c r="DW133" s="44">
        <v>3292132</v>
      </c>
      <c r="DX133" s="44" t="s">
        <v>37</v>
      </c>
      <c r="DY133" s="44">
        <v>1238392</v>
      </c>
      <c r="DZ133" s="44" t="s">
        <v>37</v>
      </c>
      <c r="EA133" s="44">
        <v>301643</v>
      </c>
      <c r="EB133" s="44" t="s">
        <v>37</v>
      </c>
      <c r="EC133" s="44">
        <v>659659</v>
      </c>
      <c r="ED133" s="44" t="s">
        <v>37</v>
      </c>
      <c r="EE133" s="44">
        <v>2196548</v>
      </c>
      <c r="EF133" s="44" t="s">
        <v>37</v>
      </c>
      <c r="EG133" s="44">
        <v>90759</v>
      </c>
      <c r="EH133" s="44" t="s">
        <v>37</v>
      </c>
      <c r="EJ133" s="44" t="s">
        <v>37</v>
      </c>
      <c r="EK133" s="44">
        <v>523276</v>
      </c>
      <c r="EL133" s="44" t="s">
        <v>37</v>
      </c>
      <c r="EM133" s="44">
        <v>348191</v>
      </c>
      <c r="EN133" s="44" t="s">
        <v>37</v>
      </c>
      <c r="EO133" s="44">
        <v>98489</v>
      </c>
      <c r="EP133" s="44" t="s">
        <v>37</v>
      </c>
      <c r="ER133" s="44" t="s">
        <v>37</v>
      </c>
      <c r="ES133" s="44">
        <v>770590</v>
      </c>
      <c r="ET133" s="44" t="s">
        <v>37</v>
      </c>
      <c r="EU133" s="44">
        <v>976293</v>
      </c>
      <c r="EV133" s="44" t="s">
        <v>37</v>
      </c>
      <c r="EW133" s="44">
        <v>1204940</v>
      </c>
      <c r="EX133" s="44" t="s">
        <v>37</v>
      </c>
      <c r="EZ133" s="44" t="s">
        <v>37</v>
      </c>
      <c r="FA133" s="44">
        <v>480762</v>
      </c>
      <c r="FB133" s="44" t="s">
        <v>37</v>
      </c>
      <c r="FC133" s="44">
        <v>583835</v>
      </c>
      <c r="FD133" s="44" t="s">
        <v>37</v>
      </c>
      <c r="FE133" s="44">
        <v>1026807</v>
      </c>
      <c r="FF133" s="44" t="s">
        <v>37</v>
      </c>
      <c r="FH133" s="44" t="s">
        <v>37</v>
      </c>
      <c r="FI133" s="44">
        <v>2531769</v>
      </c>
      <c r="FJ133" s="44" t="s">
        <v>37</v>
      </c>
      <c r="FK133" s="44">
        <v>3286875</v>
      </c>
      <c r="FL133" s="44" t="s">
        <v>37</v>
      </c>
      <c r="FM133" s="44">
        <v>3355429</v>
      </c>
      <c r="FN133" s="44" t="s">
        <v>37</v>
      </c>
      <c r="FO133" s="44">
        <v>510099</v>
      </c>
      <c r="FP133" s="44" t="s">
        <v>37</v>
      </c>
      <c r="FQ133" s="44">
        <v>783107</v>
      </c>
      <c r="FR133" s="44" t="s">
        <v>37</v>
      </c>
      <c r="FS133" s="44">
        <v>1621363</v>
      </c>
      <c r="FT133" s="44" t="s">
        <v>37</v>
      </c>
      <c r="FU133" s="44">
        <v>475898</v>
      </c>
      <c r="FV133" s="44" t="s">
        <v>37</v>
      </c>
      <c r="FW133" s="44">
        <v>381669</v>
      </c>
      <c r="FX133" s="44" t="s">
        <v>37</v>
      </c>
      <c r="FY133" s="44">
        <v>857775</v>
      </c>
      <c r="FZ133" s="44" t="s">
        <v>37</v>
      </c>
      <c r="GA133" s="44">
        <v>1377125</v>
      </c>
      <c r="GB133" s="44" t="s">
        <v>37</v>
      </c>
      <c r="GC133" s="44">
        <v>1034532</v>
      </c>
      <c r="GD133" s="44" t="s">
        <v>37</v>
      </c>
      <c r="GF133" s="44" t="s">
        <v>37</v>
      </c>
      <c r="GH133" s="44" t="s">
        <v>37</v>
      </c>
      <c r="GJ133" s="44" t="s">
        <v>37</v>
      </c>
      <c r="GK133" s="44">
        <v>1527576</v>
      </c>
      <c r="GL133" s="44" t="s">
        <v>37</v>
      </c>
      <c r="GM133" s="44">
        <v>1485967</v>
      </c>
      <c r="GN133" s="44" t="s">
        <v>37</v>
      </c>
      <c r="GP133" s="44" t="s">
        <v>37</v>
      </c>
      <c r="GQ133" s="44">
        <v>775604</v>
      </c>
      <c r="GR133" s="44" t="s">
        <v>37</v>
      </c>
      <c r="GS133" s="44">
        <v>845766</v>
      </c>
      <c r="GT133" s="44" t="s">
        <v>37</v>
      </c>
      <c r="GU133" s="44">
        <v>838850</v>
      </c>
      <c r="GV133" s="44" t="s">
        <v>37</v>
      </c>
      <c r="GW133" s="44">
        <v>586561</v>
      </c>
      <c r="GX133" s="44" t="s">
        <v>37</v>
      </c>
      <c r="GY133" s="44">
        <v>2844555</v>
      </c>
      <c r="GZ133" s="44" t="s">
        <v>37</v>
      </c>
      <c r="HA133" s="44">
        <v>1391211</v>
      </c>
      <c r="HB133" s="44" t="s">
        <v>37</v>
      </c>
      <c r="HD133" s="44" t="s">
        <v>37</v>
      </c>
      <c r="HF133" s="44" t="s">
        <v>37</v>
      </c>
      <c r="HG133" s="44">
        <v>99150163</v>
      </c>
      <c r="HH133" s="44" t="s">
        <v>37</v>
      </c>
      <c r="HJ133" s="44" t="s">
        <v>37</v>
      </c>
      <c r="HK133" s="44">
        <v>99150163</v>
      </c>
      <c r="HL133" s="44" t="s">
        <v>37</v>
      </c>
    </row>
    <row r="134" spans="1:220">
      <c r="A134" s="150" t="s">
        <v>411</v>
      </c>
      <c r="B134" s="44">
        <v>3312</v>
      </c>
      <c r="C134" s="44" t="s">
        <v>156</v>
      </c>
      <c r="D134" s="44" t="s">
        <v>37</v>
      </c>
      <c r="E134" s="44">
        <v>1531509</v>
      </c>
      <c r="F134" s="44" t="s">
        <v>37</v>
      </c>
      <c r="G134" s="44">
        <v>10531383</v>
      </c>
      <c r="H134" s="44" t="s">
        <v>37</v>
      </c>
      <c r="I134" s="44">
        <v>777498</v>
      </c>
      <c r="J134" s="44" t="s">
        <v>37</v>
      </c>
      <c r="L134" s="48" t="s">
        <v>37</v>
      </c>
      <c r="M134" s="51">
        <v>4120062</v>
      </c>
      <c r="N134" s="48" t="s">
        <v>37</v>
      </c>
      <c r="O134" s="51">
        <v>1562059</v>
      </c>
      <c r="P134" s="48" t="s">
        <v>37</v>
      </c>
      <c r="Q134" s="51">
        <v>1263674</v>
      </c>
      <c r="R134" s="48" t="s">
        <v>37</v>
      </c>
      <c r="S134" s="51">
        <v>963337</v>
      </c>
      <c r="T134" s="48" t="s">
        <v>37</v>
      </c>
      <c r="U134" s="44">
        <v>5057370</v>
      </c>
      <c r="V134" s="44" t="s">
        <v>37</v>
      </c>
      <c r="X134" s="44" t="s">
        <v>37</v>
      </c>
      <c r="Z134" s="44" t="s">
        <v>37</v>
      </c>
      <c r="AA134" s="44">
        <v>693568</v>
      </c>
      <c r="AB134" s="44" t="s">
        <v>37</v>
      </c>
      <c r="AC134" s="44">
        <v>403388</v>
      </c>
      <c r="AD134" s="44" t="s">
        <v>37</v>
      </c>
      <c r="AE134" s="44">
        <v>368945</v>
      </c>
      <c r="AF134" s="44" t="s">
        <v>37</v>
      </c>
      <c r="AG134" s="44">
        <v>396457</v>
      </c>
      <c r="AH134" s="44" t="s">
        <v>37</v>
      </c>
      <c r="AI134" s="44">
        <v>1273445</v>
      </c>
      <c r="AJ134" s="44" t="s">
        <v>37</v>
      </c>
      <c r="AL134" s="44" t="s">
        <v>37</v>
      </c>
      <c r="AM134" s="44">
        <v>254225</v>
      </c>
      <c r="AN134" s="44" t="s">
        <v>37</v>
      </c>
      <c r="AP134" s="44" t="s">
        <v>37</v>
      </c>
      <c r="AQ134" s="44">
        <v>12241228</v>
      </c>
      <c r="AR134" s="44" t="s">
        <v>37</v>
      </c>
      <c r="AS134" s="44">
        <v>562533</v>
      </c>
      <c r="AT134" s="44" t="s">
        <v>37</v>
      </c>
      <c r="AU134" s="44">
        <v>8925765</v>
      </c>
      <c r="AV134" s="44" t="s">
        <v>37</v>
      </c>
      <c r="AW134" s="44">
        <v>4205612</v>
      </c>
      <c r="AX134" s="44" t="s">
        <v>37</v>
      </c>
      <c r="AY134" s="44">
        <v>2557001</v>
      </c>
      <c r="AZ134" s="44" t="s">
        <v>37</v>
      </c>
      <c r="BA134" s="44">
        <v>3867463</v>
      </c>
      <c r="BB134" s="44" t="s">
        <v>37</v>
      </c>
      <c r="BC134" s="44">
        <v>304607</v>
      </c>
      <c r="BD134" s="44" t="s">
        <v>37</v>
      </c>
      <c r="BE134" s="44">
        <v>1328812</v>
      </c>
      <c r="BF134" s="44" t="s">
        <v>37</v>
      </c>
      <c r="BG134" s="44">
        <v>652667</v>
      </c>
      <c r="BH134" s="44" t="s">
        <v>37</v>
      </c>
      <c r="BJ134" s="44" t="s">
        <v>37</v>
      </c>
      <c r="BK134" s="44">
        <v>2731490</v>
      </c>
      <c r="BL134" s="44" t="s">
        <v>37</v>
      </c>
      <c r="BM134" s="44">
        <v>4975915</v>
      </c>
      <c r="BN134" s="44" t="s">
        <v>37</v>
      </c>
      <c r="BP134" s="44" t="s">
        <v>37</v>
      </c>
      <c r="BQ134" s="44">
        <v>375879</v>
      </c>
      <c r="BR134" s="44" t="s">
        <v>37</v>
      </c>
      <c r="BS134" s="44">
        <v>1821687</v>
      </c>
      <c r="BT134" s="44" t="s">
        <v>37</v>
      </c>
      <c r="BU134" s="44">
        <v>782849</v>
      </c>
      <c r="BV134" s="44" t="s">
        <v>37</v>
      </c>
      <c r="BX134" s="44" t="s">
        <v>37</v>
      </c>
      <c r="BY134" s="44">
        <v>9737971</v>
      </c>
      <c r="BZ134" s="44" t="s">
        <v>37</v>
      </c>
      <c r="CA134" s="44">
        <v>898655</v>
      </c>
      <c r="CB134" s="44" t="s">
        <v>37</v>
      </c>
      <c r="CD134" s="44" t="s">
        <v>37</v>
      </c>
      <c r="CE134" s="44">
        <v>1851343</v>
      </c>
      <c r="CF134" s="44" t="s">
        <v>37</v>
      </c>
      <c r="CG134" s="44">
        <v>1015338</v>
      </c>
      <c r="CH134" s="44" t="s">
        <v>37</v>
      </c>
      <c r="CI134" s="44">
        <v>6333822</v>
      </c>
      <c r="CJ134" s="44" t="s">
        <v>37</v>
      </c>
      <c r="CK134" s="44">
        <v>513524</v>
      </c>
      <c r="CL134" s="44" t="s">
        <v>37</v>
      </c>
      <c r="CM134" s="44">
        <v>1788543</v>
      </c>
      <c r="CN134" s="44" t="s">
        <v>37</v>
      </c>
      <c r="CO134" s="44">
        <v>461788</v>
      </c>
      <c r="CP134" s="44" t="s">
        <v>37</v>
      </c>
      <c r="CQ134" s="44">
        <v>542317</v>
      </c>
      <c r="CR134" s="44" t="s">
        <v>37</v>
      </c>
      <c r="CS134" s="44">
        <v>3014296</v>
      </c>
      <c r="CT134" s="44" t="s">
        <v>37</v>
      </c>
      <c r="CU134" s="44">
        <v>27122848</v>
      </c>
      <c r="CV134" s="44" t="s">
        <v>37</v>
      </c>
      <c r="CW134" s="44">
        <v>3973889</v>
      </c>
      <c r="CX134" s="44" t="s">
        <v>37</v>
      </c>
      <c r="CY134" s="44">
        <v>477689</v>
      </c>
      <c r="CZ134" s="44" t="s">
        <v>37</v>
      </c>
      <c r="DA134" s="44">
        <v>530649</v>
      </c>
      <c r="DB134" s="44" t="s">
        <v>37</v>
      </c>
      <c r="DD134" s="44" t="s">
        <v>37</v>
      </c>
      <c r="DE134" s="44">
        <v>1362828</v>
      </c>
      <c r="DF134" s="44" t="s">
        <v>37</v>
      </c>
      <c r="DG134" s="44">
        <v>616648</v>
      </c>
      <c r="DH134" s="44" t="s">
        <v>37</v>
      </c>
      <c r="DI134" s="44">
        <v>11410786</v>
      </c>
      <c r="DJ134" s="44" t="s">
        <v>37</v>
      </c>
      <c r="DK134" s="44">
        <v>1252297</v>
      </c>
      <c r="DL134" s="44" t="s">
        <v>37</v>
      </c>
      <c r="DM134" s="44">
        <v>4652546</v>
      </c>
      <c r="DN134" s="44" t="s">
        <v>37</v>
      </c>
      <c r="DO134" s="44">
        <v>5231952</v>
      </c>
      <c r="DP134" s="44" t="s">
        <v>37</v>
      </c>
      <c r="DQ134" s="44">
        <v>2848383</v>
      </c>
      <c r="DR134" s="44" t="s">
        <v>37</v>
      </c>
      <c r="DS134" s="44">
        <v>1294031</v>
      </c>
      <c r="DT134" s="44" t="s">
        <v>37</v>
      </c>
      <c r="DU134" s="44">
        <v>1290581</v>
      </c>
      <c r="DV134" s="44" t="s">
        <v>37</v>
      </c>
      <c r="DW134" s="44">
        <v>9276852</v>
      </c>
      <c r="DX134" s="44" t="s">
        <v>37</v>
      </c>
      <c r="DY134" s="44">
        <v>3469163</v>
      </c>
      <c r="DZ134" s="44" t="s">
        <v>37</v>
      </c>
      <c r="EA134" s="44">
        <v>918396</v>
      </c>
      <c r="EB134" s="44" t="s">
        <v>37</v>
      </c>
      <c r="EC134" s="44">
        <v>1664670</v>
      </c>
      <c r="ED134" s="44" t="s">
        <v>37</v>
      </c>
      <c r="EE134" s="44">
        <v>6861561</v>
      </c>
      <c r="EF134" s="44" t="s">
        <v>37</v>
      </c>
      <c r="EG134" s="44">
        <v>278219</v>
      </c>
      <c r="EH134" s="44" t="s">
        <v>37</v>
      </c>
      <c r="EJ134" s="44" t="s">
        <v>37</v>
      </c>
      <c r="EK134" s="44">
        <v>1359898</v>
      </c>
      <c r="EL134" s="44" t="s">
        <v>37</v>
      </c>
      <c r="EM134" s="44">
        <v>898551</v>
      </c>
      <c r="EN134" s="44" t="s">
        <v>37</v>
      </c>
      <c r="EO134" s="44">
        <v>326006</v>
      </c>
      <c r="EP134" s="44" t="s">
        <v>37</v>
      </c>
      <c r="ER134" s="44" t="s">
        <v>37</v>
      </c>
      <c r="ES134" s="44">
        <v>2364652</v>
      </c>
      <c r="ET134" s="44" t="s">
        <v>37</v>
      </c>
      <c r="EU134" s="44">
        <v>2656213</v>
      </c>
      <c r="EV134" s="44" t="s">
        <v>37</v>
      </c>
      <c r="EW134" s="44">
        <v>3294425</v>
      </c>
      <c r="EX134" s="44" t="s">
        <v>37</v>
      </c>
      <c r="EZ134" s="44" t="s">
        <v>37</v>
      </c>
      <c r="FA134" s="44">
        <v>1340634</v>
      </c>
      <c r="FB134" s="44" t="s">
        <v>37</v>
      </c>
      <c r="FC134" s="44">
        <v>1884687</v>
      </c>
      <c r="FD134" s="44" t="s">
        <v>37</v>
      </c>
      <c r="FE134" s="44">
        <v>2918860</v>
      </c>
      <c r="FF134" s="44" t="s">
        <v>37</v>
      </c>
      <c r="FH134" s="44" t="s">
        <v>37</v>
      </c>
      <c r="FI134" s="44">
        <v>7196474</v>
      </c>
      <c r="FJ134" s="44" t="s">
        <v>37</v>
      </c>
      <c r="FK134" s="44">
        <v>9537961</v>
      </c>
      <c r="FL134" s="44" t="s">
        <v>37</v>
      </c>
      <c r="FM134" s="44">
        <v>10123212</v>
      </c>
      <c r="FN134" s="44" t="s">
        <v>37</v>
      </c>
      <c r="FO134" s="44">
        <v>953624</v>
      </c>
      <c r="FP134" s="44" t="s">
        <v>37</v>
      </c>
      <c r="FQ134" s="44">
        <v>2075366</v>
      </c>
      <c r="FR134" s="44" t="s">
        <v>37</v>
      </c>
      <c r="FS134" s="44">
        <v>4583969</v>
      </c>
      <c r="FT134" s="44" t="s">
        <v>37</v>
      </c>
      <c r="FU134" s="44">
        <v>1216236</v>
      </c>
      <c r="FV134" s="44" t="s">
        <v>37</v>
      </c>
      <c r="FW134" s="44">
        <v>1391001</v>
      </c>
      <c r="FX134" s="44" t="s">
        <v>37</v>
      </c>
      <c r="FY134" s="44">
        <v>2601232</v>
      </c>
      <c r="FZ134" s="44" t="s">
        <v>37</v>
      </c>
      <c r="GA134" s="44">
        <v>3759790</v>
      </c>
      <c r="GB134" s="44" t="s">
        <v>37</v>
      </c>
      <c r="GC134" s="44">
        <v>2768434</v>
      </c>
      <c r="GD134" s="44" t="s">
        <v>37</v>
      </c>
      <c r="GF134" s="44" t="s">
        <v>37</v>
      </c>
      <c r="GH134" s="44" t="s">
        <v>37</v>
      </c>
      <c r="GJ134" s="44" t="s">
        <v>37</v>
      </c>
      <c r="GK134" s="44">
        <v>4477871</v>
      </c>
      <c r="GL134" s="44" t="s">
        <v>37</v>
      </c>
      <c r="GM134" s="44">
        <v>4302282</v>
      </c>
      <c r="GN134" s="44" t="s">
        <v>37</v>
      </c>
      <c r="GP134" s="44" t="s">
        <v>37</v>
      </c>
      <c r="GQ134" s="44">
        <v>2066747</v>
      </c>
      <c r="GR134" s="44" t="s">
        <v>37</v>
      </c>
      <c r="GS134" s="44">
        <v>2596421</v>
      </c>
      <c r="GT134" s="44" t="s">
        <v>37</v>
      </c>
      <c r="GU134" s="44">
        <v>2290327</v>
      </c>
      <c r="GV134" s="44" t="s">
        <v>37</v>
      </c>
      <c r="GW134" s="44">
        <v>1691377</v>
      </c>
      <c r="GX134" s="44" t="s">
        <v>37</v>
      </c>
      <c r="GY134" s="44">
        <v>7452896</v>
      </c>
      <c r="GZ134" s="44" t="s">
        <v>37</v>
      </c>
      <c r="HA134" s="44">
        <v>3533211</v>
      </c>
      <c r="HB134" s="44" t="s">
        <v>37</v>
      </c>
      <c r="HD134" s="44" t="s">
        <v>37</v>
      </c>
      <c r="HF134" s="44" t="s">
        <v>37</v>
      </c>
      <c r="HG134" s="44">
        <v>276884370</v>
      </c>
      <c r="HH134" s="44" t="s">
        <v>37</v>
      </c>
      <c r="HJ134" s="44" t="s">
        <v>37</v>
      </c>
      <c r="HK134" s="44">
        <v>276884370</v>
      </c>
      <c r="HL134" s="44" t="s">
        <v>37</v>
      </c>
    </row>
    <row r="135" spans="1:220">
      <c r="A135" s="150" t="s">
        <v>411</v>
      </c>
      <c r="B135" s="44">
        <v>3313</v>
      </c>
      <c r="C135" s="44" t="s">
        <v>157</v>
      </c>
      <c r="D135" s="44" t="s">
        <v>37</v>
      </c>
      <c r="E135" s="44">
        <v>2101670</v>
      </c>
      <c r="F135" s="44" t="s">
        <v>37</v>
      </c>
      <c r="G135" s="44">
        <v>15256448</v>
      </c>
      <c r="H135" s="44" t="s">
        <v>37</v>
      </c>
      <c r="I135" s="44">
        <v>971909</v>
      </c>
      <c r="J135" s="44" t="s">
        <v>37</v>
      </c>
      <c r="L135" s="48" t="s">
        <v>37</v>
      </c>
      <c r="M135" s="51">
        <v>5535276</v>
      </c>
      <c r="N135" s="48" t="s">
        <v>37</v>
      </c>
      <c r="O135" s="51">
        <v>2278198</v>
      </c>
      <c r="P135" s="48" t="s">
        <v>37</v>
      </c>
      <c r="Q135" s="51">
        <v>1554900</v>
      </c>
      <c r="R135" s="48" t="s">
        <v>37</v>
      </c>
      <c r="S135" s="51">
        <v>1259558</v>
      </c>
      <c r="T135" s="48" t="s">
        <v>37</v>
      </c>
      <c r="U135" s="44">
        <v>6583256</v>
      </c>
      <c r="V135" s="44" t="s">
        <v>37</v>
      </c>
      <c r="X135" s="44" t="s">
        <v>37</v>
      </c>
      <c r="Z135" s="44" t="s">
        <v>37</v>
      </c>
      <c r="AA135" s="44">
        <v>972513</v>
      </c>
      <c r="AB135" s="44" t="s">
        <v>37</v>
      </c>
      <c r="AC135" s="44">
        <v>523601</v>
      </c>
      <c r="AD135" s="44" t="s">
        <v>37</v>
      </c>
      <c r="AE135" s="44">
        <v>518364</v>
      </c>
      <c r="AF135" s="44" t="s">
        <v>37</v>
      </c>
      <c r="AG135" s="44">
        <v>617713</v>
      </c>
      <c r="AH135" s="44" t="s">
        <v>37</v>
      </c>
      <c r="AI135" s="44">
        <v>1680577</v>
      </c>
      <c r="AJ135" s="44" t="s">
        <v>37</v>
      </c>
      <c r="AL135" s="44" t="s">
        <v>37</v>
      </c>
      <c r="AM135" s="44">
        <v>323743</v>
      </c>
      <c r="AN135" s="44" t="s">
        <v>37</v>
      </c>
      <c r="AP135" s="44" t="s">
        <v>37</v>
      </c>
      <c r="AQ135" s="44">
        <v>16789110</v>
      </c>
      <c r="AR135" s="44" t="s">
        <v>37</v>
      </c>
      <c r="AS135" s="44">
        <v>832584</v>
      </c>
      <c r="AT135" s="44" t="s">
        <v>37</v>
      </c>
      <c r="AU135" s="44">
        <v>10843354</v>
      </c>
      <c r="AV135" s="44" t="s">
        <v>37</v>
      </c>
      <c r="AW135" s="44">
        <v>5412219</v>
      </c>
      <c r="AX135" s="44" t="s">
        <v>37</v>
      </c>
      <c r="AY135" s="44">
        <v>3759045</v>
      </c>
      <c r="AZ135" s="44" t="s">
        <v>37</v>
      </c>
      <c r="BA135" s="44">
        <v>5068160</v>
      </c>
      <c r="BB135" s="44" t="s">
        <v>37</v>
      </c>
      <c r="BC135" s="44">
        <v>439066</v>
      </c>
      <c r="BD135" s="44" t="s">
        <v>37</v>
      </c>
      <c r="BE135" s="44">
        <v>1909986</v>
      </c>
      <c r="BF135" s="44" t="s">
        <v>37</v>
      </c>
      <c r="BG135" s="44">
        <v>866141</v>
      </c>
      <c r="BH135" s="44" t="s">
        <v>37</v>
      </c>
      <c r="BJ135" s="44" t="s">
        <v>37</v>
      </c>
      <c r="BK135" s="44">
        <v>3668328</v>
      </c>
      <c r="BL135" s="44" t="s">
        <v>37</v>
      </c>
      <c r="BM135" s="44">
        <v>6592546</v>
      </c>
      <c r="BN135" s="44" t="s">
        <v>37</v>
      </c>
      <c r="BP135" s="44" t="s">
        <v>37</v>
      </c>
      <c r="BQ135" s="44">
        <v>548347</v>
      </c>
      <c r="BR135" s="44" t="s">
        <v>37</v>
      </c>
      <c r="BS135" s="44">
        <v>2442946</v>
      </c>
      <c r="BT135" s="44" t="s">
        <v>37</v>
      </c>
      <c r="BU135" s="44">
        <v>1180308</v>
      </c>
      <c r="BV135" s="44" t="s">
        <v>37</v>
      </c>
      <c r="BX135" s="44" t="s">
        <v>37</v>
      </c>
      <c r="BY135" s="44">
        <v>13708366</v>
      </c>
      <c r="BZ135" s="44" t="s">
        <v>37</v>
      </c>
      <c r="CA135" s="44">
        <v>1247686</v>
      </c>
      <c r="CB135" s="44" t="s">
        <v>37</v>
      </c>
      <c r="CD135" s="44" t="s">
        <v>37</v>
      </c>
      <c r="CE135" s="44">
        <v>2513045</v>
      </c>
      <c r="CF135" s="44" t="s">
        <v>37</v>
      </c>
      <c r="CG135" s="44">
        <v>1346764</v>
      </c>
      <c r="CH135" s="44" t="s">
        <v>37</v>
      </c>
      <c r="CI135" s="44">
        <v>8221208</v>
      </c>
      <c r="CJ135" s="44" t="s">
        <v>37</v>
      </c>
      <c r="CK135" s="44">
        <v>743393</v>
      </c>
      <c r="CL135" s="44" t="s">
        <v>37</v>
      </c>
      <c r="CM135" s="44">
        <v>2162070</v>
      </c>
      <c r="CN135" s="44" t="s">
        <v>37</v>
      </c>
      <c r="CO135" s="44">
        <v>559683</v>
      </c>
      <c r="CP135" s="44" t="s">
        <v>37</v>
      </c>
      <c r="CQ135" s="44">
        <v>900294</v>
      </c>
      <c r="CR135" s="44" t="s">
        <v>37</v>
      </c>
      <c r="CS135" s="44">
        <v>3909398</v>
      </c>
      <c r="CT135" s="44" t="s">
        <v>37</v>
      </c>
      <c r="CU135" s="44">
        <v>35364615</v>
      </c>
      <c r="CV135" s="44" t="s">
        <v>37</v>
      </c>
      <c r="CW135" s="44">
        <v>5383246</v>
      </c>
      <c r="CX135" s="44" t="s">
        <v>37</v>
      </c>
      <c r="CY135" s="44">
        <v>697600</v>
      </c>
      <c r="CZ135" s="44" t="s">
        <v>37</v>
      </c>
      <c r="DA135" s="44">
        <v>716456</v>
      </c>
      <c r="DB135" s="44" t="s">
        <v>37</v>
      </c>
      <c r="DD135" s="44" t="s">
        <v>37</v>
      </c>
      <c r="DE135" s="44">
        <v>1896314</v>
      </c>
      <c r="DF135" s="44" t="s">
        <v>37</v>
      </c>
      <c r="DG135" s="44">
        <v>818514</v>
      </c>
      <c r="DH135" s="44" t="s">
        <v>37</v>
      </c>
      <c r="DI135" s="44">
        <v>14604104</v>
      </c>
      <c r="DJ135" s="44" t="s">
        <v>37</v>
      </c>
      <c r="DK135" s="44">
        <v>1652245</v>
      </c>
      <c r="DL135" s="44" t="s">
        <v>37</v>
      </c>
      <c r="DM135" s="44">
        <v>6322640</v>
      </c>
      <c r="DN135" s="44" t="s">
        <v>37</v>
      </c>
      <c r="DO135" s="44">
        <v>6859085</v>
      </c>
      <c r="DP135" s="44" t="s">
        <v>37</v>
      </c>
      <c r="DQ135" s="44">
        <v>3532506</v>
      </c>
      <c r="DR135" s="44" t="s">
        <v>37</v>
      </c>
      <c r="DS135" s="44">
        <v>1896765</v>
      </c>
      <c r="DT135" s="44" t="s">
        <v>37</v>
      </c>
      <c r="DU135" s="44">
        <v>1746622</v>
      </c>
      <c r="DV135" s="44" t="s">
        <v>37</v>
      </c>
      <c r="DW135" s="44">
        <v>12772996</v>
      </c>
      <c r="DX135" s="44" t="s">
        <v>37</v>
      </c>
      <c r="DY135" s="44">
        <v>4718776</v>
      </c>
      <c r="DZ135" s="44" t="s">
        <v>37</v>
      </c>
      <c r="EA135" s="44">
        <v>1214735</v>
      </c>
      <c r="EB135" s="44" t="s">
        <v>37</v>
      </c>
      <c r="EC135" s="44">
        <v>2363041</v>
      </c>
      <c r="ED135" s="44" t="s">
        <v>37</v>
      </c>
      <c r="EE135" s="44">
        <v>10099141</v>
      </c>
      <c r="EF135" s="44" t="s">
        <v>37</v>
      </c>
      <c r="EG135" s="44">
        <v>377532</v>
      </c>
      <c r="EH135" s="44" t="s">
        <v>37</v>
      </c>
      <c r="EJ135" s="44" t="s">
        <v>37</v>
      </c>
      <c r="EK135" s="44">
        <v>2013386</v>
      </c>
      <c r="EL135" s="44" t="s">
        <v>37</v>
      </c>
      <c r="EM135" s="44">
        <v>1179554</v>
      </c>
      <c r="EN135" s="44" t="s">
        <v>37</v>
      </c>
      <c r="EO135" s="44">
        <v>479590</v>
      </c>
      <c r="EP135" s="44" t="s">
        <v>37</v>
      </c>
      <c r="ER135" s="44" t="s">
        <v>37</v>
      </c>
      <c r="ES135" s="44">
        <v>3037696</v>
      </c>
      <c r="ET135" s="44" t="s">
        <v>37</v>
      </c>
      <c r="EU135" s="44">
        <v>3282079</v>
      </c>
      <c r="EV135" s="44" t="s">
        <v>37</v>
      </c>
      <c r="EW135" s="44">
        <v>4197601</v>
      </c>
      <c r="EX135" s="44" t="s">
        <v>37</v>
      </c>
      <c r="EZ135" s="44" t="s">
        <v>37</v>
      </c>
      <c r="FA135" s="44">
        <v>1765981</v>
      </c>
      <c r="FB135" s="44" t="s">
        <v>37</v>
      </c>
      <c r="FC135" s="44">
        <v>2640423</v>
      </c>
      <c r="FD135" s="44" t="s">
        <v>37</v>
      </c>
      <c r="FE135" s="44">
        <v>3661836</v>
      </c>
      <c r="FF135" s="44" t="s">
        <v>37</v>
      </c>
      <c r="FH135" s="44" t="s">
        <v>37</v>
      </c>
      <c r="FI135" s="44">
        <v>9626459</v>
      </c>
      <c r="FJ135" s="44" t="s">
        <v>37</v>
      </c>
      <c r="FK135" s="44">
        <v>12750522</v>
      </c>
      <c r="FL135" s="44" t="s">
        <v>37</v>
      </c>
      <c r="FM135" s="44">
        <v>14839922</v>
      </c>
      <c r="FN135" s="44" t="s">
        <v>37</v>
      </c>
      <c r="FO135" s="44">
        <v>1285931</v>
      </c>
      <c r="FP135" s="44" t="s">
        <v>37</v>
      </c>
      <c r="FQ135" s="44">
        <v>3023982</v>
      </c>
      <c r="FR135" s="44" t="s">
        <v>37</v>
      </c>
      <c r="FS135" s="44">
        <v>6316438</v>
      </c>
      <c r="FT135" s="44" t="s">
        <v>37</v>
      </c>
      <c r="FU135" s="44">
        <v>1755927</v>
      </c>
      <c r="FV135" s="44" t="s">
        <v>37</v>
      </c>
      <c r="FW135" s="44">
        <v>1758044</v>
      </c>
      <c r="FX135" s="44" t="s">
        <v>37</v>
      </c>
      <c r="FY135" s="44">
        <v>3667098</v>
      </c>
      <c r="FZ135" s="44" t="s">
        <v>37</v>
      </c>
      <c r="GA135" s="44">
        <v>5599199</v>
      </c>
      <c r="GB135" s="44" t="s">
        <v>37</v>
      </c>
      <c r="GC135" s="44">
        <v>4094140</v>
      </c>
      <c r="GD135" s="44" t="s">
        <v>37</v>
      </c>
      <c r="GF135" s="44" t="s">
        <v>37</v>
      </c>
      <c r="GH135" s="44" t="s">
        <v>37</v>
      </c>
      <c r="GJ135" s="44" t="s">
        <v>37</v>
      </c>
      <c r="GK135" s="44">
        <v>5489000</v>
      </c>
      <c r="GL135" s="44" t="s">
        <v>37</v>
      </c>
      <c r="GM135" s="44">
        <v>5432499</v>
      </c>
      <c r="GN135" s="44" t="s">
        <v>37</v>
      </c>
      <c r="GP135" s="44" t="s">
        <v>37</v>
      </c>
      <c r="GQ135" s="44">
        <v>2858921</v>
      </c>
      <c r="GR135" s="44" t="s">
        <v>37</v>
      </c>
      <c r="GS135" s="44">
        <v>3037220</v>
      </c>
      <c r="GT135" s="44" t="s">
        <v>37</v>
      </c>
      <c r="GU135" s="44">
        <v>3149625</v>
      </c>
      <c r="GV135" s="44" t="s">
        <v>37</v>
      </c>
      <c r="GW135" s="44">
        <v>2401305</v>
      </c>
      <c r="GX135" s="44" t="s">
        <v>37</v>
      </c>
      <c r="GY135" s="44">
        <v>9705200</v>
      </c>
      <c r="GZ135" s="44" t="s">
        <v>37</v>
      </c>
      <c r="HA135" s="44">
        <v>4948628</v>
      </c>
      <c r="HB135" s="44" t="s">
        <v>37</v>
      </c>
      <c r="HD135" s="44" t="s">
        <v>37</v>
      </c>
      <c r="HF135" s="44" t="s">
        <v>37</v>
      </c>
      <c r="HG135" s="44">
        <v>372876912</v>
      </c>
      <c r="HH135" s="44" t="s">
        <v>37</v>
      </c>
      <c r="HJ135" s="44" t="s">
        <v>37</v>
      </c>
      <c r="HK135" s="44">
        <v>372876912</v>
      </c>
      <c r="HL135" s="44" t="s">
        <v>37</v>
      </c>
    </row>
    <row r="136" spans="1:220">
      <c r="A136" s="150" t="s">
        <v>411</v>
      </c>
      <c r="B136" s="44">
        <v>3314</v>
      </c>
      <c r="C136" s="44" t="s">
        <v>158</v>
      </c>
      <c r="D136" s="44" t="s">
        <v>37</v>
      </c>
      <c r="E136" s="44">
        <v>558227</v>
      </c>
      <c r="F136" s="44" t="s">
        <v>37</v>
      </c>
      <c r="G136" s="44">
        <v>6112541</v>
      </c>
      <c r="H136" s="44" t="s">
        <v>37</v>
      </c>
      <c r="I136" s="44">
        <v>563789</v>
      </c>
      <c r="J136" s="44" t="s">
        <v>37</v>
      </c>
      <c r="L136" s="48" t="s">
        <v>37</v>
      </c>
      <c r="M136" s="51">
        <v>1645710</v>
      </c>
      <c r="N136" s="48" t="s">
        <v>37</v>
      </c>
      <c r="O136" s="51">
        <v>353181</v>
      </c>
      <c r="P136" s="48" t="s">
        <v>37</v>
      </c>
      <c r="Q136" s="51">
        <v>291548</v>
      </c>
      <c r="R136" s="48" t="s">
        <v>37</v>
      </c>
      <c r="S136" s="51">
        <v>379976</v>
      </c>
      <c r="T136" s="48" t="s">
        <v>37</v>
      </c>
      <c r="U136" s="44">
        <v>3701433</v>
      </c>
      <c r="V136" s="44" t="s">
        <v>37</v>
      </c>
      <c r="W136" s="44">
        <v>258004</v>
      </c>
      <c r="X136" s="44" t="s">
        <v>37</v>
      </c>
      <c r="Z136" s="44" t="s">
        <v>37</v>
      </c>
      <c r="AA136" s="44">
        <v>459656</v>
      </c>
      <c r="AB136" s="44" t="s">
        <v>37</v>
      </c>
      <c r="AC136" s="44">
        <v>173308</v>
      </c>
      <c r="AD136" s="44" t="s">
        <v>37</v>
      </c>
      <c r="AE136" s="44">
        <v>89621</v>
      </c>
      <c r="AF136" s="44" t="s">
        <v>37</v>
      </c>
      <c r="AG136" s="44">
        <v>148590</v>
      </c>
      <c r="AH136" s="44" t="s">
        <v>37</v>
      </c>
      <c r="AI136" s="44">
        <v>357421</v>
      </c>
      <c r="AJ136" s="44" t="s">
        <v>37</v>
      </c>
      <c r="AL136" s="44" t="s">
        <v>37</v>
      </c>
      <c r="AM136" s="44">
        <v>100617</v>
      </c>
      <c r="AN136" s="44" t="s">
        <v>37</v>
      </c>
      <c r="AP136" s="44" t="s">
        <v>37</v>
      </c>
      <c r="AQ136" s="44">
        <v>8073377</v>
      </c>
      <c r="AR136" s="44" t="s">
        <v>37</v>
      </c>
      <c r="AS136" s="44">
        <v>174964</v>
      </c>
      <c r="AT136" s="44" t="s">
        <v>37</v>
      </c>
      <c r="AU136" s="44">
        <v>5353211</v>
      </c>
      <c r="AV136" s="44" t="s">
        <v>37</v>
      </c>
      <c r="AW136" s="44">
        <v>2581833</v>
      </c>
      <c r="AX136" s="44" t="s">
        <v>37</v>
      </c>
      <c r="AY136" s="44">
        <v>1974857</v>
      </c>
      <c r="AZ136" s="44" t="s">
        <v>37</v>
      </c>
      <c r="BA136" s="44">
        <v>698371</v>
      </c>
      <c r="BB136" s="44" t="s">
        <v>37</v>
      </c>
      <c r="BC136" s="44">
        <v>274479</v>
      </c>
      <c r="BD136" s="44" t="s">
        <v>37</v>
      </c>
      <c r="BE136" s="44">
        <v>397721</v>
      </c>
      <c r="BF136" s="44" t="s">
        <v>37</v>
      </c>
      <c r="BG136" s="44">
        <v>365062</v>
      </c>
      <c r="BH136" s="44" t="s">
        <v>37</v>
      </c>
      <c r="BJ136" s="44" t="s">
        <v>37</v>
      </c>
      <c r="BK136" s="44">
        <v>1704343</v>
      </c>
      <c r="BL136" s="44" t="s">
        <v>37</v>
      </c>
      <c r="BM136" s="44">
        <v>2164476</v>
      </c>
      <c r="BN136" s="44" t="s">
        <v>37</v>
      </c>
      <c r="BP136" s="44" t="s">
        <v>37</v>
      </c>
      <c r="BQ136" s="44">
        <v>381226</v>
      </c>
      <c r="BR136" s="44" t="s">
        <v>37</v>
      </c>
      <c r="BS136" s="44">
        <v>1360992</v>
      </c>
      <c r="BT136" s="44" t="s">
        <v>37</v>
      </c>
      <c r="BU136" s="44">
        <v>275460</v>
      </c>
      <c r="BV136" s="44" t="s">
        <v>37</v>
      </c>
      <c r="BX136" s="44" t="s">
        <v>37</v>
      </c>
      <c r="BY136" s="44">
        <v>4475224</v>
      </c>
      <c r="BZ136" s="44" t="s">
        <v>37</v>
      </c>
      <c r="CA136" s="44">
        <v>641863</v>
      </c>
      <c r="CB136" s="44" t="s">
        <v>37</v>
      </c>
      <c r="CD136" s="44" t="s">
        <v>37</v>
      </c>
      <c r="CE136" s="44">
        <v>1004308</v>
      </c>
      <c r="CF136" s="44" t="s">
        <v>37</v>
      </c>
      <c r="CG136" s="44">
        <v>721481</v>
      </c>
      <c r="CH136" s="44" t="s">
        <v>37</v>
      </c>
      <c r="CI136" s="44">
        <v>3962368</v>
      </c>
      <c r="CJ136" s="44" t="s">
        <v>37</v>
      </c>
      <c r="CK136" s="44">
        <v>105224</v>
      </c>
      <c r="CL136" s="44" t="s">
        <v>37</v>
      </c>
      <c r="CM136" s="44">
        <v>758067</v>
      </c>
      <c r="CN136" s="44" t="s">
        <v>37</v>
      </c>
      <c r="CO136" s="44">
        <v>271207</v>
      </c>
      <c r="CP136" s="44" t="s">
        <v>37</v>
      </c>
      <c r="CQ136" s="44">
        <v>504881</v>
      </c>
      <c r="CR136" s="44" t="s">
        <v>37</v>
      </c>
      <c r="CS136" s="44">
        <v>1518459</v>
      </c>
      <c r="CT136" s="44" t="s">
        <v>37</v>
      </c>
      <c r="CU136" s="44">
        <v>17953403</v>
      </c>
      <c r="CV136" s="44" t="s">
        <v>37</v>
      </c>
      <c r="CW136" s="44">
        <v>3018064</v>
      </c>
      <c r="CX136" s="44" t="s">
        <v>37</v>
      </c>
      <c r="CY136" s="44">
        <v>143793</v>
      </c>
      <c r="CZ136" s="44" t="s">
        <v>37</v>
      </c>
      <c r="DA136" s="44">
        <v>187445</v>
      </c>
      <c r="DB136" s="44" t="s">
        <v>37</v>
      </c>
      <c r="DD136" s="44" t="s">
        <v>37</v>
      </c>
      <c r="DE136" s="44">
        <v>370379</v>
      </c>
      <c r="DF136" s="44" t="s">
        <v>37</v>
      </c>
      <c r="DG136" s="44">
        <v>196003</v>
      </c>
      <c r="DH136" s="44" t="s">
        <v>37</v>
      </c>
      <c r="DI136" s="44">
        <v>8275353</v>
      </c>
      <c r="DJ136" s="44" t="s">
        <v>37</v>
      </c>
      <c r="DK136" s="44">
        <v>242118</v>
      </c>
      <c r="DL136" s="44" t="s">
        <v>37</v>
      </c>
      <c r="DM136" s="44">
        <v>2945049</v>
      </c>
      <c r="DN136" s="44" t="s">
        <v>37</v>
      </c>
      <c r="DO136" s="44">
        <v>5081763</v>
      </c>
      <c r="DP136" s="44" t="s">
        <v>37</v>
      </c>
      <c r="DQ136" s="44">
        <v>675146</v>
      </c>
      <c r="DR136" s="44" t="s">
        <v>37</v>
      </c>
      <c r="DS136" s="44">
        <v>1332713</v>
      </c>
      <c r="DT136" s="44" t="s">
        <v>37</v>
      </c>
      <c r="DU136" s="44">
        <v>351339</v>
      </c>
      <c r="DV136" s="44" t="s">
        <v>37</v>
      </c>
      <c r="DW136" s="44">
        <v>5180331</v>
      </c>
      <c r="DX136" s="44" t="s">
        <v>37</v>
      </c>
      <c r="DY136" s="44">
        <v>1600095</v>
      </c>
      <c r="DZ136" s="44" t="s">
        <v>37</v>
      </c>
      <c r="EA136" s="44">
        <v>616445</v>
      </c>
      <c r="EB136" s="44" t="s">
        <v>37</v>
      </c>
      <c r="EC136" s="44">
        <v>954798</v>
      </c>
      <c r="ED136" s="44" t="s">
        <v>37</v>
      </c>
      <c r="EE136" s="44">
        <v>3231824</v>
      </c>
      <c r="EF136" s="44" t="s">
        <v>37</v>
      </c>
      <c r="EG136" s="44">
        <v>166030</v>
      </c>
      <c r="EH136" s="44" t="s">
        <v>37</v>
      </c>
      <c r="EJ136" s="44" t="s">
        <v>37</v>
      </c>
      <c r="EK136" s="44">
        <v>989118</v>
      </c>
      <c r="EL136" s="44" t="s">
        <v>37</v>
      </c>
      <c r="EM136" s="44">
        <v>561890</v>
      </c>
      <c r="EN136" s="44" t="s">
        <v>37</v>
      </c>
      <c r="EO136" s="44">
        <v>220658</v>
      </c>
      <c r="EP136" s="44" t="s">
        <v>37</v>
      </c>
      <c r="ER136" s="44" t="s">
        <v>37</v>
      </c>
      <c r="ES136" s="44">
        <v>616287</v>
      </c>
      <c r="ET136" s="44" t="s">
        <v>37</v>
      </c>
      <c r="EU136" s="44">
        <v>1451796</v>
      </c>
      <c r="EV136" s="44" t="s">
        <v>37</v>
      </c>
      <c r="EW136" s="44">
        <v>1403262</v>
      </c>
      <c r="EX136" s="44" t="s">
        <v>37</v>
      </c>
      <c r="EZ136" s="44" t="s">
        <v>37</v>
      </c>
      <c r="FA136" s="44">
        <v>543589</v>
      </c>
      <c r="FB136" s="44" t="s">
        <v>37</v>
      </c>
      <c r="FC136" s="44">
        <v>893673</v>
      </c>
      <c r="FD136" s="44" t="s">
        <v>37</v>
      </c>
      <c r="FE136" s="44">
        <v>1460433</v>
      </c>
      <c r="FF136" s="44" t="s">
        <v>37</v>
      </c>
      <c r="FH136" s="44" t="s">
        <v>37</v>
      </c>
      <c r="FI136" s="44">
        <v>4421482</v>
      </c>
      <c r="FJ136" s="44" t="s">
        <v>37</v>
      </c>
      <c r="FK136" s="44">
        <v>4629853</v>
      </c>
      <c r="FL136" s="44" t="s">
        <v>37</v>
      </c>
      <c r="FM136" s="44">
        <v>6129943</v>
      </c>
      <c r="FN136" s="44" t="s">
        <v>37</v>
      </c>
      <c r="FO136" s="44">
        <v>625389</v>
      </c>
      <c r="FP136" s="44" t="s">
        <v>37</v>
      </c>
      <c r="FQ136" s="44">
        <v>614005</v>
      </c>
      <c r="FR136" s="44" t="s">
        <v>37</v>
      </c>
      <c r="FS136" s="44">
        <v>2405722</v>
      </c>
      <c r="FT136" s="44" t="s">
        <v>37</v>
      </c>
      <c r="FU136" s="44">
        <v>1017708</v>
      </c>
      <c r="FV136" s="44" t="s">
        <v>37</v>
      </c>
      <c r="FW136" s="44">
        <v>1142665</v>
      </c>
      <c r="FX136" s="44" t="s">
        <v>37</v>
      </c>
      <c r="FY136" s="44">
        <v>2126079</v>
      </c>
      <c r="FZ136" s="44" t="s">
        <v>37</v>
      </c>
      <c r="GA136" s="44">
        <v>3781259</v>
      </c>
      <c r="GB136" s="44" t="s">
        <v>37</v>
      </c>
      <c r="GC136" s="44">
        <v>2090579</v>
      </c>
      <c r="GD136" s="44" t="s">
        <v>37</v>
      </c>
      <c r="GF136" s="44" t="s">
        <v>37</v>
      </c>
      <c r="GH136" s="44" t="s">
        <v>37</v>
      </c>
      <c r="GJ136" s="44" t="s">
        <v>37</v>
      </c>
      <c r="GK136" s="44">
        <v>1420447</v>
      </c>
      <c r="GL136" s="44" t="s">
        <v>37</v>
      </c>
      <c r="GM136" s="44">
        <v>2989067</v>
      </c>
      <c r="GN136" s="44" t="s">
        <v>37</v>
      </c>
      <c r="GP136" s="44" t="s">
        <v>37</v>
      </c>
      <c r="GQ136" s="44">
        <v>739000</v>
      </c>
      <c r="GR136" s="44" t="s">
        <v>37</v>
      </c>
      <c r="GS136" s="44">
        <v>471994</v>
      </c>
      <c r="GT136" s="44" t="s">
        <v>37</v>
      </c>
      <c r="GU136" s="44">
        <v>580508</v>
      </c>
      <c r="GV136" s="44" t="s">
        <v>37</v>
      </c>
      <c r="GW136" s="44">
        <v>415575</v>
      </c>
      <c r="GX136" s="44" t="s">
        <v>37</v>
      </c>
      <c r="GY136" s="44">
        <v>5557802</v>
      </c>
      <c r="GZ136" s="44" t="s">
        <v>37</v>
      </c>
      <c r="HA136" s="44">
        <v>1141256</v>
      </c>
      <c r="HB136" s="44" t="s">
        <v>37</v>
      </c>
      <c r="HD136" s="44" t="s">
        <v>37</v>
      </c>
      <c r="HE136" s="44">
        <v>1538395</v>
      </c>
      <c r="HF136" s="44" t="s">
        <v>37</v>
      </c>
      <c r="HG136" s="44">
        <v>157900206</v>
      </c>
      <c r="HH136" s="44" t="s">
        <v>37</v>
      </c>
      <c r="HI136" s="44">
        <v>1538395</v>
      </c>
      <c r="HJ136" s="44" t="s">
        <v>37</v>
      </c>
      <c r="HK136" s="44">
        <v>159438601</v>
      </c>
      <c r="HL136" s="44" t="s">
        <v>37</v>
      </c>
    </row>
    <row r="137" spans="1:220">
      <c r="A137" s="150" t="s">
        <v>411</v>
      </c>
      <c r="B137" s="44">
        <v>3315</v>
      </c>
      <c r="C137" s="44" t="s">
        <v>159</v>
      </c>
      <c r="D137" s="44" t="s">
        <v>37</v>
      </c>
      <c r="E137" s="44">
        <v>60237</v>
      </c>
      <c r="F137" s="44" t="s">
        <v>37</v>
      </c>
      <c r="G137" s="44">
        <v>222385</v>
      </c>
      <c r="H137" s="44" t="s">
        <v>37</v>
      </c>
      <c r="I137" s="44">
        <v>37015</v>
      </c>
      <c r="J137" s="44" t="s">
        <v>37</v>
      </c>
      <c r="L137" s="48" t="s">
        <v>37</v>
      </c>
      <c r="M137" s="51">
        <v>48790</v>
      </c>
      <c r="N137" s="48" t="s">
        <v>37</v>
      </c>
      <c r="O137" s="51">
        <v>31585</v>
      </c>
      <c r="P137" s="48" t="s">
        <v>37</v>
      </c>
      <c r="Q137" s="51">
        <v>25204</v>
      </c>
      <c r="R137" s="48" t="s">
        <v>37</v>
      </c>
      <c r="S137" s="51">
        <v>22091</v>
      </c>
      <c r="T137" s="48" t="s">
        <v>37</v>
      </c>
      <c r="U137" s="44">
        <v>107207</v>
      </c>
      <c r="V137" s="44" t="s">
        <v>37</v>
      </c>
      <c r="X137" s="44" t="s">
        <v>37</v>
      </c>
      <c r="Z137" s="44" t="s">
        <v>37</v>
      </c>
      <c r="AA137" s="44">
        <v>21115</v>
      </c>
      <c r="AB137" s="44" t="s">
        <v>37</v>
      </c>
      <c r="AC137" s="44">
        <v>19431</v>
      </c>
      <c r="AD137" s="44" t="s">
        <v>37</v>
      </c>
      <c r="AF137" s="44" t="s">
        <v>37</v>
      </c>
      <c r="AH137" s="44" t="s">
        <v>37</v>
      </c>
      <c r="AI137" s="44">
        <v>77242</v>
      </c>
      <c r="AJ137" s="44" t="s">
        <v>37</v>
      </c>
      <c r="AL137" s="44" t="s">
        <v>37</v>
      </c>
      <c r="AM137" s="44">
        <v>4263</v>
      </c>
      <c r="AN137" s="44" t="s">
        <v>37</v>
      </c>
      <c r="AP137" s="44" t="s">
        <v>37</v>
      </c>
      <c r="AQ137" s="44">
        <v>304167</v>
      </c>
      <c r="AR137" s="44" t="s">
        <v>37</v>
      </c>
      <c r="AS137" s="44">
        <v>15417</v>
      </c>
      <c r="AT137" s="44" t="s">
        <v>37</v>
      </c>
      <c r="AU137" s="44">
        <v>288146</v>
      </c>
      <c r="AV137" s="44" t="s">
        <v>37</v>
      </c>
      <c r="AW137" s="44">
        <v>134514</v>
      </c>
      <c r="AX137" s="44" t="s">
        <v>37</v>
      </c>
      <c r="AY137" s="44">
        <v>77719</v>
      </c>
      <c r="AZ137" s="44" t="s">
        <v>37</v>
      </c>
      <c r="BA137" s="44">
        <v>108435</v>
      </c>
      <c r="BB137" s="44" t="s">
        <v>37</v>
      </c>
      <c r="BD137" s="44" t="s">
        <v>37</v>
      </c>
      <c r="BE137" s="44">
        <v>52676</v>
      </c>
      <c r="BF137" s="44" t="s">
        <v>37</v>
      </c>
      <c r="BH137" s="44" t="s">
        <v>37</v>
      </c>
      <c r="BJ137" s="44" t="s">
        <v>37</v>
      </c>
      <c r="BK137" s="44">
        <v>72053</v>
      </c>
      <c r="BL137" s="44" t="s">
        <v>37</v>
      </c>
      <c r="BM137" s="44">
        <v>182536</v>
      </c>
      <c r="BN137" s="44" t="s">
        <v>37</v>
      </c>
      <c r="BP137" s="44" t="s">
        <v>37</v>
      </c>
      <c r="BQ137" s="44">
        <v>38935</v>
      </c>
      <c r="BR137" s="44" t="s">
        <v>37</v>
      </c>
      <c r="BS137" s="44">
        <v>84142</v>
      </c>
      <c r="BT137" s="44" t="s">
        <v>37</v>
      </c>
      <c r="BU137" s="44">
        <v>59540</v>
      </c>
      <c r="BV137" s="44" t="s">
        <v>37</v>
      </c>
      <c r="BX137" s="44" t="s">
        <v>37</v>
      </c>
      <c r="BY137" s="44">
        <v>332586</v>
      </c>
      <c r="BZ137" s="44" t="s">
        <v>37</v>
      </c>
      <c r="CA137" s="44">
        <v>57732</v>
      </c>
      <c r="CB137" s="44" t="s">
        <v>37</v>
      </c>
      <c r="CD137" s="44" t="s">
        <v>37</v>
      </c>
      <c r="CE137" s="44">
        <v>26011</v>
      </c>
      <c r="CF137" s="44" t="s">
        <v>37</v>
      </c>
      <c r="CG137" s="44">
        <v>47569</v>
      </c>
      <c r="CH137" s="44" t="s">
        <v>37</v>
      </c>
      <c r="CI137" s="44">
        <v>312619</v>
      </c>
      <c r="CJ137" s="44" t="s">
        <v>37</v>
      </c>
      <c r="CK137" s="44">
        <v>12007</v>
      </c>
      <c r="CL137" s="44" t="s">
        <v>37</v>
      </c>
      <c r="CM137" s="44">
        <v>133849</v>
      </c>
      <c r="CN137" s="44" t="s">
        <v>37</v>
      </c>
      <c r="CO137" s="44">
        <v>10266</v>
      </c>
      <c r="CP137" s="44" t="s">
        <v>37</v>
      </c>
      <c r="CQ137" s="44">
        <v>42110</v>
      </c>
      <c r="CR137" s="44" t="s">
        <v>37</v>
      </c>
      <c r="CS137" s="44">
        <v>137024</v>
      </c>
      <c r="CT137" s="44" t="s">
        <v>37</v>
      </c>
      <c r="CU137" s="44">
        <v>899555</v>
      </c>
      <c r="CV137" s="44" t="s">
        <v>37</v>
      </c>
      <c r="CW137" s="44">
        <v>146454</v>
      </c>
      <c r="CX137" s="44" t="s">
        <v>37</v>
      </c>
      <c r="CY137" s="44">
        <v>16308</v>
      </c>
      <c r="CZ137" s="44" t="s">
        <v>37</v>
      </c>
      <c r="DA137" s="44">
        <v>7815</v>
      </c>
      <c r="DB137" s="44" t="s">
        <v>37</v>
      </c>
      <c r="DD137" s="44" t="s">
        <v>37</v>
      </c>
      <c r="DE137" s="44">
        <v>8778</v>
      </c>
      <c r="DF137" s="44" t="s">
        <v>37</v>
      </c>
      <c r="DG137" s="44">
        <v>25458</v>
      </c>
      <c r="DH137" s="44" t="s">
        <v>37</v>
      </c>
      <c r="DI137" s="44">
        <v>353856</v>
      </c>
      <c r="DJ137" s="44" t="s">
        <v>37</v>
      </c>
      <c r="DK137" s="44">
        <v>62072</v>
      </c>
      <c r="DL137" s="44" t="s">
        <v>37</v>
      </c>
      <c r="DM137" s="44">
        <v>124498</v>
      </c>
      <c r="DN137" s="44" t="s">
        <v>37</v>
      </c>
      <c r="DO137" s="44">
        <v>211203</v>
      </c>
      <c r="DP137" s="44" t="s">
        <v>37</v>
      </c>
      <c r="DQ137" s="44">
        <v>36003</v>
      </c>
      <c r="DR137" s="44" t="s">
        <v>37</v>
      </c>
      <c r="DS137" s="44">
        <v>70512</v>
      </c>
      <c r="DT137" s="44" t="s">
        <v>37</v>
      </c>
      <c r="DU137" s="44">
        <v>60110</v>
      </c>
      <c r="DV137" s="44" t="s">
        <v>37</v>
      </c>
      <c r="DW137" s="44">
        <v>151600</v>
      </c>
      <c r="DX137" s="44" t="s">
        <v>37</v>
      </c>
      <c r="DY137" s="44">
        <v>111395</v>
      </c>
      <c r="DZ137" s="44" t="s">
        <v>37</v>
      </c>
      <c r="EA137" s="44">
        <v>45797</v>
      </c>
      <c r="EB137" s="44" t="s">
        <v>37</v>
      </c>
      <c r="EC137" s="44">
        <v>42514</v>
      </c>
      <c r="ED137" s="44" t="s">
        <v>37</v>
      </c>
      <c r="EE137" s="44">
        <v>112539</v>
      </c>
      <c r="EF137" s="44" t="s">
        <v>37</v>
      </c>
      <c r="EG137" s="44">
        <v>2609</v>
      </c>
      <c r="EH137" s="44" t="s">
        <v>37</v>
      </c>
      <c r="EJ137" s="44" t="s">
        <v>37</v>
      </c>
      <c r="EK137" s="44">
        <v>51072</v>
      </c>
      <c r="EL137" s="44" t="s">
        <v>37</v>
      </c>
      <c r="EM137" s="44">
        <v>56787</v>
      </c>
      <c r="EN137" s="44" t="s">
        <v>37</v>
      </c>
      <c r="EO137" s="44">
        <v>28888</v>
      </c>
      <c r="EP137" s="44" t="s">
        <v>37</v>
      </c>
      <c r="ER137" s="44" t="s">
        <v>37</v>
      </c>
      <c r="ES137" s="44">
        <v>100874</v>
      </c>
      <c r="ET137" s="44" t="s">
        <v>37</v>
      </c>
      <c r="EU137" s="44">
        <v>48515</v>
      </c>
      <c r="EV137" s="44" t="s">
        <v>37</v>
      </c>
      <c r="EW137" s="44">
        <v>51793</v>
      </c>
      <c r="EX137" s="44" t="s">
        <v>37</v>
      </c>
      <c r="EZ137" s="44" t="s">
        <v>37</v>
      </c>
      <c r="FA137" s="44">
        <v>94762</v>
      </c>
      <c r="FB137" s="44" t="s">
        <v>37</v>
      </c>
      <c r="FC137" s="44">
        <v>54775</v>
      </c>
      <c r="FD137" s="44" t="s">
        <v>37</v>
      </c>
      <c r="FE137" s="44">
        <v>88275</v>
      </c>
      <c r="FF137" s="44" t="s">
        <v>37</v>
      </c>
      <c r="FH137" s="44" t="s">
        <v>37</v>
      </c>
      <c r="FI137" s="44">
        <v>136346</v>
      </c>
      <c r="FJ137" s="44" t="s">
        <v>37</v>
      </c>
      <c r="FK137" s="44">
        <v>372858</v>
      </c>
      <c r="FL137" s="44" t="s">
        <v>37</v>
      </c>
      <c r="FM137" s="44">
        <v>267688</v>
      </c>
      <c r="FN137" s="44" t="s">
        <v>37</v>
      </c>
      <c r="FO137" s="44">
        <v>24412</v>
      </c>
      <c r="FP137" s="44" t="s">
        <v>37</v>
      </c>
      <c r="FQ137" s="44">
        <v>44053</v>
      </c>
      <c r="FR137" s="44" t="s">
        <v>37</v>
      </c>
      <c r="FS137" s="44">
        <v>43054</v>
      </c>
      <c r="FT137" s="44" t="s">
        <v>37</v>
      </c>
      <c r="FU137" s="44">
        <v>31087</v>
      </c>
      <c r="FV137" s="44" t="s">
        <v>37</v>
      </c>
      <c r="FX137" s="44" t="s">
        <v>37</v>
      </c>
      <c r="FY137" s="44">
        <v>16608</v>
      </c>
      <c r="FZ137" s="44" t="s">
        <v>37</v>
      </c>
      <c r="GA137" s="44">
        <v>84856</v>
      </c>
      <c r="GB137" s="44" t="s">
        <v>37</v>
      </c>
      <c r="GC137" s="44">
        <v>446311</v>
      </c>
      <c r="GD137" s="44" t="s">
        <v>37</v>
      </c>
      <c r="GF137" s="44" t="s">
        <v>37</v>
      </c>
      <c r="GH137" s="44" t="s">
        <v>37</v>
      </c>
      <c r="GJ137" s="44" t="s">
        <v>37</v>
      </c>
      <c r="GK137" s="44">
        <v>185788</v>
      </c>
      <c r="GL137" s="44" t="s">
        <v>37</v>
      </c>
      <c r="GM137" s="44">
        <v>98256</v>
      </c>
      <c r="GN137" s="44" t="s">
        <v>37</v>
      </c>
      <c r="GP137" s="44" t="s">
        <v>37</v>
      </c>
      <c r="GQ137" s="44">
        <v>67897</v>
      </c>
      <c r="GR137" s="44" t="s">
        <v>37</v>
      </c>
      <c r="GS137" s="44">
        <v>211069</v>
      </c>
      <c r="GT137" s="44" t="s">
        <v>37</v>
      </c>
      <c r="GU137" s="44">
        <v>81630</v>
      </c>
      <c r="GV137" s="44" t="s">
        <v>37</v>
      </c>
      <c r="GW137" s="44">
        <v>49169</v>
      </c>
      <c r="GX137" s="44" t="s">
        <v>37</v>
      </c>
      <c r="GY137" s="44">
        <v>121403</v>
      </c>
      <c r="GZ137" s="44" t="s">
        <v>37</v>
      </c>
      <c r="HA137" s="44">
        <v>26432</v>
      </c>
      <c r="HB137" s="44" t="s">
        <v>37</v>
      </c>
      <c r="HD137" s="44" t="s">
        <v>37</v>
      </c>
      <c r="HF137" s="44" t="s">
        <v>37</v>
      </c>
      <c r="HG137" s="44">
        <v>8580352</v>
      </c>
      <c r="HH137" s="44" t="s">
        <v>37</v>
      </c>
      <c r="HJ137" s="44" t="s">
        <v>37</v>
      </c>
      <c r="HK137" s="44">
        <v>8580352</v>
      </c>
      <c r="HL137" s="44" t="s">
        <v>37</v>
      </c>
    </row>
    <row r="138" spans="1:220">
      <c r="A138" s="150" t="s">
        <v>411</v>
      </c>
      <c r="B138" s="44">
        <v>3316</v>
      </c>
      <c r="C138" s="44" t="s">
        <v>160</v>
      </c>
      <c r="D138" s="44" t="s">
        <v>37</v>
      </c>
      <c r="E138" s="44">
        <v>772463</v>
      </c>
      <c r="F138" s="44" t="s">
        <v>37</v>
      </c>
      <c r="G138" s="44">
        <v>3682100</v>
      </c>
      <c r="H138" s="44" t="s">
        <v>37</v>
      </c>
      <c r="I138" s="44">
        <v>424342</v>
      </c>
      <c r="J138" s="44" t="s">
        <v>37</v>
      </c>
      <c r="L138" s="48" t="s">
        <v>37</v>
      </c>
      <c r="M138" s="51">
        <v>1409767</v>
      </c>
      <c r="N138" s="48" t="s">
        <v>37</v>
      </c>
      <c r="O138" s="51">
        <v>1229795</v>
      </c>
      <c r="P138" s="48" t="s">
        <v>37</v>
      </c>
      <c r="Q138" s="51">
        <v>575100</v>
      </c>
      <c r="R138" s="48" t="s">
        <v>37</v>
      </c>
      <c r="S138" s="51">
        <v>460125</v>
      </c>
      <c r="T138" s="48" t="s">
        <v>37</v>
      </c>
      <c r="U138" s="44">
        <v>2253292</v>
      </c>
      <c r="V138" s="44" t="s">
        <v>37</v>
      </c>
      <c r="X138" s="44" t="s">
        <v>37</v>
      </c>
      <c r="Z138" s="44" t="s">
        <v>37</v>
      </c>
      <c r="AA138" s="44">
        <v>670123</v>
      </c>
      <c r="AB138" s="44" t="s">
        <v>37</v>
      </c>
      <c r="AC138" s="44">
        <v>283246</v>
      </c>
      <c r="AD138" s="44" t="s">
        <v>37</v>
      </c>
      <c r="AE138" s="44">
        <v>331629</v>
      </c>
      <c r="AF138" s="44" t="s">
        <v>37</v>
      </c>
      <c r="AG138" s="44">
        <v>327021</v>
      </c>
      <c r="AH138" s="44" t="s">
        <v>37</v>
      </c>
      <c r="AI138" s="44">
        <v>663143</v>
      </c>
      <c r="AJ138" s="44" t="s">
        <v>37</v>
      </c>
      <c r="AL138" s="44" t="s">
        <v>37</v>
      </c>
      <c r="AM138" s="44">
        <v>78669</v>
      </c>
      <c r="AN138" s="44" t="s">
        <v>37</v>
      </c>
      <c r="AP138" s="44" t="s">
        <v>37</v>
      </c>
      <c r="AQ138" s="44">
        <v>4805094</v>
      </c>
      <c r="AR138" s="44" t="s">
        <v>37</v>
      </c>
      <c r="AS138" s="44">
        <v>286729</v>
      </c>
      <c r="AT138" s="44" t="s">
        <v>37</v>
      </c>
      <c r="AU138" s="44">
        <v>1970593</v>
      </c>
      <c r="AV138" s="44" t="s">
        <v>37</v>
      </c>
      <c r="AW138" s="44">
        <v>1252928</v>
      </c>
      <c r="AX138" s="44" t="s">
        <v>37</v>
      </c>
      <c r="AY138" s="44">
        <v>794852</v>
      </c>
      <c r="AZ138" s="44" t="s">
        <v>37</v>
      </c>
      <c r="BA138" s="44">
        <v>876205</v>
      </c>
      <c r="BB138" s="44" t="s">
        <v>37</v>
      </c>
      <c r="BC138" s="44">
        <v>142846</v>
      </c>
      <c r="BD138" s="44" t="s">
        <v>37</v>
      </c>
      <c r="BE138" s="44">
        <v>796894</v>
      </c>
      <c r="BF138" s="44" t="s">
        <v>37</v>
      </c>
      <c r="BG138" s="44">
        <v>189307</v>
      </c>
      <c r="BH138" s="44" t="s">
        <v>37</v>
      </c>
      <c r="BJ138" s="44" t="s">
        <v>37</v>
      </c>
      <c r="BK138" s="44">
        <v>1048572</v>
      </c>
      <c r="BL138" s="44" t="s">
        <v>37</v>
      </c>
      <c r="BM138" s="44">
        <v>1583940</v>
      </c>
      <c r="BN138" s="44" t="s">
        <v>37</v>
      </c>
      <c r="BP138" s="44" t="s">
        <v>37</v>
      </c>
      <c r="BQ138" s="44">
        <v>112468</v>
      </c>
      <c r="BR138" s="44" t="s">
        <v>37</v>
      </c>
      <c r="BS138" s="44">
        <v>683249</v>
      </c>
      <c r="BT138" s="44" t="s">
        <v>37</v>
      </c>
      <c r="BU138" s="44">
        <v>248587</v>
      </c>
      <c r="BV138" s="44" t="s">
        <v>37</v>
      </c>
      <c r="BX138" s="44" t="s">
        <v>37</v>
      </c>
      <c r="BY138" s="44">
        <v>3116844</v>
      </c>
      <c r="BZ138" s="44" t="s">
        <v>37</v>
      </c>
      <c r="CA138" s="44">
        <v>262654</v>
      </c>
      <c r="CB138" s="44" t="s">
        <v>37</v>
      </c>
      <c r="CD138" s="44" t="s">
        <v>37</v>
      </c>
      <c r="CE138" s="44">
        <v>656800</v>
      </c>
      <c r="CF138" s="44" t="s">
        <v>37</v>
      </c>
      <c r="CG138" s="44">
        <v>651610</v>
      </c>
      <c r="CH138" s="44" t="s">
        <v>37</v>
      </c>
      <c r="CI138" s="44">
        <v>2065915</v>
      </c>
      <c r="CJ138" s="44" t="s">
        <v>37</v>
      </c>
      <c r="CK138" s="44">
        <v>409462</v>
      </c>
      <c r="CL138" s="44" t="s">
        <v>37</v>
      </c>
      <c r="CM138" s="44">
        <v>1093134</v>
      </c>
      <c r="CN138" s="44" t="s">
        <v>37</v>
      </c>
      <c r="CO138" s="44">
        <v>158880</v>
      </c>
      <c r="CP138" s="44" t="s">
        <v>37</v>
      </c>
      <c r="CQ138" s="44">
        <v>569818</v>
      </c>
      <c r="CR138" s="44" t="s">
        <v>37</v>
      </c>
      <c r="CS138" s="44">
        <v>1080698</v>
      </c>
      <c r="CT138" s="44" t="s">
        <v>37</v>
      </c>
      <c r="CU138" s="44">
        <v>9054053</v>
      </c>
      <c r="CV138" s="44" t="s">
        <v>37</v>
      </c>
      <c r="CW138" s="44">
        <v>1242615</v>
      </c>
      <c r="CX138" s="44" t="s">
        <v>37</v>
      </c>
      <c r="CY138" s="44">
        <v>215413</v>
      </c>
      <c r="CZ138" s="44" t="s">
        <v>37</v>
      </c>
      <c r="DA138" s="44">
        <v>119397</v>
      </c>
      <c r="DB138" s="44" t="s">
        <v>37</v>
      </c>
      <c r="DD138" s="44" t="s">
        <v>37</v>
      </c>
      <c r="DE138" s="44">
        <v>536426</v>
      </c>
      <c r="DF138" s="44" t="s">
        <v>37</v>
      </c>
      <c r="DG138" s="44">
        <v>221212</v>
      </c>
      <c r="DH138" s="44" t="s">
        <v>37</v>
      </c>
      <c r="DI138" s="44">
        <v>3734545</v>
      </c>
      <c r="DJ138" s="44" t="s">
        <v>37</v>
      </c>
      <c r="DK138" s="44">
        <v>292658</v>
      </c>
      <c r="DL138" s="44" t="s">
        <v>37</v>
      </c>
      <c r="DM138" s="44">
        <v>1968673</v>
      </c>
      <c r="DN138" s="44" t="s">
        <v>37</v>
      </c>
      <c r="DO138" s="44">
        <v>1820033</v>
      </c>
      <c r="DP138" s="44" t="s">
        <v>37</v>
      </c>
      <c r="DQ138" s="44">
        <v>1431792</v>
      </c>
      <c r="DR138" s="44" t="s">
        <v>37</v>
      </c>
      <c r="DS138" s="44">
        <v>943169</v>
      </c>
      <c r="DT138" s="44" t="s">
        <v>37</v>
      </c>
      <c r="DU138" s="44">
        <v>778256</v>
      </c>
      <c r="DV138" s="44" t="s">
        <v>37</v>
      </c>
      <c r="DW138" s="44">
        <v>4247730</v>
      </c>
      <c r="DX138" s="44" t="s">
        <v>37</v>
      </c>
      <c r="DY138" s="44">
        <v>1648145</v>
      </c>
      <c r="DZ138" s="44" t="s">
        <v>37</v>
      </c>
      <c r="EA138" s="44">
        <v>414524</v>
      </c>
      <c r="EB138" s="44" t="s">
        <v>37</v>
      </c>
      <c r="EC138" s="44">
        <v>814750</v>
      </c>
      <c r="ED138" s="44" t="s">
        <v>37</v>
      </c>
      <c r="EE138" s="44">
        <v>2852594</v>
      </c>
      <c r="EF138" s="44" t="s">
        <v>37</v>
      </c>
      <c r="EG138" s="44">
        <v>105938</v>
      </c>
      <c r="EH138" s="44" t="s">
        <v>37</v>
      </c>
      <c r="EJ138" s="44" t="s">
        <v>37</v>
      </c>
      <c r="EK138" s="44">
        <v>548288</v>
      </c>
      <c r="EL138" s="44" t="s">
        <v>37</v>
      </c>
      <c r="EM138" s="44">
        <v>397571</v>
      </c>
      <c r="EN138" s="44" t="s">
        <v>37</v>
      </c>
      <c r="EO138" s="44">
        <v>405355</v>
      </c>
      <c r="EP138" s="44" t="s">
        <v>37</v>
      </c>
      <c r="ER138" s="44" t="s">
        <v>37</v>
      </c>
      <c r="ES138" s="44">
        <v>804370</v>
      </c>
      <c r="ET138" s="44" t="s">
        <v>37</v>
      </c>
      <c r="EU138" s="44">
        <v>1435693</v>
      </c>
      <c r="EV138" s="44" t="s">
        <v>37</v>
      </c>
      <c r="EW138" s="44">
        <v>867927</v>
      </c>
      <c r="EX138" s="44" t="s">
        <v>37</v>
      </c>
      <c r="EZ138" s="44" t="s">
        <v>37</v>
      </c>
      <c r="FA138" s="44">
        <v>1081279</v>
      </c>
      <c r="FB138" s="44" t="s">
        <v>37</v>
      </c>
      <c r="FC138" s="44">
        <v>1099331</v>
      </c>
      <c r="FD138" s="44" t="s">
        <v>37</v>
      </c>
      <c r="FE138" s="44">
        <v>1648210</v>
      </c>
      <c r="FF138" s="44" t="s">
        <v>37</v>
      </c>
      <c r="FH138" s="44" t="s">
        <v>37</v>
      </c>
      <c r="FI138" s="44">
        <v>1692784</v>
      </c>
      <c r="FJ138" s="44" t="s">
        <v>37</v>
      </c>
      <c r="FK138" s="44">
        <v>3527817</v>
      </c>
      <c r="FL138" s="44" t="s">
        <v>37</v>
      </c>
      <c r="FM138" s="44">
        <v>3009040</v>
      </c>
      <c r="FN138" s="44" t="s">
        <v>37</v>
      </c>
      <c r="FO138" s="44">
        <v>482473</v>
      </c>
      <c r="FP138" s="44" t="s">
        <v>37</v>
      </c>
      <c r="FQ138" s="44">
        <v>867255</v>
      </c>
      <c r="FR138" s="44" t="s">
        <v>37</v>
      </c>
      <c r="FS138" s="44">
        <v>1202598</v>
      </c>
      <c r="FT138" s="44" t="s">
        <v>37</v>
      </c>
      <c r="FU138" s="44">
        <v>616320</v>
      </c>
      <c r="FV138" s="44" t="s">
        <v>37</v>
      </c>
      <c r="FW138" s="44">
        <v>699008</v>
      </c>
      <c r="FX138" s="44" t="s">
        <v>37</v>
      </c>
      <c r="FY138" s="44">
        <v>1112944</v>
      </c>
      <c r="FZ138" s="44" t="s">
        <v>37</v>
      </c>
      <c r="GA138" s="44">
        <v>1586526</v>
      </c>
      <c r="GB138" s="44" t="s">
        <v>37</v>
      </c>
      <c r="GC138" s="44">
        <v>1306185</v>
      </c>
      <c r="GD138" s="44" t="s">
        <v>37</v>
      </c>
      <c r="GF138" s="44" t="s">
        <v>37</v>
      </c>
      <c r="GH138" s="44" t="s">
        <v>37</v>
      </c>
      <c r="GJ138" s="44" t="s">
        <v>37</v>
      </c>
      <c r="GK138" s="44">
        <v>1656624</v>
      </c>
      <c r="GL138" s="44" t="s">
        <v>37</v>
      </c>
      <c r="GM138" s="44">
        <v>1464870</v>
      </c>
      <c r="GN138" s="44" t="s">
        <v>37</v>
      </c>
      <c r="GP138" s="44" t="s">
        <v>37</v>
      </c>
      <c r="GQ138" s="44">
        <v>1061057</v>
      </c>
      <c r="GR138" s="44" t="s">
        <v>37</v>
      </c>
      <c r="GS138" s="44">
        <v>907612</v>
      </c>
      <c r="GT138" s="44" t="s">
        <v>37</v>
      </c>
      <c r="GU138" s="44">
        <v>1014092</v>
      </c>
      <c r="GV138" s="44" t="s">
        <v>37</v>
      </c>
      <c r="GW138" s="44">
        <v>523735</v>
      </c>
      <c r="GX138" s="44" t="s">
        <v>37</v>
      </c>
      <c r="GY138" s="44">
        <v>2126753</v>
      </c>
      <c r="GZ138" s="44" t="s">
        <v>37</v>
      </c>
      <c r="HA138" s="44">
        <v>1006205</v>
      </c>
      <c r="HB138" s="44" t="s">
        <v>37</v>
      </c>
      <c r="HD138" s="44" t="s">
        <v>37</v>
      </c>
      <c r="HF138" s="44" t="s">
        <v>37</v>
      </c>
      <c r="HG138" s="44">
        <v>104612739</v>
      </c>
      <c r="HH138" s="44" t="s">
        <v>37</v>
      </c>
      <c r="HJ138" s="44" t="s">
        <v>37</v>
      </c>
      <c r="HK138" s="44">
        <v>104612739</v>
      </c>
      <c r="HL138" s="44" t="s">
        <v>37</v>
      </c>
    </row>
    <row r="139" spans="1:220">
      <c r="A139" s="150" t="s">
        <v>408</v>
      </c>
      <c r="B139" s="54"/>
      <c r="D139" s="44" t="s">
        <v>37</v>
      </c>
      <c r="E139" s="44" t="s">
        <v>38</v>
      </c>
      <c r="F139" s="44" t="s">
        <v>37</v>
      </c>
      <c r="G139" s="44" t="s">
        <v>39</v>
      </c>
      <c r="H139" s="44" t="s">
        <v>37</v>
      </c>
      <c r="I139" s="44" t="s">
        <v>40</v>
      </c>
      <c r="J139" s="44" t="s">
        <v>37</v>
      </c>
      <c r="K139" s="44" t="s">
        <v>41</v>
      </c>
      <c r="L139" s="48" t="s">
        <v>37</v>
      </c>
      <c r="M139" s="49" t="s">
        <v>303</v>
      </c>
      <c r="N139" s="48" t="s">
        <v>37</v>
      </c>
      <c r="O139" s="49" t="s">
        <v>304</v>
      </c>
      <c r="P139" s="48" t="s">
        <v>37</v>
      </c>
      <c r="Q139" s="49" t="s">
        <v>305</v>
      </c>
      <c r="R139" s="48" t="s">
        <v>37</v>
      </c>
      <c r="S139" s="49" t="s">
        <v>306</v>
      </c>
      <c r="T139" s="48" t="s">
        <v>37</v>
      </c>
      <c r="U139" s="44" t="s">
        <v>307</v>
      </c>
      <c r="V139" s="44" t="s">
        <v>37</v>
      </c>
      <c r="W139" s="44" t="s">
        <v>308</v>
      </c>
      <c r="X139" s="44" t="s">
        <v>37</v>
      </c>
      <c r="Y139" s="44" t="s">
        <v>309</v>
      </c>
      <c r="Z139" s="44" t="s">
        <v>37</v>
      </c>
      <c r="AA139" s="44" t="s">
        <v>310</v>
      </c>
      <c r="AB139" s="44" t="s">
        <v>37</v>
      </c>
      <c r="AC139" s="44" t="s">
        <v>311</v>
      </c>
      <c r="AD139" s="44" t="s">
        <v>37</v>
      </c>
      <c r="AE139" s="44" t="s">
        <v>312</v>
      </c>
      <c r="AF139" s="44" t="s">
        <v>37</v>
      </c>
      <c r="AG139" s="44" t="s">
        <v>313</v>
      </c>
      <c r="AH139" s="44" t="s">
        <v>37</v>
      </c>
      <c r="AI139" s="44" t="s">
        <v>314</v>
      </c>
      <c r="AJ139" s="44" t="s">
        <v>37</v>
      </c>
      <c r="AK139" s="44" t="s">
        <v>315</v>
      </c>
      <c r="AL139" s="44" t="s">
        <v>37</v>
      </c>
      <c r="AM139" s="44" t="s">
        <v>316</v>
      </c>
      <c r="AN139" s="44" t="s">
        <v>37</v>
      </c>
      <c r="AO139" s="44" t="s">
        <v>317</v>
      </c>
      <c r="AP139" s="44" t="s">
        <v>37</v>
      </c>
      <c r="AQ139" s="44" t="s">
        <v>318</v>
      </c>
      <c r="AR139" s="44" t="s">
        <v>37</v>
      </c>
      <c r="AS139" s="44" t="s">
        <v>319</v>
      </c>
      <c r="AT139" s="44" t="s">
        <v>37</v>
      </c>
      <c r="AU139" s="44" t="s">
        <v>320</v>
      </c>
      <c r="AV139" s="44" t="s">
        <v>37</v>
      </c>
      <c r="AW139" s="44" t="s">
        <v>321</v>
      </c>
      <c r="AX139" s="44" t="s">
        <v>37</v>
      </c>
      <c r="AY139" s="44" t="s">
        <v>322</v>
      </c>
      <c r="AZ139" s="44" t="s">
        <v>37</v>
      </c>
      <c r="BA139" s="44" t="s">
        <v>323</v>
      </c>
      <c r="BB139" s="44" t="s">
        <v>37</v>
      </c>
      <c r="BC139" s="44" t="s">
        <v>324</v>
      </c>
      <c r="BD139" s="44" t="s">
        <v>37</v>
      </c>
      <c r="BE139" s="44" t="s">
        <v>325</v>
      </c>
      <c r="BF139" s="44" t="s">
        <v>37</v>
      </c>
      <c r="BG139" s="44" t="s">
        <v>326</v>
      </c>
      <c r="BH139" s="44" t="s">
        <v>37</v>
      </c>
      <c r="BI139" s="44" t="s">
        <v>327</v>
      </c>
      <c r="BJ139" s="44" t="s">
        <v>37</v>
      </c>
      <c r="BK139" s="44" t="s">
        <v>328</v>
      </c>
      <c r="BL139" s="44" t="s">
        <v>37</v>
      </c>
      <c r="BM139" s="44" t="s">
        <v>329</v>
      </c>
      <c r="BN139" s="44" t="s">
        <v>37</v>
      </c>
      <c r="BO139" s="44" t="s">
        <v>330</v>
      </c>
      <c r="BP139" s="44" t="s">
        <v>37</v>
      </c>
      <c r="BQ139" s="44" t="s">
        <v>331</v>
      </c>
      <c r="BR139" s="44" t="s">
        <v>37</v>
      </c>
      <c r="BS139" s="44" t="s">
        <v>332</v>
      </c>
      <c r="BT139" s="44" t="s">
        <v>37</v>
      </c>
      <c r="BU139" s="44" t="s">
        <v>333</v>
      </c>
      <c r="BV139" s="44" t="s">
        <v>37</v>
      </c>
      <c r="BW139" s="44" t="s">
        <v>334</v>
      </c>
      <c r="BX139" s="44" t="s">
        <v>37</v>
      </c>
      <c r="BY139" s="44" t="s">
        <v>335</v>
      </c>
      <c r="BZ139" s="44" t="s">
        <v>37</v>
      </c>
      <c r="CA139" s="44" t="s">
        <v>336</v>
      </c>
      <c r="CB139" s="44" t="s">
        <v>37</v>
      </c>
      <c r="CC139" s="44" t="s">
        <v>337</v>
      </c>
      <c r="CD139" s="44" t="s">
        <v>37</v>
      </c>
      <c r="CE139" s="44" t="s">
        <v>338</v>
      </c>
      <c r="CF139" s="44" t="s">
        <v>37</v>
      </c>
      <c r="CG139" s="44" t="s">
        <v>339</v>
      </c>
      <c r="CH139" s="44" t="s">
        <v>37</v>
      </c>
      <c r="CI139" s="44" t="s">
        <v>340</v>
      </c>
      <c r="CJ139" s="44" t="s">
        <v>37</v>
      </c>
      <c r="CK139" s="44" t="s">
        <v>341</v>
      </c>
      <c r="CL139" s="44" t="s">
        <v>37</v>
      </c>
      <c r="CM139" s="44" t="s">
        <v>342</v>
      </c>
      <c r="CN139" s="44" t="s">
        <v>37</v>
      </c>
      <c r="CO139" s="44" t="s">
        <v>343</v>
      </c>
      <c r="CP139" s="44" t="s">
        <v>37</v>
      </c>
      <c r="CQ139" s="44" t="s">
        <v>344</v>
      </c>
      <c r="CR139" s="44" t="s">
        <v>37</v>
      </c>
      <c r="CS139" s="44" t="s">
        <v>345</v>
      </c>
      <c r="CT139" s="44" t="s">
        <v>37</v>
      </c>
      <c r="CU139" s="44" t="s">
        <v>346</v>
      </c>
      <c r="CV139" s="44" t="s">
        <v>37</v>
      </c>
      <c r="CW139" s="44" t="s">
        <v>347</v>
      </c>
      <c r="CX139" s="44" t="s">
        <v>37</v>
      </c>
      <c r="CY139" s="44" t="s">
        <v>348</v>
      </c>
      <c r="CZ139" s="44" t="s">
        <v>37</v>
      </c>
      <c r="DA139" s="44" t="s">
        <v>349</v>
      </c>
      <c r="DB139" s="44" t="s">
        <v>37</v>
      </c>
      <c r="DC139" s="44" t="s">
        <v>350</v>
      </c>
      <c r="DD139" s="44" t="s">
        <v>37</v>
      </c>
      <c r="DE139" s="44" t="s">
        <v>351</v>
      </c>
      <c r="DF139" s="44" t="s">
        <v>37</v>
      </c>
      <c r="DG139" s="44" t="s">
        <v>352</v>
      </c>
      <c r="DH139" s="44" t="s">
        <v>37</v>
      </c>
      <c r="DI139" s="44" t="s">
        <v>353</v>
      </c>
      <c r="DJ139" s="44" t="s">
        <v>37</v>
      </c>
      <c r="DK139" s="44" t="s">
        <v>354</v>
      </c>
      <c r="DL139" s="44" t="s">
        <v>37</v>
      </c>
      <c r="DM139" s="44" t="s">
        <v>355</v>
      </c>
      <c r="DN139" s="44" t="s">
        <v>37</v>
      </c>
      <c r="DO139" s="44" t="s">
        <v>356</v>
      </c>
      <c r="DP139" s="44" t="s">
        <v>37</v>
      </c>
      <c r="DQ139" s="44" t="s">
        <v>357</v>
      </c>
      <c r="DR139" s="44" t="s">
        <v>37</v>
      </c>
      <c r="DS139" s="44" t="s">
        <v>358</v>
      </c>
      <c r="DT139" s="44" t="s">
        <v>37</v>
      </c>
      <c r="DU139" s="44" t="s">
        <v>359</v>
      </c>
      <c r="DV139" s="44" t="s">
        <v>37</v>
      </c>
      <c r="DW139" s="44" t="s">
        <v>360</v>
      </c>
      <c r="DX139" s="44" t="s">
        <v>37</v>
      </c>
      <c r="DY139" s="44" t="s">
        <v>361</v>
      </c>
      <c r="DZ139" s="44" t="s">
        <v>37</v>
      </c>
      <c r="EA139" s="44" t="s">
        <v>362</v>
      </c>
      <c r="EB139" s="44" t="s">
        <v>37</v>
      </c>
      <c r="EC139" s="44" t="s">
        <v>363</v>
      </c>
      <c r="ED139" s="44" t="s">
        <v>37</v>
      </c>
      <c r="EE139" s="44" t="s">
        <v>364</v>
      </c>
      <c r="EF139" s="44" t="s">
        <v>37</v>
      </c>
      <c r="EG139" s="44" t="s">
        <v>365</v>
      </c>
      <c r="EH139" s="44" t="s">
        <v>37</v>
      </c>
      <c r="EI139" s="44" t="s">
        <v>366</v>
      </c>
      <c r="EJ139" s="44" t="s">
        <v>37</v>
      </c>
      <c r="EK139" s="44" t="s">
        <v>367</v>
      </c>
      <c r="EL139" s="44" t="s">
        <v>37</v>
      </c>
      <c r="EM139" s="44" t="s">
        <v>368</v>
      </c>
      <c r="EN139" s="44" t="s">
        <v>37</v>
      </c>
      <c r="EO139" s="44" t="s">
        <v>369</v>
      </c>
      <c r="EP139" s="44" t="s">
        <v>37</v>
      </c>
      <c r="EQ139" s="44" t="s">
        <v>370</v>
      </c>
      <c r="ER139" s="44" t="s">
        <v>37</v>
      </c>
      <c r="ES139" s="44" t="s">
        <v>371</v>
      </c>
      <c r="ET139" s="44" t="s">
        <v>37</v>
      </c>
      <c r="EU139" s="44" t="s">
        <v>372</v>
      </c>
      <c r="EV139" s="44" t="s">
        <v>37</v>
      </c>
      <c r="EW139" s="44" t="s">
        <v>373</v>
      </c>
      <c r="EX139" s="44" t="s">
        <v>37</v>
      </c>
      <c r="EY139" s="44" t="s">
        <v>374</v>
      </c>
      <c r="EZ139" s="44" t="s">
        <v>37</v>
      </c>
      <c r="FA139" s="44" t="s">
        <v>375</v>
      </c>
      <c r="FB139" s="44" t="s">
        <v>37</v>
      </c>
      <c r="FC139" s="44" t="s">
        <v>376</v>
      </c>
      <c r="FD139" s="44" t="s">
        <v>37</v>
      </c>
      <c r="FE139" s="44" t="s">
        <v>377</v>
      </c>
      <c r="FF139" s="44" t="s">
        <v>37</v>
      </c>
      <c r="FG139" s="44" t="s">
        <v>378</v>
      </c>
      <c r="FH139" s="44" t="s">
        <v>37</v>
      </c>
      <c r="FI139" s="44" t="s">
        <v>379</v>
      </c>
      <c r="FJ139" s="44" t="s">
        <v>37</v>
      </c>
      <c r="FK139" s="44" t="s">
        <v>380</v>
      </c>
      <c r="FL139" s="44" t="s">
        <v>37</v>
      </c>
      <c r="FM139" s="44" t="s">
        <v>381</v>
      </c>
      <c r="FN139" s="44" t="s">
        <v>37</v>
      </c>
      <c r="FO139" s="44" t="s">
        <v>382</v>
      </c>
      <c r="FP139" s="44" t="s">
        <v>37</v>
      </c>
      <c r="FQ139" s="44" t="s">
        <v>383</v>
      </c>
      <c r="FR139" s="44" t="s">
        <v>37</v>
      </c>
      <c r="FS139" s="44" t="s">
        <v>384</v>
      </c>
      <c r="FT139" s="44" t="s">
        <v>37</v>
      </c>
      <c r="FU139" s="44" t="s">
        <v>385</v>
      </c>
      <c r="FV139" s="44" t="s">
        <v>37</v>
      </c>
      <c r="FW139" s="44" t="s">
        <v>386</v>
      </c>
      <c r="FX139" s="44" t="s">
        <v>37</v>
      </c>
      <c r="FY139" s="44" t="s">
        <v>387</v>
      </c>
      <c r="FZ139" s="44" t="s">
        <v>37</v>
      </c>
      <c r="GA139" s="44" t="s">
        <v>388</v>
      </c>
      <c r="GB139" s="44" t="s">
        <v>37</v>
      </c>
      <c r="GC139" s="44" t="s">
        <v>389</v>
      </c>
      <c r="GD139" s="44" t="s">
        <v>37</v>
      </c>
      <c r="GE139" s="44" t="s">
        <v>390</v>
      </c>
      <c r="GF139" s="44" t="s">
        <v>37</v>
      </c>
      <c r="GG139" s="44" t="s">
        <v>391</v>
      </c>
      <c r="GH139" s="44" t="s">
        <v>37</v>
      </c>
      <c r="GI139" s="44" t="s">
        <v>392</v>
      </c>
      <c r="GJ139" s="44" t="s">
        <v>37</v>
      </c>
      <c r="GK139" s="44" t="s">
        <v>393</v>
      </c>
      <c r="GL139" s="44" t="s">
        <v>37</v>
      </c>
      <c r="GM139" s="44" t="s">
        <v>394</v>
      </c>
      <c r="GN139" s="44" t="s">
        <v>37</v>
      </c>
      <c r="GO139" s="44" t="s">
        <v>395</v>
      </c>
      <c r="GP139" s="44" t="s">
        <v>37</v>
      </c>
      <c r="GQ139" s="44" t="s">
        <v>396</v>
      </c>
      <c r="GR139" s="44" t="s">
        <v>37</v>
      </c>
      <c r="GS139" s="44" t="s">
        <v>397</v>
      </c>
      <c r="GT139" s="44" t="s">
        <v>37</v>
      </c>
      <c r="GU139" s="44" t="s">
        <v>398</v>
      </c>
      <c r="GV139" s="44" t="s">
        <v>37</v>
      </c>
      <c r="GW139" s="44" t="s">
        <v>399</v>
      </c>
      <c r="GX139" s="44" t="s">
        <v>37</v>
      </c>
      <c r="GY139" s="44" t="s">
        <v>400</v>
      </c>
      <c r="GZ139" s="44" t="s">
        <v>37</v>
      </c>
      <c r="HA139" s="44" t="s">
        <v>401</v>
      </c>
      <c r="HB139" s="44" t="s">
        <v>37</v>
      </c>
      <c r="HC139" s="44" t="s">
        <v>29</v>
      </c>
      <c r="HD139" s="44" t="s">
        <v>37</v>
      </c>
      <c r="HE139" s="44" t="s">
        <v>402</v>
      </c>
      <c r="HF139" s="44" t="s">
        <v>37</v>
      </c>
      <c r="HG139" s="44" t="s">
        <v>403</v>
      </c>
      <c r="HH139" s="44" t="s">
        <v>37</v>
      </c>
      <c r="HI139" s="44" t="s">
        <v>404</v>
      </c>
      <c r="HJ139" s="44" t="s">
        <v>37</v>
      </c>
      <c r="HK139" s="44" t="s">
        <v>405</v>
      </c>
      <c r="HL139" s="44" t="s">
        <v>37</v>
      </c>
    </row>
    <row r="140" spans="1:220">
      <c r="A140" s="150" t="s">
        <v>408</v>
      </c>
      <c r="B140" s="54"/>
      <c r="D140" s="44" t="s">
        <v>37</v>
      </c>
      <c r="F140" s="44" t="s">
        <v>37</v>
      </c>
      <c r="H140" s="44" t="s">
        <v>37</v>
      </c>
      <c r="J140" s="44" t="s">
        <v>37</v>
      </c>
      <c r="L140" s="48" t="s">
        <v>37</v>
      </c>
      <c r="M140" s="51"/>
      <c r="N140" s="48" t="s">
        <v>37</v>
      </c>
      <c r="O140" s="51"/>
      <c r="P140" s="48" t="s">
        <v>37</v>
      </c>
      <c r="Q140" s="51"/>
      <c r="R140" s="48" t="s">
        <v>37</v>
      </c>
      <c r="S140" s="51"/>
      <c r="T140" s="48" t="s">
        <v>37</v>
      </c>
      <c r="V140" s="44" t="s">
        <v>37</v>
      </c>
      <c r="X140" s="44" t="s">
        <v>37</v>
      </c>
      <c r="Z140" s="44" t="s">
        <v>37</v>
      </c>
      <c r="AB140" s="44" t="s">
        <v>37</v>
      </c>
      <c r="AD140" s="44" t="s">
        <v>37</v>
      </c>
      <c r="AF140" s="44" t="s">
        <v>37</v>
      </c>
      <c r="AH140" s="44" t="s">
        <v>37</v>
      </c>
      <c r="AJ140" s="44" t="s">
        <v>37</v>
      </c>
      <c r="AL140" s="44" t="s">
        <v>37</v>
      </c>
      <c r="AN140" s="44" t="s">
        <v>37</v>
      </c>
      <c r="AP140" s="44" t="s">
        <v>37</v>
      </c>
      <c r="AR140" s="44" t="s">
        <v>37</v>
      </c>
      <c r="AT140" s="44" t="s">
        <v>37</v>
      </c>
      <c r="AV140" s="44" t="s">
        <v>37</v>
      </c>
      <c r="AX140" s="44" t="s">
        <v>37</v>
      </c>
      <c r="AZ140" s="44" t="s">
        <v>37</v>
      </c>
      <c r="BB140" s="44" t="s">
        <v>37</v>
      </c>
      <c r="BD140" s="44" t="s">
        <v>37</v>
      </c>
      <c r="BF140" s="44" t="s">
        <v>37</v>
      </c>
      <c r="BH140" s="44" t="s">
        <v>37</v>
      </c>
      <c r="BJ140" s="44" t="s">
        <v>37</v>
      </c>
      <c r="BL140" s="44" t="s">
        <v>37</v>
      </c>
      <c r="BN140" s="44" t="s">
        <v>37</v>
      </c>
      <c r="BP140" s="44" t="s">
        <v>37</v>
      </c>
      <c r="BR140" s="44" t="s">
        <v>37</v>
      </c>
      <c r="BT140" s="44" t="s">
        <v>37</v>
      </c>
      <c r="BV140" s="44" t="s">
        <v>37</v>
      </c>
      <c r="BX140" s="44" t="s">
        <v>37</v>
      </c>
      <c r="BZ140" s="44" t="s">
        <v>37</v>
      </c>
      <c r="CB140" s="44" t="s">
        <v>37</v>
      </c>
      <c r="CD140" s="44" t="s">
        <v>37</v>
      </c>
      <c r="CF140" s="44" t="s">
        <v>37</v>
      </c>
      <c r="CH140" s="44" t="s">
        <v>37</v>
      </c>
      <c r="CJ140" s="44" t="s">
        <v>37</v>
      </c>
      <c r="CL140" s="44" t="s">
        <v>37</v>
      </c>
      <c r="CN140" s="44" t="s">
        <v>37</v>
      </c>
      <c r="CP140" s="44" t="s">
        <v>37</v>
      </c>
      <c r="CR140" s="44" t="s">
        <v>37</v>
      </c>
      <c r="CT140" s="44" t="s">
        <v>37</v>
      </c>
      <c r="CV140" s="44" t="s">
        <v>37</v>
      </c>
      <c r="CX140" s="44" t="s">
        <v>37</v>
      </c>
      <c r="CZ140" s="44" t="s">
        <v>37</v>
      </c>
      <c r="DB140" s="44" t="s">
        <v>37</v>
      </c>
      <c r="DD140" s="44" t="s">
        <v>37</v>
      </c>
      <c r="DF140" s="44" t="s">
        <v>37</v>
      </c>
      <c r="DH140" s="44" t="s">
        <v>37</v>
      </c>
      <c r="DJ140" s="44" t="s">
        <v>37</v>
      </c>
      <c r="DL140" s="44" t="s">
        <v>37</v>
      </c>
      <c r="DN140" s="44" t="s">
        <v>37</v>
      </c>
      <c r="DP140" s="44" t="s">
        <v>37</v>
      </c>
      <c r="DR140" s="44" t="s">
        <v>37</v>
      </c>
      <c r="DT140" s="44" t="s">
        <v>37</v>
      </c>
      <c r="DV140" s="44" t="s">
        <v>37</v>
      </c>
      <c r="DX140" s="44" t="s">
        <v>37</v>
      </c>
      <c r="DZ140" s="44" t="s">
        <v>37</v>
      </c>
      <c r="EB140" s="44" t="s">
        <v>37</v>
      </c>
      <c r="ED140" s="44" t="s">
        <v>37</v>
      </c>
      <c r="EF140" s="44" t="s">
        <v>37</v>
      </c>
      <c r="EH140" s="44" t="s">
        <v>37</v>
      </c>
      <c r="EJ140" s="44" t="s">
        <v>37</v>
      </c>
      <c r="EL140" s="44" t="s">
        <v>37</v>
      </c>
      <c r="EN140" s="44" t="s">
        <v>37</v>
      </c>
      <c r="EP140" s="44" t="s">
        <v>37</v>
      </c>
      <c r="ER140" s="44" t="s">
        <v>37</v>
      </c>
      <c r="ET140" s="44" t="s">
        <v>37</v>
      </c>
      <c r="EV140" s="44" t="s">
        <v>37</v>
      </c>
      <c r="EX140" s="44" t="s">
        <v>37</v>
      </c>
      <c r="EZ140" s="44" t="s">
        <v>37</v>
      </c>
      <c r="FB140" s="44" t="s">
        <v>37</v>
      </c>
      <c r="FD140" s="44" t="s">
        <v>37</v>
      </c>
      <c r="FF140" s="44" t="s">
        <v>37</v>
      </c>
      <c r="FH140" s="44" t="s">
        <v>37</v>
      </c>
      <c r="FJ140" s="44" t="s">
        <v>37</v>
      </c>
      <c r="FL140" s="44" t="s">
        <v>37</v>
      </c>
      <c r="FN140" s="44" t="s">
        <v>37</v>
      </c>
      <c r="FP140" s="44" t="s">
        <v>37</v>
      </c>
      <c r="FR140" s="44" t="s">
        <v>37</v>
      </c>
      <c r="FT140" s="44" t="s">
        <v>37</v>
      </c>
      <c r="FV140" s="44" t="s">
        <v>37</v>
      </c>
      <c r="FX140" s="44" t="s">
        <v>37</v>
      </c>
      <c r="FZ140" s="44" t="s">
        <v>37</v>
      </c>
      <c r="GB140" s="44" t="s">
        <v>37</v>
      </c>
      <c r="GD140" s="44" t="s">
        <v>37</v>
      </c>
      <c r="GF140" s="44" t="s">
        <v>37</v>
      </c>
      <c r="GH140" s="44" t="s">
        <v>37</v>
      </c>
      <c r="GJ140" s="44" t="s">
        <v>37</v>
      </c>
      <c r="GL140" s="44" t="s">
        <v>37</v>
      </c>
      <c r="GN140" s="44" t="s">
        <v>37</v>
      </c>
      <c r="GP140" s="44" t="s">
        <v>37</v>
      </c>
      <c r="GR140" s="44" t="s">
        <v>37</v>
      </c>
      <c r="GT140" s="44" t="s">
        <v>37</v>
      </c>
      <c r="GV140" s="44" t="s">
        <v>37</v>
      </c>
      <c r="GX140" s="44" t="s">
        <v>37</v>
      </c>
      <c r="GZ140" s="44" t="s">
        <v>37</v>
      </c>
      <c r="HB140" s="44" t="s">
        <v>37</v>
      </c>
      <c r="HD140" s="44" t="s">
        <v>37</v>
      </c>
      <c r="HF140" s="44" t="s">
        <v>37</v>
      </c>
      <c r="HH140" s="44" t="s">
        <v>37</v>
      </c>
      <c r="HJ140" s="44" t="s">
        <v>37</v>
      </c>
      <c r="HL140" s="44" t="s">
        <v>37</v>
      </c>
    </row>
    <row r="141" spans="1:220">
      <c r="A141" s="150" t="s">
        <v>411</v>
      </c>
      <c r="B141" s="44">
        <v>3317</v>
      </c>
      <c r="C141" s="44" t="s">
        <v>161</v>
      </c>
      <c r="D141" s="44" t="s">
        <v>37</v>
      </c>
      <c r="E141" s="44">
        <v>65476</v>
      </c>
      <c r="F141" s="44" t="s">
        <v>37</v>
      </c>
      <c r="G141" s="44">
        <v>289208</v>
      </c>
      <c r="H141" s="44" t="s">
        <v>37</v>
      </c>
      <c r="I141" s="44">
        <v>32200</v>
      </c>
      <c r="J141" s="44" t="s">
        <v>37</v>
      </c>
      <c r="L141" s="48" t="s">
        <v>37</v>
      </c>
      <c r="M141" s="51">
        <v>91231</v>
      </c>
      <c r="N141" s="48" t="s">
        <v>37</v>
      </c>
      <c r="O141" s="51">
        <v>28307</v>
      </c>
      <c r="P141" s="48" t="s">
        <v>37</v>
      </c>
      <c r="Q141" s="51">
        <v>24083</v>
      </c>
      <c r="R141" s="48" t="s">
        <v>37</v>
      </c>
      <c r="S141" s="51">
        <v>23259</v>
      </c>
      <c r="T141" s="48" t="s">
        <v>37</v>
      </c>
      <c r="U141" s="44">
        <v>151246</v>
      </c>
      <c r="V141" s="44" t="s">
        <v>37</v>
      </c>
      <c r="X141" s="44" t="s">
        <v>37</v>
      </c>
      <c r="Z141" s="44" t="s">
        <v>37</v>
      </c>
      <c r="AA141" s="44">
        <v>25822</v>
      </c>
      <c r="AB141" s="44" t="s">
        <v>37</v>
      </c>
      <c r="AC141" s="44">
        <v>8365</v>
      </c>
      <c r="AD141" s="44" t="s">
        <v>37</v>
      </c>
      <c r="AE141" s="44">
        <v>17772</v>
      </c>
      <c r="AF141" s="44" t="s">
        <v>37</v>
      </c>
      <c r="AG141" s="44">
        <v>3066</v>
      </c>
      <c r="AH141" s="44" t="s">
        <v>37</v>
      </c>
      <c r="AI141" s="44">
        <v>10121</v>
      </c>
      <c r="AJ141" s="44" t="s">
        <v>37</v>
      </c>
      <c r="AL141" s="44" t="s">
        <v>37</v>
      </c>
      <c r="AM141" s="44">
        <v>4508</v>
      </c>
      <c r="AN141" s="44" t="s">
        <v>37</v>
      </c>
      <c r="AP141" s="44" t="s">
        <v>37</v>
      </c>
      <c r="AQ141" s="44">
        <v>628322</v>
      </c>
      <c r="AR141" s="44" t="s">
        <v>37</v>
      </c>
      <c r="AS141" s="44">
        <v>13279</v>
      </c>
      <c r="AT141" s="44" t="s">
        <v>37</v>
      </c>
      <c r="AU141" s="44">
        <v>261841</v>
      </c>
      <c r="AV141" s="44" t="s">
        <v>37</v>
      </c>
      <c r="AW141" s="44">
        <v>101524</v>
      </c>
      <c r="AX141" s="44" t="s">
        <v>37</v>
      </c>
      <c r="AY141" s="44">
        <v>120987</v>
      </c>
      <c r="AZ141" s="44" t="s">
        <v>37</v>
      </c>
      <c r="BA141" s="44">
        <v>77862</v>
      </c>
      <c r="BB141" s="44" t="s">
        <v>37</v>
      </c>
      <c r="BC141" s="44">
        <v>21720</v>
      </c>
      <c r="BD141" s="44" t="s">
        <v>37</v>
      </c>
      <c r="BE141" s="44">
        <v>39110</v>
      </c>
      <c r="BF141" s="44" t="s">
        <v>37</v>
      </c>
      <c r="BG141" s="44">
        <v>28063</v>
      </c>
      <c r="BH141" s="44" t="s">
        <v>37</v>
      </c>
      <c r="BJ141" s="44" t="s">
        <v>37</v>
      </c>
      <c r="BK141" s="44">
        <v>66441</v>
      </c>
      <c r="BL141" s="44" t="s">
        <v>37</v>
      </c>
      <c r="BM141" s="44">
        <v>231944</v>
      </c>
      <c r="BN141" s="44" t="s">
        <v>37</v>
      </c>
      <c r="BP141" s="44" t="s">
        <v>37</v>
      </c>
      <c r="BQ141" s="44">
        <v>8611</v>
      </c>
      <c r="BR141" s="44" t="s">
        <v>37</v>
      </c>
      <c r="BS141" s="44">
        <v>35858</v>
      </c>
      <c r="BT141" s="44" t="s">
        <v>37</v>
      </c>
      <c r="BU141" s="44">
        <v>8202</v>
      </c>
      <c r="BV141" s="44" t="s">
        <v>37</v>
      </c>
      <c r="BX141" s="44" t="s">
        <v>37</v>
      </c>
      <c r="BY141" s="44">
        <v>470008</v>
      </c>
      <c r="BZ141" s="44" t="s">
        <v>37</v>
      </c>
      <c r="CA141" s="44">
        <v>26707</v>
      </c>
      <c r="CB141" s="44" t="s">
        <v>37</v>
      </c>
      <c r="CD141" s="44" t="s">
        <v>37</v>
      </c>
      <c r="CE141" s="44">
        <v>22552</v>
      </c>
      <c r="CF141" s="44" t="s">
        <v>37</v>
      </c>
      <c r="CG141" s="44">
        <v>42240</v>
      </c>
      <c r="CH141" s="44" t="s">
        <v>37</v>
      </c>
      <c r="CI141" s="44">
        <v>356404</v>
      </c>
      <c r="CJ141" s="44" t="s">
        <v>37</v>
      </c>
      <c r="CK141" s="44">
        <v>1160</v>
      </c>
      <c r="CL141" s="44" t="s">
        <v>37</v>
      </c>
      <c r="CM141" s="44">
        <v>43568</v>
      </c>
      <c r="CN141" s="44" t="s">
        <v>37</v>
      </c>
      <c r="CO141" s="44">
        <v>6543</v>
      </c>
      <c r="CP141" s="44" t="s">
        <v>37</v>
      </c>
      <c r="CQ141" s="44">
        <v>17505</v>
      </c>
      <c r="CR141" s="44" t="s">
        <v>37</v>
      </c>
      <c r="CS141" s="44">
        <v>82796</v>
      </c>
      <c r="CT141" s="44" t="s">
        <v>37</v>
      </c>
      <c r="CU141" s="44">
        <v>954150</v>
      </c>
      <c r="CV141" s="44" t="s">
        <v>37</v>
      </c>
      <c r="CW141" s="44">
        <v>159572</v>
      </c>
      <c r="CX141" s="44" t="s">
        <v>37</v>
      </c>
      <c r="CY141" s="44">
        <v>8352</v>
      </c>
      <c r="CZ141" s="44" t="s">
        <v>37</v>
      </c>
      <c r="DA141" s="44">
        <v>2401</v>
      </c>
      <c r="DB141" s="44" t="s">
        <v>37</v>
      </c>
      <c r="DD141" s="44" t="s">
        <v>37</v>
      </c>
      <c r="DE141" s="44">
        <v>13984</v>
      </c>
      <c r="DF141" s="44" t="s">
        <v>37</v>
      </c>
      <c r="DG141" s="44">
        <v>14786</v>
      </c>
      <c r="DH141" s="44" t="s">
        <v>37</v>
      </c>
      <c r="DI141" s="44">
        <v>518790</v>
      </c>
      <c r="DJ141" s="44" t="s">
        <v>37</v>
      </c>
      <c r="DK141" s="44">
        <v>78573</v>
      </c>
      <c r="DL141" s="44" t="s">
        <v>37</v>
      </c>
      <c r="DM141" s="44">
        <v>126169</v>
      </c>
      <c r="DN141" s="44" t="s">
        <v>37</v>
      </c>
      <c r="DO141" s="44">
        <v>57885</v>
      </c>
      <c r="DP141" s="44" t="s">
        <v>37</v>
      </c>
      <c r="DQ141" s="44">
        <v>79105</v>
      </c>
      <c r="DR141" s="44" t="s">
        <v>37</v>
      </c>
      <c r="DS141" s="44">
        <v>17072</v>
      </c>
      <c r="DT141" s="44" t="s">
        <v>37</v>
      </c>
      <c r="DU141" s="44">
        <v>20936</v>
      </c>
      <c r="DV141" s="44" t="s">
        <v>37</v>
      </c>
      <c r="DW141" s="44">
        <v>218825</v>
      </c>
      <c r="DX141" s="44" t="s">
        <v>37</v>
      </c>
      <c r="DY141" s="44">
        <v>86076</v>
      </c>
      <c r="DZ141" s="44" t="s">
        <v>37</v>
      </c>
      <c r="EA141" s="44">
        <v>20547</v>
      </c>
      <c r="EB141" s="44" t="s">
        <v>37</v>
      </c>
      <c r="EC141" s="44">
        <v>64865</v>
      </c>
      <c r="ED141" s="44" t="s">
        <v>37</v>
      </c>
      <c r="EE141" s="44">
        <v>95270</v>
      </c>
      <c r="EF141" s="44" t="s">
        <v>37</v>
      </c>
      <c r="EG141" s="44">
        <v>17541</v>
      </c>
      <c r="EH141" s="44" t="s">
        <v>37</v>
      </c>
      <c r="EJ141" s="44" t="s">
        <v>37</v>
      </c>
      <c r="EK141" s="44">
        <v>33134</v>
      </c>
      <c r="EL141" s="44" t="s">
        <v>37</v>
      </c>
      <c r="EM141" s="44">
        <v>29165</v>
      </c>
      <c r="EN141" s="44" t="s">
        <v>37</v>
      </c>
      <c r="EO141" s="44">
        <v>2974</v>
      </c>
      <c r="EP141" s="44" t="s">
        <v>37</v>
      </c>
      <c r="ER141" s="44" t="s">
        <v>37</v>
      </c>
      <c r="ES141" s="44">
        <v>96698</v>
      </c>
      <c r="ET141" s="44" t="s">
        <v>37</v>
      </c>
      <c r="EU141" s="44">
        <v>44999</v>
      </c>
      <c r="EV141" s="44" t="s">
        <v>37</v>
      </c>
      <c r="EW141" s="44">
        <v>147385</v>
      </c>
      <c r="EX141" s="44" t="s">
        <v>37</v>
      </c>
      <c r="EZ141" s="44" t="s">
        <v>37</v>
      </c>
      <c r="FA141" s="44">
        <v>43735</v>
      </c>
      <c r="FB141" s="44" t="s">
        <v>37</v>
      </c>
      <c r="FC141" s="44">
        <v>61061</v>
      </c>
      <c r="FD141" s="44" t="s">
        <v>37</v>
      </c>
      <c r="FE141" s="44">
        <v>120690</v>
      </c>
      <c r="FF141" s="44" t="s">
        <v>37</v>
      </c>
      <c r="FH141" s="44" t="s">
        <v>37</v>
      </c>
      <c r="FI141" s="44">
        <v>119207</v>
      </c>
      <c r="FJ141" s="44" t="s">
        <v>37</v>
      </c>
      <c r="FK141" s="44">
        <v>234031</v>
      </c>
      <c r="FL141" s="44" t="s">
        <v>37</v>
      </c>
      <c r="FM141" s="44">
        <v>208943</v>
      </c>
      <c r="FN141" s="44" t="s">
        <v>37</v>
      </c>
      <c r="FO141" s="44">
        <v>19444</v>
      </c>
      <c r="FP141" s="44" t="s">
        <v>37</v>
      </c>
      <c r="FQ141" s="44">
        <v>32013</v>
      </c>
      <c r="FR141" s="44" t="s">
        <v>37</v>
      </c>
      <c r="FS141" s="44">
        <v>62800</v>
      </c>
      <c r="FT141" s="44" t="s">
        <v>37</v>
      </c>
      <c r="FU141" s="44">
        <v>34545</v>
      </c>
      <c r="FV141" s="44" t="s">
        <v>37</v>
      </c>
      <c r="FW141" s="44">
        <v>38087</v>
      </c>
      <c r="FX141" s="44" t="s">
        <v>37</v>
      </c>
      <c r="FY141" s="44">
        <v>44645</v>
      </c>
      <c r="FZ141" s="44" t="s">
        <v>37</v>
      </c>
      <c r="GA141" s="44">
        <v>86669</v>
      </c>
      <c r="GB141" s="44" t="s">
        <v>37</v>
      </c>
      <c r="GC141" s="44">
        <v>59881</v>
      </c>
      <c r="GD141" s="44" t="s">
        <v>37</v>
      </c>
      <c r="GF141" s="44" t="s">
        <v>37</v>
      </c>
      <c r="GH141" s="44" t="s">
        <v>37</v>
      </c>
      <c r="GJ141" s="44" t="s">
        <v>37</v>
      </c>
      <c r="GK141" s="44">
        <v>126930</v>
      </c>
      <c r="GL141" s="44" t="s">
        <v>37</v>
      </c>
      <c r="GM141" s="44">
        <v>96759</v>
      </c>
      <c r="GN141" s="44" t="s">
        <v>37</v>
      </c>
      <c r="GP141" s="44" t="s">
        <v>37</v>
      </c>
      <c r="GQ141" s="44">
        <v>96390</v>
      </c>
      <c r="GR141" s="44" t="s">
        <v>37</v>
      </c>
      <c r="GS141" s="44">
        <v>108247</v>
      </c>
      <c r="GT141" s="44" t="s">
        <v>37</v>
      </c>
      <c r="GU141" s="44">
        <v>158680</v>
      </c>
      <c r="GV141" s="44" t="s">
        <v>37</v>
      </c>
      <c r="GW141" s="44">
        <v>16515</v>
      </c>
      <c r="GX141" s="44" t="s">
        <v>37</v>
      </c>
      <c r="GY141" s="44">
        <v>379910</v>
      </c>
      <c r="GZ141" s="44" t="s">
        <v>37</v>
      </c>
      <c r="HA141" s="44">
        <v>21267</v>
      </c>
      <c r="HB141" s="44" t="s">
        <v>37</v>
      </c>
      <c r="HD141" s="44" t="s">
        <v>37</v>
      </c>
      <c r="HF141" s="44" t="s">
        <v>37</v>
      </c>
      <c r="HG141" s="44">
        <v>8567614</v>
      </c>
      <c r="HH141" s="44" t="s">
        <v>37</v>
      </c>
      <c r="HJ141" s="44" t="s">
        <v>37</v>
      </c>
      <c r="HK141" s="44">
        <v>8567614</v>
      </c>
      <c r="HL141" s="44" t="s">
        <v>37</v>
      </c>
    </row>
    <row r="142" spans="1:220">
      <c r="A142" s="150" t="s">
        <v>411</v>
      </c>
      <c r="B142" s="44">
        <v>3319</v>
      </c>
      <c r="C142" s="44" t="s">
        <v>162</v>
      </c>
      <c r="D142" s="44" t="s">
        <v>37</v>
      </c>
      <c r="F142" s="44" t="s">
        <v>37</v>
      </c>
      <c r="H142" s="44" t="s">
        <v>37</v>
      </c>
      <c r="J142" s="44" t="s">
        <v>37</v>
      </c>
      <c r="L142" s="48" t="s">
        <v>37</v>
      </c>
      <c r="M142" s="50"/>
      <c r="N142" s="48" t="s">
        <v>37</v>
      </c>
      <c r="O142" s="50"/>
      <c r="P142" s="48" t="s">
        <v>37</v>
      </c>
      <c r="Q142" s="50"/>
      <c r="R142" s="48" t="s">
        <v>37</v>
      </c>
      <c r="S142" s="50"/>
      <c r="T142" s="48" t="s">
        <v>37</v>
      </c>
      <c r="V142" s="44" t="s">
        <v>37</v>
      </c>
      <c r="X142" s="44" t="s">
        <v>37</v>
      </c>
      <c r="Z142" s="44" t="s">
        <v>37</v>
      </c>
      <c r="AB142" s="44" t="s">
        <v>37</v>
      </c>
      <c r="AD142" s="44" t="s">
        <v>37</v>
      </c>
      <c r="AF142" s="44" t="s">
        <v>37</v>
      </c>
      <c r="AH142" s="44" t="s">
        <v>37</v>
      </c>
      <c r="AJ142" s="44" t="s">
        <v>37</v>
      </c>
      <c r="AL142" s="44" t="s">
        <v>37</v>
      </c>
      <c r="AN142" s="44" t="s">
        <v>37</v>
      </c>
      <c r="AP142" s="44" t="s">
        <v>37</v>
      </c>
      <c r="AR142" s="44" t="s">
        <v>37</v>
      </c>
      <c r="AT142" s="44" t="s">
        <v>37</v>
      </c>
      <c r="AV142" s="44" t="s">
        <v>37</v>
      </c>
      <c r="AX142" s="44" t="s">
        <v>37</v>
      </c>
      <c r="AZ142" s="44" t="s">
        <v>37</v>
      </c>
      <c r="BB142" s="44" t="s">
        <v>37</v>
      </c>
      <c r="BD142" s="44" t="s">
        <v>37</v>
      </c>
      <c r="BF142" s="44" t="s">
        <v>37</v>
      </c>
      <c r="BH142" s="44" t="s">
        <v>37</v>
      </c>
      <c r="BJ142" s="44" t="s">
        <v>37</v>
      </c>
      <c r="BL142" s="44" t="s">
        <v>37</v>
      </c>
      <c r="BN142" s="44" t="s">
        <v>37</v>
      </c>
      <c r="BP142" s="44" t="s">
        <v>37</v>
      </c>
      <c r="BR142" s="44" t="s">
        <v>37</v>
      </c>
      <c r="BT142" s="44" t="s">
        <v>37</v>
      </c>
      <c r="BV142" s="44" t="s">
        <v>37</v>
      </c>
      <c r="BX142" s="44" t="s">
        <v>37</v>
      </c>
      <c r="BZ142" s="44" t="s">
        <v>37</v>
      </c>
      <c r="CB142" s="44" t="s">
        <v>37</v>
      </c>
      <c r="CD142" s="44" t="s">
        <v>37</v>
      </c>
      <c r="CF142" s="44" t="s">
        <v>37</v>
      </c>
      <c r="CH142" s="44" t="s">
        <v>37</v>
      </c>
      <c r="CJ142" s="44" t="s">
        <v>37</v>
      </c>
      <c r="CL142" s="44" t="s">
        <v>37</v>
      </c>
      <c r="CN142" s="44" t="s">
        <v>37</v>
      </c>
      <c r="CP142" s="44" t="s">
        <v>37</v>
      </c>
      <c r="CR142" s="44" t="s">
        <v>37</v>
      </c>
      <c r="CT142" s="44" t="s">
        <v>37</v>
      </c>
      <c r="CV142" s="44" t="s">
        <v>37</v>
      </c>
      <c r="CX142" s="44" t="s">
        <v>37</v>
      </c>
      <c r="CZ142" s="44" t="s">
        <v>37</v>
      </c>
      <c r="DB142" s="44" t="s">
        <v>37</v>
      </c>
      <c r="DD142" s="44" t="s">
        <v>37</v>
      </c>
      <c r="DF142" s="44" t="s">
        <v>37</v>
      </c>
      <c r="DH142" s="44" t="s">
        <v>37</v>
      </c>
      <c r="DJ142" s="44" t="s">
        <v>37</v>
      </c>
      <c r="DL142" s="44" t="s">
        <v>37</v>
      </c>
      <c r="DN142" s="44" t="s">
        <v>37</v>
      </c>
      <c r="DP142" s="44" t="s">
        <v>37</v>
      </c>
      <c r="DR142" s="44" t="s">
        <v>37</v>
      </c>
      <c r="DT142" s="44" t="s">
        <v>37</v>
      </c>
      <c r="DV142" s="44" t="s">
        <v>37</v>
      </c>
      <c r="DX142" s="44" t="s">
        <v>37</v>
      </c>
      <c r="DZ142" s="44" t="s">
        <v>37</v>
      </c>
      <c r="EB142" s="44" t="s">
        <v>37</v>
      </c>
      <c r="ED142" s="44" t="s">
        <v>37</v>
      </c>
      <c r="EF142" s="44" t="s">
        <v>37</v>
      </c>
      <c r="EH142" s="44" t="s">
        <v>37</v>
      </c>
      <c r="EJ142" s="44" t="s">
        <v>37</v>
      </c>
      <c r="EL142" s="44" t="s">
        <v>37</v>
      </c>
      <c r="EN142" s="44" t="s">
        <v>37</v>
      </c>
      <c r="EP142" s="44" t="s">
        <v>37</v>
      </c>
      <c r="ER142" s="44" t="s">
        <v>37</v>
      </c>
      <c r="ET142" s="44" t="s">
        <v>37</v>
      </c>
      <c r="EV142" s="44" t="s">
        <v>37</v>
      </c>
      <c r="EX142" s="44" t="s">
        <v>37</v>
      </c>
      <c r="EZ142" s="44" t="s">
        <v>37</v>
      </c>
      <c r="FB142" s="44" t="s">
        <v>37</v>
      </c>
      <c r="FD142" s="44" t="s">
        <v>37</v>
      </c>
      <c r="FF142" s="44" t="s">
        <v>37</v>
      </c>
      <c r="FH142" s="44" t="s">
        <v>37</v>
      </c>
      <c r="FJ142" s="44" t="s">
        <v>37</v>
      </c>
      <c r="FL142" s="44" t="s">
        <v>37</v>
      </c>
      <c r="FN142" s="44" t="s">
        <v>37</v>
      </c>
      <c r="FP142" s="44" t="s">
        <v>37</v>
      </c>
      <c r="FR142" s="44" t="s">
        <v>37</v>
      </c>
      <c r="FT142" s="44" t="s">
        <v>37</v>
      </c>
      <c r="FV142" s="44" t="s">
        <v>37</v>
      </c>
      <c r="FX142" s="44" t="s">
        <v>37</v>
      </c>
      <c r="FZ142" s="44" t="s">
        <v>37</v>
      </c>
      <c r="GB142" s="44" t="s">
        <v>37</v>
      </c>
      <c r="GD142" s="44" t="s">
        <v>37</v>
      </c>
      <c r="GF142" s="44" t="s">
        <v>37</v>
      </c>
      <c r="GH142" s="44" t="s">
        <v>37</v>
      </c>
      <c r="GJ142" s="44" t="s">
        <v>37</v>
      </c>
      <c r="GL142" s="44" t="s">
        <v>37</v>
      </c>
      <c r="GN142" s="44" t="s">
        <v>37</v>
      </c>
      <c r="GP142" s="44" t="s">
        <v>37</v>
      </c>
      <c r="GR142" s="44" t="s">
        <v>37</v>
      </c>
      <c r="GT142" s="44" t="s">
        <v>37</v>
      </c>
      <c r="GV142" s="44" t="s">
        <v>37</v>
      </c>
      <c r="GX142" s="44" t="s">
        <v>37</v>
      </c>
      <c r="GZ142" s="44" t="s">
        <v>37</v>
      </c>
      <c r="HB142" s="44" t="s">
        <v>37</v>
      </c>
      <c r="HD142" s="44" t="s">
        <v>37</v>
      </c>
      <c r="HF142" s="44" t="s">
        <v>37</v>
      </c>
      <c r="HH142" s="44" t="s">
        <v>37</v>
      </c>
      <c r="HJ142" s="44" t="s">
        <v>37</v>
      </c>
      <c r="HL142" s="44" t="s">
        <v>37</v>
      </c>
    </row>
    <row r="143" spans="1:220">
      <c r="A143" s="150" t="s">
        <v>411</v>
      </c>
      <c r="B143" s="44">
        <v>3320</v>
      </c>
      <c r="C143" s="44" t="s">
        <v>163</v>
      </c>
      <c r="D143" s="44" t="s">
        <v>37</v>
      </c>
      <c r="F143" s="44" t="s">
        <v>37</v>
      </c>
      <c r="H143" s="44" t="s">
        <v>37</v>
      </c>
      <c r="J143" s="44" t="s">
        <v>37</v>
      </c>
      <c r="L143" s="48" t="s">
        <v>37</v>
      </c>
      <c r="M143" s="50"/>
      <c r="N143" s="48" t="s">
        <v>37</v>
      </c>
      <c r="O143" s="50"/>
      <c r="P143" s="48" t="s">
        <v>37</v>
      </c>
      <c r="Q143" s="50"/>
      <c r="R143" s="48" t="s">
        <v>37</v>
      </c>
      <c r="S143" s="50"/>
      <c r="T143" s="48" t="s">
        <v>37</v>
      </c>
      <c r="V143" s="44" t="s">
        <v>37</v>
      </c>
      <c r="X143" s="44" t="s">
        <v>37</v>
      </c>
      <c r="Z143" s="44" t="s">
        <v>37</v>
      </c>
      <c r="AB143" s="44" t="s">
        <v>37</v>
      </c>
      <c r="AD143" s="44" t="s">
        <v>37</v>
      </c>
      <c r="AF143" s="44" t="s">
        <v>37</v>
      </c>
      <c r="AH143" s="44" t="s">
        <v>37</v>
      </c>
      <c r="AJ143" s="44" t="s">
        <v>37</v>
      </c>
      <c r="AL143" s="44" t="s">
        <v>37</v>
      </c>
      <c r="AN143" s="44" t="s">
        <v>37</v>
      </c>
      <c r="AP143" s="44" t="s">
        <v>37</v>
      </c>
      <c r="AR143" s="44" t="s">
        <v>37</v>
      </c>
      <c r="AT143" s="44" t="s">
        <v>37</v>
      </c>
      <c r="AV143" s="44" t="s">
        <v>37</v>
      </c>
      <c r="AX143" s="44" t="s">
        <v>37</v>
      </c>
      <c r="AZ143" s="44" t="s">
        <v>37</v>
      </c>
      <c r="BB143" s="44" t="s">
        <v>37</v>
      </c>
      <c r="BD143" s="44" t="s">
        <v>37</v>
      </c>
      <c r="BF143" s="44" t="s">
        <v>37</v>
      </c>
      <c r="BH143" s="44" t="s">
        <v>37</v>
      </c>
      <c r="BJ143" s="44" t="s">
        <v>37</v>
      </c>
      <c r="BL143" s="44" t="s">
        <v>37</v>
      </c>
      <c r="BN143" s="44" t="s">
        <v>37</v>
      </c>
      <c r="BP143" s="44" t="s">
        <v>37</v>
      </c>
      <c r="BR143" s="44" t="s">
        <v>37</v>
      </c>
      <c r="BT143" s="44" t="s">
        <v>37</v>
      </c>
      <c r="BV143" s="44" t="s">
        <v>37</v>
      </c>
      <c r="BX143" s="44" t="s">
        <v>37</v>
      </c>
      <c r="BZ143" s="44" t="s">
        <v>37</v>
      </c>
      <c r="CB143" s="44" t="s">
        <v>37</v>
      </c>
      <c r="CD143" s="44" t="s">
        <v>37</v>
      </c>
      <c r="CF143" s="44" t="s">
        <v>37</v>
      </c>
      <c r="CH143" s="44" t="s">
        <v>37</v>
      </c>
      <c r="CJ143" s="44" t="s">
        <v>37</v>
      </c>
      <c r="CL143" s="44" t="s">
        <v>37</v>
      </c>
      <c r="CN143" s="44" t="s">
        <v>37</v>
      </c>
      <c r="CP143" s="44" t="s">
        <v>37</v>
      </c>
      <c r="CR143" s="44" t="s">
        <v>37</v>
      </c>
      <c r="CT143" s="44" t="s">
        <v>37</v>
      </c>
      <c r="CV143" s="44" t="s">
        <v>37</v>
      </c>
      <c r="CX143" s="44" t="s">
        <v>37</v>
      </c>
      <c r="CZ143" s="44" t="s">
        <v>37</v>
      </c>
      <c r="DB143" s="44" t="s">
        <v>37</v>
      </c>
      <c r="DD143" s="44" t="s">
        <v>37</v>
      </c>
      <c r="DF143" s="44" t="s">
        <v>37</v>
      </c>
      <c r="DH143" s="44" t="s">
        <v>37</v>
      </c>
      <c r="DJ143" s="44" t="s">
        <v>37</v>
      </c>
      <c r="DL143" s="44" t="s">
        <v>37</v>
      </c>
      <c r="DN143" s="44" t="s">
        <v>37</v>
      </c>
      <c r="DP143" s="44" t="s">
        <v>37</v>
      </c>
      <c r="DR143" s="44" t="s">
        <v>37</v>
      </c>
      <c r="DT143" s="44" t="s">
        <v>37</v>
      </c>
      <c r="DV143" s="44" t="s">
        <v>37</v>
      </c>
      <c r="DX143" s="44" t="s">
        <v>37</v>
      </c>
      <c r="DZ143" s="44" t="s">
        <v>37</v>
      </c>
      <c r="EB143" s="44" t="s">
        <v>37</v>
      </c>
      <c r="ED143" s="44" t="s">
        <v>37</v>
      </c>
      <c r="EF143" s="44" t="s">
        <v>37</v>
      </c>
      <c r="EH143" s="44" t="s">
        <v>37</v>
      </c>
      <c r="EJ143" s="44" t="s">
        <v>37</v>
      </c>
      <c r="EL143" s="44" t="s">
        <v>37</v>
      </c>
      <c r="EN143" s="44" t="s">
        <v>37</v>
      </c>
      <c r="EP143" s="44" t="s">
        <v>37</v>
      </c>
      <c r="ER143" s="44" t="s">
        <v>37</v>
      </c>
      <c r="ET143" s="44" t="s">
        <v>37</v>
      </c>
      <c r="EV143" s="44" t="s">
        <v>37</v>
      </c>
      <c r="EX143" s="44" t="s">
        <v>37</v>
      </c>
      <c r="EZ143" s="44" t="s">
        <v>37</v>
      </c>
      <c r="FB143" s="44" t="s">
        <v>37</v>
      </c>
      <c r="FD143" s="44" t="s">
        <v>37</v>
      </c>
      <c r="FF143" s="44" t="s">
        <v>37</v>
      </c>
      <c r="FH143" s="44" t="s">
        <v>37</v>
      </c>
      <c r="FJ143" s="44" t="s">
        <v>37</v>
      </c>
      <c r="FL143" s="44" t="s">
        <v>37</v>
      </c>
      <c r="FN143" s="44" t="s">
        <v>37</v>
      </c>
      <c r="FP143" s="44" t="s">
        <v>37</v>
      </c>
      <c r="FR143" s="44" t="s">
        <v>37</v>
      </c>
      <c r="FT143" s="44" t="s">
        <v>37</v>
      </c>
      <c r="FV143" s="44" t="s">
        <v>37</v>
      </c>
      <c r="FX143" s="44" t="s">
        <v>37</v>
      </c>
      <c r="FZ143" s="44" t="s">
        <v>37</v>
      </c>
      <c r="GB143" s="44" t="s">
        <v>37</v>
      </c>
      <c r="GD143" s="44" t="s">
        <v>37</v>
      </c>
      <c r="GF143" s="44" t="s">
        <v>37</v>
      </c>
      <c r="GH143" s="44" t="s">
        <v>37</v>
      </c>
      <c r="GJ143" s="44" t="s">
        <v>37</v>
      </c>
      <c r="GL143" s="44" t="s">
        <v>37</v>
      </c>
      <c r="GN143" s="44" t="s">
        <v>37</v>
      </c>
      <c r="GP143" s="44" t="s">
        <v>37</v>
      </c>
      <c r="GR143" s="44" t="s">
        <v>37</v>
      </c>
      <c r="GT143" s="44" t="s">
        <v>37</v>
      </c>
      <c r="GV143" s="44" t="s">
        <v>37</v>
      </c>
      <c r="GX143" s="44" t="s">
        <v>37</v>
      </c>
      <c r="GZ143" s="44" t="s">
        <v>37</v>
      </c>
      <c r="HB143" s="44" t="s">
        <v>37</v>
      </c>
      <c r="HD143" s="44" t="s">
        <v>37</v>
      </c>
      <c r="HF143" s="44" t="s">
        <v>37</v>
      </c>
      <c r="HH143" s="44" t="s">
        <v>37</v>
      </c>
      <c r="HJ143" s="44" t="s">
        <v>37</v>
      </c>
      <c r="HL143" s="44" t="s">
        <v>37</v>
      </c>
    </row>
    <row r="144" spans="1:220">
      <c r="A144" s="150" t="s">
        <v>411</v>
      </c>
      <c r="B144" s="44">
        <v>3321</v>
      </c>
      <c r="C144" s="44" t="s">
        <v>164</v>
      </c>
      <c r="D144" s="44" t="s">
        <v>37</v>
      </c>
      <c r="E144" s="44">
        <v>96201</v>
      </c>
      <c r="F144" s="44" t="s">
        <v>37</v>
      </c>
      <c r="G144" s="44">
        <v>302057</v>
      </c>
      <c r="H144" s="44" t="s">
        <v>37</v>
      </c>
      <c r="J144" s="44" t="s">
        <v>37</v>
      </c>
      <c r="L144" s="48" t="s">
        <v>37</v>
      </c>
      <c r="M144" s="51">
        <v>210599</v>
      </c>
      <c r="N144" s="48" t="s">
        <v>37</v>
      </c>
      <c r="O144" s="51">
        <v>84094</v>
      </c>
      <c r="P144" s="48" t="s">
        <v>37</v>
      </c>
      <c r="Q144" s="51">
        <v>33854</v>
      </c>
      <c r="R144" s="48" t="s">
        <v>37</v>
      </c>
      <c r="S144" s="51">
        <v>79717</v>
      </c>
      <c r="T144" s="48" t="s">
        <v>37</v>
      </c>
      <c r="U144" s="44">
        <v>391559</v>
      </c>
      <c r="V144" s="44" t="s">
        <v>37</v>
      </c>
      <c r="X144" s="44" t="s">
        <v>37</v>
      </c>
      <c r="Z144" s="44" t="s">
        <v>37</v>
      </c>
      <c r="AA144" s="44">
        <v>12373</v>
      </c>
      <c r="AB144" s="44" t="s">
        <v>37</v>
      </c>
      <c r="AC144" s="44">
        <v>24249</v>
      </c>
      <c r="AD144" s="44" t="s">
        <v>37</v>
      </c>
      <c r="AE144" s="44">
        <v>12174</v>
      </c>
      <c r="AF144" s="44" t="s">
        <v>37</v>
      </c>
      <c r="AG144" s="44">
        <v>11717</v>
      </c>
      <c r="AH144" s="44" t="s">
        <v>37</v>
      </c>
      <c r="AI144" s="44">
        <v>20831</v>
      </c>
      <c r="AJ144" s="44" t="s">
        <v>37</v>
      </c>
      <c r="AL144" s="44" t="s">
        <v>37</v>
      </c>
      <c r="AM144" s="44">
        <v>10120</v>
      </c>
      <c r="AN144" s="44" t="s">
        <v>37</v>
      </c>
      <c r="AP144" s="44" t="s">
        <v>37</v>
      </c>
      <c r="AQ144" s="44">
        <v>546460</v>
      </c>
      <c r="AR144" s="44" t="s">
        <v>37</v>
      </c>
      <c r="AS144" s="44">
        <v>16703</v>
      </c>
      <c r="AT144" s="44" t="s">
        <v>37</v>
      </c>
      <c r="AU144" s="44">
        <v>659754</v>
      </c>
      <c r="AV144" s="44" t="s">
        <v>37</v>
      </c>
      <c r="AW144" s="44">
        <v>40879</v>
      </c>
      <c r="AX144" s="44" t="s">
        <v>37</v>
      </c>
      <c r="AY144" s="44">
        <v>56803</v>
      </c>
      <c r="AZ144" s="44" t="s">
        <v>37</v>
      </c>
      <c r="BA144" s="44">
        <v>88629</v>
      </c>
      <c r="BB144" s="44" t="s">
        <v>37</v>
      </c>
      <c r="BC144" s="44">
        <v>15452</v>
      </c>
      <c r="BD144" s="44" t="s">
        <v>37</v>
      </c>
      <c r="BE144" s="44">
        <v>46417</v>
      </c>
      <c r="BF144" s="44" t="s">
        <v>37</v>
      </c>
      <c r="BG144" s="44">
        <v>24678</v>
      </c>
      <c r="BH144" s="44" t="s">
        <v>37</v>
      </c>
      <c r="BJ144" s="44" t="s">
        <v>37</v>
      </c>
      <c r="BK144" s="44">
        <v>111024</v>
      </c>
      <c r="BL144" s="44" t="s">
        <v>37</v>
      </c>
      <c r="BM144" s="44">
        <v>111570</v>
      </c>
      <c r="BN144" s="44" t="s">
        <v>37</v>
      </c>
      <c r="BP144" s="44" t="s">
        <v>37</v>
      </c>
      <c r="BQ144" s="44">
        <v>12964</v>
      </c>
      <c r="BR144" s="44" t="s">
        <v>37</v>
      </c>
      <c r="BS144" s="44">
        <v>5429</v>
      </c>
      <c r="BT144" s="44" t="s">
        <v>37</v>
      </c>
      <c r="BU144" s="44">
        <v>985</v>
      </c>
      <c r="BV144" s="44" t="s">
        <v>37</v>
      </c>
      <c r="BX144" s="44" t="s">
        <v>37</v>
      </c>
      <c r="BY144" s="44">
        <v>345519</v>
      </c>
      <c r="BZ144" s="44" t="s">
        <v>37</v>
      </c>
      <c r="CA144" s="44">
        <v>39286</v>
      </c>
      <c r="CB144" s="44" t="s">
        <v>37</v>
      </c>
      <c r="CD144" s="44" t="s">
        <v>37</v>
      </c>
      <c r="CE144" s="44">
        <v>92451</v>
      </c>
      <c r="CF144" s="44" t="s">
        <v>37</v>
      </c>
      <c r="CG144" s="44">
        <v>172078</v>
      </c>
      <c r="CH144" s="44" t="s">
        <v>37</v>
      </c>
      <c r="CI144" s="44">
        <v>320599</v>
      </c>
      <c r="CJ144" s="44" t="s">
        <v>37</v>
      </c>
      <c r="CK144" s="44">
        <v>5587</v>
      </c>
      <c r="CL144" s="44" t="s">
        <v>37</v>
      </c>
      <c r="CM144" s="44">
        <v>20361</v>
      </c>
      <c r="CN144" s="44" t="s">
        <v>37</v>
      </c>
      <c r="CO144" s="44">
        <v>23806</v>
      </c>
      <c r="CP144" s="44" t="s">
        <v>37</v>
      </c>
      <c r="CQ144" s="44">
        <v>3562</v>
      </c>
      <c r="CR144" s="44" t="s">
        <v>37</v>
      </c>
      <c r="CS144" s="44">
        <v>357009</v>
      </c>
      <c r="CT144" s="44" t="s">
        <v>37</v>
      </c>
      <c r="CU144" s="44">
        <v>1683416</v>
      </c>
      <c r="CV144" s="44" t="s">
        <v>37</v>
      </c>
      <c r="CW144" s="44">
        <v>54842</v>
      </c>
      <c r="CX144" s="44" t="s">
        <v>37</v>
      </c>
      <c r="CY144" s="44">
        <v>2405</v>
      </c>
      <c r="CZ144" s="44" t="s">
        <v>37</v>
      </c>
      <c r="DA144" s="44">
        <v>2206</v>
      </c>
      <c r="DB144" s="44" t="s">
        <v>37</v>
      </c>
      <c r="DD144" s="44" t="s">
        <v>37</v>
      </c>
      <c r="DE144" s="44">
        <v>7566</v>
      </c>
      <c r="DF144" s="44" t="s">
        <v>37</v>
      </c>
      <c r="DG144" s="44">
        <v>52500</v>
      </c>
      <c r="DH144" s="44" t="s">
        <v>37</v>
      </c>
      <c r="DI144" s="44">
        <v>680257</v>
      </c>
      <c r="DJ144" s="44" t="s">
        <v>37</v>
      </c>
      <c r="DK144" s="44">
        <v>88934</v>
      </c>
      <c r="DL144" s="44" t="s">
        <v>37</v>
      </c>
      <c r="DM144" s="44">
        <v>158655</v>
      </c>
      <c r="DN144" s="44" t="s">
        <v>37</v>
      </c>
      <c r="DO144" s="44">
        <v>164554</v>
      </c>
      <c r="DP144" s="44" t="s">
        <v>37</v>
      </c>
      <c r="DQ144" s="44">
        <v>36868</v>
      </c>
      <c r="DR144" s="44" t="s">
        <v>37</v>
      </c>
      <c r="DS144" s="44">
        <v>74367</v>
      </c>
      <c r="DT144" s="44" t="s">
        <v>37</v>
      </c>
      <c r="DU144" s="44">
        <v>16023</v>
      </c>
      <c r="DV144" s="44" t="s">
        <v>37</v>
      </c>
      <c r="DW144" s="44">
        <v>350254</v>
      </c>
      <c r="DX144" s="44" t="s">
        <v>37</v>
      </c>
      <c r="DY144" s="44">
        <v>196220</v>
      </c>
      <c r="DZ144" s="44" t="s">
        <v>37</v>
      </c>
      <c r="EA144" s="44">
        <v>30016</v>
      </c>
      <c r="EB144" s="44" t="s">
        <v>37</v>
      </c>
      <c r="EC144" s="44">
        <v>173967</v>
      </c>
      <c r="ED144" s="44" t="s">
        <v>37</v>
      </c>
      <c r="EE144" s="44">
        <v>373068</v>
      </c>
      <c r="EF144" s="44" t="s">
        <v>37</v>
      </c>
      <c r="EG144" s="44">
        <v>20458</v>
      </c>
      <c r="EH144" s="44" t="s">
        <v>37</v>
      </c>
      <c r="EJ144" s="44" t="s">
        <v>37</v>
      </c>
      <c r="EK144" s="44">
        <v>12932</v>
      </c>
      <c r="EL144" s="44" t="s">
        <v>37</v>
      </c>
      <c r="EM144" s="44">
        <v>32027</v>
      </c>
      <c r="EN144" s="44" t="s">
        <v>37</v>
      </c>
      <c r="EO144" s="44">
        <v>13949</v>
      </c>
      <c r="EP144" s="44" t="s">
        <v>37</v>
      </c>
      <c r="ER144" s="44" t="s">
        <v>37</v>
      </c>
      <c r="ES144" s="44">
        <v>105946</v>
      </c>
      <c r="ET144" s="44" t="s">
        <v>37</v>
      </c>
      <c r="EU144" s="44">
        <v>105339</v>
      </c>
      <c r="EV144" s="44" t="s">
        <v>37</v>
      </c>
      <c r="EW144" s="44">
        <v>297248</v>
      </c>
      <c r="EX144" s="44" t="s">
        <v>37</v>
      </c>
      <c r="EZ144" s="44" t="s">
        <v>37</v>
      </c>
      <c r="FA144" s="44">
        <v>114417</v>
      </c>
      <c r="FB144" s="44" t="s">
        <v>37</v>
      </c>
      <c r="FC144" s="44">
        <v>43107</v>
      </c>
      <c r="FD144" s="44" t="s">
        <v>37</v>
      </c>
      <c r="FE144" s="44">
        <v>124981</v>
      </c>
      <c r="FF144" s="44" t="s">
        <v>37</v>
      </c>
      <c r="FH144" s="44" t="s">
        <v>37</v>
      </c>
      <c r="FI144" s="44">
        <v>298810</v>
      </c>
      <c r="FJ144" s="44" t="s">
        <v>37</v>
      </c>
      <c r="FK144" s="44">
        <v>892496</v>
      </c>
      <c r="FL144" s="44" t="s">
        <v>37</v>
      </c>
      <c r="FM144" s="44">
        <v>613410</v>
      </c>
      <c r="FN144" s="44" t="s">
        <v>37</v>
      </c>
      <c r="FO144" s="44">
        <v>25069</v>
      </c>
      <c r="FP144" s="44" t="s">
        <v>37</v>
      </c>
      <c r="FQ144" s="44">
        <v>98953</v>
      </c>
      <c r="FR144" s="44" t="s">
        <v>37</v>
      </c>
      <c r="FS144" s="44">
        <v>164231</v>
      </c>
      <c r="FT144" s="44" t="s">
        <v>37</v>
      </c>
      <c r="FU144" s="44">
        <v>81424</v>
      </c>
      <c r="FV144" s="44" t="s">
        <v>37</v>
      </c>
      <c r="FW144" s="44">
        <v>35562</v>
      </c>
      <c r="FX144" s="44" t="s">
        <v>37</v>
      </c>
      <c r="FY144" s="44">
        <v>157162</v>
      </c>
      <c r="FZ144" s="44" t="s">
        <v>37</v>
      </c>
      <c r="GA144" s="44">
        <v>243925</v>
      </c>
      <c r="GB144" s="44" t="s">
        <v>37</v>
      </c>
      <c r="GC144" s="44">
        <v>502967</v>
      </c>
      <c r="GD144" s="44" t="s">
        <v>37</v>
      </c>
      <c r="GF144" s="44" t="s">
        <v>37</v>
      </c>
      <c r="GH144" s="44" t="s">
        <v>37</v>
      </c>
      <c r="GJ144" s="44" t="s">
        <v>37</v>
      </c>
      <c r="GK144" s="44">
        <v>230264</v>
      </c>
      <c r="GL144" s="44" t="s">
        <v>37</v>
      </c>
      <c r="GM144" s="44">
        <v>271881</v>
      </c>
      <c r="GN144" s="44" t="s">
        <v>37</v>
      </c>
      <c r="GP144" s="44" t="s">
        <v>37</v>
      </c>
      <c r="GQ144" s="44">
        <v>42158</v>
      </c>
      <c r="GR144" s="44" t="s">
        <v>37</v>
      </c>
      <c r="GS144" s="44">
        <v>71422</v>
      </c>
      <c r="GT144" s="44" t="s">
        <v>37</v>
      </c>
      <c r="GU144" s="44">
        <v>71724</v>
      </c>
      <c r="GV144" s="44" t="s">
        <v>37</v>
      </c>
      <c r="GW144" s="44">
        <v>70213</v>
      </c>
      <c r="GX144" s="44" t="s">
        <v>37</v>
      </c>
      <c r="GY144" s="44">
        <v>213254</v>
      </c>
      <c r="GZ144" s="44" t="s">
        <v>37</v>
      </c>
      <c r="HA144" s="44">
        <v>38959</v>
      </c>
      <c r="HB144" s="44" t="s">
        <v>37</v>
      </c>
      <c r="HD144" s="44" t="s">
        <v>37</v>
      </c>
      <c r="HE144" s="44">
        <v>127625</v>
      </c>
      <c r="HF144" s="44" t="s">
        <v>37</v>
      </c>
      <c r="HG144" s="44">
        <v>13547956</v>
      </c>
      <c r="HH144" s="44" t="s">
        <v>37</v>
      </c>
      <c r="HI144" s="44">
        <v>127625</v>
      </c>
      <c r="HJ144" s="44" t="s">
        <v>37</v>
      </c>
      <c r="HK144" s="44">
        <v>13675581</v>
      </c>
      <c r="HL144" s="44" t="s">
        <v>37</v>
      </c>
    </row>
    <row r="145" spans="1:220">
      <c r="A145" s="150" t="s">
        <v>411</v>
      </c>
      <c r="B145" s="44">
        <v>3322</v>
      </c>
      <c r="C145" s="44" t="s">
        <v>165</v>
      </c>
      <c r="D145" s="44" t="s">
        <v>37</v>
      </c>
      <c r="E145" s="44">
        <v>91465</v>
      </c>
      <c r="F145" s="44" t="s">
        <v>37</v>
      </c>
      <c r="G145" s="44">
        <v>866299</v>
      </c>
      <c r="H145" s="44" t="s">
        <v>37</v>
      </c>
      <c r="I145" s="44">
        <v>71513</v>
      </c>
      <c r="J145" s="44" t="s">
        <v>37</v>
      </c>
      <c r="L145" s="48" t="s">
        <v>37</v>
      </c>
      <c r="M145" s="51">
        <v>139660</v>
      </c>
      <c r="N145" s="48" t="s">
        <v>37</v>
      </c>
      <c r="O145" s="51">
        <v>127603</v>
      </c>
      <c r="P145" s="48" t="s">
        <v>37</v>
      </c>
      <c r="Q145" s="51">
        <v>34040</v>
      </c>
      <c r="R145" s="48" t="s">
        <v>37</v>
      </c>
      <c r="S145" s="51">
        <v>66201</v>
      </c>
      <c r="T145" s="48" t="s">
        <v>37</v>
      </c>
      <c r="U145" s="44">
        <v>293257</v>
      </c>
      <c r="V145" s="44" t="s">
        <v>37</v>
      </c>
      <c r="X145" s="44" t="s">
        <v>37</v>
      </c>
      <c r="Z145" s="44" t="s">
        <v>37</v>
      </c>
      <c r="AA145" s="44">
        <v>115081</v>
      </c>
      <c r="AB145" s="44" t="s">
        <v>37</v>
      </c>
      <c r="AC145" s="44">
        <v>63095</v>
      </c>
      <c r="AD145" s="44" t="s">
        <v>37</v>
      </c>
      <c r="AE145" s="44">
        <v>103839</v>
      </c>
      <c r="AF145" s="44" t="s">
        <v>37</v>
      </c>
      <c r="AG145" s="44">
        <v>3873</v>
      </c>
      <c r="AH145" s="44" t="s">
        <v>37</v>
      </c>
      <c r="AI145" s="44">
        <v>74411</v>
      </c>
      <c r="AJ145" s="44" t="s">
        <v>37</v>
      </c>
      <c r="AL145" s="44" t="s">
        <v>37</v>
      </c>
      <c r="AM145" s="44">
        <v>5477</v>
      </c>
      <c r="AN145" s="44" t="s">
        <v>37</v>
      </c>
      <c r="AP145" s="44" t="s">
        <v>37</v>
      </c>
      <c r="AQ145" s="44">
        <v>394060</v>
      </c>
      <c r="AR145" s="44" t="s">
        <v>37</v>
      </c>
      <c r="AS145" s="44">
        <v>71303</v>
      </c>
      <c r="AT145" s="44" t="s">
        <v>37</v>
      </c>
      <c r="AU145" s="44">
        <v>586663</v>
      </c>
      <c r="AV145" s="44" t="s">
        <v>37</v>
      </c>
      <c r="AW145" s="44">
        <v>71799</v>
      </c>
      <c r="AX145" s="44" t="s">
        <v>37</v>
      </c>
      <c r="AY145" s="44">
        <v>152693</v>
      </c>
      <c r="AZ145" s="44" t="s">
        <v>37</v>
      </c>
      <c r="BA145" s="44">
        <v>189974</v>
      </c>
      <c r="BB145" s="44" t="s">
        <v>37</v>
      </c>
      <c r="BC145" s="44">
        <v>53043</v>
      </c>
      <c r="BD145" s="44" t="s">
        <v>37</v>
      </c>
      <c r="BE145" s="44">
        <v>162814</v>
      </c>
      <c r="BF145" s="44" t="s">
        <v>37</v>
      </c>
      <c r="BG145" s="44">
        <v>109384</v>
      </c>
      <c r="BH145" s="44" t="s">
        <v>37</v>
      </c>
      <c r="BJ145" s="44" t="s">
        <v>37</v>
      </c>
      <c r="BK145" s="44">
        <v>211843</v>
      </c>
      <c r="BL145" s="44" t="s">
        <v>37</v>
      </c>
      <c r="BM145" s="44">
        <v>696357</v>
      </c>
      <c r="BN145" s="44" t="s">
        <v>37</v>
      </c>
      <c r="BP145" s="44" t="s">
        <v>37</v>
      </c>
      <c r="BQ145" s="44">
        <v>40924</v>
      </c>
      <c r="BR145" s="44" t="s">
        <v>37</v>
      </c>
      <c r="BS145" s="44">
        <v>291178</v>
      </c>
      <c r="BT145" s="44" t="s">
        <v>37</v>
      </c>
      <c r="BU145" s="44">
        <v>111981</v>
      </c>
      <c r="BV145" s="44" t="s">
        <v>37</v>
      </c>
      <c r="BX145" s="44" t="s">
        <v>37</v>
      </c>
      <c r="BY145" s="44">
        <v>301994</v>
      </c>
      <c r="BZ145" s="44" t="s">
        <v>37</v>
      </c>
      <c r="CA145" s="44">
        <v>92029</v>
      </c>
      <c r="CB145" s="44" t="s">
        <v>37</v>
      </c>
      <c r="CD145" s="44" t="s">
        <v>37</v>
      </c>
      <c r="CE145" s="44">
        <v>109263</v>
      </c>
      <c r="CF145" s="44" t="s">
        <v>37</v>
      </c>
      <c r="CG145" s="44">
        <v>37243</v>
      </c>
      <c r="CH145" s="44" t="s">
        <v>37</v>
      </c>
      <c r="CI145" s="44">
        <v>738860</v>
      </c>
      <c r="CJ145" s="44" t="s">
        <v>37</v>
      </c>
      <c r="CK145" s="44">
        <v>15611</v>
      </c>
      <c r="CL145" s="44" t="s">
        <v>37</v>
      </c>
      <c r="CM145" s="44">
        <v>246551</v>
      </c>
      <c r="CN145" s="44" t="s">
        <v>37</v>
      </c>
      <c r="CO145" s="44">
        <v>68181</v>
      </c>
      <c r="CP145" s="44" t="s">
        <v>37</v>
      </c>
      <c r="CQ145" s="44">
        <v>86882</v>
      </c>
      <c r="CR145" s="44" t="s">
        <v>37</v>
      </c>
      <c r="CS145" s="44">
        <v>175037</v>
      </c>
      <c r="CT145" s="44" t="s">
        <v>37</v>
      </c>
      <c r="CU145" s="44">
        <v>1181164</v>
      </c>
      <c r="CV145" s="44" t="s">
        <v>37</v>
      </c>
      <c r="CW145" s="44">
        <v>292318</v>
      </c>
      <c r="CX145" s="44" t="s">
        <v>37</v>
      </c>
      <c r="CY145" s="44">
        <v>35330</v>
      </c>
      <c r="CZ145" s="44" t="s">
        <v>37</v>
      </c>
      <c r="DA145" s="44">
        <v>21842</v>
      </c>
      <c r="DB145" s="44" t="s">
        <v>37</v>
      </c>
      <c r="DD145" s="44" t="s">
        <v>37</v>
      </c>
      <c r="DE145" s="44">
        <v>89166</v>
      </c>
      <c r="DF145" s="44" t="s">
        <v>37</v>
      </c>
      <c r="DG145" s="44">
        <v>148571</v>
      </c>
      <c r="DH145" s="44" t="s">
        <v>37</v>
      </c>
      <c r="DI145" s="44">
        <v>629653</v>
      </c>
      <c r="DJ145" s="44" t="s">
        <v>37</v>
      </c>
      <c r="DK145" s="44">
        <v>136258</v>
      </c>
      <c r="DL145" s="44" t="s">
        <v>37</v>
      </c>
      <c r="DM145" s="44">
        <v>203325</v>
      </c>
      <c r="DN145" s="44" t="s">
        <v>37</v>
      </c>
      <c r="DO145" s="44">
        <v>320367</v>
      </c>
      <c r="DP145" s="44" t="s">
        <v>37</v>
      </c>
      <c r="DQ145" s="44">
        <v>159179</v>
      </c>
      <c r="DR145" s="44" t="s">
        <v>37</v>
      </c>
      <c r="DS145" s="44">
        <v>160357</v>
      </c>
      <c r="DT145" s="44" t="s">
        <v>37</v>
      </c>
      <c r="DU145" s="44">
        <v>224540</v>
      </c>
      <c r="DV145" s="44" t="s">
        <v>37</v>
      </c>
      <c r="DW145" s="44">
        <v>196152</v>
      </c>
      <c r="DX145" s="44" t="s">
        <v>37</v>
      </c>
      <c r="DY145" s="44">
        <v>176255</v>
      </c>
      <c r="DZ145" s="44" t="s">
        <v>37</v>
      </c>
      <c r="EA145" s="44">
        <v>51431</v>
      </c>
      <c r="EB145" s="44" t="s">
        <v>37</v>
      </c>
      <c r="EC145" s="44">
        <v>92638</v>
      </c>
      <c r="ED145" s="44" t="s">
        <v>37</v>
      </c>
      <c r="EE145" s="44">
        <v>120339</v>
      </c>
      <c r="EF145" s="44" t="s">
        <v>37</v>
      </c>
      <c r="EG145" s="44">
        <v>33541</v>
      </c>
      <c r="EH145" s="44" t="s">
        <v>37</v>
      </c>
      <c r="EJ145" s="44" t="s">
        <v>37</v>
      </c>
      <c r="EK145" s="44">
        <v>162551</v>
      </c>
      <c r="EL145" s="44" t="s">
        <v>37</v>
      </c>
      <c r="EM145" s="44">
        <v>155218</v>
      </c>
      <c r="EN145" s="44" t="s">
        <v>37</v>
      </c>
      <c r="EO145" s="44">
        <v>34038</v>
      </c>
      <c r="EP145" s="44" t="s">
        <v>37</v>
      </c>
      <c r="ER145" s="44" t="s">
        <v>37</v>
      </c>
      <c r="ES145" s="44">
        <v>315710</v>
      </c>
      <c r="ET145" s="44" t="s">
        <v>37</v>
      </c>
      <c r="EU145" s="44">
        <v>201281</v>
      </c>
      <c r="EV145" s="44" t="s">
        <v>37</v>
      </c>
      <c r="EW145" s="44">
        <v>179129</v>
      </c>
      <c r="EX145" s="44" t="s">
        <v>37</v>
      </c>
      <c r="EZ145" s="44" t="s">
        <v>37</v>
      </c>
      <c r="FA145" s="44">
        <v>119579</v>
      </c>
      <c r="FB145" s="44" t="s">
        <v>37</v>
      </c>
      <c r="FC145" s="44">
        <v>87929</v>
      </c>
      <c r="FD145" s="44" t="s">
        <v>37</v>
      </c>
      <c r="FE145" s="44">
        <v>584024</v>
      </c>
      <c r="FF145" s="44" t="s">
        <v>37</v>
      </c>
      <c r="FH145" s="44" t="s">
        <v>37</v>
      </c>
      <c r="FI145" s="44">
        <v>388930</v>
      </c>
      <c r="FJ145" s="44" t="s">
        <v>37</v>
      </c>
      <c r="FK145" s="44">
        <v>650743</v>
      </c>
      <c r="FL145" s="44" t="s">
        <v>37</v>
      </c>
      <c r="FM145" s="44">
        <v>334004</v>
      </c>
      <c r="FN145" s="44" t="s">
        <v>37</v>
      </c>
      <c r="FO145" s="44">
        <v>88725</v>
      </c>
      <c r="FP145" s="44" t="s">
        <v>37</v>
      </c>
      <c r="FQ145" s="44">
        <v>132559</v>
      </c>
      <c r="FR145" s="44" t="s">
        <v>37</v>
      </c>
      <c r="FS145" s="44">
        <v>196789</v>
      </c>
      <c r="FT145" s="44" t="s">
        <v>37</v>
      </c>
      <c r="FU145" s="44">
        <v>53566</v>
      </c>
      <c r="FV145" s="44" t="s">
        <v>37</v>
      </c>
      <c r="FW145" s="44">
        <v>76733</v>
      </c>
      <c r="FX145" s="44" t="s">
        <v>37</v>
      </c>
      <c r="FY145" s="44">
        <v>88149</v>
      </c>
      <c r="FZ145" s="44" t="s">
        <v>37</v>
      </c>
      <c r="GA145" s="44">
        <v>191180</v>
      </c>
      <c r="GB145" s="44" t="s">
        <v>37</v>
      </c>
      <c r="GC145" s="44">
        <v>210454</v>
      </c>
      <c r="GD145" s="44" t="s">
        <v>37</v>
      </c>
      <c r="GF145" s="44" t="s">
        <v>37</v>
      </c>
      <c r="GH145" s="44" t="s">
        <v>37</v>
      </c>
      <c r="GJ145" s="44" t="s">
        <v>37</v>
      </c>
      <c r="GK145" s="44">
        <v>473944</v>
      </c>
      <c r="GL145" s="44" t="s">
        <v>37</v>
      </c>
      <c r="GM145" s="44">
        <v>251622</v>
      </c>
      <c r="GN145" s="44" t="s">
        <v>37</v>
      </c>
      <c r="GP145" s="44" t="s">
        <v>37</v>
      </c>
      <c r="GQ145" s="44">
        <v>152127</v>
      </c>
      <c r="GR145" s="44" t="s">
        <v>37</v>
      </c>
      <c r="GS145" s="44">
        <v>901339</v>
      </c>
      <c r="GT145" s="44" t="s">
        <v>37</v>
      </c>
      <c r="GU145" s="44">
        <v>159497</v>
      </c>
      <c r="GV145" s="44" t="s">
        <v>37</v>
      </c>
      <c r="GW145" s="44">
        <v>67215</v>
      </c>
      <c r="GX145" s="44" t="s">
        <v>37</v>
      </c>
      <c r="GY145" s="44">
        <v>155528</v>
      </c>
      <c r="GZ145" s="44" t="s">
        <v>37</v>
      </c>
      <c r="HA145" s="44">
        <v>49890</v>
      </c>
      <c r="HB145" s="44" t="s">
        <v>37</v>
      </c>
      <c r="HD145" s="44" t="s">
        <v>37</v>
      </c>
      <c r="HE145" s="44">
        <v>136097</v>
      </c>
      <c r="HF145" s="44" t="s">
        <v>37</v>
      </c>
      <c r="HG145" s="44">
        <v>17806360</v>
      </c>
      <c r="HH145" s="44" t="s">
        <v>37</v>
      </c>
      <c r="HI145" s="44">
        <v>136097</v>
      </c>
      <c r="HJ145" s="44" t="s">
        <v>37</v>
      </c>
      <c r="HK145" s="44">
        <v>17942457</v>
      </c>
      <c r="HL145" s="44" t="s">
        <v>37</v>
      </c>
    </row>
    <row r="146" spans="1:220">
      <c r="A146" s="150" t="s">
        <v>411</v>
      </c>
      <c r="B146" s="44">
        <v>3323</v>
      </c>
      <c r="C146" s="44" t="s">
        <v>166</v>
      </c>
      <c r="D146" s="44" t="s">
        <v>37</v>
      </c>
      <c r="E146" s="44">
        <v>820110</v>
      </c>
      <c r="F146" s="44" t="s">
        <v>37</v>
      </c>
      <c r="G146" s="44">
        <v>3927172</v>
      </c>
      <c r="H146" s="44" t="s">
        <v>37</v>
      </c>
      <c r="I146" s="44">
        <v>221691</v>
      </c>
      <c r="J146" s="44" t="s">
        <v>37</v>
      </c>
      <c r="L146" s="48" t="s">
        <v>37</v>
      </c>
      <c r="M146" s="51">
        <v>2058720</v>
      </c>
      <c r="N146" s="48" t="s">
        <v>37</v>
      </c>
      <c r="O146" s="51">
        <v>1022221</v>
      </c>
      <c r="P146" s="48" t="s">
        <v>37</v>
      </c>
      <c r="Q146" s="51">
        <v>833873</v>
      </c>
      <c r="R146" s="48" t="s">
        <v>37</v>
      </c>
      <c r="S146" s="51">
        <v>588106</v>
      </c>
      <c r="T146" s="48" t="s">
        <v>37</v>
      </c>
      <c r="U146" s="44">
        <v>3227120</v>
      </c>
      <c r="V146" s="44" t="s">
        <v>37</v>
      </c>
      <c r="X146" s="44" t="s">
        <v>37</v>
      </c>
      <c r="Z146" s="44" t="s">
        <v>37</v>
      </c>
      <c r="AA146" s="44">
        <v>362891</v>
      </c>
      <c r="AB146" s="44" t="s">
        <v>37</v>
      </c>
      <c r="AC146" s="44">
        <v>112301</v>
      </c>
      <c r="AD146" s="44" t="s">
        <v>37</v>
      </c>
      <c r="AE146" s="44">
        <v>190239</v>
      </c>
      <c r="AF146" s="44" t="s">
        <v>37</v>
      </c>
      <c r="AG146" s="44">
        <v>294396</v>
      </c>
      <c r="AH146" s="44" t="s">
        <v>37</v>
      </c>
      <c r="AI146" s="44">
        <v>621194</v>
      </c>
      <c r="AJ146" s="44" t="s">
        <v>37</v>
      </c>
      <c r="AL146" s="44" t="s">
        <v>37</v>
      </c>
      <c r="AM146" s="44">
        <v>94951</v>
      </c>
      <c r="AN146" s="44" t="s">
        <v>37</v>
      </c>
      <c r="AP146" s="44" t="s">
        <v>37</v>
      </c>
      <c r="AQ146" s="44">
        <v>6204966</v>
      </c>
      <c r="AR146" s="44" t="s">
        <v>37</v>
      </c>
      <c r="AS146" s="44">
        <v>100810</v>
      </c>
      <c r="AT146" s="44" t="s">
        <v>37</v>
      </c>
      <c r="AU146" s="44">
        <v>2704515</v>
      </c>
      <c r="AV146" s="44" t="s">
        <v>37</v>
      </c>
      <c r="AW146" s="44">
        <v>1300987</v>
      </c>
      <c r="AX146" s="44" t="s">
        <v>37</v>
      </c>
      <c r="AY146" s="44">
        <v>1210726</v>
      </c>
      <c r="AZ146" s="44" t="s">
        <v>37</v>
      </c>
      <c r="BA146" s="44">
        <v>2425544</v>
      </c>
      <c r="BB146" s="44" t="s">
        <v>37</v>
      </c>
      <c r="BC146" s="44">
        <v>209350</v>
      </c>
      <c r="BD146" s="44" t="s">
        <v>37</v>
      </c>
      <c r="BE146" s="44">
        <v>949301</v>
      </c>
      <c r="BF146" s="44" t="s">
        <v>37</v>
      </c>
      <c r="BG146" s="44">
        <v>300721</v>
      </c>
      <c r="BH146" s="44" t="s">
        <v>37</v>
      </c>
      <c r="BJ146" s="44" t="s">
        <v>37</v>
      </c>
      <c r="BK146" s="44">
        <v>1274563</v>
      </c>
      <c r="BL146" s="44" t="s">
        <v>37</v>
      </c>
      <c r="BM146" s="44">
        <v>3324815</v>
      </c>
      <c r="BN146" s="44" t="s">
        <v>37</v>
      </c>
      <c r="BP146" s="44" t="s">
        <v>37</v>
      </c>
      <c r="BQ146" s="44">
        <v>206175</v>
      </c>
      <c r="BR146" s="44" t="s">
        <v>37</v>
      </c>
      <c r="BS146" s="44">
        <v>288372</v>
      </c>
      <c r="BT146" s="44" t="s">
        <v>37</v>
      </c>
      <c r="BU146" s="44">
        <v>237116</v>
      </c>
      <c r="BV146" s="44" t="s">
        <v>37</v>
      </c>
      <c r="BX146" s="44" t="s">
        <v>37</v>
      </c>
      <c r="BY146" s="44">
        <v>3362589</v>
      </c>
      <c r="BZ146" s="44" t="s">
        <v>37</v>
      </c>
      <c r="CA146" s="44">
        <v>447682</v>
      </c>
      <c r="CB146" s="44" t="s">
        <v>37</v>
      </c>
      <c r="CD146" s="44" t="s">
        <v>37</v>
      </c>
      <c r="CE146" s="44">
        <v>1401496</v>
      </c>
      <c r="CF146" s="44" t="s">
        <v>37</v>
      </c>
      <c r="CG146" s="44">
        <v>535993</v>
      </c>
      <c r="CH146" s="44" t="s">
        <v>37</v>
      </c>
      <c r="CI146" s="44">
        <v>3449328</v>
      </c>
      <c r="CJ146" s="44" t="s">
        <v>37</v>
      </c>
      <c r="CK146" s="44">
        <v>362677</v>
      </c>
      <c r="CL146" s="44" t="s">
        <v>37</v>
      </c>
      <c r="CM146" s="44">
        <v>917828</v>
      </c>
      <c r="CN146" s="44" t="s">
        <v>37</v>
      </c>
      <c r="CO146" s="44">
        <v>175704</v>
      </c>
      <c r="CP146" s="44" t="s">
        <v>37</v>
      </c>
      <c r="CQ146" s="44">
        <v>533335</v>
      </c>
      <c r="CR146" s="44" t="s">
        <v>37</v>
      </c>
      <c r="CS146" s="44">
        <v>1380575</v>
      </c>
      <c r="CT146" s="44" t="s">
        <v>37</v>
      </c>
      <c r="CU146" s="44">
        <v>14981504</v>
      </c>
      <c r="CV146" s="44" t="s">
        <v>37</v>
      </c>
      <c r="CW146" s="44">
        <v>2425867</v>
      </c>
      <c r="CX146" s="44" t="s">
        <v>37</v>
      </c>
      <c r="CY146" s="44">
        <v>446117</v>
      </c>
      <c r="CZ146" s="44" t="s">
        <v>37</v>
      </c>
      <c r="DA146" s="44">
        <v>210419</v>
      </c>
      <c r="DB146" s="44" t="s">
        <v>37</v>
      </c>
      <c r="DD146" s="44" t="s">
        <v>37</v>
      </c>
      <c r="DE146" s="44">
        <v>334062</v>
      </c>
      <c r="DF146" s="44" t="s">
        <v>37</v>
      </c>
      <c r="DG146" s="44">
        <v>374584</v>
      </c>
      <c r="DH146" s="44" t="s">
        <v>37</v>
      </c>
      <c r="DI146" s="44">
        <v>7672324</v>
      </c>
      <c r="DJ146" s="44" t="s">
        <v>37</v>
      </c>
      <c r="DK146" s="44">
        <v>443001</v>
      </c>
      <c r="DL146" s="44" t="s">
        <v>37</v>
      </c>
      <c r="DM146" s="44">
        <v>1817118</v>
      </c>
      <c r="DN146" s="44" t="s">
        <v>37</v>
      </c>
      <c r="DO146" s="44">
        <v>2137592</v>
      </c>
      <c r="DP146" s="44" t="s">
        <v>37</v>
      </c>
      <c r="DQ146" s="44">
        <v>1448954</v>
      </c>
      <c r="DR146" s="44" t="s">
        <v>37</v>
      </c>
      <c r="DS146" s="44">
        <v>852784</v>
      </c>
      <c r="DT146" s="44" t="s">
        <v>37</v>
      </c>
      <c r="DU146" s="44">
        <v>539369</v>
      </c>
      <c r="DV146" s="44" t="s">
        <v>37</v>
      </c>
      <c r="DW146" s="44">
        <v>3305132</v>
      </c>
      <c r="DX146" s="44" t="s">
        <v>37</v>
      </c>
      <c r="DY146" s="44">
        <v>1614159</v>
      </c>
      <c r="DZ146" s="44" t="s">
        <v>37</v>
      </c>
      <c r="EA146" s="44">
        <v>522388</v>
      </c>
      <c r="EB146" s="44" t="s">
        <v>37</v>
      </c>
      <c r="EC146" s="44">
        <v>1108726</v>
      </c>
      <c r="ED146" s="44" t="s">
        <v>37</v>
      </c>
      <c r="EE146" s="44">
        <v>2362926</v>
      </c>
      <c r="EF146" s="44" t="s">
        <v>37</v>
      </c>
      <c r="EG146" s="44">
        <v>117715</v>
      </c>
      <c r="EH146" s="44" t="s">
        <v>37</v>
      </c>
      <c r="EJ146" s="44" t="s">
        <v>37</v>
      </c>
      <c r="EK146" s="44">
        <v>788034</v>
      </c>
      <c r="EL146" s="44" t="s">
        <v>37</v>
      </c>
      <c r="EM146" s="44">
        <v>716345</v>
      </c>
      <c r="EN146" s="44" t="s">
        <v>37</v>
      </c>
      <c r="EO146" s="44">
        <v>133267</v>
      </c>
      <c r="EP146" s="44" t="s">
        <v>37</v>
      </c>
      <c r="ER146" s="44" t="s">
        <v>37</v>
      </c>
      <c r="ES146" s="44">
        <v>1125440</v>
      </c>
      <c r="ET146" s="44" t="s">
        <v>37</v>
      </c>
      <c r="EU146" s="44">
        <v>1655364</v>
      </c>
      <c r="EV146" s="44" t="s">
        <v>37</v>
      </c>
      <c r="EW146" s="44">
        <v>2346189</v>
      </c>
      <c r="EX146" s="44" t="s">
        <v>37</v>
      </c>
      <c r="EZ146" s="44" t="s">
        <v>37</v>
      </c>
      <c r="FA146" s="44">
        <v>462001</v>
      </c>
      <c r="FB146" s="44" t="s">
        <v>37</v>
      </c>
      <c r="FC146" s="44">
        <v>484927</v>
      </c>
      <c r="FD146" s="44" t="s">
        <v>37</v>
      </c>
      <c r="FE146" s="44">
        <v>938005</v>
      </c>
      <c r="FF146" s="44" t="s">
        <v>37</v>
      </c>
      <c r="FH146" s="44" t="s">
        <v>37</v>
      </c>
      <c r="FI146" s="44">
        <v>3562722</v>
      </c>
      <c r="FJ146" s="44" t="s">
        <v>37</v>
      </c>
      <c r="FK146" s="44">
        <v>2962600</v>
      </c>
      <c r="FL146" s="44" t="s">
        <v>37</v>
      </c>
      <c r="FM146" s="44">
        <v>3091714</v>
      </c>
      <c r="FN146" s="44" t="s">
        <v>37</v>
      </c>
      <c r="FO146" s="44">
        <v>362542</v>
      </c>
      <c r="FP146" s="44" t="s">
        <v>37</v>
      </c>
      <c r="FQ146" s="44">
        <v>1414186</v>
      </c>
      <c r="FR146" s="44" t="s">
        <v>37</v>
      </c>
      <c r="FS146" s="44">
        <v>1697554</v>
      </c>
      <c r="FT146" s="44" t="s">
        <v>37</v>
      </c>
      <c r="FU146" s="44">
        <v>740298</v>
      </c>
      <c r="FV146" s="44" t="s">
        <v>37</v>
      </c>
      <c r="FW146" s="44">
        <v>344583</v>
      </c>
      <c r="FX146" s="44" t="s">
        <v>37</v>
      </c>
      <c r="FY146" s="44">
        <v>1411191</v>
      </c>
      <c r="FZ146" s="44" t="s">
        <v>37</v>
      </c>
      <c r="GA146" s="44">
        <v>1615564</v>
      </c>
      <c r="GB146" s="44" t="s">
        <v>37</v>
      </c>
      <c r="GC146" s="44">
        <v>1317326</v>
      </c>
      <c r="GD146" s="44" t="s">
        <v>37</v>
      </c>
      <c r="GF146" s="44" t="s">
        <v>37</v>
      </c>
      <c r="GH146" s="44" t="s">
        <v>37</v>
      </c>
      <c r="GJ146" s="44" t="s">
        <v>37</v>
      </c>
      <c r="GK146" s="44">
        <v>1895914</v>
      </c>
      <c r="GL146" s="44" t="s">
        <v>37</v>
      </c>
      <c r="GM146" s="44">
        <v>1817090</v>
      </c>
      <c r="GN146" s="44" t="s">
        <v>37</v>
      </c>
      <c r="GP146" s="44" t="s">
        <v>37</v>
      </c>
      <c r="GQ146" s="44">
        <v>1754258</v>
      </c>
      <c r="GR146" s="44" t="s">
        <v>37</v>
      </c>
      <c r="GS146" s="44">
        <v>1567150</v>
      </c>
      <c r="GT146" s="44" t="s">
        <v>37</v>
      </c>
      <c r="GU146" s="44">
        <v>1213925</v>
      </c>
      <c r="GV146" s="44" t="s">
        <v>37</v>
      </c>
      <c r="GW146" s="44">
        <v>596155</v>
      </c>
      <c r="GX146" s="44" t="s">
        <v>37</v>
      </c>
      <c r="GY146" s="44">
        <v>4360147</v>
      </c>
      <c r="GZ146" s="44" t="s">
        <v>37</v>
      </c>
      <c r="HA146" s="44">
        <v>1184550</v>
      </c>
      <c r="HB146" s="44" t="s">
        <v>37</v>
      </c>
      <c r="HD146" s="44" t="s">
        <v>37</v>
      </c>
      <c r="HE146" s="44">
        <v>202377</v>
      </c>
      <c r="HF146" s="44" t="s">
        <v>37</v>
      </c>
      <c r="HG146" s="44">
        <v>131953935</v>
      </c>
      <c r="HH146" s="44" t="s">
        <v>37</v>
      </c>
      <c r="HI146" s="44">
        <v>202377</v>
      </c>
      <c r="HJ146" s="44" t="s">
        <v>37</v>
      </c>
      <c r="HK146" s="44">
        <v>132156312</v>
      </c>
      <c r="HL146" s="44" t="s">
        <v>37</v>
      </c>
    </row>
    <row r="147" spans="1:220">
      <c r="A147" s="150" t="s">
        <v>411</v>
      </c>
      <c r="B147" s="44">
        <v>3324</v>
      </c>
      <c r="C147" s="44" t="s">
        <v>167</v>
      </c>
      <c r="D147" s="44" t="s">
        <v>37</v>
      </c>
      <c r="E147" s="44">
        <v>19020</v>
      </c>
      <c r="F147" s="44" t="s">
        <v>37</v>
      </c>
      <c r="G147" s="44">
        <v>141201</v>
      </c>
      <c r="H147" s="44" t="s">
        <v>37</v>
      </c>
      <c r="J147" s="44" t="s">
        <v>37</v>
      </c>
      <c r="L147" s="48" t="s">
        <v>37</v>
      </c>
      <c r="M147" s="51">
        <v>4863</v>
      </c>
      <c r="N147" s="48" t="s">
        <v>37</v>
      </c>
      <c r="O147" s="50">
        <v>547</v>
      </c>
      <c r="P147" s="48" t="s">
        <v>37</v>
      </c>
      <c r="Q147" s="51">
        <v>68309</v>
      </c>
      <c r="R147" s="48" t="s">
        <v>37</v>
      </c>
      <c r="S147" s="51">
        <v>1828</v>
      </c>
      <c r="T147" s="48" t="s">
        <v>37</v>
      </c>
      <c r="U147" s="44">
        <v>97171</v>
      </c>
      <c r="V147" s="44" t="s">
        <v>37</v>
      </c>
      <c r="X147" s="44" t="s">
        <v>37</v>
      </c>
      <c r="Z147" s="44" t="s">
        <v>37</v>
      </c>
      <c r="AB147" s="44" t="s">
        <v>37</v>
      </c>
      <c r="AD147" s="44" t="s">
        <v>37</v>
      </c>
      <c r="AE147" s="44">
        <v>5291</v>
      </c>
      <c r="AF147" s="44" t="s">
        <v>37</v>
      </c>
      <c r="AG147" s="44">
        <v>8933</v>
      </c>
      <c r="AH147" s="44" t="s">
        <v>37</v>
      </c>
      <c r="AI147" s="44">
        <v>5249</v>
      </c>
      <c r="AJ147" s="44" t="s">
        <v>37</v>
      </c>
      <c r="AL147" s="44" t="s">
        <v>37</v>
      </c>
      <c r="AM147" s="44">
        <v>4198</v>
      </c>
      <c r="AN147" s="44" t="s">
        <v>37</v>
      </c>
      <c r="AP147" s="44" t="s">
        <v>37</v>
      </c>
      <c r="AQ147" s="44">
        <v>389461</v>
      </c>
      <c r="AR147" s="44" t="s">
        <v>37</v>
      </c>
      <c r="AS147" s="44">
        <v>7104</v>
      </c>
      <c r="AT147" s="44" t="s">
        <v>37</v>
      </c>
      <c r="AU147" s="44">
        <v>143142</v>
      </c>
      <c r="AV147" s="44" t="s">
        <v>37</v>
      </c>
      <c r="AW147" s="44">
        <v>14071</v>
      </c>
      <c r="AX147" s="44" t="s">
        <v>37</v>
      </c>
      <c r="AY147" s="44">
        <v>52315</v>
      </c>
      <c r="AZ147" s="44" t="s">
        <v>37</v>
      </c>
      <c r="BA147" s="44">
        <v>35746</v>
      </c>
      <c r="BB147" s="44" t="s">
        <v>37</v>
      </c>
      <c r="BD147" s="44" t="s">
        <v>37</v>
      </c>
      <c r="BE147" s="44">
        <v>10108</v>
      </c>
      <c r="BF147" s="44" t="s">
        <v>37</v>
      </c>
      <c r="BH147" s="44" t="s">
        <v>37</v>
      </c>
      <c r="BJ147" s="44" t="s">
        <v>37</v>
      </c>
      <c r="BK147" s="44">
        <v>56698</v>
      </c>
      <c r="BL147" s="44" t="s">
        <v>37</v>
      </c>
      <c r="BM147" s="44">
        <v>168356</v>
      </c>
      <c r="BN147" s="44" t="s">
        <v>37</v>
      </c>
      <c r="BP147" s="44" t="s">
        <v>37</v>
      </c>
      <c r="BR147" s="44" t="s">
        <v>37</v>
      </c>
      <c r="BS147" s="44">
        <v>15543</v>
      </c>
      <c r="BT147" s="44" t="s">
        <v>37</v>
      </c>
      <c r="BU147" s="44">
        <v>5396</v>
      </c>
      <c r="BV147" s="44" t="s">
        <v>37</v>
      </c>
      <c r="BX147" s="44" t="s">
        <v>37</v>
      </c>
      <c r="BY147" s="44">
        <v>46638</v>
      </c>
      <c r="BZ147" s="44" t="s">
        <v>37</v>
      </c>
      <c r="CA147" s="44">
        <v>4435</v>
      </c>
      <c r="CB147" s="44" t="s">
        <v>37</v>
      </c>
      <c r="CD147" s="44" t="s">
        <v>37</v>
      </c>
      <c r="CE147" s="44">
        <v>15054</v>
      </c>
      <c r="CF147" s="44" t="s">
        <v>37</v>
      </c>
      <c r="CG147" s="44">
        <v>34166</v>
      </c>
      <c r="CH147" s="44" t="s">
        <v>37</v>
      </c>
      <c r="CI147" s="44">
        <v>53422</v>
      </c>
      <c r="CJ147" s="44" t="s">
        <v>37</v>
      </c>
      <c r="CK147" s="44">
        <v>10504</v>
      </c>
      <c r="CL147" s="44" t="s">
        <v>37</v>
      </c>
      <c r="CM147" s="44">
        <v>8013</v>
      </c>
      <c r="CN147" s="44" t="s">
        <v>37</v>
      </c>
      <c r="CO147" s="44">
        <v>12371</v>
      </c>
      <c r="CP147" s="44" t="s">
        <v>37</v>
      </c>
      <c r="CQ147" s="44">
        <v>5342</v>
      </c>
      <c r="CR147" s="44" t="s">
        <v>37</v>
      </c>
      <c r="CS147" s="44">
        <v>24767</v>
      </c>
      <c r="CT147" s="44" t="s">
        <v>37</v>
      </c>
      <c r="CU147" s="44">
        <v>185498</v>
      </c>
      <c r="CV147" s="44" t="s">
        <v>37</v>
      </c>
      <c r="CW147" s="44">
        <v>38548</v>
      </c>
      <c r="CX147" s="44" t="s">
        <v>37</v>
      </c>
      <c r="CZ147" s="44" t="s">
        <v>37</v>
      </c>
      <c r="DA147" s="44">
        <v>6564</v>
      </c>
      <c r="DB147" s="44" t="s">
        <v>37</v>
      </c>
      <c r="DD147" s="44" t="s">
        <v>37</v>
      </c>
      <c r="DE147" s="44">
        <v>5266</v>
      </c>
      <c r="DF147" s="44" t="s">
        <v>37</v>
      </c>
      <c r="DH147" s="44" t="s">
        <v>37</v>
      </c>
      <c r="DI147" s="44">
        <v>159179</v>
      </c>
      <c r="DJ147" s="44" t="s">
        <v>37</v>
      </c>
      <c r="DK147" s="44">
        <v>12472</v>
      </c>
      <c r="DL147" s="44" t="s">
        <v>37</v>
      </c>
      <c r="DM147" s="44">
        <v>98576</v>
      </c>
      <c r="DN147" s="44" t="s">
        <v>37</v>
      </c>
      <c r="DO147" s="44">
        <v>118598</v>
      </c>
      <c r="DP147" s="44" t="s">
        <v>37</v>
      </c>
      <c r="DQ147" s="44">
        <v>33955</v>
      </c>
      <c r="DR147" s="44" t="s">
        <v>37</v>
      </c>
      <c r="DS147" s="44">
        <v>20235</v>
      </c>
      <c r="DT147" s="44" t="s">
        <v>37</v>
      </c>
      <c r="DU147" s="44">
        <v>6044</v>
      </c>
      <c r="DV147" s="44" t="s">
        <v>37</v>
      </c>
      <c r="DW147" s="44">
        <v>169555</v>
      </c>
      <c r="DX147" s="44" t="s">
        <v>37</v>
      </c>
      <c r="DY147" s="44">
        <v>25750</v>
      </c>
      <c r="DZ147" s="44" t="s">
        <v>37</v>
      </c>
      <c r="EA147" s="44">
        <v>27261</v>
      </c>
      <c r="EB147" s="44" t="s">
        <v>37</v>
      </c>
      <c r="EC147" s="44">
        <v>10176</v>
      </c>
      <c r="ED147" s="44" t="s">
        <v>37</v>
      </c>
      <c r="EE147" s="44">
        <v>86380</v>
      </c>
      <c r="EF147" s="44" t="s">
        <v>37</v>
      </c>
      <c r="EG147" s="44">
        <v>3287</v>
      </c>
      <c r="EH147" s="44" t="s">
        <v>37</v>
      </c>
      <c r="EJ147" s="44" t="s">
        <v>37</v>
      </c>
      <c r="EK147" s="44">
        <v>20689</v>
      </c>
      <c r="EL147" s="44" t="s">
        <v>37</v>
      </c>
      <c r="EM147" s="44">
        <v>10346</v>
      </c>
      <c r="EN147" s="44" t="s">
        <v>37</v>
      </c>
      <c r="EO147" s="44">
        <v>15597</v>
      </c>
      <c r="EP147" s="44" t="s">
        <v>37</v>
      </c>
      <c r="ER147" s="44" t="s">
        <v>37</v>
      </c>
      <c r="ES147" s="44">
        <v>19734</v>
      </c>
      <c r="ET147" s="44" t="s">
        <v>37</v>
      </c>
      <c r="EU147" s="44">
        <v>30344</v>
      </c>
      <c r="EV147" s="44" t="s">
        <v>37</v>
      </c>
      <c r="EW147" s="44">
        <v>61635</v>
      </c>
      <c r="EX147" s="44" t="s">
        <v>37</v>
      </c>
      <c r="EZ147" s="44" t="s">
        <v>37</v>
      </c>
      <c r="FB147" s="44" t="s">
        <v>37</v>
      </c>
      <c r="FC147" s="44">
        <v>34527</v>
      </c>
      <c r="FD147" s="44" t="s">
        <v>37</v>
      </c>
      <c r="FE147" s="44">
        <v>42324</v>
      </c>
      <c r="FF147" s="44" t="s">
        <v>37</v>
      </c>
      <c r="FH147" s="44" t="s">
        <v>37</v>
      </c>
      <c r="FI147" s="44">
        <v>110732</v>
      </c>
      <c r="FJ147" s="44" t="s">
        <v>37</v>
      </c>
      <c r="FK147" s="44">
        <v>305611</v>
      </c>
      <c r="FL147" s="44" t="s">
        <v>37</v>
      </c>
      <c r="FM147" s="44">
        <v>257254</v>
      </c>
      <c r="FN147" s="44" t="s">
        <v>37</v>
      </c>
      <c r="FO147" s="44">
        <v>7737</v>
      </c>
      <c r="FP147" s="44" t="s">
        <v>37</v>
      </c>
      <c r="FQ147" s="44">
        <v>39325</v>
      </c>
      <c r="FR147" s="44" t="s">
        <v>37</v>
      </c>
      <c r="FS147" s="44">
        <v>99722</v>
      </c>
      <c r="FT147" s="44" t="s">
        <v>37</v>
      </c>
      <c r="FU147" s="44">
        <v>40139</v>
      </c>
      <c r="FV147" s="44" t="s">
        <v>37</v>
      </c>
      <c r="FW147" s="44">
        <v>24538</v>
      </c>
      <c r="FX147" s="44" t="s">
        <v>37</v>
      </c>
      <c r="FY147" s="44">
        <v>34858</v>
      </c>
      <c r="FZ147" s="44" t="s">
        <v>37</v>
      </c>
      <c r="GA147" s="44">
        <v>84748</v>
      </c>
      <c r="GB147" s="44" t="s">
        <v>37</v>
      </c>
      <c r="GC147" s="44">
        <v>42142</v>
      </c>
      <c r="GD147" s="44" t="s">
        <v>37</v>
      </c>
      <c r="GF147" s="44" t="s">
        <v>37</v>
      </c>
      <c r="GH147" s="44" t="s">
        <v>37</v>
      </c>
      <c r="GJ147" s="44" t="s">
        <v>37</v>
      </c>
      <c r="GK147" s="44">
        <v>60947</v>
      </c>
      <c r="GL147" s="44" t="s">
        <v>37</v>
      </c>
      <c r="GM147" s="44">
        <v>73226</v>
      </c>
      <c r="GN147" s="44" t="s">
        <v>37</v>
      </c>
      <c r="GP147" s="44" t="s">
        <v>37</v>
      </c>
      <c r="GQ147" s="44">
        <v>70086</v>
      </c>
      <c r="GR147" s="44" t="s">
        <v>37</v>
      </c>
      <c r="GS147" s="44">
        <v>2518</v>
      </c>
      <c r="GT147" s="44" t="s">
        <v>37</v>
      </c>
      <c r="GU147" s="44">
        <v>9861</v>
      </c>
      <c r="GV147" s="44" t="s">
        <v>37</v>
      </c>
      <c r="GW147" s="44">
        <v>15470</v>
      </c>
      <c r="GX147" s="44" t="s">
        <v>37</v>
      </c>
      <c r="GY147" s="44">
        <v>134769</v>
      </c>
      <c r="GZ147" s="44" t="s">
        <v>37</v>
      </c>
      <c r="HA147" s="44">
        <v>67468</v>
      </c>
      <c r="HB147" s="44" t="s">
        <v>37</v>
      </c>
      <c r="HD147" s="44" t="s">
        <v>37</v>
      </c>
      <c r="HF147" s="44" t="s">
        <v>37</v>
      </c>
      <c r="HG147" s="44">
        <v>4192953</v>
      </c>
      <c r="HH147" s="44" t="s">
        <v>37</v>
      </c>
      <c r="HJ147" s="44" t="s">
        <v>37</v>
      </c>
      <c r="HK147" s="44">
        <v>4192953</v>
      </c>
      <c r="HL147" s="44" t="s">
        <v>37</v>
      </c>
    </row>
    <row r="148" spans="1:220">
      <c r="A148" s="150" t="s">
        <v>411</v>
      </c>
      <c r="B148" s="44">
        <v>3325</v>
      </c>
      <c r="C148" s="44" t="s">
        <v>168</v>
      </c>
      <c r="D148" s="44" t="s">
        <v>37</v>
      </c>
      <c r="E148" s="44">
        <v>19508</v>
      </c>
      <c r="F148" s="44" t="s">
        <v>37</v>
      </c>
      <c r="G148" s="44">
        <v>89919</v>
      </c>
      <c r="H148" s="44" t="s">
        <v>37</v>
      </c>
      <c r="I148" s="44">
        <v>9901</v>
      </c>
      <c r="J148" s="44" t="s">
        <v>37</v>
      </c>
      <c r="L148" s="48" t="s">
        <v>37</v>
      </c>
      <c r="M148" s="51">
        <v>4863</v>
      </c>
      <c r="N148" s="48" t="s">
        <v>37</v>
      </c>
      <c r="O148" s="51">
        <v>34542</v>
      </c>
      <c r="P148" s="48" t="s">
        <v>37</v>
      </c>
      <c r="Q148" s="51">
        <v>16644</v>
      </c>
      <c r="R148" s="48" t="s">
        <v>37</v>
      </c>
      <c r="S148" s="51">
        <v>5297</v>
      </c>
      <c r="T148" s="48" t="s">
        <v>37</v>
      </c>
      <c r="U148" s="44">
        <v>59100</v>
      </c>
      <c r="V148" s="44" t="s">
        <v>37</v>
      </c>
      <c r="X148" s="44" t="s">
        <v>37</v>
      </c>
      <c r="Z148" s="44" t="s">
        <v>37</v>
      </c>
      <c r="AA148" s="44">
        <v>5320</v>
      </c>
      <c r="AB148" s="44" t="s">
        <v>37</v>
      </c>
      <c r="AC148" s="44">
        <v>5058</v>
      </c>
      <c r="AD148" s="44" t="s">
        <v>37</v>
      </c>
      <c r="AF148" s="44" t="s">
        <v>37</v>
      </c>
      <c r="AH148" s="44" t="s">
        <v>37</v>
      </c>
      <c r="AI148" s="44">
        <v>13122</v>
      </c>
      <c r="AJ148" s="44" t="s">
        <v>37</v>
      </c>
      <c r="AL148" s="44" t="s">
        <v>37</v>
      </c>
      <c r="AM148" s="44">
        <v>1542</v>
      </c>
      <c r="AN148" s="44" t="s">
        <v>37</v>
      </c>
      <c r="AP148" s="44" t="s">
        <v>37</v>
      </c>
      <c r="AQ148" s="44">
        <v>106925</v>
      </c>
      <c r="AR148" s="44" t="s">
        <v>37</v>
      </c>
      <c r="AS148" s="44">
        <v>3334</v>
      </c>
      <c r="AT148" s="44" t="s">
        <v>37</v>
      </c>
      <c r="AU148" s="44">
        <v>50363</v>
      </c>
      <c r="AV148" s="44" t="s">
        <v>37</v>
      </c>
      <c r="AW148" s="44">
        <v>34614</v>
      </c>
      <c r="AX148" s="44" t="s">
        <v>37</v>
      </c>
      <c r="AY148" s="44">
        <v>32406</v>
      </c>
      <c r="AZ148" s="44" t="s">
        <v>37</v>
      </c>
      <c r="BA148" s="44">
        <v>5020</v>
      </c>
      <c r="BB148" s="44" t="s">
        <v>37</v>
      </c>
      <c r="BC148" s="44">
        <v>3960</v>
      </c>
      <c r="BD148" s="44" t="s">
        <v>37</v>
      </c>
      <c r="BE148" s="44">
        <v>10108</v>
      </c>
      <c r="BF148" s="44" t="s">
        <v>37</v>
      </c>
      <c r="BG148" s="44">
        <v>5612</v>
      </c>
      <c r="BH148" s="44" t="s">
        <v>37</v>
      </c>
      <c r="BJ148" s="44" t="s">
        <v>37</v>
      </c>
      <c r="BK148" s="44">
        <v>49508</v>
      </c>
      <c r="BL148" s="44" t="s">
        <v>37</v>
      </c>
      <c r="BM148" s="44">
        <v>51911</v>
      </c>
      <c r="BN148" s="44" t="s">
        <v>37</v>
      </c>
      <c r="BP148" s="44" t="s">
        <v>37</v>
      </c>
      <c r="BQ148" s="44">
        <v>10698</v>
      </c>
      <c r="BR148" s="44" t="s">
        <v>37</v>
      </c>
      <c r="BS148" s="44">
        <v>5181</v>
      </c>
      <c r="BT148" s="44" t="s">
        <v>37</v>
      </c>
      <c r="BU148" s="44">
        <v>5396</v>
      </c>
      <c r="BV148" s="44" t="s">
        <v>37</v>
      </c>
      <c r="BX148" s="44" t="s">
        <v>37</v>
      </c>
      <c r="BY148" s="44">
        <v>16539</v>
      </c>
      <c r="BZ148" s="44" t="s">
        <v>37</v>
      </c>
      <c r="CA148" s="44">
        <v>12418</v>
      </c>
      <c r="CB148" s="44" t="s">
        <v>37</v>
      </c>
      <c r="CD148" s="44" t="s">
        <v>37</v>
      </c>
      <c r="CE148" s="44">
        <v>30109</v>
      </c>
      <c r="CF148" s="44" t="s">
        <v>37</v>
      </c>
      <c r="CG148" s="44">
        <v>29041</v>
      </c>
      <c r="CH148" s="44" t="s">
        <v>37</v>
      </c>
      <c r="CI148" s="44">
        <v>76279</v>
      </c>
      <c r="CJ148" s="44" t="s">
        <v>37</v>
      </c>
      <c r="CL148" s="44" t="s">
        <v>37</v>
      </c>
      <c r="CM148" s="44">
        <v>19150</v>
      </c>
      <c r="CN148" s="44" t="s">
        <v>37</v>
      </c>
      <c r="CP148" s="44" t="s">
        <v>37</v>
      </c>
      <c r="CR148" s="44" t="s">
        <v>37</v>
      </c>
      <c r="CS148" s="44">
        <v>17646</v>
      </c>
      <c r="CT148" s="44" t="s">
        <v>37</v>
      </c>
      <c r="CU148" s="44">
        <v>55974</v>
      </c>
      <c r="CV148" s="44" t="s">
        <v>37</v>
      </c>
      <c r="CW148" s="44">
        <v>4628</v>
      </c>
      <c r="CX148" s="44" t="s">
        <v>37</v>
      </c>
      <c r="CY148" s="44">
        <v>5136</v>
      </c>
      <c r="CZ148" s="44" t="s">
        <v>37</v>
      </c>
      <c r="DA148" s="44">
        <v>2757</v>
      </c>
      <c r="DB148" s="44" t="s">
        <v>37</v>
      </c>
      <c r="DD148" s="44" t="s">
        <v>37</v>
      </c>
      <c r="DE148" s="44">
        <v>1106</v>
      </c>
      <c r="DF148" s="44" t="s">
        <v>37</v>
      </c>
      <c r="DH148" s="44" t="s">
        <v>37</v>
      </c>
      <c r="DI148" s="44">
        <v>88254</v>
      </c>
      <c r="DJ148" s="44" t="s">
        <v>37</v>
      </c>
      <c r="DK148" s="44">
        <v>3991</v>
      </c>
      <c r="DL148" s="44" t="s">
        <v>37</v>
      </c>
      <c r="DM148" s="44">
        <v>45085</v>
      </c>
      <c r="DN148" s="44" t="s">
        <v>37</v>
      </c>
      <c r="DO148" s="44">
        <v>81561</v>
      </c>
      <c r="DP148" s="44" t="s">
        <v>37</v>
      </c>
      <c r="DQ148" s="44">
        <v>9914</v>
      </c>
      <c r="DR148" s="44" t="s">
        <v>37</v>
      </c>
      <c r="DS148" s="44">
        <v>6222</v>
      </c>
      <c r="DT148" s="44" t="s">
        <v>37</v>
      </c>
      <c r="DV148" s="44" t="s">
        <v>37</v>
      </c>
      <c r="DW148" s="44">
        <v>122258</v>
      </c>
      <c r="DX148" s="44" t="s">
        <v>37</v>
      </c>
      <c r="DY148" s="44">
        <v>28747</v>
      </c>
      <c r="DZ148" s="44" t="s">
        <v>37</v>
      </c>
      <c r="EA148" s="44">
        <v>9175</v>
      </c>
      <c r="EB148" s="44" t="s">
        <v>37</v>
      </c>
      <c r="EC148" s="44">
        <v>16413</v>
      </c>
      <c r="ED148" s="44" t="s">
        <v>37</v>
      </c>
      <c r="EE148" s="44">
        <v>71024</v>
      </c>
      <c r="EF148" s="44" t="s">
        <v>37</v>
      </c>
      <c r="EH148" s="44" t="s">
        <v>37</v>
      </c>
      <c r="EJ148" s="44" t="s">
        <v>37</v>
      </c>
      <c r="EK148" s="44">
        <v>20482</v>
      </c>
      <c r="EL148" s="44" t="s">
        <v>37</v>
      </c>
      <c r="EM148" s="44">
        <v>828</v>
      </c>
      <c r="EN148" s="44" t="s">
        <v>37</v>
      </c>
      <c r="EO148" s="44">
        <v>1716</v>
      </c>
      <c r="EP148" s="44" t="s">
        <v>37</v>
      </c>
      <c r="ER148" s="44" t="s">
        <v>37</v>
      </c>
      <c r="ES148" s="44">
        <v>5112</v>
      </c>
      <c r="ET148" s="44" t="s">
        <v>37</v>
      </c>
      <c r="EU148" s="44">
        <v>12723</v>
      </c>
      <c r="EV148" s="44" t="s">
        <v>37</v>
      </c>
      <c r="EW148" s="44">
        <v>67549</v>
      </c>
      <c r="EX148" s="44" t="s">
        <v>37</v>
      </c>
      <c r="EZ148" s="44" t="s">
        <v>37</v>
      </c>
      <c r="FA148" s="44">
        <v>4762</v>
      </c>
      <c r="FB148" s="44" t="s">
        <v>37</v>
      </c>
      <c r="FC148" s="44">
        <v>5489</v>
      </c>
      <c r="FD148" s="44" t="s">
        <v>37</v>
      </c>
      <c r="FE148" s="44">
        <v>9112</v>
      </c>
      <c r="FF148" s="44" t="s">
        <v>37</v>
      </c>
      <c r="FH148" s="44" t="s">
        <v>37</v>
      </c>
      <c r="FI148" s="44">
        <v>70400</v>
      </c>
      <c r="FJ148" s="44" t="s">
        <v>37</v>
      </c>
      <c r="FK148" s="44">
        <v>79984</v>
      </c>
      <c r="FL148" s="44" t="s">
        <v>37</v>
      </c>
      <c r="FM148" s="44">
        <v>118811</v>
      </c>
      <c r="FN148" s="44" t="s">
        <v>37</v>
      </c>
      <c r="FO148" s="44">
        <v>9732</v>
      </c>
      <c r="FP148" s="44" t="s">
        <v>37</v>
      </c>
      <c r="FQ148" s="44">
        <v>2556</v>
      </c>
      <c r="FR148" s="44" t="s">
        <v>37</v>
      </c>
      <c r="FS148" s="44">
        <v>17312</v>
      </c>
      <c r="FT148" s="44" t="s">
        <v>37</v>
      </c>
      <c r="FU148" s="44">
        <v>1439</v>
      </c>
      <c r="FV148" s="44" t="s">
        <v>37</v>
      </c>
      <c r="FW148" s="44">
        <v>8953</v>
      </c>
      <c r="FX148" s="44" t="s">
        <v>37</v>
      </c>
      <c r="FY148" s="44">
        <v>5558</v>
      </c>
      <c r="FZ148" s="44" t="s">
        <v>37</v>
      </c>
      <c r="GA148" s="44">
        <v>17582</v>
      </c>
      <c r="GB148" s="44" t="s">
        <v>37</v>
      </c>
      <c r="GC148" s="44">
        <v>5847</v>
      </c>
      <c r="GD148" s="44" t="s">
        <v>37</v>
      </c>
      <c r="GF148" s="44" t="s">
        <v>37</v>
      </c>
      <c r="GH148" s="44" t="s">
        <v>37</v>
      </c>
      <c r="GJ148" s="44" t="s">
        <v>37</v>
      </c>
      <c r="GK148" s="44">
        <v>9577</v>
      </c>
      <c r="GL148" s="44" t="s">
        <v>37</v>
      </c>
      <c r="GM148" s="44">
        <v>24856</v>
      </c>
      <c r="GN148" s="44" t="s">
        <v>37</v>
      </c>
      <c r="GP148" s="44" t="s">
        <v>37</v>
      </c>
      <c r="GQ148" s="44">
        <v>8488</v>
      </c>
      <c r="GR148" s="44" t="s">
        <v>37</v>
      </c>
      <c r="GS148" s="44">
        <v>11631</v>
      </c>
      <c r="GT148" s="44" t="s">
        <v>37</v>
      </c>
      <c r="GU148" s="44">
        <v>7299</v>
      </c>
      <c r="GV148" s="44" t="s">
        <v>37</v>
      </c>
      <c r="GW148" s="44">
        <v>8817</v>
      </c>
      <c r="GX148" s="44" t="s">
        <v>37</v>
      </c>
      <c r="GY148" s="44">
        <v>87687</v>
      </c>
      <c r="GZ148" s="44" t="s">
        <v>37</v>
      </c>
      <c r="HA148" s="44">
        <v>18296</v>
      </c>
      <c r="HB148" s="44" t="s">
        <v>37</v>
      </c>
      <c r="HD148" s="44" t="s">
        <v>37</v>
      </c>
      <c r="HF148" s="44" t="s">
        <v>37</v>
      </c>
      <c r="HG148" s="44">
        <v>2035877</v>
      </c>
      <c r="HH148" s="44" t="s">
        <v>37</v>
      </c>
      <c r="HJ148" s="44" t="s">
        <v>37</v>
      </c>
      <c r="HK148" s="44">
        <v>2035877</v>
      </c>
      <c r="HL148" s="44" t="s">
        <v>37</v>
      </c>
    </row>
    <row r="149" spans="1:220">
      <c r="A149" s="150" t="s">
        <v>411</v>
      </c>
      <c r="B149" s="44">
        <v>3326</v>
      </c>
      <c r="C149" s="44" t="s">
        <v>169</v>
      </c>
      <c r="D149" s="44" t="s">
        <v>37</v>
      </c>
      <c r="E149" s="44">
        <v>7743</v>
      </c>
      <c r="F149" s="44" t="s">
        <v>37</v>
      </c>
      <c r="G149" s="44">
        <v>100266</v>
      </c>
      <c r="H149" s="44" t="s">
        <v>37</v>
      </c>
      <c r="I149" s="44">
        <v>4930</v>
      </c>
      <c r="J149" s="44" t="s">
        <v>37</v>
      </c>
      <c r="L149" s="48" t="s">
        <v>37</v>
      </c>
      <c r="M149" s="51">
        <v>69479</v>
      </c>
      <c r="N149" s="48" t="s">
        <v>37</v>
      </c>
      <c r="O149" s="51">
        <v>28418</v>
      </c>
      <c r="P149" s="48" t="s">
        <v>37</v>
      </c>
      <c r="Q149" s="51">
        <v>3932</v>
      </c>
      <c r="R149" s="48" t="s">
        <v>37</v>
      </c>
      <c r="S149" s="51">
        <v>22180</v>
      </c>
      <c r="T149" s="48" t="s">
        <v>37</v>
      </c>
      <c r="U149" s="44">
        <v>84651</v>
      </c>
      <c r="V149" s="44" t="s">
        <v>37</v>
      </c>
      <c r="X149" s="44" t="s">
        <v>37</v>
      </c>
      <c r="Z149" s="44" t="s">
        <v>37</v>
      </c>
      <c r="AA149" s="44">
        <v>8446</v>
      </c>
      <c r="AB149" s="44" t="s">
        <v>37</v>
      </c>
      <c r="AC149" s="44">
        <v>11964</v>
      </c>
      <c r="AD149" s="44" t="s">
        <v>37</v>
      </c>
      <c r="AF149" s="44" t="s">
        <v>37</v>
      </c>
      <c r="AG149" s="44">
        <v>1531</v>
      </c>
      <c r="AH149" s="44" t="s">
        <v>37</v>
      </c>
      <c r="AI149" s="44">
        <v>29413</v>
      </c>
      <c r="AJ149" s="44" t="s">
        <v>37</v>
      </c>
      <c r="AL149" s="44" t="s">
        <v>37</v>
      </c>
      <c r="AM149" s="44">
        <v>3739</v>
      </c>
      <c r="AN149" s="44" t="s">
        <v>37</v>
      </c>
      <c r="AP149" s="44" t="s">
        <v>37</v>
      </c>
      <c r="AQ149" s="44">
        <v>154516</v>
      </c>
      <c r="AR149" s="44" t="s">
        <v>37</v>
      </c>
      <c r="AS149" s="44">
        <v>7001</v>
      </c>
      <c r="AT149" s="44" t="s">
        <v>37</v>
      </c>
      <c r="AU149" s="44">
        <v>159840</v>
      </c>
      <c r="AV149" s="44" t="s">
        <v>37</v>
      </c>
      <c r="AW149" s="44">
        <v>23902</v>
      </c>
      <c r="AX149" s="44" t="s">
        <v>37</v>
      </c>
      <c r="AY149" s="44">
        <v>32383</v>
      </c>
      <c r="AZ149" s="44" t="s">
        <v>37</v>
      </c>
      <c r="BA149" s="44">
        <v>46227</v>
      </c>
      <c r="BB149" s="44" t="s">
        <v>37</v>
      </c>
      <c r="BC149" s="44">
        <v>6359</v>
      </c>
      <c r="BD149" s="44" t="s">
        <v>37</v>
      </c>
      <c r="BF149" s="44" t="s">
        <v>37</v>
      </c>
      <c r="BG149" s="44">
        <v>3712</v>
      </c>
      <c r="BH149" s="44" t="s">
        <v>37</v>
      </c>
      <c r="BJ149" s="44" t="s">
        <v>37</v>
      </c>
      <c r="BK149" s="44">
        <v>28719</v>
      </c>
      <c r="BL149" s="44" t="s">
        <v>37</v>
      </c>
      <c r="BM149" s="44">
        <v>33850</v>
      </c>
      <c r="BN149" s="44" t="s">
        <v>37</v>
      </c>
      <c r="BP149" s="44" t="s">
        <v>37</v>
      </c>
      <c r="BQ149" s="44">
        <v>6794</v>
      </c>
      <c r="BR149" s="44" t="s">
        <v>37</v>
      </c>
      <c r="BT149" s="44" t="s">
        <v>37</v>
      </c>
      <c r="BU149" s="44">
        <v>21118</v>
      </c>
      <c r="BV149" s="44" t="s">
        <v>37</v>
      </c>
      <c r="BX149" s="44" t="s">
        <v>37</v>
      </c>
      <c r="BY149" s="44">
        <v>86063</v>
      </c>
      <c r="BZ149" s="44" t="s">
        <v>37</v>
      </c>
      <c r="CA149" s="44">
        <v>9540</v>
      </c>
      <c r="CB149" s="44" t="s">
        <v>37</v>
      </c>
      <c r="CD149" s="44" t="s">
        <v>37</v>
      </c>
      <c r="CE149" s="44">
        <v>3983</v>
      </c>
      <c r="CF149" s="44" t="s">
        <v>37</v>
      </c>
      <c r="CG149" s="44">
        <v>16272</v>
      </c>
      <c r="CH149" s="44" t="s">
        <v>37</v>
      </c>
      <c r="CI149" s="44">
        <v>163753</v>
      </c>
      <c r="CJ149" s="44" t="s">
        <v>37</v>
      </c>
      <c r="CK149" s="44">
        <v>4169</v>
      </c>
      <c r="CL149" s="44" t="s">
        <v>37</v>
      </c>
      <c r="CM149" s="44">
        <v>19001</v>
      </c>
      <c r="CN149" s="44" t="s">
        <v>37</v>
      </c>
      <c r="CO149" s="44">
        <v>6205</v>
      </c>
      <c r="CP149" s="44" t="s">
        <v>37</v>
      </c>
      <c r="CQ149" s="44">
        <v>8184</v>
      </c>
      <c r="CR149" s="44" t="s">
        <v>37</v>
      </c>
      <c r="CS149" s="44">
        <v>27768</v>
      </c>
      <c r="CT149" s="44" t="s">
        <v>37</v>
      </c>
      <c r="CU149" s="44">
        <v>348788</v>
      </c>
      <c r="CV149" s="44" t="s">
        <v>37</v>
      </c>
      <c r="CW149" s="44">
        <v>58626</v>
      </c>
      <c r="CX149" s="44" t="s">
        <v>37</v>
      </c>
      <c r="CY149" s="44">
        <v>11701</v>
      </c>
      <c r="CZ149" s="44" t="s">
        <v>37</v>
      </c>
      <c r="DA149" s="44">
        <v>3465</v>
      </c>
      <c r="DB149" s="44" t="s">
        <v>37</v>
      </c>
      <c r="DD149" s="44" t="s">
        <v>37</v>
      </c>
      <c r="DE149" s="44">
        <v>19646</v>
      </c>
      <c r="DF149" s="44" t="s">
        <v>37</v>
      </c>
      <c r="DH149" s="44" t="s">
        <v>37</v>
      </c>
      <c r="DI149" s="44">
        <v>129533</v>
      </c>
      <c r="DJ149" s="44" t="s">
        <v>37</v>
      </c>
      <c r="DK149" s="44">
        <v>9042</v>
      </c>
      <c r="DL149" s="44" t="s">
        <v>37</v>
      </c>
      <c r="DM149" s="44">
        <v>42422</v>
      </c>
      <c r="DN149" s="44" t="s">
        <v>37</v>
      </c>
      <c r="DO149" s="44">
        <v>81185</v>
      </c>
      <c r="DP149" s="44" t="s">
        <v>37</v>
      </c>
      <c r="DQ149" s="44">
        <v>42456</v>
      </c>
      <c r="DR149" s="44" t="s">
        <v>37</v>
      </c>
      <c r="DS149" s="44">
        <v>16062</v>
      </c>
      <c r="DT149" s="44" t="s">
        <v>37</v>
      </c>
      <c r="DU149" s="44">
        <v>10806</v>
      </c>
      <c r="DV149" s="44" t="s">
        <v>37</v>
      </c>
      <c r="DW149" s="44">
        <v>78328</v>
      </c>
      <c r="DX149" s="44" t="s">
        <v>37</v>
      </c>
      <c r="DY149" s="44">
        <v>28718</v>
      </c>
      <c r="DZ149" s="44" t="s">
        <v>37</v>
      </c>
      <c r="EA149" s="44">
        <v>3816</v>
      </c>
      <c r="EB149" s="44" t="s">
        <v>37</v>
      </c>
      <c r="EC149" s="44">
        <v>31094</v>
      </c>
      <c r="ED149" s="44" t="s">
        <v>37</v>
      </c>
      <c r="EE149" s="44">
        <v>68422</v>
      </c>
      <c r="EF149" s="44" t="s">
        <v>37</v>
      </c>
      <c r="EG149" s="44">
        <v>2609</v>
      </c>
      <c r="EH149" s="44" t="s">
        <v>37</v>
      </c>
      <c r="EJ149" s="44" t="s">
        <v>37</v>
      </c>
      <c r="EK149" s="44">
        <v>19378</v>
      </c>
      <c r="EL149" s="44" t="s">
        <v>37</v>
      </c>
      <c r="EM149" s="44">
        <v>12740</v>
      </c>
      <c r="EN149" s="44" t="s">
        <v>37</v>
      </c>
      <c r="EP149" s="44" t="s">
        <v>37</v>
      </c>
      <c r="ER149" s="44" t="s">
        <v>37</v>
      </c>
      <c r="ES149" s="44">
        <v>12173</v>
      </c>
      <c r="ET149" s="44" t="s">
        <v>37</v>
      </c>
      <c r="EU149" s="44">
        <v>12157</v>
      </c>
      <c r="EV149" s="44" t="s">
        <v>37</v>
      </c>
      <c r="EW149" s="44">
        <v>51610</v>
      </c>
      <c r="EX149" s="44" t="s">
        <v>37</v>
      </c>
      <c r="EZ149" s="44" t="s">
        <v>37</v>
      </c>
      <c r="FB149" s="44" t="s">
        <v>37</v>
      </c>
      <c r="FC149" s="44">
        <v>11667</v>
      </c>
      <c r="FD149" s="44" t="s">
        <v>37</v>
      </c>
      <c r="FE149" s="44">
        <v>15189</v>
      </c>
      <c r="FF149" s="44" t="s">
        <v>37</v>
      </c>
      <c r="FH149" s="44" t="s">
        <v>37</v>
      </c>
      <c r="FI149" s="44">
        <v>115444</v>
      </c>
      <c r="FJ149" s="44" t="s">
        <v>37</v>
      </c>
      <c r="FK149" s="44">
        <v>109983</v>
      </c>
      <c r="FL149" s="44" t="s">
        <v>37</v>
      </c>
      <c r="FM149" s="44">
        <v>102792</v>
      </c>
      <c r="FN149" s="44" t="s">
        <v>37</v>
      </c>
      <c r="FO149" s="44">
        <v>3863</v>
      </c>
      <c r="FP149" s="44" t="s">
        <v>37</v>
      </c>
      <c r="FQ149" s="44">
        <v>8038</v>
      </c>
      <c r="FR149" s="44" t="s">
        <v>37</v>
      </c>
      <c r="FS149" s="44">
        <v>36580</v>
      </c>
      <c r="FT149" s="44" t="s">
        <v>37</v>
      </c>
      <c r="FU149" s="44">
        <v>19820</v>
      </c>
      <c r="FV149" s="44" t="s">
        <v>37</v>
      </c>
      <c r="FW149" s="44">
        <v>3850</v>
      </c>
      <c r="FX149" s="44" t="s">
        <v>37</v>
      </c>
      <c r="FY149" s="44">
        <v>12391</v>
      </c>
      <c r="FZ149" s="44" t="s">
        <v>37</v>
      </c>
      <c r="GA149" s="44">
        <v>29064</v>
      </c>
      <c r="GB149" s="44" t="s">
        <v>37</v>
      </c>
      <c r="GC149" s="44">
        <v>67727</v>
      </c>
      <c r="GD149" s="44" t="s">
        <v>37</v>
      </c>
      <c r="GF149" s="44" t="s">
        <v>37</v>
      </c>
      <c r="GH149" s="44" t="s">
        <v>37</v>
      </c>
      <c r="GJ149" s="44" t="s">
        <v>37</v>
      </c>
      <c r="GK149" s="44">
        <v>31995</v>
      </c>
      <c r="GL149" s="44" t="s">
        <v>37</v>
      </c>
      <c r="GM149" s="44">
        <v>61992</v>
      </c>
      <c r="GN149" s="44" t="s">
        <v>37</v>
      </c>
      <c r="GP149" s="44" t="s">
        <v>37</v>
      </c>
      <c r="GQ149" s="44">
        <v>24206</v>
      </c>
      <c r="GR149" s="44" t="s">
        <v>37</v>
      </c>
      <c r="GS149" s="44">
        <v>15188</v>
      </c>
      <c r="GT149" s="44" t="s">
        <v>37</v>
      </c>
      <c r="GU149" s="44">
        <v>11888</v>
      </c>
      <c r="GV149" s="44" t="s">
        <v>37</v>
      </c>
      <c r="GW149" s="44">
        <v>27754</v>
      </c>
      <c r="GX149" s="44" t="s">
        <v>37</v>
      </c>
      <c r="GY149" s="44">
        <v>83224</v>
      </c>
      <c r="GZ149" s="44" t="s">
        <v>37</v>
      </c>
      <c r="HA149" s="44">
        <v>44296</v>
      </c>
      <c r="HB149" s="44" t="s">
        <v>37</v>
      </c>
      <c r="HD149" s="44" t="s">
        <v>37</v>
      </c>
      <c r="HE149" s="44">
        <v>6413</v>
      </c>
      <c r="HF149" s="44" t="s">
        <v>37</v>
      </c>
      <c r="HG149" s="44">
        <v>3177779</v>
      </c>
      <c r="HH149" s="44" t="s">
        <v>37</v>
      </c>
      <c r="HI149" s="44">
        <v>6413</v>
      </c>
      <c r="HJ149" s="44" t="s">
        <v>37</v>
      </c>
      <c r="HK149" s="44">
        <v>3184192</v>
      </c>
      <c r="HL149" s="44" t="s">
        <v>37</v>
      </c>
    </row>
    <row r="150" spans="1:220">
      <c r="A150" s="150" t="s">
        <v>411</v>
      </c>
      <c r="B150" s="44">
        <v>3327</v>
      </c>
      <c r="C150" s="44" t="s">
        <v>170</v>
      </c>
      <c r="D150" s="44" t="s">
        <v>37</v>
      </c>
      <c r="E150" s="44">
        <v>1738823</v>
      </c>
      <c r="F150" s="44" t="s">
        <v>37</v>
      </c>
      <c r="G150" s="44">
        <v>8850300</v>
      </c>
      <c r="H150" s="44" t="s">
        <v>37</v>
      </c>
      <c r="I150" s="44">
        <v>332186</v>
      </c>
      <c r="J150" s="44" t="s">
        <v>37</v>
      </c>
      <c r="L150" s="48" t="s">
        <v>37</v>
      </c>
      <c r="M150" s="51">
        <v>3683326</v>
      </c>
      <c r="N150" s="48" t="s">
        <v>37</v>
      </c>
      <c r="O150" s="51">
        <v>1874706</v>
      </c>
      <c r="P150" s="48" t="s">
        <v>37</v>
      </c>
      <c r="Q150" s="51">
        <v>1160970</v>
      </c>
      <c r="R150" s="48" t="s">
        <v>37</v>
      </c>
      <c r="S150" s="51">
        <v>929787</v>
      </c>
      <c r="T150" s="48" t="s">
        <v>37</v>
      </c>
      <c r="U150" s="44">
        <v>2789996</v>
      </c>
      <c r="V150" s="44" t="s">
        <v>37</v>
      </c>
      <c r="X150" s="44" t="s">
        <v>37</v>
      </c>
      <c r="Z150" s="44" t="s">
        <v>37</v>
      </c>
      <c r="AA150" s="44">
        <v>673041</v>
      </c>
      <c r="AB150" s="44" t="s">
        <v>37</v>
      </c>
      <c r="AC150" s="44">
        <v>480557</v>
      </c>
      <c r="AD150" s="44" t="s">
        <v>37</v>
      </c>
      <c r="AE150" s="44">
        <v>471106</v>
      </c>
      <c r="AF150" s="44" t="s">
        <v>37</v>
      </c>
      <c r="AG150" s="44">
        <v>451219</v>
      </c>
      <c r="AH150" s="44" t="s">
        <v>37</v>
      </c>
      <c r="AI150" s="44">
        <v>1364312</v>
      </c>
      <c r="AJ150" s="44" t="s">
        <v>37</v>
      </c>
      <c r="AL150" s="44" t="s">
        <v>37</v>
      </c>
      <c r="AM150" s="44">
        <v>228058</v>
      </c>
      <c r="AN150" s="44" t="s">
        <v>37</v>
      </c>
      <c r="AP150" s="44" t="s">
        <v>37</v>
      </c>
      <c r="AQ150" s="44">
        <v>8031495</v>
      </c>
      <c r="AR150" s="44" t="s">
        <v>37</v>
      </c>
      <c r="AS150" s="44">
        <v>580598</v>
      </c>
      <c r="AT150" s="44" t="s">
        <v>37</v>
      </c>
      <c r="AU150" s="44">
        <v>5541189</v>
      </c>
      <c r="AV150" s="44" t="s">
        <v>37</v>
      </c>
      <c r="AW150" s="44">
        <v>3293378</v>
      </c>
      <c r="AX150" s="44" t="s">
        <v>37</v>
      </c>
      <c r="AY150" s="44">
        <v>1598969</v>
      </c>
      <c r="AZ150" s="44" t="s">
        <v>37</v>
      </c>
      <c r="BA150" s="44">
        <v>4205429</v>
      </c>
      <c r="BB150" s="44" t="s">
        <v>37</v>
      </c>
      <c r="BC150" s="44">
        <v>311883</v>
      </c>
      <c r="BD150" s="44" t="s">
        <v>37</v>
      </c>
      <c r="BE150" s="44">
        <v>1642046</v>
      </c>
      <c r="BF150" s="44" t="s">
        <v>37</v>
      </c>
      <c r="BG150" s="44">
        <v>585805</v>
      </c>
      <c r="BH150" s="44" t="s">
        <v>37</v>
      </c>
      <c r="BJ150" s="44" t="s">
        <v>37</v>
      </c>
      <c r="BK150" s="44">
        <v>1657710</v>
      </c>
      <c r="BL150" s="44" t="s">
        <v>37</v>
      </c>
      <c r="BM150" s="44">
        <v>3850262</v>
      </c>
      <c r="BN150" s="44" t="s">
        <v>37</v>
      </c>
      <c r="BP150" s="44" t="s">
        <v>37</v>
      </c>
      <c r="BQ150" s="44">
        <v>211708</v>
      </c>
      <c r="BR150" s="44" t="s">
        <v>37</v>
      </c>
      <c r="BS150" s="44">
        <v>770550</v>
      </c>
      <c r="BT150" s="44" t="s">
        <v>37</v>
      </c>
      <c r="BU150" s="44">
        <v>766418</v>
      </c>
      <c r="BV150" s="44" t="s">
        <v>37</v>
      </c>
      <c r="BX150" s="44" t="s">
        <v>37</v>
      </c>
      <c r="BY150" s="44">
        <v>7987371</v>
      </c>
      <c r="BZ150" s="44" t="s">
        <v>37</v>
      </c>
      <c r="CA150" s="44">
        <v>636313</v>
      </c>
      <c r="CB150" s="44" t="s">
        <v>37</v>
      </c>
      <c r="CD150" s="44" t="s">
        <v>37</v>
      </c>
      <c r="CE150" s="44">
        <v>1403288</v>
      </c>
      <c r="CF150" s="44" t="s">
        <v>37</v>
      </c>
      <c r="CG150" s="44">
        <v>659249</v>
      </c>
      <c r="CH150" s="44" t="s">
        <v>37</v>
      </c>
      <c r="CI150" s="44">
        <v>4633296</v>
      </c>
      <c r="CJ150" s="44" t="s">
        <v>37</v>
      </c>
      <c r="CK150" s="44">
        <v>691172</v>
      </c>
      <c r="CL150" s="44" t="s">
        <v>37</v>
      </c>
      <c r="CM150" s="44">
        <v>1276378</v>
      </c>
      <c r="CN150" s="44" t="s">
        <v>37</v>
      </c>
      <c r="CO150" s="44">
        <v>316721</v>
      </c>
      <c r="CP150" s="44" t="s">
        <v>37</v>
      </c>
      <c r="CQ150" s="44">
        <v>456732</v>
      </c>
      <c r="CR150" s="44" t="s">
        <v>37</v>
      </c>
      <c r="CS150" s="44">
        <v>2407573</v>
      </c>
      <c r="CT150" s="44" t="s">
        <v>37</v>
      </c>
      <c r="CU150" s="44">
        <v>16970007</v>
      </c>
      <c r="CV150" s="44" t="s">
        <v>37</v>
      </c>
      <c r="CW150" s="44">
        <v>2179197</v>
      </c>
      <c r="CX150" s="44" t="s">
        <v>37</v>
      </c>
      <c r="CY150" s="44">
        <v>584347</v>
      </c>
      <c r="CZ150" s="44" t="s">
        <v>37</v>
      </c>
      <c r="DA150" s="44">
        <v>553084</v>
      </c>
      <c r="DB150" s="44" t="s">
        <v>37</v>
      </c>
      <c r="DD150" s="44" t="s">
        <v>37</v>
      </c>
      <c r="DE150" s="44">
        <v>1582028</v>
      </c>
      <c r="DF150" s="44" t="s">
        <v>37</v>
      </c>
      <c r="DG150" s="44">
        <v>758072</v>
      </c>
      <c r="DH150" s="44" t="s">
        <v>37</v>
      </c>
      <c r="DI150" s="44">
        <v>5991248</v>
      </c>
      <c r="DJ150" s="44" t="s">
        <v>37</v>
      </c>
      <c r="DK150" s="44">
        <v>1282531</v>
      </c>
      <c r="DL150" s="44" t="s">
        <v>37</v>
      </c>
      <c r="DM150" s="44">
        <v>3339646</v>
      </c>
      <c r="DN150" s="44" t="s">
        <v>37</v>
      </c>
      <c r="DO150" s="44">
        <v>2023291</v>
      </c>
      <c r="DP150" s="44" t="s">
        <v>37</v>
      </c>
      <c r="DQ150" s="44">
        <v>2487283</v>
      </c>
      <c r="DR150" s="44" t="s">
        <v>37</v>
      </c>
      <c r="DS150" s="44">
        <v>730072</v>
      </c>
      <c r="DT150" s="44" t="s">
        <v>37</v>
      </c>
      <c r="DU150" s="44">
        <v>1279900</v>
      </c>
      <c r="DV150" s="44" t="s">
        <v>37</v>
      </c>
      <c r="DW150" s="44">
        <v>7158241</v>
      </c>
      <c r="DX150" s="44" t="s">
        <v>37</v>
      </c>
      <c r="DY150" s="44">
        <v>3253912</v>
      </c>
      <c r="DZ150" s="44" t="s">
        <v>37</v>
      </c>
      <c r="EA150" s="44">
        <v>723437</v>
      </c>
      <c r="EB150" s="44" t="s">
        <v>37</v>
      </c>
      <c r="EC150" s="44">
        <v>1253672</v>
      </c>
      <c r="ED150" s="44" t="s">
        <v>37</v>
      </c>
      <c r="EE150" s="44">
        <v>7551785</v>
      </c>
      <c r="EF150" s="44" t="s">
        <v>37</v>
      </c>
      <c r="EG150" s="44">
        <v>215168</v>
      </c>
      <c r="EH150" s="44" t="s">
        <v>37</v>
      </c>
      <c r="EJ150" s="44" t="s">
        <v>37</v>
      </c>
      <c r="EK150" s="44">
        <v>741454</v>
      </c>
      <c r="EL150" s="44" t="s">
        <v>37</v>
      </c>
      <c r="EM150" s="44">
        <v>697699</v>
      </c>
      <c r="EN150" s="44" t="s">
        <v>37</v>
      </c>
      <c r="EO150" s="44">
        <v>341004</v>
      </c>
      <c r="EP150" s="44" t="s">
        <v>37</v>
      </c>
      <c r="ER150" s="44" t="s">
        <v>37</v>
      </c>
      <c r="ES150" s="44">
        <v>2325753</v>
      </c>
      <c r="ET150" s="44" t="s">
        <v>37</v>
      </c>
      <c r="EU150" s="44">
        <v>1803042</v>
      </c>
      <c r="EV150" s="44" t="s">
        <v>37</v>
      </c>
      <c r="EW150" s="44">
        <v>2733665</v>
      </c>
      <c r="EX150" s="44" t="s">
        <v>37</v>
      </c>
      <c r="EZ150" s="44" t="s">
        <v>37</v>
      </c>
      <c r="FA150" s="44">
        <v>1504283</v>
      </c>
      <c r="FB150" s="44" t="s">
        <v>37</v>
      </c>
      <c r="FC150" s="44">
        <v>1852935</v>
      </c>
      <c r="FD150" s="44" t="s">
        <v>37</v>
      </c>
      <c r="FE150" s="44">
        <v>2572701</v>
      </c>
      <c r="FF150" s="44" t="s">
        <v>37</v>
      </c>
      <c r="FH150" s="44" t="s">
        <v>37</v>
      </c>
      <c r="FI150" s="44">
        <v>4755267</v>
      </c>
      <c r="FJ150" s="44" t="s">
        <v>37</v>
      </c>
      <c r="FK150" s="44">
        <v>7223280</v>
      </c>
      <c r="FL150" s="44" t="s">
        <v>37</v>
      </c>
      <c r="FM150" s="44">
        <v>8253692</v>
      </c>
      <c r="FN150" s="44" t="s">
        <v>37</v>
      </c>
      <c r="FO150" s="44">
        <v>644131</v>
      </c>
      <c r="FP150" s="44" t="s">
        <v>37</v>
      </c>
      <c r="FQ150" s="44">
        <v>2412280</v>
      </c>
      <c r="FR150" s="44" t="s">
        <v>37</v>
      </c>
      <c r="FS150" s="44">
        <v>3645145</v>
      </c>
      <c r="FT150" s="44" t="s">
        <v>37</v>
      </c>
      <c r="FU150" s="44">
        <v>787304</v>
      </c>
      <c r="FV150" s="44" t="s">
        <v>37</v>
      </c>
      <c r="FW150" s="44">
        <v>1017804</v>
      </c>
      <c r="FX150" s="44" t="s">
        <v>37</v>
      </c>
      <c r="FY150" s="44">
        <v>1410956</v>
      </c>
      <c r="FZ150" s="44" t="s">
        <v>37</v>
      </c>
      <c r="GA150" s="44">
        <v>2285702</v>
      </c>
      <c r="GB150" s="44" t="s">
        <v>37</v>
      </c>
      <c r="GC150" s="44">
        <v>1871882</v>
      </c>
      <c r="GD150" s="44" t="s">
        <v>37</v>
      </c>
      <c r="GF150" s="44" t="s">
        <v>37</v>
      </c>
      <c r="GH150" s="44" t="s">
        <v>37</v>
      </c>
      <c r="GJ150" s="44" t="s">
        <v>37</v>
      </c>
      <c r="GK150" s="44">
        <v>4209370</v>
      </c>
      <c r="GL150" s="44" t="s">
        <v>37</v>
      </c>
      <c r="GM150" s="44">
        <v>2309583</v>
      </c>
      <c r="GN150" s="44" t="s">
        <v>37</v>
      </c>
      <c r="GP150" s="44" t="s">
        <v>37</v>
      </c>
      <c r="GQ150" s="44">
        <v>2052428</v>
      </c>
      <c r="GR150" s="44" t="s">
        <v>37</v>
      </c>
      <c r="GS150" s="44">
        <v>2821746</v>
      </c>
      <c r="GT150" s="44" t="s">
        <v>37</v>
      </c>
      <c r="GU150" s="44">
        <v>2649094</v>
      </c>
      <c r="GV150" s="44" t="s">
        <v>37</v>
      </c>
      <c r="GW150" s="44">
        <v>2008645</v>
      </c>
      <c r="GX150" s="44" t="s">
        <v>37</v>
      </c>
      <c r="GY150" s="44">
        <v>4330791</v>
      </c>
      <c r="GZ150" s="44" t="s">
        <v>37</v>
      </c>
      <c r="HA150" s="44">
        <v>3635178</v>
      </c>
      <c r="HB150" s="44" t="s">
        <v>37</v>
      </c>
      <c r="HD150" s="44" t="s">
        <v>37</v>
      </c>
      <c r="HE150" s="44">
        <v>262122</v>
      </c>
      <c r="HF150" s="44" t="s">
        <v>37</v>
      </c>
      <c r="HG150" s="44">
        <v>211357655</v>
      </c>
      <c r="HH150" s="44" t="s">
        <v>37</v>
      </c>
      <c r="HI150" s="44">
        <v>262122</v>
      </c>
      <c r="HJ150" s="44" t="s">
        <v>37</v>
      </c>
      <c r="HK150" s="44">
        <v>211619777</v>
      </c>
      <c r="HL150" s="44" t="s">
        <v>37</v>
      </c>
    </row>
    <row r="151" spans="1:220">
      <c r="A151" s="150" t="s">
        <v>408</v>
      </c>
      <c r="B151" s="54">
        <v>3330</v>
      </c>
      <c r="C151" s="44" t="s">
        <v>171</v>
      </c>
      <c r="D151" s="44" t="s">
        <v>37</v>
      </c>
      <c r="F151" s="44" t="s">
        <v>37</v>
      </c>
      <c r="H151" s="44" t="s">
        <v>37</v>
      </c>
      <c r="J151" s="44" t="s">
        <v>37</v>
      </c>
      <c r="L151" s="48" t="s">
        <v>37</v>
      </c>
      <c r="M151" s="50"/>
      <c r="N151" s="48" t="s">
        <v>37</v>
      </c>
      <c r="O151" s="50"/>
      <c r="P151" s="48" t="s">
        <v>37</v>
      </c>
      <c r="Q151" s="50"/>
      <c r="R151" s="48" t="s">
        <v>37</v>
      </c>
      <c r="S151" s="50"/>
      <c r="T151" s="48" t="s">
        <v>37</v>
      </c>
      <c r="V151" s="44" t="s">
        <v>37</v>
      </c>
      <c r="X151" s="44" t="s">
        <v>37</v>
      </c>
      <c r="Z151" s="44" t="s">
        <v>37</v>
      </c>
      <c r="AB151" s="44" t="s">
        <v>37</v>
      </c>
      <c r="AD151" s="44" t="s">
        <v>37</v>
      </c>
      <c r="AF151" s="44" t="s">
        <v>37</v>
      </c>
      <c r="AH151" s="44" t="s">
        <v>37</v>
      </c>
      <c r="AJ151" s="44" t="s">
        <v>37</v>
      </c>
      <c r="AL151" s="44" t="s">
        <v>37</v>
      </c>
      <c r="AN151" s="44" t="s">
        <v>37</v>
      </c>
      <c r="AP151" s="44" t="s">
        <v>37</v>
      </c>
      <c r="AR151" s="44" t="s">
        <v>37</v>
      </c>
      <c r="AT151" s="44" t="s">
        <v>37</v>
      </c>
      <c r="AV151" s="44" t="s">
        <v>37</v>
      </c>
      <c r="AX151" s="44" t="s">
        <v>37</v>
      </c>
      <c r="AZ151" s="44" t="s">
        <v>37</v>
      </c>
      <c r="BB151" s="44" t="s">
        <v>37</v>
      </c>
      <c r="BD151" s="44" t="s">
        <v>37</v>
      </c>
      <c r="BF151" s="44" t="s">
        <v>37</v>
      </c>
      <c r="BH151" s="44" t="s">
        <v>37</v>
      </c>
      <c r="BJ151" s="44" t="s">
        <v>37</v>
      </c>
      <c r="BL151" s="44" t="s">
        <v>37</v>
      </c>
      <c r="BN151" s="44" t="s">
        <v>37</v>
      </c>
      <c r="BP151" s="44" t="s">
        <v>37</v>
      </c>
      <c r="BR151" s="44" t="s">
        <v>37</v>
      </c>
      <c r="BT151" s="44" t="s">
        <v>37</v>
      </c>
      <c r="BV151" s="44" t="s">
        <v>37</v>
      </c>
      <c r="BX151" s="44" t="s">
        <v>37</v>
      </c>
      <c r="BZ151" s="44" t="s">
        <v>37</v>
      </c>
      <c r="CB151" s="44" t="s">
        <v>37</v>
      </c>
      <c r="CD151" s="44" t="s">
        <v>37</v>
      </c>
      <c r="CF151" s="44" t="s">
        <v>37</v>
      </c>
      <c r="CH151" s="44" t="s">
        <v>37</v>
      </c>
      <c r="CJ151" s="44" t="s">
        <v>37</v>
      </c>
      <c r="CL151" s="44" t="s">
        <v>37</v>
      </c>
      <c r="CN151" s="44" t="s">
        <v>37</v>
      </c>
      <c r="CP151" s="44" t="s">
        <v>37</v>
      </c>
      <c r="CR151" s="44" t="s">
        <v>37</v>
      </c>
      <c r="CT151" s="44" t="s">
        <v>37</v>
      </c>
      <c r="CV151" s="44" t="s">
        <v>37</v>
      </c>
      <c r="CX151" s="44" t="s">
        <v>37</v>
      </c>
      <c r="CZ151" s="44" t="s">
        <v>37</v>
      </c>
      <c r="DB151" s="44" t="s">
        <v>37</v>
      </c>
      <c r="DD151" s="44" t="s">
        <v>37</v>
      </c>
      <c r="DF151" s="44" t="s">
        <v>37</v>
      </c>
      <c r="DH151" s="44" t="s">
        <v>37</v>
      </c>
      <c r="DJ151" s="44" t="s">
        <v>37</v>
      </c>
      <c r="DL151" s="44" t="s">
        <v>37</v>
      </c>
      <c r="DN151" s="44" t="s">
        <v>37</v>
      </c>
      <c r="DP151" s="44" t="s">
        <v>37</v>
      </c>
      <c r="DR151" s="44" t="s">
        <v>37</v>
      </c>
      <c r="DT151" s="44" t="s">
        <v>37</v>
      </c>
      <c r="DV151" s="44" t="s">
        <v>37</v>
      </c>
      <c r="DX151" s="44" t="s">
        <v>37</v>
      </c>
      <c r="DZ151" s="44" t="s">
        <v>37</v>
      </c>
      <c r="EB151" s="44" t="s">
        <v>37</v>
      </c>
      <c r="ED151" s="44" t="s">
        <v>37</v>
      </c>
      <c r="EF151" s="44" t="s">
        <v>37</v>
      </c>
      <c r="EH151" s="44" t="s">
        <v>37</v>
      </c>
      <c r="EJ151" s="44" t="s">
        <v>37</v>
      </c>
      <c r="EL151" s="44" t="s">
        <v>37</v>
      </c>
      <c r="EN151" s="44" t="s">
        <v>37</v>
      </c>
      <c r="EP151" s="44" t="s">
        <v>37</v>
      </c>
      <c r="ER151" s="44" t="s">
        <v>37</v>
      </c>
      <c r="ET151" s="44" t="s">
        <v>37</v>
      </c>
      <c r="EV151" s="44" t="s">
        <v>37</v>
      </c>
      <c r="EX151" s="44" t="s">
        <v>37</v>
      </c>
      <c r="EZ151" s="44" t="s">
        <v>37</v>
      </c>
      <c r="FB151" s="44" t="s">
        <v>37</v>
      </c>
      <c r="FD151" s="44" t="s">
        <v>37</v>
      </c>
      <c r="FF151" s="44" t="s">
        <v>37</v>
      </c>
      <c r="FH151" s="44" t="s">
        <v>37</v>
      </c>
      <c r="FJ151" s="44" t="s">
        <v>37</v>
      </c>
      <c r="FL151" s="44" t="s">
        <v>37</v>
      </c>
      <c r="FN151" s="44" t="s">
        <v>37</v>
      </c>
      <c r="FP151" s="44" t="s">
        <v>37</v>
      </c>
      <c r="FR151" s="44" t="s">
        <v>37</v>
      </c>
      <c r="FT151" s="44" t="s">
        <v>37</v>
      </c>
      <c r="FV151" s="44" t="s">
        <v>37</v>
      </c>
      <c r="FX151" s="44" t="s">
        <v>37</v>
      </c>
      <c r="FZ151" s="44" t="s">
        <v>37</v>
      </c>
      <c r="GB151" s="44" t="s">
        <v>37</v>
      </c>
      <c r="GD151" s="44" t="s">
        <v>37</v>
      </c>
      <c r="GF151" s="44" t="s">
        <v>37</v>
      </c>
      <c r="GH151" s="44" t="s">
        <v>37</v>
      </c>
      <c r="GJ151" s="44" t="s">
        <v>37</v>
      </c>
      <c r="GL151" s="44" t="s">
        <v>37</v>
      </c>
      <c r="GN151" s="44" t="s">
        <v>37</v>
      </c>
      <c r="GP151" s="44" t="s">
        <v>37</v>
      </c>
      <c r="GR151" s="44" t="s">
        <v>37</v>
      </c>
      <c r="GT151" s="44" t="s">
        <v>37</v>
      </c>
      <c r="GV151" s="44" t="s">
        <v>37</v>
      </c>
      <c r="GX151" s="44" t="s">
        <v>37</v>
      </c>
      <c r="GZ151" s="44" t="s">
        <v>37</v>
      </c>
      <c r="HB151" s="44" t="s">
        <v>37</v>
      </c>
      <c r="HD151" s="44" t="s">
        <v>37</v>
      </c>
      <c r="HF151" s="44" t="s">
        <v>37</v>
      </c>
      <c r="HH151" s="44" t="s">
        <v>37</v>
      </c>
      <c r="HJ151" s="44" t="s">
        <v>37</v>
      </c>
      <c r="HL151" s="44" t="s">
        <v>37</v>
      </c>
    </row>
    <row r="152" spans="1:220">
      <c r="A152" s="150" t="s">
        <v>411</v>
      </c>
      <c r="B152" s="44">
        <v>3331</v>
      </c>
      <c r="C152" s="44" t="s">
        <v>172</v>
      </c>
      <c r="D152" s="44" t="s">
        <v>37</v>
      </c>
      <c r="E152" s="44">
        <v>25421</v>
      </c>
      <c r="F152" s="44" t="s">
        <v>37</v>
      </c>
      <c r="G152" s="44">
        <v>443481</v>
      </c>
      <c r="H152" s="44" t="s">
        <v>37</v>
      </c>
      <c r="I152" s="44">
        <v>38212</v>
      </c>
      <c r="J152" s="44" t="s">
        <v>37</v>
      </c>
      <c r="L152" s="48" t="s">
        <v>37</v>
      </c>
      <c r="M152" s="51">
        <v>90448</v>
      </c>
      <c r="N152" s="48" t="s">
        <v>37</v>
      </c>
      <c r="O152" s="51">
        <v>35247</v>
      </c>
      <c r="P152" s="48" t="s">
        <v>37</v>
      </c>
      <c r="Q152" s="51">
        <v>48693</v>
      </c>
      <c r="R152" s="48" t="s">
        <v>37</v>
      </c>
      <c r="S152" s="51">
        <v>8245</v>
      </c>
      <c r="T152" s="48" t="s">
        <v>37</v>
      </c>
      <c r="U152" s="44">
        <v>102247</v>
      </c>
      <c r="V152" s="44" t="s">
        <v>37</v>
      </c>
      <c r="X152" s="44" t="s">
        <v>37</v>
      </c>
      <c r="Z152" s="44" t="s">
        <v>37</v>
      </c>
      <c r="AA152" s="44">
        <v>21280</v>
      </c>
      <c r="AB152" s="44" t="s">
        <v>37</v>
      </c>
      <c r="AC152" s="44">
        <v>14566</v>
      </c>
      <c r="AD152" s="44" t="s">
        <v>37</v>
      </c>
      <c r="AE152" s="44">
        <v>12451</v>
      </c>
      <c r="AF152" s="44" t="s">
        <v>37</v>
      </c>
      <c r="AG152" s="44">
        <v>19541</v>
      </c>
      <c r="AH152" s="44" t="s">
        <v>37</v>
      </c>
      <c r="AI152" s="44">
        <v>29970</v>
      </c>
      <c r="AJ152" s="44" t="s">
        <v>37</v>
      </c>
      <c r="AL152" s="44" t="s">
        <v>37</v>
      </c>
      <c r="AM152" s="44">
        <v>7229</v>
      </c>
      <c r="AN152" s="44" t="s">
        <v>37</v>
      </c>
      <c r="AP152" s="44" t="s">
        <v>37</v>
      </c>
      <c r="AQ152" s="44">
        <v>424992</v>
      </c>
      <c r="AR152" s="44" t="s">
        <v>37</v>
      </c>
      <c r="AS152" s="44">
        <v>22377</v>
      </c>
      <c r="AT152" s="44" t="s">
        <v>37</v>
      </c>
      <c r="AU152" s="44">
        <v>361151</v>
      </c>
      <c r="AV152" s="44" t="s">
        <v>37</v>
      </c>
      <c r="AW152" s="44">
        <v>110457</v>
      </c>
      <c r="AX152" s="44" t="s">
        <v>37</v>
      </c>
      <c r="AY152" s="44">
        <v>56154</v>
      </c>
      <c r="AZ152" s="44" t="s">
        <v>37</v>
      </c>
      <c r="BA152" s="44">
        <v>113463</v>
      </c>
      <c r="BB152" s="44" t="s">
        <v>37</v>
      </c>
      <c r="BC152" s="44">
        <v>3434</v>
      </c>
      <c r="BD152" s="44" t="s">
        <v>37</v>
      </c>
      <c r="BE152" s="44">
        <v>98405</v>
      </c>
      <c r="BF152" s="44" t="s">
        <v>37</v>
      </c>
      <c r="BG152" s="44">
        <v>27329</v>
      </c>
      <c r="BH152" s="44" t="s">
        <v>37</v>
      </c>
      <c r="BJ152" s="44" t="s">
        <v>37</v>
      </c>
      <c r="BK152" s="44">
        <v>118480</v>
      </c>
      <c r="BL152" s="44" t="s">
        <v>37</v>
      </c>
      <c r="BM152" s="44">
        <v>187551</v>
      </c>
      <c r="BN152" s="44" t="s">
        <v>37</v>
      </c>
      <c r="BP152" s="44" t="s">
        <v>37</v>
      </c>
      <c r="BQ152" s="44">
        <v>26745</v>
      </c>
      <c r="BR152" s="44" t="s">
        <v>37</v>
      </c>
      <c r="BS152" s="44">
        <v>70824</v>
      </c>
      <c r="BT152" s="44" t="s">
        <v>37</v>
      </c>
      <c r="BU152" s="44">
        <v>27629</v>
      </c>
      <c r="BV152" s="44" t="s">
        <v>37</v>
      </c>
      <c r="BX152" s="44" t="s">
        <v>37</v>
      </c>
      <c r="BY152" s="44">
        <v>518149</v>
      </c>
      <c r="BZ152" s="44" t="s">
        <v>37</v>
      </c>
      <c r="CA152" s="44">
        <v>30999</v>
      </c>
      <c r="CB152" s="44" t="s">
        <v>37</v>
      </c>
      <c r="CD152" s="44" t="s">
        <v>37</v>
      </c>
      <c r="CE152" s="44">
        <v>35127</v>
      </c>
      <c r="CF152" s="44" t="s">
        <v>37</v>
      </c>
      <c r="CG152" s="44">
        <v>17186</v>
      </c>
      <c r="CH152" s="44" t="s">
        <v>37</v>
      </c>
      <c r="CI152" s="44">
        <v>275633</v>
      </c>
      <c r="CJ152" s="44" t="s">
        <v>37</v>
      </c>
      <c r="CK152" s="44">
        <v>38814</v>
      </c>
      <c r="CL152" s="44" t="s">
        <v>37</v>
      </c>
      <c r="CM152" s="44">
        <v>60777</v>
      </c>
      <c r="CN152" s="44" t="s">
        <v>37</v>
      </c>
      <c r="CO152" s="44">
        <v>18744</v>
      </c>
      <c r="CP152" s="44" t="s">
        <v>37</v>
      </c>
      <c r="CQ152" s="44">
        <v>20942</v>
      </c>
      <c r="CR152" s="44" t="s">
        <v>37</v>
      </c>
      <c r="CS152" s="44">
        <v>82411</v>
      </c>
      <c r="CT152" s="44" t="s">
        <v>37</v>
      </c>
      <c r="CU152" s="44">
        <v>905995</v>
      </c>
      <c r="CV152" s="44" t="s">
        <v>37</v>
      </c>
      <c r="CW152" s="44">
        <v>85611</v>
      </c>
      <c r="CX152" s="44" t="s">
        <v>37</v>
      </c>
      <c r="CY152" s="44">
        <v>2465</v>
      </c>
      <c r="CZ152" s="44" t="s">
        <v>37</v>
      </c>
      <c r="DA152" s="44">
        <v>3282</v>
      </c>
      <c r="DB152" s="44" t="s">
        <v>37</v>
      </c>
      <c r="DD152" s="44" t="s">
        <v>37</v>
      </c>
      <c r="DE152" s="44">
        <v>36703</v>
      </c>
      <c r="DF152" s="44" t="s">
        <v>37</v>
      </c>
      <c r="DH152" s="44" t="s">
        <v>37</v>
      </c>
      <c r="DI152" s="44">
        <v>341269</v>
      </c>
      <c r="DJ152" s="44" t="s">
        <v>37</v>
      </c>
      <c r="DK152" s="44">
        <v>40243</v>
      </c>
      <c r="DL152" s="44" t="s">
        <v>37</v>
      </c>
      <c r="DM152" s="44">
        <v>223754</v>
      </c>
      <c r="DN152" s="44" t="s">
        <v>37</v>
      </c>
      <c r="DO152" s="44">
        <v>155105</v>
      </c>
      <c r="DP152" s="44" t="s">
        <v>37</v>
      </c>
      <c r="DQ152" s="44">
        <v>51652</v>
      </c>
      <c r="DR152" s="44" t="s">
        <v>37</v>
      </c>
      <c r="DS152" s="44">
        <v>27519</v>
      </c>
      <c r="DT152" s="44" t="s">
        <v>37</v>
      </c>
      <c r="DU152" s="44">
        <v>72370</v>
      </c>
      <c r="DV152" s="44" t="s">
        <v>37</v>
      </c>
      <c r="DW152" s="44">
        <v>288550</v>
      </c>
      <c r="DX152" s="44" t="s">
        <v>37</v>
      </c>
      <c r="DY152" s="44">
        <v>162052</v>
      </c>
      <c r="DZ152" s="44" t="s">
        <v>37</v>
      </c>
      <c r="EA152" s="44">
        <v>11346</v>
      </c>
      <c r="EB152" s="44" t="s">
        <v>37</v>
      </c>
      <c r="EC152" s="44">
        <v>49238</v>
      </c>
      <c r="ED152" s="44" t="s">
        <v>37</v>
      </c>
      <c r="EE152" s="44">
        <v>334105</v>
      </c>
      <c r="EF152" s="44" t="s">
        <v>37</v>
      </c>
      <c r="EH152" s="44" t="s">
        <v>37</v>
      </c>
      <c r="EJ152" s="44" t="s">
        <v>37</v>
      </c>
      <c r="EK152" s="44">
        <v>111304</v>
      </c>
      <c r="EL152" s="44" t="s">
        <v>37</v>
      </c>
      <c r="EM152" s="44">
        <v>21984</v>
      </c>
      <c r="EN152" s="44" t="s">
        <v>37</v>
      </c>
      <c r="EO152" s="44">
        <v>10398</v>
      </c>
      <c r="EP152" s="44" t="s">
        <v>37</v>
      </c>
      <c r="ER152" s="44" t="s">
        <v>37</v>
      </c>
      <c r="ES152" s="44">
        <v>56129</v>
      </c>
      <c r="ET152" s="44" t="s">
        <v>37</v>
      </c>
      <c r="EU152" s="44">
        <v>76820</v>
      </c>
      <c r="EV152" s="44" t="s">
        <v>37</v>
      </c>
      <c r="EW152" s="44">
        <v>79409</v>
      </c>
      <c r="EX152" s="44" t="s">
        <v>37</v>
      </c>
      <c r="EZ152" s="44" t="s">
        <v>37</v>
      </c>
      <c r="FA152" s="44">
        <v>12667</v>
      </c>
      <c r="FB152" s="44" t="s">
        <v>37</v>
      </c>
      <c r="FC152" s="44">
        <v>45872</v>
      </c>
      <c r="FD152" s="44" t="s">
        <v>37</v>
      </c>
      <c r="FE152" s="44">
        <v>58771</v>
      </c>
      <c r="FF152" s="44" t="s">
        <v>37</v>
      </c>
      <c r="FH152" s="44" t="s">
        <v>37</v>
      </c>
      <c r="FI152" s="44">
        <v>133688</v>
      </c>
      <c r="FJ152" s="44" t="s">
        <v>37</v>
      </c>
      <c r="FK152" s="44">
        <v>543387</v>
      </c>
      <c r="FL152" s="44" t="s">
        <v>37</v>
      </c>
      <c r="FM152" s="44">
        <v>703048</v>
      </c>
      <c r="FN152" s="44" t="s">
        <v>37</v>
      </c>
      <c r="FO152" s="44">
        <v>19465</v>
      </c>
      <c r="FP152" s="44" t="s">
        <v>37</v>
      </c>
      <c r="FQ152" s="44">
        <v>10814</v>
      </c>
      <c r="FR152" s="44" t="s">
        <v>37</v>
      </c>
      <c r="FS152" s="44">
        <v>52938</v>
      </c>
      <c r="FT152" s="44" t="s">
        <v>37</v>
      </c>
      <c r="FU152" s="44">
        <v>13937</v>
      </c>
      <c r="FV152" s="44" t="s">
        <v>37</v>
      </c>
      <c r="FW152" s="44">
        <v>40125</v>
      </c>
      <c r="FX152" s="44" t="s">
        <v>37</v>
      </c>
      <c r="FY152" s="44">
        <v>70330</v>
      </c>
      <c r="FZ152" s="44" t="s">
        <v>37</v>
      </c>
      <c r="GA152" s="44">
        <v>42506</v>
      </c>
      <c r="GB152" s="44" t="s">
        <v>37</v>
      </c>
      <c r="GC152" s="44">
        <v>191478</v>
      </c>
      <c r="GD152" s="44" t="s">
        <v>37</v>
      </c>
      <c r="GF152" s="44" t="s">
        <v>37</v>
      </c>
      <c r="GH152" s="44" t="s">
        <v>37</v>
      </c>
      <c r="GJ152" s="44" t="s">
        <v>37</v>
      </c>
      <c r="GK152" s="44">
        <v>87579</v>
      </c>
      <c r="GL152" s="44" t="s">
        <v>37</v>
      </c>
      <c r="GM152" s="44">
        <v>137852</v>
      </c>
      <c r="GN152" s="44" t="s">
        <v>37</v>
      </c>
      <c r="GP152" s="44" t="s">
        <v>37</v>
      </c>
      <c r="GQ152" s="44">
        <v>70036</v>
      </c>
      <c r="GR152" s="44" t="s">
        <v>37</v>
      </c>
      <c r="GS152" s="44">
        <v>87309</v>
      </c>
      <c r="GT152" s="44" t="s">
        <v>37</v>
      </c>
      <c r="GU152" s="44">
        <v>45578</v>
      </c>
      <c r="GV152" s="44" t="s">
        <v>37</v>
      </c>
      <c r="GW152" s="44">
        <v>27260</v>
      </c>
      <c r="GX152" s="44" t="s">
        <v>37</v>
      </c>
      <c r="GY152" s="44">
        <v>224121</v>
      </c>
      <c r="GZ152" s="44" t="s">
        <v>37</v>
      </c>
      <c r="HA152" s="44">
        <v>143856</v>
      </c>
      <c r="HB152" s="44" t="s">
        <v>37</v>
      </c>
      <c r="HD152" s="44" t="s">
        <v>37</v>
      </c>
      <c r="HF152" s="44" t="s">
        <v>37</v>
      </c>
      <c r="HG152" s="44">
        <v>9554724</v>
      </c>
      <c r="HH152" s="44" t="s">
        <v>37</v>
      </c>
      <c r="HJ152" s="44" t="s">
        <v>37</v>
      </c>
      <c r="HK152" s="44">
        <v>9554724</v>
      </c>
      <c r="HL152" s="44" t="s">
        <v>37</v>
      </c>
    </row>
    <row r="153" spans="1:220">
      <c r="A153" s="150" t="s">
        <v>411</v>
      </c>
      <c r="B153" s="44">
        <v>3399</v>
      </c>
      <c r="C153" s="44" t="s">
        <v>173</v>
      </c>
      <c r="D153" s="44" t="s">
        <v>37</v>
      </c>
      <c r="F153" s="44" t="s">
        <v>37</v>
      </c>
      <c r="H153" s="44" t="s">
        <v>37</v>
      </c>
      <c r="J153" s="44" t="s">
        <v>37</v>
      </c>
      <c r="L153" s="48" t="s">
        <v>37</v>
      </c>
      <c r="M153" s="50"/>
      <c r="N153" s="48" t="s">
        <v>37</v>
      </c>
      <c r="O153" s="50"/>
      <c r="P153" s="48" t="s">
        <v>37</v>
      </c>
      <c r="Q153" s="50"/>
      <c r="R153" s="48" t="s">
        <v>37</v>
      </c>
      <c r="S153" s="50"/>
      <c r="T153" s="48" t="s">
        <v>37</v>
      </c>
      <c r="V153" s="44" t="s">
        <v>37</v>
      </c>
      <c r="X153" s="44" t="s">
        <v>37</v>
      </c>
      <c r="Z153" s="44" t="s">
        <v>37</v>
      </c>
      <c r="AB153" s="44" t="s">
        <v>37</v>
      </c>
      <c r="AD153" s="44" t="s">
        <v>37</v>
      </c>
      <c r="AF153" s="44" t="s">
        <v>37</v>
      </c>
      <c r="AH153" s="44" t="s">
        <v>37</v>
      </c>
      <c r="AJ153" s="44" t="s">
        <v>37</v>
      </c>
      <c r="AL153" s="44" t="s">
        <v>37</v>
      </c>
      <c r="AN153" s="44" t="s">
        <v>37</v>
      </c>
      <c r="AP153" s="44" t="s">
        <v>37</v>
      </c>
      <c r="AR153" s="44" t="s">
        <v>37</v>
      </c>
      <c r="AT153" s="44" t="s">
        <v>37</v>
      </c>
      <c r="AV153" s="44" t="s">
        <v>37</v>
      </c>
      <c r="AX153" s="44" t="s">
        <v>37</v>
      </c>
      <c r="AY153" s="44">
        <v>27287</v>
      </c>
      <c r="AZ153" s="44" t="s">
        <v>37</v>
      </c>
      <c r="BB153" s="44" t="s">
        <v>37</v>
      </c>
      <c r="BD153" s="44" t="s">
        <v>37</v>
      </c>
      <c r="BF153" s="44" t="s">
        <v>37</v>
      </c>
      <c r="BH153" s="44" t="s">
        <v>37</v>
      </c>
      <c r="BJ153" s="44" t="s">
        <v>37</v>
      </c>
      <c r="BL153" s="44" t="s">
        <v>37</v>
      </c>
      <c r="BN153" s="44" t="s">
        <v>37</v>
      </c>
      <c r="BP153" s="44" t="s">
        <v>37</v>
      </c>
      <c r="BR153" s="44" t="s">
        <v>37</v>
      </c>
      <c r="BT153" s="44" t="s">
        <v>37</v>
      </c>
      <c r="BV153" s="44" t="s">
        <v>37</v>
      </c>
      <c r="BX153" s="44" t="s">
        <v>37</v>
      </c>
      <c r="BZ153" s="44" t="s">
        <v>37</v>
      </c>
      <c r="CB153" s="44" t="s">
        <v>37</v>
      </c>
      <c r="CD153" s="44" t="s">
        <v>37</v>
      </c>
      <c r="CF153" s="44" t="s">
        <v>37</v>
      </c>
      <c r="CH153" s="44" t="s">
        <v>37</v>
      </c>
      <c r="CJ153" s="44" t="s">
        <v>37</v>
      </c>
      <c r="CL153" s="44" t="s">
        <v>37</v>
      </c>
      <c r="CN153" s="44" t="s">
        <v>37</v>
      </c>
      <c r="CP153" s="44" t="s">
        <v>37</v>
      </c>
      <c r="CR153" s="44" t="s">
        <v>37</v>
      </c>
      <c r="CT153" s="44" t="s">
        <v>37</v>
      </c>
      <c r="CU153" s="44">
        <v>575541</v>
      </c>
      <c r="CV153" s="44" t="s">
        <v>37</v>
      </c>
      <c r="CX153" s="44" t="s">
        <v>37</v>
      </c>
      <c r="CZ153" s="44" t="s">
        <v>37</v>
      </c>
      <c r="DB153" s="44" t="s">
        <v>37</v>
      </c>
      <c r="DD153" s="44" t="s">
        <v>37</v>
      </c>
      <c r="DF153" s="44" t="s">
        <v>37</v>
      </c>
      <c r="DH153" s="44" t="s">
        <v>37</v>
      </c>
      <c r="DJ153" s="44" t="s">
        <v>37</v>
      </c>
      <c r="DL153" s="44" t="s">
        <v>37</v>
      </c>
      <c r="DN153" s="44" t="s">
        <v>37</v>
      </c>
      <c r="DP153" s="44" t="s">
        <v>37</v>
      </c>
      <c r="DR153" s="44" t="s">
        <v>37</v>
      </c>
      <c r="DT153" s="44" t="s">
        <v>37</v>
      </c>
      <c r="DV153" s="44" t="s">
        <v>37</v>
      </c>
      <c r="DX153" s="44" t="s">
        <v>37</v>
      </c>
      <c r="DZ153" s="44" t="s">
        <v>37</v>
      </c>
      <c r="EB153" s="44" t="s">
        <v>37</v>
      </c>
      <c r="ED153" s="44" t="s">
        <v>37</v>
      </c>
      <c r="EF153" s="44" t="s">
        <v>37</v>
      </c>
      <c r="EH153" s="44" t="s">
        <v>37</v>
      </c>
      <c r="EJ153" s="44" t="s">
        <v>37</v>
      </c>
      <c r="EL153" s="44" t="s">
        <v>37</v>
      </c>
      <c r="EN153" s="44" t="s">
        <v>37</v>
      </c>
      <c r="EP153" s="44" t="s">
        <v>37</v>
      </c>
      <c r="ER153" s="44" t="s">
        <v>37</v>
      </c>
      <c r="ET153" s="44" t="s">
        <v>37</v>
      </c>
      <c r="EV153" s="44" t="s">
        <v>37</v>
      </c>
      <c r="EX153" s="44" t="s">
        <v>37</v>
      </c>
      <c r="EZ153" s="44" t="s">
        <v>37</v>
      </c>
      <c r="FB153" s="44" t="s">
        <v>37</v>
      </c>
      <c r="FD153" s="44" t="s">
        <v>37</v>
      </c>
      <c r="FF153" s="44" t="s">
        <v>37</v>
      </c>
      <c r="FH153" s="44" t="s">
        <v>37</v>
      </c>
      <c r="FJ153" s="44" t="s">
        <v>37</v>
      </c>
      <c r="FK153" s="44">
        <v>25176</v>
      </c>
      <c r="FL153" s="44" t="s">
        <v>37</v>
      </c>
      <c r="FN153" s="44" t="s">
        <v>37</v>
      </c>
      <c r="FP153" s="44" t="s">
        <v>37</v>
      </c>
      <c r="FR153" s="44" t="s">
        <v>37</v>
      </c>
      <c r="FT153" s="44" t="s">
        <v>37</v>
      </c>
      <c r="FV153" s="44" t="s">
        <v>37</v>
      </c>
      <c r="FX153" s="44" t="s">
        <v>37</v>
      </c>
      <c r="FZ153" s="44" t="s">
        <v>37</v>
      </c>
      <c r="GB153" s="44" t="s">
        <v>37</v>
      </c>
      <c r="GD153" s="44" t="s">
        <v>37</v>
      </c>
      <c r="GF153" s="44" t="s">
        <v>37</v>
      </c>
      <c r="GH153" s="44" t="s">
        <v>37</v>
      </c>
      <c r="GJ153" s="44" t="s">
        <v>37</v>
      </c>
      <c r="GL153" s="44" t="s">
        <v>37</v>
      </c>
      <c r="GN153" s="44" t="s">
        <v>37</v>
      </c>
      <c r="GP153" s="44" t="s">
        <v>37</v>
      </c>
      <c r="GR153" s="44" t="s">
        <v>37</v>
      </c>
      <c r="GT153" s="44" t="s">
        <v>37</v>
      </c>
      <c r="GV153" s="44" t="s">
        <v>37</v>
      </c>
      <c r="GX153" s="44" t="s">
        <v>37</v>
      </c>
      <c r="GZ153" s="44" t="s">
        <v>37</v>
      </c>
      <c r="HB153" s="44" t="s">
        <v>37</v>
      </c>
      <c r="HC153" s="44">
        <v>3168294</v>
      </c>
      <c r="HD153" s="44" t="s">
        <v>37</v>
      </c>
      <c r="HF153" s="44" t="s">
        <v>37</v>
      </c>
      <c r="HG153" s="44">
        <v>628004</v>
      </c>
      <c r="HH153" s="44" t="s">
        <v>37</v>
      </c>
      <c r="HI153" s="44">
        <v>3168294</v>
      </c>
      <c r="HJ153" s="44" t="s">
        <v>37</v>
      </c>
      <c r="HK153" s="44">
        <v>3796298</v>
      </c>
      <c r="HL153" s="44" t="s">
        <v>37</v>
      </c>
    </row>
    <row r="154" spans="1:220">
      <c r="A154" s="150" t="s">
        <v>411</v>
      </c>
      <c r="B154" s="44">
        <v>3501</v>
      </c>
      <c r="C154" s="44" t="s">
        <v>174</v>
      </c>
      <c r="D154" s="44" t="s">
        <v>37</v>
      </c>
      <c r="E154" s="44">
        <v>133856</v>
      </c>
      <c r="F154" s="44" t="s">
        <v>37</v>
      </c>
      <c r="G154" s="44">
        <v>845625</v>
      </c>
      <c r="H154" s="44" t="s">
        <v>37</v>
      </c>
      <c r="I154" s="44">
        <v>32603</v>
      </c>
      <c r="J154" s="44" t="s">
        <v>37</v>
      </c>
      <c r="L154" s="48" t="s">
        <v>37</v>
      </c>
      <c r="M154" s="51">
        <v>283107</v>
      </c>
      <c r="N154" s="48" t="s">
        <v>37</v>
      </c>
      <c r="O154" s="51">
        <v>123380</v>
      </c>
      <c r="P154" s="48" t="s">
        <v>37</v>
      </c>
      <c r="Q154" s="51">
        <v>84210</v>
      </c>
      <c r="R154" s="48" t="s">
        <v>37</v>
      </c>
      <c r="S154" s="51">
        <v>94255</v>
      </c>
      <c r="T154" s="48" t="s">
        <v>37</v>
      </c>
      <c r="U154" s="44">
        <v>393777</v>
      </c>
      <c r="V154" s="44" t="s">
        <v>37</v>
      </c>
      <c r="X154" s="44" t="s">
        <v>37</v>
      </c>
      <c r="Z154" s="44" t="s">
        <v>37</v>
      </c>
      <c r="AA154" s="44">
        <v>60743</v>
      </c>
      <c r="AB154" s="44" t="s">
        <v>37</v>
      </c>
      <c r="AC154" s="44">
        <v>37944</v>
      </c>
      <c r="AD154" s="44" t="s">
        <v>37</v>
      </c>
      <c r="AE154" s="44">
        <v>37139</v>
      </c>
      <c r="AF154" s="44" t="s">
        <v>37</v>
      </c>
      <c r="AG154" s="44">
        <v>35032</v>
      </c>
      <c r="AH154" s="44" t="s">
        <v>37</v>
      </c>
      <c r="AI154" s="44">
        <v>95025</v>
      </c>
      <c r="AJ154" s="44" t="s">
        <v>37</v>
      </c>
      <c r="AL154" s="44" t="s">
        <v>37</v>
      </c>
      <c r="AM154" s="44">
        <v>629943</v>
      </c>
      <c r="AN154" s="44" t="s">
        <v>37</v>
      </c>
      <c r="AP154" s="44" t="s">
        <v>37</v>
      </c>
      <c r="AQ154" s="44">
        <v>947508</v>
      </c>
      <c r="AR154" s="44" t="s">
        <v>37</v>
      </c>
      <c r="AS154" s="44">
        <v>60901</v>
      </c>
      <c r="AT154" s="44" t="s">
        <v>37</v>
      </c>
      <c r="AU154" s="44">
        <v>1469780</v>
      </c>
      <c r="AV154" s="44" t="s">
        <v>37</v>
      </c>
      <c r="AW154" s="44">
        <v>312582</v>
      </c>
      <c r="AX154" s="44" t="s">
        <v>37</v>
      </c>
      <c r="AY154" s="44">
        <v>153012</v>
      </c>
      <c r="AZ154" s="44" t="s">
        <v>37</v>
      </c>
      <c r="BA154" s="44">
        <v>273245</v>
      </c>
      <c r="BB154" s="44" t="s">
        <v>37</v>
      </c>
      <c r="BC154" s="44">
        <v>82816</v>
      </c>
      <c r="BD154" s="44" t="s">
        <v>37</v>
      </c>
      <c r="BE154" s="44">
        <v>120033</v>
      </c>
      <c r="BF154" s="44" t="s">
        <v>37</v>
      </c>
      <c r="BG154" s="44">
        <v>41755</v>
      </c>
      <c r="BH154" s="44" t="s">
        <v>37</v>
      </c>
      <c r="BJ154" s="44" t="s">
        <v>37</v>
      </c>
      <c r="BK154" s="44">
        <v>214602</v>
      </c>
      <c r="BL154" s="44" t="s">
        <v>37</v>
      </c>
      <c r="BM154" s="44">
        <v>383703</v>
      </c>
      <c r="BN154" s="44" t="s">
        <v>37</v>
      </c>
      <c r="BP154" s="44" t="s">
        <v>37</v>
      </c>
      <c r="BQ154" s="44">
        <v>32515</v>
      </c>
      <c r="BR154" s="44" t="s">
        <v>37</v>
      </c>
      <c r="BS154" s="44">
        <v>113176</v>
      </c>
      <c r="BT154" s="44" t="s">
        <v>37</v>
      </c>
      <c r="BU154" s="44">
        <v>47816</v>
      </c>
      <c r="BV154" s="44" t="s">
        <v>37</v>
      </c>
      <c r="BX154" s="44" t="s">
        <v>37</v>
      </c>
      <c r="BY154" s="44">
        <v>643768</v>
      </c>
      <c r="BZ154" s="44" t="s">
        <v>37</v>
      </c>
      <c r="CA154" s="44">
        <v>78333</v>
      </c>
      <c r="CB154" s="44" t="s">
        <v>37</v>
      </c>
      <c r="CD154" s="44" t="s">
        <v>37</v>
      </c>
      <c r="CE154" s="44">
        <v>163976</v>
      </c>
      <c r="CF154" s="44" t="s">
        <v>37</v>
      </c>
      <c r="CG154" s="44">
        <v>167801</v>
      </c>
      <c r="CH154" s="44" t="s">
        <v>37</v>
      </c>
      <c r="CI154" s="44">
        <v>516884</v>
      </c>
      <c r="CJ154" s="44" t="s">
        <v>37</v>
      </c>
      <c r="CK154" s="44">
        <v>39994</v>
      </c>
      <c r="CL154" s="44" t="s">
        <v>37</v>
      </c>
      <c r="CM154" s="44">
        <v>91123</v>
      </c>
      <c r="CN154" s="44" t="s">
        <v>37</v>
      </c>
      <c r="CO154" s="44">
        <v>40462</v>
      </c>
      <c r="CP154" s="44" t="s">
        <v>37</v>
      </c>
      <c r="CQ154" s="44">
        <v>52721</v>
      </c>
      <c r="CR154" s="44" t="s">
        <v>37</v>
      </c>
      <c r="CS154" s="44">
        <v>352125</v>
      </c>
      <c r="CT154" s="44" t="s">
        <v>37</v>
      </c>
      <c r="CU154" s="44">
        <v>1967890</v>
      </c>
      <c r="CV154" s="44" t="s">
        <v>37</v>
      </c>
      <c r="CW154" s="44">
        <v>308013</v>
      </c>
      <c r="CX154" s="44" t="s">
        <v>37</v>
      </c>
      <c r="CY154" s="44">
        <v>37412</v>
      </c>
      <c r="CZ154" s="44" t="s">
        <v>37</v>
      </c>
      <c r="DA154" s="44">
        <v>59696</v>
      </c>
      <c r="DB154" s="44" t="s">
        <v>37</v>
      </c>
      <c r="DD154" s="44" t="s">
        <v>37</v>
      </c>
      <c r="DE154" s="44">
        <v>87573</v>
      </c>
      <c r="DF154" s="44" t="s">
        <v>37</v>
      </c>
      <c r="DG154" s="44">
        <v>50225</v>
      </c>
      <c r="DH154" s="44" t="s">
        <v>37</v>
      </c>
      <c r="DI154" s="44">
        <v>1322742</v>
      </c>
      <c r="DJ154" s="44" t="s">
        <v>37</v>
      </c>
      <c r="DK154" s="44">
        <v>98203</v>
      </c>
      <c r="DL154" s="44" t="s">
        <v>37</v>
      </c>
      <c r="DM154" s="44">
        <v>384903</v>
      </c>
      <c r="DN154" s="44" t="s">
        <v>37</v>
      </c>
      <c r="DO154" s="44">
        <v>387369</v>
      </c>
      <c r="DP154" s="44" t="s">
        <v>37</v>
      </c>
      <c r="DQ154" s="44">
        <v>192150</v>
      </c>
      <c r="DR154" s="44" t="s">
        <v>37</v>
      </c>
      <c r="DS154" s="44">
        <v>119805</v>
      </c>
      <c r="DT154" s="44" t="s">
        <v>37</v>
      </c>
      <c r="DU154" s="44">
        <v>87399</v>
      </c>
      <c r="DV154" s="44" t="s">
        <v>37</v>
      </c>
      <c r="DW154" s="44">
        <v>644726</v>
      </c>
      <c r="DX154" s="44" t="s">
        <v>37</v>
      </c>
      <c r="DY154" s="44">
        <v>308723</v>
      </c>
      <c r="DZ154" s="44" t="s">
        <v>37</v>
      </c>
      <c r="EA154" s="44">
        <v>73431</v>
      </c>
      <c r="EB154" s="44" t="s">
        <v>37</v>
      </c>
      <c r="EC154" s="44">
        <v>113941</v>
      </c>
      <c r="ED154" s="44" t="s">
        <v>37</v>
      </c>
      <c r="EE154" s="44">
        <v>588622</v>
      </c>
      <c r="EF154" s="44" t="s">
        <v>37</v>
      </c>
      <c r="EG154" s="44">
        <v>34866</v>
      </c>
      <c r="EH154" s="44" t="s">
        <v>37</v>
      </c>
      <c r="EJ154" s="44" t="s">
        <v>37</v>
      </c>
      <c r="EK154" s="44">
        <v>102466</v>
      </c>
      <c r="EL154" s="44" t="s">
        <v>37</v>
      </c>
      <c r="EM154" s="44">
        <v>69565</v>
      </c>
      <c r="EN154" s="44" t="s">
        <v>37</v>
      </c>
      <c r="EO154" s="44">
        <v>35547</v>
      </c>
      <c r="EP154" s="44" t="s">
        <v>37</v>
      </c>
      <c r="ER154" s="44" t="s">
        <v>37</v>
      </c>
      <c r="ES154" s="44">
        <v>161184</v>
      </c>
      <c r="ET154" s="44" t="s">
        <v>37</v>
      </c>
      <c r="EU154" s="44">
        <v>190597</v>
      </c>
      <c r="EV154" s="44" t="s">
        <v>37</v>
      </c>
      <c r="EW154" s="44">
        <v>362501</v>
      </c>
      <c r="EX154" s="44" t="s">
        <v>37</v>
      </c>
      <c r="EZ154" s="44" t="s">
        <v>37</v>
      </c>
      <c r="FA154" s="44">
        <v>132626</v>
      </c>
      <c r="FB154" s="44" t="s">
        <v>37</v>
      </c>
      <c r="FC154" s="44">
        <v>146655</v>
      </c>
      <c r="FD154" s="44" t="s">
        <v>37</v>
      </c>
      <c r="FE154" s="44">
        <v>239180</v>
      </c>
      <c r="FF154" s="44" t="s">
        <v>37</v>
      </c>
      <c r="FH154" s="44" t="s">
        <v>37</v>
      </c>
      <c r="FI154" s="44">
        <v>545030</v>
      </c>
      <c r="FJ154" s="44" t="s">
        <v>37</v>
      </c>
      <c r="FK154" s="44">
        <v>513196</v>
      </c>
      <c r="FL154" s="44" t="s">
        <v>37</v>
      </c>
      <c r="FN154" s="44" t="s">
        <v>37</v>
      </c>
      <c r="FO154" s="44">
        <v>65164</v>
      </c>
      <c r="FP154" s="44" t="s">
        <v>37</v>
      </c>
      <c r="FQ154" s="44">
        <v>159563</v>
      </c>
      <c r="FR154" s="44" t="s">
        <v>37</v>
      </c>
      <c r="FS154" s="44">
        <v>301841</v>
      </c>
      <c r="FT154" s="44" t="s">
        <v>37</v>
      </c>
      <c r="FU154" s="44">
        <v>104410</v>
      </c>
      <c r="FV154" s="44" t="s">
        <v>37</v>
      </c>
      <c r="FW154" s="44">
        <v>90805</v>
      </c>
      <c r="FX154" s="44" t="s">
        <v>37</v>
      </c>
      <c r="FY154" s="44">
        <v>212163</v>
      </c>
      <c r="FZ154" s="44" t="s">
        <v>37</v>
      </c>
      <c r="GA154" s="44">
        <v>370900</v>
      </c>
      <c r="GB154" s="44" t="s">
        <v>37</v>
      </c>
      <c r="GC154" s="44">
        <v>285602</v>
      </c>
      <c r="GD154" s="44" t="s">
        <v>37</v>
      </c>
      <c r="GF154" s="44" t="s">
        <v>37</v>
      </c>
      <c r="GH154" s="44" t="s">
        <v>37</v>
      </c>
      <c r="GJ154" s="44" t="s">
        <v>37</v>
      </c>
      <c r="GK154" s="44">
        <v>323123</v>
      </c>
      <c r="GL154" s="44" t="s">
        <v>37</v>
      </c>
      <c r="GM154" s="44">
        <v>292088</v>
      </c>
      <c r="GN154" s="44" t="s">
        <v>37</v>
      </c>
      <c r="GP154" s="44" t="s">
        <v>37</v>
      </c>
      <c r="GQ154" s="44">
        <v>167477</v>
      </c>
      <c r="GR154" s="44" t="s">
        <v>37</v>
      </c>
      <c r="GS154" s="44">
        <v>195801</v>
      </c>
      <c r="GT154" s="44" t="s">
        <v>37</v>
      </c>
      <c r="GU154" s="44">
        <v>173252</v>
      </c>
      <c r="GV154" s="44" t="s">
        <v>37</v>
      </c>
      <c r="GW154" s="44">
        <v>182950</v>
      </c>
      <c r="GX154" s="44" t="s">
        <v>37</v>
      </c>
      <c r="GY154" s="44">
        <v>565045</v>
      </c>
      <c r="GZ154" s="44" t="s">
        <v>37</v>
      </c>
      <c r="HA154" s="44">
        <v>247115</v>
      </c>
      <c r="HB154" s="44" t="s">
        <v>37</v>
      </c>
      <c r="HC154" s="44">
        <v>109142</v>
      </c>
      <c r="HD154" s="44" t="s">
        <v>37</v>
      </c>
      <c r="HE154" s="44">
        <v>97860</v>
      </c>
      <c r="HF154" s="44" t="s">
        <v>37</v>
      </c>
      <c r="HG154" s="44">
        <v>22390805</v>
      </c>
      <c r="HH154" s="44" t="s">
        <v>37</v>
      </c>
      <c r="HI154" s="44">
        <v>207002</v>
      </c>
      <c r="HJ154" s="44" t="s">
        <v>37</v>
      </c>
      <c r="HK154" s="44">
        <v>22597807</v>
      </c>
      <c r="HL154" s="44" t="s">
        <v>37</v>
      </c>
    </row>
    <row r="155" spans="1:220">
      <c r="A155" s="150" t="s">
        <v>411</v>
      </c>
      <c r="B155" s="44">
        <v>3505</v>
      </c>
      <c r="C155" s="44" t="s">
        <v>175</v>
      </c>
      <c r="D155" s="44" t="s">
        <v>37</v>
      </c>
      <c r="E155" s="44">
        <v>15816</v>
      </c>
      <c r="F155" s="44" t="s">
        <v>37</v>
      </c>
      <c r="G155" s="44">
        <v>71814</v>
      </c>
      <c r="H155" s="44" t="s">
        <v>37</v>
      </c>
      <c r="I155" s="44">
        <v>6110</v>
      </c>
      <c r="J155" s="44" t="s">
        <v>37</v>
      </c>
      <c r="L155" s="48" t="s">
        <v>37</v>
      </c>
      <c r="M155" s="51">
        <v>22546</v>
      </c>
      <c r="N155" s="48" t="s">
        <v>37</v>
      </c>
      <c r="O155" s="51">
        <v>13745</v>
      </c>
      <c r="P155" s="48" t="s">
        <v>37</v>
      </c>
      <c r="Q155" s="51">
        <v>9374</v>
      </c>
      <c r="R155" s="48" t="s">
        <v>37</v>
      </c>
      <c r="S155" s="51">
        <v>10623</v>
      </c>
      <c r="T155" s="48" t="s">
        <v>37</v>
      </c>
      <c r="U155" s="44">
        <v>19473</v>
      </c>
      <c r="V155" s="44" t="s">
        <v>37</v>
      </c>
      <c r="X155" s="44" t="s">
        <v>37</v>
      </c>
      <c r="Z155" s="44" t="s">
        <v>37</v>
      </c>
      <c r="AA155" s="44">
        <v>8218</v>
      </c>
      <c r="AB155" s="44" t="s">
        <v>37</v>
      </c>
      <c r="AC155" s="44">
        <v>7381</v>
      </c>
      <c r="AD155" s="44" t="s">
        <v>37</v>
      </c>
      <c r="AE155" s="44">
        <v>7025</v>
      </c>
      <c r="AF155" s="44" t="s">
        <v>37</v>
      </c>
      <c r="AG155" s="44">
        <v>2147</v>
      </c>
      <c r="AH155" s="44" t="s">
        <v>37</v>
      </c>
      <c r="AI155" s="44">
        <v>11917</v>
      </c>
      <c r="AJ155" s="44" t="s">
        <v>37</v>
      </c>
      <c r="AL155" s="44" t="s">
        <v>37</v>
      </c>
      <c r="AM155" s="44">
        <v>50500</v>
      </c>
      <c r="AN155" s="44" t="s">
        <v>37</v>
      </c>
      <c r="AP155" s="44" t="s">
        <v>37</v>
      </c>
      <c r="AQ155" s="44">
        <v>81944</v>
      </c>
      <c r="AR155" s="44" t="s">
        <v>37</v>
      </c>
      <c r="AS155" s="44">
        <v>6642</v>
      </c>
      <c r="AT155" s="44" t="s">
        <v>37</v>
      </c>
      <c r="AU155" s="44">
        <v>119957</v>
      </c>
      <c r="AV155" s="44" t="s">
        <v>37</v>
      </c>
      <c r="AW155" s="44">
        <v>29908</v>
      </c>
      <c r="AX155" s="44" t="s">
        <v>37</v>
      </c>
      <c r="AY155" s="44">
        <v>3400</v>
      </c>
      <c r="AZ155" s="44" t="s">
        <v>37</v>
      </c>
      <c r="BA155" s="44">
        <v>29735</v>
      </c>
      <c r="BB155" s="44" t="s">
        <v>37</v>
      </c>
      <c r="BC155" s="44">
        <v>7701</v>
      </c>
      <c r="BD155" s="44" t="s">
        <v>37</v>
      </c>
      <c r="BE155" s="44">
        <v>15898</v>
      </c>
      <c r="BF155" s="44" t="s">
        <v>37</v>
      </c>
      <c r="BG155" s="44">
        <v>3742</v>
      </c>
      <c r="BH155" s="44" t="s">
        <v>37</v>
      </c>
      <c r="BJ155" s="44" t="s">
        <v>37</v>
      </c>
      <c r="BK155" s="44">
        <v>3487</v>
      </c>
      <c r="BL155" s="44" t="s">
        <v>37</v>
      </c>
      <c r="BM155" s="44">
        <v>3133</v>
      </c>
      <c r="BN155" s="44" t="s">
        <v>37</v>
      </c>
      <c r="BP155" s="44" t="s">
        <v>37</v>
      </c>
      <c r="BQ155" s="44">
        <v>6499</v>
      </c>
      <c r="BR155" s="44" t="s">
        <v>37</v>
      </c>
      <c r="BS155" s="44">
        <v>18871</v>
      </c>
      <c r="BT155" s="44" t="s">
        <v>37</v>
      </c>
      <c r="BU155" s="44">
        <v>8808</v>
      </c>
      <c r="BV155" s="44" t="s">
        <v>37</v>
      </c>
      <c r="BX155" s="44" t="s">
        <v>37</v>
      </c>
      <c r="BY155" s="44">
        <v>41596</v>
      </c>
      <c r="BZ155" s="44" t="s">
        <v>37</v>
      </c>
      <c r="CA155" s="44">
        <v>8419</v>
      </c>
      <c r="CB155" s="44" t="s">
        <v>37</v>
      </c>
      <c r="CD155" s="44" t="s">
        <v>37</v>
      </c>
      <c r="CE155" s="44">
        <v>3400</v>
      </c>
      <c r="CF155" s="44" t="s">
        <v>37</v>
      </c>
      <c r="CG155" s="44">
        <v>3275</v>
      </c>
      <c r="CH155" s="44" t="s">
        <v>37</v>
      </c>
      <c r="CI155" s="44">
        <v>13662</v>
      </c>
      <c r="CJ155" s="44" t="s">
        <v>37</v>
      </c>
      <c r="CK155" s="44">
        <v>7290</v>
      </c>
      <c r="CL155" s="44" t="s">
        <v>37</v>
      </c>
      <c r="CM155" s="44">
        <v>3398</v>
      </c>
      <c r="CN155" s="44" t="s">
        <v>37</v>
      </c>
      <c r="CO155" s="44">
        <v>7491</v>
      </c>
      <c r="CP155" s="44" t="s">
        <v>37</v>
      </c>
      <c r="CQ155" s="44">
        <v>7766</v>
      </c>
      <c r="CR155" s="44" t="s">
        <v>37</v>
      </c>
      <c r="CS155" s="44">
        <v>21366</v>
      </c>
      <c r="CT155" s="44" t="s">
        <v>37</v>
      </c>
      <c r="CU155" s="44">
        <v>20033</v>
      </c>
      <c r="CV155" s="44" t="s">
        <v>37</v>
      </c>
      <c r="CW155" s="44">
        <v>4153</v>
      </c>
      <c r="CX155" s="44" t="s">
        <v>37</v>
      </c>
      <c r="CY155" s="44">
        <v>6973</v>
      </c>
      <c r="CZ155" s="44" t="s">
        <v>37</v>
      </c>
      <c r="DA155" s="44">
        <v>3400</v>
      </c>
      <c r="DB155" s="44" t="s">
        <v>37</v>
      </c>
      <c r="DD155" s="44" t="s">
        <v>37</v>
      </c>
      <c r="DE155" s="44">
        <v>12745</v>
      </c>
      <c r="DF155" s="44" t="s">
        <v>37</v>
      </c>
      <c r="DG155" s="44">
        <v>9124</v>
      </c>
      <c r="DH155" s="44" t="s">
        <v>37</v>
      </c>
      <c r="DI155" s="44">
        <v>115174</v>
      </c>
      <c r="DJ155" s="44" t="s">
        <v>37</v>
      </c>
      <c r="DK155" s="44">
        <v>31076</v>
      </c>
      <c r="DL155" s="44" t="s">
        <v>37</v>
      </c>
      <c r="DM155" s="44">
        <v>47180</v>
      </c>
      <c r="DN155" s="44" t="s">
        <v>37</v>
      </c>
      <c r="DO155" s="44">
        <v>34579</v>
      </c>
      <c r="DP155" s="44" t="s">
        <v>37</v>
      </c>
      <c r="DQ155" s="44">
        <v>21378</v>
      </c>
      <c r="DR155" s="44" t="s">
        <v>37</v>
      </c>
      <c r="DT155" s="44" t="s">
        <v>37</v>
      </c>
      <c r="DU155" s="44">
        <v>19797</v>
      </c>
      <c r="DV155" s="44" t="s">
        <v>37</v>
      </c>
      <c r="DW155" s="44">
        <v>41072</v>
      </c>
      <c r="DX155" s="44" t="s">
        <v>37</v>
      </c>
      <c r="DY155" s="44">
        <v>32569</v>
      </c>
      <c r="DZ155" s="44" t="s">
        <v>37</v>
      </c>
      <c r="EA155" s="44">
        <v>10236</v>
      </c>
      <c r="EB155" s="44" t="s">
        <v>37</v>
      </c>
      <c r="EC155" s="44">
        <v>15765</v>
      </c>
      <c r="ED155" s="44" t="s">
        <v>37</v>
      </c>
      <c r="EE155" s="44">
        <v>23293</v>
      </c>
      <c r="EF155" s="44" t="s">
        <v>37</v>
      </c>
      <c r="EG155" s="44">
        <v>11633</v>
      </c>
      <c r="EH155" s="44" t="s">
        <v>37</v>
      </c>
      <c r="EJ155" s="44" t="s">
        <v>37</v>
      </c>
      <c r="EK155" s="44">
        <v>21338</v>
      </c>
      <c r="EL155" s="44" t="s">
        <v>37</v>
      </c>
      <c r="EM155" s="44">
        <v>22184</v>
      </c>
      <c r="EN155" s="44" t="s">
        <v>37</v>
      </c>
      <c r="EO155" s="44">
        <v>6699</v>
      </c>
      <c r="EP155" s="44" t="s">
        <v>37</v>
      </c>
      <c r="ER155" s="44" t="s">
        <v>37</v>
      </c>
      <c r="ES155" s="44">
        <v>23070</v>
      </c>
      <c r="ET155" s="44" t="s">
        <v>37</v>
      </c>
      <c r="EU155" s="44">
        <v>22122</v>
      </c>
      <c r="EV155" s="44" t="s">
        <v>37</v>
      </c>
      <c r="EW155" s="44">
        <v>35440</v>
      </c>
      <c r="EX155" s="44" t="s">
        <v>37</v>
      </c>
      <c r="EZ155" s="44" t="s">
        <v>37</v>
      </c>
      <c r="FA155" s="44">
        <v>23180</v>
      </c>
      <c r="FB155" s="44" t="s">
        <v>37</v>
      </c>
      <c r="FC155" s="44">
        <v>17339</v>
      </c>
      <c r="FD155" s="44" t="s">
        <v>37</v>
      </c>
      <c r="FE155" s="44">
        <v>28238</v>
      </c>
      <c r="FF155" s="44" t="s">
        <v>37</v>
      </c>
      <c r="FH155" s="44" t="s">
        <v>37</v>
      </c>
      <c r="FI155" s="44">
        <v>44444</v>
      </c>
      <c r="FJ155" s="44" t="s">
        <v>37</v>
      </c>
      <c r="FK155" s="44">
        <v>71349</v>
      </c>
      <c r="FL155" s="44" t="s">
        <v>37</v>
      </c>
      <c r="FM155" s="44">
        <v>101119</v>
      </c>
      <c r="FN155" s="44" t="s">
        <v>37</v>
      </c>
      <c r="FO155" s="44">
        <v>10495</v>
      </c>
      <c r="FP155" s="44" t="s">
        <v>37</v>
      </c>
      <c r="FQ155" s="44">
        <v>30647</v>
      </c>
      <c r="FR155" s="44" t="s">
        <v>37</v>
      </c>
      <c r="FS155" s="44">
        <v>40990</v>
      </c>
      <c r="FT155" s="44" t="s">
        <v>37</v>
      </c>
      <c r="FU155" s="44">
        <v>13152</v>
      </c>
      <c r="FV155" s="44" t="s">
        <v>37</v>
      </c>
      <c r="FW155" s="44">
        <v>11684</v>
      </c>
      <c r="FX155" s="44" t="s">
        <v>37</v>
      </c>
      <c r="FY155" s="44">
        <v>2994</v>
      </c>
      <c r="FZ155" s="44" t="s">
        <v>37</v>
      </c>
      <c r="GA155" s="44">
        <v>18671</v>
      </c>
      <c r="GB155" s="44" t="s">
        <v>37</v>
      </c>
      <c r="GC155" s="44">
        <v>66106</v>
      </c>
      <c r="GD155" s="44" t="s">
        <v>37</v>
      </c>
      <c r="GF155" s="44" t="s">
        <v>37</v>
      </c>
      <c r="GH155" s="44" t="s">
        <v>37</v>
      </c>
      <c r="GJ155" s="44" t="s">
        <v>37</v>
      </c>
      <c r="GK155" s="44">
        <v>48561</v>
      </c>
      <c r="GL155" s="44" t="s">
        <v>37</v>
      </c>
      <c r="GM155" s="44">
        <v>29242</v>
      </c>
      <c r="GN155" s="44" t="s">
        <v>37</v>
      </c>
      <c r="GP155" s="44" t="s">
        <v>37</v>
      </c>
      <c r="GQ155" s="44">
        <v>19080</v>
      </c>
      <c r="GR155" s="44" t="s">
        <v>37</v>
      </c>
      <c r="GS155" s="44">
        <v>24924</v>
      </c>
      <c r="GT155" s="44" t="s">
        <v>37</v>
      </c>
      <c r="GU155" s="44">
        <v>17740</v>
      </c>
      <c r="GV155" s="44" t="s">
        <v>37</v>
      </c>
      <c r="GW155" s="44">
        <v>25844</v>
      </c>
      <c r="GX155" s="44" t="s">
        <v>37</v>
      </c>
      <c r="GY155" s="44">
        <v>55951</v>
      </c>
      <c r="GZ155" s="44" t="s">
        <v>37</v>
      </c>
      <c r="HA155" s="44">
        <v>13009</v>
      </c>
      <c r="HB155" s="44" t="s">
        <v>37</v>
      </c>
      <c r="HC155" s="44">
        <v>16387</v>
      </c>
      <c r="HD155" s="44" t="s">
        <v>37</v>
      </c>
      <c r="HF155" s="44" t="s">
        <v>37</v>
      </c>
      <c r="HG155" s="44">
        <v>2019869</v>
      </c>
      <c r="HH155" s="44" t="s">
        <v>37</v>
      </c>
      <c r="HI155" s="44">
        <v>16387</v>
      </c>
      <c r="HJ155" s="44" t="s">
        <v>37</v>
      </c>
      <c r="HK155" s="44">
        <v>2036256</v>
      </c>
      <c r="HL155" s="44" t="s">
        <v>37</v>
      </c>
    </row>
    <row r="156" spans="1:220">
      <c r="A156" s="150" t="s">
        <v>411</v>
      </c>
      <c r="B156" s="44">
        <v>3507</v>
      </c>
      <c r="C156" s="44" t="s">
        <v>176</v>
      </c>
      <c r="D156" s="44" t="s">
        <v>37</v>
      </c>
      <c r="F156" s="44" t="s">
        <v>37</v>
      </c>
      <c r="H156" s="44" t="s">
        <v>37</v>
      </c>
      <c r="J156" s="44" t="s">
        <v>37</v>
      </c>
      <c r="L156" s="48" t="s">
        <v>37</v>
      </c>
      <c r="M156" s="50"/>
      <c r="N156" s="48" t="s">
        <v>37</v>
      </c>
      <c r="O156" s="50"/>
      <c r="P156" s="48" t="s">
        <v>37</v>
      </c>
      <c r="Q156" s="50"/>
      <c r="R156" s="48" t="s">
        <v>37</v>
      </c>
      <c r="S156" s="50"/>
      <c r="T156" s="48" t="s">
        <v>37</v>
      </c>
      <c r="V156" s="44" t="s">
        <v>37</v>
      </c>
      <c r="X156" s="44" t="s">
        <v>37</v>
      </c>
      <c r="Z156" s="44" t="s">
        <v>37</v>
      </c>
      <c r="AB156" s="44" t="s">
        <v>37</v>
      </c>
      <c r="AC156" s="44">
        <v>1378</v>
      </c>
      <c r="AD156" s="44" t="s">
        <v>37</v>
      </c>
      <c r="AF156" s="44" t="s">
        <v>37</v>
      </c>
      <c r="AH156" s="44" t="s">
        <v>37</v>
      </c>
      <c r="AJ156" s="44" t="s">
        <v>37</v>
      </c>
      <c r="AL156" s="44" t="s">
        <v>37</v>
      </c>
      <c r="AN156" s="44" t="s">
        <v>37</v>
      </c>
      <c r="AP156" s="44" t="s">
        <v>37</v>
      </c>
      <c r="AR156" s="44" t="s">
        <v>37</v>
      </c>
      <c r="AT156" s="44" t="s">
        <v>37</v>
      </c>
      <c r="AV156" s="44" t="s">
        <v>37</v>
      </c>
      <c r="AX156" s="44" t="s">
        <v>37</v>
      </c>
      <c r="AZ156" s="44" t="s">
        <v>37</v>
      </c>
      <c r="BB156" s="44" t="s">
        <v>37</v>
      </c>
      <c r="BD156" s="44" t="s">
        <v>37</v>
      </c>
      <c r="BE156" s="44">
        <v>152662</v>
      </c>
      <c r="BF156" s="44" t="s">
        <v>37</v>
      </c>
      <c r="BH156" s="44" t="s">
        <v>37</v>
      </c>
      <c r="BJ156" s="44" t="s">
        <v>37</v>
      </c>
      <c r="BL156" s="44" t="s">
        <v>37</v>
      </c>
      <c r="BM156" s="44">
        <v>208419</v>
      </c>
      <c r="BN156" s="44" t="s">
        <v>37</v>
      </c>
      <c r="BP156" s="44" t="s">
        <v>37</v>
      </c>
      <c r="BR156" s="44" t="s">
        <v>37</v>
      </c>
      <c r="BT156" s="44" t="s">
        <v>37</v>
      </c>
      <c r="BV156" s="44" t="s">
        <v>37</v>
      </c>
      <c r="BX156" s="44" t="s">
        <v>37</v>
      </c>
      <c r="BZ156" s="44" t="s">
        <v>37</v>
      </c>
      <c r="CB156" s="44" t="s">
        <v>37</v>
      </c>
      <c r="CD156" s="44" t="s">
        <v>37</v>
      </c>
      <c r="CF156" s="44" t="s">
        <v>37</v>
      </c>
      <c r="CH156" s="44" t="s">
        <v>37</v>
      </c>
      <c r="CJ156" s="44" t="s">
        <v>37</v>
      </c>
      <c r="CL156" s="44" t="s">
        <v>37</v>
      </c>
      <c r="CN156" s="44" t="s">
        <v>37</v>
      </c>
      <c r="CP156" s="44" t="s">
        <v>37</v>
      </c>
      <c r="CR156" s="44" t="s">
        <v>37</v>
      </c>
      <c r="CT156" s="44" t="s">
        <v>37</v>
      </c>
      <c r="CV156" s="44" t="s">
        <v>37</v>
      </c>
      <c r="CX156" s="44" t="s">
        <v>37</v>
      </c>
      <c r="CZ156" s="44" t="s">
        <v>37</v>
      </c>
      <c r="DB156" s="44" t="s">
        <v>37</v>
      </c>
      <c r="DD156" s="44" t="s">
        <v>37</v>
      </c>
      <c r="DF156" s="44" t="s">
        <v>37</v>
      </c>
      <c r="DH156" s="44" t="s">
        <v>37</v>
      </c>
      <c r="DJ156" s="44" t="s">
        <v>37</v>
      </c>
      <c r="DL156" s="44" t="s">
        <v>37</v>
      </c>
      <c r="DN156" s="44" t="s">
        <v>37</v>
      </c>
      <c r="DP156" s="44" t="s">
        <v>37</v>
      </c>
      <c r="DQ156" s="44">
        <v>204</v>
      </c>
      <c r="DR156" s="44" t="s">
        <v>37</v>
      </c>
      <c r="DT156" s="44" t="s">
        <v>37</v>
      </c>
      <c r="DV156" s="44" t="s">
        <v>37</v>
      </c>
      <c r="DX156" s="44" t="s">
        <v>37</v>
      </c>
      <c r="DZ156" s="44" t="s">
        <v>37</v>
      </c>
      <c r="EB156" s="44" t="s">
        <v>37</v>
      </c>
      <c r="ED156" s="44" t="s">
        <v>37</v>
      </c>
      <c r="EF156" s="44" t="s">
        <v>37</v>
      </c>
      <c r="EH156" s="44" t="s">
        <v>37</v>
      </c>
      <c r="EJ156" s="44" t="s">
        <v>37</v>
      </c>
      <c r="EL156" s="44" t="s">
        <v>37</v>
      </c>
      <c r="EN156" s="44" t="s">
        <v>37</v>
      </c>
      <c r="EP156" s="44" t="s">
        <v>37</v>
      </c>
      <c r="ER156" s="44" t="s">
        <v>37</v>
      </c>
      <c r="ET156" s="44" t="s">
        <v>37</v>
      </c>
      <c r="EV156" s="44" t="s">
        <v>37</v>
      </c>
      <c r="EX156" s="44" t="s">
        <v>37</v>
      </c>
      <c r="EZ156" s="44" t="s">
        <v>37</v>
      </c>
      <c r="FB156" s="44" t="s">
        <v>37</v>
      </c>
      <c r="FD156" s="44" t="s">
        <v>37</v>
      </c>
      <c r="FF156" s="44" t="s">
        <v>37</v>
      </c>
      <c r="FH156" s="44" t="s">
        <v>37</v>
      </c>
      <c r="FJ156" s="44" t="s">
        <v>37</v>
      </c>
      <c r="FL156" s="44" t="s">
        <v>37</v>
      </c>
      <c r="FN156" s="44" t="s">
        <v>37</v>
      </c>
      <c r="FP156" s="44" t="s">
        <v>37</v>
      </c>
      <c r="FR156" s="44" t="s">
        <v>37</v>
      </c>
      <c r="FT156" s="44" t="s">
        <v>37</v>
      </c>
      <c r="FV156" s="44" t="s">
        <v>37</v>
      </c>
      <c r="FX156" s="44" t="s">
        <v>37</v>
      </c>
      <c r="FZ156" s="44" t="s">
        <v>37</v>
      </c>
      <c r="GB156" s="44" t="s">
        <v>37</v>
      </c>
      <c r="GC156" s="44">
        <v>78089</v>
      </c>
      <c r="GD156" s="44" t="s">
        <v>37</v>
      </c>
      <c r="GF156" s="44" t="s">
        <v>37</v>
      </c>
      <c r="GH156" s="44" t="s">
        <v>37</v>
      </c>
      <c r="GJ156" s="44" t="s">
        <v>37</v>
      </c>
      <c r="GL156" s="44" t="s">
        <v>37</v>
      </c>
      <c r="GN156" s="44" t="s">
        <v>37</v>
      </c>
      <c r="GP156" s="44" t="s">
        <v>37</v>
      </c>
      <c r="GR156" s="44" t="s">
        <v>37</v>
      </c>
      <c r="GT156" s="44" t="s">
        <v>37</v>
      </c>
      <c r="GV156" s="44" t="s">
        <v>37</v>
      </c>
      <c r="GX156" s="44" t="s">
        <v>37</v>
      </c>
      <c r="GZ156" s="44" t="s">
        <v>37</v>
      </c>
      <c r="HB156" s="44" t="s">
        <v>37</v>
      </c>
      <c r="HD156" s="44" t="s">
        <v>37</v>
      </c>
      <c r="HF156" s="44" t="s">
        <v>37</v>
      </c>
      <c r="HG156" s="44">
        <v>440752</v>
      </c>
      <c r="HH156" s="44" t="s">
        <v>37</v>
      </c>
      <c r="HJ156" s="44" t="s">
        <v>37</v>
      </c>
      <c r="HK156" s="44">
        <v>440752</v>
      </c>
      <c r="HL156" s="44" t="s">
        <v>37</v>
      </c>
    </row>
    <row r="157" spans="1:220">
      <c r="A157" s="150" t="s">
        <v>411</v>
      </c>
      <c r="B157" s="44">
        <v>3509</v>
      </c>
      <c r="C157" s="44" t="s">
        <v>177</v>
      </c>
      <c r="D157" s="44" t="s">
        <v>37</v>
      </c>
      <c r="F157" s="44" t="s">
        <v>37</v>
      </c>
      <c r="G157" s="44">
        <v>13480</v>
      </c>
      <c r="H157" s="44" t="s">
        <v>37</v>
      </c>
      <c r="I157" s="44">
        <v>9481</v>
      </c>
      <c r="J157" s="44" t="s">
        <v>37</v>
      </c>
      <c r="L157" s="48" t="s">
        <v>37</v>
      </c>
      <c r="M157" s="50"/>
      <c r="N157" s="48" t="s">
        <v>37</v>
      </c>
      <c r="O157" s="50"/>
      <c r="P157" s="48" t="s">
        <v>37</v>
      </c>
      <c r="Q157" s="50"/>
      <c r="R157" s="48" t="s">
        <v>37</v>
      </c>
      <c r="S157" s="50"/>
      <c r="T157" s="48" t="s">
        <v>37</v>
      </c>
      <c r="U157" s="44">
        <v>5691</v>
      </c>
      <c r="V157" s="44" t="s">
        <v>37</v>
      </c>
      <c r="X157" s="44" t="s">
        <v>37</v>
      </c>
      <c r="Z157" s="44" t="s">
        <v>37</v>
      </c>
      <c r="AB157" s="44" t="s">
        <v>37</v>
      </c>
      <c r="AD157" s="44" t="s">
        <v>37</v>
      </c>
      <c r="AF157" s="44" t="s">
        <v>37</v>
      </c>
      <c r="AH157" s="44" t="s">
        <v>37</v>
      </c>
      <c r="AJ157" s="44" t="s">
        <v>37</v>
      </c>
      <c r="AL157" s="44" t="s">
        <v>37</v>
      </c>
      <c r="AM157" s="44">
        <v>22789</v>
      </c>
      <c r="AN157" s="44" t="s">
        <v>37</v>
      </c>
      <c r="AP157" s="44" t="s">
        <v>37</v>
      </c>
      <c r="AQ157" s="44">
        <v>42613</v>
      </c>
      <c r="AR157" s="44" t="s">
        <v>37</v>
      </c>
      <c r="AT157" s="44" t="s">
        <v>37</v>
      </c>
      <c r="AU157" s="44">
        <v>20000</v>
      </c>
      <c r="AV157" s="44" t="s">
        <v>37</v>
      </c>
      <c r="AW157" s="44">
        <v>35284</v>
      </c>
      <c r="AX157" s="44" t="s">
        <v>37</v>
      </c>
      <c r="AY157" s="44">
        <v>13071</v>
      </c>
      <c r="AZ157" s="44" t="s">
        <v>37</v>
      </c>
      <c r="BA157" s="44">
        <v>29535</v>
      </c>
      <c r="BB157" s="44" t="s">
        <v>37</v>
      </c>
      <c r="BD157" s="44" t="s">
        <v>37</v>
      </c>
      <c r="BE157" s="44">
        <v>1695</v>
      </c>
      <c r="BF157" s="44" t="s">
        <v>37</v>
      </c>
      <c r="BH157" s="44" t="s">
        <v>37</v>
      </c>
      <c r="BJ157" s="44" t="s">
        <v>37</v>
      </c>
      <c r="BL157" s="44" t="s">
        <v>37</v>
      </c>
      <c r="BM157" s="44">
        <v>74700</v>
      </c>
      <c r="BN157" s="44" t="s">
        <v>37</v>
      </c>
      <c r="BP157" s="44" t="s">
        <v>37</v>
      </c>
      <c r="BR157" s="44" t="s">
        <v>37</v>
      </c>
      <c r="BT157" s="44" t="s">
        <v>37</v>
      </c>
      <c r="BU157" s="44">
        <v>35000</v>
      </c>
      <c r="BV157" s="44" t="s">
        <v>37</v>
      </c>
      <c r="BX157" s="44" t="s">
        <v>37</v>
      </c>
      <c r="BY157" s="44">
        <v>14200</v>
      </c>
      <c r="BZ157" s="44" t="s">
        <v>37</v>
      </c>
      <c r="CB157" s="44" t="s">
        <v>37</v>
      </c>
      <c r="CD157" s="44" t="s">
        <v>37</v>
      </c>
      <c r="CE157" s="44">
        <v>3000</v>
      </c>
      <c r="CF157" s="44" t="s">
        <v>37</v>
      </c>
      <c r="CG157" s="44">
        <v>5000</v>
      </c>
      <c r="CH157" s="44" t="s">
        <v>37</v>
      </c>
      <c r="CI157" s="44">
        <v>55785</v>
      </c>
      <c r="CJ157" s="44" t="s">
        <v>37</v>
      </c>
      <c r="CL157" s="44" t="s">
        <v>37</v>
      </c>
      <c r="CM157" s="44">
        <v>40239</v>
      </c>
      <c r="CN157" s="44" t="s">
        <v>37</v>
      </c>
      <c r="CP157" s="44" t="s">
        <v>37</v>
      </c>
      <c r="CR157" s="44" t="s">
        <v>37</v>
      </c>
      <c r="CT157" s="44" t="s">
        <v>37</v>
      </c>
      <c r="CU157" s="44">
        <v>39492</v>
      </c>
      <c r="CV157" s="44" t="s">
        <v>37</v>
      </c>
      <c r="CX157" s="44" t="s">
        <v>37</v>
      </c>
      <c r="CY157" s="44">
        <v>2250</v>
      </c>
      <c r="CZ157" s="44" t="s">
        <v>37</v>
      </c>
      <c r="DB157" s="44" t="s">
        <v>37</v>
      </c>
      <c r="DD157" s="44" t="s">
        <v>37</v>
      </c>
      <c r="DE157" s="44">
        <v>39938</v>
      </c>
      <c r="DF157" s="44" t="s">
        <v>37</v>
      </c>
      <c r="DG157" s="44">
        <v>37500</v>
      </c>
      <c r="DH157" s="44" t="s">
        <v>37</v>
      </c>
      <c r="DJ157" s="44" t="s">
        <v>37</v>
      </c>
      <c r="DL157" s="44" t="s">
        <v>37</v>
      </c>
      <c r="DM157" s="44">
        <v>34564</v>
      </c>
      <c r="DN157" s="44" t="s">
        <v>37</v>
      </c>
      <c r="DO157" s="44">
        <v>30243</v>
      </c>
      <c r="DP157" s="44" t="s">
        <v>37</v>
      </c>
      <c r="DQ157" s="44">
        <v>14366</v>
      </c>
      <c r="DR157" s="44" t="s">
        <v>37</v>
      </c>
      <c r="DT157" s="44" t="s">
        <v>37</v>
      </c>
      <c r="DV157" s="44" t="s">
        <v>37</v>
      </c>
      <c r="DW157" s="44">
        <v>5000</v>
      </c>
      <c r="DX157" s="44" t="s">
        <v>37</v>
      </c>
      <c r="DY157" s="44">
        <v>24784</v>
      </c>
      <c r="DZ157" s="44" t="s">
        <v>37</v>
      </c>
      <c r="EA157" s="44">
        <v>2000</v>
      </c>
      <c r="EB157" s="44" t="s">
        <v>37</v>
      </c>
      <c r="EC157" s="44">
        <v>2730</v>
      </c>
      <c r="ED157" s="44" t="s">
        <v>37</v>
      </c>
      <c r="EE157" s="44">
        <v>8220</v>
      </c>
      <c r="EF157" s="44" t="s">
        <v>37</v>
      </c>
      <c r="EH157" s="44" t="s">
        <v>37</v>
      </c>
      <c r="EJ157" s="44" t="s">
        <v>37</v>
      </c>
      <c r="EL157" s="44" t="s">
        <v>37</v>
      </c>
      <c r="EM157" s="44">
        <v>18774</v>
      </c>
      <c r="EN157" s="44" t="s">
        <v>37</v>
      </c>
      <c r="EP157" s="44" t="s">
        <v>37</v>
      </c>
      <c r="ER157" s="44" t="s">
        <v>37</v>
      </c>
      <c r="ET157" s="44" t="s">
        <v>37</v>
      </c>
      <c r="EU157" s="44">
        <v>16600</v>
      </c>
      <c r="EV157" s="44" t="s">
        <v>37</v>
      </c>
      <c r="EW157" s="44">
        <v>5632</v>
      </c>
      <c r="EX157" s="44" t="s">
        <v>37</v>
      </c>
      <c r="EZ157" s="44" t="s">
        <v>37</v>
      </c>
      <c r="FB157" s="44" t="s">
        <v>37</v>
      </c>
      <c r="FC157" s="44">
        <v>5000</v>
      </c>
      <c r="FD157" s="44" t="s">
        <v>37</v>
      </c>
      <c r="FE157" s="44">
        <v>45956</v>
      </c>
      <c r="FF157" s="44" t="s">
        <v>37</v>
      </c>
      <c r="FH157" s="44" t="s">
        <v>37</v>
      </c>
      <c r="FJ157" s="44" t="s">
        <v>37</v>
      </c>
      <c r="FK157" s="44">
        <v>30644</v>
      </c>
      <c r="FL157" s="44" t="s">
        <v>37</v>
      </c>
      <c r="FM157" s="44">
        <v>49106</v>
      </c>
      <c r="FN157" s="44" t="s">
        <v>37</v>
      </c>
      <c r="FO157" s="44">
        <v>750</v>
      </c>
      <c r="FP157" s="44" t="s">
        <v>37</v>
      </c>
      <c r="FR157" s="44" t="s">
        <v>37</v>
      </c>
      <c r="FS157" s="44">
        <v>5000</v>
      </c>
      <c r="FT157" s="44" t="s">
        <v>37</v>
      </c>
      <c r="FV157" s="44" t="s">
        <v>37</v>
      </c>
      <c r="FX157" s="44" t="s">
        <v>37</v>
      </c>
      <c r="FZ157" s="44" t="s">
        <v>37</v>
      </c>
      <c r="GA157" s="44">
        <v>5900</v>
      </c>
      <c r="GB157" s="44" t="s">
        <v>37</v>
      </c>
      <c r="GC157" s="44">
        <v>5131</v>
      </c>
      <c r="GD157" s="44" t="s">
        <v>37</v>
      </c>
      <c r="GF157" s="44" t="s">
        <v>37</v>
      </c>
      <c r="GH157" s="44" t="s">
        <v>37</v>
      </c>
      <c r="GJ157" s="44" t="s">
        <v>37</v>
      </c>
      <c r="GK157" s="44">
        <v>5000</v>
      </c>
      <c r="GL157" s="44" t="s">
        <v>37</v>
      </c>
      <c r="GM157" s="44">
        <v>5000</v>
      </c>
      <c r="GN157" s="44" t="s">
        <v>37</v>
      </c>
      <c r="GP157" s="44" t="s">
        <v>37</v>
      </c>
      <c r="GQ157" s="44">
        <v>26284</v>
      </c>
      <c r="GR157" s="44" t="s">
        <v>37</v>
      </c>
      <c r="GS157" s="44">
        <v>7780</v>
      </c>
      <c r="GT157" s="44" t="s">
        <v>37</v>
      </c>
      <c r="GU157" s="44">
        <v>2304</v>
      </c>
      <c r="GV157" s="44" t="s">
        <v>37</v>
      </c>
      <c r="GX157" s="44" t="s">
        <v>37</v>
      </c>
      <c r="GY157" s="44">
        <v>29631</v>
      </c>
      <c r="GZ157" s="44" t="s">
        <v>37</v>
      </c>
      <c r="HB157" s="44" t="s">
        <v>37</v>
      </c>
      <c r="HD157" s="44" t="s">
        <v>37</v>
      </c>
      <c r="HF157" s="44" t="s">
        <v>37</v>
      </c>
      <c r="HG157" s="44">
        <v>927142</v>
      </c>
      <c r="HH157" s="44" t="s">
        <v>37</v>
      </c>
      <c r="HJ157" s="44" t="s">
        <v>37</v>
      </c>
      <c r="HK157" s="44">
        <v>927142</v>
      </c>
      <c r="HL157" s="44" t="s">
        <v>37</v>
      </c>
    </row>
    <row r="158" spans="1:220">
      <c r="A158" s="150" t="s">
        <v>411</v>
      </c>
      <c r="B158" s="44">
        <v>3513</v>
      </c>
      <c r="C158" s="44" t="s">
        <v>178</v>
      </c>
      <c r="D158" s="44" t="s">
        <v>37</v>
      </c>
      <c r="E158" s="44">
        <v>62290</v>
      </c>
      <c r="F158" s="44" t="s">
        <v>37</v>
      </c>
      <c r="G158" s="44">
        <v>75013</v>
      </c>
      <c r="H158" s="44" t="s">
        <v>37</v>
      </c>
      <c r="I158" s="44">
        <v>38557</v>
      </c>
      <c r="J158" s="44" t="s">
        <v>37</v>
      </c>
      <c r="L158" s="48" t="s">
        <v>37</v>
      </c>
      <c r="M158" s="51">
        <v>59036</v>
      </c>
      <c r="N158" s="48" t="s">
        <v>37</v>
      </c>
      <c r="O158" s="51">
        <v>41403</v>
      </c>
      <c r="P158" s="48" t="s">
        <v>37</v>
      </c>
      <c r="Q158" s="51">
        <v>52017</v>
      </c>
      <c r="R158" s="48" t="s">
        <v>37</v>
      </c>
      <c r="S158" s="51">
        <v>50622</v>
      </c>
      <c r="T158" s="48" t="s">
        <v>37</v>
      </c>
      <c r="U158" s="44">
        <v>91306</v>
      </c>
      <c r="V158" s="44" t="s">
        <v>37</v>
      </c>
      <c r="X158" s="44" t="s">
        <v>37</v>
      </c>
      <c r="Z158" s="44" t="s">
        <v>37</v>
      </c>
      <c r="AA158" s="44">
        <v>41488</v>
      </c>
      <c r="AB158" s="44" t="s">
        <v>37</v>
      </c>
      <c r="AC158" s="44">
        <v>40416</v>
      </c>
      <c r="AD158" s="44" t="s">
        <v>37</v>
      </c>
      <c r="AE158" s="44">
        <v>40021</v>
      </c>
      <c r="AF158" s="44" t="s">
        <v>37</v>
      </c>
      <c r="AG158" s="44">
        <v>40620</v>
      </c>
      <c r="AH158" s="44" t="s">
        <v>37</v>
      </c>
      <c r="AI158" s="44">
        <v>46086</v>
      </c>
      <c r="AJ158" s="44" t="s">
        <v>37</v>
      </c>
      <c r="AL158" s="44" t="s">
        <v>37</v>
      </c>
      <c r="AM158" s="44">
        <v>42437</v>
      </c>
      <c r="AN158" s="44" t="s">
        <v>37</v>
      </c>
      <c r="AP158" s="44" t="s">
        <v>37</v>
      </c>
      <c r="AQ158" s="44">
        <v>158838</v>
      </c>
      <c r="AR158" s="44" t="s">
        <v>37</v>
      </c>
      <c r="AS158" s="44">
        <v>45126</v>
      </c>
      <c r="AT158" s="44" t="s">
        <v>37</v>
      </c>
      <c r="AU158" s="44">
        <v>188928</v>
      </c>
      <c r="AV158" s="44" t="s">
        <v>37</v>
      </c>
      <c r="AW158" s="44">
        <v>82856</v>
      </c>
      <c r="AX158" s="44" t="s">
        <v>37</v>
      </c>
      <c r="AY158" s="44">
        <v>61011</v>
      </c>
      <c r="AZ158" s="44" t="s">
        <v>37</v>
      </c>
      <c r="BA158" s="44">
        <v>70626</v>
      </c>
      <c r="BB158" s="44" t="s">
        <v>37</v>
      </c>
      <c r="BC158" s="44">
        <v>42856</v>
      </c>
      <c r="BD158" s="44" t="s">
        <v>37</v>
      </c>
      <c r="BE158" s="44">
        <v>50768</v>
      </c>
      <c r="BF158" s="44" t="s">
        <v>37</v>
      </c>
      <c r="BG158" s="44">
        <v>40922</v>
      </c>
      <c r="BH158" s="44" t="s">
        <v>37</v>
      </c>
      <c r="BJ158" s="44" t="s">
        <v>37</v>
      </c>
      <c r="BK158" s="44">
        <v>67354</v>
      </c>
      <c r="BL158" s="44" t="s">
        <v>37</v>
      </c>
      <c r="BM158" s="44">
        <v>101237</v>
      </c>
      <c r="BN158" s="44" t="s">
        <v>37</v>
      </c>
      <c r="BP158" s="44" t="s">
        <v>37</v>
      </c>
      <c r="BQ158" s="44">
        <v>42456</v>
      </c>
      <c r="BR158" s="44" t="s">
        <v>37</v>
      </c>
      <c r="BS158" s="44">
        <v>76546</v>
      </c>
      <c r="BT158" s="44" t="s">
        <v>37</v>
      </c>
      <c r="BU158" s="44">
        <v>41770</v>
      </c>
      <c r="BV158" s="44" t="s">
        <v>37</v>
      </c>
      <c r="BX158" s="44" t="s">
        <v>37</v>
      </c>
      <c r="BY158" s="44">
        <v>80865</v>
      </c>
      <c r="BZ158" s="44" t="s">
        <v>37</v>
      </c>
      <c r="CA158" s="44">
        <v>46227</v>
      </c>
      <c r="CB158" s="44" t="s">
        <v>37</v>
      </c>
      <c r="CD158" s="44" t="s">
        <v>37</v>
      </c>
      <c r="CE158" s="44">
        <v>55029</v>
      </c>
      <c r="CF158" s="44" t="s">
        <v>37</v>
      </c>
      <c r="CG158" s="44">
        <v>44490</v>
      </c>
      <c r="CH158" s="44" t="s">
        <v>37</v>
      </c>
      <c r="CI158" s="44">
        <v>89065</v>
      </c>
      <c r="CJ158" s="44" t="s">
        <v>37</v>
      </c>
      <c r="CK158" s="44">
        <v>40162</v>
      </c>
      <c r="CL158" s="44" t="s">
        <v>37</v>
      </c>
      <c r="CM158" s="44">
        <v>81258</v>
      </c>
      <c r="CN158" s="44" t="s">
        <v>37</v>
      </c>
      <c r="CO158" s="44">
        <v>11316</v>
      </c>
      <c r="CP158" s="44" t="s">
        <v>37</v>
      </c>
      <c r="CQ158" s="44">
        <v>40529</v>
      </c>
      <c r="CR158" s="44" t="s">
        <v>37</v>
      </c>
      <c r="CS158" s="44">
        <v>89101</v>
      </c>
      <c r="CT158" s="44" t="s">
        <v>37</v>
      </c>
      <c r="CU158" s="44">
        <v>306923</v>
      </c>
      <c r="CV158" s="44" t="s">
        <v>37</v>
      </c>
      <c r="CW158" s="44">
        <v>74722</v>
      </c>
      <c r="CX158" s="44" t="s">
        <v>37</v>
      </c>
      <c r="CY158" s="44">
        <v>32495</v>
      </c>
      <c r="CZ158" s="44" t="s">
        <v>37</v>
      </c>
      <c r="DA158" s="44">
        <v>37048</v>
      </c>
      <c r="DB158" s="44" t="s">
        <v>37</v>
      </c>
      <c r="DD158" s="44" t="s">
        <v>37</v>
      </c>
      <c r="DE158" s="44">
        <v>66534</v>
      </c>
      <c r="DF158" s="44" t="s">
        <v>37</v>
      </c>
      <c r="DG158" s="44">
        <v>35137</v>
      </c>
      <c r="DH158" s="44" t="s">
        <v>37</v>
      </c>
      <c r="DI158" s="44">
        <v>181785</v>
      </c>
      <c r="DJ158" s="44" t="s">
        <v>37</v>
      </c>
      <c r="DK158" s="44">
        <v>53617</v>
      </c>
      <c r="DL158" s="44" t="s">
        <v>37</v>
      </c>
      <c r="DM158" s="44">
        <v>72387</v>
      </c>
      <c r="DN158" s="44" t="s">
        <v>37</v>
      </c>
      <c r="DO158" s="44">
        <v>77300</v>
      </c>
      <c r="DP158" s="44" t="s">
        <v>37</v>
      </c>
      <c r="DQ158" s="44">
        <v>76465</v>
      </c>
      <c r="DR158" s="44" t="s">
        <v>37</v>
      </c>
      <c r="DS158" s="44">
        <v>48540</v>
      </c>
      <c r="DT158" s="44" t="s">
        <v>37</v>
      </c>
      <c r="DU158" s="44">
        <v>42493</v>
      </c>
      <c r="DV158" s="44" t="s">
        <v>37</v>
      </c>
      <c r="DW158" s="44">
        <v>74463</v>
      </c>
      <c r="DX158" s="44" t="s">
        <v>37</v>
      </c>
      <c r="DY158" s="44">
        <v>64858</v>
      </c>
      <c r="DZ158" s="44" t="s">
        <v>37</v>
      </c>
      <c r="EA158" s="44">
        <v>58121</v>
      </c>
      <c r="EB158" s="44" t="s">
        <v>37</v>
      </c>
      <c r="EC158" s="44">
        <v>70991</v>
      </c>
      <c r="ED158" s="44" t="s">
        <v>37</v>
      </c>
      <c r="EE158" s="44">
        <v>62848</v>
      </c>
      <c r="EF158" s="44" t="s">
        <v>37</v>
      </c>
      <c r="EG158" s="44">
        <v>24111</v>
      </c>
      <c r="EH158" s="44" t="s">
        <v>37</v>
      </c>
      <c r="EJ158" s="44" t="s">
        <v>37</v>
      </c>
      <c r="EK158" s="44">
        <v>50898</v>
      </c>
      <c r="EL158" s="44" t="s">
        <v>37</v>
      </c>
      <c r="EM158" s="44">
        <v>56098</v>
      </c>
      <c r="EN158" s="44" t="s">
        <v>37</v>
      </c>
      <c r="EO158" s="44">
        <v>39598</v>
      </c>
      <c r="EP158" s="44" t="s">
        <v>37</v>
      </c>
      <c r="ER158" s="44" t="s">
        <v>37</v>
      </c>
      <c r="ES158" s="44">
        <v>93558</v>
      </c>
      <c r="ET158" s="44" t="s">
        <v>37</v>
      </c>
      <c r="EU158" s="44">
        <v>60189</v>
      </c>
      <c r="EV158" s="44" t="s">
        <v>37</v>
      </c>
      <c r="EW158" s="44">
        <v>57358</v>
      </c>
      <c r="EX158" s="44" t="s">
        <v>37</v>
      </c>
      <c r="EZ158" s="44" t="s">
        <v>37</v>
      </c>
      <c r="FA158" s="44">
        <v>56350</v>
      </c>
      <c r="FB158" s="44" t="s">
        <v>37</v>
      </c>
      <c r="FC158" s="44">
        <v>54407</v>
      </c>
      <c r="FD158" s="44" t="s">
        <v>37</v>
      </c>
      <c r="FE158" s="44">
        <v>117166</v>
      </c>
      <c r="FF158" s="44" t="s">
        <v>37</v>
      </c>
      <c r="FH158" s="44" t="s">
        <v>37</v>
      </c>
      <c r="FI158" s="44">
        <v>88885</v>
      </c>
      <c r="FJ158" s="44" t="s">
        <v>37</v>
      </c>
      <c r="FK158" s="44">
        <v>154459</v>
      </c>
      <c r="FL158" s="44" t="s">
        <v>37</v>
      </c>
      <c r="FM158" s="44">
        <v>118547</v>
      </c>
      <c r="FN158" s="44" t="s">
        <v>37</v>
      </c>
      <c r="FO158" s="44">
        <v>44196</v>
      </c>
      <c r="FP158" s="44" t="s">
        <v>37</v>
      </c>
      <c r="FQ158" s="44">
        <v>51586</v>
      </c>
      <c r="FR158" s="44" t="s">
        <v>37</v>
      </c>
      <c r="FS158" s="44">
        <v>63828</v>
      </c>
      <c r="FT158" s="44" t="s">
        <v>37</v>
      </c>
      <c r="FU158" s="44">
        <v>45578</v>
      </c>
      <c r="FV158" s="44" t="s">
        <v>37</v>
      </c>
      <c r="FW158" s="44">
        <v>45691</v>
      </c>
      <c r="FX158" s="44" t="s">
        <v>37</v>
      </c>
      <c r="FY158" s="44">
        <v>54463</v>
      </c>
      <c r="FZ158" s="44" t="s">
        <v>37</v>
      </c>
      <c r="GA158" s="44">
        <v>60728</v>
      </c>
      <c r="GB158" s="44" t="s">
        <v>37</v>
      </c>
      <c r="GC158" s="44">
        <v>73228</v>
      </c>
      <c r="GD158" s="44" t="s">
        <v>37</v>
      </c>
      <c r="GF158" s="44" t="s">
        <v>37</v>
      </c>
      <c r="GH158" s="44" t="s">
        <v>37</v>
      </c>
      <c r="GJ158" s="44" t="s">
        <v>37</v>
      </c>
      <c r="GK158" s="44">
        <v>111372</v>
      </c>
      <c r="GL158" s="44" t="s">
        <v>37</v>
      </c>
      <c r="GM158" s="44">
        <v>71768</v>
      </c>
      <c r="GN158" s="44" t="s">
        <v>37</v>
      </c>
      <c r="GP158" s="44" t="s">
        <v>37</v>
      </c>
      <c r="GQ158" s="44">
        <v>63528</v>
      </c>
      <c r="GR158" s="44" t="s">
        <v>37</v>
      </c>
      <c r="GS158" s="44">
        <v>69441</v>
      </c>
      <c r="GT158" s="44" t="s">
        <v>37</v>
      </c>
      <c r="GU158" s="44">
        <v>54322</v>
      </c>
      <c r="GV158" s="44" t="s">
        <v>37</v>
      </c>
      <c r="GW158" s="44">
        <v>46255</v>
      </c>
      <c r="GX158" s="44" t="s">
        <v>37</v>
      </c>
      <c r="GY158" s="44">
        <v>95115</v>
      </c>
      <c r="GZ158" s="44" t="s">
        <v>37</v>
      </c>
      <c r="HA158" s="44">
        <v>44280</v>
      </c>
      <c r="HB158" s="44" t="s">
        <v>37</v>
      </c>
      <c r="HC158" s="44">
        <v>39075</v>
      </c>
      <c r="HD158" s="44" t="s">
        <v>37</v>
      </c>
      <c r="HF158" s="44" t="s">
        <v>37</v>
      </c>
      <c r="HG158" s="44">
        <v>5774378</v>
      </c>
      <c r="HH158" s="44" t="s">
        <v>37</v>
      </c>
      <c r="HI158" s="44">
        <v>39075</v>
      </c>
      <c r="HJ158" s="44" t="s">
        <v>37</v>
      </c>
      <c r="HK158" s="44">
        <v>5813453</v>
      </c>
      <c r="HL158" s="44" t="s">
        <v>37</v>
      </c>
    </row>
    <row r="159" spans="1:220">
      <c r="A159" s="150" t="s">
        <v>411</v>
      </c>
      <c r="B159" s="44">
        <v>3515</v>
      </c>
      <c r="C159" s="44" t="s">
        <v>179</v>
      </c>
      <c r="D159" s="44" t="s">
        <v>37</v>
      </c>
      <c r="E159" s="44">
        <v>1369</v>
      </c>
      <c r="F159" s="44" t="s">
        <v>37</v>
      </c>
      <c r="G159" s="44">
        <v>39404</v>
      </c>
      <c r="H159" s="44" t="s">
        <v>37</v>
      </c>
      <c r="J159" s="44" t="s">
        <v>37</v>
      </c>
      <c r="L159" s="48" t="s">
        <v>37</v>
      </c>
      <c r="M159" s="51">
        <v>16293</v>
      </c>
      <c r="N159" s="48" t="s">
        <v>37</v>
      </c>
      <c r="O159" s="50">
        <v>810</v>
      </c>
      <c r="P159" s="48" t="s">
        <v>37</v>
      </c>
      <c r="Q159" s="50"/>
      <c r="R159" s="48" t="s">
        <v>37</v>
      </c>
      <c r="S159" s="51">
        <v>3158</v>
      </c>
      <c r="T159" s="48" t="s">
        <v>37</v>
      </c>
      <c r="U159" s="44">
        <v>8620</v>
      </c>
      <c r="V159" s="44" t="s">
        <v>37</v>
      </c>
      <c r="X159" s="44" t="s">
        <v>37</v>
      </c>
      <c r="Z159" s="44" t="s">
        <v>37</v>
      </c>
      <c r="AA159" s="44">
        <v>1550</v>
      </c>
      <c r="AB159" s="44" t="s">
        <v>37</v>
      </c>
      <c r="AC159" s="44">
        <v>1810</v>
      </c>
      <c r="AD159" s="44" t="s">
        <v>37</v>
      </c>
      <c r="AE159" s="44">
        <v>530</v>
      </c>
      <c r="AF159" s="44" t="s">
        <v>37</v>
      </c>
      <c r="AG159" s="44">
        <v>6591</v>
      </c>
      <c r="AH159" s="44" t="s">
        <v>37</v>
      </c>
      <c r="AI159" s="44">
        <v>310</v>
      </c>
      <c r="AJ159" s="44" t="s">
        <v>37</v>
      </c>
      <c r="AL159" s="44" t="s">
        <v>37</v>
      </c>
      <c r="AM159" s="44">
        <v>69898</v>
      </c>
      <c r="AN159" s="44" t="s">
        <v>37</v>
      </c>
      <c r="AP159" s="44" t="s">
        <v>37</v>
      </c>
      <c r="AQ159" s="44">
        <v>9150</v>
      </c>
      <c r="AR159" s="44" t="s">
        <v>37</v>
      </c>
      <c r="AT159" s="44" t="s">
        <v>37</v>
      </c>
      <c r="AU159" s="44">
        <v>58585</v>
      </c>
      <c r="AV159" s="44" t="s">
        <v>37</v>
      </c>
      <c r="AW159" s="44">
        <v>7655</v>
      </c>
      <c r="AX159" s="44" t="s">
        <v>37</v>
      </c>
      <c r="AY159" s="44">
        <v>3188</v>
      </c>
      <c r="AZ159" s="44" t="s">
        <v>37</v>
      </c>
      <c r="BA159" s="44">
        <v>3539</v>
      </c>
      <c r="BB159" s="44" t="s">
        <v>37</v>
      </c>
      <c r="BD159" s="44" t="s">
        <v>37</v>
      </c>
      <c r="BF159" s="44" t="s">
        <v>37</v>
      </c>
      <c r="BH159" s="44" t="s">
        <v>37</v>
      </c>
      <c r="BJ159" s="44" t="s">
        <v>37</v>
      </c>
      <c r="BK159" s="44">
        <v>624</v>
      </c>
      <c r="BL159" s="44" t="s">
        <v>37</v>
      </c>
      <c r="BM159" s="44">
        <v>3294</v>
      </c>
      <c r="BN159" s="44" t="s">
        <v>37</v>
      </c>
      <c r="BP159" s="44" t="s">
        <v>37</v>
      </c>
      <c r="BQ159" s="44">
        <v>434</v>
      </c>
      <c r="BR159" s="44" t="s">
        <v>37</v>
      </c>
      <c r="BS159" s="44">
        <v>660</v>
      </c>
      <c r="BT159" s="44" t="s">
        <v>37</v>
      </c>
      <c r="BU159" s="44">
        <v>130</v>
      </c>
      <c r="BV159" s="44" t="s">
        <v>37</v>
      </c>
      <c r="BX159" s="44" t="s">
        <v>37</v>
      </c>
      <c r="BY159" s="44">
        <v>19690</v>
      </c>
      <c r="BZ159" s="44" t="s">
        <v>37</v>
      </c>
      <c r="CB159" s="44" t="s">
        <v>37</v>
      </c>
      <c r="CD159" s="44" t="s">
        <v>37</v>
      </c>
      <c r="CE159" s="44">
        <v>1506</v>
      </c>
      <c r="CF159" s="44" t="s">
        <v>37</v>
      </c>
      <c r="CH159" s="44" t="s">
        <v>37</v>
      </c>
      <c r="CI159" s="44">
        <v>56526</v>
      </c>
      <c r="CJ159" s="44" t="s">
        <v>37</v>
      </c>
      <c r="CK159" s="44">
        <v>440</v>
      </c>
      <c r="CL159" s="44" t="s">
        <v>37</v>
      </c>
      <c r="CM159" s="44">
        <v>3879</v>
      </c>
      <c r="CN159" s="44" t="s">
        <v>37</v>
      </c>
      <c r="CO159" s="44">
        <v>750</v>
      </c>
      <c r="CP159" s="44" t="s">
        <v>37</v>
      </c>
      <c r="CQ159" s="44">
        <v>1400</v>
      </c>
      <c r="CR159" s="44" t="s">
        <v>37</v>
      </c>
      <c r="CS159" s="44">
        <v>6960</v>
      </c>
      <c r="CT159" s="44" t="s">
        <v>37</v>
      </c>
      <c r="CU159" s="44">
        <v>190462</v>
      </c>
      <c r="CV159" s="44" t="s">
        <v>37</v>
      </c>
      <c r="CW159" s="44">
        <v>8410</v>
      </c>
      <c r="CX159" s="44" t="s">
        <v>37</v>
      </c>
      <c r="CY159" s="44">
        <v>470</v>
      </c>
      <c r="CZ159" s="44" t="s">
        <v>37</v>
      </c>
      <c r="DA159" s="44">
        <v>1770</v>
      </c>
      <c r="DB159" s="44" t="s">
        <v>37</v>
      </c>
      <c r="DD159" s="44" t="s">
        <v>37</v>
      </c>
      <c r="DE159" s="44">
        <v>660</v>
      </c>
      <c r="DF159" s="44" t="s">
        <v>37</v>
      </c>
      <c r="DH159" s="44" t="s">
        <v>37</v>
      </c>
      <c r="DI159" s="44">
        <v>41613</v>
      </c>
      <c r="DJ159" s="44" t="s">
        <v>37</v>
      </c>
      <c r="DK159" s="44">
        <v>1327</v>
      </c>
      <c r="DL159" s="44" t="s">
        <v>37</v>
      </c>
      <c r="DM159" s="44">
        <v>2517</v>
      </c>
      <c r="DN159" s="44" t="s">
        <v>37</v>
      </c>
      <c r="DO159" s="44">
        <v>4213</v>
      </c>
      <c r="DP159" s="44" t="s">
        <v>37</v>
      </c>
      <c r="DQ159" s="44">
        <v>4100</v>
      </c>
      <c r="DR159" s="44" t="s">
        <v>37</v>
      </c>
      <c r="DS159" s="44">
        <v>2290</v>
      </c>
      <c r="DT159" s="44" t="s">
        <v>37</v>
      </c>
      <c r="DU159" s="44">
        <v>850</v>
      </c>
      <c r="DV159" s="44" t="s">
        <v>37</v>
      </c>
      <c r="DW159" s="44">
        <v>15575</v>
      </c>
      <c r="DX159" s="44" t="s">
        <v>37</v>
      </c>
      <c r="DY159" s="44">
        <v>14011</v>
      </c>
      <c r="DZ159" s="44" t="s">
        <v>37</v>
      </c>
      <c r="EA159" s="44">
        <v>590</v>
      </c>
      <c r="EB159" s="44" t="s">
        <v>37</v>
      </c>
      <c r="EC159" s="44">
        <v>620</v>
      </c>
      <c r="ED159" s="44" t="s">
        <v>37</v>
      </c>
      <c r="EE159" s="44">
        <v>51730</v>
      </c>
      <c r="EF159" s="44" t="s">
        <v>37</v>
      </c>
      <c r="EG159" s="44">
        <v>650</v>
      </c>
      <c r="EH159" s="44" t="s">
        <v>37</v>
      </c>
      <c r="EJ159" s="44" t="s">
        <v>37</v>
      </c>
      <c r="EK159" s="44">
        <v>1900</v>
      </c>
      <c r="EL159" s="44" t="s">
        <v>37</v>
      </c>
      <c r="EM159" s="44">
        <v>609</v>
      </c>
      <c r="EN159" s="44" t="s">
        <v>37</v>
      </c>
      <c r="EO159" s="44">
        <v>470</v>
      </c>
      <c r="EP159" s="44" t="s">
        <v>37</v>
      </c>
      <c r="ER159" s="44" t="s">
        <v>37</v>
      </c>
      <c r="ES159" s="44">
        <v>1690</v>
      </c>
      <c r="ET159" s="44" t="s">
        <v>37</v>
      </c>
      <c r="EU159" s="44">
        <v>2480</v>
      </c>
      <c r="EV159" s="44" t="s">
        <v>37</v>
      </c>
      <c r="EW159" s="44">
        <v>7747</v>
      </c>
      <c r="EX159" s="44" t="s">
        <v>37</v>
      </c>
      <c r="EZ159" s="44" t="s">
        <v>37</v>
      </c>
      <c r="FA159" s="44">
        <v>1240</v>
      </c>
      <c r="FB159" s="44" t="s">
        <v>37</v>
      </c>
      <c r="FC159" s="44">
        <v>2480</v>
      </c>
      <c r="FD159" s="44" t="s">
        <v>37</v>
      </c>
      <c r="FE159" s="44">
        <v>10288</v>
      </c>
      <c r="FF159" s="44" t="s">
        <v>37</v>
      </c>
      <c r="FH159" s="44" t="s">
        <v>37</v>
      </c>
      <c r="FI159" s="44">
        <v>20956</v>
      </c>
      <c r="FJ159" s="44" t="s">
        <v>37</v>
      </c>
      <c r="FK159" s="44">
        <v>56181</v>
      </c>
      <c r="FL159" s="44" t="s">
        <v>37</v>
      </c>
      <c r="FM159" s="44">
        <v>40440</v>
      </c>
      <c r="FN159" s="44" t="s">
        <v>37</v>
      </c>
      <c r="FO159" s="44">
        <v>470</v>
      </c>
      <c r="FP159" s="44" t="s">
        <v>37</v>
      </c>
      <c r="FQ159" s="44">
        <v>5970</v>
      </c>
      <c r="FR159" s="44" t="s">
        <v>37</v>
      </c>
      <c r="FS159" s="44">
        <v>6367</v>
      </c>
      <c r="FT159" s="44" t="s">
        <v>37</v>
      </c>
      <c r="FU159" s="44">
        <v>2550</v>
      </c>
      <c r="FV159" s="44" t="s">
        <v>37</v>
      </c>
      <c r="FW159" s="44">
        <v>5460</v>
      </c>
      <c r="FX159" s="44" t="s">
        <v>37</v>
      </c>
      <c r="FY159" s="44">
        <v>5759</v>
      </c>
      <c r="FZ159" s="44" t="s">
        <v>37</v>
      </c>
      <c r="GA159" s="44">
        <v>19936</v>
      </c>
      <c r="GB159" s="44" t="s">
        <v>37</v>
      </c>
      <c r="GC159" s="44">
        <v>12294</v>
      </c>
      <c r="GD159" s="44" t="s">
        <v>37</v>
      </c>
      <c r="GF159" s="44" t="s">
        <v>37</v>
      </c>
      <c r="GH159" s="44" t="s">
        <v>37</v>
      </c>
      <c r="GJ159" s="44" t="s">
        <v>37</v>
      </c>
      <c r="GK159" s="44">
        <v>75</v>
      </c>
      <c r="GL159" s="44" t="s">
        <v>37</v>
      </c>
      <c r="GM159" s="44">
        <v>3633</v>
      </c>
      <c r="GN159" s="44" t="s">
        <v>37</v>
      </c>
      <c r="GP159" s="44" t="s">
        <v>37</v>
      </c>
      <c r="GQ159" s="44">
        <v>3386</v>
      </c>
      <c r="GR159" s="44" t="s">
        <v>37</v>
      </c>
      <c r="GT159" s="44" t="s">
        <v>37</v>
      </c>
      <c r="GV159" s="44" t="s">
        <v>37</v>
      </c>
      <c r="GW159" s="44">
        <v>2140</v>
      </c>
      <c r="GX159" s="44" t="s">
        <v>37</v>
      </c>
      <c r="GY159" s="44">
        <v>34680</v>
      </c>
      <c r="GZ159" s="44" t="s">
        <v>37</v>
      </c>
      <c r="HA159" s="44">
        <v>6470</v>
      </c>
      <c r="HB159" s="44" t="s">
        <v>37</v>
      </c>
      <c r="HD159" s="44" t="s">
        <v>37</v>
      </c>
      <c r="HF159" s="44" t="s">
        <v>37</v>
      </c>
      <c r="HG159" s="44">
        <v>926282</v>
      </c>
      <c r="HH159" s="44" t="s">
        <v>37</v>
      </c>
      <c r="HJ159" s="44" t="s">
        <v>37</v>
      </c>
      <c r="HK159" s="44">
        <v>926282</v>
      </c>
      <c r="HL159" s="44" t="s">
        <v>37</v>
      </c>
    </row>
    <row r="160" spans="1:220">
      <c r="A160" s="150" t="s">
        <v>411</v>
      </c>
      <c r="B160" s="44">
        <v>3517</v>
      </c>
      <c r="C160" s="44" t="s">
        <v>180</v>
      </c>
      <c r="D160" s="44" t="s">
        <v>37</v>
      </c>
      <c r="E160" s="44">
        <v>1000</v>
      </c>
      <c r="F160" s="44" t="s">
        <v>37</v>
      </c>
      <c r="G160" s="44">
        <v>7000</v>
      </c>
      <c r="H160" s="44" t="s">
        <v>37</v>
      </c>
      <c r="J160" s="44" t="s">
        <v>37</v>
      </c>
      <c r="L160" s="48" t="s">
        <v>37</v>
      </c>
      <c r="M160" s="51">
        <v>1000</v>
      </c>
      <c r="N160" s="48" t="s">
        <v>37</v>
      </c>
      <c r="O160" s="50">
        <v>500</v>
      </c>
      <c r="P160" s="48" t="s">
        <v>37</v>
      </c>
      <c r="Q160" s="50">
        <v>565</v>
      </c>
      <c r="R160" s="48" t="s">
        <v>37</v>
      </c>
      <c r="S160" s="50"/>
      <c r="T160" s="48" t="s">
        <v>37</v>
      </c>
      <c r="V160" s="44" t="s">
        <v>37</v>
      </c>
      <c r="X160" s="44" t="s">
        <v>37</v>
      </c>
      <c r="Z160" s="44" t="s">
        <v>37</v>
      </c>
      <c r="AB160" s="44" t="s">
        <v>37</v>
      </c>
      <c r="AD160" s="44" t="s">
        <v>37</v>
      </c>
      <c r="AE160" s="44">
        <v>500</v>
      </c>
      <c r="AF160" s="44" t="s">
        <v>37</v>
      </c>
      <c r="AG160" s="44">
        <v>2000</v>
      </c>
      <c r="AH160" s="44" t="s">
        <v>37</v>
      </c>
      <c r="AI160" s="44">
        <v>500</v>
      </c>
      <c r="AJ160" s="44" t="s">
        <v>37</v>
      </c>
      <c r="AL160" s="44" t="s">
        <v>37</v>
      </c>
      <c r="AM160" s="44">
        <v>7500</v>
      </c>
      <c r="AN160" s="44" t="s">
        <v>37</v>
      </c>
      <c r="AP160" s="44" t="s">
        <v>37</v>
      </c>
      <c r="AQ160" s="44">
        <v>5000</v>
      </c>
      <c r="AR160" s="44" t="s">
        <v>37</v>
      </c>
      <c r="AT160" s="44" t="s">
        <v>37</v>
      </c>
      <c r="AU160" s="44">
        <v>12500</v>
      </c>
      <c r="AV160" s="44" t="s">
        <v>37</v>
      </c>
      <c r="AW160" s="44">
        <v>4500</v>
      </c>
      <c r="AX160" s="44" t="s">
        <v>37</v>
      </c>
      <c r="AY160" s="44">
        <v>5325</v>
      </c>
      <c r="AZ160" s="44" t="s">
        <v>37</v>
      </c>
      <c r="BA160" s="44">
        <v>3000</v>
      </c>
      <c r="BB160" s="44" t="s">
        <v>37</v>
      </c>
      <c r="BD160" s="44" t="s">
        <v>37</v>
      </c>
      <c r="BF160" s="44" t="s">
        <v>37</v>
      </c>
      <c r="BG160" s="44">
        <v>960</v>
      </c>
      <c r="BH160" s="44" t="s">
        <v>37</v>
      </c>
      <c r="BJ160" s="44" t="s">
        <v>37</v>
      </c>
      <c r="BL160" s="44" t="s">
        <v>37</v>
      </c>
      <c r="BM160" s="44">
        <v>159</v>
      </c>
      <c r="BN160" s="44" t="s">
        <v>37</v>
      </c>
      <c r="BP160" s="44" t="s">
        <v>37</v>
      </c>
      <c r="BQ160" s="44">
        <v>1000</v>
      </c>
      <c r="BR160" s="44" t="s">
        <v>37</v>
      </c>
      <c r="BT160" s="44" t="s">
        <v>37</v>
      </c>
      <c r="BU160" s="44">
        <v>500</v>
      </c>
      <c r="BV160" s="44" t="s">
        <v>37</v>
      </c>
      <c r="BX160" s="44" t="s">
        <v>37</v>
      </c>
      <c r="BY160" s="44">
        <v>1500</v>
      </c>
      <c r="BZ160" s="44" t="s">
        <v>37</v>
      </c>
      <c r="CB160" s="44" t="s">
        <v>37</v>
      </c>
      <c r="CD160" s="44" t="s">
        <v>37</v>
      </c>
      <c r="CE160" s="44">
        <v>1528</v>
      </c>
      <c r="CF160" s="44" t="s">
        <v>37</v>
      </c>
      <c r="CG160" s="44">
        <v>117</v>
      </c>
      <c r="CH160" s="44" t="s">
        <v>37</v>
      </c>
      <c r="CI160" s="44">
        <v>2500</v>
      </c>
      <c r="CJ160" s="44" t="s">
        <v>37</v>
      </c>
      <c r="CK160" s="44">
        <v>1500</v>
      </c>
      <c r="CL160" s="44" t="s">
        <v>37</v>
      </c>
      <c r="CM160" s="44">
        <v>500</v>
      </c>
      <c r="CN160" s="44" t="s">
        <v>37</v>
      </c>
      <c r="CO160" s="44">
        <v>1000</v>
      </c>
      <c r="CP160" s="44" t="s">
        <v>37</v>
      </c>
      <c r="CR160" s="44" t="s">
        <v>37</v>
      </c>
      <c r="CS160" s="44">
        <v>810</v>
      </c>
      <c r="CT160" s="44" t="s">
        <v>37</v>
      </c>
      <c r="CU160" s="44">
        <v>23500</v>
      </c>
      <c r="CV160" s="44" t="s">
        <v>37</v>
      </c>
      <c r="CW160" s="44">
        <v>6000</v>
      </c>
      <c r="CX160" s="44" t="s">
        <v>37</v>
      </c>
      <c r="CY160" s="44">
        <v>660</v>
      </c>
      <c r="CZ160" s="44" t="s">
        <v>37</v>
      </c>
      <c r="DA160" s="44">
        <v>500</v>
      </c>
      <c r="DB160" s="44" t="s">
        <v>37</v>
      </c>
      <c r="DD160" s="44" t="s">
        <v>37</v>
      </c>
      <c r="DF160" s="44" t="s">
        <v>37</v>
      </c>
      <c r="DH160" s="44" t="s">
        <v>37</v>
      </c>
      <c r="DI160" s="44">
        <v>17939</v>
      </c>
      <c r="DJ160" s="44" t="s">
        <v>37</v>
      </c>
      <c r="DL160" s="44" t="s">
        <v>37</v>
      </c>
      <c r="DM160" s="44">
        <v>2517</v>
      </c>
      <c r="DN160" s="44" t="s">
        <v>37</v>
      </c>
      <c r="DP160" s="44" t="s">
        <v>37</v>
      </c>
      <c r="DR160" s="44" t="s">
        <v>37</v>
      </c>
      <c r="DT160" s="44" t="s">
        <v>37</v>
      </c>
      <c r="DU160" s="44">
        <v>50</v>
      </c>
      <c r="DV160" s="44" t="s">
        <v>37</v>
      </c>
      <c r="DW160" s="44">
        <v>11000</v>
      </c>
      <c r="DX160" s="44" t="s">
        <v>37</v>
      </c>
      <c r="DY160" s="44">
        <v>3484</v>
      </c>
      <c r="DZ160" s="44" t="s">
        <v>37</v>
      </c>
      <c r="EB160" s="44" t="s">
        <v>37</v>
      </c>
      <c r="EC160" s="44">
        <v>500</v>
      </c>
      <c r="ED160" s="44" t="s">
        <v>37</v>
      </c>
      <c r="EE160" s="44">
        <v>5508</v>
      </c>
      <c r="EF160" s="44" t="s">
        <v>37</v>
      </c>
      <c r="EG160" s="44">
        <v>1065</v>
      </c>
      <c r="EH160" s="44" t="s">
        <v>37</v>
      </c>
      <c r="EJ160" s="44" t="s">
        <v>37</v>
      </c>
      <c r="EK160" s="44">
        <v>1000</v>
      </c>
      <c r="EL160" s="44" t="s">
        <v>37</v>
      </c>
      <c r="EM160" s="44">
        <v>339</v>
      </c>
      <c r="EN160" s="44" t="s">
        <v>37</v>
      </c>
      <c r="EO160" s="44">
        <v>500</v>
      </c>
      <c r="EP160" s="44" t="s">
        <v>37</v>
      </c>
      <c r="ER160" s="44" t="s">
        <v>37</v>
      </c>
      <c r="ES160" s="44">
        <v>1000</v>
      </c>
      <c r="ET160" s="44" t="s">
        <v>37</v>
      </c>
      <c r="EU160" s="44">
        <v>3000</v>
      </c>
      <c r="EV160" s="44" t="s">
        <v>37</v>
      </c>
      <c r="EW160" s="44">
        <v>4207</v>
      </c>
      <c r="EX160" s="44" t="s">
        <v>37</v>
      </c>
      <c r="EZ160" s="44" t="s">
        <v>37</v>
      </c>
      <c r="FA160" s="44">
        <v>1000</v>
      </c>
      <c r="FB160" s="44" t="s">
        <v>37</v>
      </c>
      <c r="FC160" s="44">
        <v>1000</v>
      </c>
      <c r="FD160" s="44" t="s">
        <v>37</v>
      </c>
      <c r="FF160" s="44" t="s">
        <v>37</v>
      </c>
      <c r="FH160" s="44" t="s">
        <v>37</v>
      </c>
      <c r="FI160" s="44">
        <v>4500</v>
      </c>
      <c r="FJ160" s="44" t="s">
        <v>37</v>
      </c>
      <c r="FK160" s="44">
        <v>14000</v>
      </c>
      <c r="FL160" s="44" t="s">
        <v>37</v>
      </c>
      <c r="FM160" s="44">
        <v>23323</v>
      </c>
      <c r="FN160" s="44" t="s">
        <v>37</v>
      </c>
      <c r="FP160" s="44" t="s">
        <v>37</v>
      </c>
      <c r="FQ160" s="44">
        <v>3000</v>
      </c>
      <c r="FR160" s="44" t="s">
        <v>37</v>
      </c>
      <c r="FS160" s="44">
        <v>500</v>
      </c>
      <c r="FT160" s="44" t="s">
        <v>37</v>
      </c>
      <c r="FU160" s="44">
        <v>500</v>
      </c>
      <c r="FV160" s="44" t="s">
        <v>37</v>
      </c>
      <c r="FW160" s="44">
        <v>1000</v>
      </c>
      <c r="FX160" s="44" t="s">
        <v>37</v>
      </c>
      <c r="FY160" s="44">
        <v>1000</v>
      </c>
      <c r="FZ160" s="44" t="s">
        <v>37</v>
      </c>
      <c r="GB160" s="44" t="s">
        <v>37</v>
      </c>
      <c r="GC160" s="44">
        <v>2500</v>
      </c>
      <c r="GD160" s="44" t="s">
        <v>37</v>
      </c>
      <c r="GF160" s="44" t="s">
        <v>37</v>
      </c>
      <c r="GH160" s="44" t="s">
        <v>37</v>
      </c>
      <c r="GJ160" s="44" t="s">
        <v>37</v>
      </c>
      <c r="GK160" s="44">
        <v>1000</v>
      </c>
      <c r="GL160" s="44" t="s">
        <v>37</v>
      </c>
      <c r="GM160" s="44">
        <v>3000</v>
      </c>
      <c r="GN160" s="44" t="s">
        <v>37</v>
      </c>
      <c r="GP160" s="44" t="s">
        <v>37</v>
      </c>
      <c r="GQ160" s="44">
        <v>1000</v>
      </c>
      <c r="GR160" s="44" t="s">
        <v>37</v>
      </c>
      <c r="GT160" s="44" t="s">
        <v>37</v>
      </c>
      <c r="GU160" s="44">
        <v>3891</v>
      </c>
      <c r="GV160" s="44" t="s">
        <v>37</v>
      </c>
      <c r="GX160" s="44" t="s">
        <v>37</v>
      </c>
      <c r="GY160" s="44">
        <v>500</v>
      </c>
      <c r="GZ160" s="44" t="s">
        <v>37</v>
      </c>
      <c r="HB160" s="44" t="s">
        <v>37</v>
      </c>
      <c r="HD160" s="44" t="s">
        <v>37</v>
      </c>
      <c r="HF160" s="44" t="s">
        <v>37</v>
      </c>
      <c r="HG160" s="44">
        <v>207447</v>
      </c>
      <c r="HH160" s="44" t="s">
        <v>37</v>
      </c>
      <c r="HJ160" s="44" t="s">
        <v>37</v>
      </c>
      <c r="HK160" s="44">
        <v>207447</v>
      </c>
      <c r="HL160" s="44" t="s">
        <v>37</v>
      </c>
    </row>
    <row r="161" spans="1:220">
      <c r="A161" s="150" t="s">
        <v>411</v>
      </c>
      <c r="B161" s="44">
        <v>3520</v>
      </c>
      <c r="C161" s="44" t="s">
        <v>181</v>
      </c>
      <c r="D161" s="44" t="s">
        <v>37</v>
      </c>
      <c r="E161" s="44">
        <v>99429</v>
      </c>
      <c r="F161" s="44" t="s">
        <v>37</v>
      </c>
      <c r="G161" s="44">
        <v>1305719</v>
      </c>
      <c r="H161" s="44" t="s">
        <v>37</v>
      </c>
      <c r="I161" s="44">
        <v>15000</v>
      </c>
      <c r="J161" s="44" t="s">
        <v>37</v>
      </c>
      <c r="L161" s="48" t="s">
        <v>37</v>
      </c>
      <c r="M161" s="51">
        <v>378320</v>
      </c>
      <c r="N161" s="48" t="s">
        <v>37</v>
      </c>
      <c r="O161" s="51">
        <v>197136</v>
      </c>
      <c r="P161" s="48" t="s">
        <v>37</v>
      </c>
      <c r="Q161" s="51">
        <v>95025</v>
      </c>
      <c r="R161" s="48" t="s">
        <v>37</v>
      </c>
      <c r="S161" s="51">
        <v>114197</v>
      </c>
      <c r="T161" s="48" t="s">
        <v>37</v>
      </c>
      <c r="U161" s="44">
        <v>378902</v>
      </c>
      <c r="V161" s="44" t="s">
        <v>37</v>
      </c>
      <c r="X161" s="44" t="s">
        <v>37</v>
      </c>
      <c r="Z161" s="44" t="s">
        <v>37</v>
      </c>
      <c r="AA161" s="44">
        <v>39594</v>
      </c>
      <c r="AB161" s="44" t="s">
        <v>37</v>
      </c>
      <c r="AC161" s="44">
        <v>38645</v>
      </c>
      <c r="AD161" s="44" t="s">
        <v>37</v>
      </c>
      <c r="AE161" s="44">
        <v>15421</v>
      </c>
      <c r="AF161" s="44" t="s">
        <v>37</v>
      </c>
      <c r="AG161" s="44">
        <v>40438</v>
      </c>
      <c r="AH161" s="44" t="s">
        <v>37</v>
      </c>
      <c r="AI161" s="44">
        <v>52514</v>
      </c>
      <c r="AJ161" s="44" t="s">
        <v>37</v>
      </c>
      <c r="AL161" s="44" t="s">
        <v>37</v>
      </c>
      <c r="AM161" s="44">
        <v>868778</v>
      </c>
      <c r="AN161" s="44" t="s">
        <v>37</v>
      </c>
      <c r="AP161" s="44" t="s">
        <v>37</v>
      </c>
      <c r="AQ161" s="44">
        <v>719776</v>
      </c>
      <c r="AR161" s="44" t="s">
        <v>37</v>
      </c>
      <c r="AS161" s="44">
        <v>37268</v>
      </c>
      <c r="AT161" s="44" t="s">
        <v>37</v>
      </c>
      <c r="AU161" s="44">
        <v>1935102</v>
      </c>
      <c r="AV161" s="44" t="s">
        <v>37</v>
      </c>
      <c r="AW161" s="44">
        <v>408929</v>
      </c>
      <c r="AX161" s="44" t="s">
        <v>37</v>
      </c>
      <c r="AY161" s="44">
        <v>159219</v>
      </c>
      <c r="AZ161" s="44" t="s">
        <v>37</v>
      </c>
      <c r="BA161" s="44">
        <v>224486</v>
      </c>
      <c r="BB161" s="44" t="s">
        <v>37</v>
      </c>
      <c r="BC161" s="44">
        <v>52540</v>
      </c>
      <c r="BD161" s="44" t="s">
        <v>37</v>
      </c>
      <c r="BE161" s="44">
        <v>66672</v>
      </c>
      <c r="BF161" s="44" t="s">
        <v>37</v>
      </c>
      <c r="BG161" s="44">
        <v>36567</v>
      </c>
      <c r="BH161" s="44" t="s">
        <v>37</v>
      </c>
      <c r="BJ161" s="44" t="s">
        <v>37</v>
      </c>
      <c r="BK161" s="44">
        <v>134503</v>
      </c>
      <c r="BL161" s="44" t="s">
        <v>37</v>
      </c>
      <c r="BM161" s="44">
        <v>357596</v>
      </c>
      <c r="BN161" s="44" t="s">
        <v>37</v>
      </c>
      <c r="BP161" s="44" t="s">
        <v>37</v>
      </c>
      <c r="BQ161" s="44">
        <v>15000</v>
      </c>
      <c r="BR161" s="44" t="s">
        <v>37</v>
      </c>
      <c r="BS161" s="44">
        <v>51463</v>
      </c>
      <c r="BT161" s="44" t="s">
        <v>37</v>
      </c>
      <c r="BU161" s="44">
        <v>55431</v>
      </c>
      <c r="BV161" s="44" t="s">
        <v>37</v>
      </c>
      <c r="BX161" s="44" t="s">
        <v>37</v>
      </c>
      <c r="BY161" s="44">
        <v>918163</v>
      </c>
      <c r="BZ161" s="44" t="s">
        <v>37</v>
      </c>
      <c r="CA161" s="44">
        <v>32926</v>
      </c>
      <c r="CB161" s="44" t="s">
        <v>37</v>
      </c>
      <c r="CD161" s="44" t="s">
        <v>37</v>
      </c>
      <c r="CE161" s="44">
        <v>112113</v>
      </c>
      <c r="CF161" s="44" t="s">
        <v>37</v>
      </c>
      <c r="CG161" s="44">
        <v>118440</v>
      </c>
      <c r="CH161" s="44" t="s">
        <v>37</v>
      </c>
      <c r="CI161" s="44">
        <v>332180</v>
      </c>
      <c r="CJ161" s="44" t="s">
        <v>37</v>
      </c>
      <c r="CK161" s="44">
        <v>22089</v>
      </c>
      <c r="CL161" s="44" t="s">
        <v>37</v>
      </c>
      <c r="CM161" s="44">
        <v>130689</v>
      </c>
      <c r="CN161" s="44" t="s">
        <v>37</v>
      </c>
      <c r="CO161" s="44">
        <v>20005</v>
      </c>
      <c r="CP161" s="44" t="s">
        <v>37</v>
      </c>
      <c r="CQ161" s="44">
        <v>68768</v>
      </c>
      <c r="CR161" s="44" t="s">
        <v>37</v>
      </c>
      <c r="CS161" s="44">
        <v>433033</v>
      </c>
      <c r="CT161" s="44" t="s">
        <v>37</v>
      </c>
      <c r="CU161" s="44">
        <v>3455472</v>
      </c>
      <c r="CV161" s="44" t="s">
        <v>37</v>
      </c>
      <c r="CW161" s="44">
        <v>371901</v>
      </c>
      <c r="CX161" s="44" t="s">
        <v>37</v>
      </c>
      <c r="CY161" s="44">
        <v>26335</v>
      </c>
      <c r="CZ161" s="44" t="s">
        <v>37</v>
      </c>
      <c r="DA161" s="44">
        <v>51653</v>
      </c>
      <c r="DB161" s="44" t="s">
        <v>37</v>
      </c>
      <c r="DD161" s="44" t="s">
        <v>37</v>
      </c>
      <c r="DE161" s="44">
        <v>54181</v>
      </c>
      <c r="DF161" s="44" t="s">
        <v>37</v>
      </c>
      <c r="DG161" s="44">
        <v>15838</v>
      </c>
      <c r="DH161" s="44" t="s">
        <v>37</v>
      </c>
      <c r="DI161" s="44">
        <v>2226879</v>
      </c>
      <c r="DJ161" s="44" t="s">
        <v>37</v>
      </c>
      <c r="DK161" s="44">
        <v>46264</v>
      </c>
      <c r="DL161" s="44" t="s">
        <v>37</v>
      </c>
      <c r="DM161" s="44">
        <v>605169</v>
      </c>
      <c r="DN161" s="44" t="s">
        <v>37</v>
      </c>
      <c r="DO161" s="44">
        <v>265071</v>
      </c>
      <c r="DP161" s="44" t="s">
        <v>37</v>
      </c>
      <c r="DQ161" s="44">
        <v>81382</v>
      </c>
      <c r="DR161" s="44" t="s">
        <v>37</v>
      </c>
      <c r="DS161" s="44">
        <v>123334</v>
      </c>
      <c r="DT161" s="44" t="s">
        <v>37</v>
      </c>
      <c r="DU161" s="44">
        <v>15838</v>
      </c>
      <c r="DV161" s="44" t="s">
        <v>37</v>
      </c>
      <c r="DW161" s="44">
        <v>1196512</v>
      </c>
      <c r="DX161" s="44" t="s">
        <v>37</v>
      </c>
      <c r="DY161" s="44">
        <v>437435</v>
      </c>
      <c r="DZ161" s="44" t="s">
        <v>37</v>
      </c>
      <c r="EA161" s="44">
        <v>125867</v>
      </c>
      <c r="EB161" s="44" t="s">
        <v>37</v>
      </c>
      <c r="EC161" s="44">
        <v>82565</v>
      </c>
      <c r="ED161" s="44" t="s">
        <v>37</v>
      </c>
      <c r="EE161" s="44">
        <v>1230830</v>
      </c>
      <c r="EF161" s="44" t="s">
        <v>37</v>
      </c>
      <c r="EG161" s="44">
        <v>13837</v>
      </c>
      <c r="EH161" s="44" t="s">
        <v>37</v>
      </c>
      <c r="EJ161" s="44" t="s">
        <v>37</v>
      </c>
      <c r="EK161" s="44">
        <v>82940</v>
      </c>
      <c r="EL161" s="44" t="s">
        <v>37</v>
      </c>
      <c r="EM161" s="44">
        <v>43159</v>
      </c>
      <c r="EN161" s="44" t="s">
        <v>37</v>
      </c>
      <c r="EO161" s="44">
        <v>15000</v>
      </c>
      <c r="EP161" s="44" t="s">
        <v>37</v>
      </c>
      <c r="ER161" s="44" t="s">
        <v>37</v>
      </c>
      <c r="ES161" s="44">
        <v>129618</v>
      </c>
      <c r="ET161" s="44" t="s">
        <v>37</v>
      </c>
      <c r="EU161" s="44">
        <v>248400</v>
      </c>
      <c r="EV161" s="44" t="s">
        <v>37</v>
      </c>
      <c r="EW161" s="44">
        <v>563068</v>
      </c>
      <c r="EX161" s="44" t="s">
        <v>37</v>
      </c>
      <c r="EZ161" s="44" t="s">
        <v>37</v>
      </c>
      <c r="FA161" s="44">
        <v>50014</v>
      </c>
      <c r="FB161" s="44" t="s">
        <v>37</v>
      </c>
      <c r="FC161" s="44">
        <v>95442</v>
      </c>
      <c r="FD161" s="44" t="s">
        <v>37</v>
      </c>
      <c r="FE161" s="44">
        <v>60016</v>
      </c>
      <c r="FF161" s="44" t="s">
        <v>37</v>
      </c>
      <c r="FH161" s="44" t="s">
        <v>37</v>
      </c>
      <c r="FI161" s="44">
        <v>788962</v>
      </c>
      <c r="FJ161" s="44" t="s">
        <v>37</v>
      </c>
      <c r="FK161" s="44">
        <v>1095338</v>
      </c>
      <c r="FL161" s="44" t="s">
        <v>37</v>
      </c>
      <c r="FM161" s="44">
        <v>988463</v>
      </c>
      <c r="FN161" s="44" t="s">
        <v>37</v>
      </c>
      <c r="FO161" s="44">
        <v>66685</v>
      </c>
      <c r="FP161" s="44" t="s">
        <v>37</v>
      </c>
      <c r="FQ161" s="44">
        <v>270072</v>
      </c>
      <c r="FR161" s="44" t="s">
        <v>37</v>
      </c>
      <c r="FS161" s="44">
        <v>242565</v>
      </c>
      <c r="FT161" s="44" t="s">
        <v>37</v>
      </c>
      <c r="FU161" s="44">
        <v>142538</v>
      </c>
      <c r="FV161" s="44" t="s">
        <v>37</v>
      </c>
      <c r="FW161" s="44">
        <v>57932</v>
      </c>
      <c r="FX161" s="44" t="s">
        <v>37</v>
      </c>
      <c r="FY161" s="44">
        <v>241731</v>
      </c>
      <c r="FZ161" s="44" t="s">
        <v>37</v>
      </c>
      <c r="GA161" s="44">
        <v>510554</v>
      </c>
      <c r="GB161" s="44" t="s">
        <v>37</v>
      </c>
      <c r="GC161" s="44">
        <v>468042</v>
      </c>
      <c r="GD161" s="44" t="s">
        <v>37</v>
      </c>
      <c r="GF161" s="44" t="s">
        <v>37</v>
      </c>
      <c r="GH161" s="44" t="s">
        <v>37</v>
      </c>
      <c r="GJ161" s="44" t="s">
        <v>37</v>
      </c>
      <c r="GK161" s="44">
        <v>210890</v>
      </c>
      <c r="GL161" s="44" t="s">
        <v>37</v>
      </c>
      <c r="GM161" s="44">
        <v>323003</v>
      </c>
      <c r="GN161" s="44" t="s">
        <v>37</v>
      </c>
      <c r="GP161" s="44" t="s">
        <v>37</v>
      </c>
      <c r="GQ161" s="44">
        <v>192569</v>
      </c>
      <c r="GR161" s="44" t="s">
        <v>37</v>
      </c>
      <c r="GS161" s="44">
        <v>81596</v>
      </c>
      <c r="GT161" s="44" t="s">
        <v>37</v>
      </c>
      <c r="GU161" s="44">
        <v>147007</v>
      </c>
      <c r="GV161" s="44" t="s">
        <v>37</v>
      </c>
      <c r="GW161" s="44">
        <v>303831</v>
      </c>
      <c r="GX161" s="44" t="s">
        <v>37</v>
      </c>
      <c r="GY161" s="44">
        <v>579501</v>
      </c>
      <c r="GZ161" s="44" t="s">
        <v>37</v>
      </c>
      <c r="HA161" s="44">
        <v>590575</v>
      </c>
      <c r="HB161" s="44" t="s">
        <v>37</v>
      </c>
      <c r="HD161" s="44" t="s">
        <v>37</v>
      </c>
      <c r="HF161" s="44" t="s">
        <v>37</v>
      </c>
      <c r="HG161" s="44">
        <v>29097950</v>
      </c>
      <c r="HH161" s="44" t="s">
        <v>37</v>
      </c>
      <c r="HJ161" s="44" t="s">
        <v>37</v>
      </c>
      <c r="HK161" s="44">
        <v>29097950</v>
      </c>
      <c r="HL161" s="44" t="s">
        <v>37</v>
      </c>
    </row>
    <row r="162" spans="1:220">
      <c r="A162" s="150" t="s">
        <v>411</v>
      </c>
      <c r="B162" s="44">
        <v>3522</v>
      </c>
      <c r="C162" s="44" t="s">
        <v>182</v>
      </c>
      <c r="D162" s="44" t="s">
        <v>37</v>
      </c>
      <c r="E162" s="44">
        <v>15671</v>
      </c>
      <c r="F162" s="44" t="s">
        <v>37</v>
      </c>
      <c r="G162" s="44">
        <v>114176</v>
      </c>
      <c r="H162" s="44" t="s">
        <v>37</v>
      </c>
      <c r="I162" s="44">
        <v>9501</v>
      </c>
      <c r="J162" s="44" t="s">
        <v>37</v>
      </c>
      <c r="L162" s="48" t="s">
        <v>37</v>
      </c>
      <c r="M162" s="51">
        <v>38605</v>
      </c>
      <c r="N162" s="48" t="s">
        <v>37</v>
      </c>
      <c r="O162" s="51">
        <v>22026</v>
      </c>
      <c r="P162" s="48" t="s">
        <v>37</v>
      </c>
      <c r="Q162" s="51">
        <v>11481</v>
      </c>
      <c r="R162" s="48" t="s">
        <v>37</v>
      </c>
      <c r="S162" s="51">
        <v>16834</v>
      </c>
      <c r="T162" s="48" t="s">
        <v>37</v>
      </c>
      <c r="U162" s="44">
        <v>71770</v>
      </c>
      <c r="V162" s="44" t="s">
        <v>37</v>
      </c>
      <c r="X162" s="44" t="s">
        <v>37</v>
      </c>
      <c r="Z162" s="44" t="s">
        <v>37</v>
      </c>
      <c r="AA162" s="44">
        <v>5405</v>
      </c>
      <c r="AB162" s="44" t="s">
        <v>37</v>
      </c>
      <c r="AD162" s="44" t="s">
        <v>37</v>
      </c>
      <c r="AE162" s="44">
        <v>5472</v>
      </c>
      <c r="AF162" s="44" t="s">
        <v>37</v>
      </c>
      <c r="AG162" s="44">
        <v>7890</v>
      </c>
      <c r="AH162" s="44" t="s">
        <v>37</v>
      </c>
      <c r="AI162" s="44">
        <v>15643</v>
      </c>
      <c r="AJ162" s="44" t="s">
        <v>37</v>
      </c>
      <c r="AL162" s="44" t="s">
        <v>37</v>
      </c>
      <c r="AM162" s="44">
        <v>115182</v>
      </c>
      <c r="AN162" s="44" t="s">
        <v>37</v>
      </c>
      <c r="AP162" s="44" t="s">
        <v>37</v>
      </c>
      <c r="AQ162" s="44">
        <v>165211</v>
      </c>
      <c r="AR162" s="44" t="s">
        <v>37</v>
      </c>
      <c r="AS162" s="44">
        <v>4814</v>
      </c>
      <c r="AT162" s="44" t="s">
        <v>37</v>
      </c>
      <c r="AU162" s="44">
        <v>249092</v>
      </c>
      <c r="AV162" s="44" t="s">
        <v>37</v>
      </c>
      <c r="AW162" s="44">
        <v>91676</v>
      </c>
      <c r="AX162" s="44" t="s">
        <v>37</v>
      </c>
      <c r="AY162" s="44">
        <v>33983</v>
      </c>
      <c r="AZ162" s="44" t="s">
        <v>37</v>
      </c>
      <c r="BA162" s="44">
        <v>50413</v>
      </c>
      <c r="BB162" s="44" t="s">
        <v>37</v>
      </c>
      <c r="BC162" s="44">
        <v>6743</v>
      </c>
      <c r="BD162" s="44" t="s">
        <v>37</v>
      </c>
      <c r="BE162" s="44">
        <v>5587</v>
      </c>
      <c r="BF162" s="44" t="s">
        <v>37</v>
      </c>
      <c r="BH162" s="44" t="s">
        <v>37</v>
      </c>
      <c r="BJ162" s="44" t="s">
        <v>37</v>
      </c>
      <c r="BK162" s="44">
        <v>46238</v>
      </c>
      <c r="BL162" s="44" t="s">
        <v>37</v>
      </c>
      <c r="BM162" s="44">
        <v>59829</v>
      </c>
      <c r="BN162" s="44" t="s">
        <v>37</v>
      </c>
      <c r="BP162" s="44" t="s">
        <v>37</v>
      </c>
      <c r="BR162" s="44" t="s">
        <v>37</v>
      </c>
      <c r="BS162" s="44">
        <v>20630</v>
      </c>
      <c r="BT162" s="44" t="s">
        <v>37</v>
      </c>
      <c r="BU162" s="44">
        <v>9480</v>
      </c>
      <c r="BV162" s="44" t="s">
        <v>37</v>
      </c>
      <c r="BX162" s="44" t="s">
        <v>37</v>
      </c>
      <c r="BY162" s="44">
        <v>151553</v>
      </c>
      <c r="BZ162" s="44" t="s">
        <v>37</v>
      </c>
      <c r="CA162" s="44">
        <v>10085</v>
      </c>
      <c r="CB162" s="44" t="s">
        <v>37</v>
      </c>
      <c r="CD162" s="44" t="s">
        <v>37</v>
      </c>
      <c r="CE162" s="44">
        <v>19335</v>
      </c>
      <c r="CF162" s="44" t="s">
        <v>37</v>
      </c>
      <c r="CG162" s="44">
        <v>21078</v>
      </c>
      <c r="CH162" s="44" t="s">
        <v>37</v>
      </c>
      <c r="CI162" s="44">
        <v>85547</v>
      </c>
      <c r="CJ162" s="44" t="s">
        <v>37</v>
      </c>
      <c r="CK162" s="44">
        <v>7302</v>
      </c>
      <c r="CL162" s="44" t="s">
        <v>37</v>
      </c>
      <c r="CM162" s="44">
        <v>12657</v>
      </c>
      <c r="CN162" s="44" t="s">
        <v>37</v>
      </c>
      <c r="CO162" s="44">
        <v>4728</v>
      </c>
      <c r="CP162" s="44" t="s">
        <v>37</v>
      </c>
      <c r="CQ162" s="44">
        <v>8786</v>
      </c>
      <c r="CR162" s="44" t="s">
        <v>37</v>
      </c>
      <c r="CS162" s="44">
        <v>53384</v>
      </c>
      <c r="CT162" s="44" t="s">
        <v>37</v>
      </c>
      <c r="CU162" s="44">
        <v>392983</v>
      </c>
      <c r="CV162" s="44" t="s">
        <v>37</v>
      </c>
      <c r="CW162" s="44">
        <v>41154</v>
      </c>
      <c r="CX162" s="44" t="s">
        <v>37</v>
      </c>
      <c r="CY162" s="44">
        <v>2348</v>
      </c>
      <c r="CZ162" s="44" t="s">
        <v>37</v>
      </c>
      <c r="DA162" s="44">
        <v>14151</v>
      </c>
      <c r="DB162" s="44" t="s">
        <v>37</v>
      </c>
      <c r="DD162" s="44" t="s">
        <v>37</v>
      </c>
      <c r="DE162" s="44">
        <v>21310</v>
      </c>
      <c r="DF162" s="44" t="s">
        <v>37</v>
      </c>
      <c r="DG162" s="44">
        <v>11716</v>
      </c>
      <c r="DH162" s="44" t="s">
        <v>37</v>
      </c>
      <c r="DI162" s="44">
        <v>128195</v>
      </c>
      <c r="DJ162" s="44" t="s">
        <v>37</v>
      </c>
      <c r="DK162" s="44">
        <v>18553</v>
      </c>
      <c r="DL162" s="44" t="s">
        <v>37</v>
      </c>
      <c r="DM162" s="44">
        <v>58522</v>
      </c>
      <c r="DN162" s="44" t="s">
        <v>37</v>
      </c>
      <c r="DO162" s="44">
        <v>90317</v>
      </c>
      <c r="DP162" s="44" t="s">
        <v>37</v>
      </c>
      <c r="DQ162" s="44">
        <v>31541</v>
      </c>
      <c r="DR162" s="44" t="s">
        <v>37</v>
      </c>
      <c r="DT162" s="44" t="s">
        <v>37</v>
      </c>
      <c r="DU162" s="44">
        <v>15129</v>
      </c>
      <c r="DV162" s="44" t="s">
        <v>37</v>
      </c>
      <c r="DW162" s="44">
        <v>110236</v>
      </c>
      <c r="DX162" s="44" t="s">
        <v>37</v>
      </c>
      <c r="DY162" s="44">
        <v>33866</v>
      </c>
      <c r="DZ162" s="44" t="s">
        <v>37</v>
      </c>
      <c r="EA162" s="44">
        <v>11488</v>
      </c>
      <c r="EB162" s="44" t="s">
        <v>37</v>
      </c>
      <c r="EC162" s="44">
        <v>1181</v>
      </c>
      <c r="ED162" s="44" t="s">
        <v>37</v>
      </c>
      <c r="EE162" s="44">
        <v>78184</v>
      </c>
      <c r="EF162" s="44" t="s">
        <v>37</v>
      </c>
      <c r="EG162" s="44">
        <v>1740</v>
      </c>
      <c r="EH162" s="44" t="s">
        <v>37</v>
      </c>
      <c r="EJ162" s="44" t="s">
        <v>37</v>
      </c>
      <c r="EK162" s="44">
        <v>18589</v>
      </c>
      <c r="EL162" s="44" t="s">
        <v>37</v>
      </c>
      <c r="EM162" s="44">
        <v>11725</v>
      </c>
      <c r="EN162" s="44" t="s">
        <v>37</v>
      </c>
      <c r="EO162" s="44">
        <v>5368</v>
      </c>
      <c r="EP162" s="44" t="s">
        <v>37</v>
      </c>
      <c r="ER162" s="44" t="s">
        <v>37</v>
      </c>
      <c r="ES162" s="44">
        <v>28892</v>
      </c>
      <c r="ET162" s="44" t="s">
        <v>37</v>
      </c>
      <c r="EU162" s="44">
        <v>34175</v>
      </c>
      <c r="EV162" s="44" t="s">
        <v>37</v>
      </c>
      <c r="EW162" s="44">
        <v>64496</v>
      </c>
      <c r="EX162" s="44" t="s">
        <v>37</v>
      </c>
      <c r="EZ162" s="44" t="s">
        <v>37</v>
      </c>
      <c r="FA162" s="44">
        <v>18485</v>
      </c>
      <c r="FB162" s="44" t="s">
        <v>37</v>
      </c>
      <c r="FC162" s="44">
        <v>25559</v>
      </c>
      <c r="FD162" s="44" t="s">
        <v>37</v>
      </c>
      <c r="FE162" s="44">
        <v>39959</v>
      </c>
      <c r="FF162" s="44" t="s">
        <v>37</v>
      </c>
      <c r="FH162" s="44" t="s">
        <v>37</v>
      </c>
      <c r="FI162" s="44">
        <v>98662</v>
      </c>
      <c r="FJ162" s="44" t="s">
        <v>37</v>
      </c>
      <c r="FK162" s="44">
        <v>121299</v>
      </c>
      <c r="FL162" s="44" t="s">
        <v>37</v>
      </c>
      <c r="FM162" s="44">
        <v>117950</v>
      </c>
      <c r="FN162" s="44" t="s">
        <v>37</v>
      </c>
      <c r="FO162" s="44">
        <v>12678</v>
      </c>
      <c r="FP162" s="44" t="s">
        <v>37</v>
      </c>
      <c r="FQ162" s="44">
        <v>28555</v>
      </c>
      <c r="FR162" s="44" t="s">
        <v>37</v>
      </c>
      <c r="FS162" s="44">
        <v>55187</v>
      </c>
      <c r="FT162" s="44" t="s">
        <v>37</v>
      </c>
      <c r="FU162" s="44">
        <v>19307</v>
      </c>
      <c r="FV162" s="44" t="s">
        <v>37</v>
      </c>
      <c r="FW162" s="44">
        <v>11451</v>
      </c>
      <c r="FX162" s="44" t="s">
        <v>37</v>
      </c>
      <c r="FY162" s="44">
        <v>40519</v>
      </c>
      <c r="FZ162" s="44" t="s">
        <v>37</v>
      </c>
      <c r="GA162" s="44">
        <v>43699</v>
      </c>
      <c r="GB162" s="44" t="s">
        <v>37</v>
      </c>
      <c r="GC162" s="44">
        <v>41111</v>
      </c>
      <c r="GD162" s="44" t="s">
        <v>37</v>
      </c>
      <c r="GF162" s="44" t="s">
        <v>37</v>
      </c>
      <c r="GH162" s="44" t="s">
        <v>37</v>
      </c>
      <c r="GJ162" s="44" t="s">
        <v>37</v>
      </c>
      <c r="GK162" s="44">
        <v>52903</v>
      </c>
      <c r="GL162" s="44" t="s">
        <v>37</v>
      </c>
      <c r="GM162" s="44">
        <v>33404</v>
      </c>
      <c r="GN162" s="44" t="s">
        <v>37</v>
      </c>
      <c r="GP162" s="44" t="s">
        <v>37</v>
      </c>
      <c r="GQ162" s="44">
        <v>33686</v>
      </c>
      <c r="GR162" s="44" t="s">
        <v>37</v>
      </c>
      <c r="GS162" s="44">
        <v>33805</v>
      </c>
      <c r="GT162" s="44" t="s">
        <v>37</v>
      </c>
      <c r="GU162" s="44">
        <v>28534</v>
      </c>
      <c r="GV162" s="44" t="s">
        <v>37</v>
      </c>
      <c r="GW162" s="44">
        <v>33521</v>
      </c>
      <c r="GX162" s="44" t="s">
        <v>37</v>
      </c>
      <c r="GY162" s="44">
        <v>80003</v>
      </c>
      <c r="GZ162" s="44" t="s">
        <v>37</v>
      </c>
      <c r="HA162" s="44">
        <v>44049</v>
      </c>
      <c r="HB162" s="44" t="s">
        <v>37</v>
      </c>
      <c r="HD162" s="44" t="s">
        <v>37</v>
      </c>
      <c r="HF162" s="44" t="s">
        <v>37</v>
      </c>
      <c r="HG162" s="44">
        <v>3807992</v>
      </c>
      <c r="HH162" s="44" t="s">
        <v>37</v>
      </c>
      <c r="HJ162" s="44" t="s">
        <v>37</v>
      </c>
      <c r="HK162" s="44">
        <v>3807992</v>
      </c>
      <c r="HL162" s="44" t="s">
        <v>37</v>
      </c>
    </row>
    <row r="163" spans="1:220">
      <c r="A163" s="150" t="s">
        <v>411</v>
      </c>
      <c r="B163" s="44">
        <v>3523</v>
      </c>
      <c r="C163" s="44" t="s">
        <v>183</v>
      </c>
      <c r="D163" s="44" t="s">
        <v>37</v>
      </c>
      <c r="E163" s="44">
        <v>346</v>
      </c>
      <c r="F163" s="44" t="s">
        <v>37</v>
      </c>
      <c r="G163" s="44">
        <v>2195</v>
      </c>
      <c r="H163" s="44" t="s">
        <v>37</v>
      </c>
      <c r="J163" s="44" t="s">
        <v>37</v>
      </c>
      <c r="L163" s="48" t="s">
        <v>37</v>
      </c>
      <c r="M163" s="50">
        <v>980</v>
      </c>
      <c r="N163" s="48" t="s">
        <v>37</v>
      </c>
      <c r="O163" s="50">
        <v>282</v>
      </c>
      <c r="P163" s="48" t="s">
        <v>37</v>
      </c>
      <c r="Q163" s="50">
        <v>141</v>
      </c>
      <c r="R163" s="48" t="s">
        <v>37</v>
      </c>
      <c r="S163" s="50">
        <v>241</v>
      </c>
      <c r="T163" s="48" t="s">
        <v>37</v>
      </c>
      <c r="U163" s="44">
        <v>916</v>
      </c>
      <c r="V163" s="44" t="s">
        <v>37</v>
      </c>
      <c r="X163" s="44" t="s">
        <v>37</v>
      </c>
      <c r="Z163" s="44" t="s">
        <v>37</v>
      </c>
      <c r="AA163" s="44">
        <v>47</v>
      </c>
      <c r="AB163" s="44" t="s">
        <v>37</v>
      </c>
      <c r="AC163" s="44">
        <v>23</v>
      </c>
      <c r="AD163" s="44" t="s">
        <v>37</v>
      </c>
      <c r="AF163" s="44" t="s">
        <v>37</v>
      </c>
      <c r="AG163" s="44">
        <v>94</v>
      </c>
      <c r="AH163" s="44" t="s">
        <v>37</v>
      </c>
      <c r="AI163" s="44">
        <v>88</v>
      </c>
      <c r="AJ163" s="44" t="s">
        <v>37</v>
      </c>
      <c r="AL163" s="44" t="s">
        <v>37</v>
      </c>
      <c r="AM163" s="44">
        <v>1062</v>
      </c>
      <c r="AN163" s="44" t="s">
        <v>37</v>
      </c>
      <c r="AP163" s="44" t="s">
        <v>37</v>
      </c>
      <c r="AQ163" s="44">
        <v>1426</v>
      </c>
      <c r="AR163" s="44" t="s">
        <v>37</v>
      </c>
      <c r="AS163" s="44">
        <v>12</v>
      </c>
      <c r="AT163" s="44" t="s">
        <v>37</v>
      </c>
      <c r="AU163" s="44">
        <v>2700</v>
      </c>
      <c r="AV163" s="44" t="s">
        <v>37</v>
      </c>
      <c r="AW163" s="44">
        <v>522</v>
      </c>
      <c r="AX163" s="44" t="s">
        <v>37</v>
      </c>
      <c r="AY163" s="44">
        <v>200</v>
      </c>
      <c r="AZ163" s="44" t="s">
        <v>37</v>
      </c>
      <c r="BA163" s="44">
        <v>362</v>
      </c>
      <c r="BB163" s="44" t="s">
        <v>37</v>
      </c>
      <c r="BC163" s="44">
        <v>12</v>
      </c>
      <c r="BD163" s="44" t="s">
        <v>37</v>
      </c>
      <c r="BE163" s="44">
        <v>129</v>
      </c>
      <c r="BF163" s="44" t="s">
        <v>37</v>
      </c>
      <c r="BG163" s="44">
        <v>82</v>
      </c>
      <c r="BH163" s="44" t="s">
        <v>37</v>
      </c>
      <c r="BJ163" s="44" t="s">
        <v>37</v>
      </c>
      <c r="BK163" s="44">
        <v>158</v>
      </c>
      <c r="BL163" s="44" t="s">
        <v>37</v>
      </c>
      <c r="BN163" s="44" t="s">
        <v>37</v>
      </c>
      <c r="BP163" s="44" t="s">
        <v>37</v>
      </c>
      <c r="BR163" s="44" t="s">
        <v>37</v>
      </c>
      <c r="BT163" s="44" t="s">
        <v>37</v>
      </c>
      <c r="BU163" s="44">
        <v>105</v>
      </c>
      <c r="BV163" s="44" t="s">
        <v>37</v>
      </c>
      <c r="BX163" s="44" t="s">
        <v>37</v>
      </c>
      <c r="BY163" s="44">
        <v>1784</v>
      </c>
      <c r="BZ163" s="44" t="s">
        <v>37</v>
      </c>
      <c r="CA163" s="44">
        <v>65</v>
      </c>
      <c r="CB163" s="44" t="s">
        <v>37</v>
      </c>
      <c r="CD163" s="44" t="s">
        <v>37</v>
      </c>
      <c r="CE163" s="44">
        <v>1488</v>
      </c>
      <c r="CF163" s="44" t="s">
        <v>37</v>
      </c>
      <c r="CH163" s="44" t="s">
        <v>37</v>
      </c>
      <c r="CI163" s="44">
        <v>710</v>
      </c>
      <c r="CJ163" s="44" t="s">
        <v>37</v>
      </c>
      <c r="CK163" s="44">
        <v>59</v>
      </c>
      <c r="CL163" s="44" t="s">
        <v>37</v>
      </c>
      <c r="CN163" s="44" t="s">
        <v>37</v>
      </c>
      <c r="CO163" s="44">
        <v>18</v>
      </c>
      <c r="CP163" s="44" t="s">
        <v>37</v>
      </c>
      <c r="CQ163" s="44">
        <v>153</v>
      </c>
      <c r="CR163" s="44" t="s">
        <v>37</v>
      </c>
      <c r="CS163" s="44">
        <v>599</v>
      </c>
      <c r="CT163" s="44" t="s">
        <v>37</v>
      </c>
      <c r="CU163" s="44">
        <v>5066</v>
      </c>
      <c r="CV163" s="44" t="s">
        <v>37</v>
      </c>
      <c r="CW163" s="44">
        <v>781</v>
      </c>
      <c r="CX163" s="44" t="s">
        <v>37</v>
      </c>
      <c r="CY163" s="44">
        <v>35</v>
      </c>
      <c r="CZ163" s="44" t="s">
        <v>37</v>
      </c>
      <c r="DA163" s="44">
        <v>158</v>
      </c>
      <c r="DB163" s="44" t="s">
        <v>37</v>
      </c>
      <c r="DD163" s="44" t="s">
        <v>37</v>
      </c>
      <c r="DE163" s="44">
        <v>164</v>
      </c>
      <c r="DF163" s="44" t="s">
        <v>37</v>
      </c>
      <c r="DH163" s="44" t="s">
        <v>37</v>
      </c>
      <c r="DI163" s="44">
        <v>3598</v>
      </c>
      <c r="DJ163" s="44" t="s">
        <v>37</v>
      </c>
      <c r="DK163" s="44">
        <v>94</v>
      </c>
      <c r="DL163" s="44" t="s">
        <v>37</v>
      </c>
      <c r="DM163" s="44">
        <v>804</v>
      </c>
      <c r="DN163" s="44" t="s">
        <v>37</v>
      </c>
      <c r="DP163" s="44" t="s">
        <v>37</v>
      </c>
      <c r="DQ163" s="44">
        <v>340</v>
      </c>
      <c r="DR163" s="44" t="s">
        <v>37</v>
      </c>
      <c r="DS163" s="44">
        <v>270</v>
      </c>
      <c r="DT163" s="44" t="s">
        <v>37</v>
      </c>
      <c r="DU163" s="44">
        <v>35</v>
      </c>
      <c r="DV163" s="44" t="s">
        <v>37</v>
      </c>
      <c r="DW163" s="44">
        <v>2266</v>
      </c>
      <c r="DX163" s="44" t="s">
        <v>37</v>
      </c>
      <c r="DY163" s="44">
        <v>728</v>
      </c>
      <c r="DZ163" s="44" t="s">
        <v>37</v>
      </c>
      <c r="EA163" s="44">
        <v>147</v>
      </c>
      <c r="EB163" s="44" t="s">
        <v>37</v>
      </c>
      <c r="EC163" s="44">
        <v>117</v>
      </c>
      <c r="ED163" s="44" t="s">
        <v>37</v>
      </c>
      <c r="EE163" s="44">
        <v>1814</v>
      </c>
      <c r="EF163" s="44" t="s">
        <v>37</v>
      </c>
      <c r="EH163" s="44" t="s">
        <v>37</v>
      </c>
      <c r="EJ163" s="44" t="s">
        <v>37</v>
      </c>
      <c r="EK163" s="44">
        <v>59</v>
      </c>
      <c r="EL163" s="44" t="s">
        <v>37</v>
      </c>
      <c r="EN163" s="44" t="s">
        <v>37</v>
      </c>
      <c r="EO163" s="44">
        <v>35</v>
      </c>
      <c r="EP163" s="44" t="s">
        <v>37</v>
      </c>
      <c r="ER163" s="44" t="s">
        <v>37</v>
      </c>
      <c r="ES163" s="44">
        <v>164</v>
      </c>
      <c r="ET163" s="44" t="s">
        <v>37</v>
      </c>
      <c r="EU163" s="44">
        <v>346</v>
      </c>
      <c r="EV163" s="44" t="s">
        <v>37</v>
      </c>
      <c r="EW163" s="44">
        <v>1186</v>
      </c>
      <c r="EX163" s="44" t="s">
        <v>37</v>
      </c>
      <c r="EZ163" s="44" t="s">
        <v>37</v>
      </c>
      <c r="FA163" s="44">
        <v>94</v>
      </c>
      <c r="FB163" s="44" t="s">
        <v>37</v>
      </c>
      <c r="FC163" s="44">
        <v>129</v>
      </c>
      <c r="FD163" s="44" t="s">
        <v>37</v>
      </c>
      <c r="FE163" s="44">
        <v>235</v>
      </c>
      <c r="FF163" s="44" t="s">
        <v>37</v>
      </c>
      <c r="FH163" s="44" t="s">
        <v>37</v>
      </c>
      <c r="FI163" s="44">
        <v>1450</v>
      </c>
      <c r="FJ163" s="44" t="s">
        <v>37</v>
      </c>
      <c r="FL163" s="44" t="s">
        <v>37</v>
      </c>
      <c r="FN163" s="44" t="s">
        <v>37</v>
      </c>
      <c r="FO163" s="44">
        <v>70</v>
      </c>
      <c r="FP163" s="44" t="s">
        <v>37</v>
      </c>
      <c r="FQ163" s="44">
        <v>429</v>
      </c>
      <c r="FR163" s="44" t="s">
        <v>37</v>
      </c>
      <c r="FS163" s="44">
        <v>1350</v>
      </c>
      <c r="FT163" s="44" t="s">
        <v>37</v>
      </c>
      <c r="FU163" s="44">
        <v>305</v>
      </c>
      <c r="FV163" s="44" t="s">
        <v>37</v>
      </c>
      <c r="FW163" s="44">
        <v>294</v>
      </c>
      <c r="FX163" s="44" t="s">
        <v>37</v>
      </c>
      <c r="FY163" s="44">
        <v>610</v>
      </c>
      <c r="FZ163" s="44" t="s">
        <v>37</v>
      </c>
      <c r="GB163" s="44" t="s">
        <v>37</v>
      </c>
      <c r="GC163" s="44">
        <v>622</v>
      </c>
      <c r="GD163" s="44" t="s">
        <v>37</v>
      </c>
      <c r="GF163" s="44" t="s">
        <v>37</v>
      </c>
      <c r="GH163" s="44" t="s">
        <v>37</v>
      </c>
      <c r="GJ163" s="44" t="s">
        <v>37</v>
      </c>
      <c r="GK163" s="44">
        <v>335</v>
      </c>
      <c r="GL163" s="44" t="s">
        <v>37</v>
      </c>
      <c r="GM163" s="44">
        <v>446</v>
      </c>
      <c r="GN163" s="44" t="s">
        <v>37</v>
      </c>
      <c r="GP163" s="44" t="s">
        <v>37</v>
      </c>
      <c r="GQ163" s="44">
        <v>270</v>
      </c>
      <c r="GR163" s="44" t="s">
        <v>37</v>
      </c>
      <c r="GS163" s="44">
        <v>164</v>
      </c>
      <c r="GT163" s="44" t="s">
        <v>37</v>
      </c>
      <c r="GU163" s="44">
        <v>376</v>
      </c>
      <c r="GV163" s="44" t="s">
        <v>37</v>
      </c>
      <c r="GW163" s="44">
        <v>716</v>
      </c>
      <c r="GX163" s="44" t="s">
        <v>37</v>
      </c>
      <c r="GY163" s="44">
        <v>1961</v>
      </c>
      <c r="GZ163" s="44" t="s">
        <v>37</v>
      </c>
      <c r="HA163" s="44">
        <v>1291</v>
      </c>
      <c r="HB163" s="44" t="s">
        <v>37</v>
      </c>
      <c r="HD163" s="44" t="s">
        <v>37</v>
      </c>
      <c r="HF163" s="44" t="s">
        <v>37</v>
      </c>
      <c r="HG163" s="44">
        <v>46353</v>
      </c>
      <c r="HH163" s="44" t="s">
        <v>37</v>
      </c>
      <c r="HJ163" s="44" t="s">
        <v>37</v>
      </c>
      <c r="HK163" s="44">
        <v>46353</v>
      </c>
      <c r="HL163" s="44" t="s">
        <v>37</v>
      </c>
    </row>
    <row r="164" spans="1:220">
      <c r="A164" s="150" t="s">
        <v>411</v>
      </c>
      <c r="B164" s="44">
        <v>3524</v>
      </c>
      <c r="C164" s="44" t="s">
        <v>184</v>
      </c>
      <c r="D164" s="44" t="s">
        <v>37</v>
      </c>
      <c r="F164" s="44" t="s">
        <v>37</v>
      </c>
      <c r="H164" s="44" t="s">
        <v>37</v>
      </c>
      <c r="J164" s="44" t="s">
        <v>37</v>
      </c>
      <c r="L164" s="48" t="s">
        <v>37</v>
      </c>
      <c r="M164" s="50"/>
      <c r="N164" s="48" t="s">
        <v>37</v>
      </c>
      <c r="O164" s="50"/>
      <c r="P164" s="48" t="s">
        <v>37</v>
      </c>
      <c r="Q164" s="50"/>
      <c r="R164" s="48" t="s">
        <v>37</v>
      </c>
      <c r="S164" s="50"/>
      <c r="T164" s="48" t="s">
        <v>37</v>
      </c>
      <c r="V164" s="44" t="s">
        <v>37</v>
      </c>
      <c r="X164" s="44" t="s">
        <v>37</v>
      </c>
      <c r="Z164" s="44" t="s">
        <v>37</v>
      </c>
      <c r="AB164" s="44" t="s">
        <v>37</v>
      </c>
      <c r="AD164" s="44" t="s">
        <v>37</v>
      </c>
      <c r="AF164" s="44" t="s">
        <v>37</v>
      </c>
      <c r="AH164" s="44" t="s">
        <v>37</v>
      </c>
      <c r="AJ164" s="44" t="s">
        <v>37</v>
      </c>
      <c r="AL164" s="44" t="s">
        <v>37</v>
      </c>
      <c r="AN164" s="44" t="s">
        <v>37</v>
      </c>
      <c r="AP164" s="44" t="s">
        <v>37</v>
      </c>
      <c r="AR164" s="44" t="s">
        <v>37</v>
      </c>
      <c r="AT164" s="44" t="s">
        <v>37</v>
      </c>
      <c r="AV164" s="44" t="s">
        <v>37</v>
      </c>
      <c r="AX164" s="44" t="s">
        <v>37</v>
      </c>
      <c r="AZ164" s="44" t="s">
        <v>37</v>
      </c>
      <c r="BB164" s="44" t="s">
        <v>37</v>
      </c>
      <c r="BD164" s="44" t="s">
        <v>37</v>
      </c>
      <c r="BF164" s="44" t="s">
        <v>37</v>
      </c>
      <c r="BH164" s="44" t="s">
        <v>37</v>
      </c>
      <c r="BJ164" s="44" t="s">
        <v>37</v>
      </c>
      <c r="BL164" s="44" t="s">
        <v>37</v>
      </c>
      <c r="BN164" s="44" t="s">
        <v>37</v>
      </c>
      <c r="BP164" s="44" t="s">
        <v>37</v>
      </c>
      <c r="BR164" s="44" t="s">
        <v>37</v>
      </c>
      <c r="BT164" s="44" t="s">
        <v>37</v>
      </c>
      <c r="BV164" s="44" t="s">
        <v>37</v>
      </c>
      <c r="BX164" s="44" t="s">
        <v>37</v>
      </c>
      <c r="BZ164" s="44" t="s">
        <v>37</v>
      </c>
      <c r="CB164" s="44" t="s">
        <v>37</v>
      </c>
      <c r="CD164" s="44" t="s">
        <v>37</v>
      </c>
      <c r="CF164" s="44" t="s">
        <v>37</v>
      </c>
      <c r="CH164" s="44" t="s">
        <v>37</v>
      </c>
      <c r="CJ164" s="44" t="s">
        <v>37</v>
      </c>
      <c r="CL164" s="44" t="s">
        <v>37</v>
      </c>
      <c r="CN164" s="44" t="s">
        <v>37</v>
      </c>
      <c r="CP164" s="44" t="s">
        <v>37</v>
      </c>
      <c r="CR164" s="44" t="s">
        <v>37</v>
      </c>
      <c r="CT164" s="44" t="s">
        <v>37</v>
      </c>
      <c r="CV164" s="44" t="s">
        <v>37</v>
      </c>
      <c r="CX164" s="44" t="s">
        <v>37</v>
      </c>
      <c r="CZ164" s="44" t="s">
        <v>37</v>
      </c>
      <c r="DB164" s="44" t="s">
        <v>37</v>
      </c>
      <c r="DD164" s="44" t="s">
        <v>37</v>
      </c>
      <c r="DF164" s="44" t="s">
        <v>37</v>
      </c>
      <c r="DH164" s="44" t="s">
        <v>37</v>
      </c>
      <c r="DJ164" s="44" t="s">
        <v>37</v>
      </c>
      <c r="DL164" s="44" t="s">
        <v>37</v>
      </c>
      <c r="DN164" s="44" t="s">
        <v>37</v>
      </c>
      <c r="DP164" s="44" t="s">
        <v>37</v>
      </c>
      <c r="DR164" s="44" t="s">
        <v>37</v>
      </c>
      <c r="DT164" s="44" t="s">
        <v>37</v>
      </c>
      <c r="DV164" s="44" t="s">
        <v>37</v>
      </c>
      <c r="DX164" s="44" t="s">
        <v>37</v>
      </c>
      <c r="DZ164" s="44" t="s">
        <v>37</v>
      </c>
      <c r="EB164" s="44" t="s">
        <v>37</v>
      </c>
      <c r="ED164" s="44" t="s">
        <v>37</v>
      </c>
      <c r="EF164" s="44" t="s">
        <v>37</v>
      </c>
      <c r="EH164" s="44" t="s">
        <v>37</v>
      </c>
      <c r="EJ164" s="44" t="s">
        <v>37</v>
      </c>
      <c r="EL164" s="44" t="s">
        <v>37</v>
      </c>
      <c r="EN164" s="44" t="s">
        <v>37</v>
      </c>
      <c r="EP164" s="44" t="s">
        <v>37</v>
      </c>
      <c r="ER164" s="44" t="s">
        <v>37</v>
      </c>
      <c r="ET164" s="44" t="s">
        <v>37</v>
      </c>
      <c r="EV164" s="44" t="s">
        <v>37</v>
      </c>
      <c r="EX164" s="44" t="s">
        <v>37</v>
      </c>
      <c r="EZ164" s="44" t="s">
        <v>37</v>
      </c>
      <c r="FB164" s="44" t="s">
        <v>37</v>
      </c>
      <c r="FD164" s="44" t="s">
        <v>37</v>
      </c>
      <c r="FF164" s="44" t="s">
        <v>37</v>
      </c>
      <c r="FH164" s="44" t="s">
        <v>37</v>
      </c>
      <c r="FJ164" s="44" t="s">
        <v>37</v>
      </c>
      <c r="FL164" s="44" t="s">
        <v>37</v>
      </c>
      <c r="FN164" s="44" t="s">
        <v>37</v>
      </c>
      <c r="FP164" s="44" t="s">
        <v>37</v>
      </c>
      <c r="FR164" s="44" t="s">
        <v>37</v>
      </c>
      <c r="FT164" s="44" t="s">
        <v>37</v>
      </c>
      <c r="FV164" s="44" t="s">
        <v>37</v>
      </c>
      <c r="FX164" s="44" t="s">
        <v>37</v>
      </c>
      <c r="FZ164" s="44" t="s">
        <v>37</v>
      </c>
      <c r="GB164" s="44" t="s">
        <v>37</v>
      </c>
      <c r="GD164" s="44" t="s">
        <v>37</v>
      </c>
      <c r="GE164" s="44">
        <v>195</v>
      </c>
      <c r="GF164" s="44" t="s">
        <v>37</v>
      </c>
      <c r="GH164" s="44" t="s">
        <v>37</v>
      </c>
      <c r="GJ164" s="44" t="s">
        <v>37</v>
      </c>
      <c r="GL164" s="44" t="s">
        <v>37</v>
      </c>
      <c r="GN164" s="44" t="s">
        <v>37</v>
      </c>
      <c r="GP164" s="44" t="s">
        <v>37</v>
      </c>
      <c r="GR164" s="44" t="s">
        <v>37</v>
      </c>
      <c r="GT164" s="44" t="s">
        <v>37</v>
      </c>
      <c r="GV164" s="44" t="s">
        <v>37</v>
      </c>
      <c r="GX164" s="44" t="s">
        <v>37</v>
      </c>
      <c r="GZ164" s="44" t="s">
        <v>37</v>
      </c>
      <c r="HB164" s="44" t="s">
        <v>37</v>
      </c>
      <c r="HD164" s="44" t="s">
        <v>37</v>
      </c>
      <c r="HF164" s="44" t="s">
        <v>37</v>
      </c>
      <c r="HG164" s="44">
        <v>195</v>
      </c>
      <c r="HH164" s="44" t="s">
        <v>37</v>
      </c>
      <c r="HJ164" s="44" t="s">
        <v>37</v>
      </c>
      <c r="HK164" s="44">
        <v>195</v>
      </c>
      <c r="HL164" s="44" t="s">
        <v>37</v>
      </c>
    </row>
    <row r="165" spans="1:220">
      <c r="A165" s="150" t="s">
        <v>411</v>
      </c>
      <c r="B165" s="44">
        <v>3525</v>
      </c>
      <c r="C165" s="44" t="s">
        <v>185</v>
      </c>
      <c r="D165" s="44" t="s">
        <v>37</v>
      </c>
      <c r="E165" s="44">
        <v>52176</v>
      </c>
      <c r="F165" s="44" t="s">
        <v>37</v>
      </c>
      <c r="H165" s="44" t="s">
        <v>37</v>
      </c>
      <c r="J165" s="44" t="s">
        <v>37</v>
      </c>
      <c r="L165" s="48" t="s">
        <v>37</v>
      </c>
      <c r="M165" s="50"/>
      <c r="N165" s="48" t="s">
        <v>37</v>
      </c>
      <c r="O165" s="51">
        <v>63621</v>
      </c>
      <c r="P165" s="48" t="s">
        <v>37</v>
      </c>
      <c r="Q165" s="50"/>
      <c r="R165" s="48" t="s">
        <v>37</v>
      </c>
      <c r="S165" s="50"/>
      <c r="T165" s="48" t="s">
        <v>37</v>
      </c>
      <c r="V165" s="44" t="s">
        <v>37</v>
      </c>
      <c r="X165" s="44" t="s">
        <v>37</v>
      </c>
      <c r="Z165" s="44" t="s">
        <v>37</v>
      </c>
      <c r="AB165" s="44" t="s">
        <v>37</v>
      </c>
      <c r="AD165" s="44" t="s">
        <v>37</v>
      </c>
      <c r="AF165" s="44" t="s">
        <v>37</v>
      </c>
      <c r="AH165" s="44" t="s">
        <v>37</v>
      </c>
      <c r="AJ165" s="44" t="s">
        <v>37</v>
      </c>
      <c r="AL165" s="44" t="s">
        <v>37</v>
      </c>
      <c r="AM165" s="44">
        <v>138240</v>
      </c>
      <c r="AN165" s="44" t="s">
        <v>37</v>
      </c>
      <c r="AO165" s="44">
        <v>33932</v>
      </c>
      <c r="AP165" s="44" t="s">
        <v>37</v>
      </c>
      <c r="AR165" s="44" t="s">
        <v>37</v>
      </c>
      <c r="AT165" s="44" t="s">
        <v>37</v>
      </c>
      <c r="AV165" s="44" t="s">
        <v>37</v>
      </c>
      <c r="AX165" s="44" t="s">
        <v>37</v>
      </c>
      <c r="AZ165" s="44" t="s">
        <v>37</v>
      </c>
      <c r="BB165" s="44" t="s">
        <v>37</v>
      </c>
      <c r="BD165" s="44" t="s">
        <v>37</v>
      </c>
      <c r="BF165" s="44" t="s">
        <v>37</v>
      </c>
      <c r="BH165" s="44" t="s">
        <v>37</v>
      </c>
      <c r="BI165" s="44">
        <v>55295</v>
      </c>
      <c r="BJ165" s="44" t="s">
        <v>37</v>
      </c>
      <c r="BL165" s="44" t="s">
        <v>37</v>
      </c>
      <c r="BN165" s="44" t="s">
        <v>37</v>
      </c>
      <c r="BP165" s="44" t="s">
        <v>37</v>
      </c>
      <c r="BR165" s="44" t="s">
        <v>37</v>
      </c>
      <c r="BT165" s="44" t="s">
        <v>37</v>
      </c>
      <c r="BV165" s="44" t="s">
        <v>37</v>
      </c>
      <c r="BW165" s="44">
        <v>23583</v>
      </c>
      <c r="BX165" s="44" t="s">
        <v>37</v>
      </c>
      <c r="BZ165" s="44" t="s">
        <v>37</v>
      </c>
      <c r="CB165" s="44" t="s">
        <v>37</v>
      </c>
      <c r="CD165" s="44" t="s">
        <v>37</v>
      </c>
      <c r="CF165" s="44" t="s">
        <v>37</v>
      </c>
      <c r="CH165" s="44" t="s">
        <v>37</v>
      </c>
      <c r="CJ165" s="44" t="s">
        <v>37</v>
      </c>
      <c r="CL165" s="44" t="s">
        <v>37</v>
      </c>
      <c r="CN165" s="44" t="s">
        <v>37</v>
      </c>
      <c r="CP165" s="44" t="s">
        <v>37</v>
      </c>
      <c r="CQ165" s="44">
        <v>31734</v>
      </c>
      <c r="CR165" s="44" t="s">
        <v>37</v>
      </c>
      <c r="CT165" s="44" t="s">
        <v>37</v>
      </c>
      <c r="CU165" s="44">
        <v>562823</v>
      </c>
      <c r="CV165" s="44" t="s">
        <v>37</v>
      </c>
      <c r="CX165" s="44" t="s">
        <v>37</v>
      </c>
      <c r="CZ165" s="44" t="s">
        <v>37</v>
      </c>
      <c r="DB165" s="44" t="s">
        <v>37</v>
      </c>
      <c r="DD165" s="44" t="s">
        <v>37</v>
      </c>
      <c r="DF165" s="44" t="s">
        <v>37</v>
      </c>
      <c r="DH165" s="44" t="s">
        <v>37</v>
      </c>
      <c r="DJ165" s="44" t="s">
        <v>37</v>
      </c>
      <c r="DL165" s="44" t="s">
        <v>37</v>
      </c>
      <c r="DM165" s="44">
        <v>48341</v>
      </c>
      <c r="DN165" s="44" t="s">
        <v>37</v>
      </c>
      <c r="DO165" s="44">
        <v>110562</v>
      </c>
      <c r="DP165" s="44" t="s">
        <v>37</v>
      </c>
      <c r="DQ165" s="44">
        <v>69699</v>
      </c>
      <c r="DR165" s="44" t="s">
        <v>37</v>
      </c>
      <c r="DS165" s="44">
        <v>51471</v>
      </c>
      <c r="DT165" s="44" t="s">
        <v>37</v>
      </c>
      <c r="DU165" s="44">
        <v>41574</v>
      </c>
      <c r="DV165" s="44" t="s">
        <v>37</v>
      </c>
      <c r="DW165" s="44">
        <v>225871</v>
      </c>
      <c r="DX165" s="44" t="s">
        <v>37</v>
      </c>
      <c r="DY165" s="44">
        <v>113295</v>
      </c>
      <c r="DZ165" s="44" t="s">
        <v>37</v>
      </c>
      <c r="EA165" s="44">
        <v>8962</v>
      </c>
      <c r="EB165" s="44" t="s">
        <v>37</v>
      </c>
      <c r="EC165" s="44">
        <v>51637</v>
      </c>
      <c r="ED165" s="44" t="s">
        <v>37</v>
      </c>
      <c r="EE165" s="44">
        <v>166207</v>
      </c>
      <c r="EF165" s="44" t="s">
        <v>37</v>
      </c>
      <c r="EG165" s="44">
        <v>31616</v>
      </c>
      <c r="EH165" s="44" t="s">
        <v>37</v>
      </c>
      <c r="EJ165" s="44" t="s">
        <v>37</v>
      </c>
      <c r="EK165" s="44">
        <v>45420</v>
      </c>
      <c r="EL165" s="44" t="s">
        <v>37</v>
      </c>
      <c r="EM165" s="44">
        <v>27671</v>
      </c>
      <c r="EN165" s="44" t="s">
        <v>37</v>
      </c>
      <c r="EO165" s="44">
        <v>31195</v>
      </c>
      <c r="EP165" s="44" t="s">
        <v>37</v>
      </c>
      <c r="EQ165" s="44">
        <v>22252</v>
      </c>
      <c r="ER165" s="44" t="s">
        <v>37</v>
      </c>
      <c r="ES165" s="44">
        <v>63869</v>
      </c>
      <c r="ET165" s="44" t="s">
        <v>37</v>
      </c>
      <c r="EU165" s="44">
        <v>67699</v>
      </c>
      <c r="EV165" s="44" t="s">
        <v>37</v>
      </c>
      <c r="EW165" s="44">
        <v>163289</v>
      </c>
      <c r="EX165" s="44" t="s">
        <v>37</v>
      </c>
      <c r="EZ165" s="44" t="s">
        <v>37</v>
      </c>
      <c r="FA165" s="44">
        <v>83686</v>
      </c>
      <c r="FB165" s="44" t="s">
        <v>37</v>
      </c>
      <c r="FC165" s="44">
        <v>60290</v>
      </c>
      <c r="FD165" s="44" t="s">
        <v>37</v>
      </c>
      <c r="FE165" s="44">
        <v>81791</v>
      </c>
      <c r="FF165" s="44" t="s">
        <v>37</v>
      </c>
      <c r="FH165" s="44" t="s">
        <v>37</v>
      </c>
      <c r="FI165" s="44">
        <v>222429</v>
      </c>
      <c r="FJ165" s="44" t="s">
        <v>37</v>
      </c>
      <c r="FK165" s="44">
        <v>222392</v>
      </c>
      <c r="FL165" s="44" t="s">
        <v>37</v>
      </c>
      <c r="FM165" s="44">
        <v>160147</v>
      </c>
      <c r="FN165" s="44" t="s">
        <v>37</v>
      </c>
      <c r="FO165" s="44">
        <v>43469</v>
      </c>
      <c r="FP165" s="44" t="s">
        <v>37</v>
      </c>
      <c r="FQ165" s="44">
        <v>45874</v>
      </c>
      <c r="FR165" s="44" t="s">
        <v>37</v>
      </c>
      <c r="FS165" s="44">
        <v>66150</v>
      </c>
      <c r="FT165" s="44" t="s">
        <v>37</v>
      </c>
      <c r="FU165" s="44">
        <v>13489</v>
      </c>
      <c r="FV165" s="44" t="s">
        <v>37</v>
      </c>
      <c r="FW165" s="44">
        <v>32724</v>
      </c>
      <c r="FX165" s="44" t="s">
        <v>37</v>
      </c>
      <c r="FY165" s="44">
        <v>73976</v>
      </c>
      <c r="FZ165" s="44" t="s">
        <v>37</v>
      </c>
      <c r="GA165" s="44">
        <v>62453</v>
      </c>
      <c r="GB165" s="44" t="s">
        <v>37</v>
      </c>
      <c r="GC165" s="44">
        <v>69717</v>
      </c>
      <c r="GD165" s="44" t="s">
        <v>37</v>
      </c>
      <c r="GE165" s="44">
        <v>47657</v>
      </c>
      <c r="GF165" s="44" t="s">
        <v>37</v>
      </c>
      <c r="GG165" s="44">
        <v>53503</v>
      </c>
      <c r="GH165" s="44" t="s">
        <v>37</v>
      </c>
      <c r="GI165" s="44">
        <v>56862</v>
      </c>
      <c r="GJ165" s="44" t="s">
        <v>37</v>
      </c>
      <c r="GK165" s="44">
        <v>180697</v>
      </c>
      <c r="GL165" s="44" t="s">
        <v>37</v>
      </c>
      <c r="GM165" s="44">
        <v>83736</v>
      </c>
      <c r="GN165" s="44" t="s">
        <v>37</v>
      </c>
      <c r="GP165" s="44" t="s">
        <v>37</v>
      </c>
      <c r="GQ165" s="44">
        <v>65653</v>
      </c>
      <c r="GR165" s="44" t="s">
        <v>37</v>
      </c>
      <c r="GS165" s="44">
        <v>96834</v>
      </c>
      <c r="GT165" s="44" t="s">
        <v>37</v>
      </c>
      <c r="GU165" s="44">
        <v>65445</v>
      </c>
      <c r="GV165" s="44" t="s">
        <v>37</v>
      </c>
      <c r="GW165" s="44">
        <v>109729</v>
      </c>
      <c r="GX165" s="44" t="s">
        <v>37</v>
      </c>
      <c r="GY165" s="44">
        <v>187765</v>
      </c>
      <c r="GZ165" s="44" t="s">
        <v>37</v>
      </c>
      <c r="HA165" s="44">
        <v>114267</v>
      </c>
      <c r="HB165" s="44" t="s">
        <v>37</v>
      </c>
      <c r="HC165" s="44">
        <v>63500</v>
      </c>
      <c r="HD165" s="44" t="s">
        <v>37</v>
      </c>
      <c r="HE165" s="44">
        <v>67435</v>
      </c>
      <c r="HF165" s="44" t="s">
        <v>37</v>
      </c>
      <c r="HG165" s="44">
        <v>4602769</v>
      </c>
      <c r="HH165" s="44" t="s">
        <v>37</v>
      </c>
      <c r="HI165" s="44">
        <v>130935</v>
      </c>
      <c r="HJ165" s="44" t="s">
        <v>37</v>
      </c>
      <c r="HK165" s="44">
        <v>4733704</v>
      </c>
      <c r="HL165" s="44" t="s">
        <v>37</v>
      </c>
    </row>
    <row r="166" spans="1:220">
      <c r="A166" s="150" t="s">
        <v>411</v>
      </c>
      <c r="B166" s="44">
        <v>3527</v>
      </c>
      <c r="C166" s="44" t="s">
        <v>186</v>
      </c>
      <c r="D166" s="44" t="s">
        <v>37</v>
      </c>
      <c r="E166" s="44">
        <v>3248</v>
      </c>
      <c r="F166" s="44" t="s">
        <v>37</v>
      </c>
      <c r="G166" s="44">
        <v>7648</v>
      </c>
      <c r="H166" s="44" t="s">
        <v>37</v>
      </c>
      <c r="J166" s="44" t="s">
        <v>37</v>
      </c>
      <c r="L166" s="48" t="s">
        <v>37</v>
      </c>
      <c r="M166" s="51">
        <v>11854</v>
      </c>
      <c r="N166" s="48" t="s">
        <v>37</v>
      </c>
      <c r="O166" s="50"/>
      <c r="P166" s="48" t="s">
        <v>37</v>
      </c>
      <c r="Q166" s="51">
        <v>2395</v>
      </c>
      <c r="R166" s="48" t="s">
        <v>37</v>
      </c>
      <c r="S166" s="51">
        <v>4241</v>
      </c>
      <c r="T166" s="48" t="s">
        <v>37</v>
      </c>
      <c r="U166" s="44">
        <v>5191</v>
      </c>
      <c r="V166" s="44" t="s">
        <v>37</v>
      </c>
      <c r="X166" s="44" t="s">
        <v>37</v>
      </c>
      <c r="Z166" s="44" t="s">
        <v>37</v>
      </c>
      <c r="AA166" s="44">
        <v>2754</v>
      </c>
      <c r="AB166" s="44" t="s">
        <v>37</v>
      </c>
      <c r="AC166" s="44">
        <v>2325</v>
      </c>
      <c r="AD166" s="44" t="s">
        <v>37</v>
      </c>
      <c r="AE166" s="44">
        <v>2381</v>
      </c>
      <c r="AF166" s="44" t="s">
        <v>37</v>
      </c>
      <c r="AG166" s="44">
        <v>2381</v>
      </c>
      <c r="AH166" s="44" t="s">
        <v>37</v>
      </c>
      <c r="AI166" s="44">
        <v>2971</v>
      </c>
      <c r="AJ166" s="44" t="s">
        <v>37</v>
      </c>
      <c r="AL166" s="44" t="s">
        <v>37</v>
      </c>
      <c r="AM166" s="44">
        <v>6727</v>
      </c>
      <c r="AN166" s="44" t="s">
        <v>37</v>
      </c>
      <c r="AP166" s="44" t="s">
        <v>37</v>
      </c>
      <c r="AQ166" s="44">
        <v>7807</v>
      </c>
      <c r="AR166" s="44" t="s">
        <v>37</v>
      </c>
      <c r="AT166" s="44" t="s">
        <v>37</v>
      </c>
      <c r="AU166" s="44">
        <v>12681</v>
      </c>
      <c r="AV166" s="44" t="s">
        <v>37</v>
      </c>
      <c r="AW166" s="44">
        <v>5372</v>
      </c>
      <c r="AX166" s="44" t="s">
        <v>37</v>
      </c>
      <c r="AY166" s="44">
        <v>3758</v>
      </c>
      <c r="AZ166" s="44" t="s">
        <v>37</v>
      </c>
      <c r="BA166" s="44">
        <v>4051</v>
      </c>
      <c r="BB166" s="44" t="s">
        <v>37</v>
      </c>
      <c r="BC166" s="44">
        <v>2200</v>
      </c>
      <c r="BD166" s="44" t="s">
        <v>37</v>
      </c>
      <c r="BE166" s="44">
        <v>1430</v>
      </c>
      <c r="BF166" s="44" t="s">
        <v>37</v>
      </c>
      <c r="BG166" s="44">
        <v>2381</v>
      </c>
      <c r="BH166" s="44" t="s">
        <v>37</v>
      </c>
      <c r="BJ166" s="44" t="s">
        <v>37</v>
      </c>
      <c r="BK166" s="44">
        <v>3764</v>
      </c>
      <c r="BL166" s="44" t="s">
        <v>37</v>
      </c>
      <c r="BM166" s="44">
        <v>4445</v>
      </c>
      <c r="BN166" s="44" t="s">
        <v>37</v>
      </c>
      <c r="BP166" s="44" t="s">
        <v>37</v>
      </c>
      <c r="BQ166" s="44">
        <v>545</v>
      </c>
      <c r="BR166" s="44" t="s">
        <v>37</v>
      </c>
      <c r="BS166" s="44">
        <v>3040</v>
      </c>
      <c r="BT166" s="44" t="s">
        <v>37</v>
      </c>
      <c r="BU166" s="44">
        <v>2699</v>
      </c>
      <c r="BV166" s="44" t="s">
        <v>37</v>
      </c>
      <c r="BX166" s="44" t="s">
        <v>37</v>
      </c>
      <c r="BY166" s="44">
        <v>7872</v>
      </c>
      <c r="BZ166" s="44" t="s">
        <v>37</v>
      </c>
      <c r="CA166" s="44">
        <v>1070</v>
      </c>
      <c r="CB166" s="44" t="s">
        <v>37</v>
      </c>
      <c r="CD166" s="44" t="s">
        <v>37</v>
      </c>
      <c r="CE166" s="44">
        <v>3318</v>
      </c>
      <c r="CF166" s="44" t="s">
        <v>37</v>
      </c>
      <c r="CG166" s="44">
        <v>450</v>
      </c>
      <c r="CH166" s="44" t="s">
        <v>37</v>
      </c>
      <c r="CI166" s="44">
        <v>4620</v>
      </c>
      <c r="CJ166" s="44" t="s">
        <v>37</v>
      </c>
      <c r="CK166" s="44">
        <v>2659</v>
      </c>
      <c r="CL166" s="44" t="s">
        <v>37</v>
      </c>
      <c r="CN166" s="44" t="s">
        <v>37</v>
      </c>
      <c r="CP166" s="44" t="s">
        <v>37</v>
      </c>
      <c r="CQ166" s="44">
        <v>2717</v>
      </c>
      <c r="CR166" s="44" t="s">
        <v>37</v>
      </c>
      <c r="CS166" s="44">
        <v>4696</v>
      </c>
      <c r="CT166" s="44" t="s">
        <v>37</v>
      </c>
      <c r="CU166" s="44">
        <v>253990</v>
      </c>
      <c r="CV166" s="44" t="s">
        <v>37</v>
      </c>
      <c r="CW166" s="44">
        <v>4425</v>
      </c>
      <c r="CX166" s="44" t="s">
        <v>37</v>
      </c>
      <c r="CY166" s="44">
        <v>2681</v>
      </c>
      <c r="CZ166" s="44" t="s">
        <v>37</v>
      </c>
      <c r="DA166" s="44">
        <v>2704</v>
      </c>
      <c r="DB166" s="44" t="s">
        <v>37</v>
      </c>
      <c r="DD166" s="44" t="s">
        <v>37</v>
      </c>
      <c r="DE166" s="44">
        <v>2978</v>
      </c>
      <c r="DF166" s="44" t="s">
        <v>37</v>
      </c>
      <c r="DH166" s="44" t="s">
        <v>37</v>
      </c>
      <c r="DI166" s="44">
        <v>10750</v>
      </c>
      <c r="DJ166" s="44" t="s">
        <v>37</v>
      </c>
      <c r="DK166" s="44">
        <v>3043</v>
      </c>
      <c r="DL166" s="44" t="s">
        <v>37</v>
      </c>
      <c r="DM166" s="44">
        <v>2974</v>
      </c>
      <c r="DN166" s="44" t="s">
        <v>37</v>
      </c>
      <c r="DO166" s="44">
        <v>4819</v>
      </c>
      <c r="DP166" s="44" t="s">
        <v>37</v>
      </c>
      <c r="DQ166" s="44">
        <v>527</v>
      </c>
      <c r="DR166" s="44" t="s">
        <v>37</v>
      </c>
      <c r="DS166" s="44">
        <v>3372</v>
      </c>
      <c r="DT166" s="44" t="s">
        <v>37</v>
      </c>
      <c r="DU166" s="44">
        <v>5878</v>
      </c>
      <c r="DV166" s="44" t="s">
        <v>37</v>
      </c>
      <c r="DX166" s="44" t="s">
        <v>37</v>
      </c>
      <c r="DY166" s="44">
        <v>5699</v>
      </c>
      <c r="DZ166" s="44" t="s">
        <v>37</v>
      </c>
      <c r="EA166" s="44">
        <v>2871</v>
      </c>
      <c r="EB166" s="44" t="s">
        <v>37</v>
      </c>
      <c r="EC166" s="44">
        <v>3112</v>
      </c>
      <c r="ED166" s="44" t="s">
        <v>37</v>
      </c>
      <c r="EE166" s="44">
        <v>6177</v>
      </c>
      <c r="EF166" s="44" t="s">
        <v>37</v>
      </c>
      <c r="EG166" s="44">
        <v>2381</v>
      </c>
      <c r="EH166" s="44" t="s">
        <v>37</v>
      </c>
      <c r="EJ166" s="44" t="s">
        <v>37</v>
      </c>
      <c r="EK166" s="44">
        <v>1760</v>
      </c>
      <c r="EL166" s="44" t="s">
        <v>37</v>
      </c>
      <c r="EM166" s="44">
        <v>1320</v>
      </c>
      <c r="EN166" s="44" t="s">
        <v>37</v>
      </c>
      <c r="EO166" s="44">
        <v>2381</v>
      </c>
      <c r="EP166" s="44" t="s">
        <v>37</v>
      </c>
      <c r="ER166" s="44" t="s">
        <v>37</v>
      </c>
      <c r="ET166" s="44" t="s">
        <v>37</v>
      </c>
      <c r="EU166" s="44">
        <v>3831</v>
      </c>
      <c r="EV166" s="44" t="s">
        <v>37</v>
      </c>
      <c r="EW166" s="44">
        <v>5007</v>
      </c>
      <c r="EX166" s="44" t="s">
        <v>37</v>
      </c>
      <c r="EZ166" s="44" t="s">
        <v>37</v>
      </c>
      <c r="FA166" s="44">
        <v>3538</v>
      </c>
      <c r="FB166" s="44" t="s">
        <v>37</v>
      </c>
      <c r="FC166" s="44">
        <v>3304</v>
      </c>
      <c r="FD166" s="44" t="s">
        <v>37</v>
      </c>
      <c r="FE166" s="44">
        <v>4201</v>
      </c>
      <c r="FF166" s="44" t="s">
        <v>37</v>
      </c>
      <c r="FH166" s="44" t="s">
        <v>37</v>
      </c>
      <c r="FI166" s="44">
        <v>5737</v>
      </c>
      <c r="FJ166" s="44" t="s">
        <v>37</v>
      </c>
      <c r="FK166" s="44">
        <v>4761</v>
      </c>
      <c r="FL166" s="44" t="s">
        <v>37</v>
      </c>
      <c r="FM166" s="44">
        <v>4857</v>
      </c>
      <c r="FN166" s="44" t="s">
        <v>37</v>
      </c>
      <c r="FO166" s="44">
        <v>2890</v>
      </c>
      <c r="FP166" s="44" t="s">
        <v>37</v>
      </c>
      <c r="FQ166" s="44">
        <v>3480</v>
      </c>
      <c r="FR166" s="44" t="s">
        <v>37</v>
      </c>
      <c r="FS166" s="44">
        <v>4033</v>
      </c>
      <c r="FT166" s="44" t="s">
        <v>37</v>
      </c>
      <c r="FU166" s="44">
        <v>3031</v>
      </c>
      <c r="FV166" s="44" t="s">
        <v>37</v>
      </c>
      <c r="FW166" s="44">
        <v>2948</v>
      </c>
      <c r="FX166" s="44" t="s">
        <v>37</v>
      </c>
      <c r="FY166" s="44">
        <v>3883</v>
      </c>
      <c r="FZ166" s="44" t="s">
        <v>37</v>
      </c>
      <c r="GA166" s="44">
        <v>4520</v>
      </c>
      <c r="GB166" s="44" t="s">
        <v>37</v>
      </c>
      <c r="GC166" s="44">
        <v>4584</v>
      </c>
      <c r="GD166" s="44" t="s">
        <v>37</v>
      </c>
      <c r="GF166" s="44" t="s">
        <v>37</v>
      </c>
      <c r="GH166" s="44" t="s">
        <v>37</v>
      </c>
      <c r="GJ166" s="44" t="s">
        <v>37</v>
      </c>
      <c r="GK166" s="44">
        <v>8498</v>
      </c>
      <c r="GL166" s="44" t="s">
        <v>37</v>
      </c>
      <c r="GM166" s="44">
        <v>5800</v>
      </c>
      <c r="GN166" s="44" t="s">
        <v>37</v>
      </c>
      <c r="GP166" s="44" t="s">
        <v>37</v>
      </c>
      <c r="GQ166" s="44">
        <v>3471</v>
      </c>
      <c r="GR166" s="44" t="s">
        <v>37</v>
      </c>
      <c r="GS166" s="44">
        <v>2400</v>
      </c>
      <c r="GT166" s="44" t="s">
        <v>37</v>
      </c>
      <c r="GV166" s="44" t="s">
        <v>37</v>
      </c>
      <c r="GW166" s="44">
        <v>3621</v>
      </c>
      <c r="GX166" s="44" t="s">
        <v>37</v>
      </c>
      <c r="GY166" s="44">
        <v>5869</v>
      </c>
      <c r="GZ166" s="44" t="s">
        <v>37</v>
      </c>
      <c r="HA166" s="44">
        <v>3909</v>
      </c>
      <c r="HB166" s="44" t="s">
        <v>37</v>
      </c>
      <c r="HD166" s="44" t="s">
        <v>37</v>
      </c>
      <c r="HF166" s="44" t="s">
        <v>37</v>
      </c>
      <c r="HG166" s="44">
        <v>557706</v>
      </c>
      <c r="HH166" s="44" t="s">
        <v>37</v>
      </c>
      <c r="HJ166" s="44" t="s">
        <v>37</v>
      </c>
      <c r="HK166" s="44">
        <v>557706</v>
      </c>
      <c r="HL166" s="44" t="s">
        <v>37</v>
      </c>
    </row>
    <row r="167" spans="1:220">
      <c r="A167" s="150" t="s">
        <v>411</v>
      </c>
      <c r="B167" s="44">
        <v>3529</v>
      </c>
      <c r="C167" s="44" t="s">
        <v>143</v>
      </c>
      <c r="D167" s="44" t="s">
        <v>37</v>
      </c>
      <c r="E167" s="44">
        <v>9190</v>
      </c>
      <c r="F167" s="44" t="s">
        <v>37</v>
      </c>
      <c r="G167" s="44">
        <v>47865</v>
      </c>
      <c r="H167" s="44" t="s">
        <v>37</v>
      </c>
      <c r="I167" s="44">
        <v>1433</v>
      </c>
      <c r="J167" s="44" t="s">
        <v>37</v>
      </c>
      <c r="L167" s="48" t="s">
        <v>37</v>
      </c>
      <c r="M167" s="50"/>
      <c r="N167" s="48" t="s">
        <v>37</v>
      </c>
      <c r="O167" s="50"/>
      <c r="P167" s="48" t="s">
        <v>37</v>
      </c>
      <c r="Q167" s="51">
        <v>5972</v>
      </c>
      <c r="R167" s="48" t="s">
        <v>37</v>
      </c>
      <c r="S167" s="50"/>
      <c r="T167" s="48" t="s">
        <v>37</v>
      </c>
      <c r="V167" s="44" t="s">
        <v>37</v>
      </c>
      <c r="X167" s="44" t="s">
        <v>37</v>
      </c>
      <c r="Z167" s="44" t="s">
        <v>37</v>
      </c>
      <c r="AB167" s="44" t="s">
        <v>37</v>
      </c>
      <c r="AC167" s="44">
        <v>40062</v>
      </c>
      <c r="AD167" s="44" t="s">
        <v>37</v>
      </c>
      <c r="AE167" s="44">
        <v>7650</v>
      </c>
      <c r="AF167" s="44" t="s">
        <v>37</v>
      </c>
      <c r="AG167" s="44">
        <v>662</v>
      </c>
      <c r="AH167" s="44" t="s">
        <v>37</v>
      </c>
      <c r="AI167" s="44">
        <v>9003</v>
      </c>
      <c r="AJ167" s="44" t="s">
        <v>37</v>
      </c>
      <c r="AL167" s="44" t="s">
        <v>37</v>
      </c>
      <c r="AM167" s="44">
        <v>175925</v>
      </c>
      <c r="AN167" s="44" t="s">
        <v>37</v>
      </c>
      <c r="AP167" s="44" t="s">
        <v>37</v>
      </c>
      <c r="AQ167" s="44">
        <v>41318</v>
      </c>
      <c r="AR167" s="44" t="s">
        <v>37</v>
      </c>
      <c r="AS167" s="44">
        <v>8753</v>
      </c>
      <c r="AT167" s="44" t="s">
        <v>37</v>
      </c>
      <c r="AU167" s="44">
        <v>444981</v>
      </c>
      <c r="AV167" s="44" t="s">
        <v>37</v>
      </c>
      <c r="AW167" s="44">
        <v>47240</v>
      </c>
      <c r="AX167" s="44" t="s">
        <v>37</v>
      </c>
      <c r="AY167" s="44">
        <v>94510</v>
      </c>
      <c r="AZ167" s="44" t="s">
        <v>37</v>
      </c>
      <c r="BA167" s="44">
        <v>32079</v>
      </c>
      <c r="BB167" s="44" t="s">
        <v>37</v>
      </c>
      <c r="BC167" s="44">
        <v>12759</v>
      </c>
      <c r="BD167" s="44" t="s">
        <v>37</v>
      </c>
      <c r="BE167" s="44">
        <v>7474</v>
      </c>
      <c r="BF167" s="44" t="s">
        <v>37</v>
      </c>
      <c r="BG167" s="44">
        <v>4096</v>
      </c>
      <c r="BH167" s="44" t="s">
        <v>37</v>
      </c>
      <c r="BJ167" s="44" t="s">
        <v>37</v>
      </c>
      <c r="BK167" s="44">
        <v>84692</v>
      </c>
      <c r="BL167" s="44" t="s">
        <v>37</v>
      </c>
      <c r="BM167" s="44">
        <v>48939</v>
      </c>
      <c r="BN167" s="44" t="s">
        <v>37</v>
      </c>
      <c r="BP167" s="44" t="s">
        <v>37</v>
      </c>
      <c r="BQ167" s="44">
        <v>4833</v>
      </c>
      <c r="BR167" s="44" t="s">
        <v>37</v>
      </c>
      <c r="BS167" s="44">
        <v>20949</v>
      </c>
      <c r="BT167" s="44" t="s">
        <v>37</v>
      </c>
      <c r="BV167" s="44" t="s">
        <v>37</v>
      </c>
      <c r="BX167" s="44" t="s">
        <v>37</v>
      </c>
      <c r="BZ167" s="44" t="s">
        <v>37</v>
      </c>
      <c r="CA167" s="44">
        <v>10237</v>
      </c>
      <c r="CB167" s="44" t="s">
        <v>37</v>
      </c>
      <c r="CD167" s="44" t="s">
        <v>37</v>
      </c>
      <c r="CE167" s="44">
        <v>7509</v>
      </c>
      <c r="CF167" s="44" t="s">
        <v>37</v>
      </c>
      <c r="CG167" s="44">
        <v>66320</v>
      </c>
      <c r="CH167" s="44" t="s">
        <v>37</v>
      </c>
      <c r="CI167" s="44">
        <v>76427</v>
      </c>
      <c r="CJ167" s="44" t="s">
        <v>37</v>
      </c>
      <c r="CL167" s="44" t="s">
        <v>37</v>
      </c>
      <c r="CM167" s="44">
        <v>56805</v>
      </c>
      <c r="CN167" s="44" t="s">
        <v>37</v>
      </c>
      <c r="CO167" s="44">
        <v>7104</v>
      </c>
      <c r="CP167" s="44" t="s">
        <v>37</v>
      </c>
      <c r="CR167" s="44" t="s">
        <v>37</v>
      </c>
      <c r="CS167" s="44">
        <v>18663</v>
      </c>
      <c r="CT167" s="44" t="s">
        <v>37</v>
      </c>
      <c r="CU167" s="44">
        <v>190731</v>
      </c>
      <c r="CV167" s="44" t="s">
        <v>37</v>
      </c>
      <c r="CW167" s="44">
        <v>11975</v>
      </c>
      <c r="CX167" s="44" t="s">
        <v>37</v>
      </c>
      <c r="CY167" s="44">
        <v>13167</v>
      </c>
      <c r="CZ167" s="44" t="s">
        <v>37</v>
      </c>
      <c r="DB167" s="44" t="s">
        <v>37</v>
      </c>
      <c r="DD167" s="44" t="s">
        <v>37</v>
      </c>
      <c r="DE167" s="44">
        <v>37</v>
      </c>
      <c r="DF167" s="44" t="s">
        <v>37</v>
      </c>
      <c r="DG167" s="44">
        <v>1005</v>
      </c>
      <c r="DH167" s="44" t="s">
        <v>37</v>
      </c>
      <c r="DI167" s="44">
        <v>15526</v>
      </c>
      <c r="DJ167" s="44" t="s">
        <v>37</v>
      </c>
      <c r="DK167" s="44">
        <v>18638</v>
      </c>
      <c r="DL167" s="44" t="s">
        <v>37</v>
      </c>
      <c r="DM167" s="44">
        <v>34853</v>
      </c>
      <c r="DN167" s="44" t="s">
        <v>37</v>
      </c>
      <c r="DO167" s="44">
        <v>23090</v>
      </c>
      <c r="DP167" s="44" t="s">
        <v>37</v>
      </c>
      <c r="DQ167" s="44">
        <v>2685</v>
      </c>
      <c r="DR167" s="44" t="s">
        <v>37</v>
      </c>
      <c r="DS167" s="44">
        <v>20099</v>
      </c>
      <c r="DT167" s="44" t="s">
        <v>37</v>
      </c>
      <c r="DU167" s="44">
        <v>58234</v>
      </c>
      <c r="DV167" s="44" t="s">
        <v>37</v>
      </c>
      <c r="DX167" s="44" t="s">
        <v>37</v>
      </c>
      <c r="DY167" s="44">
        <v>20000</v>
      </c>
      <c r="DZ167" s="44" t="s">
        <v>37</v>
      </c>
      <c r="EA167" s="44">
        <v>9500</v>
      </c>
      <c r="EB167" s="44" t="s">
        <v>37</v>
      </c>
      <c r="EC167" s="44">
        <v>9680</v>
      </c>
      <c r="ED167" s="44" t="s">
        <v>37</v>
      </c>
      <c r="EF167" s="44" t="s">
        <v>37</v>
      </c>
      <c r="EG167" s="44">
        <v>7877</v>
      </c>
      <c r="EH167" s="44" t="s">
        <v>37</v>
      </c>
      <c r="EJ167" s="44" t="s">
        <v>37</v>
      </c>
      <c r="EK167" s="44">
        <v>174</v>
      </c>
      <c r="EL167" s="44" t="s">
        <v>37</v>
      </c>
      <c r="EM167" s="44">
        <v>5824</v>
      </c>
      <c r="EN167" s="44" t="s">
        <v>37</v>
      </c>
      <c r="EP167" s="44" t="s">
        <v>37</v>
      </c>
      <c r="ER167" s="44" t="s">
        <v>37</v>
      </c>
      <c r="ES167" s="44">
        <v>55033</v>
      </c>
      <c r="ET167" s="44" t="s">
        <v>37</v>
      </c>
      <c r="EU167" s="44">
        <v>7850</v>
      </c>
      <c r="EV167" s="44" t="s">
        <v>37</v>
      </c>
      <c r="EX167" s="44" t="s">
        <v>37</v>
      </c>
      <c r="EZ167" s="44" t="s">
        <v>37</v>
      </c>
      <c r="FA167" s="44">
        <v>52469</v>
      </c>
      <c r="FB167" s="44" t="s">
        <v>37</v>
      </c>
      <c r="FC167" s="44">
        <v>66465</v>
      </c>
      <c r="FD167" s="44" t="s">
        <v>37</v>
      </c>
      <c r="FE167" s="44">
        <v>43456</v>
      </c>
      <c r="FF167" s="44" t="s">
        <v>37</v>
      </c>
      <c r="FH167" s="44" t="s">
        <v>37</v>
      </c>
      <c r="FJ167" s="44" t="s">
        <v>37</v>
      </c>
      <c r="FK167" s="44">
        <v>156030</v>
      </c>
      <c r="FL167" s="44" t="s">
        <v>37</v>
      </c>
      <c r="FN167" s="44" t="s">
        <v>37</v>
      </c>
      <c r="FP167" s="44" t="s">
        <v>37</v>
      </c>
      <c r="FR167" s="44" t="s">
        <v>37</v>
      </c>
      <c r="FT167" s="44" t="s">
        <v>37</v>
      </c>
      <c r="FV167" s="44" t="s">
        <v>37</v>
      </c>
      <c r="FX167" s="44" t="s">
        <v>37</v>
      </c>
      <c r="FZ167" s="44" t="s">
        <v>37</v>
      </c>
      <c r="GA167" s="44">
        <v>7173</v>
      </c>
      <c r="GB167" s="44" t="s">
        <v>37</v>
      </c>
      <c r="GC167" s="44">
        <v>56480</v>
      </c>
      <c r="GD167" s="44" t="s">
        <v>37</v>
      </c>
      <c r="GF167" s="44" t="s">
        <v>37</v>
      </c>
      <c r="GH167" s="44" t="s">
        <v>37</v>
      </c>
      <c r="GJ167" s="44" t="s">
        <v>37</v>
      </c>
      <c r="GK167" s="44">
        <v>21954</v>
      </c>
      <c r="GL167" s="44" t="s">
        <v>37</v>
      </c>
      <c r="GM167" s="44">
        <v>697</v>
      </c>
      <c r="GN167" s="44" t="s">
        <v>37</v>
      </c>
      <c r="GP167" s="44" t="s">
        <v>37</v>
      </c>
      <c r="GQ167" s="44">
        <v>35949</v>
      </c>
      <c r="GR167" s="44" t="s">
        <v>37</v>
      </c>
      <c r="GS167" s="44">
        <v>10806</v>
      </c>
      <c r="GT167" s="44" t="s">
        <v>37</v>
      </c>
      <c r="GV167" s="44" t="s">
        <v>37</v>
      </c>
      <c r="GX167" s="44" t="s">
        <v>37</v>
      </c>
      <c r="GY167" s="44">
        <v>15428</v>
      </c>
      <c r="GZ167" s="44" t="s">
        <v>37</v>
      </c>
      <c r="HB167" s="44" t="s">
        <v>37</v>
      </c>
      <c r="HD167" s="44" t="s">
        <v>37</v>
      </c>
      <c r="HF167" s="44" t="s">
        <v>37</v>
      </c>
      <c r="HG167" s="44">
        <v>2366335</v>
      </c>
      <c r="HH167" s="44" t="s">
        <v>37</v>
      </c>
      <c r="HJ167" s="44" t="s">
        <v>37</v>
      </c>
      <c r="HK167" s="44">
        <v>2366335</v>
      </c>
      <c r="HL167" s="44" t="s">
        <v>37</v>
      </c>
    </row>
    <row r="168" spans="1:220">
      <c r="A168" s="150" t="s">
        <v>411</v>
      </c>
      <c r="B168" s="44">
        <v>3530</v>
      </c>
      <c r="C168" s="44" t="s">
        <v>187</v>
      </c>
      <c r="D168" s="44" t="s">
        <v>37</v>
      </c>
      <c r="E168" s="44">
        <v>26878</v>
      </c>
      <c r="F168" s="44" t="s">
        <v>37</v>
      </c>
      <c r="G168" s="44">
        <v>85069</v>
      </c>
      <c r="H168" s="44" t="s">
        <v>37</v>
      </c>
      <c r="I168" s="44">
        <v>9624</v>
      </c>
      <c r="J168" s="44" t="s">
        <v>37</v>
      </c>
      <c r="L168" s="48" t="s">
        <v>37</v>
      </c>
      <c r="M168" s="51">
        <v>17346</v>
      </c>
      <c r="N168" s="48" t="s">
        <v>37</v>
      </c>
      <c r="O168" s="51">
        <v>18824</v>
      </c>
      <c r="P168" s="48" t="s">
        <v>37</v>
      </c>
      <c r="Q168" s="51">
        <v>10045</v>
      </c>
      <c r="R168" s="48" t="s">
        <v>37</v>
      </c>
      <c r="S168" s="51">
        <v>9050</v>
      </c>
      <c r="T168" s="48" t="s">
        <v>37</v>
      </c>
      <c r="U168" s="44">
        <v>48176</v>
      </c>
      <c r="V168" s="44" t="s">
        <v>37</v>
      </c>
      <c r="X168" s="44" t="s">
        <v>37</v>
      </c>
      <c r="Z168" s="44" t="s">
        <v>37</v>
      </c>
      <c r="AA168" s="44">
        <v>9548</v>
      </c>
      <c r="AB168" s="44" t="s">
        <v>37</v>
      </c>
      <c r="AC168" s="44">
        <v>4525</v>
      </c>
      <c r="AD168" s="44" t="s">
        <v>37</v>
      </c>
      <c r="AF168" s="44" t="s">
        <v>37</v>
      </c>
      <c r="AH168" s="44" t="s">
        <v>37</v>
      </c>
      <c r="AI168" s="44">
        <v>32338</v>
      </c>
      <c r="AJ168" s="44" t="s">
        <v>37</v>
      </c>
      <c r="AL168" s="44" t="s">
        <v>37</v>
      </c>
      <c r="AM168" s="44">
        <v>67890</v>
      </c>
      <c r="AN168" s="44" t="s">
        <v>37</v>
      </c>
      <c r="AP168" s="44" t="s">
        <v>37</v>
      </c>
      <c r="AQ168" s="44">
        <v>133758</v>
      </c>
      <c r="AR168" s="44" t="s">
        <v>37</v>
      </c>
      <c r="AS168" s="44">
        <v>8605</v>
      </c>
      <c r="AT168" s="44" t="s">
        <v>37</v>
      </c>
      <c r="AU168" s="44">
        <v>257591</v>
      </c>
      <c r="AV168" s="44" t="s">
        <v>37</v>
      </c>
      <c r="AW168" s="44">
        <v>74826</v>
      </c>
      <c r="AX168" s="44" t="s">
        <v>37</v>
      </c>
      <c r="AY168" s="44">
        <v>29027</v>
      </c>
      <c r="AZ168" s="44" t="s">
        <v>37</v>
      </c>
      <c r="BA168" s="44">
        <v>45777</v>
      </c>
      <c r="BB168" s="44" t="s">
        <v>37</v>
      </c>
      <c r="BD168" s="44" t="s">
        <v>37</v>
      </c>
      <c r="BE168" s="44">
        <v>11493</v>
      </c>
      <c r="BF168" s="44" t="s">
        <v>37</v>
      </c>
      <c r="BH168" s="44" t="s">
        <v>37</v>
      </c>
      <c r="BJ168" s="44" t="s">
        <v>37</v>
      </c>
      <c r="BK168" s="44">
        <v>31992</v>
      </c>
      <c r="BL168" s="44" t="s">
        <v>37</v>
      </c>
      <c r="BM168" s="44">
        <v>80228</v>
      </c>
      <c r="BN168" s="44" t="s">
        <v>37</v>
      </c>
      <c r="BP168" s="44" t="s">
        <v>37</v>
      </c>
      <c r="BQ168" s="44">
        <v>17632</v>
      </c>
      <c r="BR168" s="44" t="s">
        <v>37</v>
      </c>
      <c r="BS168" s="44">
        <v>38619</v>
      </c>
      <c r="BT168" s="44" t="s">
        <v>37</v>
      </c>
      <c r="BU168" s="44">
        <v>23424</v>
      </c>
      <c r="BV168" s="44" t="s">
        <v>37</v>
      </c>
      <c r="BX168" s="44" t="s">
        <v>37</v>
      </c>
      <c r="BY168" s="44">
        <v>119761</v>
      </c>
      <c r="BZ168" s="44" t="s">
        <v>37</v>
      </c>
      <c r="CA168" s="44">
        <v>28643</v>
      </c>
      <c r="CB168" s="44" t="s">
        <v>37</v>
      </c>
      <c r="CD168" s="44" t="s">
        <v>37</v>
      </c>
      <c r="CE168" s="44">
        <v>16697</v>
      </c>
      <c r="CF168" s="44" t="s">
        <v>37</v>
      </c>
      <c r="CG168" s="44">
        <v>7551</v>
      </c>
      <c r="CH168" s="44" t="s">
        <v>37</v>
      </c>
      <c r="CI168" s="44">
        <v>156274</v>
      </c>
      <c r="CJ168" s="44" t="s">
        <v>37</v>
      </c>
      <c r="CK168" s="44">
        <v>5671</v>
      </c>
      <c r="CL168" s="44" t="s">
        <v>37</v>
      </c>
      <c r="CM168" s="44">
        <v>21317</v>
      </c>
      <c r="CN168" s="44" t="s">
        <v>37</v>
      </c>
      <c r="CO168" s="44">
        <v>5732</v>
      </c>
      <c r="CP168" s="44" t="s">
        <v>37</v>
      </c>
      <c r="CQ168" s="44">
        <v>9517</v>
      </c>
      <c r="CR168" s="44" t="s">
        <v>37</v>
      </c>
      <c r="CS168" s="44">
        <v>86170</v>
      </c>
      <c r="CT168" s="44" t="s">
        <v>37</v>
      </c>
      <c r="CU168" s="44">
        <v>451575</v>
      </c>
      <c r="CV168" s="44" t="s">
        <v>37</v>
      </c>
      <c r="CW168" s="44">
        <v>67859</v>
      </c>
      <c r="CX168" s="44" t="s">
        <v>37</v>
      </c>
      <c r="CY168" s="44">
        <v>3706</v>
      </c>
      <c r="CZ168" s="44" t="s">
        <v>37</v>
      </c>
      <c r="DB168" s="44" t="s">
        <v>37</v>
      </c>
      <c r="DD168" s="44" t="s">
        <v>37</v>
      </c>
      <c r="DE168" s="44">
        <v>5717</v>
      </c>
      <c r="DF168" s="44" t="s">
        <v>37</v>
      </c>
      <c r="DG168" s="44">
        <v>14374</v>
      </c>
      <c r="DH168" s="44" t="s">
        <v>37</v>
      </c>
      <c r="DI168" s="44">
        <v>196851</v>
      </c>
      <c r="DJ168" s="44" t="s">
        <v>37</v>
      </c>
      <c r="DK168" s="44">
        <v>29212</v>
      </c>
      <c r="DL168" s="44" t="s">
        <v>37</v>
      </c>
      <c r="DM168" s="44">
        <v>54372</v>
      </c>
      <c r="DN168" s="44" t="s">
        <v>37</v>
      </c>
      <c r="DO168" s="44">
        <v>105733</v>
      </c>
      <c r="DP168" s="44" t="s">
        <v>37</v>
      </c>
      <c r="DQ168" s="44">
        <v>10498</v>
      </c>
      <c r="DR168" s="44" t="s">
        <v>37</v>
      </c>
      <c r="DS168" s="44">
        <v>27874</v>
      </c>
      <c r="DT168" s="44" t="s">
        <v>37</v>
      </c>
      <c r="DU168" s="44">
        <v>24007</v>
      </c>
      <c r="DV168" s="44" t="s">
        <v>37</v>
      </c>
      <c r="DW168" s="44">
        <v>70952</v>
      </c>
      <c r="DX168" s="44" t="s">
        <v>37</v>
      </c>
      <c r="DY168" s="44">
        <v>51630</v>
      </c>
      <c r="DZ168" s="44" t="s">
        <v>37</v>
      </c>
      <c r="EA168" s="44">
        <v>14329</v>
      </c>
      <c r="EB168" s="44" t="s">
        <v>37</v>
      </c>
      <c r="EC168" s="44">
        <v>3576</v>
      </c>
      <c r="ED168" s="44" t="s">
        <v>37</v>
      </c>
      <c r="EE168" s="44">
        <v>54058</v>
      </c>
      <c r="EF168" s="44" t="s">
        <v>37</v>
      </c>
      <c r="EH168" s="44" t="s">
        <v>37</v>
      </c>
      <c r="EJ168" s="44" t="s">
        <v>37</v>
      </c>
      <c r="EK168" s="44">
        <v>20800</v>
      </c>
      <c r="EL168" s="44" t="s">
        <v>37</v>
      </c>
      <c r="EM168" s="44">
        <v>24797</v>
      </c>
      <c r="EN168" s="44" t="s">
        <v>37</v>
      </c>
      <c r="EP168" s="44" t="s">
        <v>37</v>
      </c>
      <c r="ER168" s="44" t="s">
        <v>37</v>
      </c>
      <c r="ES168" s="44">
        <v>31268</v>
      </c>
      <c r="ET168" s="44" t="s">
        <v>37</v>
      </c>
      <c r="EU168" s="44">
        <v>22399</v>
      </c>
      <c r="EV168" s="44" t="s">
        <v>37</v>
      </c>
      <c r="EW168" s="44">
        <v>22474</v>
      </c>
      <c r="EX168" s="44" t="s">
        <v>37</v>
      </c>
      <c r="EZ168" s="44" t="s">
        <v>37</v>
      </c>
      <c r="FA168" s="44">
        <v>34148</v>
      </c>
      <c r="FB168" s="44" t="s">
        <v>37</v>
      </c>
      <c r="FC168" s="44">
        <v>13892</v>
      </c>
      <c r="FD168" s="44" t="s">
        <v>37</v>
      </c>
      <c r="FE168" s="44">
        <v>35114</v>
      </c>
      <c r="FF168" s="44" t="s">
        <v>37</v>
      </c>
      <c r="FH168" s="44" t="s">
        <v>37</v>
      </c>
      <c r="FI168" s="44">
        <v>64043</v>
      </c>
      <c r="FJ168" s="44" t="s">
        <v>37</v>
      </c>
      <c r="FK168" s="44">
        <v>130275</v>
      </c>
      <c r="FL168" s="44" t="s">
        <v>37</v>
      </c>
      <c r="FM168" s="44">
        <v>77445</v>
      </c>
      <c r="FN168" s="44" t="s">
        <v>37</v>
      </c>
      <c r="FO168" s="44">
        <v>4072</v>
      </c>
      <c r="FP168" s="44" t="s">
        <v>37</v>
      </c>
      <c r="FQ168" s="44">
        <v>16893</v>
      </c>
      <c r="FR168" s="44" t="s">
        <v>37</v>
      </c>
      <c r="FS168" s="44">
        <v>37762</v>
      </c>
      <c r="FT168" s="44" t="s">
        <v>37</v>
      </c>
      <c r="FU168" s="44">
        <v>14887</v>
      </c>
      <c r="FV168" s="44" t="s">
        <v>37</v>
      </c>
      <c r="FX168" s="44" t="s">
        <v>37</v>
      </c>
      <c r="FY168" s="44">
        <v>12248</v>
      </c>
      <c r="FZ168" s="44" t="s">
        <v>37</v>
      </c>
      <c r="GA168" s="44">
        <v>29412</v>
      </c>
      <c r="GB168" s="44" t="s">
        <v>37</v>
      </c>
      <c r="GC168" s="44">
        <v>264027</v>
      </c>
      <c r="GD168" s="44" t="s">
        <v>37</v>
      </c>
      <c r="GF168" s="44" t="s">
        <v>37</v>
      </c>
      <c r="GH168" s="44" t="s">
        <v>37</v>
      </c>
      <c r="GJ168" s="44" t="s">
        <v>37</v>
      </c>
      <c r="GK168" s="44">
        <v>77980</v>
      </c>
      <c r="GL168" s="44" t="s">
        <v>37</v>
      </c>
      <c r="GM168" s="44">
        <v>37120</v>
      </c>
      <c r="GN168" s="44" t="s">
        <v>37</v>
      </c>
      <c r="GP168" s="44" t="s">
        <v>37</v>
      </c>
      <c r="GQ168" s="44">
        <v>28251</v>
      </c>
      <c r="GR168" s="44" t="s">
        <v>37</v>
      </c>
      <c r="GS168" s="44">
        <v>69711</v>
      </c>
      <c r="GT168" s="44" t="s">
        <v>37</v>
      </c>
      <c r="GU168" s="44">
        <v>31586</v>
      </c>
      <c r="GV168" s="44" t="s">
        <v>37</v>
      </c>
      <c r="GW168" s="44">
        <v>20634</v>
      </c>
      <c r="GX168" s="44" t="s">
        <v>37</v>
      </c>
      <c r="GY168" s="44">
        <v>51766</v>
      </c>
      <c r="GZ168" s="44" t="s">
        <v>37</v>
      </c>
      <c r="HA168" s="44">
        <v>16154</v>
      </c>
      <c r="HB168" s="44" t="s">
        <v>37</v>
      </c>
      <c r="HD168" s="44" t="s">
        <v>37</v>
      </c>
      <c r="HF168" s="44" t="s">
        <v>37</v>
      </c>
      <c r="HG168" s="44">
        <v>3925099</v>
      </c>
      <c r="HH168" s="44" t="s">
        <v>37</v>
      </c>
      <c r="HJ168" s="44" t="s">
        <v>37</v>
      </c>
      <c r="HK168" s="44">
        <v>3925099</v>
      </c>
      <c r="HL168" s="44" t="s">
        <v>37</v>
      </c>
    </row>
    <row r="169" spans="1:220">
      <c r="A169" s="150" t="s">
        <v>411</v>
      </c>
      <c r="B169" s="44">
        <v>3532</v>
      </c>
      <c r="C169" s="44" t="s">
        <v>188</v>
      </c>
      <c r="D169" s="44" t="s">
        <v>37</v>
      </c>
      <c r="E169" s="44">
        <v>443377</v>
      </c>
      <c r="F169" s="44" t="s">
        <v>37</v>
      </c>
      <c r="G169" s="44">
        <v>708249</v>
      </c>
      <c r="H169" s="44" t="s">
        <v>37</v>
      </c>
      <c r="I169" s="44">
        <v>22100</v>
      </c>
      <c r="J169" s="44" t="s">
        <v>37</v>
      </c>
      <c r="K169" s="44">
        <v>8940</v>
      </c>
      <c r="L169" s="48" t="s">
        <v>37</v>
      </c>
      <c r="M169" s="51">
        <v>586648</v>
      </c>
      <c r="N169" s="48" t="s">
        <v>37</v>
      </c>
      <c r="O169" s="51">
        <v>214560</v>
      </c>
      <c r="P169" s="48" t="s">
        <v>37</v>
      </c>
      <c r="Q169" s="51">
        <v>178800</v>
      </c>
      <c r="R169" s="48" t="s">
        <v>37</v>
      </c>
      <c r="S169" s="51">
        <v>151509</v>
      </c>
      <c r="T169" s="48" t="s">
        <v>37</v>
      </c>
      <c r="U169" s="44">
        <v>820111</v>
      </c>
      <c r="V169" s="44" t="s">
        <v>37</v>
      </c>
      <c r="W169" s="44">
        <v>10719</v>
      </c>
      <c r="X169" s="44" t="s">
        <v>37</v>
      </c>
      <c r="Y169" s="44">
        <v>53640</v>
      </c>
      <c r="Z169" s="44" t="s">
        <v>37</v>
      </c>
      <c r="AA169" s="44">
        <v>53640</v>
      </c>
      <c r="AB169" s="44" t="s">
        <v>37</v>
      </c>
      <c r="AD169" s="44" t="s">
        <v>37</v>
      </c>
      <c r="AE169" s="44">
        <v>17880</v>
      </c>
      <c r="AF169" s="44" t="s">
        <v>37</v>
      </c>
      <c r="AG169" s="44">
        <v>8940</v>
      </c>
      <c r="AH169" s="44" t="s">
        <v>37</v>
      </c>
      <c r="AI169" s="44">
        <v>100128</v>
      </c>
      <c r="AJ169" s="44" t="s">
        <v>37</v>
      </c>
      <c r="AL169" s="44" t="s">
        <v>37</v>
      </c>
      <c r="AM169" s="44">
        <v>911880</v>
      </c>
      <c r="AN169" s="44" t="s">
        <v>37</v>
      </c>
      <c r="AP169" s="44" t="s">
        <v>37</v>
      </c>
      <c r="AQ169" s="44">
        <v>1554013</v>
      </c>
      <c r="AR169" s="44" t="s">
        <v>37</v>
      </c>
      <c r="AS169" s="44">
        <v>107070</v>
      </c>
      <c r="AT169" s="44" t="s">
        <v>37</v>
      </c>
      <c r="AU169" s="44">
        <v>2929638</v>
      </c>
      <c r="AV169" s="44" t="s">
        <v>37</v>
      </c>
      <c r="AW169" s="44">
        <v>268200</v>
      </c>
      <c r="AX169" s="44" t="s">
        <v>37</v>
      </c>
      <c r="AY169" s="44">
        <v>443496</v>
      </c>
      <c r="AZ169" s="44" t="s">
        <v>37</v>
      </c>
      <c r="BA169" s="44">
        <v>544668</v>
      </c>
      <c r="BB169" s="44" t="s">
        <v>37</v>
      </c>
      <c r="BC169" s="44">
        <v>26820</v>
      </c>
      <c r="BD169" s="44" t="s">
        <v>37</v>
      </c>
      <c r="BE169" s="44">
        <v>205620</v>
      </c>
      <c r="BF169" s="44" t="s">
        <v>37</v>
      </c>
      <c r="BG169" s="44">
        <v>89400</v>
      </c>
      <c r="BH169" s="44" t="s">
        <v>37</v>
      </c>
      <c r="BI169" s="44">
        <v>17880</v>
      </c>
      <c r="BJ169" s="44" t="s">
        <v>37</v>
      </c>
      <c r="BK169" s="44">
        <v>168992</v>
      </c>
      <c r="BL169" s="44" t="s">
        <v>37</v>
      </c>
      <c r="BM169" s="44">
        <v>522425</v>
      </c>
      <c r="BN169" s="44" t="s">
        <v>37</v>
      </c>
      <c r="BP169" s="44" t="s">
        <v>37</v>
      </c>
      <c r="BQ169" s="44">
        <v>8892</v>
      </c>
      <c r="BR169" s="44" t="s">
        <v>37</v>
      </c>
      <c r="BS169" s="44">
        <v>133735</v>
      </c>
      <c r="BT169" s="44" t="s">
        <v>37</v>
      </c>
      <c r="BU169" s="44">
        <v>35760</v>
      </c>
      <c r="BV169" s="44" t="s">
        <v>37</v>
      </c>
      <c r="BX169" s="44" t="s">
        <v>37</v>
      </c>
      <c r="BY169" s="44">
        <v>992340</v>
      </c>
      <c r="BZ169" s="44" t="s">
        <v>37</v>
      </c>
      <c r="CA169" s="44">
        <v>35760</v>
      </c>
      <c r="CB169" s="44" t="s">
        <v>37</v>
      </c>
      <c r="CD169" s="44" t="s">
        <v>37</v>
      </c>
      <c r="CE169" s="44">
        <v>250320</v>
      </c>
      <c r="CF169" s="44" t="s">
        <v>37</v>
      </c>
      <c r="CG169" s="44">
        <v>160872</v>
      </c>
      <c r="CH169" s="44" t="s">
        <v>37</v>
      </c>
      <c r="CI169" s="44">
        <v>688379</v>
      </c>
      <c r="CJ169" s="44" t="s">
        <v>37</v>
      </c>
      <c r="CK169" s="44">
        <v>37548</v>
      </c>
      <c r="CL169" s="44" t="s">
        <v>37</v>
      </c>
      <c r="CM169" s="44">
        <v>71520</v>
      </c>
      <c r="CN169" s="44" t="s">
        <v>37</v>
      </c>
      <c r="CO169" s="44">
        <v>15245</v>
      </c>
      <c r="CP169" s="44" t="s">
        <v>37</v>
      </c>
      <c r="CQ169" s="44">
        <v>169860</v>
      </c>
      <c r="CR169" s="44" t="s">
        <v>37</v>
      </c>
      <c r="CS169" s="44">
        <v>929760</v>
      </c>
      <c r="CT169" s="44" t="s">
        <v>37</v>
      </c>
      <c r="CU169" s="44">
        <v>3197189</v>
      </c>
      <c r="CV169" s="44" t="s">
        <v>37</v>
      </c>
      <c r="CW169" s="44">
        <v>627588</v>
      </c>
      <c r="CX169" s="44" t="s">
        <v>37</v>
      </c>
      <c r="CY169" s="44">
        <v>107280</v>
      </c>
      <c r="CZ169" s="44" t="s">
        <v>37</v>
      </c>
      <c r="DA169" s="44">
        <v>62580</v>
      </c>
      <c r="DB169" s="44" t="s">
        <v>37</v>
      </c>
      <c r="DC169" s="44">
        <v>17880</v>
      </c>
      <c r="DD169" s="44" t="s">
        <v>37</v>
      </c>
      <c r="DE169" s="44">
        <v>160920</v>
      </c>
      <c r="DF169" s="44" t="s">
        <v>37</v>
      </c>
      <c r="DG169" s="44">
        <v>35760</v>
      </c>
      <c r="DH169" s="44" t="s">
        <v>37</v>
      </c>
      <c r="DI169" s="44">
        <v>1529351</v>
      </c>
      <c r="DJ169" s="44" t="s">
        <v>37</v>
      </c>
      <c r="DK169" s="44">
        <v>11593</v>
      </c>
      <c r="DL169" s="44" t="s">
        <v>37</v>
      </c>
      <c r="DM169" s="44">
        <v>891127</v>
      </c>
      <c r="DN169" s="44" t="s">
        <v>37</v>
      </c>
      <c r="DO169" s="44">
        <v>560261</v>
      </c>
      <c r="DP169" s="44" t="s">
        <v>37</v>
      </c>
      <c r="DQ169" s="44">
        <v>178617</v>
      </c>
      <c r="DR169" s="44" t="s">
        <v>37</v>
      </c>
      <c r="DS169" s="44">
        <v>143040</v>
      </c>
      <c r="DT169" s="44" t="s">
        <v>37</v>
      </c>
      <c r="DU169" s="44">
        <v>39336</v>
      </c>
      <c r="DV169" s="44" t="s">
        <v>37</v>
      </c>
      <c r="DW169" s="44">
        <v>1465313</v>
      </c>
      <c r="DX169" s="44" t="s">
        <v>37</v>
      </c>
      <c r="DY169" s="44">
        <v>905175</v>
      </c>
      <c r="DZ169" s="44" t="s">
        <v>37</v>
      </c>
      <c r="EA169" s="44">
        <v>151980</v>
      </c>
      <c r="EB169" s="44" t="s">
        <v>37</v>
      </c>
      <c r="EC169" s="44">
        <v>240210</v>
      </c>
      <c r="ED169" s="44" t="s">
        <v>37</v>
      </c>
      <c r="EE169" s="44">
        <v>2215417</v>
      </c>
      <c r="EF169" s="44" t="s">
        <v>37</v>
      </c>
      <c r="EG169" s="44">
        <v>44700</v>
      </c>
      <c r="EH169" s="44" t="s">
        <v>37</v>
      </c>
      <c r="EJ169" s="44" t="s">
        <v>37</v>
      </c>
      <c r="EK169" s="44">
        <v>107280</v>
      </c>
      <c r="EL169" s="44" t="s">
        <v>37</v>
      </c>
      <c r="EM169" s="44">
        <v>35760</v>
      </c>
      <c r="EN169" s="44" t="s">
        <v>37</v>
      </c>
      <c r="EO169" s="44">
        <v>62580</v>
      </c>
      <c r="EP169" s="44" t="s">
        <v>37</v>
      </c>
      <c r="ER169" s="44" t="s">
        <v>37</v>
      </c>
      <c r="ES169" s="44">
        <v>172307</v>
      </c>
      <c r="ET169" s="44" t="s">
        <v>37</v>
      </c>
      <c r="EU169" s="44">
        <v>376902</v>
      </c>
      <c r="EV169" s="44" t="s">
        <v>37</v>
      </c>
      <c r="EW169" s="44">
        <v>802670</v>
      </c>
      <c r="EX169" s="44" t="s">
        <v>37</v>
      </c>
      <c r="EZ169" s="44" t="s">
        <v>37</v>
      </c>
      <c r="FB169" s="44" t="s">
        <v>37</v>
      </c>
      <c r="FC169" s="44">
        <v>80460</v>
      </c>
      <c r="FD169" s="44" t="s">
        <v>37</v>
      </c>
      <c r="FE169" s="44">
        <v>151980</v>
      </c>
      <c r="FF169" s="44" t="s">
        <v>37</v>
      </c>
      <c r="FH169" s="44" t="s">
        <v>37</v>
      </c>
      <c r="FI169" s="44">
        <v>910977</v>
      </c>
      <c r="FJ169" s="44" t="s">
        <v>37</v>
      </c>
      <c r="FK169" s="44">
        <v>1790631</v>
      </c>
      <c r="FL169" s="44" t="s">
        <v>37</v>
      </c>
      <c r="FM169" s="44">
        <v>3338920</v>
      </c>
      <c r="FN169" s="44" t="s">
        <v>37</v>
      </c>
      <c r="FO169" s="44">
        <v>26820</v>
      </c>
      <c r="FP169" s="44" t="s">
        <v>37</v>
      </c>
      <c r="FQ169" s="44">
        <v>165296</v>
      </c>
      <c r="FR169" s="44" t="s">
        <v>37</v>
      </c>
      <c r="FS169" s="44">
        <v>492945</v>
      </c>
      <c r="FT169" s="44" t="s">
        <v>37</v>
      </c>
      <c r="FU169" s="44">
        <v>196680</v>
      </c>
      <c r="FV169" s="44" t="s">
        <v>37</v>
      </c>
      <c r="FW169" s="44">
        <v>125160</v>
      </c>
      <c r="FX169" s="44" t="s">
        <v>37</v>
      </c>
      <c r="FY169" s="44">
        <v>363477</v>
      </c>
      <c r="FZ169" s="44" t="s">
        <v>37</v>
      </c>
      <c r="GA169" s="44">
        <v>415898</v>
      </c>
      <c r="GB169" s="44" t="s">
        <v>37</v>
      </c>
      <c r="GC169" s="44">
        <v>461484</v>
      </c>
      <c r="GD169" s="44" t="s">
        <v>37</v>
      </c>
      <c r="GE169" s="44">
        <v>44700</v>
      </c>
      <c r="GF169" s="44" t="s">
        <v>37</v>
      </c>
      <c r="GG169" s="44">
        <v>8940</v>
      </c>
      <c r="GH169" s="44" t="s">
        <v>37</v>
      </c>
      <c r="GI169" s="44">
        <v>17880</v>
      </c>
      <c r="GJ169" s="44" t="s">
        <v>37</v>
      </c>
      <c r="GK169" s="44">
        <v>187328</v>
      </c>
      <c r="GL169" s="44" t="s">
        <v>37</v>
      </c>
      <c r="GM169" s="44">
        <v>480972</v>
      </c>
      <c r="GN169" s="44" t="s">
        <v>37</v>
      </c>
      <c r="GP169" s="44" t="s">
        <v>37</v>
      </c>
      <c r="GQ169" s="44">
        <v>139619</v>
      </c>
      <c r="GR169" s="44" t="s">
        <v>37</v>
      </c>
      <c r="GS169" s="44">
        <v>44700</v>
      </c>
      <c r="GT169" s="44" t="s">
        <v>37</v>
      </c>
      <c r="GU169" s="44">
        <v>209031</v>
      </c>
      <c r="GV169" s="44" t="s">
        <v>37</v>
      </c>
      <c r="GW169" s="44">
        <v>411240</v>
      </c>
      <c r="GX169" s="44" t="s">
        <v>37</v>
      </c>
      <c r="GY169" s="44">
        <v>1622060</v>
      </c>
      <c r="GZ169" s="44" t="s">
        <v>37</v>
      </c>
      <c r="HA169" s="44">
        <v>986610</v>
      </c>
      <c r="HB169" s="44" t="s">
        <v>37</v>
      </c>
      <c r="HC169" s="44">
        <v>54769</v>
      </c>
      <c r="HD169" s="44" t="s">
        <v>37</v>
      </c>
      <c r="HF169" s="44" t="s">
        <v>37</v>
      </c>
      <c r="HG169" s="44">
        <v>41515958</v>
      </c>
      <c r="HH169" s="44" t="s">
        <v>37</v>
      </c>
      <c r="HI169" s="44">
        <v>54769</v>
      </c>
      <c r="HJ169" s="44" t="s">
        <v>37</v>
      </c>
      <c r="HK169" s="44">
        <v>41570727</v>
      </c>
      <c r="HL169" s="44" t="s">
        <v>37</v>
      </c>
    </row>
    <row r="170" spans="1:220">
      <c r="A170" s="150" t="s">
        <v>411</v>
      </c>
      <c r="B170" s="44">
        <v>3533</v>
      </c>
      <c r="C170" s="44" t="s">
        <v>189</v>
      </c>
      <c r="D170" s="44" t="s">
        <v>37</v>
      </c>
      <c r="E170" s="44">
        <v>1077</v>
      </c>
      <c r="F170" s="44" t="s">
        <v>37</v>
      </c>
      <c r="G170" s="44">
        <v>1077</v>
      </c>
      <c r="H170" s="44" t="s">
        <v>37</v>
      </c>
      <c r="J170" s="44" t="s">
        <v>37</v>
      </c>
      <c r="L170" s="48" t="s">
        <v>37</v>
      </c>
      <c r="M170" s="51">
        <v>1077</v>
      </c>
      <c r="N170" s="48" t="s">
        <v>37</v>
      </c>
      <c r="O170" s="51">
        <v>1077</v>
      </c>
      <c r="P170" s="48" t="s">
        <v>37</v>
      </c>
      <c r="Q170" s="51">
        <v>1077</v>
      </c>
      <c r="R170" s="48" t="s">
        <v>37</v>
      </c>
      <c r="S170" s="51">
        <v>1077</v>
      </c>
      <c r="T170" s="48" t="s">
        <v>37</v>
      </c>
      <c r="U170" s="44">
        <v>1077</v>
      </c>
      <c r="V170" s="44" t="s">
        <v>37</v>
      </c>
      <c r="X170" s="44" t="s">
        <v>37</v>
      </c>
      <c r="Z170" s="44" t="s">
        <v>37</v>
      </c>
      <c r="AB170" s="44" t="s">
        <v>37</v>
      </c>
      <c r="AC170" s="44">
        <v>1077</v>
      </c>
      <c r="AD170" s="44" t="s">
        <v>37</v>
      </c>
      <c r="AE170" s="44">
        <v>1077</v>
      </c>
      <c r="AF170" s="44" t="s">
        <v>37</v>
      </c>
      <c r="AG170" s="44">
        <v>1077</v>
      </c>
      <c r="AH170" s="44" t="s">
        <v>37</v>
      </c>
      <c r="AI170" s="44">
        <v>1077</v>
      </c>
      <c r="AJ170" s="44" t="s">
        <v>37</v>
      </c>
      <c r="AL170" s="44" t="s">
        <v>37</v>
      </c>
      <c r="AM170" s="44">
        <v>1077</v>
      </c>
      <c r="AN170" s="44" t="s">
        <v>37</v>
      </c>
      <c r="AP170" s="44" t="s">
        <v>37</v>
      </c>
      <c r="AQ170" s="44">
        <v>1077</v>
      </c>
      <c r="AR170" s="44" t="s">
        <v>37</v>
      </c>
      <c r="AS170" s="44">
        <v>1077</v>
      </c>
      <c r="AT170" s="44" t="s">
        <v>37</v>
      </c>
      <c r="AU170" s="44">
        <v>1077</v>
      </c>
      <c r="AV170" s="44" t="s">
        <v>37</v>
      </c>
      <c r="AW170" s="44">
        <v>1077</v>
      </c>
      <c r="AX170" s="44" t="s">
        <v>37</v>
      </c>
      <c r="AY170" s="44">
        <v>1077</v>
      </c>
      <c r="AZ170" s="44" t="s">
        <v>37</v>
      </c>
      <c r="BA170" s="44">
        <v>1073</v>
      </c>
      <c r="BB170" s="44" t="s">
        <v>37</v>
      </c>
      <c r="BC170" s="44">
        <v>1077</v>
      </c>
      <c r="BD170" s="44" t="s">
        <v>37</v>
      </c>
      <c r="BE170" s="44">
        <v>1077</v>
      </c>
      <c r="BF170" s="44" t="s">
        <v>37</v>
      </c>
      <c r="BG170" s="44">
        <v>1077</v>
      </c>
      <c r="BH170" s="44" t="s">
        <v>37</v>
      </c>
      <c r="BJ170" s="44" t="s">
        <v>37</v>
      </c>
      <c r="BK170" s="44">
        <v>1076</v>
      </c>
      <c r="BL170" s="44" t="s">
        <v>37</v>
      </c>
      <c r="BM170" s="44">
        <v>10765</v>
      </c>
      <c r="BN170" s="44" t="s">
        <v>37</v>
      </c>
      <c r="BP170" s="44" t="s">
        <v>37</v>
      </c>
      <c r="BQ170" s="44">
        <v>1077</v>
      </c>
      <c r="BR170" s="44" t="s">
        <v>37</v>
      </c>
      <c r="BS170" s="44">
        <v>1077</v>
      </c>
      <c r="BT170" s="44" t="s">
        <v>37</v>
      </c>
      <c r="BU170" s="44">
        <v>1076</v>
      </c>
      <c r="BV170" s="44" t="s">
        <v>37</v>
      </c>
      <c r="BX170" s="44" t="s">
        <v>37</v>
      </c>
      <c r="BY170" s="44">
        <v>1076</v>
      </c>
      <c r="BZ170" s="44" t="s">
        <v>37</v>
      </c>
      <c r="CA170" s="44">
        <v>1076</v>
      </c>
      <c r="CB170" s="44" t="s">
        <v>37</v>
      </c>
      <c r="CD170" s="44" t="s">
        <v>37</v>
      </c>
      <c r="CE170" s="44">
        <v>1077</v>
      </c>
      <c r="CF170" s="44" t="s">
        <v>37</v>
      </c>
      <c r="CG170" s="44">
        <v>1077</v>
      </c>
      <c r="CH170" s="44" t="s">
        <v>37</v>
      </c>
      <c r="CI170" s="44">
        <v>1077</v>
      </c>
      <c r="CJ170" s="44" t="s">
        <v>37</v>
      </c>
      <c r="CK170" s="44">
        <v>1077</v>
      </c>
      <c r="CL170" s="44" t="s">
        <v>37</v>
      </c>
      <c r="CN170" s="44" t="s">
        <v>37</v>
      </c>
      <c r="CO170" s="44">
        <v>1077</v>
      </c>
      <c r="CP170" s="44" t="s">
        <v>37</v>
      </c>
      <c r="CQ170" s="44">
        <v>1076</v>
      </c>
      <c r="CR170" s="44" t="s">
        <v>37</v>
      </c>
      <c r="CS170" s="44">
        <v>1077</v>
      </c>
      <c r="CT170" s="44" t="s">
        <v>37</v>
      </c>
      <c r="CU170" s="44">
        <v>1077</v>
      </c>
      <c r="CV170" s="44" t="s">
        <v>37</v>
      </c>
      <c r="CW170" s="44">
        <v>1077</v>
      </c>
      <c r="CX170" s="44" t="s">
        <v>37</v>
      </c>
      <c r="CY170" s="44">
        <v>1077</v>
      </c>
      <c r="CZ170" s="44" t="s">
        <v>37</v>
      </c>
      <c r="DA170" s="44">
        <v>1077</v>
      </c>
      <c r="DB170" s="44" t="s">
        <v>37</v>
      </c>
      <c r="DD170" s="44" t="s">
        <v>37</v>
      </c>
      <c r="DE170" s="44">
        <v>1077</v>
      </c>
      <c r="DF170" s="44" t="s">
        <v>37</v>
      </c>
      <c r="DG170" s="44">
        <v>1077</v>
      </c>
      <c r="DH170" s="44" t="s">
        <v>37</v>
      </c>
      <c r="DI170" s="44">
        <v>1077</v>
      </c>
      <c r="DJ170" s="44" t="s">
        <v>37</v>
      </c>
      <c r="DK170" s="44">
        <v>1076</v>
      </c>
      <c r="DL170" s="44" t="s">
        <v>37</v>
      </c>
      <c r="DM170" s="44">
        <v>26913</v>
      </c>
      <c r="DN170" s="44" t="s">
        <v>37</v>
      </c>
      <c r="DO170" s="44">
        <v>1077</v>
      </c>
      <c r="DP170" s="44" t="s">
        <v>37</v>
      </c>
      <c r="DQ170" s="44">
        <v>1077</v>
      </c>
      <c r="DR170" s="44" t="s">
        <v>37</v>
      </c>
      <c r="DS170" s="44">
        <v>1077</v>
      </c>
      <c r="DT170" s="44" t="s">
        <v>37</v>
      </c>
      <c r="DU170" s="44">
        <v>1077</v>
      </c>
      <c r="DV170" s="44" t="s">
        <v>37</v>
      </c>
      <c r="DW170" s="44">
        <v>1077</v>
      </c>
      <c r="DX170" s="44" t="s">
        <v>37</v>
      </c>
      <c r="DY170" s="44">
        <v>1077</v>
      </c>
      <c r="DZ170" s="44" t="s">
        <v>37</v>
      </c>
      <c r="EA170" s="44">
        <v>1077</v>
      </c>
      <c r="EB170" s="44" t="s">
        <v>37</v>
      </c>
      <c r="EC170" s="44">
        <v>1077</v>
      </c>
      <c r="ED170" s="44" t="s">
        <v>37</v>
      </c>
      <c r="EE170" s="44">
        <v>1077</v>
      </c>
      <c r="EF170" s="44" t="s">
        <v>37</v>
      </c>
      <c r="EG170" s="44">
        <v>1077</v>
      </c>
      <c r="EH170" s="44" t="s">
        <v>37</v>
      </c>
      <c r="EJ170" s="44" t="s">
        <v>37</v>
      </c>
      <c r="EK170" s="44">
        <v>1077</v>
      </c>
      <c r="EL170" s="44" t="s">
        <v>37</v>
      </c>
      <c r="EM170" s="44">
        <v>1076</v>
      </c>
      <c r="EN170" s="44" t="s">
        <v>37</v>
      </c>
      <c r="EO170" s="44">
        <v>1076</v>
      </c>
      <c r="EP170" s="44" t="s">
        <v>37</v>
      </c>
      <c r="ER170" s="44" t="s">
        <v>37</v>
      </c>
      <c r="ES170" s="44">
        <v>1077</v>
      </c>
      <c r="ET170" s="44" t="s">
        <v>37</v>
      </c>
      <c r="EU170" s="44">
        <v>1077</v>
      </c>
      <c r="EV170" s="44" t="s">
        <v>37</v>
      </c>
      <c r="EW170" s="44">
        <v>1077</v>
      </c>
      <c r="EX170" s="44" t="s">
        <v>37</v>
      </c>
      <c r="EZ170" s="44" t="s">
        <v>37</v>
      </c>
      <c r="FA170" s="44">
        <v>45776</v>
      </c>
      <c r="FB170" s="44" t="s">
        <v>37</v>
      </c>
      <c r="FC170" s="44">
        <v>1077</v>
      </c>
      <c r="FD170" s="44" t="s">
        <v>37</v>
      </c>
      <c r="FE170" s="44">
        <v>1077</v>
      </c>
      <c r="FF170" s="44" t="s">
        <v>37</v>
      </c>
      <c r="FH170" s="44" t="s">
        <v>37</v>
      </c>
      <c r="FI170" s="44">
        <v>1077</v>
      </c>
      <c r="FJ170" s="44" t="s">
        <v>37</v>
      </c>
      <c r="FK170" s="44">
        <v>10765</v>
      </c>
      <c r="FL170" s="44" t="s">
        <v>37</v>
      </c>
      <c r="FM170" s="44">
        <v>10765</v>
      </c>
      <c r="FN170" s="44" t="s">
        <v>37</v>
      </c>
      <c r="FO170" s="44">
        <v>1077</v>
      </c>
      <c r="FP170" s="44" t="s">
        <v>37</v>
      </c>
      <c r="FR170" s="44" t="s">
        <v>37</v>
      </c>
      <c r="FS170" s="44">
        <v>1077</v>
      </c>
      <c r="FT170" s="44" t="s">
        <v>37</v>
      </c>
      <c r="FU170" s="44">
        <v>1077</v>
      </c>
      <c r="FV170" s="44" t="s">
        <v>37</v>
      </c>
      <c r="FW170" s="44">
        <v>1077</v>
      </c>
      <c r="FX170" s="44" t="s">
        <v>37</v>
      </c>
      <c r="FY170" s="44">
        <v>1077</v>
      </c>
      <c r="FZ170" s="44" t="s">
        <v>37</v>
      </c>
      <c r="GA170" s="44">
        <v>1077</v>
      </c>
      <c r="GB170" s="44" t="s">
        <v>37</v>
      </c>
      <c r="GC170" s="44">
        <v>10765</v>
      </c>
      <c r="GD170" s="44" t="s">
        <v>37</v>
      </c>
      <c r="GF170" s="44" t="s">
        <v>37</v>
      </c>
      <c r="GH170" s="44" t="s">
        <v>37</v>
      </c>
      <c r="GJ170" s="44" t="s">
        <v>37</v>
      </c>
      <c r="GK170" s="44">
        <v>1077</v>
      </c>
      <c r="GL170" s="44" t="s">
        <v>37</v>
      </c>
      <c r="GM170" s="44">
        <v>1077</v>
      </c>
      <c r="GN170" s="44" t="s">
        <v>37</v>
      </c>
      <c r="GP170" s="44" t="s">
        <v>37</v>
      </c>
      <c r="GQ170" s="44">
        <v>1077</v>
      </c>
      <c r="GR170" s="44" t="s">
        <v>37</v>
      </c>
      <c r="GS170" s="44">
        <v>1077</v>
      </c>
      <c r="GT170" s="44" t="s">
        <v>37</v>
      </c>
      <c r="GU170" s="44">
        <v>1077</v>
      </c>
      <c r="GV170" s="44" t="s">
        <v>37</v>
      </c>
      <c r="GW170" s="44">
        <v>1077</v>
      </c>
      <c r="GX170" s="44" t="s">
        <v>37</v>
      </c>
      <c r="GY170" s="44">
        <v>1077</v>
      </c>
      <c r="GZ170" s="44" t="s">
        <v>37</v>
      </c>
      <c r="HA170" s="44">
        <v>1077</v>
      </c>
      <c r="HB170" s="44" t="s">
        <v>37</v>
      </c>
      <c r="HC170" s="44">
        <v>1077</v>
      </c>
      <c r="HD170" s="44" t="s">
        <v>37</v>
      </c>
      <c r="HF170" s="44" t="s">
        <v>37</v>
      </c>
      <c r="HG170" s="44">
        <v>196512</v>
      </c>
      <c r="HH170" s="44" t="s">
        <v>37</v>
      </c>
      <c r="HI170" s="44">
        <v>1077</v>
      </c>
      <c r="HJ170" s="44" t="s">
        <v>37</v>
      </c>
      <c r="HK170" s="44">
        <v>197589</v>
      </c>
      <c r="HL170" s="44" t="s">
        <v>37</v>
      </c>
    </row>
    <row r="171" spans="1:220">
      <c r="A171" s="150" t="s">
        <v>411</v>
      </c>
      <c r="B171" s="44">
        <v>3534</v>
      </c>
      <c r="C171" s="44" t="s">
        <v>190</v>
      </c>
      <c r="D171" s="44" t="s">
        <v>37</v>
      </c>
      <c r="E171" s="44">
        <v>37893</v>
      </c>
      <c r="F171" s="44" t="s">
        <v>37</v>
      </c>
      <c r="G171" s="44">
        <v>86532</v>
      </c>
      <c r="H171" s="44" t="s">
        <v>37</v>
      </c>
      <c r="I171" s="44">
        <v>11412</v>
      </c>
      <c r="J171" s="44" t="s">
        <v>37</v>
      </c>
      <c r="L171" s="48" t="s">
        <v>37</v>
      </c>
      <c r="M171" s="51">
        <v>46062</v>
      </c>
      <c r="N171" s="48" t="s">
        <v>37</v>
      </c>
      <c r="O171" s="51">
        <v>25100</v>
      </c>
      <c r="P171" s="48" t="s">
        <v>37</v>
      </c>
      <c r="Q171" s="51">
        <v>22755</v>
      </c>
      <c r="R171" s="48" t="s">
        <v>37</v>
      </c>
      <c r="S171" s="51">
        <v>23591</v>
      </c>
      <c r="T171" s="48" t="s">
        <v>37</v>
      </c>
      <c r="U171" s="44">
        <v>80638</v>
      </c>
      <c r="V171" s="44" t="s">
        <v>37</v>
      </c>
      <c r="X171" s="44" t="s">
        <v>37</v>
      </c>
      <c r="Z171" s="44" t="s">
        <v>37</v>
      </c>
      <c r="AA171" s="44">
        <v>18481</v>
      </c>
      <c r="AB171" s="44" t="s">
        <v>37</v>
      </c>
      <c r="AC171" s="44">
        <v>36391</v>
      </c>
      <c r="AD171" s="44" t="s">
        <v>37</v>
      </c>
      <c r="AE171" s="44">
        <v>7987</v>
      </c>
      <c r="AF171" s="44" t="s">
        <v>37</v>
      </c>
      <c r="AG171" s="44">
        <v>11714</v>
      </c>
      <c r="AH171" s="44" t="s">
        <v>37</v>
      </c>
      <c r="AI171" s="44">
        <v>23600</v>
      </c>
      <c r="AJ171" s="44" t="s">
        <v>37</v>
      </c>
      <c r="AL171" s="44" t="s">
        <v>37</v>
      </c>
      <c r="AM171" s="44">
        <v>71323</v>
      </c>
      <c r="AN171" s="44" t="s">
        <v>37</v>
      </c>
      <c r="AP171" s="44" t="s">
        <v>37</v>
      </c>
      <c r="AQ171" s="44">
        <v>70615</v>
      </c>
      <c r="AR171" s="44" t="s">
        <v>37</v>
      </c>
      <c r="AS171" s="44">
        <v>16933</v>
      </c>
      <c r="AT171" s="44" t="s">
        <v>37</v>
      </c>
      <c r="AU171" s="44">
        <v>239015</v>
      </c>
      <c r="AV171" s="44" t="s">
        <v>37</v>
      </c>
      <c r="AW171" s="44">
        <v>72123</v>
      </c>
      <c r="AX171" s="44" t="s">
        <v>37</v>
      </c>
      <c r="AY171" s="44">
        <v>41093</v>
      </c>
      <c r="AZ171" s="44" t="s">
        <v>37</v>
      </c>
      <c r="BA171" s="44">
        <v>55222</v>
      </c>
      <c r="BB171" s="44" t="s">
        <v>37</v>
      </c>
      <c r="BC171" s="44">
        <v>9056</v>
      </c>
      <c r="BD171" s="44" t="s">
        <v>37</v>
      </c>
      <c r="BE171" s="44">
        <v>23388</v>
      </c>
      <c r="BF171" s="44" t="s">
        <v>37</v>
      </c>
      <c r="BG171" s="44">
        <v>19100</v>
      </c>
      <c r="BH171" s="44" t="s">
        <v>37</v>
      </c>
      <c r="BJ171" s="44" t="s">
        <v>37</v>
      </c>
      <c r="BK171" s="44">
        <v>24693</v>
      </c>
      <c r="BL171" s="44" t="s">
        <v>37</v>
      </c>
      <c r="BM171" s="44">
        <v>74277</v>
      </c>
      <c r="BN171" s="44" t="s">
        <v>37</v>
      </c>
      <c r="BP171" s="44" t="s">
        <v>37</v>
      </c>
      <c r="BQ171" s="44">
        <v>14807</v>
      </c>
      <c r="BR171" s="44" t="s">
        <v>37</v>
      </c>
      <c r="BS171" s="44">
        <v>23680</v>
      </c>
      <c r="BT171" s="44" t="s">
        <v>37</v>
      </c>
      <c r="BU171" s="44">
        <v>20000</v>
      </c>
      <c r="BV171" s="44" t="s">
        <v>37</v>
      </c>
      <c r="BX171" s="44" t="s">
        <v>37</v>
      </c>
      <c r="BY171" s="44">
        <v>113379</v>
      </c>
      <c r="BZ171" s="44" t="s">
        <v>37</v>
      </c>
      <c r="CA171" s="44">
        <v>14708</v>
      </c>
      <c r="CB171" s="44" t="s">
        <v>37</v>
      </c>
      <c r="CD171" s="44" t="s">
        <v>37</v>
      </c>
      <c r="CE171" s="44">
        <v>28034</v>
      </c>
      <c r="CF171" s="44" t="s">
        <v>37</v>
      </c>
      <c r="CG171" s="44">
        <v>41614</v>
      </c>
      <c r="CH171" s="44" t="s">
        <v>37</v>
      </c>
      <c r="CI171" s="44">
        <v>151513</v>
      </c>
      <c r="CJ171" s="44" t="s">
        <v>37</v>
      </c>
      <c r="CK171" s="44">
        <v>19100</v>
      </c>
      <c r="CL171" s="44" t="s">
        <v>37</v>
      </c>
      <c r="CM171" s="44">
        <v>24996</v>
      </c>
      <c r="CN171" s="44" t="s">
        <v>37</v>
      </c>
      <c r="CO171" s="44">
        <v>30554</v>
      </c>
      <c r="CP171" s="44" t="s">
        <v>37</v>
      </c>
      <c r="CQ171" s="44">
        <v>20100</v>
      </c>
      <c r="CR171" s="44" t="s">
        <v>37</v>
      </c>
      <c r="CS171" s="44">
        <v>49902</v>
      </c>
      <c r="CT171" s="44" t="s">
        <v>37</v>
      </c>
      <c r="CU171" s="44">
        <v>284683</v>
      </c>
      <c r="CV171" s="44" t="s">
        <v>37</v>
      </c>
      <c r="CW171" s="44">
        <v>34070</v>
      </c>
      <c r="CX171" s="44" t="s">
        <v>37</v>
      </c>
      <c r="CY171" s="44">
        <v>17683</v>
      </c>
      <c r="CZ171" s="44" t="s">
        <v>37</v>
      </c>
      <c r="DA171" s="44">
        <v>13070</v>
      </c>
      <c r="DB171" s="44" t="s">
        <v>37</v>
      </c>
      <c r="DD171" s="44" t="s">
        <v>37</v>
      </c>
      <c r="DE171" s="44">
        <v>26000</v>
      </c>
      <c r="DF171" s="44" t="s">
        <v>37</v>
      </c>
      <c r="DG171" s="44">
        <v>41923</v>
      </c>
      <c r="DH171" s="44" t="s">
        <v>37</v>
      </c>
      <c r="DI171" s="44">
        <v>195197</v>
      </c>
      <c r="DJ171" s="44" t="s">
        <v>37</v>
      </c>
      <c r="DK171" s="44">
        <v>22390</v>
      </c>
      <c r="DL171" s="44" t="s">
        <v>37</v>
      </c>
      <c r="DM171" s="44">
        <v>45308</v>
      </c>
      <c r="DN171" s="44" t="s">
        <v>37</v>
      </c>
      <c r="DO171" s="44">
        <v>66008</v>
      </c>
      <c r="DP171" s="44" t="s">
        <v>37</v>
      </c>
      <c r="DQ171" s="44">
        <v>31910</v>
      </c>
      <c r="DR171" s="44" t="s">
        <v>37</v>
      </c>
      <c r="DS171" s="44">
        <v>32857</v>
      </c>
      <c r="DT171" s="44" t="s">
        <v>37</v>
      </c>
      <c r="DU171" s="44">
        <v>58166</v>
      </c>
      <c r="DV171" s="44" t="s">
        <v>37</v>
      </c>
      <c r="DW171" s="44">
        <v>77680</v>
      </c>
      <c r="DX171" s="44" t="s">
        <v>37</v>
      </c>
      <c r="DY171" s="44">
        <v>47274</v>
      </c>
      <c r="DZ171" s="44" t="s">
        <v>37</v>
      </c>
      <c r="EA171" s="44">
        <v>19690</v>
      </c>
      <c r="EB171" s="44" t="s">
        <v>37</v>
      </c>
      <c r="EC171" s="44">
        <v>31125</v>
      </c>
      <c r="ED171" s="44" t="s">
        <v>37</v>
      </c>
      <c r="EE171" s="44">
        <v>68703</v>
      </c>
      <c r="EF171" s="44" t="s">
        <v>37</v>
      </c>
      <c r="EG171" s="44">
        <v>17822</v>
      </c>
      <c r="EH171" s="44" t="s">
        <v>37</v>
      </c>
      <c r="EJ171" s="44" t="s">
        <v>37</v>
      </c>
      <c r="EK171" s="44">
        <v>26538</v>
      </c>
      <c r="EL171" s="44" t="s">
        <v>37</v>
      </c>
      <c r="EM171" s="44">
        <v>21953</v>
      </c>
      <c r="EN171" s="44" t="s">
        <v>37</v>
      </c>
      <c r="EO171" s="44">
        <v>18700</v>
      </c>
      <c r="EP171" s="44" t="s">
        <v>37</v>
      </c>
      <c r="ER171" s="44" t="s">
        <v>37</v>
      </c>
      <c r="ES171" s="44">
        <v>21346</v>
      </c>
      <c r="ET171" s="44" t="s">
        <v>37</v>
      </c>
      <c r="EU171" s="44">
        <v>15760</v>
      </c>
      <c r="EV171" s="44" t="s">
        <v>37</v>
      </c>
      <c r="EW171" s="44">
        <v>52195</v>
      </c>
      <c r="EX171" s="44" t="s">
        <v>37</v>
      </c>
      <c r="EZ171" s="44" t="s">
        <v>37</v>
      </c>
      <c r="FA171" s="44">
        <v>4546</v>
      </c>
      <c r="FB171" s="44" t="s">
        <v>37</v>
      </c>
      <c r="FC171" s="44">
        <v>22839</v>
      </c>
      <c r="FD171" s="44" t="s">
        <v>37</v>
      </c>
      <c r="FE171" s="44">
        <v>20447</v>
      </c>
      <c r="FF171" s="44" t="s">
        <v>37</v>
      </c>
      <c r="FH171" s="44" t="s">
        <v>37</v>
      </c>
      <c r="FI171" s="44">
        <v>35704</v>
      </c>
      <c r="FJ171" s="44" t="s">
        <v>37</v>
      </c>
      <c r="FK171" s="44">
        <v>206817</v>
      </c>
      <c r="FL171" s="44" t="s">
        <v>37</v>
      </c>
      <c r="FM171" s="44">
        <v>84733</v>
      </c>
      <c r="FN171" s="44" t="s">
        <v>37</v>
      </c>
      <c r="FO171" s="44">
        <v>22200</v>
      </c>
      <c r="FP171" s="44" t="s">
        <v>37</v>
      </c>
      <c r="FQ171" s="44">
        <v>30700</v>
      </c>
      <c r="FR171" s="44" t="s">
        <v>37</v>
      </c>
      <c r="FS171" s="44">
        <v>37800</v>
      </c>
      <c r="FT171" s="44" t="s">
        <v>37</v>
      </c>
      <c r="FU171" s="44">
        <v>24900</v>
      </c>
      <c r="FV171" s="44" t="s">
        <v>37</v>
      </c>
      <c r="FW171" s="44">
        <v>22880</v>
      </c>
      <c r="FX171" s="44" t="s">
        <v>37</v>
      </c>
      <c r="FY171" s="44">
        <v>36500</v>
      </c>
      <c r="FZ171" s="44" t="s">
        <v>37</v>
      </c>
      <c r="GA171" s="44">
        <v>50167</v>
      </c>
      <c r="GB171" s="44" t="s">
        <v>37</v>
      </c>
      <c r="GC171" s="44">
        <v>29333</v>
      </c>
      <c r="GD171" s="44" t="s">
        <v>37</v>
      </c>
      <c r="GF171" s="44" t="s">
        <v>37</v>
      </c>
      <c r="GH171" s="44" t="s">
        <v>37</v>
      </c>
      <c r="GJ171" s="44" t="s">
        <v>37</v>
      </c>
      <c r="GK171" s="44">
        <v>103811</v>
      </c>
      <c r="GL171" s="44" t="s">
        <v>37</v>
      </c>
      <c r="GM171" s="44">
        <v>37048</v>
      </c>
      <c r="GN171" s="44" t="s">
        <v>37</v>
      </c>
      <c r="GP171" s="44" t="s">
        <v>37</v>
      </c>
      <c r="GQ171" s="44">
        <v>36068</v>
      </c>
      <c r="GR171" s="44" t="s">
        <v>37</v>
      </c>
      <c r="GS171" s="44">
        <v>23726</v>
      </c>
      <c r="GT171" s="44" t="s">
        <v>37</v>
      </c>
      <c r="GU171" s="44">
        <v>45127</v>
      </c>
      <c r="GV171" s="44" t="s">
        <v>37</v>
      </c>
      <c r="GW171" s="44">
        <v>38396</v>
      </c>
      <c r="GX171" s="44" t="s">
        <v>37</v>
      </c>
      <c r="GY171" s="44">
        <v>113402</v>
      </c>
      <c r="GZ171" s="44" t="s">
        <v>37</v>
      </c>
      <c r="HA171" s="44">
        <v>35500</v>
      </c>
      <c r="HB171" s="44" t="s">
        <v>37</v>
      </c>
      <c r="HC171" s="44">
        <v>11100</v>
      </c>
      <c r="HD171" s="44" t="s">
        <v>37</v>
      </c>
      <c r="HE171" s="44">
        <v>8800</v>
      </c>
      <c r="HF171" s="44" t="s">
        <v>37</v>
      </c>
      <c r="HG171" s="44">
        <v>4052076</v>
      </c>
      <c r="HH171" s="44" t="s">
        <v>37</v>
      </c>
      <c r="HI171" s="44">
        <v>19900</v>
      </c>
      <c r="HJ171" s="44" t="s">
        <v>37</v>
      </c>
      <c r="HK171" s="44">
        <v>4071976</v>
      </c>
      <c r="HL171" s="44" t="s">
        <v>37</v>
      </c>
    </row>
    <row r="172" spans="1:220">
      <c r="A172" s="150" t="s">
        <v>411</v>
      </c>
      <c r="B172" s="44">
        <v>3535</v>
      </c>
      <c r="C172" s="44" t="s">
        <v>191</v>
      </c>
      <c r="D172" s="44" t="s">
        <v>37</v>
      </c>
      <c r="F172" s="44" t="s">
        <v>37</v>
      </c>
      <c r="H172" s="44" t="s">
        <v>37</v>
      </c>
      <c r="J172" s="44" t="s">
        <v>37</v>
      </c>
      <c r="L172" s="48" t="s">
        <v>37</v>
      </c>
      <c r="M172" s="50"/>
      <c r="N172" s="48" t="s">
        <v>37</v>
      </c>
      <c r="O172" s="50"/>
      <c r="P172" s="48" t="s">
        <v>37</v>
      </c>
      <c r="Q172" s="50"/>
      <c r="R172" s="48" t="s">
        <v>37</v>
      </c>
      <c r="S172" s="50"/>
      <c r="T172" s="48" t="s">
        <v>37</v>
      </c>
      <c r="U172" s="44">
        <v>50000</v>
      </c>
      <c r="V172" s="44" t="s">
        <v>37</v>
      </c>
      <c r="X172" s="44" t="s">
        <v>37</v>
      </c>
      <c r="Z172" s="44" t="s">
        <v>37</v>
      </c>
      <c r="AB172" s="44" t="s">
        <v>37</v>
      </c>
      <c r="AD172" s="44" t="s">
        <v>37</v>
      </c>
      <c r="AF172" s="44" t="s">
        <v>37</v>
      </c>
      <c r="AH172" s="44" t="s">
        <v>37</v>
      </c>
      <c r="AJ172" s="44" t="s">
        <v>37</v>
      </c>
      <c r="AL172" s="44" t="s">
        <v>37</v>
      </c>
      <c r="AN172" s="44" t="s">
        <v>37</v>
      </c>
      <c r="AP172" s="44" t="s">
        <v>37</v>
      </c>
      <c r="AR172" s="44" t="s">
        <v>37</v>
      </c>
      <c r="AT172" s="44" t="s">
        <v>37</v>
      </c>
      <c r="AV172" s="44" t="s">
        <v>37</v>
      </c>
      <c r="AW172" s="44">
        <v>30000</v>
      </c>
      <c r="AX172" s="44" t="s">
        <v>37</v>
      </c>
      <c r="AZ172" s="44" t="s">
        <v>37</v>
      </c>
      <c r="BB172" s="44" t="s">
        <v>37</v>
      </c>
      <c r="BD172" s="44" t="s">
        <v>37</v>
      </c>
      <c r="BF172" s="44" t="s">
        <v>37</v>
      </c>
      <c r="BH172" s="44" t="s">
        <v>37</v>
      </c>
      <c r="BJ172" s="44" t="s">
        <v>37</v>
      </c>
      <c r="BL172" s="44" t="s">
        <v>37</v>
      </c>
      <c r="BN172" s="44" t="s">
        <v>37</v>
      </c>
      <c r="BP172" s="44" t="s">
        <v>37</v>
      </c>
      <c r="BR172" s="44" t="s">
        <v>37</v>
      </c>
      <c r="BT172" s="44" t="s">
        <v>37</v>
      </c>
      <c r="BV172" s="44" t="s">
        <v>37</v>
      </c>
      <c r="BX172" s="44" t="s">
        <v>37</v>
      </c>
      <c r="BZ172" s="44" t="s">
        <v>37</v>
      </c>
      <c r="CA172" s="44">
        <v>50000</v>
      </c>
      <c r="CB172" s="44" t="s">
        <v>37</v>
      </c>
      <c r="CD172" s="44" t="s">
        <v>37</v>
      </c>
      <c r="CF172" s="44" t="s">
        <v>37</v>
      </c>
      <c r="CH172" s="44" t="s">
        <v>37</v>
      </c>
      <c r="CJ172" s="44" t="s">
        <v>37</v>
      </c>
      <c r="CL172" s="44" t="s">
        <v>37</v>
      </c>
      <c r="CN172" s="44" t="s">
        <v>37</v>
      </c>
      <c r="CP172" s="44" t="s">
        <v>37</v>
      </c>
      <c r="CR172" s="44" t="s">
        <v>37</v>
      </c>
      <c r="CT172" s="44" t="s">
        <v>37</v>
      </c>
      <c r="CV172" s="44" t="s">
        <v>37</v>
      </c>
      <c r="CW172" s="44">
        <v>60000</v>
      </c>
      <c r="CX172" s="44" t="s">
        <v>37</v>
      </c>
      <c r="CZ172" s="44" t="s">
        <v>37</v>
      </c>
      <c r="DB172" s="44" t="s">
        <v>37</v>
      </c>
      <c r="DD172" s="44" t="s">
        <v>37</v>
      </c>
      <c r="DE172" s="44">
        <v>9525</v>
      </c>
      <c r="DF172" s="44" t="s">
        <v>37</v>
      </c>
      <c r="DH172" s="44" t="s">
        <v>37</v>
      </c>
      <c r="DJ172" s="44" t="s">
        <v>37</v>
      </c>
      <c r="DL172" s="44" t="s">
        <v>37</v>
      </c>
      <c r="DN172" s="44" t="s">
        <v>37</v>
      </c>
      <c r="DO172" s="44">
        <v>58199</v>
      </c>
      <c r="DP172" s="44" t="s">
        <v>37</v>
      </c>
      <c r="DQ172" s="44">
        <v>15290</v>
      </c>
      <c r="DR172" s="44" t="s">
        <v>37</v>
      </c>
      <c r="DS172" s="44">
        <v>10000</v>
      </c>
      <c r="DT172" s="44" t="s">
        <v>37</v>
      </c>
      <c r="DV172" s="44" t="s">
        <v>37</v>
      </c>
      <c r="DW172" s="44">
        <v>58238</v>
      </c>
      <c r="DX172" s="44" t="s">
        <v>37</v>
      </c>
      <c r="DY172" s="44">
        <v>51996</v>
      </c>
      <c r="DZ172" s="44" t="s">
        <v>37</v>
      </c>
      <c r="EB172" s="44" t="s">
        <v>37</v>
      </c>
      <c r="EC172" s="44">
        <v>337839</v>
      </c>
      <c r="ED172" s="44" t="s">
        <v>37</v>
      </c>
      <c r="EE172" s="44">
        <v>59124</v>
      </c>
      <c r="EF172" s="44" t="s">
        <v>37</v>
      </c>
      <c r="EH172" s="44" t="s">
        <v>37</v>
      </c>
      <c r="EJ172" s="44" t="s">
        <v>37</v>
      </c>
      <c r="EL172" s="44" t="s">
        <v>37</v>
      </c>
      <c r="EM172" s="44">
        <v>10000</v>
      </c>
      <c r="EN172" s="44" t="s">
        <v>37</v>
      </c>
      <c r="EP172" s="44" t="s">
        <v>37</v>
      </c>
      <c r="ER172" s="44" t="s">
        <v>37</v>
      </c>
      <c r="ET172" s="44" t="s">
        <v>37</v>
      </c>
      <c r="EU172" s="44">
        <v>50000</v>
      </c>
      <c r="EV172" s="44" t="s">
        <v>37</v>
      </c>
      <c r="EW172" s="44">
        <v>10000</v>
      </c>
      <c r="EX172" s="44" t="s">
        <v>37</v>
      </c>
      <c r="EZ172" s="44" t="s">
        <v>37</v>
      </c>
      <c r="FB172" s="44" t="s">
        <v>37</v>
      </c>
      <c r="FD172" s="44" t="s">
        <v>37</v>
      </c>
      <c r="FF172" s="44" t="s">
        <v>37</v>
      </c>
      <c r="FH172" s="44" t="s">
        <v>37</v>
      </c>
      <c r="FJ172" s="44" t="s">
        <v>37</v>
      </c>
      <c r="FK172" s="44">
        <v>7882</v>
      </c>
      <c r="FL172" s="44" t="s">
        <v>37</v>
      </c>
      <c r="FM172" s="44">
        <v>50000</v>
      </c>
      <c r="FN172" s="44" t="s">
        <v>37</v>
      </c>
      <c r="FP172" s="44" t="s">
        <v>37</v>
      </c>
      <c r="FQ172" s="44">
        <v>60000</v>
      </c>
      <c r="FR172" s="44" t="s">
        <v>37</v>
      </c>
      <c r="FS172" s="44">
        <v>10000</v>
      </c>
      <c r="FT172" s="44" t="s">
        <v>37</v>
      </c>
      <c r="FV172" s="44" t="s">
        <v>37</v>
      </c>
      <c r="FX172" s="44" t="s">
        <v>37</v>
      </c>
      <c r="FY172" s="44">
        <v>50000</v>
      </c>
      <c r="FZ172" s="44" t="s">
        <v>37</v>
      </c>
      <c r="GB172" s="44" t="s">
        <v>37</v>
      </c>
      <c r="GC172" s="44">
        <v>83191</v>
      </c>
      <c r="GD172" s="44" t="s">
        <v>37</v>
      </c>
      <c r="GF172" s="44" t="s">
        <v>37</v>
      </c>
      <c r="GH172" s="44" t="s">
        <v>37</v>
      </c>
      <c r="GJ172" s="44" t="s">
        <v>37</v>
      </c>
      <c r="GK172" s="44">
        <v>10000</v>
      </c>
      <c r="GL172" s="44" t="s">
        <v>37</v>
      </c>
      <c r="GM172" s="44">
        <v>50000</v>
      </c>
      <c r="GN172" s="44" t="s">
        <v>37</v>
      </c>
      <c r="GP172" s="44" t="s">
        <v>37</v>
      </c>
      <c r="GQ172" s="44">
        <v>10000</v>
      </c>
      <c r="GR172" s="44" t="s">
        <v>37</v>
      </c>
      <c r="GT172" s="44" t="s">
        <v>37</v>
      </c>
      <c r="GV172" s="44" t="s">
        <v>37</v>
      </c>
      <c r="GX172" s="44" t="s">
        <v>37</v>
      </c>
      <c r="GZ172" s="44" t="s">
        <v>37</v>
      </c>
      <c r="HB172" s="44" t="s">
        <v>37</v>
      </c>
      <c r="HD172" s="44" t="s">
        <v>37</v>
      </c>
      <c r="HF172" s="44" t="s">
        <v>37</v>
      </c>
      <c r="HG172" s="44">
        <v>1191284</v>
      </c>
      <c r="HH172" s="44" t="s">
        <v>37</v>
      </c>
      <c r="HJ172" s="44" t="s">
        <v>37</v>
      </c>
      <c r="HK172" s="44">
        <v>1191284</v>
      </c>
      <c r="HL172" s="44" t="s">
        <v>37</v>
      </c>
    </row>
    <row r="173" spans="1:220">
      <c r="A173" s="150" t="s">
        <v>407</v>
      </c>
      <c r="B173" s="54">
        <v>3540</v>
      </c>
      <c r="C173" s="44" t="s">
        <v>192</v>
      </c>
      <c r="D173" s="44" t="s">
        <v>37</v>
      </c>
      <c r="E173" s="44">
        <v>40131</v>
      </c>
      <c r="F173" s="44" t="s">
        <v>37</v>
      </c>
      <c r="G173" s="44">
        <v>870358</v>
      </c>
      <c r="H173" s="44" t="s">
        <v>37</v>
      </c>
      <c r="I173" s="44">
        <v>83483</v>
      </c>
      <c r="J173" s="44" t="s">
        <v>37</v>
      </c>
      <c r="L173" s="48" t="s">
        <v>37</v>
      </c>
      <c r="M173" s="51">
        <v>201161</v>
      </c>
      <c r="N173" s="48" t="s">
        <v>37</v>
      </c>
      <c r="O173" s="51">
        <v>125212</v>
      </c>
      <c r="P173" s="48" t="s">
        <v>37</v>
      </c>
      <c r="Q173" s="51">
        <v>92625</v>
      </c>
      <c r="R173" s="48" t="s">
        <v>37</v>
      </c>
      <c r="S173" s="51">
        <v>83859</v>
      </c>
      <c r="T173" s="48" t="s">
        <v>37</v>
      </c>
      <c r="U173" s="44">
        <v>399674</v>
      </c>
      <c r="V173" s="44" t="s">
        <v>37</v>
      </c>
      <c r="X173" s="44" t="s">
        <v>37</v>
      </c>
      <c r="Z173" s="44" t="s">
        <v>37</v>
      </c>
      <c r="AA173" s="44">
        <v>47679</v>
      </c>
      <c r="AB173" s="44" t="s">
        <v>37</v>
      </c>
      <c r="AD173" s="44" t="s">
        <v>37</v>
      </c>
      <c r="AE173" s="44">
        <v>7567</v>
      </c>
      <c r="AF173" s="44" t="s">
        <v>37</v>
      </c>
      <c r="AG173" s="44">
        <v>32486</v>
      </c>
      <c r="AH173" s="44" t="s">
        <v>37</v>
      </c>
      <c r="AI173" s="44">
        <v>91033</v>
      </c>
      <c r="AJ173" s="44" t="s">
        <v>37</v>
      </c>
      <c r="AL173" s="44" t="s">
        <v>37</v>
      </c>
      <c r="AM173" s="44">
        <v>393142</v>
      </c>
      <c r="AN173" s="44" t="s">
        <v>37</v>
      </c>
      <c r="AP173" s="44" t="s">
        <v>37</v>
      </c>
      <c r="AQ173" s="44">
        <v>725458</v>
      </c>
      <c r="AR173" s="44" t="s">
        <v>37</v>
      </c>
      <c r="AS173" s="44">
        <v>91266</v>
      </c>
      <c r="AT173" s="44" t="s">
        <v>37</v>
      </c>
      <c r="AU173" s="44">
        <v>1443504</v>
      </c>
      <c r="AV173" s="44" t="s">
        <v>37</v>
      </c>
      <c r="AW173" s="44">
        <v>346758</v>
      </c>
      <c r="AX173" s="44" t="s">
        <v>37</v>
      </c>
      <c r="AY173" s="44">
        <v>227848</v>
      </c>
      <c r="AZ173" s="44" t="s">
        <v>37</v>
      </c>
      <c r="BA173" s="44">
        <v>263804</v>
      </c>
      <c r="BB173" s="44" t="s">
        <v>37</v>
      </c>
      <c r="BC173" s="44">
        <v>2105</v>
      </c>
      <c r="BD173" s="44" t="s">
        <v>37</v>
      </c>
      <c r="BE173" s="44">
        <v>31686</v>
      </c>
      <c r="BF173" s="44" t="s">
        <v>37</v>
      </c>
      <c r="BG173" s="44">
        <v>76700</v>
      </c>
      <c r="BH173" s="44" t="s">
        <v>37</v>
      </c>
      <c r="BJ173" s="44" t="s">
        <v>37</v>
      </c>
      <c r="BK173" s="44">
        <v>343951</v>
      </c>
      <c r="BL173" s="44" t="s">
        <v>37</v>
      </c>
      <c r="BM173" s="44">
        <v>486500</v>
      </c>
      <c r="BN173" s="44" t="s">
        <v>37</v>
      </c>
      <c r="BP173" s="44" t="s">
        <v>37</v>
      </c>
      <c r="BQ173" s="44">
        <v>4043</v>
      </c>
      <c r="BR173" s="44" t="s">
        <v>37</v>
      </c>
      <c r="BS173" s="44">
        <v>63383</v>
      </c>
      <c r="BT173" s="44" t="s">
        <v>37</v>
      </c>
      <c r="BU173" s="44">
        <v>51364</v>
      </c>
      <c r="BV173" s="44" t="s">
        <v>37</v>
      </c>
      <c r="BX173" s="44" t="s">
        <v>37</v>
      </c>
      <c r="BY173" s="44">
        <v>428138</v>
      </c>
      <c r="BZ173" s="44" t="s">
        <v>37</v>
      </c>
      <c r="CA173" s="44">
        <v>96860</v>
      </c>
      <c r="CB173" s="44" t="s">
        <v>37</v>
      </c>
      <c r="CD173" s="44" t="s">
        <v>37</v>
      </c>
      <c r="CE173" s="44">
        <v>157594</v>
      </c>
      <c r="CF173" s="44" t="s">
        <v>37</v>
      </c>
      <c r="CG173" s="44">
        <v>173571</v>
      </c>
      <c r="CH173" s="44" t="s">
        <v>37</v>
      </c>
      <c r="CI173" s="44">
        <v>460809</v>
      </c>
      <c r="CJ173" s="44" t="s">
        <v>37</v>
      </c>
      <c r="CL173" s="44" t="s">
        <v>37</v>
      </c>
      <c r="CM173" s="44">
        <v>184894</v>
      </c>
      <c r="CN173" s="44" t="s">
        <v>37</v>
      </c>
      <c r="CO173" s="44">
        <v>18343</v>
      </c>
      <c r="CP173" s="44" t="s">
        <v>37</v>
      </c>
      <c r="CQ173" s="44">
        <v>46573</v>
      </c>
      <c r="CR173" s="44" t="s">
        <v>37</v>
      </c>
      <c r="CS173" s="44">
        <v>380577</v>
      </c>
      <c r="CT173" s="44" t="s">
        <v>37</v>
      </c>
      <c r="CU173" s="44">
        <v>1870104</v>
      </c>
      <c r="CV173" s="44" t="s">
        <v>37</v>
      </c>
      <c r="CW173" s="44">
        <v>335176</v>
      </c>
      <c r="CX173" s="44" t="s">
        <v>37</v>
      </c>
      <c r="CY173" s="44">
        <v>39708</v>
      </c>
      <c r="CZ173" s="44" t="s">
        <v>37</v>
      </c>
      <c r="DA173" s="44">
        <v>42739</v>
      </c>
      <c r="DB173" s="44" t="s">
        <v>37</v>
      </c>
      <c r="DD173" s="44" t="s">
        <v>37</v>
      </c>
      <c r="DE173" s="44">
        <v>80457</v>
      </c>
      <c r="DF173" s="44" t="s">
        <v>37</v>
      </c>
      <c r="DG173" s="44">
        <v>1538</v>
      </c>
      <c r="DH173" s="44" t="s">
        <v>37</v>
      </c>
      <c r="DI173" s="44">
        <v>1073114</v>
      </c>
      <c r="DJ173" s="44" t="s">
        <v>37</v>
      </c>
      <c r="DK173" s="44">
        <v>34411</v>
      </c>
      <c r="DL173" s="44" t="s">
        <v>37</v>
      </c>
      <c r="DM173" s="44">
        <v>350052</v>
      </c>
      <c r="DN173" s="44" t="s">
        <v>37</v>
      </c>
      <c r="DO173" s="44">
        <v>385419</v>
      </c>
      <c r="DP173" s="44" t="s">
        <v>37</v>
      </c>
      <c r="DQ173" s="44">
        <v>245565</v>
      </c>
      <c r="DR173" s="44" t="s">
        <v>37</v>
      </c>
      <c r="DS173" s="44">
        <v>54830</v>
      </c>
      <c r="DT173" s="44" t="s">
        <v>37</v>
      </c>
      <c r="DU173" s="44">
        <v>39675</v>
      </c>
      <c r="DV173" s="44" t="s">
        <v>37</v>
      </c>
      <c r="DW173" s="44">
        <v>359040</v>
      </c>
      <c r="DX173" s="44" t="s">
        <v>37</v>
      </c>
      <c r="DY173" s="44">
        <v>311070</v>
      </c>
      <c r="DZ173" s="44" t="s">
        <v>37</v>
      </c>
      <c r="EA173" s="44">
        <v>80660</v>
      </c>
      <c r="EB173" s="44" t="s">
        <v>37</v>
      </c>
      <c r="EC173" s="44">
        <v>60586</v>
      </c>
      <c r="ED173" s="44" t="s">
        <v>37</v>
      </c>
      <c r="EE173" s="44">
        <v>233913</v>
      </c>
      <c r="EF173" s="44" t="s">
        <v>37</v>
      </c>
      <c r="EG173" s="44">
        <v>47731</v>
      </c>
      <c r="EH173" s="44" t="s">
        <v>37</v>
      </c>
      <c r="EJ173" s="44" t="s">
        <v>37</v>
      </c>
      <c r="EK173" s="44">
        <v>114042</v>
      </c>
      <c r="EL173" s="44" t="s">
        <v>37</v>
      </c>
      <c r="EN173" s="44" t="s">
        <v>37</v>
      </c>
      <c r="EO173" s="44">
        <v>18127</v>
      </c>
      <c r="EP173" s="44" t="s">
        <v>37</v>
      </c>
      <c r="ER173" s="44" t="s">
        <v>37</v>
      </c>
      <c r="ES173" s="44">
        <v>313284</v>
      </c>
      <c r="ET173" s="44" t="s">
        <v>37</v>
      </c>
      <c r="EU173" s="44">
        <v>210331</v>
      </c>
      <c r="EV173" s="44" t="s">
        <v>37</v>
      </c>
      <c r="EW173" s="44">
        <v>332258</v>
      </c>
      <c r="EX173" s="44" t="s">
        <v>37</v>
      </c>
      <c r="EZ173" s="44" t="s">
        <v>37</v>
      </c>
      <c r="FA173" s="44">
        <v>186582</v>
      </c>
      <c r="FB173" s="44" t="s">
        <v>37</v>
      </c>
      <c r="FC173" s="44">
        <v>121306</v>
      </c>
      <c r="FD173" s="44" t="s">
        <v>37</v>
      </c>
      <c r="FE173" s="44">
        <v>285411</v>
      </c>
      <c r="FF173" s="44" t="s">
        <v>37</v>
      </c>
      <c r="FH173" s="44" t="s">
        <v>37</v>
      </c>
      <c r="FI173" s="44">
        <v>480287</v>
      </c>
      <c r="FJ173" s="44" t="s">
        <v>37</v>
      </c>
      <c r="FK173" s="44">
        <v>1115741</v>
      </c>
      <c r="FL173" s="44" t="s">
        <v>37</v>
      </c>
      <c r="FM173" s="44">
        <v>439440</v>
      </c>
      <c r="FN173" s="44" t="s">
        <v>37</v>
      </c>
      <c r="FO173" s="44">
        <v>89772</v>
      </c>
      <c r="FP173" s="44" t="s">
        <v>37</v>
      </c>
      <c r="FQ173" s="44">
        <v>118542</v>
      </c>
      <c r="FR173" s="44" t="s">
        <v>37</v>
      </c>
      <c r="FS173" s="44">
        <v>233778</v>
      </c>
      <c r="FT173" s="44" t="s">
        <v>37</v>
      </c>
      <c r="FU173" s="44">
        <v>82946</v>
      </c>
      <c r="FV173" s="44" t="s">
        <v>37</v>
      </c>
      <c r="FW173" s="44">
        <v>87181</v>
      </c>
      <c r="FX173" s="44" t="s">
        <v>37</v>
      </c>
      <c r="FY173" s="44">
        <v>153213</v>
      </c>
      <c r="FZ173" s="44" t="s">
        <v>37</v>
      </c>
      <c r="GA173" s="44">
        <v>150884</v>
      </c>
      <c r="GB173" s="44" t="s">
        <v>37</v>
      </c>
      <c r="GC173" s="44">
        <v>352931</v>
      </c>
      <c r="GD173" s="44" t="s">
        <v>37</v>
      </c>
      <c r="GF173" s="44" t="s">
        <v>37</v>
      </c>
      <c r="GH173" s="44" t="s">
        <v>37</v>
      </c>
      <c r="GJ173" s="44" t="s">
        <v>37</v>
      </c>
      <c r="GK173" s="44">
        <v>464268</v>
      </c>
      <c r="GL173" s="44" t="s">
        <v>37</v>
      </c>
      <c r="GM173" s="44">
        <v>457400</v>
      </c>
      <c r="GN173" s="44" t="s">
        <v>37</v>
      </c>
      <c r="GP173" s="44" t="s">
        <v>37</v>
      </c>
      <c r="GQ173" s="44">
        <v>196964</v>
      </c>
      <c r="GR173" s="44" t="s">
        <v>37</v>
      </c>
      <c r="GS173" s="44">
        <v>155400</v>
      </c>
      <c r="GT173" s="44" t="s">
        <v>37</v>
      </c>
      <c r="GU173" s="44">
        <v>174325</v>
      </c>
      <c r="GV173" s="44" t="s">
        <v>37</v>
      </c>
      <c r="GW173" s="44">
        <v>95516</v>
      </c>
      <c r="GX173" s="44" t="s">
        <v>37</v>
      </c>
      <c r="GY173" s="44">
        <v>447985</v>
      </c>
      <c r="GZ173" s="44" t="s">
        <v>37</v>
      </c>
      <c r="HA173" s="44">
        <v>81713</v>
      </c>
      <c r="HB173" s="44" t="s">
        <v>37</v>
      </c>
      <c r="HD173" s="44" t="s">
        <v>37</v>
      </c>
      <c r="HF173" s="44" t="s">
        <v>37</v>
      </c>
      <c r="HG173" s="44">
        <v>21179554</v>
      </c>
      <c r="HH173" s="44" t="s">
        <v>37</v>
      </c>
      <c r="HJ173" s="44" t="s">
        <v>37</v>
      </c>
      <c r="HK173" s="44">
        <v>21179554</v>
      </c>
      <c r="HL173" s="44" t="s">
        <v>37</v>
      </c>
    </row>
    <row r="174" spans="1:220">
      <c r="A174" s="150" t="s">
        <v>411</v>
      </c>
      <c r="B174" s="44">
        <v>3542</v>
      </c>
      <c r="C174" s="44" t="s">
        <v>193</v>
      </c>
      <c r="D174" s="44" t="s">
        <v>37</v>
      </c>
      <c r="E174" s="44">
        <v>23711</v>
      </c>
      <c r="F174" s="44" t="s">
        <v>37</v>
      </c>
      <c r="G174" s="44">
        <v>112524</v>
      </c>
      <c r="H174" s="44" t="s">
        <v>37</v>
      </c>
      <c r="I174" s="44">
        <v>11382</v>
      </c>
      <c r="J174" s="44" t="s">
        <v>37</v>
      </c>
      <c r="L174" s="48" t="s">
        <v>37</v>
      </c>
      <c r="M174" s="51">
        <v>46434</v>
      </c>
      <c r="N174" s="48" t="s">
        <v>37</v>
      </c>
      <c r="O174" s="51">
        <v>34167</v>
      </c>
      <c r="P174" s="48" t="s">
        <v>37</v>
      </c>
      <c r="Q174" s="51">
        <v>57946</v>
      </c>
      <c r="R174" s="48" t="s">
        <v>37</v>
      </c>
      <c r="S174" s="51">
        <v>10295</v>
      </c>
      <c r="T174" s="48" t="s">
        <v>37</v>
      </c>
      <c r="U174" s="44">
        <v>60879</v>
      </c>
      <c r="V174" s="44" t="s">
        <v>37</v>
      </c>
      <c r="X174" s="44" t="s">
        <v>37</v>
      </c>
      <c r="Z174" s="44" t="s">
        <v>37</v>
      </c>
      <c r="AA174" s="44">
        <v>20772</v>
      </c>
      <c r="AB174" s="44" t="s">
        <v>37</v>
      </c>
      <c r="AC174" s="44">
        <v>4442</v>
      </c>
      <c r="AD174" s="44" t="s">
        <v>37</v>
      </c>
      <c r="AE174" s="44">
        <v>8002</v>
      </c>
      <c r="AF174" s="44" t="s">
        <v>37</v>
      </c>
      <c r="AG174" s="44">
        <v>11617</v>
      </c>
      <c r="AH174" s="44" t="s">
        <v>37</v>
      </c>
      <c r="AI174" s="44">
        <v>35755</v>
      </c>
      <c r="AJ174" s="44" t="s">
        <v>37</v>
      </c>
      <c r="AL174" s="44" t="s">
        <v>37</v>
      </c>
      <c r="AN174" s="44" t="s">
        <v>37</v>
      </c>
      <c r="AP174" s="44" t="s">
        <v>37</v>
      </c>
      <c r="AQ174" s="44">
        <v>192008</v>
      </c>
      <c r="AR174" s="44" t="s">
        <v>37</v>
      </c>
      <c r="AS174" s="44">
        <v>16235</v>
      </c>
      <c r="AT174" s="44" t="s">
        <v>37</v>
      </c>
      <c r="AU174" s="44">
        <v>148884</v>
      </c>
      <c r="AV174" s="44" t="s">
        <v>37</v>
      </c>
      <c r="AW174" s="44">
        <v>40342</v>
      </c>
      <c r="AX174" s="44" t="s">
        <v>37</v>
      </c>
      <c r="AY174" s="44">
        <v>41300</v>
      </c>
      <c r="AZ174" s="44" t="s">
        <v>37</v>
      </c>
      <c r="BA174" s="44">
        <v>31815</v>
      </c>
      <c r="BB174" s="44" t="s">
        <v>37</v>
      </c>
      <c r="BC174" s="44">
        <v>5434</v>
      </c>
      <c r="BD174" s="44" t="s">
        <v>37</v>
      </c>
      <c r="BE174" s="44">
        <v>23917</v>
      </c>
      <c r="BF174" s="44" t="s">
        <v>37</v>
      </c>
      <c r="BG174" s="44">
        <v>14174</v>
      </c>
      <c r="BH174" s="44" t="s">
        <v>37</v>
      </c>
      <c r="BJ174" s="44" t="s">
        <v>37</v>
      </c>
      <c r="BK174" s="44">
        <v>34578</v>
      </c>
      <c r="BL174" s="44" t="s">
        <v>37</v>
      </c>
      <c r="BM174" s="44">
        <v>70317</v>
      </c>
      <c r="BN174" s="44" t="s">
        <v>37</v>
      </c>
      <c r="BP174" s="44" t="s">
        <v>37</v>
      </c>
      <c r="BQ174" s="44">
        <v>6520</v>
      </c>
      <c r="BR174" s="44" t="s">
        <v>37</v>
      </c>
      <c r="BS174" s="44">
        <v>27069</v>
      </c>
      <c r="BT174" s="44" t="s">
        <v>37</v>
      </c>
      <c r="BU174" s="44">
        <v>12823</v>
      </c>
      <c r="BV174" s="44" t="s">
        <v>37</v>
      </c>
      <c r="BX174" s="44" t="s">
        <v>37</v>
      </c>
      <c r="BY174" s="44">
        <v>129266</v>
      </c>
      <c r="BZ174" s="44" t="s">
        <v>37</v>
      </c>
      <c r="CA174" s="44">
        <v>17128</v>
      </c>
      <c r="CB174" s="44" t="s">
        <v>37</v>
      </c>
      <c r="CD174" s="44" t="s">
        <v>37</v>
      </c>
      <c r="CE174" s="44">
        <v>38966</v>
      </c>
      <c r="CF174" s="44" t="s">
        <v>37</v>
      </c>
      <c r="CG174" s="44">
        <v>13412</v>
      </c>
      <c r="CH174" s="44" t="s">
        <v>37</v>
      </c>
      <c r="CI174" s="44">
        <v>92259</v>
      </c>
      <c r="CJ174" s="44" t="s">
        <v>37</v>
      </c>
      <c r="CK174" s="44">
        <v>8496</v>
      </c>
      <c r="CL174" s="44" t="s">
        <v>37</v>
      </c>
      <c r="CM174" s="44">
        <v>7487</v>
      </c>
      <c r="CN174" s="44" t="s">
        <v>37</v>
      </c>
      <c r="CO174" s="44">
        <v>5388</v>
      </c>
      <c r="CP174" s="44" t="s">
        <v>37</v>
      </c>
      <c r="CQ174" s="44">
        <v>21373</v>
      </c>
      <c r="CR174" s="44" t="s">
        <v>37</v>
      </c>
      <c r="CS174" s="44">
        <v>41148</v>
      </c>
      <c r="CT174" s="44" t="s">
        <v>37</v>
      </c>
      <c r="CU174" s="44">
        <v>308628</v>
      </c>
      <c r="CV174" s="44" t="s">
        <v>37</v>
      </c>
      <c r="CW174" s="44">
        <v>55687</v>
      </c>
      <c r="CX174" s="44" t="s">
        <v>37</v>
      </c>
      <c r="CY174" s="44">
        <v>11543</v>
      </c>
      <c r="CZ174" s="44" t="s">
        <v>37</v>
      </c>
      <c r="DA174" s="44">
        <v>8669</v>
      </c>
      <c r="DB174" s="44" t="s">
        <v>37</v>
      </c>
      <c r="DD174" s="44" t="s">
        <v>37</v>
      </c>
      <c r="DE174" s="44">
        <v>26502</v>
      </c>
      <c r="DF174" s="44" t="s">
        <v>37</v>
      </c>
      <c r="DG174" s="44">
        <v>15746</v>
      </c>
      <c r="DH174" s="44" t="s">
        <v>37</v>
      </c>
      <c r="DI174" s="44">
        <v>192024</v>
      </c>
      <c r="DJ174" s="44" t="s">
        <v>37</v>
      </c>
      <c r="DK174" s="44">
        <v>14716</v>
      </c>
      <c r="DL174" s="44" t="s">
        <v>37</v>
      </c>
      <c r="DM174" s="44">
        <v>74029</v>
      </c>
      <c r="DN174" s="44" t="s">
        <v>37</v>
      </c>
      <c r="DO174" s="44">
        <v>60162</v>
      </c>
      <c r="DP174" s="44" t="s">
        <v>37</v>
      </c>
      <c r="DQ174" s="44">
        <v>83742</v>
      </c>
      <c r="DR174" s="44" t="s">
        <v>37</v>
      </c>
      <c r="DS174" s="44">
        <v>38970</v>
      </c>
      <c r="DT174" s="44" t="s">
        <v>37</v>
      </c>
      <c r="DU174" s="44">
        <v>28429</v>
      </c>
      <c r="DV174" s="44" t="s">
        <v>37</v>
      </c>
      <c r="DW174" s="44">
        <v>163999</v>
      </c>
      <c r="DX174" s="44" t="s">
        <v>37</v>
      </c>
      <c r="DY174" s="44">
        <v>68683</v>
      </c>
      <c r="DZ174" s="44" t="s">
        <v>37</v>
      </c>
      <c r="EA174" s="44">
        <v>23089</v>
      </c>
      <c r="EB174" s="44" t="s">
        <v>37</v>
      </c>
      <c r="EC174" s="44">
        <v>31861</v>
      </c>
      <c r="ED174" s="44" t="s">
        <v>37</v>
      </c>
      <c r="EE174" s="44">
        <v>114536</v>
      </c>
      <c r="EF174" s="44" t="s">
        <v>37</v>
      </c>
      <c r="EH174" s="44" t="s">
        <v>37</v>
      </c>
      <c r="EJ174" s="44" t="s">
        <v>37</v>
      </c>
      <c r="EK174" s="44">
        <v>19140</v>
      </c>
      <c r="EL174" s="44" t="s">
        <v>37</v>
      </c>
      <c r="EM174" s="44">
        <v>25892</v>
      </c>
      <c r="EN174" s="44" t="s">
        <v>37</v>
      </c>
      <c r="EO174" s="44">
        <v>15745</v>
      </c>
      <c r="EP174" s="44" t="s">
        <v>37</v>
      </c>
      <c r="ER174" s="44" t="s">
        <v>37</v>
      </c>
      <c r="ES174" s="44">
        <v>27317</v>
      </c>
      <c r="ET174" s="44" t="s">
        <v>37</v>
      </c>
      <c r="EU174" s="44">
        <v>58861</v>
      </c>
      <c r="EV174" s="44" t="s">
        <v>37</v>
      </c>
      <c r="EW174" s="44">
        <v>40727</v>
      </c>
      <c r="EX174" s="44" t="s">
        <v>37</v>
      </c>
      <c r="EZ174" s="44" t="s">
        <v>37</v>
      </c>
      <c r="FA174" s="44">
        <v>32260</v>
      </c>
      <c r="FB174" s="44" t="s">
        <v>37</v>
      </c>
      <c r="FC174" s="44">
        <v>37344</v>
      </c>
      <c r="FD174" s="44" t="s">
        <v>37</v>
      </c>
      <c r="FE174" s="44">
        <v>51250</v>
      </c>
      <c r="FF174" s="44" t="s">
        <v>37</v>
      </c>
      <c r="FH174" s="44" t="s">
        <v>37</v>
      </c>
      <c r="FI174" s="44">
        <v>66711</v>
      </c>
      <c r="FJ174" s="44" t="s">
        <v>37</v>
      </c>
      <c r="FK174" s="44">
        <v>69856</v>
      </c>
      <c r="FL174" s="44" t="s">
        <v>37</v>
      </c>
      <c r="FM174" s="44">
        <v>138586</v>
      </c>
      <c r="FN174" s="44" t="s">
        <v>37</v>
      </c>
      <c r="FO174" s="44">
        <v>17783</v>
      </c>
      <c r="FP174" s="44" t="s">
        <v>37</v>
      </c>
      <c r="FQ174" s="44">
        <v>25007</v>
      </c>
      <c r="FR174" s="44" t="s">
        <v>37</v>
      </c>
      <c r="FS174" s="44">
        <v>41519</v>
      </c>
      <c r="FT174" s="44" t="s">
        <v>37</v>
      </c>
      <c r="FU174" s="44">
        <v>16268</v>
      </c>
      <c r="FV174" s="44" t="s">
        <v>37</v>
      </c>
      <c r="FW174" s="44">
        <v>39633</v>
      </c>
      <c r="FX174" s="44" t="s">
        <v>37</v>
      </c>
      <c r="FY174" s="44">
        <v>48541</v>
      </c>
      <c r="FZ174" s="44" t="s">
        <v>37</v>
      </c>
      <c r="GA174" s="44">
        <v>51274</v>
      </c>
      <c r="GB174" s="44" t="s">
        <v>37</v>
      </c>
      <c r="GC174" s="44">
        <v>78716</v>
      </c>
      <c r="GD174" s="44" t="s">
        <v>37</v>
      </c>
      <c r="GF174" s="44" t="s">
        <v>37</v>
      </c>
      <c r="GH174" s="44" t="s">
        <v>37</v>
      </c>
      <c r="GJ174" s="44" t="s">
        <v>37</v>
      </c>
      <c r="GK174" s="44">
        <v>48409</v>
      </c>
      <c r="GL174" s="44" t="s">
        <v>37</v>
      </c>
      <c r="GM174" s="44">
        <v>15436</v>
      </c>
      <c r="GN174" s="44" t="s">
        <v>37</v>
      </c>
      <c r="GP174" s="44" t="s">
        <v>37</v>
      </c>
      <c r="GQ174" s="44">
        <v>40802</v>
      </c>
      <c r="GR174" s="44" t="s">
        <v>37</v>
      </c>
      <c r="GS174" s="44">
        <v>47748</v>
      </c>
      <c r="GT174" s="44" t="s">
        <v>37</v>
      </c>
      <c r="GU174" s="44">
        <v>36455</v>
      </c>
      <c r="GV174" s="44" t="s">
        <v>37</v>
      </c>
      <c r="GW174" s="44">
        <v>28972</v>
      </c>
      <c r="GX174" s="44" t="s">
        <v>37</v>
      </c>
      <c r="GY174" s="44">
        <v>62570</v>
      </c>
      <c r="GZ174" s="44" t="s">
        <v>37</v>
      </c>
      <c r="HA174" s="44">
        <v>37974</v>
      </c>
      <c r="HB174" s="44" t="s">
        <v>37</v>
      </c>
      <c r="HD174" s="44" t="s">
        <v>37</v>
      </c>
      <c r="HF174" s="44" t="s">
        <v>37</v>
      </c>
      <c r="HG174" s="44">
        <v>4020076</v>
      </c>
      <c r="HH174" s="44" t="s">
        <v>37</v>
      </c>
      <c r="HJ174" s="44" t="s">
        <v>37</v>
      </c>
      <c r="HK174" s="44">
        <v>4020076</v>
      </c>
      <c r="HL174" s="44" t="s">
        <v>37</v>
      </c>
    </row>
    <row r="175" spans="1:220">
      <c r="A175" s="150" t="s">
        <v>407</v>
      </c>
      <c r="B175" s="54">
        <v>3546</v>
      </c>
      <c r="C175" s="44" t="s">
        <v>194</v>
      </c>
      <c r="D175" s="44" t="s">
        <v>37</v>
      </c>
      <c r="E175" s="44">
        <v>413540</v>
      </c>
      <c r="F175" s="44" t="s">
        <v>37</v>
      </c>
      <c r="G175" s="44">
        <v>2167453</v>
      </c>
      <c r="H175" s="44" t="s">
        <v>37</v>
      </c>
      <c r="I175" s="44">
        <v>220626</v>
      </c>
      <c r="J175" s="44" t="s">
        <v>37</v>
      </c>
      <c r="L175" s="48" t="s">
        <v>37</v>
      </c>
      <c r="M175" s="51">
        <v>488877</v>
      </c>
      <c r="N175" s="48" t="s">
        <v>37</v>
      </c>
      <c r="O175" s="51">
        <v>324917</v>
      </c>
      <c r="P175" s="48" t="s">
        <v>37</v>
      </c>
      <c r="Q175" s="51">
        <v>397074</v>
      </c>
      <c r="R175" s="48" t="s">
        <v>37</v>
      </c>
      <c r="S175" s="51">
        <v>229062</v>
      </c>
      <c r="T175" s="48" t="s">
        <v>37</v>
      </c>
      <c r="U175" s="44">
        <v>1083744</v>
      </c>
      <c r="V175" s="44" t="s">
        <v>37</v>
      </c>
      <c r="X175" s="44" t="s">
        <v>37</v>
      </c>
      <c r="Z175" s="44" t="s">
        <v>37</v>
      </c>
      <c r="AA175" s="44">
        <v>165078</v>
      </c>
      <c r="AB175" s="44" t="s">
        <v>37</v>
      </c>
      <c r="AC175" s="44">
        <v>138875</v>
      </c>
      <c r="AD175" s="44" t="s">
        <v>37</v>
      </c>
      <c r="AE175" s="44">
        <v>123154</v>
      </c>
      <c r="AF175" s="44" t="s">
        <v>37</v>
      </c>
      <c r="AG175" s="44">
        <v>111338</v>
      </c>
      <c r="AH175" s="44" t="s">
        <v>37</v>
      </c>
      <c r="AI175" s="44">
        <v>413476</v>
      </c>
      <c r="AJ175" s="44" t="s">
        <v>37</v>
      </c>
      <c r="AL175" s="44" t="s">
        <v>37</v>
      </c>
      <c r="AM175" s="44">
        <v>224891</v>
      </c>
      <c r="AN175" s="44" t="s">
        <v>37</v>
      </c>
      <c r="AP175" s="44" t="s">
        <v>37</v>
      </c>
      <c r="AQ175" s="44">
        <v>2312036</v>
      </c>
      <c r="AR175" s="44" t="s">
        <v>37</v>
      </c>
      <c r="AS175" s="44">
        <v>174374</v>
      </c>
      <c r="AT175" s="44" t="s">
        <v>37</v>
      </c>
      <c r="AU175" s="44">
        <v>3886323</v>
      </c>
      <c r="AV175" s="44" t="s">
        <v>37</v>
      </c>
      <c r="AW175" s="44">
        <v>879064</v>
      </c>
      <c r="AX175" s="44" t="s">
        <v>37</v>
      </c>
      <c r="AY175" s="44">
        <v>355288</v>
      </c>
      <c r="AZ175" s="44" t="s">
        <v>37</v>
      </c>
      <c r="BA175" s="44">
        <v>845778</v>
      </c>
      <c r="BB175" s="44" t="s">
        <v>37</v>
      </c>
      <c r="BC175" s="44">
        <v>142135</v>
      </c>
      <c r="BD175" s="44" t="s">
        <v>37</v>
      </c>
      <c r="BE175" s="44">
        <v>354050</v>
      </c>
      <c r="BF175" s="44" t="s">
        <v>37</v>
      </c>
      <c r="BG175" s="44">
        <v>134359</v>
      </c>
      <c r="BH175" s="44" t="s">
        <v>37</v>
      </c>
      <c r="BJ175" s="44" t="s">
        <v>37</v>
      </c>
      <c r="BK175" s="44">
        <v>779634</v>
      </c>
      <c r="BL175" s="44" t="s">
        <v>37</v>
      </c>
      <c r="BM175" s="44">
        <v>1162121</v>
      </c>
      <c r="BN175" s="44" t="s">
        <v>37</v>
      </c>
      <c r="BP175" s="44" t="s">
        <v>37</v>
      </c>
      <c r="BQ175" s="44">
        <v>106835</v>
      </c>
      <c r="BR175" s="44" t="s">
        <v>37</v>
      </c>
      <c r="BS175" s="44">
        <v>454542</v>
      </c>
      <c r="BT175" s="44" t="s">
        <v>37</v>
      </c>
      <c r="BU175" s="44">
        <v>166651</v>
      </c>
      <c r="BV175" s="44" t="s">
        <v>37</v>
      </c>
      <c r="BX175" s="44" t="s">
        <v>37</v>
      </c>
      <c r="BY175" s="44">
        <v>474639</v>
      </c>
      <c r="BZ175" s="44" t="s">
        <v>37</v>
      </c>
      <c r="CA175" s="44">
        <v>273559</v>
      </c>
      <c r="CB175" s="44" t="s">
        <v>37</v>
      </c>
      <c r="CD175" s="44" t="s">
        <v>37</v>
      </c>
      <c r="CE175" s="44">
        <v>421344</v>
      </c>
      <c r="CF175" s="44" t="s">
        <v>37</v>
      </c>
      <c r="CG175" s="44">
        <v>438769</v>
      </c>
      <c r="CH175" s="44" t="s">
        <v>37</v>
      </c>
      <c r="CI175" s="44">
        <v>1503527</v>
      </c>
      <c r="CJ175" s="44" t="s">
        <v>37</v>
      </c>
      <c r="CK175" s="44">
        <v>194822</v>
      </c>
      <c r="CL175" s="44" t="s">
        <v>37</v>
      </c>
      <c r="CM175" s="44">
        <v>336687</v>
      </c>
      <c r="CN175" s="44" t="s">
        <v>37</v>
      </c>
      <c r="CO175" s="44">
        <v>140972</v>
      </c>
      <c r="CP175" s="44" t="s">
        <v>37</v>
      </c>
      <c r="CQ175" s="44">
        <v>142544</v>
      </c>
      <c r="CR175" s="44" t="s">
        <v>37</v>
      </c>
      <c r="CS175" s="44">
        <v>919597</v>
      </c>
      <c r="CT175" s="44" t="s">
        <v>37</v>
      </c>
      <c r="CU175" s="44">
        <v>4619429</v>
      </c>
      <c r="CV175" s="44" t="s">
        <v>37</v>
      </c>
      <c r="CW175" s="44">
        <v>738445</v>
      </c>
      <c r="CX175" s="44" t="s">
        <v>37</v>
      </c>
      <c r="CY175" s="44">
        <v>133468</v>
      </c>
      <c r="CZ175" s="44" t="s">
        <v>37</v>
      </c>
      <c r="DA175" s="44">
        <v>175883</v>
      </c>
      <c r="DB175" s="44" t="s">
        <v>37</v>
      </c>
      <c r="DD175" s="44" t="s">
        <v>37</v>
      </c>
      <c r="DE175" s="44">
        <v>291377</v>
      </c>
      <c r="DF175" s="44" t="s">
        <v>37</v>
      </c>
      <c r="DG175" s="44">
        <v>182373</v>
      </c>
      <c r="DH175" s="44" t="s">
        <v>37</v>
      </c>
      <c r="DI175" s="44">
        <v>3137876</v>
      </c>
      <c r="DJ175" s="44" t="s">
        <v>37</v>
      </c>
      <c r="DK175" s="44">
        <v>471914</v>
      </c>
      <c r="DL175" s="44" t="s">
        <v>37</v>
      </c>
      <c r="DM175" s="44">
        <v>1005474</v>
      </c>
      <c r="DN175" s="44" t="s">
        <v>37</v>
      </c>
      <c r="DO175" s="44">
        <v>878063</v>
      </c>
      <c r="DP175" s="44" t="s">
        <v>37</v>
      </c>
      <c r="DQ175" s="44">
        <v>701767</v>
      </c>
      <c r="DR175" s="44" t="s">
        <v>37</v>
      </c>
      <c r="DS175" s="44">
        <v>372480</v>
      </c>
      <c r="DT175" s="44" t="s">
        <v>37</v>
      </c>
      <c r="DU175" s="44">
        <v>288256</v>
      </c>
      <c r="DV175" s="44" t="s">
        <v>37</v>
      </c>
      <c r="DW175" s="44">
        <v>1079722</v>
      </c>
      <c r="DX175" s="44" t="s">
        <v>37</v>
      </c>
      <c r="DY175" s="44">
        <v>934666</v>
      </c>
      <c r="DZ175" s="44" t="s">
        <v>37</v>
      </c>
      <c r="EA175" s="44">
        <v>177249</v>
      </c>
      <c r="EB175" s="44" t="s">
        <v>37</v>
      </c>
      <c r="EC175" s="44">
        <v>247636</v>
      </c>
      <c r="ED175" s="44" t="s">
        <v>37</v>
      </c>
      <c r="EE175" s="44">
        <v>731609</v>
      </c>
      <c r="EF175" s="44" t="s">
        <v>37</v>
      </c>
      <c r="EG175" s="44">
        <v>163217</v>
      </c>
      <c r="EH175" s="44" t="s">
        <v>37</v>
      </c>
      <c r="EJ175" s="44" t="s">
        <v>37</v>
      </c>
      <c r="EK175" s="44">
        <v>374238</v>
      </c>
      <c r="EL175" s="44" t="s">
        <v>37</v>
      </c>
      <c r="EM175" s="44">
        <v>286722</v>
      </c>
      <c r="EN175" s="44" t="s">
        <v>37</v>
      </c>
      <c r="EO175" s="44">
        <v>113197</v>
      </c>
      <c r="EP175" s="44" t="s">
        <v>37</v>
      </c>
      <c r="ER175" s="44" t="s">
        <v>37</v>
      </c>
      <c r="ES175" s="44">
        <v>692283</v>
      </c>
      <c r="ET175" s="44" t="s">
        <v>37</v>
      </c>
      <c r="EU175" s="44">
        <v>649309</v>
      </c>
      <c r="EV175" s="44" t="s">
        <v>37</v>
      </c>
      <c r="EW175" s="44">
        <v>1038162</v>
      </c>
      <c r="EX175" s="44" t="s">
        <v>37</v>
      </c>
      <c r="EZ175" s="44" t="s">
        <v>37</v>
      </c>
      <c r="FA175" s="44">
        <v>461848</v>
      </c>
      <c r="FB175" s="44" t="s">
        <v>37</v>
      </c>
      <c r="FC175" s="44">
        <v>370653</v>
      </c>
      <c r="FD175" s="44" t="s">
        <v>37</v>
      </c>
      <c r="FE175" s="44">
        <v>1016924</v>
      </c>
      <c r="FF175" s="44" t="s">
        <v>37</v>
      </c>
      <c r="FH175" s="44" t="s">
        <v>37</v>
      </c>
      <c r="FI175" s="44">
        <v>1275668</v>
      </c>
      <c r="FJ175" s="44" t="s">
        <v>37</v>
      </c>
      <c r="FK175" s="44">
        <v>2901770</v>
      </c>
      <c r="FL175" s="44" t="s">
        <v>37</v>
      </c>
      <c r="FM175" s="44">
        <v>1276707</v>
      </c>
      <c r="FN175" s="44" t="s">
        <v>37</v>
      </c>
      <c r="FO175" s="44">
        <v>228490</v>
      </c>
      <c r="FP175" s="44" t="s">
        <v>37</v>
      </c>
      <c r="FQ175" s="44">
        <v>394093</v>
      </c>
      <c r="FR175" s="44" t="s">
        <v>37</v>
      </c>
      <c r="FS175" s="44">
        <v>757184</v>
      </c>
      <c r="FT175" s="44" t="s">
        <v>37</v>
      </c>
      <c r="FU175" s="44">
        <v>261506</v>
      </c>
      <c r="FV175" s="44" t="s">
        <v>37</v>
      </c>
      <c r="FW175" s="44">
        <v>262030</v>
      </c>
      <c r="FX175" s="44" t="s">
        <v>37</v>
      </c>
      <c r="FY175" s="44">
        <v>454940</v>
      </c>
      <c r="FZ175" s="44" t="s">
        <v>37</v>
      </c>
      <c r="GA175" s="44">
        <v>848885</v>
      </c>
      <c r="GB175" s="44" t="s">
        <v>37</v>
      </c>
      <c r="GC175" s="44">
        <v>951064</v>
      </c>
      <c r="GD175" s="44" t="s">
        <v>37</v>
      </c>
      <c r="GF175" s="44" t="s">
        <v>37</v>
      </c>
      <c r="GH175" s="44" t="s">
        <v>37</v>
      </c>
      <c r="GJ175" s="44" t="s">
        <v>37</v>
      </c>
      <c r="GK175" s="44">
        <v>1215563</v>
      </c>
      <c r="GL175" s="44" t="s">
        <v>37</v>
      </c>
      <c r="GM175" s="44">
        <v>790667</v>
      </c>
      <c r="GN175" s="44" t="s">
        <v>37</v>
      </c>
      <c r="GP175" s="44" t="s">
        <v>37</v>
      </c>
      <c r="GQ175" s="44">
        <v>533493</v>
      </c>
      <c r="GR175" s="44" t="s">
        <v>37</v>
      </c>
      <c r="GS175" s="44">
        <v>755996</v>
      </c>
      <c r="GT175" s="44" t="s">
        <v>37</v>
      </c>
      <c r="GU175" s="44">
        <v>460360</v>
      </c>
      <c r="GV175" s="44" t="s">
        <v>37</v>
      </c>
      <c r="GW175" s="44">
        <v>273559</v>
      </c>
      <c r="GX175" s="44" t="s">
        <v>37</v>
      </c>
      <c r="GY175" s="44">
        <v>1625814</v>
      </c>
      <c r="GZ175" s="44" t="s">
        <v>37</v>
      </c>
      <c r="HA175" s="44">
        <v>317928</v>
      </c>
      <c r="HB175" s="44" t="s">
        <v>37</v>
      </c>
      <c r="HD175" s="44" t="s">
        <v>37</v>
      </c>
      <c r="HF175" s="44" t="s">
        <v>37</v>
      </c>
      <c r="HG175" s="44">
        <v>60021712</v>
      </c>
      <c r="HH175" s="44" t="s">
        <v>37</v>
      </c>
      <c r="HJ175" s="44" t="s">
        <v>37</v>
      </c>
      <c r="HK175" s="44">
        <v>60021712</v>
      </c>
      <c r="HL175" s="44" t="s">
        <v>37</v>
      </c>
    </row>
    <row r="176" spans="1:220">
      <c r="A176" s="150" t="s">
        <v>411</v>
      </c>
      <c r="B176" s="44">
        <v>3548</v>
      </c>
      <c r="C176" s="44" t="s">
        <v>195</v>
      </c>
      <c r="D176" s="44" t="s">
        <v>37</v>
      </c>
      <c r="E176" s="44">
        <v>294872</v>
      </c>
      <c r="F176" s="44" t="s">
        <v>37</v>
      </c>
      <c r="G176" s="44">
        <v>2550747</v>
      </c>
      <c r="H176" s="44" t="s">
        <v>37</v>
      </c>
      <c r="I176" s="44">
        <v>223752</v>
      </c>
      <c r="J176" s="44" t="s">
        <v>37</v>
      </c>
      <c r="L176" s="48" t="s">
        <v>37</v>
      </c>
      <c r="M176" s="51">
        <v>463920</v>
      </c>
      <c r="N176" s="48" t="s">
        <v>37</v>
      </c>
      <c r="O176" s="51">
        <v>241914</v>
      </c>
      <c r="P176" s="48" t="s">
        <v>37</v>
      </c>
      <c r="Q176" s="51">
        <v>299151</v>
      </c>
      <c r="R176" s="48" t="s">
        <v>37</v>
      </c>
      <c r="S176" s="51">
        <v>191166</v>
      </c>
      <c r="T176" s="48" t="s">
        <v>37</v>
      </c>
      <c r="U176" s="44">
        <v>602973</v>
      </c>
      <c r="V176" s="44" t="s">
        <v>37</v>
      </c>
      <c r="X176" s="44" t="s">
        <v>37</v>
      </c>
      <c r="Z176" s="44" t="s">
        <v>37</v>
      </c>
      <c r="AA176" s="44">
        <v>134631</v>
      </c>
      <c r="AB176" s="44" t="s">
        <v>37</v>
      </c>
      <c r="AC176" s="44">
        <v>157805</v>
      </c>
      <c r="AD176" s="44" t="s">
        <v>37</v>
      </c>
      <c r="AE176" s="44">
        <v>110894</v>
      </c>
      <c r="AF176" s="44" t="s">
        <v>37</v>
      </c>
      <c r="AG176" s="44">
        <v>95485</v>
      </c>
      <c r="AH176" s="44" t="s">
        <v>37</v>
      </c>
      <c r="AI176" s="44">
        <v>330190</v>
      </c>
      <c r="AJ176" s="44" t="s">
        <v>37</v>
      </c>
      <c r="AL176" s="44" t="s">
        <v>37</v>
      </c>
      <c r="AM176" s="44">
        <v>1142212</v>
      </c>
      <c r="AN176" s="44" t="s">
        <v>37</v>
      </c>
      <c r="AP176" s="44" t="s">
        <v>37</v>
      </c>
      <c r="AQ176" s="44">
        <v>2084208</v>
      </c>
      <c r="AR176" s="44" t="s">
        <v>37</v>
      </c>
      <c r="AS176" s="44">
        <v>98439</v>
      </c>
      <c r="AT176" s="44" t="s">
        <v>37</v>
      </c>
      <c r="AU176" s="44">
        <v>3102861</v>
      </c>
      <c r="AV176" s="44" t="s">
        <v>37</v>
      </c>
      <c r="AW176" s="44">
        <v>859169</v>
      </c>
      <c r="AX176" s="44" t="s">
        <v>37</v>
      </c>
      <c r="AY176" s="44">
        <v>511142</v>
      </c>
      <c r="AZ176" s="44" t="s">
        <v>37</v>
      </c>
      <c r="BA176" s="44">
        <v>809431</v>
      </c>
      <c r="BB176" s="44" t="s">
        <v>37</v>
      </c>
      <c r="BC176" s="44">
        <v>201057</v>
      </c>
      <c r="BD176" s="44" t="s">
        <v>37</v>
      </c>
      <c r="BE176" s="44">
        <v>347921</v>
      </c>
      <c r="BF176" s="44" t="s">
        <v>37</v>
      </c>
      <c r="BG176" s="44">
        <v>104108</v>
      </c>
      <c r="BH176" s="44" t="s">
        <v>37</v>
      </c>
      <c r="BJ176" s="44" t="s">
        <v>37</v>
      </c>
      <c r="BK176" s="44">
        <v>393068</v>
      </c>
      <c r="BL176" s="44" t="s">
        <v>37</v>
      </c>
      <c r="BM176" s="44">
        <v>1967990</v>
      </c>
      <c r="BN176" s="44" t="s">
        <v>37</v>
      </c>
      <c r="BP176" s="44" t="s">
        <v>37</v>
      </c>
      <c r="BQ176" s="44">
        <v>102220</v>
      </c>
      <c r="BR176" s="44" t="s">
        <v>37</v>
      </c>
      <c r="BS176" s="44">
        <v>571421</v>
      </c>
      <c r="BT176" s="44" t="s">
        <v>37</v>
      </c>
      <c r="BU176" s="44">
        <v>143190</v>
      </c>
      <c r="BV176" s="44" t="s">
        <v>37</v>
      </c>
      <c r="BX176" s="44" t="s">
        <v>37</v>
      </c>
      <c r="BY176" s="44">
        <v>791957</v>
      </c>
      <c r="BZ176" s="44" t="s">
        <v>37</v>
      </c>
      <c r="CA176" s="44">
        <v>273584</v>
      </c>
      <c r="CB176" s="44" t="s">
        <v>37</v>
      </c>
      <c r="CD176" s="44" t="s">
        <v>37</v>
      </c>
      <c r="CE176" s="44">
        <v>464466</v>
      </c>
      <c r="CF176" s="44" t="s">
        <v>37</v>
      </c>
      <c r="CG176" s="44">
        <v>470452</v>
      </c>
      <c r="CH176" s="44" t="s">
        <v>37</v>
      </c>
      <c r="CI176" s="44">
        <v>1144070</v>
      </c>
      <c r="CJ176" s="44" t="s">
        <v>37</v>
      </c>
      <c r="CK176" s="44">
        <v>109156</v>
      </c>
      <c r="CL176" s="44" t="s">
        <v>37</v>
      </c>
      <c r="CM176" s="44">
        <v>379130</v>
      </c>
      <c r="CN176" s="44" t="s">
        <v>37</v>
      </c>
      <c r="CO176" s="44">
        <v>171217</v>
      </c>
      <c r="CP176" s="44" t="s">
        <v>37</v>
      </c>
      <c r="CQ176" s="44">
        <v>99068</v>
      </c>
      <c r="CR176" s="44" t="s">
        <v>37</v>
      </c>
      <c r="CS176" s="44">
        <v>1023692</v>
      </c>
      <c r="CT176" s="44" t="s">
        <v>37</v>
      </c>
      <c r="CU176" s="44">
        <v>4500166</v>
      </c>
      <c r="CV176" s="44" t="s">
        <v>37</v>
      </c>
      <c r="CW176" s="44">
        <v>759215</v>
      </c>
      <c r="CX176" s="44" t="s">
        <v>37</v>
      </c>
      <c r="CY176" s="44">
        <v>135087</v>
      </c>
      <c r="CZ176" s="44" t="s">
        <v>37</v>
      </c>
      <c r="DA176" s="44">
        <v>109002</v>
      </c>
      <c r="DB176" s="44" t="s">
        <v>37</v>
      </c>
      <c r="DD176" s="44" t="s">
        <v>37</v>
      </c>
      <c r="DE176" s="44">
        <v>280574</v>
      </c>
      <c r="DF176" s="44" t="s">
        <v>37</v>
      </c>
      <c r="DG176" s="44">
        <v>169053</v>
      </c>
      <c r="DH176" s="44" t="s">
        <v>37</v>
      </c>
      <c r="DI176" s="44">
        <v>2513115</v>
      </c>
      <c r="DJ176" s="44" t="s">
        <v>37</v>
      </c>
      <c r="DK176" s="44">
        <v>375202</v>
      </c>
      <c r="DL176" s="44" t="s">
        <v>37</v>
      </c>
      <c r="DM176" s="44">
        <v>836015</v>
      </c>
      <c r="DN176" s="44" t="s">
        <v>37</v>
      </c>
      <c r="DO176" s="44">
        <v>678797</v>
      </c>
      <c r="DP176" s="44" t="s">
        <v>37</v>
      </c>
      <c r="DQ176" s="44">
        <v>482436</v>
      </c>
      <c r="DR176" s="44" t="s">
        <v>37</v>
      </c>
      <c r="DS176" s="44">
        <v>349257</v>
      </c>
      <c r="DT176" s="44" t="s">
        <v>37</v>
      </c>
      <c r="DU176" s="44">
        <v>552765</v>
      </c>
      <c r="DV176" s="44" t="s">
        <v>37</v>
      </c>
      <c r="DW176" s="44">
        <v>759289</v>
      </c>
      <c r="DX176" s="44" t="s">
        <v>37</v>
      </c>
      <c r="DY176" s="44">
        <v>574778</v>
      </c>
      <c r="DZ176" s="44" t="s">
        <v>37</v>
      </c>
      <c r="EA176" s="44">
        <v>189286</v>
      </c>
      <c r="EB176" s="44" t="s">
        <v>37</v>
      </c>
      <c r="EC176" s="44">
        <v>117482</v>
      </c>
      <c r="ED176" s="44" t="s">
        <v>37</v>
      </c>
      <c r="EE176" s="44">
        <v>534907</v>
      </c>
      <c r="EF176" s="44" t="s">
        <v>37</v>
      </c>
      <c r="EG176" s="44">
        <v>172186</v>
      </c>
      <c r="EH176" s="44" t="s">
        <v>37</v>
      </c>
      <c r="EJ176" s="44" t="s">
        <v>37</v>
      </c>
      <c r="EK176" s="44">
        <v>354445</v>
      </c>
      <c r="EL176" s="44" t="s">
        <v>37</v>
      </c>
      <c r="EM176" s="44">
        <v>287221</v>
      </c>
      <c r="EN176" s="44" t="s">
        <v>37</v>
      </c>
      <c r="EO176" s="44">
        <v>130329</v>
      </c>
      <c r="EP176" s="44" t="s">
        <v>37</v>
      </c>
      <c r="ER176" s="44" t="s">
        <v>37</v>
      </c>
      <c r="ES176" s="44">
        <v>719605</v>
      </c>
      <c r="ET176" s="44" t="s">
        <v>37</v>
      </c>
      <c r="EU176" s="44">
        <v>497289</v>
      </c>
      <c r="EV176" s="44" t="s">
        <v>37</v>
      </c>
      <c r="EW176" s="44">
        <v>772549</v>
      </c>
      <c r="EX176" s="44" t="s">
        <v>37</v>
      </c>
      <c r="EZ176" s="44" t="s">
        <v>37</v>
      </c>
      <c r="FA176" s="44">
        <v>427653</v>
      </c>
      <c r="FB176" s="44" t="s">
        <v>37</v>
      </c>
      <c r="FC176" s="44">
        <v>361992</v>
      </c>
      <c r="FD176" s="44" t="s">
        <v>37</v>
      </c>
      <c r="FE176" s="44">
        <v>802785</v>
      </c>
      <c r="FF176" s="44" t="s">
        <v>37</v>
      </c>
      <c r="FH176" s="44" t="s">
        <v>37</v>
      </c>
      <c r="FI176" s="44">
        <v>1000973</v>
      </c>
      <c r="FJ176" s="44" t="s">
        <v>37</v>
      </c>
      <c r="FK176" s="44">
        <v>2846180</v>
      </c>
      <c r="FL176" s="44" t="s">
        <v>37</v>
      </c>
      <c r="FM176" s="44">
        <v>1058939</v>
      </c>
      <c r="FN176" s="44" t="s">
        <v>37</v>
      </c>
      <c r="FO176" s="44">
        <v>216220</v>
      </c>
      <c r="FP176" s="44" t="s">
        <v>37</v>
      </c>
      <c r="FQ176" s="44">
        <v>282505</v>
      </c>
      <c r="FR176" s="44" t="s">
        <v>37</v>
      </c>
      <c r="FS176" s="44">
        <v>474944</v>
      </c>
      <c r="FT176" s="44" t="s">
        <v>37</v>
      </c>
      <c r="FU176" s="44">
        <v>201309</v>
      </c>
      <c r="FV176" s="44" t="s">
        <v>37</v>
      </c>
      <c r="FW176" s="44">
        <v>192689</v>
      </c>
      <c r="FX176" s="44" t="s">
        <v>37</v>
      </c>
      <c r="FY176" s="44">
        <v>290840</v>
      </c>
      <c r="FZ176" s="44" t="s">
        <v>37</v>
      </c>
      <c r="GA176" s="44">
        <v>609859</v>
      </c>
      <c r="GB176" s="44" t="s">
        <v>37</v>
      </c>
      <c r="GC176" s="44">
        <v>722000</v>
      </c>
      <c r="GD176" s="44" t="s">
        <v>37</v>
      </c>
      <c r="GF176" s="44" t="s">
        <v>37</v>
      </c>
      <c r="GH176" s="44" t="s">
        <v>37</v>
      </c>
      <c r="GJ176" s="44" t="s">
        <v>37</v>
      </c>
      <c r="GK176" s="44">
        <v>915769</v>
      </c>
      <c r="GL176" s="44" t="s">
        <v>37</v>
      </c>
      <c r="GM176" s="44">
        <v>906498</v>
      </c>
      <c r="GN176" s="44" t="s">
        <v>37</v>
      </c>
      <c r="GP176" s="44" t="s">
        <v>37</v>
      </c>
      <c r="GQ176" s="44">
        <v>406333</v>
      </c>
      <c r="GR176" s="44" t="s">
        <v>37</v>
      </c>
      <c r="GS176" s="44">
        <v>860178</v>
      </c>
      <c r="GT176" s="44" t="s">
        <v>37</v>
      </c>
      <c r="GU176" s="44">
        <v>344806</v>
      </c>
      <c r="GV176" s="44" t="s">
        <v>37</v>
      </c>
      <c r="GW176" s="44">
        <v>232048</v>
      </c>
      <c r="GX176" s="44" t="s">
        <v>37</v>
      </c>
      <c r="GY176" s="44">
        <v>1148062</v>
      </c>
      <c r="GZ176" s="44" t="s">
        <v>37</v>
      </c>
      <c r="HA176" s="44">
        <v>276536</v>
      </c>
      <c r="HB176" s="44" t="s">
        <v>37</v>
      </c>
      <c r="HC176" s="44">
        <v>283818</v>
      </c>
      <c r="HD176" s="44" t="s">
        <v>37</v>
      </c>
      <c r="HE176" s="44">
        <v>109547</v>
      </c>
      <c r="HF176" s="44" t="s">
        <v>37</v>
      </c>
      <c r="HG176" s="44">
        <v>54491897</v>
      </c>
      <c r="HH176" s="44" t="s">
        <v>37</v>
      </c>
      <c r="HI176" s="44">
        <v>393365</v>
      </c>
      <c r="HJ176" s="44" t="s">
        <v>37</v>
      </c>
      <c r="HK176" s="44">
        <v>54885262</v>
      </c>
      <c r="HL176" s="44" t="s">
        <v>37</v>
      </c>
    </row>
    <row r="177" spans="1:220">
      <c r="A177" s="150" t="s">
        <v>411</v>
      </c>
      <c r="B177" s="44">
        <v>3549</v>
      </c>
      <c r="C177" s="44" t="s">
        <v>196</v>
      </c>
      <c r="D177" s="44" t="s">
        <v>37</v>
      </c>
      <c r="F177" s="44" t="s">
        <v>37</v>
      </c>
      <c r="G177" s="44">
        <v>67392</v>
      </c>
      <c r="H177" s="44" t="s">
        <v>37</v>
      </c>
      <c r="I177" s="44">
        <v>12747</v>
      </c>
      <c r="J177" s="44" t="s">
        <v>37</v>
      </c>
      <c r="L177" s="48" t="s">
        <v>37</v>
      </c>
      <c r="M177" s="50"/>
      <c r="N177" s="48" t="s">
        <v>37</v>
      </c>
      <c r="O177" s="50"/>
      <c r="P177" s="48" t="s">
        <v>37</v>
      </c>
      <c r="Q177" s="51">
        <v>20221</v>
      </c>
      <c r="R177" s="48" t="s">
        <v>37</v>
      </c>
      <c r="S177" s="50"/>
      <c r="T177" s="48" t="s">
        <v>37</v>
      </c>
      <c r="U177" s="44">
        <v>149073</v>
      </c>
      <c r="V177" s="44" t="s">
        <v>37</v>
      </c>
      <c r="X177" s="44" t="s">
        <v>37</v>
      </c>
      <c r="Z177" s="44" t="s">
        <v>37</v>
      </c>
      <c r="AA177" s="44">
        <v>10490</v>
      </c>
      <c r="AB177" s="44" t="s">
        <v>37</v>
      </c>
      <c r="AC177" s="44">
        <v>7235</v>
      </c>
      <c r="AD177" s="44" t="s">
        <v>37</v>
      </c>
      <c r="AF177" s="44" t="s">
        <v>37</v>
      </c>
      <c r="AH177" s="44" t="s">
        <v>37</v>
      </c>
      <c r="AJ177" s="44" t="s">
        <v>37</v>
      </c>
      <c r="AL177" s="44" t="s">
        <v>37</v>
      </c>
      <c r="AM177" s="44">
        <v>116040</v>
      </c>
      <c r="AN177" s="44" t="s">
        <v>37</v>
      </c>
      <c r="AP177" s="44" t="s">
        <v>37</v>
      </c>
      <c r="AR177" s="44" t="s">
        <v>37</v>
      </c>
      <c r="AT177" s="44" t="s">
        <v>37</v>
      </c>
      <c r="AU177" s="44">
        <v>243228</v>
      </c>
      <c r="AV177" s="44" t="s">
        <v>37</v>
      </c>
      <c r="AW177" s="44">
        <v>48239</v>
      </c>
      <c r="AX177" s="44" t="s">
        <v>37</v>
      </c>
      <c r="AZ177" s="44" t="s">
        <v>37</v>
      </c>
      <c r="BB177" s="44" t="s">
        <v>37</v>
      </c>
      <c r="BD177" s="44" t="s">
        <v>37</v>
      </c>
      <c r="BE177" s="44">
        <v>6652</v>
      </c>
      <c r="BF177" s="44" t="s">
        <v>37</v>
      </c>
      <c r="BH177" s="44" t="s">
        <v>37</v>
      </c>
      <c r="BJ177" s="44" t="s">
        <v>37</v>
      </c>
      <c r="BK177" s="44">
        <v>21315</v>
      </c>
      <c r="BL177" s="44" t="s">
        <v>37</v>
      </c>
      <c r="BM177" s="44">
        <v>72662</v>
      </c>
      <c r="BN177" s="44" t="s">
        <v>37</v>
      </c>
      <c r="BP177" s="44" t="s">
        <v>37</v>
      </c>
      <c r="BR177" s="44" t="s">
        <v>37</v>
      </c>
      <c r="BS177" s="44">
        <v>8377</v>
      </c>
      <c r="BT177" s="44" t="s">
        <v>37</v>
      </c>
      <c r="BV177" s="44" t="s">
        <v>37</v>
      </c>
      <c r="BX177" s="44" t="s">
        <v>37</v>
      </c>
      <c r="BZ177" s="44" t="s">
        <v>37</v>
      </c>
      <c r="CA177" s="44">
        <v>17563</v>
      </c>
      <c r="CB177" s="44" t="s">
        <v>37</v>
      </c>
      <c r="CD177" s="44" t="s">
        <v>37</v>
      </c>
      <c r="CF177" s="44" t="s">
        <v>37</v>
      </c>
      <c r="CG177" s="44">
        <v>16481</v>
      </c>
      <c r="CH177" s="44" t="s">
        <v>37</v>
      </c>
      <c r="CI177" s="44">
        <v>117777</v>
      </c>
      <c r="CJ177" s="44" t="s">
        <v>37</v>
      </c>
      <c r="CL177" s="44" t="s">
        <v>37</v>
      </c>
      <c r="CM177" s="44">
        <v>10659</v>
      </c>
      <c r="CN177" s="44" t="s">
        <v>37</v>
      </c>
      <c r="CP177" s="44" t="s">
        <v>37</v>
      </c>
      <c r="CR177" s="44" t="s">
        <v>37</v>
      </c>
      <c r="CT177" s="44" t="s">
        <v>37</v>
      </c>
      <c r="CV177" s="44" t="s">
        <v>37</v>
      </c>
      <c r="CW177" s="44">
        <v>111618</v>
      </c>
      <c r="CX177" s="44" t="s">
        <v>37</v>
      </c>
      <c r="CZ177" s="44" t="s">
        <v>37</v>
      </c>
      <c r="DB177" s="44" t="s">
        <v>37</v>
      </c>
      <c r="DD177" s="44" t="s">
        <v>37</v>
      </c>
      <c r="DE177" s="44">
        <v>21318</v>
      </c>
      <c r="DF177" s="44" t="s">
        <v>37</v>
      </c>
      <c r="DH177" s="44" t="s">
        <v>37</v>
      </c>
      <c r="DI177" s="44">
        <v>94637</v>
      </c>
      <c r="DJ177" s="44" t="s">
        <v>37</v>
      </c>
      <c r="DK177" s="44">
        <v>3692</v>
      </c>
      <c r="DL177" s="44" t="s">
        <v>37</v>
      </c>
      <c r="DN177" s="44" t="s">
        <v>37</v>
      </c>
      <c r="DO177" s="44">
        <v>24958</v>
      </c>
      <c r="DP177" s="44" t="s">
        <v>37</v>
      </c>
      <c r="DQ177" s="44">
        <v>38609</v>
      </c>
      <c r="DR177" s="44" t="s">
        <v>37</v>
      </c>
      <c r="DS177" s="44">
        <v>21089</v>
      </c>
      <c r="DT177" s="44" t="s">
        <v>37</v>
      </c>
      <c r="DU177" s="44">
        <v>5017</v>
      </c>
      <c r="DV177" s="44" t="s">
        <v>37</v>
      </c>
      <c r="DX177" s="44" t="s">
        <v>37</v>
      </c>
      <c r="DY177" s="44">
        <v>106654</v>
      </c>
      <c r="DZ177" s="44" t="s">
        <v>37</v>
      </c>
      <c r="EB177" s="44" t="s">
        <v>37</v>
      </c>
      <c r="EC177" s="44">
        <v>16625</v>
      </c>
      <c r="ED177" s="44" t="s">
        <v>37</v>
      </c>
      <c r="EE177" s="44">
        <v>204696</v>
      </c>
      <c r="EF177" s="44" t="s">
        <v>37</v>
      </c>
      <c r="EH177" s="44" t="s">
        <v>37</v>
      </c>
      <c r="EJ177" s="44" t="s">
        <v>37</v>
      </c>
      <c r="EL177" s="44" t="s">
        <v>37</v>
      </c>
      <c r="EM177" s="44">
        <v>5018</v>
      </c>
      <c r="EN177" s="44" t="s">
        <v>37</v>
      </c>
      <c r="EO177" s="44">
        <v>10036</v>
      </c>
      <c r="EP177" s="44" t="s">
        <v>37</v>
      </c>
      <c r="ER177" s="44" t="s">
        <v>37</v>
      </c>
      <c r="ES177" s="44">
        <v>4887</v>
      </c>
      <c r="ET177" s="44" t="s">
        <v>37</v>
      </c>
      <c r="EU177" s="44">
        <v>45004</v>
      </c>
      <c r="EV177" s="44" t="s">
        <v>37</v>
      </c>
      <c r="EW177" s="44">
        <v>139798</v>
      </c>
      <c r="EX177" s="44" t="s">
        <v>37</v>
      </c>
      <c r="EZ177" s="44" t="s">
        <v>37</v>
      </c>
      <c r="FB177" s="44" t="s">
        <v>37</v>
      </c>
      <c r="FD177" s="44" t="s">
        <v>37</v>
      </c>
      <c r="FF177" s="44" t="s">
        <v>37</v>
      </c>
      <c r="FH177" s="44" t="s">
        <v>37</v>
      </c>
      <c r="FI177" s="44">
        <v>179699</v>
      </c>
      <c r="FJ177" s="44" t="s">
        <v>37</v>
      </c>
      <c r="FK177" s="44">
        <v>126424</v>
      </c>
      <c r="FL177" s="44" t="s">
        <v>37</v>
      </c>
      <c r="FM177" s="44">
        <v>8106</v>
      </c>
      <c r="FN177" s="44" t="s">
        <v>37</v>
      </c>
      <c r="FP177" s="44" t="s">
        <v>37</v>
      </c>
      <c r="FQ177" s="44">
        <v>75845</v>
      </c>
      <c r="FR177" s="44" t="s">
        <v>37</v>
      </c>
      <c r="FT177" s="44" t="s">
        <v>37</v>
      </c>
      <c r="FV177" s="44" t="s">
        <v>37</v>
      </c>
      <c r="FX177" s="44" t="s">
        <v>37</v>
      </c>
      <c r="FZ177" s="44" t="s">
        <v>37</v>
      </c>
      <c r="GB177" s="44" t="s">
        <v>37</v>
      </c>
      <c r="GC177" s="44">
        <v>112010</v>
      </c>
      <c r="GD177" s="44" t="s">
        <v>37</v>
      </c>
      <c r="GF177" s="44" t="s">
        <v>37</v>
      </c>
      <c r="GH177" s="44" t="s">
        <v>37</v>
      </c>
      <c r="GJ177" s="44" t="s">
        <v>37</v>
      </c>
      <c r="GL177" s="44" t="s">
        <v>37</v>
      </c>
      <c r="GM177" s="44">
        <v>103424</v>
      </c>
      <c r="GN177" s="44" t="s">
        <v>37</v>
      </c>
      <c r="GP177" s="44" t="s">
        <v>37</v>
      </c>
      <c r="GQ177" s="44">
        <v>107588</v>
      </c>
      <c r="GR177" s="44" t="s">
        <v>37</v>
      </c>
      <c r="GS177" s="44">
        <v>10036</v>
      </c>
      <c r="GT177" s="44" t="s">
        <v>37</v>
      </c>
      <c r="GU177" s="44">
        <v>68402</v>
      </c>
      <c r="GV177" s="44" t="s">
        <v>37</v>
      </c>
      <c r="GW177" s="44">
        <v>28854</v>
      </c>
      <c r="GX177" s="44" t="s">
        <v>37</v>
      </c>
      <c r="GY177" s="44">
        <v>237680</v>
      </c>
      <c r="GZ177" s="44" t="s">
        <v>37</v>
      </c>
      <c r="HA177" s="44">
        <v>45004</v>
      </c>
      <c r="HB177" s="44" t="s">
        <v>37</v>
      </c>
      <c r="HD177" s="44" t="s">
        <v>37</v>
      </c>
      <c r="HF177" s="44" t="s">
        <v>37</v>
      </c>
      <c r="HG177" s="44">
        <v>2902879</v>
      </c>
      <c r="HH177" s="44" t="s">
        <v>37</v>
      </c>
      <c r="HJ177" s="44" t="s">
        <v>37</v>
      </c>
      <c r="HK177" s="44">
        <v>2902879</v>
      </c>
      <c r="HL177" s="44" t="s">
        <v>37</v>
      </c>
    </row>
    <row r="178" spans="1:220">
      <c r="A178" s="150" t="s">
        <v>411</v>
      </c>
      <c r="B178" s="44">
        <v>3550</v>
      </c>
      <c r="C178" s="44" t="s">
        <v>197</v>
      </c>
      <c r="D178" s="44" t="s">
        <v>37</v>
      </c>
      <c r="E178" s="44">
        <v>548974</v>
      </c>
      <c r="F178" s="44" t="s">
        <v>37</v>
      </c>
      <c r="G178" s="44">
        <v>3100704</v>
      </c>
      <c r="H178" s="44" t="s">
        <v>37</v>
      </c>
      <c r="I178" s="44">
        <v>241401</v>
      </c>
      <c r="J178" s="44" t="s">
        <v>37</v>
      </c>
      <c r="K178" s="44">
        <v>24614</v>
      </c>
      <c r="L178" s="48" t="s">
        <v>37</v>
      </c>
      <c r="M178" s="51">
        <v>1027912</v>
      </c>
      <c r="N178" s="48" t="s">
        <v>37</v>
      </c>
      <c r="O178" s="51">
        <v>446940</v>
      </c>
      <c r="P178" s="48" t="s">
        <v>37</v>
      </c>
      <c r="Q178" s="51">
        <v>336135</v>
      </c>
      <c r="R178" s="48" t="s">
        <v>37</v>
      </c>
      <c r="S178" s="51">
        <v>397955</v>
      </c>
      <c r="T178" s="48" t="s">
        <v>37</v>
      </c>
      <c r="U178" s="44">
        <v>1686215</v>
      </c>
      <c r="V178" s="44" t="s">
        <v>37</v>
      </c>
      <c r="W178" s="44">
        <v>38901</v>
      </c>
      <c r="X178" s="44" t="s">
        <v>37</v>
      </c>
      <c r="Y178" s="44">
        <v>47753</v>
      </c>
      <c r="Z178" s="44" t="s">
        <v>37</v>
      </c>
      <c r="AA178" s="44">
        <v>234543</v>
      </c>
      <c r="AB178" s="44" t="s">
        <v>37</v>
      </c>
      <c r="AC178" s="44">
        <v>153775</v>
      </c>
      <c r="AD178" s="44" t="s">
        <v>37</v>
      </c>
      <c r="AE178" s="44">
        <v>112049</v>
      </c>
      <c r="AF178" s="44" t="s">
        <v>37</v>
      </c>
      <c r="AG178" s="44">
        <v>126687</v>
      </c>
      <c r="AH178" s="44" t="s">
        <v>37</v>
      </c>
      <c r="AI178" s="44">
        <v>347440</v>
      </c>
      <c r="AJ178" s="44" t="s">
        <v>37</v>
      </c>
      <c r="AK178" s="44">
        <v>25460</v>
      </c>
      <c r="AL178" s="44" t="s">
        <v>37</v>
      </c>
      <c r="AM178" s="44">
        <v>2695128</v>
      </c>
      <c r="AN178" s="44" t="s">
        <v>37</v>
      </c>
      <c r="AO178" s="44">
        <v>57703</v>
      </c>
      <c r="AP178" s="44" t="s">
        <v>37</v>
      </c>
      <c r="AQ178" s="44">
        <v>3547960</v>
      </c>
      <c r="AR178" s="44" t="s">
        <v>37</v>
      </c>
      <c r="AS178" s="44">
        <v>275302</v>
      </c>
      <c r="AT178" s="44" t="s">
        <v>37</v>
      </c>
      <c r="AU178" s="44">
        <v>6222837</v>
      </c>
      <c r="AV178" s="44" t="s">
        <v>37</v>
      </c>
      <c r="AW178" s="44">
        <v>1354474</v>
      </c>
      <c r="AX178" s="44" t="s">
        <v>37</v>
      </c>
      <c r="AY178" s="44">
        <v>824719</v>
      </c>
      <c r="AZ178" s="44" t="s">
        <v>37</v>
      </c>
      <c r="BA178" s="44">
        <v>1099394</v>
      </c>
      <c r="BB178" s="44" t="s">
        <v>37</v>
      </c>
      <c r="BC178" s="44">
        <v>141600</v>
      </c>
      <c r="BD178" s="44" t="s">
        <v>37</v>
      </c>
      <c r="BE178" s="44">
        <v>354214</v>
      </c>
      <c r="BF178" s="44" t="s">
        <v>37</v>
      </c>
      <c r="BG178" s="44">
        <v>150532</v>
      </c>
      <c r="BH178" s="44" t="s">
        <v>37</v>
      </c>
      <c r="BI178" s="44">
        <v>23813</v>
      </c>
      <c r="BJ178" s="44" t="s">
        <v>37</v>
      </c>
      <c r="BK178" s="44">
        <v>827133</v>
      </c>
      <c r="BL178" s="44" t="s">
        <v>37</v>
      </c>
      <c r="BM178" s="44">
        <v>1514634</v>
      </c>
      <c r="BN178" s="44" t="s">
        <v>37</v>
      </c>
      <c r="BP178" s="44" t="s">
        <v>37</v>
      </c>
      <c r="BQ178" s="44">
        <v>105705</v>
      </c>
      <c r="BR178" s="44" t="s">
        <v>37</v>
      </c>
      <c r="BS178" s="44">
        <v>391975</v>
      </c>
      <c r="BT178" s="44" t="s">
        <v>37</v>
      </c>
      <c r="BU178" s="44">
        <v>175452</v>
      </c>
      <c r="BV178" s="44" t="s">
        <v>37</v>
      </c>
      <c r="BX178" s="44" t="s">
        <v>37</v>
      </c>
      <c r="BY178" s="44">
        <v>2412445</v>
      </c>
      <c r="BZ178" s="44" t="s">
        <v>37</v>
      </c>
      <c r="CA178" s="44">
        <v>338443</v>
      </c>
      <c r="CB178" s="44" t="s">
        <v>37</v>
      </c>
      <c r="CC178" s="44">
        <v>41563</v>
      </c>
      <c r="CD178" s="44" t="s">
        <v>37</v>
      </c>
      <c r="CE178" s="44">
        <v>600021</v>
      </c>
      <c r="CF178" s="44" t="s">
        <v>37</v>
      </c>
      <c r="CG178" s="44">
        <v>570892</v>
      </c>
      <c r="CH178" s="44" t="s">
        <v>37</v>
      </c>
      <c r="CI178" s="44">
        <v>2137109</v>
      </c>
      <c r="CJ178" s="44" t="s">
        <v>37</v>
      </c>
      <c r="CK178" s="44">
        <v>168309</v>
      </c>
      <c r="CL178" s="44" t="s">
        <v>37</v>
      </c>
      <c r="CM178" s="44">
        <v>450436</v>
      </c>
      <c r="CN178" s="44" t="s">
        <v>37</v>
      </c>
      <c r="CO178" s="44">
        <v>131484</v>
      </c>
      <c r="CP178" s="44" t="s">
        <v>37</v>
      </c>
      <c r="CQ178" s="44">
        <v>212468</v>
      </c>
      <c r="CR178" s="44" t="s">
        <v>37</v>
      </c>
      <c r="CS178" s="44">
        <v>1501352</v>
      </c>
      <c r="CT178" s="44" t="s">
        <v>37</v>
      </c>
      <c r="CU178" s="44">
        <v>8428411</v>
      </c>
      <c r="CV178" s="44" t="s">
        <v>37</v>
      </c>
      <c r="CW178" s="44">
        <v>1229093</v>
      </c>
      <c r="CX178" s="44" t="s">
        <v>37</v>
      </c>
      <c r="CY178" s="44">
        <v>170950</v>
      </c>
      <c r="CZ178" s="44" t="s">
        <v>37</v>
      </c>
      <c r="DA178" s="44">
        <v>222798</v>
      </c>
      <c r="DB178" s="44" t="s">
        <v>37</v>
      </c>
      <c r="DC178" s="44">
        <v>39143</v>
      </c>
      <c r="DD178" s="44" t="s">
        <v>37</v>
      </c>
      <c r="DE178" s="44">
        <v>384531</v>
      </c>
      <c r="DF178" s="44" t="s">
        <v>37</v>
      </c>
      <c r="DG178" s="44">
        <v>178204</v>
      </c>
      <c r="DH178" s="44" t="s">
        <v>37</v>
      </c>
      <c r="DI178" s="44">
        <v>4667234</v>
      </c>
      <c r="DJ178" s="44" t="s">
        <v>37</v>
      </c>
      <c r="DK178" s="44">
        <v>340133</v>
      </c>
      <c r="DL178" s="44" t="s">
        <v>37</v>
      </c>
      <c r="DM178" s="44">
        <v>1353462</v>
      </c>
      <c r="DN178" s="44" t="s">
        <v>37</v>
      </c>
      <c r="DO178" s="44">
        <v>1488555</v>
      </c>
      <c r="DP178" s="44" t="s">
        <v>37</v>
      </c>
      <c r="DQ178" s="44">
        <v>783226</v>
      </c>
      <c r="DR178" s="44" t="s">
        <v>37</v>
      </c>
      <c r="DS178" s="44">
        <v>439768</v>
      </c>
      <c r="DT178" s="44" t="s">
        <v>37</v>
      </c>
      <c r="DU178" s="44">
        <v>339484</v>
      </c>
      <c r="DV178" s="44" t="s">
        <v>37</v>
      </c>
      <c r="DW178" s="44">
        <v>2889880</v>
      </c>
      <c r="DX178" s="44" t="s">
        <v>37</v>
      </c>
      <c r="DY178" s="44">
        <v>1327508</v>
      </c>
      <c r="DZ178" s="44" t="s">
        <v>37</v>
      </c>
      <c r="EA178" s="44">
        <v>318556</v>
      </c>
      <c r="EB178" s="44" t="s">
        <v>37</v>
      </c>
      <c r="EC178" s="44">
        <v>412178</v>
      </c>
      <c r="ED178" s="44" t="s">
        <v>37</v>
      </c>
      <c r="EE178" s="44">
        <v>2507252</v>
      </c>
      <c r="EF178" s="44" t="s">
        <v>37</v>
      </c>
      <c r="EG178" s="44">
        <v>140661</v>
      </c>
      <c r="EH178" s="44" t="s">
        <v>37</v>
      </c>
      <c r="EJ178" s="44" t="s">
        <v>37</v>
      </c>
      <c r="EK178" s="44">
        <v>347039</v>
      </c>
      <c r="EL178" s="44" t="s">
        <v>37</v>
      </c>
      <c r="EM178" s="44">
        <v>238304</v>
      </c>
      <c r="EN178" s="44" t="s">
        <v>37</v>
      </c>
      <c r="EO178" s="44">
        <v>122139</v>
      </c>
      <c r="EP178" s="44" t="s">
        <v>37</v>
      </c>
      <c r="EQ178" s="44">
        <v>21903</v>
      </c>
      <c r="ER178" s="44" t="s">
        <v>37</v>
      </c>
      <c r="ES178" s="44">
        <v>622190</v>
      </c>
      <c r="ET178" s="44" t="s">
        <v>37</v>
      </c>
      <c r="EU178" s="44">
        <v>847496</v>
      </c>
      <c r="EV178" s="44" t="s">
        <v>37</v>
      </c>
      <c r="EW178" s="44">
        <v>1564636</v>
      </c>
      <c r="EX178" s="44" t="s">
        <v>37</v>
      </c>
      <c r="EZ178" s="44" t="s">
        <v>37</v>
      </c>
      <c r="FA178" s="44">
        <v>435647</v>
      </c>
      <c r="FB178" s="44" t="s">
        <v>37</v>
      </c>
      <c r="FC178" s="44">
        <v>545271</v>
      </c>
      <c r="FD178" s="44" t="s">
        <v>37</v>
      </c>
      <c r="FE178" s="44">
        <v>1095231</v>
      </c>
      <c r="FF178" s="44" t="s">
        <v>37</v>
      </c>
      <c r="FG178" s="44">
        <v>14229</v>
      </c>
      <c r="FH178" s="44" t="s">
        <v>37</v>
      </c>
      <c r="FI178" s="44">
        <v>2143463</v>
      </c>
      <c r="FJ178" s="44" t="s">
        <v>37</v>
      </c>
      <c r="FK178" s="44">
        <v>3932020</v>
      </c>
      <c r="FL178" s="44" t="s">
        <v>37</v>
      </c>
      <c r="FM178" s="44">
        <v>3074303</v>
      </c>
      <c r="FN178" s="44" t="s">
        <v>37</v>
      </c>
      <c r="FO178" s="44">
        <v>249039</v>
      </c>
      <c r="FP178" s="44" t="s">
        <v>37</v>
      </c>
      <c r="FQ178" s="44">
        <v>704144</v>
      </c>
      <c r="FR178" s="44" t="s">
        <v>37</v>
      </c>
      <c r="FS178" s="44">
        <v>1055459</v>
      </c>
      <c r="FT178" s="44" t="s">
        <v>37</v>
      </c>
      <c r="FU178" s="44">
        <v>527481</v>
      </c>
      <c r="FV178" s="44" t="s">
        <v>37</v>
      </c>
      <c r="FW178" s="44">
        <v>349724</v>
      </c>
      <c r="FX178" s="44" t="s">
        <v>37</v>
      </c>
      <c r="FY178" s="44">
        <v>965798</v>
      </c>
      <c r="FZ178" s="44" t="s">
        <v>37</v>
      </c>
      <c r="GA178" s="44">
        <v>1379464</v>
      </c>
      <c r="GB178" s="44" t="s">
        <v>37</v>
      </c>
      <c r="GC178" s="44">
        <v>1338155</v>
      </c>
      <c r="GD178" s="44" t="s">
        <v>37</v>
      </c>
      <c r="GE178" s="44">
        <v>39445</v>
      </c>
      <c r="GF178" s="44" t="s">
        <v>37</v>
      </c>
      <c r="GG178" s="44">
        <v>48210</v>
      </c>
      <c r="GH178" s="44" t="s">
        <v>37</v>
      </c>
      <c r="GI178" s="44">
        <v>39858</v>
      </c>
      <c r="GJ178" s="44" t="s">
        <v>37</v>
      </c>
      <c r="GK178" s="44">
        <v>1121727</v>
      </c>
      <c r="GL178" s="44" t="s">
        <v>37</v>
      </c>
      <c r="GM178" s="44">
        <v>1137343</v>
      </c>
      <c r="GN178" s="44" t="s">
        <v>37</v>
      </c>
      <c r="GP178" s="44" t="s">
        <v>37</v>
      </c>
      <c r="GQ178" s="44">
        <v>708183</v>
      </c>
      <c r="GR178" s="44" t="s">
        <v>37</v>
      </c>
      <c r="GS178" s="44">
        <v>684653</v>
      </c>
      <c r="GT178" s="44" t="s">
        <v>37</v>
      </c>
      <c r="GU178" s="44">
        <v>728742</v>
      </c>
      <c r="GV178" s="44" t="s">
        <v>37</v>
      </c>
      <c r="GW178" s="44">
        <v>1009423</v>
      </c>
      <c r="GX178" s="44" t="s">
        <v>37</v>
      </c>
      <c r="GY178" s="44">
        <v>2210313</v>
      </c>
      <c r="GZ178" s="44" t="s">
        <v>37</v>
      </c>
      <c r="HA178" s="44">
        <v>1091584</v>
      </c>
      <c r="HB178" s="44" t="s">
        <v>37</v>
      </c>
      <c r="HC178" s="44">
        <v>245359</v>
      </c>
      <c r="HD178" s="44" t="s">
        <v>37</v>
      </c>
      <c r="HE178" s="44">
        <v>160487</v>
      </c>
      <c r="HF178" s="44" t="s">
        <v>37</v>
      </c>
      <c r="HG178" s="44">
        <v>95278198</v>
      </c>
      <c r="HH178" s="44" t="s">
        <v>37</v>
      </c>
      <c r="HI178" s="44">
        <v>405846</v>
      </c>
      <c r="HJ178" s="44" t="s">
        <v>37</v>
      </c>
      <c r="HK178" s="44">
        <v>95684044</v>
      </c>
      <c r="HL178" s="44" t="s">
        <v>37</v>
      </c>
    </row>
    <row r="179" spans="1:220">
      <c r="A179" s="150" t="s">
        <v>407</v>
      </c>
      <c r="B179" s="54">
        <v>3553</v>
      </c>
      <c r="C179" s="44" t="s">
        <v>198</v>
      </c>
      <c r="D179" s="44" t="s">
        <v>37</v>
      </c>
      <c r="E179" s="44">
        <v>5942</v>
      </c>
      <c r="F179" s="44" t="s">
        <v>37</v>
      </c>
      <c r="G179" s="44">
        <v>10835</v>
      </c>
      <c r="H179" s="44" t="s">
        <v>37</v>
      </c>
      <c r="I179" s="44">
        <v>18367</v>
      </c>
      <c r="J179" s="44" t="s">
        <v>37</v>
      </c>
      <c r="L179" s="48" t="s">
        <v>37</v>
      </c>
      <c r="M179" s="50"/>
      <c r="N179" s="48" t="s">
        <v>37</v>
      </c>
      <c r="O179" s="50"/>
      <c r="P179" s="48" t="s">
        <v>37</v>
      </c>
      <c r="Q179" s="50"/>
      <c r="R179" s="48" t="s">
        <v>37</v>
      </c>
      <c r="S179" s="50"/>
      <c r="T179" s="48" t="s">
        <v>37</v>
      </c>
      <c r="U179" s="44">
        <v>4201</v>
      </c>
      <c r="V179" s="44" t="s">
        <v>37</v>
      </c>
      <c r="X179" s="44" t="s">
        <v>37</v>
      </c>
      <c r="Y179" s="44">
        <v>2541</v>
      </c>
      <c r="Z179" s="44" t="s">
        <v>37</v>
      </c>
      <c r="AB179" s="44" t="s">
        <v>37</v>
      </c>
      <c r="AD179" s="44" t="s">
        <v>37</v>
      </c>
      <c r="AF179" s="44" t="s">
        <v>37</v>
      </c>
      <c r="AH179" s="44" t="s">
        <v>37</v>
      </c>
      <c r="AJ179" s="44" t="s">
        <v>37</v>
      </c>
      <c r="AL179" s="44" t="s">
        <v>37</v>
      </c>
      <c r="AM179" s="44">
        <v>34015</v>
      </c>
      <c r="AN179" s="44" t="s">
        <v>37</v>
      </c>
      <c r="AP179" s="44" t="s">
        <v>37</v>
      </c>
      <c r="AQ179" s="44">
        <v>27725</v>
      </c>
      <c r="AR179" s="44" t="s">
        <v>37</v>
      </c>
      <c r="AS179" s="44">
        <v>15990</v>
      </c>
      <c r="AT179" s="44" t="s">
        <v>37</v>
      </c>
      <c r="AU179" s="44">
        <v>38691</v>
      </c>
      <c r="AV179" s="44" t="s">
        <v>37</v>
      </c>
      <c r="AW179" s="44">
        <v>14308</v>
      </c>
      <c r="AX179" s="44" t="s">
        <v>37</v>
      </c>
      <c r="AY179" s="44">
        <v>2007</v>
      </c>
      <c r="AZ179" s="44" t="s">
        <v>37</v>
      </c>
      <c r="BA179" s="44">
        <v>17740</v>
      </c>
      <c r="BB179" s="44" t="s">
        <v>37</v>
      </c>
      <c r="BD179" s="44" t="s">
        <v>37</v>
      </c>
      <c r="BF179" s="44" t="s">
        <v>37</v>
      </c>
      <c r="BH179" s="44" t="s">
        <v>37</v>
      </c>
      <c r="BI179" s="44">
        <v>74500</v>
      </c>
      <c r="BJ179" s="44" t="s">
        <v>37</v>
      </c>
      <c r="BK179" s="44">
        <v>18222</v>
      </c>
      <c r="BL179" s="44" t="s">
        <v>37</v>
      </c>
      <c r="BM179" s="44">
        <v>3364</v>
      </c>
      <c r="BN179" s="44" t="s">
        <v>37</v>
      </c>
      <c r="BP179" s="44" t="s">
        <v>37</v>
      </c>
      <c r="BR179" s="44" t="s">
        <v>37</v>
      </c>
      <c r="BS179" s="44">
        <v>7170</v>
      </c>
      <c r="BT179" s="44" t="s">
        <v>37</v>
      </c>
      <c r="BV179" s="44" t="s">
        <v>37</v>
      </c>
      <c r="BX179" s="44" t="s">
        <v>37</v>
      </c>
      <c r="BY179" s="44">
        <v>59941</v>
      </c>
      <c r="BZ179" s="44" t="s">
        <v>37</v>
      </c>
      <c r="CB179" s="44" t="s">
        <v>37</v>
      </c>
      <c r="CD179" s="44" t="s">
        <v>37</v>
      </c>
      <c r="CE179" s="44">
        <v>9209</v>
      </c>
      <c r="CF179" s="44" t="s">
        <v>37</v>
      </c>
      <c r="CH179" s="44" t="s">
        <v>37</v>
      </c>
      <c r="CI179" s="44">
        <v>26041</v>
      </c>
      <c r="CJ179" s="44" t="s">
        <v>37</v>
      </c>
      <c r="CL179" s="44" t="s">
        <v>37</v>
      </c>
      <c r="CM179" s="44">
        <v>16074</v>
      </c>
      <c r="CN179" s="44" t="s">
        <v>37</v>
      </c>
      <c r="CP179" s="44" t="s">
        <v>37</v>
      </c>
      <c r="CR179" s="44" t="s">
        <v>37</v>
      </c>
      <c r="CS179" s="44">
        <v>18032</v>
      </c>
      <c r="CT179" s="44" t="s">
        <v>37</v>
      </c>
      <c r="CU179" s="44">
        <v>41443</v>
      </c>
      <c r="CV179" s="44" t="s">
        <v>37</v>
      </c>
      <c r="CW179" s="44">
        <v>5076</v>
      </c>
      <c r="CX179" s="44" t="s">
        <v>37</v>
      </c>
      <c r="CZ179" s="44" t="s">
        <v>37</v>
      </c>
      <c r="DB179" s="44" t="s">
        <v>37</v>
      </c>
      <c r="DD179" s="44" t="s">
        <v>37</v>
      </c>
      <c r="DE179" s="44">
        <v>8021</v>
      </c>
      <c r="DF179" s="44" t="s">
        <v>37</v>
      </c>
      <c r="DH179" s="44" t="s">
        <v>37</v>
      </c>
      <c r="DI179" s="44">
        <v>14169</v>
      </c>
      <c r="DJ179" s="44" t="s">
        <v>37</v>
      </c>
      <c r="DL179" s="44" t="s">
        <v>37</v>
      </c>
      <c r="DM179" s="44">
        <v>5841</v>
      </c>
      <c r="DN179" s="44" t="s">
        <v>37</v>
      </c>
      <c r="DO179" s="44">
        <v>28366</v>
      </c>
      <c r="DP179" s="44" t="s">
        <v>37</v>
      </c>
      <c r="DQ179" s="44">
        <v>10231</v>
      </c>
      <c r="DR179" s="44" t="s">
        <v>37</v>
      </c>
      <c r="DT179" s="44" t="s">
        <v>37</v>
      </c>
      <c r="DV179" s="44" t="s">
        <v>37</v>
      </c>
      <c r="DW179" s="44">
        <v>5437</v>
      </c>
      <c r="DX179" s="44" t="s">
        <v>37</v>
      </c>
      <c r="DY179" s="44">
        <v>2841</v>
      </c>
      <c r="DZ179" s="44" t="s">
        <v>37</v>
      </c>
      <c r="EA179" s="44">
        <v>5528</v>
      </c>
      <c r="EB179" s="44" t="s">
        <v>37</v>
      </c>
      <c r="ED179" s="44" t="s">
        <v>37</v>
      </c>
      <c r="EE179" s="44">
        <v>1679</v>
      </c>
      <c r="EF179" s="44" t="s">
        <v>37</v>
      </c>
      <c r="EG179" s="44">
        <v>2985</v>
      </c>
      <c r="EH179" s="44" t="s">
        <v>37</v>
      </c>
      <c r="EI179" s="44">
        <v>11761</v>
      </c>
      <c r="EJ179" s="44" t="s">
        <v>37</v>
      </c>
      <c r="EL179" s="44" t="s">
        <v>37</v>
      </c>
      <c r="EN179" s="44" t="s">
        <v>37</v>
      </c>
      <c r="EP179" s="44" t="s">
        <v>37</v>
      </c>
      <c r="ER179" s="44" t="s">
        <v>37</v>
      </c>
      <c r="ES179" s="44">
        <v>10147</v>
      </c>
      <c r="ET179" s="44" t="s">
        <v>37</v>
      </c>
      <c r="EU179" s="44">
        <v>3100</v>
      </c>
      <c r="EV179" s="44" t="s">
        <v>37</v>
      </c>
      <c r="EW179" s="44">
        <v>1930</v>
      </c>
      <c r="EX179" s="44" t="s">
        <v>37</v>
      </c>
      <c r="EZ179" s="44" t="s">
        <v>37</v>
      </c>
      <c r="FB179" s="44" t="s">
        <v>37</v>
      </c>
      <c r="FD179" s="44" t="s">
        <v>37</v>
      </c>
      <c r="FF179" s="44" t="s">
        <v>37</v>
      </c>
      <c r="FH179" s="44" t="s">
        <v>37</v>
      </c>
      <c r="FI179" s="44">
        <v>3567</v>
      </c>
      <c r="FJ179" s="44" t="s">
        <v>37</v>
      </c>
      <c r="FK179" s="44">
        <v>33380</v>
      </c>
      <c r="FL179" s="44" t="s">
        <v>37</v>
      </c>
      <c r="FM179" s="44">
        <v>3496</v>
      </c>
      <c r="FN179" s="44" t="s">
        <v>37</v>
      </c>
      <c r="FO179" s="44">
        <v>3703</v>
      </c>
      <c r="FP179" s="44" t="s">
        <v>37</v>
      </c>
      <c r="FR179" s="44" t="s">
        <v>37</v>
      </c>
      <c r="FT179" s="44" t="s">
        <v>37</v>
      </c>
      <c r="FV179" s="44" t="s">
        <v>37</v>
      </c>
      <c r="FX179" s="44" t="s">
        <v>37</v>
      </c>
      <c r="FZ179" s="44" t="s">
        <v>37</v>
      </c>
      <c r="GB179" s="44" t="s">
        <v>37</v>
      </c>
      <c r="GC179" s="44">
        <v>16406</v>
      </c>
      <c r="GD179" s="44" t="s">
        <v>37</v>
      </c>
      <c r="GF179" s="44" t="s">
        <v>37</v>
      </c>
      <c r="GH179" s="44" t="s">
        <v>37</v>
      </c>
      <c r="GJ179" s="44" t="s">
        <v>37</v>
      </c>
      <c r="GL179" s="44" t="s">
        <v>37</v>
      </c>
      <c r="GM179" s="44">
        <v>120342</v>
      </c>
      <c r="GN179" s="44" t="s">
        <v>37</v>
      </c>
      <c r="GP179" s="44" t="s">
        <v>37</v>
      </c>
      <c r="GR179" s="44" t="s">
        <v>37</v>
      </c>
      <c r="GS179" s="44">
        <v>15139</v>
      </c>
      <c r="GT179" s="44" t="s">
        <v>37</v>
      </c>
      <c r="GV179" s="44" t="s">
        <v>37</v>
      </c>
      <c r="GW179" s="44">
        <v>16340</v>
      </c>
      <c r="GX179" s="44" t="s">
        <v>37</v>
      </c>
      <c r="GY179" s="44">
        <v>12605</v>
      </c>
      <c r="GZ179" s="44" t="s">
        <v>37</v>
      </c>
      <c r="HB179" s="44" t="s">
        <v>37</v>
      </c>
      <c r="HD179" s="44" t="s">
        <v>37</v>
      </c>
      <c r="HF179" s="44" t="s">
        <v>37</v>
      </c>
      <c r="HG179" s="44">
        <v>808448</v>
      </c>
      <c r="HH179" s="44" t="s">
        <v>37</v>
      </c>
      <c r="HJ179" s="44" t="s">
        <v>37</v>
      </c>
      <c r="HK179" s="44">
        <v>808448</v>
      </c>
      <c r="HL179" s="44" t="s">
        <v>37</v>
      </c>
    </row>
    <row r="180" spans="1:220">
      <c r="A180" s="150" t="s">
        <v>411</v>
      </c>
      <c r="B180" s="44">
        <v>3555</v>
      </c>
      <c r="C180" s="44" t="s">
        <v>199</v>
      </c>
      <c r="D180" s="44" t="s">
        <v>37</v>
      </c>
      <c r="E180" s="44">
        <v>105403</v>
      </c>
      <c r="F180" s="44" t="s">
        <v>37</v>
      </c>
      <c r="G180" s="44">
        <v>595335</v>
      </c>
      <c r="H180" s="44" t="s">
        <v>37</v>
      </c>
      <c r="I180" s="44">
        <v>46349</v>
      </c>
      <c r="J180" s="44" t="s">
        <v>37</v>
      </c>
      <c r="K180" s="44">
        <v>4726</v>
      </c>
      <c r="L180" s="48" t="s">
        <v>37</v>
      </c>
      <c r="M180" s="51">
        <v>197359</v>
      </c>
      <c r="N180" s="48" t="s">
        <v>37</v>
      </c>
      <c r="O180" s="51">
        <v>85812</v>
      </c>
      <c r="P180" s="48" t="s">
        <v>37</v>
      </c>
      <c r="Q180" s="51">
        <v>64538</v>
      </c>
      <c r="R180" s="48" t="s">
        <v>37</v>
      </c>
      <c r="S180" s="51">
        <v>76407</v>
      </c>
      <c r="T180" s="48" t="s">
        <v>37</v>
      </c>
      <c r="U180" s="44">
        <v>323753</v>
      </c>
      <c r="V180" s="44" t="s">
        <v>37</v>
      </c>
      <c r="W180" s="44">
        <v>6467</v>
      </c>
      <c r="X180" s="44" t="s">
        <v>37</v>
      </c>
      <c r="Y180" s="44">
        <v>9169</v>
      </c>
      <c r="Z180" s="44" t="s">
        <v>37</v>
      </c>
      <c r="AA180" s="44">
        <v>45032</v>
      </c>
      <c r="AB180" s="44" t="s">
        <v>37</v>
      </c>
      <c r="AC180" s="44">
        <v>29525</v>
      </c>
      <c r="AD180" s="44" t="s">
        <v>37</v>
      </c>
      <c r="AE180" s="44">
        <v>21513</v>
      </c>
      <c r="AF180" s="44" t="s">
        <v>37</v>
      </c>
      <c r="AG180" s="44">
        <v>24324</v>
      </c>
      <c r="AH180" s="44" t="s">
        <v>37</v>
      </c>
      <c r="AI180" s="44">
        <v>66708</v>
      </c>
      <c r="AJ180" s="44" t="s">
        <v>37</v>
      </c>
      <c r="AK180" s="44">
        <v>4888</v>
      </c>
      <c r="AL180" s="44" t="s">
        <v>37</v>
      </c>
      <c r="AM180" s="44">
        <v>517465</v>
      </c>
      <c r="AN180" s="44" t="s">
        <v>37</v>
      </c>
      <c r="AO180" s="44">
        <v>11079</v>
      </c>
      <c r="AP180" s="44" t="s">
        <v>37</v>
      </c>
      <c r="AQ180" s="44">
        <v>681208</v>
      </c>
      <c r="AR180" s="44" t="s">
        <v>37</v>
      </c>
      <c r="AS180" s="44">
        <v>52858</v>
      </c>
      <c r="AT180" s="44" t="s">
        <v>37</v>
      </c>
      <c r="AU180" s="44">
        <v>1194785</v>
      </c>
      <c r="AV180" s="44" t="s">
        <v>37</v>
      </c>
      <c r="AW180" s="44">
        <v>260059</v>
      </c>
      <c r="AX180" s="44" t="s">
        <v>37</v>
      </c>
      <c r="AY180" s="44">
        <v>158346</v>
      </c>
      <c r="AZ180" s="44" t="s">
        <v>37</v>
      </c>
      <c r="BA180" s="44">
        <v>211083</v>
      </c>
      <c r="BB180" s="44" t="s">
        <v>37</v>
      </c>
      <c r="BC180" s="44">
        <v>27187</v>
      </c>
      <c r="BD180" s="44" t="s">
        <v>37</v>
      </c>
      <c r="BE180" s="44">
        <v>68009</v>
      </c>
      <c r="BF180" s="44" t="s">
        <v>37</v>
      </c>
      <c r="BG180" s="44">
        <v>28902</v>
      </c>
      <c r="BH180" s="44" t="s">
        <v>37</v>
      </c>
      <c r="BI180" s="44">
        <v>4572</v>
      </c>
      <c r="BJ180" s="44" t="s">
        <v>37</v>
      </c>
      <c r="BK180" s="44">
        <v>158810</v>
      </c>
      <c r="BL180" s="44" t="s">
        <v>37</v>
      </c>
      <c r="BM180" s="44">
        <v>290810</v>
      </c>
      <c r="BN180" s="44" t="s">
        <v>37</v>
      </c>
      <c r="BP180" s="44" t="s">
        <v>37</v>
      </c>
      <c r="BQ180" s="44">
        <v>20295</v>
      </c>
      <c r="BR180" s="44" t="s">
        <v>37</v>
      </c>
      <c r="BS180" s="44">
        <v>75259</v>
      </c>
      <c r="BT180" s="44" t="s">
        <v>37</v>
      </c>
      <c r="BU180" s="44">
        <v>33687</v>
      </c>
      <c r="BV180" s="44" t="s">
        <v>37</v>
      </c>
      <c r="BW180" s="44">
        <v>4528</v>
      </c>
      <c r="BX180" s="44" t="s">
        <v>37</v>
      </c>
      <c r="BY180" s="44">
        <v>463189</v>
      </c>
      <c r="BZ180" s="44" t="s">
        <v>37</v>
      </c>
      <c r="CA180" s="44">
        <v>64981</v>
      </c>
      <c r="CB180" s="44" t="s">
        <v>37</v>
      </c>
      <c r="CC180" s="44">
        <v>7980</v>
      </c>
      <c r="CD180" s="44" t="s">
        <v>37</v>
      </c>
      <c r="CE180" s="44">
        <v>115204</v>
      </c>
      <c r="CF180" s="44" t="s">
        <v>37</v>
      </c>
      <c r="CG180" s="44">
        <v>109611</v>
      </c>
      <c r="CH180" s="44" t="s">
        <v>37</v>
      </c>
      <c r="CI180" s="44">
        <v>410325</v>
      </c>
      <c r="CJ180" s="44" t="s">
        <v>37</v>
      </c>
      <c r="CK180" s="44">
        <v>32315</v>
      </c>
      <c r="CL180" s="44" t="s">
        <v>37</v>
      </c>
      <c r="CM180" s="44">
        <v>86484</v>
      </c>
      <c r="CN180" s="44" t="s">
        <v>37</v>
      </c>
      <c r="CO180" s="44">
        <v>25245</v>
      </c>
      <c r="CP180" s="44" t="s">
        <v>37</v>
      </c>
      <c r="CQ180" s="44">
        <v>40794</v>
      </c>
      <c r="CR180" s="44" t="s">
        <v>37</v>
      </c>
      <c r="CS180" s="44">
        <v>288260</v>
      </c>
      <c r="CT180" s="44" t="s">
        <v>37</v>
      </c>
      <c r="CU180" s="44">
        <v>1618255</v>
      </c>
      <c r="CV180" s="44" t="s">
        <v>37</v>
      </c>
      <c r="CW180" s="44">
        <v>235986</v>
      </c>
      <c r="CX180" s="44" t="s">
        <v>37</v>
      </c>
      <c r="CY180" s="44">
        <v>32822</v>
      </c>
      <c r="CZ180" s="44" t="s">
        <v>37</v>
      </c>
      <c r="DA180" s="44">
        <v>42777</v>
      </c>
      <c r="DB180" s="44" t="s">
        <v>37</v>
      </c>
      <c r="DC180" s="44">
        <v>7515</v>
      </c>
      <c r="DD180" s="44" t="s">
        <v>37</v>
      </c>
      <c r="DE180" s="44">
        <v>73830</v>
      </c>
      <c r="DF180" s="44" t="s">
        <v>37</v>
      </c>
      <c r="DG180" s="44">
        <v>34215</v>
      </c>
      <c r="DH180" s="44" t="s">
        <v>37</v>
      </c>
      <c r="DI180" s="44">
        <v>896109</v>
      </c>
      <c r="DJ180" s="44" t="s">
        <v>37</v>
      </c>
      <c r="DK180" s="44">
        <v>65306</v>
      </c>
      <c r="DL180" s="44" t="s">
        <v>37</v>
      </c>
      <c r="DM180" s="44">
        <v>259865</v>
      </c>
      <c r="DN180" s="44" t="s">
        <v>37</v>
      </c>
      <c r="DO180" s="44">
        <v>285803</v>
      </c>
      <c r="DP180" s="44" t="s">
        <v>37</v>
      </c>
      <c r="DQ180" s="44">
        <v>49205</v>
      </c>
      <c r="DR180" s="44" t="s">
        <v>37</v>
      </c>
      <c r="DS180" s="44">
        <v>84436</v>
      </c>
      <c r="DT180" s="44" t="s">
        <v>37</v>
      </c>
      <c r="DU180" s="44">
        <v>65181</v>
      </c>
      <c r="DV180" s="44" t="s">
        <v>37</v>
      </c>
      <c r="DW180" s="44">
        <v>554857</v>
      </c>
      <c r="DX180" s="44" t="s">
        <v>37</v>
      </c>
      <c r="DY180" s="44">
        <v>254882</v>
      </c>
      <c r="DZ180" s="44" t="s">
        <v>37</v>
      </c>
      <c r="EA180" s="44">
        <v>61163</v>
      </c>
      <c r="EB180" s="44" t="s">
        <v>37</v>
      </c>
      <c r="EC180" s="44">
        <v>79138</v>
      </c>
      <c r="ED180" s="44" t="s">
        <v>37</v>
      </c>
      <c r="EE180" s="44">
        <v>481392</v>
      </c>
      <c r="EF180" s="44" t="s">
        <v>37</v>
      </c>
      <c r="EG180" s="44">
        <v>27007</v>
      </c>
      <c r="EH180" s="44" t="s">
        <v>37</v>
      </c>
      <c r="EJ180" s="44" t="s">
        <v>37</v>
      </c>
      <c r="EK180" s="44">
        <v>66631</v>
      </c>
      <c r="EL180" s="44" t="s">
        <v>37</v>
      </c>
      <c r="EM180" s="44">
        <v>45754</v>
      </c>
      <c r="EN180" s="44" t="s">
        <v>37</v>
      </c>
      <c r="EO180" s="44">
        <v>23451</v>
      </c>
      <c r="EP180" s="44" t="s">
        <v>37</v>
      </c>
      <c r="EQ180" s="44">
        <v>4205</v>
      </c>
      <c r="ER180" s="44" t="s">
        <v>37</v>
      </c>
      <c r="ES180" s="44">
        <v>119460</v>
      </c>
      <c r="ET180" s="44" t="s">
        <v>37</v>
      </c>
      <c r="EU180" s="44">
        <v>162719</v>
      </c>
      <c r="EV180" s="44" t="s">
        <v>37</v>
      </c>
      <c r="EW180" s="44">
        <v>300410</v>
      </c>
      <c r="EX180" s="44" t="s">
        <v>37</v>
      </c>
      <c r="EZ180" s="44" t="s">
        <v>37</v>
      </c>
      <c r="FA180" s="44">
        <v>83644</v>
      </c>
      <c r="FB180" s="44" t="s">
        <v>37</v>
      </c>
      <c r="FC180" s="44">
        <v>104692</v>
      </c>
      <c r="FD180" s="44" t="s">
        <v>37</v>
      </c>
      <c r="FE180" s="44">
        <v>210284</v>
      </c>
      <c r="FF180" s="44" t="s">
        <v>37</v>
      </c>
      <c r="FG180" s="44">
        <v>2732</v>
      </c>
      <c r="FH180" s="44" t="s">
        <v>37</v>
      </c>
      <c r="FI180" s="44">
        <v>411545</v>
      </c>
      <c r="FJ180" s="44" t="s">
        <v>37</v>
      </c>
      <c r="FK180" s="44">
        <v>754948</v>
      </c>
      <c r="FL180" s="44" t="s">
        <v>37</v>
      </c>
      <c r="FM180" s="44">
        <v>590266</v>
      </c>
      <c r="FN180" s="44" t="s">
        <v>37</v>
      </c>
      <c r="FO180" s="44">
        <v>47815</v>
      </c>
      <c r="FP180" s="44" t="s">
        <v>37</v>
      </c>
      <c r="FQ180" s="44">
        <v>135196</v>
      </c>
      <c r="FR180" s="44" t="s">
        <v>37</v>
      </c>
      <c r="FS180" s="44">
        <v>202648</v>
      </c>
      <c r="FT180" s="44" t="s">
        <v>37</v>
      </c>
      <c r="FV180" s="44" t="s">
        <v>37</v>
      </c>
      <c r="FW180" s="44">
        <v>67147</v>
      </c>
      <c r="FX180" s="44" t="s">
        <v>37</v>
      </c>
      <c r="FY180" s="44">
        <v>185433</v>
      </c>
      <c r="FZ180" s="44" t="s">
        <v>37</v>
      </c>
      <c r="GA180" s="44">
        <v>264857</v>
      </c>
      <c r="GB180" s="44" t="s">
        <v>37</v>
      </c>
      <c r="GC180" s="44">
        <v>256926</v>
      </c>
      <c r="GD180" s="44" t="s">
        <v>37</v>
      </c>
      <c r="GE180" s="44">
        <v>7573</v>
      </c>
      <c r="GF180" s="44" t="s">
        <v>37</v>
      </c>
      <c r="GG180" s="44">
        <v>9256</v>
      </c>
      <c r="GH180" s="44" t="s">
        <v>37</v>
      </c>
      <c r="GI180" s="44">
        <v>7653</v>
      </c>
      <c r="GJ180" s="44" t="s">
        <v>37</v>
      </c>
      <c r="GK180" s="44">
        <v>215372</v>
      </c>
      <c r="GL180" s="44" t="s">
        <v>37</v>
      </c>
      <c r="GM180" s="44">
        <v>218370</v>
      </c>
      <c r="GN180" s="44" t="s">
        <v>37</v>
      </c>
      <c r="GP180" s="44" t="s">
        <v>37</v>
      </c>
      <c r="GQ180" s="44">
        <v>135971</v>
      </c>
      <c r="GR180" s="44" t="s">
        <v>37</v>
      </c>
      <c r="GS180" s="44">
        <v>131453</v>
      </c>
      <c r="GT180" s="44" t="s">
        <v>37</v>
      </c>
      <c r="GU180" s="44">
        <v>139918</v>
      </c>
      <c r="GV180" s="44" t="s">
        <v>37</v>
      </c>
      <c r="GX180" s="44" t="s">
        <v>37</v>
      </c>
      <c r="GY180" s="44">
        <v>424380</v>
      </c>
      <c r="GZ180" s="44" t="s">
        <v>37</v>
      </c>
      <c r="HA180" s="44">
        <v>209584</v>
      </c>
      <c r="HB180" s="44" t="s">
        <v>37</v>
      </c>
      <c r="HC180" s="44">
        <v>47109</v>
      </c>
      <c r="HD180" s="44" t="s">
        <v>37</v>
      </c>
      <c r="HE180" s="44">
        <v>30814</v>
      </c>
      <c r="HF180" s="44" t="s">
        <v>37</v>
      </c>
      <c r="HG180" s="44">
        <v>17900675</v>
      </c>
      <c r="HH180" s="44" t="s">
        <v>37</v>
      </c>
      <c r="HI180" s="44">
        <v>77923</v>
      </c>
      <c r="HJ180" s="44" t="s">
        <v>37</v>
      </c>
      <c r="HK180" s="44">
        <v>17978598</v>
      </c>
      <c r="HL180" s="44" t="s">
        <v>37</v>
      </c>
    </row>
    <row r="181" spans="1:220">
      <c r="A181" s="150" t="s">
        <v>411</v>
      </c>
      <c r="B181" s="44">
        <v>3561</v>
      </c>
      <c r="C181" s="44" t="s">
        <v>200</v>
      </c>
      <c r="D181" s="44" t="s">
        <v>37</v>
      </c>
      <c r="F181" s="44" t="s">
        <v>37</v>
      </c>
      <c r="H181" s="44" t="s">
        <v>37</v>
      </c>
      <c r="J181" s="44" t="s">
        <v>37</v>
      </c>
      <c r="L181" s="48" t="s">
        <v>37</v>
      </c>
      <c r="M181" s="50"/>
      <c r="N181" s="48" t="s">
        <v>37</v>
      </c>
      <c r="O181" s="50"/>
      <c r="P181" s="48" t="s">
        <v>37</v>
      </c>
      <c r="Q181" s="50"/>
      <c r="R181" s="48" t="s">
        <v>37</v>
      </c>
      <c r="S181" s="50"/>
      <c r="T181" s="48" t="s">
        <v>37</v>
      </c>
      <c r="V181" s="44" t="s">
        <v>37</v>
      </c>
      <c r="X181" s="44" t="s">
        <v>37</v>
      </c>
      <c r="Z181" s="44" t="s">
        <v>37</v>
      </c>
      <c r="AB181" s="44" t="s">
        <v>37</v>
      </c>
      <c r="AD181" s="44" t="s">
        <v>37</v>
      </c>
      <c r="AF181" s="44" t="s">
        <v>37</v>
      </c>
      <c r="AH181" s="44" t="s">
        <v>37</v>
      </c>
      <c r="AJ181" s="44" t="s">
        <v>37</v>
      </c>
      <c r="AL181" s="44" t="s">
        <v>37</v>
      </c>
      <c r="AN181" s="44" t="s">
        <v>37</v>
      </c>
      <c r="AP181" s="44" t="s">
        <v>37</v>
      </c>
      <c r="AQ181" s="44">
        <v>205596</v>
      </c>
      <c r="AR181" s="44" t="s">
        <v>37</v>
      </c>
      <c r="AT181" s="44" t="s">
        <v>37</v>
      </c>
      <c r="AV181" s="44" t="s">
        <v>37</v>
      </c>
      <c r="AX181" s="44" t="s">
        <v>37</v>
      </c>
      <c r="AZ181" s="44" t="s">
        <v>37</v>
      </c>
      <c r="BB181" s="44" t="s">
        <v>37</v>
      </c>
      <c r="BD181" s="44" t="s">
        <v>37</v>
      </c>
      <c r="BF181" s="44" t="s">
        <v>37</v>
      </c>
      <c r="BH181" s="44" t="s">
        <v>37</v>
      </c>
      <c r="BJ181" s="44" t="s">
        <v>37</v>
      </c>
      <c r="BK181" s="44">
        <v>146877</v>
      </c>
      <c r="BL181" s="44" t="s">
        <v>37</v>
      </c>
      <c r="BN181" s="44" t="s">
        <v>37</v>
      </c>
      <c r="BP181" s="44" t="s">
        <v>37</v>
      </c>
      <c r="BR181" s="44" t="s">
        <v>37</v>
      </c>
      <c r="BT181" s="44" t="s">
        <v>37</v>
      </c>
      <c r="BV181" s="44" t="s">
        <v>37</v>
      </c>
      <c r="BX181" s="44" t="s">
        <v>37</v>
      </c>
      <c r="BZ181" s="44" t="s">
        <v>37</v>
      </c>
      <c r="CB181" s="44" t="s">
        <v>37</v>
      </c>
      <c r="CD181" s="44" t="s">
        <v>37</v>
      </c>
      <c r="CF181" s="44" t="s">
        <v>37</v>
      </c>
      <c r="CH181" s="44" t="s">
        <v>37</v>
      </c>
      <c r="CJ181" s="44" t="s">
        <v>37</v>
      </c>
      <c r="CL181" s="44" t="s">
        <v>37</v>
      </c>
      <c r="CN181" s="44" t="s">
        <v>37</v>
      </c>
      <c r="CP181" s="44" t="s">
        <v>37</v>
      </c>
      <c r="CR181" s="44" t="s">
        <v>37</v>
      </c>
      <c r="CT181" s="44" t="s">
        <v>37</v>
      </c>
      <c r="CV181" s="44" t="s">
        <v>37</v>
      </c>
      <c r="CX181" s="44" t="s">
        <v>37</v>
      </c>
      <c r="CZ181" s="44" t="s">
        <v>37</v>
      </c>
      <c r="DB181" s="44" t="s">
        <v>37</v>
      </c>
      <c r="DD181" s="44" t="s">
        <v>37</v>
      </c>
      <c r="DF181" s="44" t="s">
        <v>37</v>
      </c>
      <c r="DH181" s="44" t="s">
        <v>37</v>
      </c>
      <c r="DJ181" s="44" t="s">
        <v>37</v>
      </c>
      <c r="DL181" s="44" t="s">
        <v>37</v>
      </c>
      <c r="DN181" s="44" t="s">
        <v>37</v>
      </c>
      <c r="DP181" s="44" t="s">
        <v>37</v>
      </c>
      <c r="DR181" s="44" t="s">
        <v>37</v>
      </c>
      <c r="DS181" s="44">
        <v>274676</v>
      </c>
      <c r="DT181" s="44" t="s">
        <v>37</v>
      </c>
      <c r="DV181" s="44" t="s">
        <v>37</v>
      </c>
      <c r="DX181" s="44" t="s">
        <v>37</v>
      </c>
      <c r="DZ181" s="44" t="s">
        <v>37</v>
      </c>
      <c r="EB181" s="44" t="s">
        <v>37</v>
      </c>
      <c r="ED181" s="44" t="s">
        <v>37</v>
      </c>
      <c r="EF181" s="44" t="s">
        <v>37</v>
      </c>
      <c r="EH181" s="44" t="s">
        <v>37</v>
      </c>
      <c r="EJ181" s="44" t="s">
        <v>37</v>
      </c>
      <c r="EL181" s="44" t="s">
        <v>37</v>
      </c>
      <c r="EN181" s="44" t="s">
        <v>37</v>
      </c>
      <c r="EP181" s="44" t="s">
        <v>37</v>
      </c>
      <c r="ER181" s="44" t="s">
        <v>37</v>
      </c>
      <c r="ET181" s="44" t="s">
        <v>37</v>
      </c>
      <c r="EV181" s="44" t="s">
        <v>37</v>
      </c>
      <c r="EX181" s="44" t="s">
        <v>37</v>
      </c>
      <c r="EZ181" s="44" t="s">
        <v>37</v>
      </c>
      <c r="FB181" s="44" t="s">
        <v>37</v>
      </c>
      <c r="FD181" s="44" t="s">
        <v>37</v>
      </c>
      <c r="FF181" s="44" t="s">
        <v>37</v>
      </c>
      <c r="FH181" s="44" t="s">
        <v>37</v>
      </c>
      <c r="FJ181" s="44" t="s">
        <v>37</v>
      </c>
      <c r="FL181" s="44" t="s">
        <v>37</v>
      </c>
      <c r="FN181" s="44" t="s">
        <v>37</v>
      </c>
      <c r="FP181" s="44" t="s">
        <v>37</v>
      </c>
      <c r="FR181" s="44" t="s">
        <v>37</v>
      </c>
      <c r="FT181" s="44" t="s">
        <v>37</v>
      </c>
      <c r="FV181" s="44" t="s">
        <v>37</v>
      </c>
      <c r="FX181" s="44" t="s">
        <v>37</v>
      </c>
      <c r="FY181" s="44">
        <v>200915</v>
      </c>
      <c r="FZ181" s="44" t="s">
        <v>37</v>
      </c>
      <c r="GB181" s="44" t="s">
        <v>37</v>
      </c>
      <c r="GD181" s="44" t="s">
        <v>37</v>
      </c>
      <c r="GF181" s="44" t="s">
        <v>37</v>
      </c>
      <c r="GH181" s="44" t="s">
        <v>37</v>
      </c>
      <c r="GJ181" s="44" t="s">
        <v>37</v>
      </c>
      <c r="GL181" s="44" t="s">
        <v>37</v>
      </c>
      <c r="GN181" s="44" t="s">
        <v>37</v>
      </c>
      <c r="GP181" s="44" t="s">
        <v>37</v>
      </c>
      <c r="GR181" s="44" t="s">
        <v>37</v>
      </c>
      <c r="GT181" s="44" t="s">
        <v>37</v>
      </c>
      <c r="GV181" s="44" t="s">
        <v>37</v>
      </c>
      <c r="GX181" s="44" t="s">
        <v>37</v>
      </c>
      <c r="GZ181" s="44" t="s">
        <v>37</v>
      </c>
      <c r="HB181" s="44" t="s">
        <v>37</v>
      </c>
      <c r="HD181" s="44" t="s">
        <v>37</v>
      </c>
      <c r="HF181" s="44" t="s">
        <v>37</v>
      </c>
      <c r="HG181" s="44">
        <v>828064</v>
      </c>
      <c r="HH181" s="44" t="s">
        <v>37</v>
      </c>
      <c r="HJ181" s="44" t="s">
        <v>37</v>
      </c>
      <c r="HK181" s="44">
        <v>828064</v>
      </c>
      <c r="HL181" s="44" t="s">
        <v>37</v>
      </c>
    </row>
    <row r="182" spans="1:220">
      <c r="A182" s="150" t="s">
        <v>407</v>
      </c>
      <c r="B182" s="54">
        <v>3562</v>
      </c>
      <c r="C182" s="44" t="s">
        <v>201</v>
      </c>
      <c r="D182" s="44" t="s">
        <v>37</v>
      </c>
      <c r="E182" s="44">
        <v>136622</v>
      </c>
      <c r="F182" s="44" t="s">
        <v>37</v>
      </c>
      <c r="G182" s="44">
        <v>138275</v>
      </c>
      <c r="H182" s="44" t="s">
        <v>37</v>
      </c>
      <c r="I182" s="44">
        <v>161012</v>
      </c>
      <c r="J182" s="44" t="s">
        <v>37</v>
      </c>
      <c r="L182" s="48" t="s">
        <v>37</v>
      </c>
      <c r="M182" s="50"/>
      <c r="N182" s="48" t="s">
        <v>37</v>
      </c>
      <c r="O182" s="50"/>
      <c r="P182" s="48" t="s">
        <v>37</v>
      </c>
      <c r="Q182" s="50"/>
      <c r="R182" s="48" t="s">
        <v>37</v>
      </c>
      <c r="S182" s="50"/>
      <c r="T182" s="48" t="s">
        <v>37</v>
      </c>
      <c r="U182" s="44">
        <v>245615</v>
      </c>
      <c r="V182" s="44" t="s">
        <v>37</v>
      </c>
      <c r="X182" s="44" t="s">
        <v>37</v>
      </c>
      <c r="Y182" s="44">
        <v>238749</v>
      </c>
      <c r="Z182" s="44" t="s">
        <v>37</v>
      </c>
      <c r="AB182" s="44" t="s">
        <v>37</v>
      </c>
      <c r="AD182" s="44" t="s">
        <v>37</v>
      </c>
      <c r="AF182" s="44" t="s">
        <v>37</v>
      </c>
      <c r="AH182" s="44" t="s">
        <v>37</v>
      </c>
      <c r="AJ182" s="44" t="s">
        <v>37</v>
      </c>
      <c r="AL182" s="44" t="s">
        <v>37</v>
      </c>
      <c r="AM182" s="44">
        <v>182629</v>
      </c>
      <c r="AN182" s="44" t="s">
        <v>37</v>
      </c>
      <c r="AP182" s="44" t="s">
        <v>37</v>
      </c>
      <c r="AQ182" s="44">
        <v>288329</v>
      </c>
      <c r="AR182" s="44" t="s">
        <v>37</v>
      </c>
      <c r="AS182" s="44">
        <v>153467</v>
      </c>
      <c r="AT182" s="44" t="s">
        <v>37</v>
      </c>
      <c r="AU182" s="44">
        <v>357748</v>
      </c>
      <c r="AV182" s="44" t="s">
        <v>37</v>
      </c>
      <c r="AW182" s="44">
        <v>201027</v>
      </c>
      <c r="AX182" s="44" t="s">
        <v>37</v>
      </c>
      <c r="AY182" s="44">
        <v>80308</v>
      </c>
      <c r="AZ182" s="44" t="s">
        <v>37</v>
      </c>
      <c r="BA182" s="44">
        <v>153536</v>
      </c>
      <c r="BB182" s="44" t="s">
        <v>37</v>
      </c>
      <c r="BD182" s="44" t="s">
        <v>37</v>
      </c>
      <c r="BF182" s="44" t="s">
        <v>37</v>
      </c>
      <c r="BH182" s="44" t="s">
        <v>37</v>
      </c>
      <c r="BJ182" s="44" t="s">
        <v>37</v>
      </c>
      <c r="BK182" s="44">
        <v>164789</v>
      </c>
      <c r="BL182" s="44" t="s">
        <v>37</v>
      </c>
      <c r="BM182" s="44">
        <v>176979</v>
      </c>
      <c r="BN182" s="44" t="s">
        <v>37</v>
      </c>
      <c r="BP182" s="44" t="s">
        <v>37</v>
      </c>
      <c r="BR182" s="44" t="s">
        <v>37</v>
      </c>
      <c r="BS182" s="44">
        <v>64038</v>
      </c>
      <c r="BT182" s="44" t="s">
        <v>37</v>
      </c>
      <c r="BV182" s="44" t="s">
        <v>37</v>
      </c>
      <c r="BX182" s="44" t="s">
        <v>37</v>
      </c>
      <c r="BY182" s="44">
        <v>578269</v>
      </c>
      <c r="BZ182" s="44" t="s">
        <v>37</v>
      </c>
      <c r="CB182" s="44" t="s">
        <v>37</v>
      </c>
      <c r="CD182" s="44" t="s">
        <v>37</v>
      </c>
      <c r="CE182" s="44">
        <v>92516</v>
      </c>
      <c r="CF182" s="44" t="s">
        <v>37</v>
      </c>
      <c r="CH182" s="44" t="s">
        <v>37</v>
      </c>
      <c r="CI182" s="44">
        <v>509739</v>
      </c>
      <c r="CJ182" s="44" t="s">
        <v>37</v>
      </c>
      <c r="CL182" s="44" t="s">
        <v>37</v>
      </c>
      <c r="CM182" s="44">
        <v>131718</v>
      </c>
      <c r="CN182" s="44" t="s">
        <v>37</v>
      </c>
      <c r="CP182" s="44" t="s">
        <v>37</v>
      </c>
      <c r="CR182" s="44" t="s">
        <v>37</v>
      </c>
      <c r="CS182" s="44">
        <v>211133</v>
      </c>
      <c r="CT182" s="44" t="s">
        <v>37</v>
      </c>
      <c r="CU182" s="44">
        <v>669844</v>
      </c>
      <c r="CV182" s="44" t="s">
        <v>37</v>
      </c>
      <c r="CW182" s="44">
        <v>173383</v>
      </c>
      <c r="CX182" s="44" t="s">
        <v>37</v>
      </c>
      <c r="CZ182" s="44" t="s">
        <v>37</v>
      </c>
      <c r="DB182" s="44" t="s">
        <v>37</v>
      </c>
      <c r="DD182" s="44" t="s">
        <v>37</v>
      </c>
      <c r="DE182" s="44">
        <v>139226</v>
      </c>
      <c r="DF182" s="44" t="s">
        <v>37</v>
      </c>
      <c r="DH182" s="44" t="s">
        <v>37</v>
      </c>
      <c r="DI182" s="44">
        <v>216006</v>
      </c>
      <c r="DJ182" s="44" t="s">
        <v>37</v>
      </c>
      <c r="DL182" s="44" t="s">
        <v>37</v>
      </c>
      <c r="DM182" s="44">
        <v>181566</v>
      </c>
      <c r="DN182" s="44" t="s">
        <v>37</v>
      </c>
      <c r="DO182" s="44">
        <v>152615</v>
      </c>
      <c r="DP182" s="44" t="s">
        <v>37</v>
      </c>
      <c r="DQ182" s="44">
        <v>295507</v>
      </c>
      <c r="DR182" s="44" t="s">
        <v>37</v>
      </c>
      <c r="DT182" s="44" t="s">
        <v>37</v>
      </c>
      <c r="DV182" s="44" t="s">
        <v>37</v>
      </c>
      <c r="DW182" s="44">
        <v>203884</v>
      </c>
      <c r="DX182" s="44" t="s">
        <v>37</v>
      </c>
      <c r="DY182" s="44">
        <v>285066</v>
      </c>
      <c r="DZ182" s="44" t="s">
        <v>37</v>
      </c>
      <c r="EA182" s="44">
        <v>132510</v>
      </c>
      <c r="EB182" s="44" t="s">
        <v>37</v>
      </c>
      <c r="ED182" s="44" t="s">
        <v>37</v>
      </c>
      <c r="EE182" s="44">
        <v>90977</v>
      </c>
      <c r="EF182" s="44" t="s">
        <v>37</v>
      </c>
      <c r="EG182" s="44">
        <v>141231</v>
      </c>
      <c r="EH182" s="44" t="s">
        <v>37</v>
      </c>
      <c r="EI182" s="44">
        <v>137704</v>
      </c>
      <c r="EJ182" s="44" t="s">
        <v>37</v>
      </c>
      <c r="EL182" s="44" t="s">
        <v>37</v>
      </c>
      <c r="EN182" s="44" t="s">
        <v>37</v>
      </c>
      <c r="EP182" s="44" t="s">
        <v>37</v>
      </c>
      <c r="ER182" s="44" t="s">
        <v>37</v>
      </c>
      <c r="ES182" s="44">
        <v>209490</v>
      </c>
      <c r="ET182" s="44" t="s">
        <v>37</v>
      </c>
      <c r="EU182" s="44">
        <v>160889</v>
      </c>
      <c r="EV182" s="44" t="s">
        <v>37</v>
      </c>
      <c r="EW182" s="44">
        <v>249018</v>
      </c>
      <c r="EX182" s="44" t="s">
        <v>37</v>
      </c>
      <c r="EZ182" s="44" t="s">
        <v>37</v>
      </c>
      <c r="FB182" s="44" t="s">
        <v>37</v>
      </c>
      <c r="FD182" s="44" t="s">
        <v>37</v>
      </c>
      <c r="FF182" s="44" t="s">
        <v>37</v>
      </c>
      <c r="FH182" s="44" t="s">
        <v>37</v>
      </c>
      <c r="FI182" s="44">
        <v>182372</v>
      </c>
      <c r="FJ182" s="44" t="s">
        <v>37</v>
      </c>
      <c r="FK182" s="44">
        <v>356150</v>
      </c>
      <c r="FL182" s="44" t="s">
        <v>37</v>
      </c>
      <c r="FM182" s="44">
        <v>167500</v>
      </c>
      <c r="FN182" s="44" t="s">
        <v>37</v>
      </c>
      <c r="FO182" s="44">
        <v>35460</v>
      </c>
      <c r="FP182" s="44" t="s">
        <v>37</v>
      </c>
      <c r="FR182" s="44" t="s">
        <v>37</v>
      </c>
      <c r="FT182" s="44" t="s">
        <v>37</v>
      </c>
      <c r="FV182" s="44" t="s">
        <v>37</v>
      </c>
      <c r="FX182" s="44" t="s">
        <v>37</v>
      </c>
      <c r="FZ182" s="44" t="s">
        <v>37</v>
      </c>
      <c r="GB182" s="44" t="s">
        <v>37</v>
      </c>
      <c r="GC182" s="44">
        <v>238941</v>
      </c>
      <c r="GD182" s="44" t="s">
        <v>37</v>
      </c>
      <c r="GF182" s="44" t="s">
        <v>37</v>
      </c>
      <c r="GH182" s="44" t="s">
        <v>37</v>
      </c>
      <c r="GJ182" s="44" t="s">
        <v>37</v>
      </c>
      <c r="GL182" s="44" t="s">
        <v>37</v>
      </c>
      <c r="GM182" s="44">
        <v>620554</v>
      </c>
      <c r="GN182" s="44" t="s">
        <v>37</v>
      </c>
      <c r="GP182" s="44" t="s">
        <v>37</v>
      </c>
      <c r="GQ182" s="44">
        <v>368609</v>
      </c>
      <c r="GR182" s="44" t="s">
        <v>37</v>
      </c>
      <c r="GS182" s="44">
        <v>143518</v>
      </c>
      <c r="GT182" s="44" t="s">
        <v>37</v>
      </c>
      <c r="GV182" s="44" t="s">
        <v>37</v>
      </c>
      <c r="GW182" s="44">
        <v>100864</v>
      </c>
      <c r="GX182" s="44" t="s">
        <v>37</v>
      </c>
      <c r="GY182" s="44">
        <v>211350</v>
      </c>
      <c r="GZ182" s="44" t="s">
        <v>37</v>
      </c>
      <c r="HB182" s="44" t="s">
        <v>37</v>
      </c>
      <c r="HD182" s="44" t="s">
        <v>37</v>
      </c>
      <c r="HF182" s="44" t="s">
        <v>37</v>
      </c>
      <c r="HG182" s="44">
        <v>10130732</v>
      </c>
      <c r="HH182" s="44" t="s">
        <v>37</v>
      </c>
      <c r="HJ182" s="44" t="s">
        <v>37</v>
      </c>
      <c r="HK182" s="44">
        <v>10130732</v>
      </c>
      <c r="HL182" s="44" t="s">
        <v>37</v>
      </c>
    </row>
    <row r="183" spans="1:220">
      <c r="A183" s="150" t="s">
        <v>408</v>
      </c>
      <c r="B183" s="54"/>
      <c r="D183" s="44" t="s">
        <v>37</v>
      </c>
      <c r="E183" s="44" t="s">
        <v>38</v>
      </c>
      <c r="F183" s="44" t="s">
        <v>37</v>
      </c>
      <c r="G183" s="44" t="s">
        <v>39</v>
      </c>
      <c r="H183" s="44" t="s">
        <v>37</v>
      </c>
      <c r="I183" s="44" t="s">
        <v>40</v>
      </c>
      <c r="J183" s="44" t="s">
        <v>37</v>
      </c>
      <c r="K183" s="44" t="s">
        <v>41</v>
      </c>
      <c r="L183" s="48" t="s">
        <v>37</v>
      </c>
      <c r="M183" s="49" t="s">
        <v>303</v>
      </c>
      <c r="N183" s="48" t="s">
        <v>37</v>
      </c>
      <c r="O183" s="49" t="s">
        <v>304</v>
      </c>
      <c r="P183" s="48" t="s">
        <v>37</v>
      </c>
      <c r="Q183" s="49" t="s">
        <v>305</v>
      </c>
      <c r="R183" s="48" t="s">
        <v>37</v>
      </c>
      <c r="S183" s="49" t="s">
        <v>306</v>
      </c>
      <c r="T183" s="48" t="s">
        <v>37</v>
      </c>
      <c r="U183" s="44" t="s">
        <v>307</v>
      </c>
      <c r="V183" s="44" t="s">
        <v>37</v>
      </c>
      <c r="W183" s="44" t="s">
        <v>308</v>
      </c>
      <c r="X183" s="44" t="s">
        <v>37</v>
      </c>
      <c r="Y183" s="44" t="s">
        <v>309</v>
      </c>
      <c r="Z183" s="44" t="s">
        <v>37</v>
      </c>
      <c r="AA183" s="44" t="s">
        <v>310</v>
      </c>
      <c r="AB183" s="44" t="s">
        <v>37</v>
      </c>
      <c r="AC183" s="44" t="s">
        <v>311</v>
      </c>
      <c r="AD183" s="44" t="s">
        <v>37</v>
      </c>
      <c r="AE183" s="44" t="s">
        <v>312</v>
      </c>
      <c r="AF183" s="44" t="s">
        <v>37</v>
      </c>
      <c r="AG183" s="44" t="s">
        <v>313</v>
      </c>
      <c r="AH183" s="44" t="s">
        <v>37</v>
      </c>
      <c r="AI183" s="44" t="s">
        <v>314</v>
      </c>
      <c r="AJ183" s="44" t="s">
        <v>37</v>
      </c>
      <c r="AK183" s="44" t="s">
        <v>315</v>
      </c>
      <c r="AL183" s="44" t="s">
        <v>37</v>
      </c>
      <c r="AM183" s="44" t="s">
        <v>316</v>
      </c>
      <c r="AN183" s="44" t="s">
        <v>37</v>
      </c>
      <c r="AO183" s="44" t="s">
        <v>317</v>
      </c>
      <c r="AP183" s="44" t="s">
        <v>37</v>
      </c>
      <c r="AQ183" s="44" t="s">
        <v>318</v>
      </c>
      <c r="AR183" s="44" t="s">
        <v>37</v>
      </c>
      <c r="AS183" s="44" t="s">
        <v>319</v>
      </c>
      <c r="AT183" s="44" t="s">
        <v>37</v>
      </c>
      <c r="AU183" s="44" t="s">
        <v>320</v>
      </c>
      <c r="AV183" s="44" t="s">
        <v>37</v>
      </c>
      <c r="AW183" s="44" t="s">
        <v>321</v>
      </c>
      <c r="AX183" s="44" t="s">
        <v>37</v>
      </c>
      <c r="AY183" s="44" t="s">
        <v>322</v>
      </c>
      <c r="AZ183" s="44" t="s">
        <v>37</v>
      </c>
      <c r="BA183" s="44" t="s">
        <v>323</v>
      </c>
      <c r="BB183" s="44" t="s">
        <v>37</v>
      </c>
      <c r="BC183" s="44" t="s">
        <v>324</v>
      </c>
      <c r="BD183" s="44" t="s">
        <v>37</v>
      </c>
      <c r="BE183" s="44" t="s">
        <v>325</v>
      </c>
      <c r="BF183" s="44" t="s">
        <v>37</v>
      </c>
      <c r="BG183" s="44" t="s">
        <v>326</v>
      </c>
      <c r="BH183" s="44" t="s">
        <v>37</v>
      </c>
      <c r="BI183" s="44" t="s">
        <v>327</v>
      </c>
      <c r="BJ183" s="44" t="s">
        <v>37</v>
      </c>
      <c r="BK183" s="44" t="s">
        <v>328</v>
      </c>
      <c r="BL183" s="44" t="s">
        <v>37</v>
      </c>
      <c r="BM183" s="44" t="s">
        <v>329</v>
      </c>
      <c r="BN183" s="44" t="s">
        <v>37</v>
      </c>
      <c r="BO183" s="44" t="s">
        <v>330</v>
      </c>
      <c r="BP183" s="44" t="s">
        <v>37</v>
      </c>
      <c r="BQ183" s="44" t="s">
        <v>331</v>
      </c>
      <c r="BR183" s="44" t="s">
        <v>37</v>
      </c>
      <c r="BS183" s="44" t="s">
        <v>332</v>
      </c>
      <c r="BT183" s="44" t="s">
        <v>37</v>
      </c>
      <c r="BU183" s="44" t="s">
        <v>333</v>
      </c>
      <c r="BV183" s="44" t="s">
        <v>37</v>
      </c>
      <c r="BW183" s="44" t="s">
        <v>334</v>
      </c>
      <c r="BX183" s="44" t="s">
        <v>37</v>
      </c>
      <c r="BY183" s="44" t="s">
        <v>335</v>
      </c>
      <c r="BZ183" s="44" t="s">
        <v>37</v>
      </c>
      <c r="CA183" s="44" t="s">
        <v>336</v>
      </c>
      <c r="CB183" s="44" t="s">
        <v>37</v>
      </c>
      <c r="CC183" s="44" t="s">
        <v>337</v>
      </c>
      <c r="CD183" s="44" t="s">
        <v>37</v>
      </c>
      <c r="CE183" s="44" t="s">
        <v>338</v>
      </c>
      <c r="CF183" s="44" t="s">
        <v>37</v>
      </c>
      <c r="CG183" s="44" t="s">
        <v>339</v>
      </c>
      <c r="CH183" s="44" t="s">
        <v>37</v>
      </c>
      <c r="CI183" s="44" t="s">
        <v>340</v>
      </c>
      <c r="CJ183" s="44" t="s">
        <v>37</v>
      </c>
      <c r="CK183" s="44" t="s">
        <v>341</v>
      </c>
      <c r="CL183" s="44" t="s">
        <v>37</v>
      </c>
      <c r="CM183" s="44" t="s">
        <v>342</v>
      </c>
      <c r="CN183" s="44" t="s">
        <v>37</v>
      </c>
      <c r="CO183" s="44" t="s">
        <v>343</v>
      </c>
      <c r="CP183" s="44" t="s">
        <v>37</v>
      </c>
      <c r="CQ183" s="44" t="s">
        <v>344</v>
      </c>
      <c r="CR183" s="44" t="s">
        <v>37</v>
      </c>
      <c r="CS183" s="44" t="s">
        <v>345</v>
      </c>
      <c r="CT183" s="44" t="s">
        <v>37</v>
      </c>
      <c r="CU183" s="44" t="s">
        <v>346</v>
      </c>
      <c r="CV183" s="44" t="s">
        <v>37</v>
      </c>
      <c r="CW183" s="44" t="s">
        <v>347</v>
      </c>
      <c r="CX183" s="44" t="s">
        <v>37</v>
      </c>
      <c r="CY183" s="44" t="s">
        <v>348</v>
      </c>
      <c r="CZ183" s="44" t="s">
        <v>37</v>
      </c>
      <c r="DA183" s="44" t="s">
        <v>349</v>
      </c>
      <c r="DB183" s="44" t="s">
        <v>37</v>
      </c>
      <c r="DC183" s="44" t="s">
        <v>350</v>
      </c>
      <c r="DD183" s="44" t="s">
        <v>37</v>
      </c>
      <c r="DE183" s="44" t="s">
        <v>351</v>
      </c>
      <c r="DF183" s="44" t="s">
        <v>37</v>
      </c>
      <c r="DG183" s="44" t="s">
        <v>352</v>
      </c>
      <c r="DH183" s="44" t="s">
        <v>37</v>
      </c>
      <c r="DI183" s="44" t="s">
        <v>353</v>
      </c>
      <c r="DJ183" s="44" t="s">
        <v>37</v>
      </c>
      <c r="DK183" s="44" t="s">
        <v>354</v>
      </c>
      <c r="DL183" s="44" t="s">
        <v>37</v>
      </c>
      <c r="DM183" s="44" t="s">
        <v>355</v>
      </c>
      <c r="DN183" s="44" t="s">
        <v>37</v>
      </c>
      <c r="DO183" s="44" t="s">
        <v>356</v>
      </c>
      <c r="DP183" s="44" t="s">
        <v>37</v>
      </c>
      <c r="DQ183" s="44" t="s">
        <v>357</v>
      </c>
      <c r="DR183" s="44" t="s">
        <v>37</v>
      </c>
      <c r="DS183" s="44" t="s">
        <v>358</v>
      </c>
      <c r="DT183" s="44" t="s">
        <v>37</v>
      </c>
      <c r="DU183" s="44" t="s">
        <v>359</v>
      </c>
      <c r="DV183" s="44" t="s">
        <v>37</v>
      </c>
      <c r="DW183" s="44" t="s">
        <v>360</v>
      </c>
      <c r="DX183" s="44" t="s">
        <v>37</v>
      </c>
      <c r="DY183" s="44" t="s">
        <v>361</v>
      </c>
      <c r="DZ183" s="44" t="s">
        <v>37</v>
      </c>
      <c r="EA183" s="44" t="s">
        <v>362</v>
      </c>
      <c r="EB183" s="44" t="s">
        <v>37</v>
      </c>
      <c r="EC183" s="44" t="s">
        <v>363</v>
      </c>
      <c r="ED183" s="44" t="s">
        <v>37</v>
      </c>
      <c r="EE183" s="44" t="s">
        <v>364</v>
      </c>
      <c r="EF183" s="44" t="s">
        <v>37</v>
      </c>
      <c r="EG183" s="44" t="s">
        <v>365</v>
      </c>
      <c r="EH183" s="44" t="s">
        <v>37</v>
      </c>
      <c r="EI183" s="44" t="s">
        <v>366</v>
      </c>
      <c r="EJ183" s="44" t="s">
        <v>37</v>
      </c>
      <c r="EK183" s="44" t="s">
        <v>367</v>
      </c>
      <c r="EL183" s="44" t="s">
        <v>37</v>
      </c>
      <c r="EM183" s="44" t="s">
        <v>368</v>
      </c>
      <c r="EN183" s="44" t="s">
        <v>37</v>
      </c>
      <c r="EO183" s="44" t="s">
        <v>369</v>
      </c>
      <c r="EP183" s="44" t="s">
        <v>37</v>
      </c>
      <c r="EQ183" s="44" t="s">
        <v>370</v>
      </c>
      <c r="ER183" s="44" t="s">
        <v>37</v>
      </c>
      <c r="ES183" s="44" t="s">
        <v>371</v>
      </c>
      <c r="ET183" s="44" t="s">
        <v>37</v>
      </c>
      <c r="EU183" s="44" t="s">
        <v>372</v>
      </c>
      <c r="EV183" s="44" t="s">
        <v>37</v>
      </c>
      <c r="EW183" s="44" t="s">
        <v>373</v>
      </c>
      <c r="EX183" s="44" t="s">
        <v>37</v>
      </c>
      <c r="EY183" s="44" t="s">
        <v>374</v>
      </c>
      <c r="EZ183" s="44" t="s">
        <v>37</v>
      </c>
      <c r="FA183" s="44" t="s">
        <v>375</v>
      </c>
      <c r="FB183" s="44" t="s">
        <v>37</v>
      </c>
      <c r="FC183" s="44" t="s">
        <v>376</v>
      </c>
      <c r="FD183" s="44" t="s">
        <v>37</v>
      </c>
      <c r="FE183" s="44" t="s">
        <v>377</v>
      </c>
      <c r="FF183" s="44" t="s">
        <v>37</v>
      </c>
      <c r="FG183" s="44" t="s">
        <v>378</v>
      </c>
      <c r="FH183" s="44" t="s">
        <v>37</v>
      </c>
      <c r="FI183" s="44" t="s">
        <v>379</v>
      </c>
      <c r="FJ183" s="44" t="s">
        <v>37</v>
      </c>
      <c r="FK183" s="44" t="s">
        <v>380</v>
      </c>
      <c r="FL183" s="44" t="s">
        <v>37</v>
      </c>
      <c r="FM183" s="44" t="s">
        <v>381</v>
      </c>
      <c r="FN183" s="44" t="s">
        <v>37</v>
      </c>
      <c r="FO183" s="44" t="s">
        <v>382</v>
      </c>
      <c r="FP183" s="44" t="s">
        <v>37</v>
      </c>
      <c r="FQ183" s="44" t="s">
        <v>383</v>
      </c>
      <c r="FR183" s="44" t="s">
        <v>37</v>
      </c>
      <c r="FS183" s="44" t="s">
        <v>384</v>
      </c>
      <c r="FT183" s="44" t="s">
        <v>37</v>
      </c>
      <c r="FU183" s="44" t="s">
        <v>385</v>
      </c>
      <c r="FV183" s="44" t="s">
        <v>37</v>
      </c>
      <c r="FW183" s="44" t="s">
        <v>386</v>
      </c>
      <c r="FX183" s="44" t="s">
        <v>37</v>
      </c>
      <c r="FY183" s="44" t="s">
        <v>387</v>
      </c>
      <c r="FZ183" s="44" t="s">
        <v>37</v>
      </c>
      <c r="GA183" s="44" t="s">
        <v>388</v>
      </c>
      <c r="GB183" s="44" t="s">
        <v>37</v>
      </c>
      <c r="GC183" s="44" t="s">
        <v>389</v>
      </c>
      <c r="GD183" s="44" t="s">
        <v>37</v>
      </c>
      <c r="GE183" s="44" t="s">
        <v>390</v>
      </c>
      <c r="GF183" s="44" t="s">
        <v>37</v>
      </c>
      <c r="GG183" s="44" t="s">
        <v>391</v>
      </c>
      <c r="GH183" s="44" t="s">
        <v>37</v>
      </c>
      <c r="GI183" s="44" t="s">
        <v>392</v>
      </c>
      <c r="GJ183" s="44" t="s">
        <v>37</v>
      </c>
      <c r="GK183" s="44" t="s">
        <v>393</v>
      </c>
      <c r="GL183" s="44" t="s">
        <v>37</v>
      </c>
      <c r="GM183" s="44" t="s">
        <v>394</v>
      </c>
      <c r="GN183" s="44" t="s">
        <v>37</v>
      </c>
      <c r="GO183" s="44" t="s">
        <v>395</v>
      </c>
      <c r="GP183" s="44" t="s">
        <v>37</v>
      </c>
      <c r="GQ183" s="44" t="s">
        <v>396</v>
      </c>
      <c r="GR183" s="44" t="s">
        <v>37</v>
      </c>
      <c r="GS183" s="44" t="s">
        <v>397</v>
      </c>
      <c r="GT183" s="44" t="s">
        <v>37</v>
      </c>
      <c r="GU183" s="44" t="s">
        <v>398</v>
      </c>
      <c r="GV183" s="44" t="s">
        <v>37</v>
      </c>
      <c r="GW183" s="44" t="s">
        <v>399</v>
      </c>
      <c r="GX183" s="44" t="s">
        <v>37</v>
      </c>
      <c r="GY183" s="44" t="s">
        <v>400</v>
      </c>
      <c r="GZ183" s="44" t="s">
        <v>37</v>
      </c>
      <c r="HA183" s="44" t="s">
        <v>401</v>
      </c>
      <c r="HB183" s="44" t="s">
        <v>37</v>
      </c>
      <c r="HC183" s="44" t="s">
        <v>29</v>
      </c>
      <c r="HD183" s="44" t="s">
        <v>37</v>
      </c>
      <c r="HE183" s="44" t="s">
        <v>402</v>
      </c>
      <c r="HF183" s="44" t="s">
        <v>37</v>
      </c>
      <c r="HG183" s="44" t="s">
        <v>403</v>
      </c>
      <c r="HH183" s="44" t="s">
        <v>37</v>
      </c>
      <c r="HI183" s="44" t="s">
        <v>404</v>
      </c>
      <c r="HJ183" s="44" t="s">
        <v>37</v>
      </c>
      <c r="HK183" s="44" t="s">
        <v>405</v>
      </c>
      <c r="HL183" s="44" t="s">
        <v>37</v>
      </c>
    </row>
    <row r="184" spans="1:220">
      <c r="A184" s="150" t="s">
        <v>408</v>
      </c>
      <c r="B184" s="54"/>
      <c r="D184" s="44" t="s">
        <v>37</v>
      </c>
      <c r="F184" s="44" t="s">
        <v>37</v>
      </c>
      <c r="H184" s="44" t="s">
        <v>37</v>
      </c>
      <c r="J184" s="44" t="s">
        <v>37</v>
      </c>
      <c r="L184" s="48" t="s">
        <v>37</v>
      </c>
      <c r="M184" s="50"/>
      <c r="N184" s="48" t="s">
        <v>37</v>
      </c>
      <c r="O184" s="50"/>
      <c r="P184" s="48" t="s">
        <v>37</v>
      </c>
      <c r="Q184" s="50"/>
      <c r="R184" s="48" t="s">
        <v>37</v>
      </c>
      <c r="S184" s="50"/>
      <c r="T184" s="48" t="s">
        <v>37</v>
      </c>
      <c r="V184" s="44" t="s">
        <v>37</v>
      </c>
      <c r="X184" s="44" t="s">
        <v>37</v>
      </c>
      <c r="Z184" s="44" t="s">
        <v>37</v>
      </c>
      <c r="AB184" s="44" t="s">
        <v>37</v>
      </c>
      <c r="AD184" s="44" t="s">
        <v>37</v>
      </c>
      <c r="AF184" s="44" t="s">
        <v>37</v>
      </c>
      <c r="AH184" s="44" t="s">
        <v>37</v>
      </c>
      <c r="AJ184" s="44" t="s">
        <v>37</v>
      </c>
      <c r="AL184" s="44" t="s">
        <v>37</v>
      </c>
      <c r="AN184" s="44" t="s">
        <v>37</v>
      </c>
      <c r="AP184" s="44" t="s">
        <v>37</v>
      </c>
      <c r="AR184" s="44" t="s">
        <v>37</v>
      </c>
      <c r="AT184" s="44" t="s">
        <v>37</v>
      </c>
      <c r="AV184" s="44" t="s">
        <v>37</v>
      </c>
      <c r="AX184" s="44" t="s">
        <v>37</v>
      </c>
      <c r="AZ184" s="44" t="s">
        <v>37</v>
      </c>
      <c r="BB184" s="44" t="s">
        <v>37</v>
      </c>
      <c r="BD184" s="44" t="s">
        <v>37</v>
      </c>
      <c r="BF184" s="44" t="s">
        <v>37</v>
      </c>
      <c r="BH184" s="44" t="s">
        <v>37</v>
      </c>
      <c r="BJ184" s="44" t="s">
        <v>37</v>
      </c>
      <c r="BL184" s="44" t="s">
        <v>37</v>
      </c>
      <c r="BN184" s="44" t="s">
        <v>37</v>
      </c>
      <c r="BP184" s="44" t="s">
        <v>37</v>
      </c>
      <c r="BR184" s="44" t="s">
        <v>37</v>
      </c>
      <c r="BT184" s="44" t="s">
        <v>37</v>
      </c>
      <c r="BV184" s="44" t="s">
        <v>37</v>
      </c>
      <c r="BX184" s="44" t="s">
        <v>37</v>
      </c>
      <c r="BZ184" s="44" t="s">
        <v>37</v>
      </c>
      <c r="CB184" s="44" t="s">
        <v>37</v>
      </c>
      <c r="CD184" s="44" t="s">
        <v>37</v>
      </c>
      <c r="CF184" s="44" t="s">
        <v>37</v>
      </c>
      <c r="CH184" s="44" t="s">
        <v>37</v>
      </c>
      <c r="CJ184" s="44" t="s">
        <v>37</v>
      </c>
      <c r="CL184" s="44" t="s">
        <v>37</v>
      </c>
      <c r="CN184" s="44" t="s">
        <v>37</v>
      </c>
      <c r="CP184" s="44" t="s">
        <v>37</v>
      </c>
      <c r="CR184" s="44" t="s">
        <v>37</v>
      </c>
      <c r="CT184" s="44" t="s">
        <v>37</v>
      </c>
      <c r="CV184" s="44" t="s">
        <v>37</v>
      </c>
      <c r="CX184" s="44" t="s">
        <v>37</v>
      </c>
      <c r="CZ184" s="44" t="s">
        <v>37</v>
      </c>
      <c r="DB184" s="44" t="s">
        <v>37</v>
      </c>
      <c r="DD184" s="44" t="s">
        <v>37</v>
      </c>
      <c r="DF184" s="44" t="s">
        <v>37</v>
      </c>
      <c r="DH184" s="44" t="s">
        <v>37</v>
      </c>
      <c r="DJ184" s="44" t="s">
        <v>37</v>
      </c>
      <c r="DL184" s="44" t="s">
        <v>37</v>
      </c>
      <c r="DN184" s="44" t="s">
        <v>37</v>
      </c>
      <c r="DP184" s="44" t="s">
        <v>37</v>
      </c>
      <c r="DR184" s="44" t="s">
        <v>37</v>
      </c>
      <c r="DT184" s="44" t="s">
        <v>37</v>
      </c>
      <c r="DV184" s="44" t="s">
        <v>37</v>
      </c>
      <c r="DX184" s="44" t="s">
        <v>37</v>
      </c>
      <c r="DZ184" s="44" t="s">
        <v>37</v>
      </c>
      <c r="EB184" s="44" t="s">
        <v>37</v>
      </c>
      <c r="ED184" s="44" t="s">
        <v>37</v>
      </c>
      <c r="EF184" s="44" t="s">
        <v>37</v>
      </c>
      <c r="EH184" s="44" t="s">
        <v>37</v>
      </c>
      <c r="EJ184" s="44" t="s">
        <v>37</v>
      </c>
      <c r="EL184" s="44" t="s">
        <v>37</v>
      </c>
      <c r="EN184" s="44" t="s">
        <v>37</v>
      </c>
      <c r="EP184" s="44" t="s">
        <v>37</v>
      </c>
      <c r="ER184" s="44" t="s">
        <v>37</v>
      </c>
      <c r="ET184" s="44" t="s">
        <v>37</v>
      </c>
      <c r="EV184" s="44" t="s">
        <v>37</v>
      </c>
      <c r="EX184" s="44" t="s">
        <v>37</v>
      </c>
      <c r="EZ184" s="44" t="s">
        <v>37</v>
      </c>
      <c r="FB184" s="44" t="s">
        <v>37</v>
      </c>
      <c r="FD184" s="44" t="s">
        <v>37</v>
      </c>
      <c r="FF184" s="44" t="s">
        <v>37</v>
      </c>
      <c r="FH184" s="44" t="s">
        <v>37</v>
      </c>
      <c r="FJ184" s="44" t="s">
        <v>37</v>
      </c>
      <c r="FL184" s="44" t="s">
        <v>37</v>
      </c>
      <c r="FN184" s="44" t="s">
        <v>37</v>
      </c>
      <c r="FP184" s="44" t="s">
        <v>37</v>
      </c>
      <c r="FR184" s="44" t="s">
        <v>37</v>
      </c>
      <c r="FT184" s="44" t="s">
        <v>37</v>
      </c>
      <c r="FV184" s="44" t="s">
        <v>37</v>
      </c>
      <c r="FX184" s="44" t="s">
        <v>37</v>
      </c>
      <c r="FZ184" s="44" t="s">
        <v>37</v>
      </c>
      <c r="GB184" s="44" t="s">
        <v>37</v>
      </c>
      <c r="GD184" s="44" t="s">
        <v>37</v>
      </c>
      <c r="GF184" s="44" t="s">
        <v>37</v>
      </c>
      <c r="GH184" s="44" t="s">
        <v>37</v>
      </c>
      <c r="GJ184" s="44" t="s">
        <v>37</v>
      </c>
      <c r="GL184" s="44" t="s">
        <v>37</v>
      </c>
      <c r="GN184" s="44" t="s">
        <v>37</v>
      </c>
      <c r="GP184" s="44" t="s">
        <v>37</v>
      </c>
      <c r="GR184" s="44" t="s">
        <v>37</v>
      </c>
      <c r="GT184" s="44" t="s">
        <v>37</v>
      </c>
      <c r="GV184" s="44" t="s">
        <v>37</v>
      </c>
      <c r="GX184" s="44" t="s">
        <v>37</v>
      </c>
      <c r="GZ184" s="44" t="s">
        <v>37</v>
      </c>
      <c r="HB184" s="44" t="s">
        <v>37</v>
      </c>
      <c r="HD184" s="44" t="s">
        <v>37</v>
      </c>
      <c r="HF184" s="44" t="s">
        <v>37</v>
      </c>
      <c r="HH184" s="44" t="s">
        <v>37</v>
      </c>
      <c r="HJ184" s="44" t="s">
        <v>37</v>
      </c>
      <c r="HL184" s="44" t="s">
        <v>37</v>
      </c>
    </row>
    <row r="185" spans="1:220">
      <c r="A185" s="150" t="s">
        <v>411</v>
      </c>
      <c r="B185" s="44">
        <v>3564</v>
      </c>
      <c r="C185" s="44" t="s">
        <v>202</v>
      </c>
      <c r="D185" s="44" t="s">
        <v>37</v>
      </c>
      <c r="E185" s="44">
        <v>21513</v>
      </c>
      <c r="F185" s="44" t="s">
        <v>37</v>
      </c>
      <c r="G185" s="44">
        <v>59847</v>
      </c>
      <c r="H185" s="44" t="s">
        <v>37</v>
      </c>
      <c r="I185" s="44">
        <v>44440</v>
      </c>
      <c r="J185" s="44" t="s">
        <v>37</v>
      </c>
      <c r="L185" s="48" t="s">
        <v>37</v>
      </c>
      <c r="M185" s="50"/>
      <c r="N185" s="48" t="s">
        <v>37</v>
      </c>
      <c r="O185" s="50"/>
      <c r="P185" s="48" t="s">
        <v>37</v>
      </c>
      <c r="Q185" s="50"/>
      <c r="R185" s="48" t="s">
        <v>37</v>
      </c>
      <c r="S185" s="50"/>
      <c r="T185" s="48" t="s">
        <v>37</v>
      </c>
      <c r="U185" s="44">
        <v>52448</v>
      </c>
      <c r="V185" s="44" t="s">
        <v>37</v>
      </c>
      <c r="X185" s="44" t="s">
        <v>37</v>
      </c>
      <c r="Y185" s="44">
        <v>47690</v>
      </c>
      <c r="Z185" s="44" t="s">
        <v>37</v>
      </c>
      <c r="AB185" s="44" t="s">
        <v>37</v>
      </c>
      <c r="AD185" s="44" t="s">
        <v>37</v>
      </c>
      <c r="AF185" s="44" t="s">
        <v>37</v>
      </c>
      <c r="AH185" s="44" t="s">
        <v>37</v>
      </c>
      <c r="AJ185" s="44" t="s">
        <v>37</v>
      </c>
      <c r="AL185" s="44" t="s">
        <v>37</v>
      </c>
      <c r="AM185" s="44">
        <v>96934</v>
      </c>
      <c r="AN185" s="44" t="s">
        <v>37</v>
      </c>
      <c r="AP185" s="44" t="s">
        <v>37</v>
      </c>
      <c r="AQ185" s="44">
        <v>89256</v>
      </c>
      <c r="AR185" s="44" t="s">
        <v>37</v>
      </c>
      <c r="AS185" s="44">
        <v>31260</v>
      </c>
      <c r="AT185" s="44" t="s">
        <v>37</v>
      </c>
      <c r="AU185" s="44">
        <v>204879</v>
      </c>
      <c r="AV185" s="44" t="s">
        <v>37</v>
      </c>
      <c r="AW185" s="44">
        <v>68935</v>
      </c>
      <c r="AX185" s="44" t="s">
        <v>37</v>
      </c>
      <c r="AY185" s="44">
        <v>49411</v>
      </c>
      <c r="AZ185" s="44" t="s">
        <v>37</v>
      </c>
      <c r="BA185" s="44">
        <v>34222</v>
      </c>
      <c r="BB185" s="44" t="s">
        <v>37</v>
      </c>
      <c r="BD185" s="44" t="s">
        <v>37</v>
      </c>
      <c r="BF185" s="44" t="s">
        <v>37</v>
      </c>
      <c r="BH185" s="44" t="s">
        <v>37</v>
      </c>
      <c r="BI185" s="44">
        <v>44635</v>
      </c>
      <c r="BJ185" s="44" t="s">
        <v>37</v>
      </c>
      <c r="BK185" s="44">
        <v>47525</v>
      </c>
      <c r="BL185" s="44" t="s">
        <v>37</v>
      </c>
      <c r="BM185" s="44">
        <v>53007</v>
      </c>
      <c r="BN185" s="44" t="s">
        <v>37</v>
      </c>
      <c r="BP185" s="44" t="s">
        <v>37</v>
      </c>
      <c r="BR185" s="44" t="s">
        <v>37</v>
      </c>
      <c r="BS185" s="44">
        <v>12893</v>
      </c>
      <c r="BT185" s="44" t="s">
        <v>37</v>
      </c>
      <c r="BV185" s="44" t="s">
        <v>37</v>
      </c>
      <c r="BX185" s="44" t="s">
        <v>37</v>
      </c>
      <c r="BY185" s="44">
        <v>107189</v>
      </c>
      <c r="BZ185" s="44" t="s">
        <v>37</v>
      </c>
      <c r="CB185" s="44" t="s">
        <v>37</v>
      </c>
      <c r="CD185" s="44" t="s">
        <v>37</v>
      </c>
      <c r="CE185" s="44">
        <v>4872</v>
      </c>
      <c r="CF185" s="44" t="s">
        <v>37</v>
      </c>
      <c r="CG185" s="44">
        <v>441</v>
      </c>
      <c r="CH185" s="44" t="s">
        <v>37</v>
      </c>
      <c r="CI185" s="44">
        <v>79078</v>
      </c>
      <c r="CJ185" s="44" t="s">
        <v>37</v>
      </c>
      <c r="CL185" s="44" t="s">
        <v>37</v>
      </c>
      <c r="CM185" s="44">
        <v>35876</v>
      </c>
      <c r="CN185" s="44" t="s">
        <v>37</v>
      </c>
      <c r="CP185" s="44" t="s">
        <v>37</v>
      </c>
      <c r="CR185" s="44" t="s">
        <v>37</v>
      </c>
      <c r="CS185" s="44">
        <v>41590</v>
      </c>
      <c r="CT185" s="44" t="s">
        <v>37</v>
      </c>
      <c r="CU185" s="44">
        <v>238673</v>
      </c>
      <c r="CV185" s="44" t="s">
        <v>37</v>
      </c>
      <c r="CW185" s="44">
        <v>30954</v>
      </c>
      <c r="CX185" s="44" t="s">
        <v>37</v>
      </c>
      <c r="CZ185" s="44" t="s">
        <v>37</v>
      </c>
      <c r="DB185" s="44" t="s">
        <v>37</v>
      </c>
      <c r="DD185" s="44" t="s">
        <v>37</v>
      </c>
      <c r="DE185" s="44">
        <v>3381</v>
      </c>
      <c r="DF185" s="44" t="s">
        <v>37</v>
      </c>
      <c r="DH185" s="44" t="s">
        <v>37</v>
      </c>
      <c r="DI185" s="44">
        <v>27240</v>
      </c>
      <c r="DJ185" s="44" t="s">
        <v>37</v>
      </c>
      <c r="DL185" s="44" t="s">
        <v>37</v>
      </c>
      <c r="DN185" s="44" t="s">
        <v>37</v>
      </c>
      <c r="DO185" s="44">
        <v>10360</v>
      </c>
      <c r="DP185" s="44" t="s">
        <v>37</v>
      </c>
      <c r="DQ185" s="44">
        <v>2869</v>
      </c>
      <c r="DR185" s="44" t="s">
        <v>37</v>
      </c>
      <c r="DT185" s="44" t="s">
        <v>37</v>
      </c>
      <c r="DV185" s="44" t="s">
        <v>37</v>
      </c>
      <c r="DW185" s="44">
        <v>5747</v>
      </c>
      <c r="DX185" s="44" t="s">
        <v>37</v>
      </c>
      <c r="DY185" s="44">
        <v>24467</v>
      </c>
      <c r="DZ185" s="44" t="s">
        <v>37</v>
      </c>
      <c r="EB185" s="44" t="s">
        <v>37</v>
      </c>
      <c r="ED185" s="44" t="s">
        <v>37</v>
      </c>
      <c r="EE185" s="44">
        <v>1853</v>
      </c>
      <c r="EF185" s="44" t="s">
        <v>37</v>
      </c>
      <c r="EG185" s="44">
        <v>1931</v>
      </c>
      <c r="EH185" s="44" t="s">
        <v>37</v>
      </c>
      <c r="EJ185" s="44" t="s">
        <v>37</v>
      </c>
      <c r="EL185" s="44" t="s">
        <v>37</v>
      </c>
      <c r="EN185" s="44" t="s">
        <v>37</v>
      </c>
      <c r="EP185" s="44" t="s">
        <v>37</v>
      </c>
      <c r="ER185" s="44" t="s">
        <v>37</v>
      </c>
      <c r="ET185" s="44" t="s">
        <v>37</v>
      </c>
      <c r="EU185" s="44">
        <v>6001</v>
      </c>
      <c r="EV185" s="44" t="s">
        <v>37</v>
      </c>
      <c r="EW185" s="44">
        <v>13491</v>
      </c>
      <c r="EX185" s="44" t="s">
        <v>37</v>
      </c>
      <c r="EZ185" s="44" t="s">
        <v>37</v>
      </c>
      <c r="FB185" s="44" t="s">
        <v>37</v>
      </c>
      <c r="FD185" s="44" t="s">
        <v>37</v>
      </c>
      <c r="FF185" s="44" t="s">
        <v>37</v>
      </c>
      <c r="FH185" s="44" t="s">
        <v>37</v>
      </c>
      <c r="FI185" s="44">
        <v>3201</v>
      </c>
      <c r="FJ185" s="44" t="s">
        <v>37</v>
      </c>
      <c r="FK185" s="44">
        <v>10136</v>
      </c>
      <c r="FL185" s="44" t="s">
        <v>37</v>
      </c>
      <c r="FN185" s="44" t="s">
        <v>37</v>
      </c>
      <c r="FO185" s="44">
        <v>999</v>
      </c>
      <c r="FP185" s="44" t="s">
        <v>37</v>
      </c>
      <c r="FR185" s="44" t="s">
        <v>37</v>
      </c>
      <c r="FT185" s="44" t="s">
        <v>37</v>
      </c>
      <c r="FV185" s="44" t="s">
        <v>37</v>
      </c>
      <c r="FX185" s="44" t="s">
        <v>37</v>
      </c>
      <c r="FZ185" s="44" t="s">
        <v>37</v>
      </c>
      <c r="GB185" s="44" t="s">
        <v>37</v>
      </c>
      <c r="GC185" s="44">
        <v>63070</v>
      </c>
      <c r="GD185" s="44" t="s">
        <v>37</v>
      </c>
      <c r="GF185" s="44" t="s">
        <v>37</v>
      </c>
      <c r="GH185" s="44" t="s">
        <v>37</v>
      </c>
      <c r="GJ185" s="44" t="s">
        <v>37</v>
      </c>
      <c r="GL185" s="44" t="s">
        <v>37</v>
      </c>
      <c r="GN185" s="44" t="s">
        <v>37</v>
      </c>
      <c r="GP185" s="44" t="s">
        <v>37</v>
      </c>
      <c r="GQ185" s="44">
        <v>13899</v>
      </c>
      <c r="GR185" s="44" t="s">
        <v>37</v>
      </c>
      <c r="GT185" s="44" t="s">
        <v>37</v>
      </c>
      <c r="GV185" s="44" t="s">
        <v>37</v>
      </c>
      <c r="GX185" s="44" t="s">
        <v>37</v>
      </c>
      <c r="GY185" s="44">
        <v>10971</v>
      </c>
      <c r="GZ185" s="44" t="s">
        <v>37</v>
      </c>
      <c r="HB185" s="44" t="s">
        <v>37</v>
      </c>
      <c r="HD185" s="44" t="s">
        <v>37</v>
      </c>
      <c r="HF185" s="44" t="s">
        <v>37</v>
      </c>
      <c r="HG185" s="44">
        <v>1697184</v>
      </c>
      <c r="HH185" s="44" t="s">
        <v>37</v>
      </c>
      <c r="HJ185" s="44" t="s">
        <v>37</v>
      </c>
      <c r="HK185" s="44">
        <v>1697184</v>
      </c>
      <c r="HL185" s="44" t="s">
        <v>37</v>
      </c>
    </row>
    <row r="186" spans="1:220">
      <c r="A186" s="150" t="s">
        <v>407</v>
      </c>
      <c r="B186" s="54">
        <v>3565</v>
      </c>
      <c r="C186" s="44" t="s">
        <v>203</v>
      </c>
      <c r="D186" s="44" t="s">
        <v>37</v>
      </c>
      <c r="E186" s="44">
        <v>51258</v>
      </c>
      <c r="F186" s="44" t="s">
        <v>37</v>
      </c>
      <c r="G186" s="44">
        <v>57991</v>
      </c>
      <c r="H186" s="44" t="s">
        <v>37</v>
      </c>
      <c r="I186" s="44">
        <v>49556</v>
      </c>
      <c r="J186" s="44" t="s">
        <v>37</v>
      </c>
      <c r="L186" s="48" t="s">
        <v>37</v>
      </c>
      <c r="M186" s="50"/>
      <c r="N186" s="48" t="s">
        <v>37</v>
      </c>
      <c r="O186" s="50"/>
      <c r="P186" s="48" t="s">
        <v>37</v>
      </c>
      <c r="Q186" s="50"/>
      <c r="R186" s="48" t="s">
        <v>37</v>
      </c>
      <c r="S186" s="50"/>
      <c r="T186" s="48" t="s">
        <v>37</v>
      </c>
      <c r="V186" s="44" t="s">
        <v>37</v>
      </c>
      <c r="X186" s="44" t="s">
        <v>37</v>
      </c>
      <c r="Y186" s="44">
        <v>50000</v>
      </c>
      <c r="Z186" s="44" t="s">
        <v>37</v>
      </c>
      <c r="AB186" s="44" t="s">
        <v>37</v>
      </c>
      <c r="AD186" s="44" t="s">
        <v>37</v>
      </c>
      <c r="AF186" s="44" t="s">
        <v>37</v>
      </c>
      <c r="AH186" s="44" t="s">
        <v>37</v>
      </c>
      <c r="AJ186" s="44" t="s">
        <v>37</v>
      </c>
      <c r="AL186" s="44" t="s">
        <v>37</v>
      </c>
      <c r="AM186" s="44">
        <v>44826</v>
      </c>
      <c r="AN186" s="44" t="s">
        <v>37</v>
      </c>
      <c r="AP186" s="44" t="s">
        <v>37</v>
      </c>
      <c r="AQ186" s="44">
        <v>48523</v>
      </c>
      <c r="AR186" s="44" t="s">
        <v>37</v>
      </c>
      <c r="AS186" s="44">
        <v>51506</v>
      </c>
      <c r="AT186" s="44" t="s">
        <v>37</v>
      </c>
      <c r="AU186" s="44">
        <v>50000</v>
      </c>
      <c r="AV186" s="44" t="s">
        <v>37</v>
      </c>
      <c r="AW186" s="44">
        <v>46171</v>
      </c>
      <c r="AX186" s="44" t="s">
        <v>37</v>
      </c>
      <c r="AY186" s="44">
        <v>36517</v>
      </c>
      <c r="AZ186" s="44" t="s">
        <v>37</v>
      </c>
      <c r="BA186" s="44">
        <v>50000</v>
      </c>
      <c r="BB186" s="44" t="s">
        <v>37</v>
      </c>
      <c r="BD186" s="44" t="s">
        <v>37</v>
      </c>
      <c r="BF186" s="44" t="s">
        <v>37</v>
      </c>
      <c r="BH186" s="44" t="s">
        <v>37</v>
      </c>
      <c r="BJ186" s="44" t="s">
        <v>37</v>
      </c>
      <c r="BK186" s="44">
        <v>48384</v>
      </c>
      <c r="BL186" s="44" t="s">
        <v>37</v>
      </c>
      <c r="BM186" s="44">
        <v>48639</v>
      </c>
      <c r="BN186" s="44" t="s">
        <v>37</v>
      </c>
      <c r="BP186" s="44" t="s">
        <v>37</v>
      </c>
      <c r="BR186" s="44" t="s">
        <v>37</v>
      </c>
      <c r="BS186" s="44">
        <v>41468</v>
      </c>
      <c r="BT186" s="44" t="s">
        <v>37</v>
      </c>
      <c r="BV186" s="44" t="s">
        <v>37</v>
      </c>
      <c r="BX186" s="44" t="s">
        <v>37</v>
      </c>
      <c r="BY186" s="44">
        <v>103498</v>
      </c>
      <c r="BZ186" s="44" t="s">
        <v>37</v>
      </c>
      <c r="CB186" s="44" t="s">
        <v>37</v>
      </c>
      <c r="CD186" s="44" t="s">
        <v>37</v>
      </c>
      <c r="CE186" s="44">
        <v>45897</v>
      </c>
      <c r="CF186" s="44" t="s">
        <v>37</v>
      </c>
      <c r="CH186" s="44" t="s">
        <v>37</v>
      </c>
      <c r="CI186" s="44">
        <v>81588</v>
      </c>
      <c r="CJ186" s="44" t="s">
        <v>37</v>
      </c>
      <c r="CL186" s="44" t="s">
        <v>37</v>
      </c>
      <c r="CN186" s="44" t="s">
        <v>37</v>
      </c>
      <c r="CP186" s="44" t="s">
        <v>37</v>
      </c>
      <c r="CR186" s="44" t="s">
        <v>37</v>
      </c>
      <c r="CS186" s="44">
        <v>50000</v>
      </c>
      <c r="CT186" s="44" t="s">
        <v>37</v>
      </c>
      <c r="CU186" s="44">
        <v>50000</v>
      </c>
      <c r="CV186" s="44" t="s">
        <v>37</v>
      </c>
      <c r="CW186" s="44">
        <v>50000</v>
      </c>
      <c r="CX186" s="44" t="s">
        <v>37</v>
      </c>
      <c r="CZ186" s="44" t="s">
        <v>37</v>
      </c>
      <c r="DB186" s="44" t="s">
        <v>37</v>
      </c>
      <c r="DD186" s="44" t="s">
        <v>37</v>
      </c>
      <c r="DE186" s="44">
        <v>83688</v>
      </c>
      <c r="DF186" s="44" t="s">
        <v>37</v>
      </c>
      <c r="DH186" s="44" t="s">
        <v>37</v>
      </c>
      <c r="DI186" s="44">
        <v>59923</v>
      </c>
      <c r="DJ186" s="44" t="s">
        <v>37</v>
      </c>
      <c r="DL186" s="44" t="s">
        <v>37</v>
      </c>
      <c r="DM186" s="44">
        <v>51931</v>
      </c>
      <c r="DN186" s="44" t="s">
        <v>37</v>
      </c>
      <c r="DO186" s="44">
        <v>27096</v>
      </c>
      <c r="DP186" s="44" t="s">
        <v>37</v>
      </c>
      <c r="DQ186" s="44">
        <v>52435</v>
      </c>
      <c r="DR186" s="44" t="s">
        <v>37</v>
      </c>
      <c r="DT186" s="44" t="s">
        <v>37</v>
      </c>
      <c r="DV186" s="44" t="s">
        <v>37</v>
      </c>
      <c r="DW186" s="44">
        <v>10000</v>
      </c>
      <c r="DX186" s="44" t="s">
        <v>37</v>
      </c>
      <c r="DY186" s="44">
        <v>64323</v>
      </c>
      <c r="DZ186" s="44" t="s">
        <v>37</v>
      </c>
      <c r="EA186" s="44">
        <v>10000</v>
      </c>
      <c r="EB186" s="44" t="s">
        <v>37</v>
      </c>
      <c r="ED186" s="44" t="s">
        <v>37</v>
      </c>
      <c r="EE186" s="44">
        <v>21699</v>
      </c>
      <c r="EF186" s="44" t="s">
        <v>37</v>
      </c>
      <c r="EG186" s="44">
        <v>65527</v>
      </c>
      <c r="EH186" s="44" t="s">
        <v>37</v>
      </c>
      <c r="EI186" s="44">
        <v>27672</v>
      </c>
      <c r="EJ186" s="44" t="s">
        <v>37</v>
      </c>
      <c r="EL186" s="44" t="s">
        <v>37</v>
      </c>
      <c r="EN186" s="44" t="s">
        <v>37</v>
      </c>
      <c r="EP186" s="44" t="s">
        <v>37</v>
      </c>
      <c r="ER186" s="44" t="s">
        <v>37</v>
      </c>
      <c r="ES186" s="44">
        <v>44396</v>
      </c>
      <c r="ET186" s="44" t="s">
        <v>37</v>
      </c>
      <c r="EU186" s="44">
        <v>38568</v>
      </c>
      <c r="EV186" s="44" t="s">
        <v>37</v>
      </c>
      <c r="EW186" s="44">
        <v>52663</v>
      </c>
      <c r="EX186" s="44" t="s">
        <v>37</v>
      </c>
      <c r="EZ186" s="44" t="s">
        <v>37</v>
      </c>
      <c r="FB186" s="44" t="s">
        <v>37</v>
      </c>
      <c r="FD186" s="44" t="s">
        <v>37</v>
      </c>
      <c r="FF186" s="44" t="s">
        <v>37</v>
      </c>
      <c r="FH186" s="44" t="s">
        <v>37</v>
      </c>
      <c r="FI186" s="44">
        <v>43036</v>
      </c>
      <c r="FJ186" s="44" t="s">
        <v>37</v>
      </c>
      <c r="FK186" s="44">
        <v>50000</v>
      </c>
      <c r="FL186" s="44" t="s">
        <v>37</v>
      </c>
      <c r="FM186" s="44">
        <v>18000</v>
      </c>
      <c r="FN186" s="44" t="s">
        <v>37</v>
      </c>
      <c r="FO186" s="44">
        <v>39876</v>
      </c>
      <c r="FP186" s="44" t="s">
        <v>37</v>
      </c>
      <c r="FR186" s="44" t="s">
        <v>37</v>
      </c>
      <c r="FT186" s="44" t="s">
        <v>37</v>
      </c>
      <c r="FV186" s="44" t="s">
        <v>37</v>
      </c>
      <c r="FX186" s="44" t="s">
        <v>37</v>
      </c>
      <c r="FZ186" s="44" t="s">
        <v>37</v>
      </c>
      <c r="GB186" s="44" t="s">
        <v>37</v>
      </c>
      <c r="GC186" s="44">
        <v>38794</v>
      </c>
      <c r="GD186" s="44" t="s">
        <v>37</v>
      </c>
      <c r="GF186" s="44" t="s">
        <v>37</v>
      </c>
      <c r="GH186" s="44" t="s">
        <v>37</v>
      </c>
      <c r="GJ186" s="44" t="s">
        <v>37</v>
      </c>
      <c r="GL186" s="44" t="s">
        <v>37</v>
      </c>
      <c r="GM186" s="44">
        <v>100000</v>
      </c>
      <c r="GN186" s="44" t="s">
        <v>37</v>
      </c>
      <c r="GP186" s="44" t="s">
        <v>37</v>
      </c>
      <c r="GQ186" s="44">
        <v>39625</v>
      </c>
      <c r="GR186" s="44" t="s">
        <v>37</v>
      </c>
      <c r="GS186" s="44">
        <v>50000</v>
      </c>
      <c r="GT186" s="44" t="s">
        <v>37</v>
      </c>
      <c r="GV186" s="44" t="s">
        <v>37</v>
      </c>
      <c r="GX186" s="44" t="s">
        <v>37</v>
      </c>
      <c r="GY186" s="44">
        <v>50000</v>
      </c>
      <c r="GZ186" s="44" t="s">
        <v>37</v>
      </c>
      <c r="HB186" s="44" t="s">
        <v>37</v>
      </c>
      <c r="HD186" s="44" t="s">
        <v>37</v>
      </c>
      <c r="HF186" s="44" t="s">
        <v>37</v>
      </c>
      <c r="HG186" s="44">
        <v>2095074</v>
      </c>
      <c r="HH186" s="44" t="s">
        <v>37</v>
      </c>
      <c r="HJ186" s="44" t="s">
        <v>37</v>
      </c>
      <c r="HK186" s="44">
        <v>2095074</v>
      </c>
      <c r="HL186" s="44" t="s">
        <v>37</v>
      </c>
    </row>
    <row r="187" spans="1:220">
      <c r="A187" s="150" t="s">
        <v>411</v>
      </c>
      <c r="B187" s="44">
        <v>3568</v>
      </c>
      <c r="C187" s="44" t="s">
        <v>204</v>
      </c>
      <c r="D187" s="44" t="s">
        <v>37</v>
      </c>
      <c r="E187" s="44">
        <v>75000</v>
      </c>
      <c r="F187" s="44" t="s">
        <v>37</v>
      </c>
      <c r="G187" s="44">
        <v>405080</v>
      </c>
      <c r="H187" s="44" t="s">
        <v>37</v>
      </c>
      <c r="I187" s="44">
        <v>2211232</v>
      </c>
      <c r="J187" s="44" t="s">
        <v>37</v>
      </c>
      <c r="L187" s="48" t="s">
        <v>37</v>
      </c>
      <c r="M187" s="50"/>
      <c r="N187" s="48" t="s">
        <v>37</v>
      </c>
      <c r="O187" s="50"/>
      <c r="P187" s="48" t="s">
        <v>37</v>
      </c>
      <c r="Q187" s="51">
        <v>130730</v>
      </c>
      <c r="R187" s="48" t="s">
        <v>37</v>
      </c>
      <c r="S187" s="50"/>
      <c r="T187" s="48" t="s">
        <v>37</v>
      </c>
      <c r="V187" s="44" t="s">
        <v>37</v>
      </c>
      <c r="X187" s="44" t="s">
        <v>37</v>
      </c>
      <c r="Z187" s="44" t="s">
        <v>37</v>
      </c>
      <c r="AA187" s="44">
        <v>192222</v>
      </c>
      <c r="AB187" s="44" t="s">
        <v>37</v>
      </c>
      <c r="AC187" s="44">
        <v>257029</v>
      </c>
      <c r="AD187" s="44" t="s">
        <v>37</v>
      </c>
      <c r="AE187" s="44">
        <v>147884</v>
      </c>
      <c r="AF187" s="44" t="s">
        <v>37</v>
      </c>
      <c r="AG187" s="44">
        <v>106249</v>
      </c>
      <c r="AH187" s="44" t="s">
        <v>37</v>
      </c>
      <c r="AI187" s="44">
        <v>299204</v>
      </c>
      <c r="AJ187" s="44" t="s">
        <v>37</v>
      </c>
      <c r="AL187" s="44" t="s">
        <v>37</v>
      </c>
      <c r="AM187" s="44">
        <v>632876</v>
      </c>
      <c r="AN187" s="44" t="s">
        <v>37</v>
      </c>
      <c r="AP187" s="44" t="s">
        <v>37</v>
      </c>
      <c r="AQ187" s="44">
        <v>702788</v>
      </c>
      <c r="AR187" s="44" t="s">
        <v>37</v>
      </c>
      <c r="AS187" s="44">
        <v>724891</v>
      </c>
      <c r="AT187" s="44" t="s">
        <v>37</v>
      </c>
      <c r="AU187" s="44">
        <v>2876079</v>
      </c>
      <c r="AV187" s="44" t="s">
        <v>37</v>
      </c>
      <c r="AW187" s="44">
        <v>1021640</v>
      </c>
      <c r="AX187" s="44" t="s">
        <v>37</v>
      </c>
      <c r="AY187" s="44">
        <v>586022</v>
      </c>
      <c r="AZ187" s="44" t="s">
        <v>37</v>
      </c>
      <c r="BA187" s="44">
        <v>811500</v>
      </c>
      <c r="BB187" s="44" t="s">
        <v>37</v>
      </c>
      <c r="BC187" s="44">
        <v>428554</v>
      </c>
      <c r="BD187" s="44" t="s">
        <v>37</v>
      </c>
      <c r="BE187" s="44">
        <v>288386</v>
      </c>
      <c r="BF187" s="44" t="s">
        <v>37</v>
      </c>
      <c r="BG187" s="44">
        <v>75556</v>
      </c>
      <c r="BH187" s="44" t="s">
        <v>37</v>
      </c>
      <c r="BJ187" s="44" t="s">
        <v>37</v>
      </c>
      <c r="BK187" s="44">
        <v>800169</v>
      </c>
      <c r="BL187" s="44" t="s">
        <v>37</v>
      </c>
      <c r="BM187" s="44">
        <v>684227</v>
      </c>
      <c r="BN187" s="44" t="s">
        <v>37</v>
      </c>
      <c r="BP187" s="44" t="s">
        <v>37</v>
      </c>
      <c r="BQ187" s="44">
        <v>190015</v>
      </c>
      <c r="BR187" s="44" t="s">
        <v>37</v>
      </c>
      <c r="BS187" s="44">
        <v>696510</v>
      </c>
      <c r="BT187" s="44" t="s">
        <v>37</v>
      </c>
      <c r="BU187" s="44">
        <v>121193</v>
      </c>
      <c r="BV187" s="44" t="s">
        <v>37</v>
      </c>
      <c r="BX187" s="44" t="s">
        <v>37</v>
      </c>
      <c r="BZ187" s="44" t="s">
        <v>37</v>
      </c>
      <c r="CA187" s="44">
        <v>554486</v>
      </c>
      <c r="CB187" s="44" t="s">
        <v>37</v>
      </c>
      <c r="CD187" s="44" t="s">
        <v>37</v>
      </c>
      <c r="CE187" s="44">
        <v>157694</v>
      </c>
      <c r="CF187" s="44" t="s">
        <v>37</v>
      </c>
      <c r="CG187" s="44">
        <v>1036082</v>
      </c>
      <c r="CH187" s="44" t="s">
        <v>37</v>
      </c>
      <c r="CI187" s="44">
        <v>623139</v>
      </c>
      <c r="CJ187" s="44" t="s">
        <v>37</v>
      </c>
      <c r="CK187" s="44">
        <v>10000</v>
      </c>
      <c r="CL187" s="44" t="s">
        <v>37</v>
      </c>
      <c r="CM187" s="44">
        <v>843975</v>
      </c>
      <c r="CN187" s="44" t="s">
        <v>37</v>
      </c>
      <c r="CO187" s="44">
        <v>915002</v>
      </c>
      <c r="CP187" s="44" t="s">
        <v>37</v>
      </c>
      <c r="CR187" s="44" t="s">
        <v>37</v>
      </c>
      <c r="CS187" s="44">
        <v>338663</v>
      </c>
      <c r="CT187" s="44" t="s">
        <v>37</v>
      </c>
      <c r="CU187" s="44">
        <v>1349996</v>
      </c>
      <c r="CV187" s="44" t="s">
        <v>37</v>
      </c>
      <c r="CW187" s="44">
        <v>279604</v>
      </c>
      <c r="CX187" s="44" t="s">
        <v>37</v>
      </c>
      <c r="CY187" s="44">
        <v>10000</v>
      </c>
      <c r="CZ187" s="44" t="s">
        <v>37</v>
      </c>
      <c r="DB187" s="44" t="s">
        <v>37</v>
      </c>
      <c r="DD187" s="44" t="s">
        <v>37</v>
      </c>
      <c r="DE187" s="44">
        <v>188361</v>
      </c>
      <c r="DF187" s="44" t="s">
        <v>37</v>
      </c>
      <c r="DG187" s="44">
        <v>1067973</v>
      </c>
      <c r="DH187" s="44" t="s">
        <v>37</v>
      </c>
      <c r="DI187" s="44">
        <v>211007</v>
      </c>
      <c r="DJ187" s="44" t="s">
        <v>37</v>
      </c>
      <c r="DK187" s="44">
        <v>715377</v>
      </c>
      <c r="DL187" s="44" t="s">
        <v>37</v>
      </c>
      <c r="DM187" s="44">
        <v>244255</v>
      </c>
      <c r="DN187" s="44" t="s">
        <v>37</v>
      </c>
      <c r="DO187" s="44">
        <v>564221</v>
      </c>
      <c r="DP187" s="44" t="s">
        <v>37</v>
      </c>
      <c r="DQ187" s="44">
        <v>91416</v>
      </c>
      <c r="DR187" s="44" t="s">
        <v>37</v>
      </c>
      <c r="DS187" s="44">
        <v>99199</v>
      </c>
      <c r="DT187" s="44" t="s">
        <v>37</v>
      </c>
      <c r="DU187" s="44">
        <v>633243</v>
      </c>
      <c r="DV187" s="44" t="s">
        <v>37</v>
      </c>
      <c r="DX187" s="44" t="s">
        <v>37</v>
      </c>
      <c r="DY187" s="44">
        <v>193281</v>
      </c>
      <c r="DZ187" s="44" t="s">
        <v>37</v>
      </c>
      <c r="EA187" s="44">
        <v>113473</v>
      </c>
      <c r="EB187" s="44" t="s">
        <v>37</v>
      </c>
      <c r="EC187" s="44">
        <v>177602</v>
      </c>
      <c r="ED187" s="44" t="s">
        <v>37</v>
      </c>
      <c r="EF187" s="44" t="s">
        <v>37</v>
      </c>
      <c r="EG187" s="44">
        <v>118310</v>
      </c>
      <c r="EH187" s="44" t="s">
        <v>37</v>
      </c>
      <c r="EJ187" s="44" t="s">
        <v>37</v>
      </c>
      <c r="EK187" s="44">
        <v>326706</v>
      </c>
      <c r="EL187" s="44" t="s">
        <v>37</v>
      </c>
      <c r="EM187" s="44">
        <v>101517</v>
      </c>
      <c r="EN187" s="44" t="s">
        <v>37</v>
      </c>
      <c r="EO187" s="44">
        <v>858993</v>
      </c>
      <c r="EP187" s="44" t="s">
        <v>37</v>
      </c>
      <c r="ER187" s="44" t="s">
        <v>37</v>
      </c>
      <c r="ES187" s="44">
        <v>969453</v>
      </c>
      <c r="ET187" s="44" t="s">
        <v>37</v>
      </c>
      <c r="EU187" s="44">
        <v>585596</v>
      </c>
      <c r="EV187" s="44" t="s">
        <v>37</v>
      </c>
      <c r="EW187" s="44">
        <v>684</v>
      </c>
      <c r="EX187" s="44" t="s">
        <v>37</v>
      </c>
      <c r="EZ187" s="44" t="s">
        <v>37</v>
      </c>
      <c r="FA187" s="44">
        <v>444434</v>
      </c>
      <c r="FB187" s="44" t="s">
        <v>37</v>
      </c>
      <c r="FC187" s="44">
        <v>798799</v>
      </c>
      <c r="FD187" s="44" t="s">
        <v>37</v>
      </c>
      <c r="FE187" s="44">
        <v>930339</v>
      </c>
      <c r="FF187" s="44" t="s">
        <v>37</v>
      </c>
      <c r="FH187" s="44" t="s">
        <v>37</v>
      </c>
      <c r="FJ187" s="44" t="s">
        <v>37</v>
      </c>
      <c r="FK187" s="44">
        <v>2212526</v>
      </c>
      <c r="FL187" s="44" t="s">
        <v>37</v>
      </c>
      <c r="FM187" s="44">
        <v>5409</v>
      </c>
      <c r="FN187" s="44" t="s">
        <v>37</v>
      </c>
      <c r="FO187" s="44">
        <v>216683</v>
      </c>
      <c r="FP187" s="44" t="s">
        <v>37</v>
      </c>
      <c r="FR187" s="44" t="s">
        <v>37</v>
      </c>
      <c r="FT187" s="44" t="s">
        <v>37</v>
      </c>
      <c r="FV187" s="44" t="s">
        <v>37</v>
      </c>
      <c r="FX187" s="44" t="s">
        <v>37</v>
      </c>
      <c r="FZ187" s="44" t="s">
        <v>37</v>
      </c>
      <c r="GA187" s="44">
        <v>169865</v>
      </c>
      <c r="GB187" s="44" t="s">
        <v>37</v>
      </c>
      <c r="GC187" s="44">
        <v>542732</v>
      </c>
      <c r="GD187" s="44" t="s">
        <v>37</v>
      </c>
      <c r="GF187" s="44" t="s">
        <v>37</v>
      </c>
      <c r="GH187" s="44" t="s">
        <v>37</v>
      </c>
      <c r="GJ187" s="44" t="s">
        <v>37</v>
      </c>
      <c r="GK187" s="44">
        <v>318874</v>
      </c>
      <c r="GL187" s="44" t="s">
        <v>37</v>
      </c>
      <c r="GM187" s="44">
        <v>577696</v>
      </c>
      <c r="GN187" s="44" t="s">
        <v>37</v>
      </c>
      <c r="GP187" s="44" t="s">
        <v>37</v>
      </c>
      <c r="GQ187" s="44">
        <v>335136</v>
      </c>
      <c r="GR187" s="44" t="s">
        <v>37</v>
      </c>
      <c r="GS187" s="44">
        <v>481322</v>
      </c>
      <c r="GT187" s="44" t="s">
        <v>37</v>
      </c>
      <c r="GV187" s="44" t="s">
        <v>37</v>
      </c>
      <c r="GX187" s="44" t="s">
        <v>37</v>
      </c>
      <c r="GY187" s="44">
        <v>249097</v>
      </c>
      <c r="GZ187" s="44" t="s">
        <v>37</v>
      </c>
      <c r="HB187" s="44" t="s">
        <v>37</v>
      </c>
      <c r="HD187" s="44" t="s">
        <v>37</v>
      </c>
      <c r="HF187" s="44" t="s">
        <v>37</v>
      </c>
      <c r="HG187" s="44">
        <v>35127256</v>
      </c>
      <c r="HH187" s="44" t="s">
        <v>37</v>
      </c>
      <c r="HJ187" s="44" t="s">
        <v>37</v>
      </c>
      <c r="HK187" s="44">
        <v>35127256</v>
      </c>
      <c r="HL187" s="44" t="s">
        <v>37</v>
      </c>
    </row>
    <row r="188" spans="1:220">
      <c r="A188" s="150" t="s">
        <v>411</v>
      </c>
      <c r="B188" s="44">
        <v>3569</v>
      </c>
      <c r="C188" s="44" t="s">
        <v>205</v>
      </c>
      <c r="D188" s="44" t="s">
        <v>37</v>
      </c>
      <c r="F188" s="44" t="s">
        <v>37</v>
      </c>
      <c r="H188" s="44" t="s">
        <v>37</v>
      </c>
      <c r="J188" s="44" t="s">
        <v>37</v>
      </c>
      <c r="L188" s="48" t="s">
        <v>37</v>
      </c>
      <c r="M188" s="50"/>
      <c r="N188" s="48" t="s">
        <v>37</v>
      </c>
      <c r="O188" s="50"/>
      <c r="P188" s="48" t="s">
        <v>37</v>
      </c>
      <c r="Q188" s="50"/>
      <c r="R188" s="48" t="s">
        <v>37</v>
      </c>
      <c r="S188" s="50"/>
      <c r="T188" s="48" t="s">
        <v>37</v>
      </c>
      <c r="V188" s="44" t="s">
        <v>37</v>
      </c>
      <c r="X188" s="44" t="s">
        <v>37</v>
      </c>
      <c r="Z188" s="44" t="s">
        <v>37</v>
      </c>
      <c r="AB188" s="44" t="s">
        <v>37</v>
      </c>
      <c r="AD188" s="44" t="s">
        <v>37</v>
      </c>
      <c r="AF188" s="44" t="s">
        <v>37</v>
      </c>
      <c r="AH188" s="44" t="s">
        <v>37</v>
      </c>
      <c r="AJ188" s="44" t="s">
        <v>37</v>
      </c>
      <c r="AL188" s="44" t="s">
        <v>37</v>
      </c>
      <c r="AN188" s="44" t="s">
        <v>37</v>
      </c>
      <c r="AP188" s="44" t="s">
        <v>37</v>
      </c>
      <c r="AR188" s="44" t="s">
        <v>37</v>
      </c>
      <c r="AT188" s="44" t="s">
        <v>37</v>
      </c>
      <c r="AV188" s="44" t="s">
        <v>37</v>
      </c>
      <c r="AX188" s="44" t="s">
        <v>37</v>
      </c>
      <c r="AZ188" s="44" t="s">
        <v>37</v>
      </c>
      <c r="BB188" s="44" t="s">
        <v>37</v>
      </c>
      <c r="BD188" s="44" t="s">
        <v>37</v>
      </c>
      <c r="BF188" s="44" t="s">
        <v>37</v>
      </c>
      <c r="BH188" s="44" t="s">
        <v>37</v>
      </c>
      <c r="BJ188" s="44" t="s">
        <v>37</v>
      </c>
      <c r="BL188" s="44" t="s">
        <v>37</v>
      </c>
      <c r="BN188" s="44" t="s">
        <v>37</v>
      </c>
      <c r="BP188" s="44" t="s">
        <v>37</v>
      </c>
      <c r="BR188" s="44" t="s">
        <v>37</v>
      </c>
      <c r="BT188" s="44" t="s">
        <v>37</v>
      </c>
      <c r="BV188" s="44" t="s">
        <v>37</v>
      </c>
      <c r="BX188" s="44" t="s">
        <v>37</v>
      </c>
      <c r="BZ188" s="44" t="s">
        <v>37</v>
      </c>
      <c r="CB188" s="44" t="s">
        <v>37</v>
      </c>
      <c r="CD188" s="44" t="s">
        <v>37</v>
      </c>
      <c r="CF188" s="44" t="s">
        <v>37</v>
      </c>
      <c r="CH188" s="44" t="s">
        <v>37</v>
      </c>
      <c r="CJ188" s="44" t="s">
        <v>37</v>
      </c>
      <c r="CL188" s="44" t="s">
        <v>37</v>
      </c>
      <c r="CN188" s="44" t="s">
        <v>37</v>
      </c>
      <c r="CP188" s="44" t="s">
        <v>37</v>
      </c>
      <c r="CR188" s="44" t="s">
        <v>37</v>
      </c>
      <c r="CT188" s="44" t="s">
        <v>37</v>
      </c>
      <c r="CV188" s="44" t="s">
        <v>37</v>
      </c>
      <c r="CX188" s="44" t="s">
        <v>37</v>
      </c>
      <c r="CZ188" s="44" t="s">
        <v>37</v>
      </c>
      <c r="DB188" s="44" t="s">
        <v>37</v>
      </c>
      <c r="DD188" s="44" t="s">
        <v>37</v>
      </c>
      <c r="DF188" s="44" t="s">
        <v>37</v>
      </c>
      <c r="DH188" s="44" t="s">
        <v>37</v>
      </c>
      <c r="DJ188" s="44" t="s">
        <v>37</v>
      </c>
      <c r="DL188" s="44" t="s">
        <v>37</v>
      </c>
      <c r="DN188" s="44" t="s">
        <v>37</v>
      </c>
      <c r="DP188" s="44" t="s">
        <v>37</v>
      </c>
      <c r="DR188" s="44" t="s">
        <v>37</v>
      </c>
      <c r="DS188" s="44">
        <v>68710</v>
      </c>
      <c r="DT188" s="44" t="s">
        <v>37</v>
      </c>
      <c r="DV188" s="44" t="s">
        <v>37</v>
      </c>
      <c r="DX188" s="44" t="s">
        <v>37</v>
      </c>
      <c r="DZ188" s="44" t="s">
        <v>37</v>
      </c>
      <c r="EB188" s="44" t="s">
        <v>37</v>
      </c>
      <c r="ED188" s="44" t="s">
        <v>37</v>
      </c>
      <c r="EF188" s="44" t="s">
        <v>37</v>
      </c>
      <c r="EH188" s="44" t="s">
        <v>37</v>
      </c>
      <c r="EJ188" s="44" t="s">
        <v>37</v>
      </c>
      <c r="EL188" s="44" t="s">
        <v>37</v>
      </c>
      <c r="EN188" s="44" t="s">
        <v>37</v>
      </c>
      <c r="EP188" s="44" t="s">
        <v>37</v>
      </c>
      <c r="ER188" s="44" t="s">
        <v>37</v>
      </c>
      <c r="ET188" s="44" t="s">
        <v>37</v>
      </c>
      <c r="EV188" s="44" t="s">
        <v>37</v>
      </c>
      <c r="EX188" s="44" t="s">
        <v>37</v>
      </c>
      <c r="EZ188" s="44" t="s">
        <v>37</v>
      </c>
      <c r="FA188" s="44">
        <v>352118</v>
      </c>
      <c r="FB188" s="44" t="s">
        <v>37</v>
      </c>
      <c r="FD188" s="44" t="s">
        <v>37</v>
      </c>
      <c r="FF188" s="44" t="s">
        <v>37</v>
      </c>
      <c r="FH188" s="44" t="s">
        <v>37</v>
      </c>
      <c r="FJ188" s="44" t="s">
        <v>37</v>
      </c>
      <c r="FL188" s="44" t="s">
        <v>37</v>
      </c>
      <c r="FN188" s="44" t="s">
        <v>37</v>
      </c>
      <c r="FP188" s="44" t="s">
        <v>37</v>
      </c>
      <c r="FR188" s="44" t="s">
        <v>37</v>
      </c>
      <c r="FT188" s="44" t="s">
        <v>37</v>
      </c>
      <c r="FV188" s="44" t="s">
        <v>37</v>
      </c>
      <c r="FX188" s="44" t="s">
        <v>37</v>
      </c>
      <c r="FZ188" s="44" t="s">
        <v>37</v>
      </c>
      <c r="GB188" s="44" t="s">
        <v>37</v>
      </c>
      <c r="GD188" s="44" t="s">
        <v>37</v>
      </c>
      <c r="GF188" s="44" t="s">
        <v>37</v>
      </c>
      <c r="GH188" s="44" t="s">
        <v>37</v>
      </c>
      <c r="GJ188" s="44" t="s">
        <v>37</v>
      </c>
      <c r="GL188" s="44" t="s">
        <v>37</v>
      </c>
      <c r="GN188" s="44" t="s">
        <v>37</v>
      </c>
      <c r="GP188" s="44" t="s">
        <v>37</v>
      </c>
      <c r="GR188" s="44" t="s">
        <v>37</v>
      </c>
      <c r="GT188" s="44" t="s">
        <v>37</v>
      </c>
      <c r="GV188" s="44" t="s">
        <v>37</v>
      </c>
      <c r="GX188" s="44" t="s">
        <v>37</v>
      </c>
      <c r="GZ188" s="44" t="s">
        <v>37</v>
      </c>
      <c r="HB188" s="44" t="s">
        <v>37</v>
      </c>
      <c r="HD188" s="44" t="s">
        <v>37</v>
      </c>
      <c r="HF188" s="44" t="s">
        <v>37</v>
      </c>
      <c r="HG188" s="44">
        <v>420828</v>
      </c>
      <c r="HH188" s="44" t="s">
        <v>37</v>
      </c>
      <c r="HJ188" s="44" t="s">
        <v>37</v>
      </c>
      <c r="HK188" s="44">
        <v>420828</v>
      </c>
      <c r="HL188" s="44" t="s">
        <v>37</v>
      </c>
    </row>
    <row r="189" spans="1:220">
      <c r="A189" s="150" t="s">
        <v>411</v>
      </c>
      <c r="B189" s="44">
        <v>3570</v>
      </c>
      <c r="C189" s="44" t="s">
        <v>206</v>
      </c>
      <c r="D189" s="44" t="s">
        <v>37</v>
      </c>
      <c r="E189" s="44">
        <v>24794</v>
      </c>
      <c r="F189" s="44" t="s">
        <v>37</v>
      </c>
      <c r="G189" s="44">
        <v>69215</v>
      </c>
      <c r="H189" s="44" t="s">
        <v>37</v>
      </c>
      <c r="I189" s="44">
        <v>76363</v>
      </c>
      <c r="J189" s="44" t="s">
        <v>37</v>
      </c>
      <c r="L189" s="48" t="s">
        <v>37</v>
      </c>
      <c r="M189" s="50"/>
      <c r="N189" s="48" t="s">
        <v>37</v>
      </c>
      <c r="O189" s="50"/>
      <c r="P189" s="48" t="s">
        <v>37</v>
      </c>
      <c r="Q189" s="51">
        <v>24794</v>
      </c>
      <c r="R189" s="48" t="s">
        <v>37</v>
      </c>
      <c r="S189" s="50"/>
      <c r="T189" s="48" t="s">
        <v>37</v>
      </c>
      <c r="V189" s="44" t="s">
        <v>37</v>
      </c>
      <c r="X189" s="44" t="s">
        <v>37</v>
      </c>
      <c r="Z189" s="44" t="s">
        <v>37</v>
      </c>
      <c r="AA189" s="44">
        <v>9586</v>
      </c>
      <c r="AB189" s="44" t="s">
        <v>37</v>
      </c>
      <c r="AC189" s="44">
        <v>65407</v>
      </c>
      <c r="AD189" s="44" t="s">
        <v>37</v>
      </c>
      <c r="AE189" s="44">
        <v>42246</v>
      </c>
      <c r="AF189" s="44" t="s">
        <v>37</v>
      </c>
      <c r="AG189" s="44">
        <v>529</v>
      </c>
      <c r="AH189" s="44" t="s">
        <v>37</v>
      </c>
      <c r="AI189" s="44">
        <v>40175</v>
      </c>
      <c r="AJ189" s="44" t="s">
        <v>37</v>
      </c>
      <c r="AL189" s="44" t="s">
        <v>37</v>
      </c>
      <c r="AM189" s="44">
        <v>125558</v>
      </c>
      <c r="AN189" s="44" t="s">
        <v>37</v>
      </c>
      <c r="AP189" s="44" t="s">
        <v>37</v>
      </c>
      <c r="AQ189" s="44">
        <v>115129</v>
      </c>
      <c r="AR189" s="44" t="s">
        <v>37</v>
      </c>
      <c r="AS189" s="44">
        <v>54559</v>
      </c>
      <c r="AT189" s="44" t="s">
        <v>37</v>
      </c>
      <c r="AU189" s="44">
        <v>694117</v>
      </c>
      <c r="AV189" s="44" t="s">
        <v>37</v>
      </c>
      <c r="AW189" s="44">
        <v>181006</v>
      </c>
      <c r="AX189" s="44" t="s">
        <v>37</v>
      </c>
      <c r="AY189" s="44">
        <v>102643</v>
      </c>
      <c r="AZ189" s="44" t="s">
        <v>37</v>
      </c>
      <c r="BA189" s="44">
        <v>13481</v>
      </c>
      <c r="BB189" s="44" t="s">
        <v>37</v>
      </c>
      <c r="BC189" s="44">
        <v>52579</v>
      </c>
      <c r="BD189" s="44" t="s">
        <v>37</v>
      </c>
      <c r="BE189" s="44">
        <v>20821</v>
      </c>
      <c r="BF189" s="44" t="s">
        <v>37</v>
      </c>
      <c r="BG189" s="44">
        <v>11413</v>
      </c>
      <c r="BH189" s="44" t="s">
        <v>37</v>
      </c>
      <c r="BJ189" s="44" t="s">
        <v>37</v>
      </c>
      <c r="BK189" s="44">
        <v>95605</v>
      </c>
      <c r="BL189" s="44" t="s">
        <v>37</v>
      </c>
      <c r="BM189" s="44">
        <v>167129</v>
      </c>
      <c r="BN189" s="44" t="s">
        <v>37</v>
      </c>
      <c r="BP189" s="44" t="s">
        <v>37</v>
      </c>
      <c r="BQ189" s="44">
        <v>52061</v>
      </c>
      <c r="BR189" s="44" t="s">
        <v>37</v>
      </c>
      <c r="BS189" s="44">
        <v>14508</v>
      </c>
      <c r="BT189" s="44" t="s">
        <v>37</v>
      </c>
      <c r="BV189" s="44" t="s">
        <v>37</v>
      </c>
      <c r="BX189" s="44" t="s">
        <v>37</v>
      </c>
      <c r="BZ189" s="44" t="s">
        <v>37</v>
      </c>
      <c r="CA189" s="44">
        <v>54547</v>
      </c>
      <c r="CB189" s="44" t="s">
        <v>37</v>
      </c>
      <c r="CD189" s="44" t="s">
        <v>37</v>
      </c>
      <c r="CE189" s="44">
        <v>24794</v>
      </c>
      <c r="CF189" s="44" t="s">
        <v>37</v>
      </c>
      <c r="CG189" s="44">
        <v>114508</v>
      </c>
      <c r="CH189" s="44" t="s">
        <v>37</v>
      </c>
      <c r="CI189" s="44">
        <v>78361</v>
      </c>
      <c r="CJ189" s="44" t="s">
        <v>37</v>
      </c>
      <c r="CL189" s="44" t="s">
        <v>37</v>
      </c>
      <c r="CM189" s="44">
        <v>69709</v>
      </c>
      <c r="CN189" s="44" t="s">
        <v>37</v>
      </c>
      <c r="CO189" s="44">
        <v>89259</v>
      </c>
      <c r="CP189" s="44" t="s">
        <v>37</v>
      </c>
      <c r="CR189" s="44" t="s">
        <v>37</v>
      </c>
      <c r="CS189" s="44">
        <v>56151</v>
      </c>
      <c r="CT189" s="44" t="s">
        <v>37</v>
      </c>
      <c r="CU189" s="44">
        <v>335980</v>
      </c>
      <c r="CV189" s="44" t="s">
        <v>37</v>
      </c>
      <c r="CW189" s="44">
        <v>28011</v>
      </c>
      <c r="CX189" s="44" t="s">
        <v>37</v>
      </c>
      <c r="CZ189" s="44" t="s">
        <v>37</v>
      </c>
      <c r="DB189" s="44" t="s">
        <v>37</v>
      </c>
      <c r="DD189" s="44" t="s">
        <v>37</v>
      </c>
      <c r="DE189" s="44">
        <v>36930</v>
      </c>
      <c r="DF189" s="44" t="s">
        <v>37</v>
      </c>
      <c r="DH189" s="44" t="s">
        <v>37</v>
      </c>
      <c r="DI189" s="44">
        <v>8133</v>
      </c>
      <c r="DJ189" s="44" t="s">
        <v>37</v>
      </c>
      <c r="DL189" s="44" t="s">
        <v>37</v>
      </c>
      <c r="DM189" s="44">
        <v>27431</v>
      </c>
      <c r="DN189" s="44" t="s">
        <v>37</v>
      </c>
      <c r="DO189" s="44">
        <v>85522</v>
      </c>
      <c r="DP189" s="44" t="s">
        <v>37</v>
      </c>
      <c r="DQ189" s="44">
        <v>13890</v>
      </c>
      <c r="DR189" s="44" t="s">
        <v>37</v>
      </c>
      <c r="DS189" s="44">
        <v>23351</v>
      </c>
      <c r="DT189" s="44" t="s">
        <v>37</v>
      </c>
      <c r="DU189" s="44">
        <v>165569</v>
      </c>
      <c r="DV189" s="44" t="s">
        <v>37</v>
      </c>
      <c r="DX189" s="44" t="s">
        <v>37</v>
      </c>
      <c r="DY189" s="44">
        <v>16393</v>
      </c>
      <c r="DZ189" s="44" t="s">
        <v>37</v>
      </c>
      <c r="EA189" s="44">
        <v>21762</v>
      </c>
      <c r="EB189" s="44" t="s">
        <v>37</v>
      </c>
      <c r="ED189" s="44" t="s">
        <v>37</v>
      </c>
      <c r="EF189" s="44" t="s">
        <v>37</v>
      </c>
      <c r="EG189" s="44">
        <v>49553</v>
      </c>
      <c r="EH189" s="44" t="s">
        <v>37</v>
      </c>
      <c r="EJ189" s="44" t="s">
        <v>37</v>
      </c>
      <c r="EL189" s="44" t="s">
        <v>37</v>
      </c>
      <c r="EM189" s="44">
        <v>27729</v>
      </c>
      <c r="EN189" s="44" t="s">
        <v>37</v>
      </c>
      <c r="EP189" s="44" t="s">
        <v>37</v>
      </c>
      <c r="ER189" s="44" t="s">
        <v>37</v>
      </c>
      <c r="ES189" s="44">
        <v>177111</v>
      </c>
      <c r="ET189" s="44" t="s">
        <v>37</v>
      </c>
      <c r="EU189" s="44">
        <v>119568</v>
      </c>
      <c r="EV189" s="44" t="s">
        <v>37</v>
      </c>
      <c r="EX189" s="44" t="s">
        <v>37</v>
      </c>
      <c r="EZ189" s="44" t="s">
        <v>37</v>
      </c>
      <c r="FA189" s="44">
        <v>7845</v>
      </c>
      <c r="FB189" s="44" t="s">
        <v>37</v>
      </c>
      <c r="FD189" s="44" t="s">
        <v>37</v>
      </c>
      <c r="FF189" s="44" t="s">
        <v>37</v>
      </c>
      <c r="FH189" s="44" t="s">
        <v>37</v>
      </c>
      <c r="FJ189" s="44" t="s">
        <v>37</v>
      </c>
      <c r="FL189" s="44" t="s">
        <v>37</v>
      </c>
      <c r="FN189" s="44" t="s">
        <v>37</v>
      </c>
      <c r="FP189" s="44" t="s">
        <v>37</v>
      </c>
      <c r="FR189" s="44" t="s">
        <v>37</v>
      </c>
      <c r="FT189" s="44" t="s">
        <v>37</v>
      </c>
      <c r="FV189" s="44" t="s">
        <v>37</v>
      </c>
      <c r="FX189" s="44" t="s">
        <v>37</v>
      </c>
      <c r="FZ189" s="44" t="s">
        <v>37</v>
      </c>
      <c r="GB189" s="44" t="s">
        <v>37</v>
      </c>
      <c r="GD189" s="44" t="s">
        <v>37</v>
      </c>
      <c r="GF189" s="44" t="s">
        <v>37</v>
      </c>
      <c r="GH189" s="44" t="s">
        <v>37</v>
      </c>
      <c r="GJ189" s="44" t="s">
        <v>37</v>
      </c>
      <c r="GL189" s="44" t="s">
        <v>37</v>
      </c>
      <c r="GN189" s="44" t="s">
        <v>37</v>
      </c>
      <c r="GP189" s="44" t="s">
        <v>37</v>
      </c>
      <c r="GR189" s="44" t="s">
        <v>37</v>
      </c>
      <c r="GT189" s="44" t="s">
        <v>37</v>
      </c>
      <c r="GV189" s="44" t="s">
        <v>37</v>
      </c>
      <c r="GX189" s="44" t="s">
        <v>37</v>
      </c>
      <c r="GZ189" s="44" t="s">
        <v>37</v>
      </c>
      <c r="HB189" s="44" t="s">
        <v>37</v>
      </c>
      <c r="HD189" s="44" t="s">
        <v>37</v>
      </c>
      <c r="HF189" s="44" t="s">
        <v>37</v>
      </c>
      <c r="HG189" s="44">
        <v>3685825</v>
      </c>
      <c r="HH189" s="44" t="s">
        <v>37</v>
      </c>
      <c r="HJ189" s="44" t="s">
        <v>37</v>
      </c>
      <c r="HK189" s="44">
        <v>3685825</v>
      </c>
      <c r="HL189" s="44" t="s">
        <v>37</v>
      </c>
    </row>
    <row r="190" spans="1:220">
      <c r="A190" s="150" t="s">
        <v>411</v>
      </c>
      <c r="B190" s="44">
        <v>3575</v>
      </c>
      <c r="C190" s="44" t="s">
        <v>207</v>
      </c>
      <c r="D190" s="44" t="s">
        <v>37</v>
      </c>
      <c r="E190" s="44">
        <v>51529</v>
      </c>
      <c r="F190" s="44" t="s">
        <v>37</v>
      </c>
      <c r="G190" s="44">
        <v>85719</v>
      </c>
      <c r="H190" s="44" t="s">
        <v>37</v>
      </c>
      <c r="I190" s="44">
        <v>769</v>
      </c>
      <c r="J190" s="44" t="s">
        <v>37</v>
      </c>
      <c r="L190" s="48" t="s">
        <v>37</v>
      </c>
      <c r="M190" s="51">
        <v>89135</v>
      </c>
      <c r="N190" s="48" t="s">
        <v>37</v>
      </c>
      <c r="O190" s="51">
        <v>19783</v>
      </c>
      <c r="P190" s="48" t="s">
        <v>37</v>
      </c>
      <c r="Q190" s="51">
        <v>9241</v>
      </c>
      <c r="R190" s="48" t="s">
        <v>37</v>
      </c>
      <c r="S190" s="50"/>
      <c r="T190" s="48" t="s">
        <v>37</v>
      </c>
      <c r="U190" s="44">
        <v>83977</v>
      </c>
      <c r="V190" s="44" t="s">
        <v>37</v>
      </c>
      <c r="X190" s="44" t="s">
        <v>37</v>
      </c>
      <c r="Z190" s="44" t="s">
        <v>37</v>
      </c>
      <c r="AA190" s="44">
        <v>6000</v>
      </c>
      <c r="AB190" s="44" t="s">
        <v>37</v>
      </c>
      <c r="AC190" s="44">
        <v>1671</v>
      </c>
      <c r="AD190" s="44" t="s">
        <v>37</v>
      </c>
      <c r="AF190" s="44" t="s">
        <v>37</v>
      </c>
      <c r="AH190" s="44" t="s">
        <v>37</v>
      </c>
      <c r="AJ190" s="44" t="s">
        <v>37</v>
      </c>
      <c r="AL190" s="44" t="s">
        <v>37</v>
      </c>
      <c r="AM190" s="44">
        <v>7453</v>
      </c>
      <c r="AN190" s="44" t="s">
        <v>37</v>
      </c>
      <c r="AP190" s="44" t="s">
        <v>37</v>
      </c>
      <c r="AQ190" s="44">
        <v>39898</v>
      </c>
      <c r="AR190" s="44" t="s">
        <v>37</v>
      </c>
      <c r="AT190" s="44" t="s">
        <v>37</v>
      </c>
      <c r="AU190" s="44">
        <v>35898</v>
      </c>
      <c r="AV190" s="44" t="s">
        <v>37</v>
      </c>
      <c r="AW190" s="44">
        <v>3781</v>
      </c>
      <c r="AX190" s="44" t="s">
        <v>37</v>
      </c>
      <c r="AY190" s="44">
        <v>13998</v>
      </c>
      <c r="AZ190" s="44" t="s">
        <v>37</v>
      </c>
      <c r="BB190" s="44" t="s">
        <v>37</v>
      </c>
      <c r="BC190" s="44">
        <v>778</v>
      </c>
      <c r="BD190" s="44" t="s">
        <v>37</v>
      </c>
      <c r="BE190" s="44">
        <v>4000</v>
      </c>
      <c r="BF190" s="44" t="s">
        <v>37</v>
      </c>
      <c r="BH190" s="44" t="s">
        <v>37</v>
      </c>
      <c r="BJ190" s="44" t="s">
        <v>37</v>
      </c>
      <c r="BL190" s="44" t="s">
        <v>37</v>
      </c>
      <c r="BM190" s="44">
        <v>8153</v>
      </c>
      <c r="BN190" s="44" t="s">
        <v>37</v>
      </c>
      <c r="BP190" s="44" t="s">
        <v>37</v>
      </c>
      <c r="BR190" s="44" t="s">
        <v>37</v>
      </c>
      <c r="BS190" s="44">
        <v>8289</v>
      </c>
      <c r="BT190" s="44" t="s">
        <v>37</v>
      </c>
      <c r="BV190" s="44" t="s">
        <v>37</v>
      </c>
      <c r="BX190" s="44" t="s">
        <v>37</v>
      </c>
      <c r="BY190" s="44">
        <v>53500</v>
      </c>
      <c r="BZ190" s="44" t="s">
        <v>37</v>
      </c>
      <c r="CB190" s="44" t="s">
        <v>37</v>
      </c>
      <c r="CD190" s="44" t="s">
        <v>37</v>
      </c>
      <c r="CE190" s="44">
        <v>7754</v>
      </c>
      <c r="CF190" s="44" t="s">
        <v>37</v>
      </c>
      <c r="CH190" s="44" t="s">
        <v>37</v>
      </c>
      <c r="CI190" s="44">
        <v>4266</v>
      </c>
      <c r="CJ190" s="44" t="s">
        <v>37</v>
      </c>
      <c r="CL190" s="44" t="s">
        <v>37</v>
      </c>
      <c r="CM190" s="44">
        <v>6917</v>
      </c>
      <c r="CN190" s="44" t="s">
        <v>37</v>
      </c>
      <c r="CP190" s="44" t="s">
        <v>37</v>
      </c>
      <c r="CQ190" s="44">
        <v>8000</v>
      </c>
      <c r="CR190" s="44" t="s">
        <v>37</v>
      </c>
      <c r="CS190" s="44">
        <v>21978</v>
      </c>
      <c r="CT190" s="44" t="s">
        <v>37</v>
      </c>
      <c r="CU190" s="44">
        <v>26485</v>
      </c>
      <c r="CV190" s="44" t="s">
        <v>37</v>
      </c>
      <c r="CW190" s="44">
        <v>5938</v>
      </c>
      <c r="CX190" s="44" t="s">
        <v>37</v>
      </c>
      <c r="CZ190" s="44" t="s">
        <v>37</v>
      </c>
      <c r="DB190" s="44" t="s">
        <v>37</v>
      </c>
      <c r="DD190" s="44" t="s">
        <v>37</v>
      </c>
      <c r="DE190" s="44">
        <v>6000</v>
      </c>
      <c r="DF190" s="44" t="s">
        <v>37</v>
      </c>
      <c r="DH190" s="44" t="s">
        <v>37</v>
      </c>
      <c r="DI190" s="44">
        <v>19495</v>
      </c>
      <c r="DJ190" s="44" t="s">
        <v>37</v>
      </c>
      <c r="DL190" s="44" t="s">
        <v>37</v>
      </c>
      <c r="DM190" s="44">
        <v>25382</v>
      </c>
      <c r="DN190" s="44" t="s">
        <v>37</v>
      </c>
      <c r="DO190" s="44">
        <v>14007</v>
      </c>
      <c r="DP190" s="44" t="s">
        <v>37</v>
      </c>
      <c r="DQ190" s="44">
        <v>7211</v>
      </c>
      <c r="DR190" s="44" t="s">
        <v>37</v>
      </c>
      <c r="DT190" s="44" t="s">
        <v>37</v>
      </c>
      <c r="DU190" s="44">
        <v>2000</v>
      </c>
      <c r="DV190" s="44" t="s">
        <v>37</v>
      </c>
      <c r="DW190" s="44">
        <v>30139</v>
      </c>
      <c r="DX190" s="44" t="s">
        <v>37</v>
      </c>
      <c r="DY190" s="44">
        <v>4703</v>
      </c>
      <c r="DZ190" s="44" t="s">
        <v>37</v>
      </c>
      <c r="EB190" s="44" t="s">
        <v>37</v>
      </c>
      <c r="EC190" s="44">
        <v>6883</v>
      </c>
      <c r="ED190" s="44" t="s">
        <v>37</v>
      </c>
      <c r="EE190" s="44">
        <v>46871</v>
      </c>
      <c r="EF190" s="44" t="s">
        <v>37</v>
      </c>
      <c r="EG190" s="44">
        <v>10000</v>
      </c>
      <c r="EH190" s="44" t="s">
        <v>37</v>
      </c>
      <c r="EJ190" s="44" t="s">
        <v>37</v>
      </c>
      <c r="EL190" s="44" t="s">
        <v>37</v>
      </c>
      <c r="EM190" s="44">
        <v>2000</v>
      </c>
      <c r="EN190" s="44" t="s">
        <v>37</v>
      </c>
      <c r="EO190" s="44">
        <v>6000</v>
      </c>
      <c r="EP190" s="44" t="s">
        <v>37</v>
      </c>
      <c r="ER190" s="44" t="s">
        <v>37</v>
      </c>
      <c r="ET190" s="44" t="s">
        <v>37</v>
      </c>
      <c r="EU190" s="44">
        <v>28528</v>
      </c>
      <c r="EV190" s="44" t="s">
        <v>37</v>
      </c>
      <c r="EW190" s="44">
        <v>41229</v>
      </c>
      <c r="EX190" s="44" t="s">
        <v>37</v>
      </c>
      <c r="EZ190" s="44" t="s">
        <v>37</v>
      </c>
      <c r="FA190" s="44">
        <v>9082</v>
      </c>
      <c r="FB190" s="44" t="s">
        <v>37</v>
      </c>
      <c r="FC190" s="44">
        <v>928</v>
      </c>
      <c r="FD190" s="44" t="s">
        <v>37</v>
      </c>
      <c r="FE190" s="44">
        <v>71393</v>
      </c>
      <c r="FF190" s="44" t="s">
        <v>37</v>
      </c>
      <c r="FH190" s="44" t="s">
        <v>37</v>
      </c>
      <c r="FI190" s="44">
        <v>71768</v>
      </c>
      <c r="FJ190" s="44" t="s">
        <v>37</v>
      </c>
      <c r="FK190" s="44">
        <v>17594</v>
      </c>
      <c r="FL190" s="44" t="s">
        <v>37</v>
      </c>
      <c r="FM190" s="44">
        <v>55124</v>
      </c>
      <c r="FN190" s="44" t="s">
        <v>37</v>
      </c>
      <c r="FO190" s="44">
        <v>8000</v>
      </c>
      <c r="FP190" s="44" t="s">
        <v>37</v>
      </c>
      <c r="FQ190" s="44">
        <v>12000</v>
      </c>
      <c r="FR190" s="44" t="s">
        <v>37</v>
      </c>
      <c r="FS190" s="44">
        <v>8000</v>
      </c>
      <c r="FT190" s="44" t="s">
        <v>37</v>
      </c>
      <c r="FV190" s="44" t="s">
        <v>37</v>
      </c>
      <c r="FW190" s="44">
        <v>6354</v>
      </c>
      <c r="FX190" s="44" t="s">
        <v>37</v>
      </c>
      <c r="FY190" s="44">
        <v>1672</v>
      </c>
      <c r="FZ190" s="44" t="s">
        <v>37</v>
      </c>
      <c r="GA190" s="44">
        <v>53711</v>
      </c>
      <c r="GB190" s="44" t="s">
        <v>37</v>
      </c>
      <c r="GC190" s="44">
        <v>1980</v>
      </c>
      <c r="GD190" s="44" t="s">
        <v>37</v>
      </c>
      <c r="GF190" s="44" t="s">
        <v>37</v>
      </c>
      <c r="GH190" s="44" t="s">
        <v>37</v>
      </c>
      <c r="GJ190" s="44" t="s">
        <v>37</v>
      </c>
      <c r="GK190" s="44">
        <v>31274</v>
      </c>
      <c r="GL190" s="44" t="s">
        <v>37</v>
      </c>
      <c r="GM190" s="44">
        <v>870</v>
      </c>
      <c r="GN190" s="44" t="s">
        <v>37</v>
      </c>
      <c r="GP190" s="44" t="s">
        <v>37</v>
      </c>
      <c r="GQ190" s="44">
        <v>6000</v>
      </c>
      <c r="GR190" s="44" t="s">
        <v>37</v>
      </c>
      <c r="GT190" s="44" t="s">
        <v>37</v>
      </c>
      <c r="GU190" s="44">
        <v>11963</v>
      </c>
      <c r="GV190" s="44" t="s">
        <v>37</v>
      </c>
      <c r="GX190" s="44" t="s">
        <v>37</v>
      </c>
      <c r="GY190" s="44">
        <v>20000</v>
      </c>
      <c r="GZ190" s="44" t="s">
        <v>37</v>
      </c>
      <c r="HA190" s="44">
        <v>16500</v>
      </c>
      <c r="HB190" s="44" t="s">
        <v>37</v>
      </c>
      <c r="HC190" s="44">
        <v>13914</v>
      </c>
      <c r="HD190" s="44" t="s">
        <v>37</v>
      </c>
      <c r="HF190" s="44" t="s">
        <v>37</v>
      </c>
      <c r="HG190" s="44">
        <v>1259571</v>
      </c>
      <c r="HH190" s="44" t="s">
        <v>37</v>
      </c>
      <c r="HI190" s="44">
        <v>13914</v>
      </c>
      <c r="HJ190" s="44" t="s">
        <v>37</v>
      </c>
      <c r="HK190" s="44">
        <v>1273485</v>
      </c>
      <c r="HL190" s="44" t="s">
        <v>37</v>
      </c>
    </row>
    <row r="191" spans="1:220">
      <c r="A191" s="150" t="s">
        <v>411</v>
      </c>
      <c r="B191" s="44">
        <v>3577</v>
      </c>
      <c r="C191" s="44" t="s">
        <v>208</v>
      </c>
      <c r="D191" s="44" t="s">
        <v>37</v>
      </c>
      <c r="E191" s="44">
        <v>71500</v>
      </c>
      <c r="F191" s="44" t="s">
        <v>37</v>
      </c>
      <c r="G191" s="44">
        <v>427500</v>
      </c>
      <c r="H191" s="44" t="s">
        <v>37</v>
      </c>
      <c r="I191" s="44">
        <v>33250</v>
      </c>
      <c r="J191" s="44" t="s">
        <v>37</v>
      </c>
      <c r="K191" s="44">
        <v>4250</v>
      </c>
      <c r="L191" s="48" t="s">
        <v>37</v>
      </c>
      <c r="M191" s="51">
        <v>138250</v>
      </c>
      <c r="N191" s="48" t="s">
        <v>37</v>
      </c>
      <c r="O191" s="51">
        <v>60000</v>
      </c>
      <c r="P191" s="48" t="s">
        <v>37</v>
      </c>
      <c r="Q191" s="51">
        <v>47250</v>
      </c>
      <c r="R191" s="48" t="s">
        <v>37</v>
      </c>
      <c r="S191" s="51">
        <v>53500</v>
      </c>
      <c r="T191" s="48" t="s">
        <v>37</v>
      </c>
      <c r="U191" s="44">
        <v>235500</v>
      </c>
      <c r="V191" s="44" t="s">
        <v>37</v>
      </c>
      <c r="W191" s="44">
        <v>3000</v>
      </c>
      <c r="X191" s="44" t="s">
        <v>37</v>
      </c>
      <c r="Y191" s="44">
        <v>6500</v>
      </c>
      <c r="Z191" s="44" t="s">
        <v>37</v>
      </c>
      <c r="AA191" s="44">
        <v>31250</v>
      </c>
      <c r="AB191" s="44" t="s">
        <v>37</v>
      </c>
      <c r="AC191" s="44">
        <v>18250</v>
      </c>
      <c r="AD191" s="44" t="s">
        <v>37</v>
      </c>
      <c r="AE191" s="44">
        <v>15250</v>
      </c>
      <c r="AF191" s="44" t="s">
        <v>37</v>
      </c>
      <c r="AG191" s="44">
        <v>18750</v>
      </c>
      <c r="AH191" s="44" t="s">
        <v>37</v>
      </c>
      <c r="AI191" s="44">
        <v>47000</v>
      </c>
      <c r="AJ191" s="44" t="s">
        <v>37</v>
      </c>
      <c r="AK191" s="44">
        <v>3500</v>
      </c>
      <c r="AL191" s="44" t="s">
        <v>37</v>
      </c>
      <c r="AM191" s="44">
        <v>370750</v>
      </c>
      <c r="AN191" s="44" t="s">
        <v>37</v>
      </c>
      <c r="AO191" s="44">
        <v>8250</v>
      </c>
      <c r="AP191" s="44" t="s">
        <v>37</v>
      </c>
      <c r="AQ191" s="44">
        <v>463000</v>
      </c>
      <c r="AR191" s="44" t="s">
        <v>37</v>
      </c>
      <c r="AS191" s="44">
        <v>35500</v>
      </c>
      <c r="AT191" s="44" t="s">
        <v>37</v>
      </c>
      <c r="AU191" s="44">
        <v>853250</v>
      </c>
      <c r="AV191" s="44" t="s">
        <v>37</v>
      </c>
      <c r="AW191" s="44">
        <v>174500</v>
      </c>
      <c r="AX191" s="44" t="s">
        <v>37</v>
      </c>
      <c r="AY191" s="44">
        <v>114500</v>
      </c>
      <c r="AZ191" s="44" t="s">
        <v>37</v>
      </c>
      <c r="BA191" s="44">
        <v>139500</v>
      </c>
      <c r="BB191" s="44" t="s">
        <v>37</v>
      </c>
      <c r="BC191" s="44">
        <v>18750</v>
      </c>
      <c r="BD191" s="44" t="s">
        <v>37</v>
      </c>
      <c r="BE191" s="44">
        <v>53000</v>
      </c>
      <c r="BF191" s="44" t="s">
        <v>37</v>
      </c>
      <c r="BG191" s="44">
        <v>20500</v>
      </c>
      <c r="BH191" s="44" t="s">
        <v>37</v>
      </c>
      <c r="BI191" s="44">
        <v>2750</v>
      </c>
      <c r="BJ191" s="44" t="s">
        <v>37</v>
      </c>
      <c r="BK191" s="44">
        <v>110250</v>
      </c>
      <c r="BL191" s="44" t="s">
        <v>37</v>
      </c>
      <c r="BM191" s="44">
        <v>211750</v>
      </c>
      <c r="BN191" s="44" t="s">
        <v>37</v>
      </c>
      <c r="BP191" s="44" t="s">
        <v>37</v>
      </c>
      <c r="BQ191" s="44">
        <v>15500</v>
      </c>
      <c r="BR191" s="44" t="s">
        <v>37</v>
      </c>
      <c r="BS191" s="44">
        <v>56250</v>
      </c>
      <c r="BT191" s="44" t="s">
        <v>37</v>
      </c>
      <c r="BU191" s="44">
        <v>25750</v>
      </c>
      <c r="BV191" s="44" t="s">
        <v>37</v>
      </c>
      <c r="BW191" s="44">
        <v>3000</v>
      </c>
      <c r="BX191" s="44" t="s">
        <v>37</v>
      </c>
      <c r="BY191" s="44">
        <v>336250</v>
      </c>
      <c r="BZ191" s="44" t="s">
        <v>37</v>
      </c>
      <c r="CA191" s="44">
        <v>43750</v>
      </c>
      <c r="CB191" s="44" t="s">
        <v>37</v>
      </c>
      <c r="CC191" s="44">
        <v>5250</v>
      </c>
      <c r="CD191" s="44" t="s">
        <v>37</v>
      </c>
      <c r="CE191" s="44">
        <v>74000</v>
      </c>
      <c r="CF191" s="44" t="s">
        <v>37</v>
      </c>
      <c r="CG191" s="44">
        <v>74750</v>
      </c>
      <c r="CH191" s="44" t="s">
        <v>37</v>
      </c>
      <c r="CI191" s="44">
        <v>277250</v>
      </c>
      <c r="CJ191" s="44" t="s">
        <v>37</v>
      </c>
      <c r="CK191" s="44">
        <v>22250</v>
      </c>
      <c r="CL191" s="44" t="s">
        <v>37</v>
      </c>
      <c r="CM191" s="44">
        <v>63500</v>
      </c>
      <c r="CN191" s="44" t="s">
        <v>37</v>
      </c>
      <c r="CO191" s="44">
        <v>17750</v>
      </c>
      <c r="CP191" s="44" t="s">
        <v>37</v>
      </c>
      <c r="CQ191" s="44">
        <v>27000</v>
      </c>
      <c r="CR191" s="44" t="s">
        <v>37</v>
      </c>
      <c r="CS191" s="44">
        <v>193500</v>
      </c>
      <c r="CT191" s="44" t="s">
        <v>37</v>
      </c>
      <c r="CU191" s="44">
        <v>1169343</v>
      </c>
      <c r="CV191" s="44" t="s">
        <v>37</v>
      </c>
      <c r="CW191" s="44">
        <v>171250</v>
      </c>
      <c r="CX191" s="44" t="s">
        <v>37</v>
      </c>
      <c r="CY191" s="44">
        <v>23750</v>
      </c>
      <c r="CZ191" s="44" t="s">
        <v>37</v>
      </c>
      <c r="DA191" s="44">
        <v>29250</v>
      </c>
      <c r="DB191" s="44" t="s">
        <v>37</v>
      </c>
      <c r="DC191" s="44">
        <v>5250</v>
      </c>
      <c r="DD191" s="44" t="s">
        <v>37</v>
      </c>
      <c r="DE191" s="44">
        <v>50750</v>
      </c>
      <c r="DF191" s="44" t="s">
        <v>37</v>
      </c>
      <c r="DG191" s="44">
        <v>24250</v>
      </c>
      <c r="DH191" s="44" t="s">
        <v>37</v>
      </c>
      <c r="DI191" s="44">
        <v>611750</v>
      </c>
      <c r="DJ191" s="44" t="s">
        <v>37</v>
      </c>
      <c r="DK191" s="44">
        <v>41750</v>
      </c>
      <c r="DL191" s="44" t="s">
        <v>37</v>
      </c>
      <c r="DM191" s="44">
        <v>180750</v>
      </c>
      <c r="DN191" s="44" t="s">
        <v>37</v>
      </c>
      <c r="DO191" s="44">
        <v>205400</v>
      </c>
      <c r="DP191" s="44" t="s">
        <v>37</v>
      </c>
      <c r="DQ191" s="44">
        <v>96250</v>
      </c>
      <c r="DR191" s="44" t="s">
        <v>37</v>
      </c>
      <c r="DS191" s="44">
        <v>52750</v>
      </c>
      <c r="DT191" s="44" t="s">
        <v>37</v>
      </c>
      <c r="DU191" s="44">
        <v>46250</v>
      </c>
      <c r="DV191" s="44" t="s">
        <v>37</v>
      </c>
      <c r="DW191" s="44">
        <v>334750</v>
      </c>
      <c r="DX191" s="44" t="s">
        <v>37</v>
      </c>
      <c r="DY191" s="44">
        <v>172250</v>
      </c>
      <c r="DZ191" s="44" t="s">
        <v>37</v>
      </c>
      <c r="EA191" s="44">
        <v>41750</v>
      </c>
      <c r="EB191" s="44" t="s">
        <v>37</v>
      </c>
      <c r="EC191" s="44">
        <v>57500</v>
      </c>
      <c r="ED191" s="44" t="s">
        <v>37</v>
      </c>
      <c r="EE191" s="44">
        <v>321750</v>
      </c>
      <c r="EF191" s="44" t="s">
        <v>37</v>
      </c>
      <c r="EG191" s="44">
        <v>19250</v>
      </c>
      <c r="EH191" s="44" t="s">
        <v>37</v>
      </c>
      <c r="EJ191" s="44" t="s">
        <v>37</v>
      </c>
      <c r="EK191" s="44">
        <v>52250</v>
      </c>
      <c r="EL191" s="44" t="s">
        <v>37</v>
      </c>
      <c r="EM191" s="44">
        <v>33250</v>
      </c>
      <c r="EN191" s="44" t="s">
        <v>37</v>
      </c>
      <c r="EO191" s="44">
        <v>16000</v>
      </c>
      <c r="EP191" s="44" t="s">
        <v>37</v>
      </c>
      <c r="EQ191" s="44">
        <v>2750</v>
      </c>
      <c r="ER191" s="44" t="s">
        <v>37</v>
      </c>
      <c r="ES191" s="44">
        <v>77500</v>
      </c>
      <c r="ET191" s="44" t="s">
        <v>37</v>
      </c>
      <c r="EU191" s="44">
        <v>121250</v>
      </c>
      <c r="EV191" s="44" t="s">
        <v>37</v>
      </c>
      <c r="EW191" s="44">
        <v>214500</v>
      </c>
      <c r="EX191" s="44" t="s">
        <v>37</v>
      </c>
      <c r="EZ191" s="44" t="s">
        <v>37</v>
      </c>
      <c r="FA191" s="44">
        <v>62000</v>
      </c>
      <c r="FB191" s="44" t="s">
        <v>37</v>
      </c>
      <c r="FC191" s="44">
        <v>76250</v>
      </c>
      <c r="FD191" s="44" t="s">
        <v>37</v>
      </c>
      <c r="FE191" s="44">
        <v>142000</v>
      </c>
      <c r="FF191" s="44" t="s">
        <v>37</v>
      </c>
      <c r="FG191" s="44">
        <v>2000</v>
      </c>
      <c r="FH191" s="44" t="s">
        <v>37</v>
      </c>
      <c r="FI191" s="44">
        <v>280500</v>
      </c>
      <c r="FJ191" s="44" t="s">
        <v>37</v>
      </c>
      <c r="FK191" s="44">
        <v>518750</v>
      </c>
      <c r="FL191" s="44" t="s">
        <v>37</v>
      </c>
      <c r="FM191" s="44">
        <v>414500</v>
      </c>
      <c r="FN191" s="44" t="s">
        <v>37</v>
      </c>
      <c r="FO191" s="44">
        <v>37250</v>
      </c>
      <c r="FP191" s="44" t="s">
        <v>37</v>
      </c>
      <c r="FQ191" s="44">
        <v>93500</v>
      </c>
      <c r="FR191" s="44" t="s">
        <v>37</v>
      </c>
      <c r="FS191" s="44">
        <v>140334</v>
      </c>
      <c r="FT191" s="44" t="s">
        <v>37</v>
      </c>
      <c r="FU191" s="44">
        <v>54750</v>
      </c>
      <c r="FV191" s="44" t="s">
        <v>37</v>
      </c>
      <c r="FW191" s="44">
        <v>47500</v>
      </c>
      <c r="FX191" s="44" t="s">
        <v>37</v>
      </c>
      <c r="FY191" s="44">
        <v>127750</v>
      </c>
      <c r="FZ191" s="44" t="s">
        <v>37</v>
      </c>
      <c r="GA191" s="44">
        <v>183500</v>
      </c>
      <c r="GB191" s="44" t="s">
        <v>37</v>
      </c>
      <c r="GC191" s="44">
        <v>176250</v>
      </c>
      <c r="GD191" s="44" t="s">
        <v>37</v>
      </c>
      <c r="GE191" s="44">
        <v>5250</v>
      </c>
      <c r="GF191" s="44" t="s">
        <v>37</v>
      </c>
      <c r="GG191" s="44">
        <v>6250</v>
      </c>
      <c r="GH191" s="44" t="s">
        <v>37</v>
      </c>
      <c r="GI191" s="44">
        <v>5000</v>
      </c>
      <c r="GJ191" s="44" t="s">
        <v>37</v>
      </c>
      <c r="GK191" s="44">
        <v>147500</v>
      </c>
      <c r="GL191" s="44" t="s">
        <v>37</v>
      </c>
      <c r="GM191" s="44">
        <v>153750</v>
      </c>
      <c r="GN191" s="44" t="s">
        <v>37</v>
      </c>
      <c r="GP191" s="44" t="s">
        <v>37</v>
      </c>
      <c r="GQ191" s="44">
        <v>91250</v>
      </c>
      <c r="GR191" s="44" t="s">
        <v>37</v>
      </c>
      <c r="GS191" s="44">
        <v>96500</v>
      </c>
      <c r="GT191" s="44" t="s">
        <v>37</v>
      </c>
      <c r="GU191" s="44">
        <v>93000</v>
      </c>
      <c r="GV191" s="44" t="s">
        <v>37</v>
      </c>
      <c r="GW191" s="44">
        <v>107250</v>
      </c>
      <c r="GX191" s="44" t="s">
        <v>37</v>
      </c>
      <c r="GY191" s="44">
        <v>298500</v>
      </c>
      <c r="GZ191" s="44" t="s">
        <v>37</v>
      </c>
      <c r="HA191" s="44">
        <v>145500</v>
      </c>
      <c r="HB191" s="44" t="s">
        <v>37</v>
      </c>
      <c r="HC191" s="44">
        <v>23750</v>
      </c>
      <c r="HD191" s="44" t="s">
        <v>37</v>
      </c>
      <c r="HE191" s="44">
        <v>19000</v>
      </c>
      <c r="HF191" s="44" t="s">
        <v>37</v>
      </c>
      <c r="HG191" s="44">
        <v>12706577</v>
      </c>
      <c r="HH191" s="44" t="s">
        <v>37</v>
      </c>
      <c r="HI191" s="44">
        <v>42750</v>
      </c>
      <c r="HJ191" s="44" t="s">
        <v>37</v>
      </c>
      <c r="HK191" s="44">
        <v>12749327</v>
      </c>
      <c r="HL191" s="44" t="s">
        <v>37</v>
      </c>
    </row>
    <row r="192" spans="1:220">
      <c r="A192" s="150" t="s">
        <v>411</v>
      </c>
      <c r="B192" s="44">
        <v>3578</v>
      </c>
      <c r="C192" s="44" t="s">
        <v>209</v>
      </c>
      <c r="D192" s="44" t="s">
        <v>37</v>
      </c>
      <c r="F192" s="44" t="s">
        <v>37</v>
      </c>
      <c r="H192" s="44" t="s">
        <v>37</v>
      </c>
      <c r="I192" s="44">
        <v>5818</v>
      </c>
      <c r="J192" s="44" t="s">
        <v>37</v>
      </c>
      <c r="L192" s="48" t="s">
        <v>37</v>
      </c>
      <c r="M192" s="51">
        <v>11995</v>
      </c>
      <c r="N192" s="48" t="s">
        <v>37</v>
      </c>
      <c r="O192" s="50"/>
      <c r="P192" s="48" t="s">
        <v>37</v>
      </c>
      <c r="Q192" s="50"/>
      <c r="R192" s="48" t="s">
        <v>37</v>
      </c>
      <c r="S192" s="50"/>
      <c r="T192" s="48" t="s">
        <v>37</v>
      </c>
      <c r="U192" s="44">
        <v>11257</v>
      </c>
      <c r="V192" s="44" t="s">
        <v>37</v>
      </c>
      <c r="X192" s="44" t="s">
        <v>37</v>
      </c>
      <c r="Z192" s="44" t="s">
        <v>37</v>
      </c>
      <c r="AA192" s="44">
        <v>4432</v>
      </c>
      <c r="AB192" s="44" t="s">
        <v>37</v>
      </c>
      <c r="AC192" s="44">
        <v>6468</v>
      </c>
      <c r="AD192" s="44" t="s">
        <v>37</v>
      </c>
      <c r="AF192" s="44" t="s">
        <v>37</v>
      </c>
      <c r="AH192" s="44" t="s">
        <v>37</v>
      </c>
      <c r="AI192" s="44">
        <v>3500</v>
      </c>
      <c r="AJ192" s="44" t="s">
        <v>37</v>
      </c>
      <c r="AL192" s="44" t="s">
        <v>37</v>
      </c>
      <c r="AM192" s="44">
        <v>19240</v>
      </c>
      <c r="AN192" s="44" t="s">
        <v>37</v>
      </c>
      <c r="AP192" s="44" t="s">
        <v>37</v>
      </c>
      <c r="AQ192" s="44">
        <v>64881</v>
      </c>
      <c r="AR192" s="44" t="s">
        <v>37</v>
      </c>
      <c r="AS192" s="44">
        <v>2110</v>
      </c>
      <c r="AT192" s="44" t="s">
        <v>37</v>
      </c>
      <c r="AU192" s="44">
        <v>49128</v>
      </c>
      <c r="AV192" s="44" t="s">
        <v>37</v>
      </c>
      <c r="AW192" s="44">
        <v>13357</v>
      </c>
      <c r="AX192" s="44" t="s">
        <v>37</v>
      </c>
      <c r="AY192" s="44">
        <v>6572</v>
      </c>
      <c r="AZ192" s="44" t="s">
        <v>37</v>
      </c>
      <c r="BA192" s="44">
        <v>16288</v>
      </c>
      <c r="BB192" s="44" t="s">
        <v>37</v>
      </c>
      <c r="BC192" s="44">
        <v>12000</v>
      </c>
      <c r="BD192" s="44" t="s">
        <v>37</v>
      </c>
      <c r="BF192" s="44" t="s">
        <v>37</v>
      </c>
      <c r="BH192" s="44" t="s">
        <v>37</v>
      </c>
      <c r="BJ192" s="44" t="s">
        <v>37</v>
      </c>
      <c r="BL192" s="44" t="s">
        <v>37</v>
      </c>
      <c r="BM192" s="44">
        <v>14837</v>
      </c>
      <c r="BN192" s="44" t="s">
        <v>37</v>
      </c>
      <c r="BP192" s="44" t="s">
        <v>37</v>
      </c>
      <c r="BR192" s="44" t="s">
        <v>37</v>
      </c>
      <c r="BT192" s="44" t="s">
        <v>37</v>
      </c>
      <c r="BV192" s="44" t="s">
        <v>37</v>
      </c>
      <c r="BX192" s="44" t="s">
        <v>37</v>
      </c>
      <c r="BY192" s="44">
        <v>7565</v>
      </c>
      <c r="BZ192" s="44" t="s">
        <v>37</v>
      </c>
      <c r="CA192" s="44">
        <v>8681</v>
      </c>
      <c r="CB192" s="44" t="s">
        <v>37</v>
      </c>
      <c r="CD192" s="44" t="s">
        <v>37</v>
      </c>
      <c r="CF192" s="44" t="s">
        <v>37</v>
      </c>
      <c r="CG192" s="44">
        <v>5000</v>
      </c>
      <c r="CH192" s="44" t="s">
        <v>37</v>
      </c>
      <c r="CI192" s="44">
        <v>28343</v>
      </c>
      <c r="CJ192" s="44" t="s">
        <v>37</v>
      </c>
      <c r="CL192" s="44" t="s">
        <v>37</v>
      </c>
      <c r="CM192" s="44">
        <v>2695</v>
      </c>
      <c r="CN192" s="44" t="s">
        <v>37</v>
      </c>
      <c r="CO192" s="44">
        <v>5276</v>
      </c>
      <c r="CP192" s="44" t="s">
        <v>37</v>
      </c>
      <c r="CR192" s="44" t="s">
        <v>37</v>
      </c>
      <c r="CS192" s="44">
        <v>7900</v>
      </c>
      <c r="CT192" s="44" t="s">
        <v>37</v>
      </c>
      <c r="CU192" s="44">
        <v>51415</v>
      </c>
      <c r="CV192" s="44" t="s">
        <v>37</v>
      </c>
      <c r="CW192" s="44">
        <v>12986</v>
      </c>
      <c r="CX192" s="44" t="s">
        <v>37</v>
      </c>
      <c r="CZ192" s="44" t="s">
        <v>37</v>
      </c>
      <c r="DA192" s="44">
        <v>9532</v>
      </c>
      <c r="DB192" s="44" t="s">
        <v>37</v>
      </c>
      <c r="DD192" s="44" t="s">
        <v>37</v>
      </c>
      <c r="DF192" s="44" t="s">
        <v>37</v>
      </c>
      <c r="DG192" s="44">
        <v>2945</v>
      </c>
      <c r="DH192" s="44" t="s">
        <v>37</v>
      </c>
      <c r="DI192" s="44">
        <v>11274</v>
      </c>
      <c r="DJ192" s="44" t="s">
        <v>37</v>
      </c>
      <c r="DK192" s="44">
        <v>3500</v>
      </c>
      <c r="DL192" s="44" t="s">
        <v>37</v>
      </c>
      <c r="DN192" s="44" t="s">
        <v>37</v>
      </c>
      <c r="DO192" s="44">
        <v>17291</v>
      </c>
      <c r="DP192" s="44" t="s">
        <v>37</v>
      </c>
      <c r="DQ192" s="44">
        <v>7863</v>
      </c>
      <c r="DR192" s="44" t="s">
        <v>37</v>
      </c>
      <c r="DS192" s="44">
        <v>5000</v>
      </c>
      <c r="DT192" s="44" t="s">
        <v>37</v>
      </c>
      <c r="DU192" s="44">
        <v>3139</v>
      </c>
      <c r="DV192" s="44" t="s">
        <v>37</v>
      </c>
      <c r="DW192" s="44">
        <v>25639</v>
      </c>
      <c r="DX192" s="44" t="s">
        <v>37</v>
      </c>
      <c r="DZ192" s="44" t="s">
        <v>37</v>
      </c>
      <c r="EA192" s="44">
        <v>7175</v>
      </c>
      <c r="EB192" s="44" t="s">
        <v>37</v>
      </c>
      <c r="EC192" s="44">
        <v>3652</v>
      </c>
      <c r="ED192" s="44" t="s">
        <v>37</v>
      </c>
      <c r="EE192" s="44">
        <v>31867</v>
      </c>
      <c r="EF192" s="44" t="s">
        <v>37</v>
      </c>
      <c r="EG192" s="44">
        <v>18408</v>
      </c>
      <c r="EH192" s="44" t="s">
        <v>37</v>
      </c>
      <c r="EJ192" s="44" t="s">
        <v>37</v>
      </c>
      <c r="EL192" s="44" t="s">
        <v>37</v>
      </c>
      <c r="EN192" s="44" t="s">
        <v>37</v>
      </c>
      <c r="EP192" s="44" t="s">
        <v>37</v>
      </c>
      <c r="ER192" s="44" t="s">
        <v>37</v>
      </c>
      <c r="ET192" s="44" t="s">
        <v>37</v>
      </c>
      <c r="EU192" s="44">
        <v>25821</v>
      </c>
      <c r="EV192" s="44" t="s">
        <v>37</v>
      </c>
      <c r="EW192" s="44">
        <v>35436</v>
      </c>
      <c r="EX192" s="44" t="s">
        <v>37</v>
      </c>
      <c r="EZ192" s="44" t="s">
        <v>37</v>
      </c>
      <c r="FA192" s="44">
        <v>3566</v>
      </c>
      <c r="FB192" s="44" t="s">
        <v>37</v>
      </c>
      <c r="FD192" s="44" t="s">
        <v>37</v>
      </c>
      <c r="FE192" s="44">
        <v>1310</v>
      </c>
      <c r="FF192" s="44" t="s">
        <v>37</v>
      </c>
      <c r="FH192" s="44" t="s">
        <v>37</v>
      </c>
      <c r="FI192" s="44">
        <v>4823</v>
      </c>
      <c r="FJ192" s="44" t="s">
        <v>37</v>
      </c>
      <c r="FK192" s="44">
        <v>62586</v>
      </c>
      <c r="FL192" s="44" t="s">
        <v>37</v>
      </c>
      <c r="FM192" s="44">
        <v>16635</v>
      </c>
      <c r="FN192" s="44" t="s">
        <v>37</v>
      </c>
      <c r="FP192" s="44" t="s">
        <v>37</v>
      </c>
      <c r="FR192" s="44" t="s">
        <v>37</v>
      </c>
      <c r="FT192" s="44" t="s">
        <v>37</v>
      </c>
      <c r="FU192" s="44">
        <v>7900</v>
      </c>
      <c r="FV192" s="44" t="s">
        <v>37</v>
      </c>
      <c r="FX192" s="44" t="s">
        <v>37</v>
      </c>
      <c r="FY192" s="44">
        <v>4976</v>
      </c>
      <c r="FZ192" s="44" t="s">
        <v>37</v>
      </c>
      <c r="GA192" s="44">
        <v>2431</v>
      </c>
      <c r="GB192" s="44" t="s">
        <v>37</v>
      </c>
      <c r="GD192" s="44" t="s">
        <v>37</v>
      </c>
      <c r="GF192" s="44" t="s">
        <v>37</v>
      </c>
      <c r="GH192" s="44" t="s">
        <v>37</v>
      </c>
      <c r="GJ192" s="44" t="s">
        <v>37</v>
      </c>
      <c r="GL192" s="44" t="s">
        <v>37</v>
      </c>
      <c r="GM192" s="44">
        <v>5531</v>
      </c>
      <c r="GN192" s="44" t="s">
        <v>37</v>
      </c>
      <c r="GP192" s="44" t="s">
        <v>37</v>
      </c>
      <c r="GQ192" s="44">
        <v>10313</v>
      </c>
      <c r="GR192" s="44" t="s">
        <v>37</v>
      </c>
      <c r="GS192" s="44">
        <v>25445</v>
      </c>
      <c r="GT192" s="44" t="s">
        <v>37</v>
      </c>
      <c r="GU192" s="44">
        <v>8266</v>
      </c>
      <c r="GV192" s="44" t="s">
        <v>37</v>
      </c>
      <c r="GW192" s="44">
        <v>3354</v>
      </c>
      <c r="GX192" s="44" t="s">
        <v>37</v>
      </c>
      <c r="GY192" s="44">
        <v>30257</v>
      </c>
      <c r="GZ192" s="44" t="s">
        <v>37</v>
      </c>
      <c r="HA192" s="44">
        <v>15073</v>
      </c>
      <c r="HB192" s="44" t="s">
        <v>37</v>
      </c>
      <c r="HD192" s="44" t="s">
        <v>37</v>
      </c>
      <c r="HF192" s="44" t="s">
        <v>37</v>
      </c>
      <c r="HG192" s="44">
        <v>782752</v>
      </c>
      <c r="HH192" s="44" t="s">
        <v>37</v>
      </c>
      <c r="HJ192" s="44" t="s">
        <v>37</v>
      </c>
      <c r="HK192" s="44">
        <v>782752</v>
      </c>
      <c r="HL192" s="44" t="s">
        <v>37</v>
      </c>
    </row>
    <row r="193" spans="1:220">
      <c r="A193" s="150" t="s">
        <v>411</v>
      </c>
      <c r="B193" s="44">
        <v>3582</v>
      </c>
      <c r="C193" s="44" t="s">
        <v>210</v>
      </c>
      <c r="D193" s="44" t="s">
        <v>37</v>
      </c>
      <c r="E193" s="44">
        <v>16573</v>
      </c>
      <c r="F193" s="44" t="s">
        <v>37</v>
      </c>
      <c r="G193" s="44">
        <v>111309</v>
      </c>
      <c r="H193" s="44" t="s">
        <v>37</v>
      </c>
      <c r="I193" s="44">
        <v>7601</v>
      </c>
      <c r="J193" s="44" t="s">
        <v>37</v>
      </c>
      <c r="L193" s="48" t="s">
        <v>37</v>
      </c>
      <c r="M193" s="51">
        <v>37566</v>
      </c>
      <c r="N193" s="48" t="s">
        <v>37</v>
      </c>
      <c r="O193" s="51">
        <v>17111</v>
      </c>
      <c r="P193" s="48" t="s">
        <v>37</v>
      </c>
      <c r="Q193" s="51">
        <v>12138</v>
      </c>
      <c r="R193" s="48" t="s">
        <v>37</v>
      </c>
      <c r="S193" s="51">
        <v>12534</v>
      </c>
      <c r="T193" s="48" t="s">
        <v>37</v>
      </c>
      <c r="U193" s="44">
        <v>53576</v>
      </c>
      <c r="V193" s="44" t="s">
        <v>37</v>
      </c>
      <c r="X193" s="44" t="s">
        <v>37</v>
      </c>
      <c r="Z193" s="44" t="s">
        <v>37</v>
      </c>
      <c r="AA193" s="44">
        <v>7397</v>
      </c>
      <c r="AB193" s="44" t="s">
        <v>37</v>
      </c>
      <c r="AC193" s="44">
        <v>4522</v>
      </c>
      <c r="AD193" s="44" t="s">
        <v>37</v>
      </c>
      <c r="AE193" s="44">
        <v>4239</v>
      </c>
      <c r="AF193" s="44" t="s">
        <v>37</v>
      </c>
      <c r="AG193" s="44">
        <v>4248</v>
      </c>
      <c r="AH193" s="44" t="s">
        <v>37</v>
      </c>
      <c r="AI193" s="44">
        <v>12175</v>
      </c>
      <c r="AJ193" s="44" t="s">
        <v>37</v>
      </c>
      <c r="AL193" s="44" t="s">
        <v>37</v>
      </c>
      <c r="AM193" s="44">
        <v>82365</v>
      </c>
      <c r="AN193" s="44" t="s">
        <v>37</v>
      </c>
      <c r="AP193" s="44" t="s">
        <v>37</v>
      </c>
      <c r="AQ193" s="44">
        <v>122409</v>
      </c>
      <c r="AR193" s="44" t="s">
        <v>37</v>
      </c>
      <c r="AS193" s="44">
        <v>8197</v>
      </c>
      <c r="AT193" s="44" t="s">
        <v>37</v>
      </c>
      <c r="AU193" s="44">
        <v>192443</v>
      </c>
      <c r="AV193" s="44" t="s">
        <v>37</v>
      </c>
      <c r="AW193" s="44">
        <v>41191</v>
      </c>
      <c r="AX193" s="44" t="s">
        <v>37</v>
      </c>
      <c r="AY193" s="44">
        <v>27340</v>
      </c>
      <c r="AZ193" s="44" t="s">
        <v>37</v>
      </c>
      <c r="BA193" s="44">
        <v>35975</v>
      </c>
      <c r="BB193" s="44" t="s">
        <v>37</v>
      </c>
      <c r="BC193" s="44">
        <v>5120</v>
      </c>
      <c r="BD193" s="44" t="s">
        <v>37</v>
      </c>
      <c r="BE193" s="44">
        <v>15155</v>
      </c>
      <c r="BF193" s="44" t="s">
        <v>37</v>
      </c>
      <c r="BG193" s="44">
        <v>5721</v>
      </c>
      <c r="BH193" s="44" t="s">
        <v>37</v>
      </c>
      <c r="BJ193" s="44" t="s">
        <v>37</v>
      </c>
      <c r="BK193" s="44">
        <v>28905</v>
      </c>
      <c r="BL193" s="44" t="s">
        <v>37</v>
      </c>
      <c r="BM193" s="44">
        <v>52636</v>
      </c>
      <c r="BN193" s="44" t="s">
        <v>37</v>
      </c>
      <c r="BP193" s="44" t="s">
        <v>37</v>
      </c>
      <c r="BQ193" s="44">
        <v>3981</v>
      </c>
      <c r="BR193" s="44" t="s">
        <v>37</v>
      </c>
      <c r="BS193" s="44">
        <v>16366</v>
      </c>
      <c r="BT193" s="44" t="s">
        <v>37</v>
      </c>
      <c r="BU193" s="44">
        <v>7057</v>
      </c>
      <c r="BV193" s="44" t="s">
        <v>37</v>
      </c>
      <c r="BX193" s="44" t="s">
        <v>37</v>
      </c>
      <c r="BY193" s="44">
        <v>83521</v>
      </c>
      <c r="BZ193" s="44" t="s">
        <v>37</v>
      </c>
      <c r="CA193" s="44">
        <v>10470</v>
      </c>
      <c r="CB193" s="44" t="s">
        <v>37</v>
      </c>
      <c r="CD193" s="44" t="s">
        <v>37</v>
      </c>
      <c r="CE193" s="44">
        <v>18258</v>
      </c>
      <c r="CF193" s="44" t="s">
        <v>37</v>
      </c>
      <c r="CG193" s="44">
        <v>15893</v>
      </c>
      <c r="CH193" s="44" t="s">
        <v>37</v>
      </c>
      <c r="CI193" s="44">
        <v>66161</v>
      </c>
      <c r="CJ193" s="44" t="s">
        <v>37</v>
      </c>
      <c r="CK193" s="44">
        <v>5344</v>
      </c>
      <c r="CL193" s="44" t="s">
        <v>37</v>
      </c>
      <c r="CM193" s="44">
        <v>17456</v>
      </c>
      <c r="CN193" s="44" t="s">
        <v>37</v>
      </c>
      <c r="CO193" s="44">
        <v>4821</v>
      </c>
      <c r="CP193" s="44" t="s">
        <v>37</v>
      </c>
      <c r="CQ193" s="44">
        <v>6749</v>
      </c>
      <c r="CR193" s="44" t="s">
        <v>37</v>
      </c>
      <c r="CS193" s="44">
        <v>45797</v>
      </c>
      <c r="CT193" s="44" t="s">
        <v>37</v>
      </c>
      <c r="CU193" s="44">
        <v>291692</v>
      </c>
      <c r="CV193" s="44" t="s">
        <v>37</v>
      </c>
      <c r="CW193" s="44">
        <v>41589</v>
      </c>
      <c r="CX193" s="44" t="s">
        <v>37</v>
      </c>
      <c r="CY193" s="44">
        <v>5379</v>
      </c>
      <c r="CZ193" s="44" t="s">
        <v>37</v>
      </c>
      <c r="DA193" s="44">
        <v>7583</v>
      </c>
      <c r="DB193" s="44" t="s">
        <v>37</v>
      </c>
      <c r="DD193" s="44" t="s">
        <v>37</v>
      </c>
      <c r="DE193" s="44">
        <v>12382</v>
      </c>
      <c r="DF193" s="44" t="s">
        <v>37</v>
      </c>
      <c r="DG193" s="44">
        <v>6404</v>
      </c>
      <c r="DH193" s="44" t="s">
        <v>37</v>
      </c>
      <c r="DI193" s="44">
        <v>147152</v>
      </c>
      <c r="DJ193" s="44" t="s">
        <v>37</v>
      </c>
      <c r="DK193" s="44">
        <v>13913</v>
      </c>
      <c r="DL193" s="44" t="s">
        <v>37</v>
      </c>
      <c r="DM193" s="44">
        <v>46121</v>
      </c>
      <c r="DN193" s="44" t="s">
        <v>37</v>
      </c>
      <c r="DO193" s="44">
        <v>50468</v>
      </c>
      <c r="DP193" s="44" t="s">
        <v>37</v>
      </c>
      <c r="DQ193" s="44">
        <v>26364</v>
      </c>
      <c r="DR193" s="44" t="s">
        <v>37</v>
      </c>
      <c r="DS193" s="44">
        <v>15074</v>
      </c>
      <c r="DT193" s="44" t="s">
        <v>37</v>
      </c>
      <c r="DU193" s="44">
        <v>12680</v>
      </c>
      <c r="DV193" s="44" t="s">
        <v>37</v>
      </c>
      <c r="DW193" s="44">
        <v>86723</v>
      </c>
      <c r="DX193" s="44" t="s">
        <v>37</v>
      </c>
      <c r="DY193" s="44">
        <v>40090</v>
      </c>
      <c r="DZ193" s="44" t="s">
        <v>37</v>
      </c>
      <c r="EA193" s="44">
        <v>9909</v>
      </c>
      <c r="EB193" s="44" t="s">
        <v>37</v>
      </c>
      <c r="EC193" s="44">
        <v>15452</v>
      </c>
      <c r="ED193" s="44" t="s">
        <v>37</v>
      </c>
      <c r="EE193" s="44">
        <v>73794</v>
      </c>
      <c r="EF193" s="44" t="s">
        <v>37</v>
      </c>
      <c r="EG193" s="44">
        <v>4386</v>
      </c>
      <c r="EH193" s="44" t="s">
        <v>37</v>
      </c>
      <c r="EJ193" s="44" t="s">
        <v>37</v>
      </c>
      <c r="EK193" s="44">
        <v>14334</v>
      </c>
      <c r="EL193" s="44" t="s">
        <v>37</v>
      </c>
      <c r="EM193" s="44">
        <v>9191</v>
      </c>
      <c r="EN193" s="44" t="s">
        <v>37</v>
      </c>
      <c r="EO193" s="44">
        <v>4066</v>
      </c>
      <c r="EP193" s="44" t="s">
        <v>37</v>
      </c>
      <c r="ER193" s="44" t="s">
        <v>37</v>
      </c>
      <c r="ES193" s="44">
        <v>22240</v>
      </c>
      <c r="ET193" s="44" t="s">
        <v>37</v>
      </c>
      <c r="EU193" s="44">
        <v>26349</v>
      </c>
      <c r="EV193" s="44" t="s">
        <v>37</v>
      </c>
      <c r="EW193" s="44">
        <v>48224</v>
      </c>
      <c r="EX193" s="44" t="s">
        <v>37</v>
      </c>
      <c r="EZ193" s="44" t="s">
        <v>37</v>
      </c>
      <c r="FA193" s="44">
        <v>15356</v>
      </c>
      <c r="FB193" s="44" t="s">
        <v>37</v>
      </c>
      <c r="FC193" s="44">
        <v>19166</v>
      </c>
      <c r="FD193" s="44" t="s">
        <v>37</v>
      </c>
      <c r="FE193" s="44">
        <v>31698</v>
      </c>
      <c r="FF193" s="44" t="s">
        <v>37</v>
      </c>
      <c r="FH193" s="44" t="s">
        <v>37</v>
      </c>
      <c r="FI193" s="44">
        <v>74047</v>
      </c>
      <c r="FJ193" s="44" t="s">
        <v>37</v>
      </c>
      <c r="FK193" s="44">
        <v>114108</v>
      </c>
      <c r="FL193" s="44" t="s">
        <v>37</v>
      </c>
      <c r="FM193" s="44">
        <v>92017</v>
      </c>
      <c r="FN193" s="44" t="s">
        <v>37</v>
      </c>
      <c r="FO193" s="44">
        <v>9667</v>
      </c>
      <c r="FP193" s="44" t="s">
        <v>37</v>
      </c>
      <c r="FQ193" s="44">
        <v>20935</v>
      </c>
      <c r="FR193" s="44" t="s">
        <v>37</v>
      </c>
      <c r="FS193" s="44">
        <v>40202</v>
      </c>
      <c r="FT193" s="44" t="s">
        <v>37</v>
      </c>
      <c r="FU193" s="44">
        <v>13935</v>
      </c>
      <c r="FV193" s="44" t="s">
        <v>37</v>
      </c>
      <c r="FW193" s="44">
        <v>13267</v>
      </c>
      <c r="FX193" s="44" t="s">
        <v>37</v>
      </c>
      <c r="FY193" s="44">
        <v>29194</v>
      </c>
      <c r="FZ193" s="44" t="s">
        <v>37</v>
      </c>
      <c r="GA193" s="44">
        <v>43652</v>
      </c>
      <c r="GB193" s="44" t="s">
        <v>37</v>
      </c>
      <c r="GC193" s="44">
        <v>37023</v>
      </c>
      <c r="GD193" s="44" t="s">
        <v>37</v>
      </c>
      <c r="GF193" s="44" t="s">
        <v>37</v>
      </c>
      <c r="GH193" s="44" t="s">
        <v>37</v>
      </c>
      <c r="GJ193" s="44" t="s">
        <v>37</v>
      </c>
      <c r="GK193" s="44">
        <v>41352</v>
      </c>
      <c r="GL193" s="44" t="s">
        <v>37</v>
      </c>
      <c r="GM193" s="44">
        <v>40023</v>
      </c>
      <c r="GN193" s="44" t="s">
        <v>37</v>
      </c>
      <c r="GP193" s="44" t="s">
        <v>37</v>
      </c>
      <c r="GQ193" s="44">
        <v>22035</v>
      </c>
      <c r="GR193" s="44" t="s">
        <v>37</v>
      </c>
      <c r="GS193" s="44">
        <v>26163</v>
      </c>
      <c r="GT193" s="44" t="s">
        <v>37</v>
      </c>
      <c r="GU193" s="44">
        <v>22722</v>
      </c>
      <c r="GV193" s="44" t="s">
        <v>37</v>
      </c>
      <c r="GW193" s="44">
        <v>23729</v>
      </c>
      <c r="GX193" s="44" t="s">
        <v>37</v>
      </c>
      <c r="GY193" s="44">
        <v>74027</v>
      </c>
      <c r="GZ193" s="44" t="s">
        <v>37</v>
      </c>
      <c r="HA193" s="44">
        <v>30978</v>
      </c>
      <c r="HB193" s="44" t="s">
        <v>37</v>
      </c>
      <c r="HC193" s="44">
        <v>7820</v>
      </c>
      <c r="HD193" s="44" t="s">
        <v>37</v>
      </c>
      <c r="HE193" s="44">
        <v>3773</v>
      </c>
      <c r="HF193" s="44" t="s">
        <v>37</v>
      </c>
      <c r="HG193" s="44">
        <v>3087175</v>
      </c>
      <c r="HH193" s="44" t="s">
        <v>37</v>
      </c>
      <c r="HI193" s="44">
        <v>11593</v>
      </c>
      <c r="HJ193" s="44" t="s">
        <v>37</v>
      </c>
      <c r="HK193" s="44">
        <v>3098768</v>
      </c>
      <c r="HL193" s="44" t="s">
        <v>37</v>
      </c>
    </row>
    <row r="194" spans="1:220">
      <c r="A194" s="150" t="s">
        <v>411</v>
      </c>
      <c r="B194" s="44">
        <v>3583</v>
      </c>
      <c r="C194" s="44" t="s">
        <v>211</v>
      </c>
      <c r="D194" s="44" t="s">
        <v>37</v>
      </c>
      <c r="E194" s="44">
        <v>190461</v>
      </c>
      <c r="F194" s="44" t="s">
        <v>37</v>
      </c>
      <c r="G194" s="44">
        <v>980508</v>
      </c>
      <c r="H194" s="44" t="s">
        <v>37</v>
      </c>
      <c r="I194" s="44">
        <v>131458</v>
      </c>
      <c r="J194" s="44" t="s">
        <v>37</v>
      </c>
      <c r="L194" s="48" t="s">
        <v>37</v>
      </c>
      <c r="M194" s="51">
        <v>227037</v>
      </c>
      <c r="N194" s="48" t="s">
        <v>37</v>
      </c>
      <c r="O194" s="51">
        <v>84356</v>
      </c>
      <c r="P194" s="48" t="s">
        <v>37</v>
      </c>
      <c r="Q194" s="51">
        <v>100726</v>
      </c>
      <c r="R194" s="48" t="s">
        <v>37</v>
      </c>
      <c r="S194" s="51">
        <v>114304</v>
      </c>
      <c r="T194" s="48" t="s">
        <v>37</v>
      </c>
      <c r="U194" s="44">
        <v>303381</v>
      </c>
      <c r="V194" s="44" t="s">
        <v>37</v>
      </c>
      <c r="X194" s="44" t="s">
        <v>37</v>
      </c>
      <c r="Z194" s="44" t="s">
        <v>37</v>
      </c>
      <c r="AA194" s="44">
        <v>54986</v>
      </c>
      <c r="AB194" s="44" t="s">
        <v>37</v>
      </c>
      <c r="AC194" s="44">
        <v>143997</v>
      </c>
      <c r="AD194" s="44" t="s">
        <v>37</v>
      </c>
      <c r="AE194" s="44">
        <v>41299</v>
      </c>
      <c r="AF194" s="44" t="s">
        <v>37</v>
      </c>
      <c r="AG194" s="44">
        <v>56016</v>
      </c>
      <c r="AH194" s="44" t="s">
        <v>37</v>
      </c>
      <c r="AI194" s="44">
        <v>335016</v>
      </c>
      <c r="AJ194" s="44" t="s">
        <v>37</v>
      </c>
      <c r="AL194" s="44" t="s">
        <v>37</v>
      </c>
      <c r="AM194" s="44">
        <v>888863</v>
      </c>
      <c r="AN194" s="44" t="s">
        <v>37</v>
      </c>
      <c r="AP194" s="44" t="s">
        <v>37</v>
      </c>
      <c r="AQ194" s="44">
        <v>1369515</v>
      </c>
      <c r="AR194" s="44" t="s">
        <v>37</v>
      </c>
      <c r="AS194" s="44">
        <v>112403</v>
      </c>
      <c r="AT194" s="44" t="s">
        <v>37</v>
      </c>
      <c r="AU194" s="44">
        <v>2413818</v>
      </c>
      <c r="AV194" s="44" t="s">
        <v>37</v>
      </c>
      <c r="AW194" s="44">
        <v>869577</v>
      </c>
      <c r="AX194" s="44" t="s">
        <v>37</v>
      </c>
      <c r="AY194" s="44">
        <v>364783</v>
      </c>
      <c r="AZ194" s="44" t="s">
        <v>37</v>
      </c>
      <c r="BA194" s="44">
        <v>383437</v>
      </c>
      <c r="BB194" s="44" t="s">
        <v>37</v>
      </c>
      <c r="BC194" s="44">
        <v>57199</v>
      </c>
      <c r="BD194" s="44" t="s">
        <v>37</v>
      </c>
      <c r="BE194" s="44">
        <v>102385</v>
      </c>
      <c r="BF194" s="44" t="s">
        <v>37</v>
      </c>
      <c r="BG194" s="44">
        <v>13208</v>
      </c>
      <c r="BH194" s="44" t="s">
        <v>37</v>
      </c>
      <c r="BJ194" s="44" t="s">
        <v>37</v>
      </c>
      <c r="BK194" s="44">
        <v>923644</v>
      </c>
      <c r="BL194" s="44" t="s">
        <v>37</v>
      </c>
      <c r="BN194" s="44" t="s">
        <v>37</v>
      </c>
      <c r="BP194" s="44" t="s">
        <v>37</v>
      </c>
      <c r="BQ194" s="44">
        <v>62732</v>
      </c>
      <c r="BR194" s="44" t="s">
        <v>37</v>
      </c>
      <c r="BS194" s="44">
        <v>227542</v>
      </c>
      <c r="BT194" s="44" t="s">
        <v>37</v>
      </c>
      <c r="BU194" s="44">
        <v>89066</v>
      </c>
      <c r="BV194" s="44" t="s">
        <v>37</v>
      </c>
      <c r="BX194" s="44" t="s">
        <v>37</v>
      </c>
      <c r="BY194" s="44">
        <v>398211</v>
      </c>
      <c r="BZ194" s="44" t="s">
        <v>37</v>
      </c>
      <c r="CA194" s="44">
        <v>115318</v>
      </c>
      <c r="CB194" s="44" t="s">
        <v>37</v>
      </c>
      <c r="CD194" s="44" t="s">
        <v>37</v>
      </c>
      <c r="CE194" s="44">
        <v>201308</v>
      </c>
      <c r="CF194" s="44" t="s">
        <v>37</v>
      </c>
      <c r="CG194" s="44">
        <v>303799</v>
      </c>
      <c r="CH194" s="44" t="s">
        <v>37</v>
      </c>
      <c r="CI194" s="44">
        <v>670334</v>
      </c>
      <c r="CJ194" s="44" t="s">
        <v>37</v>
      </c>
      <c r="CK194" s="44">
        <v>52241</v>
      </c>
      <c r="CL194" s="44" t="s">
        <v>37</v>
      </c>
      <c r="CM194" s="44">
        <v>330955</v>
      </c>
      <c r="CN194" s="44" t="s">
        <v>37</v>
      </c>
      <c r="CO194" s="44">
        <v>29161</v>
      </c>
      <c r="CP194" s="44" t="s">
        <v>37</v>
      </c>
      <c r="CQ194" s="44">
        <v>49457</v>
      </c>
      <c r="CR194" s="44" t="s">
        <v>37</v>
      </c>
      <c r="CS194" s="44">
        <v>396997</v>
      </c>
      <c r="CT194" s="44" t="s">
        <v>37</v>
      </c>
      <c r="CU194" s="44">
        <v>2864310</v>
      </c>
      <c r="CV194" s="44" t="s">
        <v>37</v>
      </c>
      <c r="CW194" s="44">
        <v>312088</v>
      </c>
      <c r="CX194" s="44" t="s">
        <v>37</v>
      </c>
      <c r="CY194" s="44">
        <v>30765</v>
      </c>
      <c r="CZ194" s="44" t="s">
        <v>37</v>
      </c>
      <c r="DA194" s="44">
        <v>53731</v>
      </c>
      <c r="DB194" s="44" t="s">
        <v>37</v>
      </c>
      <c r="DD194" s="44" t="s">
        <v>37</v>
      </c>
      <c r="DE194" s="44">
        <v>116123</v>
      </c>
      <c r="DF194" s="44" t="s">
        <v>37</v>
      </c>
      <c r="DG194" s="44">
        <v>114098</v>
      </c>
      <c r="DH194" s="44" t="s">
        <v>37</v>
      </c>
      <c r="DI194" s="44">
        <v>1045741</v>
      </c>
      <c r="DJ194" s="44" t="s">
        <v>37</v>
      </c>
      <c r="DK194" s="44">
        <v>254324</v>
      </c>
      <c r="DL194" s="44" t="s">
        <v>37</v>
      </c>
      <c r="DM194" s="44">
        <v>590521</v>
      </c>
      <c r="DN194" s="44" t="s">
        <v>37</v>
      </c>
      <c r="DO194" s="44">
        <v>619947</v>
      </c>
      <c r="DP194" s="44" t="s">
        <v>37</v>
      </c>
      <c r="DQ194" s="44">
        <v>15409</v>
      </c>
      <c r="DR194" s="44" t="s">
        <v>37</v>
      </c>
      <c r="DS194" s="44">
        <v>280751</v>
      </c>
      <c r="DT194" s="44" t="s">
        <v>37</v>
      </c>
      <c r="DU194" s="44">
        <v>228768</v>
      </c>
      <c r="DV194" s="44" t="s">
        <v>37</v>
      </c>
      <c r="DW194" s="44">
        <v>647890</v>
      </c>
      <c r="DX194" s="44" t="s">
        <v>37</v>
      </c>
      <c r="DY194" s="44">
        <v>357629</v>
      </c>
      <c r="DZ194" s="44" t="s">
        <v>37</v>
      </c>
      <c r="EA194" s="44">
        <v>89152</v>
      </c>
      <c r="EB194" s="44" t="s">
        <v>37</v>
      </c>
      <c r="EC194" s="44">
        <v>198159</v>
      </c>
      <c r="ED194" s="44" t="s">
        <v>37</v>
      </c>
      <c r="EE194" s="44">
        <v>405721</v>
      </c>
      <c r="EF194" s="44" t="s">
        <v>37</v>
      </c>
      <c r="EG194" s="44">
        <v>44885</v>
      </c>
      <c r="EH194" s="44" t="s">
        <v>37</v>
      </c>
      <c r="EJ194" s="44" t="s">
        <v>37</v>
      </c>
      <c r="EK194" s="44">
        <v>256466</v>
      </c>
      <c r="EL194" s="44" t="s">
        <v>37</v>
      </c>
      <c r="EM194" s="44">
        <v>152815</v>
      </c>
      <c r="EN194" s="44" t="s">
        <v>37</v>
      </c>
      <c r="EO194" s="44">
        <v>76648</v>
      </c>
      <c r="EP194" s="44" t="s">
        <v>37</v>
      </c>
      <c r="ER194" s="44" t="s">
        <v>37</v>
      </c>
      <c r="ES194" s="44">
        <v>237221</v>
      </c>
      <c r="ET194" s="44" t="s">
        <v>37</v>
      </c>
      <c r="EU194" s="44">
        <v>270319</v>
      </c>
      <c r="EV194" s="44" t="s">
        <v>37</v>
      </c>
      <c r="EW194" s="44">
        <v>341830</v>
      </c>
      <c r="EX194" s="44" t="s">
        <v>37</v>
      </c>
      <c r="EZ194" s="44" t="s">
        <v>37</v>
      </c>
      <c r="FA194" s="44">
        <v>287034</v>
      </c>
      <c r="FB194" s="44" t="s">
        <v>37</v>
      </c>
      <c r="FC194" s="44">
        <v>214218</v>
      </c>
      <c r="FD194" s="44" t="s">
        <v>37</v>
      </c>
      <c r="FE194" s="44">
        <v>330301</v>
      </c>
      <c r="FF194" s="44" t="s">
        <v>37</v>
      </c>
      <c r="FH194" s="44" t="s">
        <v>37</v>
      </c>
      <c r="FI194" s="44">
        <v>551281</v>
      </c>
      <c r="FJ194" s="44" t="s">
        <v>37</v>
      </c>
      <c r="FK194" s="44">
        <v>1323471</v>
      </c>
      <c r="FL194" s="44" t="s">
        <v>37</v>
      </c>
      <c r="FM194" s="44">
        <v>997576</v>
      </c>
      <c r="FN194" s="44" t="s">
        <v>37</v>
      </c>
      <c r="FO194" s="44">
        <v>118612</v>
      </c>
      <c r="FP194" s="44" t="s">
        <v>37</v>
      </c>
      <c r="FQ194" s="44">
        <v>134883</v>
      </c>
      <c r="FR194" s="44" t="s">
        <v>37</v>
      </c>
      <c r="FS194" s="44">
        <v>252582</v>
      </c>
      <c r="FT194" s="44" t="s">
        <v>37</v>
      </c>
      <c r="FU194" s="44">
        <v>122187</v>
      </c>
      <c r="FV194" s="44" t="s">
        <v>37</v>
      </c>
      <c r="FW194" s="44">
        <v>153627</v>
      </c>
      <c r="FX194" s="44" t="s">
        <v>37</v>
      </c>
      <c r="FY194" s="44">
        <v>296388</v>
      </c>
      <c r="FZ194" s="44" t="s">
        <v>37</v>
      </c>
      <c r="GA194" s="44">
        <v>488046</v>
      </c>
      <c r="GB194" s="44" t="s">
        <v>37</v>
      </c>
      <c r="GC194" s="44">
        <v>425011</v>
      </c>
      <c r="GD194" s="44" t="s">
        <v>37</v>
      </c>
      <c r="GF194" s="44" t="s">
        <v>37</v>
      </c>
      <c r="GH194" s="44" t="s">
        <v>37</v>
      </c>
      <c r="GJ194" s="44" t="s">
        <v>37</v>
      </c>
      <c r="GK194" s="44">
        <v>664439</v>
      </c>
      <c r="GL194" s="44" t="s">
        <v>37</v>
      </c>
      <c r="GM194" s="44">
        <v>120779</v>
      </c>
      <c r="GN194" s="44" t="s">
        <v>37</v>
      </c>
      <c r="GP194" s="44" t="s">
        <v>37</v>
      </c>
      <c r="GQ194" s="44">
        <v>147988</v>
      </c>
      <c r="GR194" s="44" t="s">
        <v>37</v>
      </c>
      <c r="GS194" s="44">
        <v>115881</v>
      </c>
      <c r="GT194" s="44" t="s">
        <v>37</v>
      </c>
      <c r="GU194" s="44">
        <v>158839</v>
      </c>
      <c r="GV194" s="44" t="s">
        <v>37</v>
      </c>
      <c r="GX194" s="44" t="s">
        <v>37</v>
      </c>
      <c r="GY194" s="44">
        <v>666134</v>
      </c>
      <c r="GZ194" s="44" t="s">
        <v>37</v>
      </c>
      <c r="HA194" s="44">
        <v>137024</v>
      </c>
      <c r="HB194" s="44" t="s">
        <v>37</v>
      </c>
      <c r="HD194" s="44" t="s">
        <v>37</v>
      </c>
      <c r="HF194" s="44" t="s">
        <v>37</v>
      </c>
      <c r="HG194" s="44">
        <v>30501110</v>
      </c>
      <c r="HH194" s="44" t="s">
        <v>37</v>
      </c>
      <c r="HJ194" s="44" t="s">
        <v>37</v>
      </c>
      <c r="HK194" s="44">
        <v>30501110</v>
      </c>
      <c r="HL194" s="44" t="s">
        <v>37</v>
      </c>
    </row>
    <row r="195" spans="1:220">
      <c r="A195" s="150" t="s">
        <v>411</v>
      </c>
      <c r="B195" s="44">
        <v>3588</v>
      </c>
      <c r="C195" s="44" t="s">
        <v>212</v>
      </c>
      <c r="D195" s="44" t="s">
        <v>37</v>
      </c>
      <c r="E195" s="44">
        <v>28820</v>
      </c>
      <c r="F195" s="44" t="s">
        <v>37</v>
      </c>
      <c r="G195" s="44">
        <v>89056</v>
      </c>
      <c r="H195" s="44" t="s">
        <v>37</v>
      </c>
      <c r="I195" s="44">
        <v>6942</v>
      </c>
      <c r="J195" s="44" t="s">
        <v>37</v>
      </c>
      <c r="L195" s="48" t="s">
        <v>37</v>
      </c>
      <c r="M195" s="51">
        <v>69817</v>
      </c>
      <c r="N195" s="48" t="s">
        <v>37</v>
      </c>
      <c r="O195" s="51">
        <v>2959</v>
      </c>
      <c r="P195" s="48" t="s">
        <v>37</v>
      </c>
      <c r="Q195" s="51">
        <v>6082</v>
      </c>
      <c r="R195" s="48" t="s">
        <v>37</v>
      </c>
      <c r="S195" s="51">
        <v>25327</v>
      </c>
      <c r="T195" s="48" t="s">
        <v>37</v>
      </c>
      <c r="U195" s="44">
        <v>54175</v>
      </c>
      <c r="V195" s="44" t="s">
        <v>37</v>
      </c>
      <c r="X195" s="44" t="s">
        <v>37</v>
      </c>
      <c r="Y195" s="44">
        <v>20064</v>
      </c>
      <c r="Z195" s="44" t="s">
        <v>37</v>
      </c>
      <c r="AA195" s="44">
        <v>3377</v>
      </c>
      <c r="AB195" s="44" t="s">
        <v>37</v>
      </c>
      <c r="AD195" s="44" t="s">
        <v>37</v>
      </c>
      <c r="AE195" s="44">
        <v>1166</v>
      </c>
      <c r="AF195" s="44" t="s">
        <v>37</v>
      </c>
      <c r="AG195" s="44">
        <v>5929</v>
      </c>
      <c r="AH195" s="44" t="s">
        <v>37</v>
      </c>
      <c r="AI195" s="44">
        <v>12382</v>
      </c>
      <c r="AJ195" s="44" t="s">
        <v>37</v>
      </c>
      <c r="AK195" s="44">
        <v>8176</v>
      </c>
      <c r="AL195" s="44" t="s">
        <v>37</v>
      </c>
      <c r="AM195" s="44">
        <v>23217</v>
      </c>
      <c r="AN195" s="44" t="s">
        <v>37</v>
      </c>
      <c r="AO195" s="44">
        <v>6939</v>
      </c>
      <c r="AP195" s="44" t="s">
        <v>37</v>
      </c>
      <c r="AQ195" s="44">
        <v>30487</v>
      </c>
      <c r="AR195" s="44" t="s">
        <v>37</v>
      </c>
      <c r="AS195" s="44">
        <v>7954</v>
      </c>
      <c r="AT195" s="44" t="s">
        <v>37</v>
      </c>
      <c r="AU195" s="44">
        <v>231307</v>
      </c>
      <c r="AV195" s="44" t="s">
        <v>37</v>
      </c>
      <c r="AW195" s="44">
        <v>14392</v>
      </c>
      <c r="AX195" s="44" t="s">
        <v>37</v>
      </c>
      <c r="AY195" s="44">
        <v>858</v>
      </c>
      <c r="AZ195" s="44" t="s">
        <v>37</v>
      </c>
      <c r="BA195" s="44">
        <v>44496</v>
      </c>
      <c r="BB195" s="44" t="s">
        <v>37</v>
      </c>
      <c r="BC195" s="44">
        <v>1846</v>
      </c>
      <c r="BD195" s="44" t="s">
        <v>37</v>
      </c>
      <c r="BE195" s="44">
        <v>15029</v>
      </c>
      <c r="BF195" s="44" t="s">
        <v>37</v>
      </c>
      <c r="BH195" s="44" t="s">
        <v>37</v>
      </c>
      <c r="BJ195" s="44" t="s">
        <v>37</v>
      </c>
      <c r="BK195" s="44">
        <v>18309</v>
      </c>
      <c r="BL195" s="44" t="s">
        <v>37</v>
      </c>
      <c r="BM195" s="44">
        <v>21567</v>
      </c>
      <c r="BN195" s="44" t="s">
        <v>37</v>
      </c>
      <c r="BP195" s="44" t="s">
        <v>37</v>
      </c>
      <c r="BR195" s="44" t="s">
        <v>37</v>
      </c>
      <c r="BS195" s="44">
        <v>17769</v>
      </c>
      <c r="BT195" s="44" t="s">
        <v>37</v>
      </c>
      <c r="BU195" s="44">
        <v>12587</v>
      </c>
      <c r="BV195" s="44" t="s">
        <v>37</v>
      </c>
      <c r="BW195" s="44">
        <v>4901</v>
      </c>
      <c r="BX195" s="44" t="s">
        <v>37</v>
      </c>
      <c r="BY195" s="44">
        <v>120016</v>
      </c>
      <c r="BZ195" s="44" t="s">
        <v>37</v>
      </c>
      <c r="CB195" s="44" t="s">
        <v>37</v>
      </c>
      <c r="CD195" s="44" t="s">
        <v>37</v>
      </c>
      <c r="CE195" s="44">
        <v>19181</v>
      </c>
      <c r="CF195" s="44" t="s">
        <v>37</v>
      </c>
      <c r="CG195" s="44">
        <v>1547</v>
      </c>
      <c r="CH195" s="44" t="s">
        <v>37</v>
      </c>
      <c r="CI195" s="44">
        <v>18161</v>
      </c>
      <c r="CJ195" s="44" t="s">
        <v>37</v>
      </c>
      <c r="CK195" s="44">
        <v>6715</v>
      </c>
      <c r="CL195" s="44" t="s">
        <v>37</v>
      </c>
      <c r="CM195" s="44">
        <v>2395</v>
      </c>
      <c r="CN195" s="44" t="s">
        <v>37</v>
      </c>
      <c r="CP195" s="44" t="s">
        <v>37</v>
      </c>
      <c r="CR195" s="44" t="s">
        <v>37</v>
      </c>
      <c r="CS195" s="44">
        <v>28477</v>
      </c>
      <c r="CT195" s="44" t="s">
        <v>37</v>
      </c>
      <c r="CU195" s="44">
        <v>291907</v>
      </c>
      <c r="CV195" s="44" t="s">
        <v>37</v>
      </c>
      <c r="CW195" s="44">
        <v>12262</v>
      </c>
      <c r="CX195" s="44" t="s">
        <v>37</v>
      </c>
      <c r="CY195" s="44">
        <v>9523</v>
      </c>
      <c r="CZ195" s="44" t="s">
        <v>37</v>
      </c>
      <c r="DA195" s="44">
        <v>13133</v>
      </c>
      <c r="DB195" s="44" t="s">
        <v>37</v>
      </c>
      <c r="DC195" s="44">
        <v>26693</v>
      </c>
      <c r="DD195" s="44" t="s">
        <v>37</v>
      </c>
      <c r="DE195" s="44">
        <v>13350</v>
      </c>
      <c r="DF195" s="44" t="s">
        <v>37</v>
      </c>
      <c r="DH195" s="44" t="s">
        <v>37</v>
      </c>
      <c r="DI195" s="44">
        <v>130179</v>
      </c>
      <c r="DJ195" s="44" t="s">
        <v>37</v>
      </c>
      <c r="DK195" s="44">
        <v>5614</v>
      </c>
      <c r="DL195" s="44" t="s">
        <v>37</v>
      </c>
      <c r="DM195" s="44">
        <v>43226</v>
      </c>
      <c r="DN195" s="44" t="s">
        <v>37</v>
      </c>
      <c r="DO195" s="44">
        <v>22001</v>
      </c>
      <c r="DP195" s="44" t="s">
        <v>37</v>
      </c>
      <c r="DQ195" s="44">
        <v>5383</v>
      </c>
      <c r="DR195" s="44" t="s">
        <v>37</v>
      </c>
      <c r="DS195" s="44">
        <v>6286</v>
      </c>
      <c r="DT195" s="44" t="s">
        <v>37</v>
      </c>
      <c r="DU195" s="44">
        <v>9748</v>
      </c>
      <c r="DV195" s="44" t="s">
        <v>37</v>
      </c>
      <c r="DW195" s="44">
        <v>157448</v>
      </c>
      <c r="DX195" s="44" t="s">
        <v>37</v>
      </c>
      <c r="DY195" s="44">
        <v>14220</v>
      </c>
      <c r="DZ195" s="44" t="s">
        <v>37</v>
      </c>
      <c r="EB195" s="44" t="s">
        <v>37</v>
      </c>
      <c r="EC195" s="44">
        <v>11301</v>
      </c>
      <c r="ED195" s="44" t="s">
        <v>37</v>
      </c>
      <c r="EE195" s="44">
        <v>169045</v>
      </c>
      <c r="EF195" s="44" t="s">
        <v>37</v>
      </c>
      <c r="EH195" s="44" t="s">
        <v>37</v>
      </c>
      <c r="EJ195" s="44" t="s">
        <v>37</v>
      </c>
      <c r="EL195" s="44" t="s">
        <v>37</v>
      </c>
      <c r="EN195" s="44" t="s">
        <v>37</v>
      </c>
      <c r="EP195" s="44" t="s">
        <v>37</v>
      </c>
      <c r="ER195" s="44" t="s">
        <v>37</v>
      </c>
      <c r="ES195" s="44">
        <v>10533</v>
      </c>
      <c r="ET195" s="44" t="s">
        <v>37</v>
      </c>
      <c r="EU195" s="44">
        <v>22070</v>
      </c>
      <c r="EV195" s="44" t="s">
        <v>37</v>
      </c>
      <c r="EW195" s="44">
        <v>54113</v>
      </c>
      <c r="EX195" s="44" t="s">
        <v>37</v>
      </c>
      <c r="EZ195" s="44" t="s">
        <v>37</v>
      </c>
      <c r="FB195" s="44" t="s">
        <v>37</v>
      </c>
      <c r="FC195" s="44">
        <v>7306</v>
      </c>
      <c r="FD195" s="44" t="s">
        <v>37</v>
      </c>
      <c r="FE195" s="44">
        <v>36942</v>
      </c>
      <c r="FF195" s="44" t="s">
        <v>37</v>
      </c>
      <c r="FG195" s="44">
        <v>1134</v>
      </c>
      <c r="FH195" s="44" t="s">
        <v>37</v>
      </c>
      <c r="FI195" s="44">
        <v>91992</v>
      </c>
      <c r="FJ195" s="44" t="s">
        <v>37</v>
      </c>
      <c r="FK195" s="44">
        <v>80712</v>
      </c>
      <c r="FL195" s="44" t="s">
        <v>37</v>
      </c>
      <c r="FM195" s="44">
        <v>109657</v>
      </c>
      <c r="FN195" s="44" t="s">
        <v>37</v>
      </c>
      <c r="FO195" s="44">
        <v>3665</v>
      </c>
      <c r="FP195" s="44" t="s">
        <v>37</v>
      </c>
      <c r="FQ195" s="44">
        <v>28674</v>
      </c>
      <c r="FR195" s="44" t="s">
        <v>37</v>
      </c>
      <c r="FS195" s="44">
        <v>51941</v>
      </c>
      <c r="FT195" s="44" t="s">
        <v>37</v>
      </c>
      <c r="FU195" s="44">
        <v>14220</v>
      </c>
      <c r="FV195" s="44" t="s">
        <v>37</v>
      </c>
      <c r="FW195" s="44">
        <v>10549</v>
      </c>
      <c r="FX195" s="44" t="s">
        <v>37</v>
      </c>
      <c r="FY195" s="44">
        <v>22376</v>
      </c>
      <c r="FZ195" s="44" t="s">
        <v>37</v>
      </c>
      <c r="GA195" s="44">
        <v>2057</v>
      </c>
      <c r="GB195" s="44" t="s">
        <v>37</v>
      </c>
      <c r="GC195" s="44">
        <v>25725</v>
      </c>
      <c r="GD195" s="44" t="s">
        <v>37</v>
      </c>
      <c r="GE195" s="44">
        <v>15349</v>
      </c>
      <c r="GF195" s="44" t="s">
        <v>37</v>
      </c>
      <c r="GG195" s="44">
        <v>21452</v>
      </c>
      <c r="GH195" s="44" t="s">
        <v>37</v>
      </c>
      <c r="GI195" s="44">
        <v>17439</v>
      </c>
      <c r="GJ195" s="44" t="s">
        <v>37</v>
      </c>
      <c r="GK195" s="44">
        <v>20055</v>
      </c>
      <c r="GL195" s="44" t="s">
        <v>37</v>
      </c>
      <c r="GN195" s="44" t="s">
        <v>37</v>
      </c>
      <c r="GP195" s="44" t="s">
        <v>37</v>
      </c>
      <c r="GQ195" s="44">
        <v>9524</v>
      </c>
      <c r="GR195" s="44" t="s">
        <v>37</v>
      </c>
      <c r="GS195" s="44">
        <v>23402</v>
      </c>
      <c r="GT195" s="44" t="s">
        <v>37</v>
      </c>
      <c r="GU195" s="44">
        <v>21810</v>
      </c>
      <c r="GV195" s="44" t="s">
        <v>37</v>
      </c>
      <c r="GW195" s="44">
        <v>50866</v>
      </c>
      <c r="GX195" s="44" t="s">
        <v>37</v>
      </c>
      <c r="GY195" s="44">
        <v>54134</v>
      </c>
      <c r="GZ195" s="44" t="s">
        <v>37</v>
      </c>
      <c r="HA195" s="44">
        <v>78695</v>
      </c>
      <c r="HB195" s="44" t="s">
        <v>37</v>
      </c>
      <c r="HC195" s="44">
        <v>20064</v>
      </c>
      <c r="HD195" s="44" t="s">
        <v>37</v>
      </c>
      <c r="HE195" s="44">
        <v>13560</v>
      </c>
      <c r="HF195" s="44" t="s">
        <v>37</v>
      </c>
      <c r="HG195" s="44">
        <v>2810133</v>
      </c>
      <c r="HH195" s="44" t="s">
        <v>37</v>
      </c>
      <c r="HI195" s="44">
        <v>33624</v>
      </c>
      <c r="HJ195" s="44" t="s">
        <v>37</v>
      </c>
      <c r="HK195" s="44">
        <v>2843757</v>
      </c>
      <c r="HL195" s="44" t="s">
        <v>37</v>
      </c>
    </row>
    <row r="196" spans="1:220">
      <c r="A196" s="150" t="s">
        <v>411</v>
      </c>
      <c r="B196" s="44">
        <v>3590</v>
      </c>
      <c r="C196" s="44" t="s">
        <v>213</v>
      </c>
      <c r="D196" s="44" t="s">
        <v>37</v>
      </c>
      <c r="F196" s="44" t="s">
        <v>37</v>
      </c>
      <c r="G196" s="44">
        <v>619056</v>
      </c>
      <c r="H196" s="44" t="s">
        <v>37</v>
      </c>
      <c r="J196" s="44" t="s">
        <v>37</v>
      </c>
      <c r="L196" s="48" t="s">
        <v>37</v>
      </c>
      <c r="M196" s="50"/>
      <c r="N196" s="48" t="s">
        <v>37</v>
      </c>
      <c r="O196" s="50"/>
      <c r="P196" s="48" t="s">
        <v>37</v>
      </c>
      <c r="Q196" s="50"/>
      <c r="R196" s="48" t="s">
        <v>37</v>
      </c>
      <c r="S196" s="50"/>
      <c r="T196" s="48" t="s">
        <v>37</v>
      </c>
      <c r="V196" s="44" t="s">
        <v>37</v>
      </c>
      <c r="X196" s="44" t="s">
        <v>37</v>
      </c>
      <c r="Z196" s="44" t="s">
        <v>37</v>
      </c>
      <c r="AA196" s="44">
        <v>16586</v>
      </c>
      <c r="AB196" s="44" t="s">
        <v>37</v>
      </c>
      <c r="AC196" s="44">
        <v>35278</v>
      </c>
      <c r="AD196" s="44" t="s">
        <v>37</v>
      </c>
      <c r="AE196" s="44">
        <v>49390</v>
      </c>
      <c r="AF196" s="44" t="s">
        <v>37</v>
      </c>
      <c r="AG196" s="44">
        <v>54878</v>
      </c>
      <c r="AH196" s="44" t="s">
        <v>37</v>
      </c>
      <c r="AJ196" s="44" t="s">
        <v>37</v>
      </c>
      <c r="AL196" s="44" t="s">
        <v>37</v>
      </c>
      <c r="AN196" s="44" t="s">
        <v>37</v>
      </c>
      <c r="AP196" s="44" t="s">
        <v>37</v>
      </c>
      <c r="AR196" s="44" t="s">
        <v>37</v>
      </c>
      <c r="AT196" s="44" t="s">
        <v>37</v>
      </c>
      <c r="AV196" s="44" t="s">
        <v>37</v>
      </c>
      <c r="AX196" s="44" t="s">
        <v>37</v>
      </c>
      <c r="AY196" s="44">
        <v>105049</v>
      </c>
      <c r="AZ196" s="44" t="s">
        <v>37</v>
      </c>
      <c r="BB196" s="44" t="s">
        <v>37</v>
      </c>
      <c r="BD196" s="44" t="s">
        <v>37</v>
      </c>
      <c r="BF196" s="44" t="s">
        <v>37</v>
      </c>
      <c r="BH196" s="44" t="s">
        <v>37</v>
      </c>
      <c r="BJ196" s="44" t="s">
        <v>37</v>
      </c>
      <c r="BL196" s="44" t="s">
        <v>37</v>
      </c>
      <c r="BN196" s="44" t="s">
        <v>37</v>
      </c>
      <c r="BP196" s="44" t="s">
        <v>37</v>
      </c>
      <c r="BQ196" s="44">
        <v>42000</v>
      </c>
      <c r="BR196" s="44" t="s">
        <v>37</v>
      </c>
      <c r="BT196" s="44" t="s">
        <v>37</v>
      </c>
      <c r="BV196" s="44" t="s">
        <v>37</v>
      </c>
      <c r="BX196" s="44" t="s">
        <v>37</v>
      </c>
      <c r="BZ196" s="44" t="s">
        <v>37</v>
      </c>
      <c r="CB196" s="44" t="s">
        <v>37</v>
      </c>
      <c r="CD196" s="44" t="s">
        <v>37</v>
      </c>
      <c r="CF196" s="44" t="s">
        <v>37</v>
      </c>
      <c r="CG196" s="44">
        <v>141410</v>
      </c>
      <c r="CH196" s="44" t="s">
        <v>37</v>
      </c>
      <c r="CI196" s="44">
        <v>179834</v>
      </c>
      <c r="CJ196" s="44" t="s">
        <v>37</v>
      </c>
      <c r="CL196" s="44" t="s">
        <v>37</v>
      </c>
      <c r="CN196" s="44" t="s">
        <v>37</v>
      </c>
      <c r="CP196" s="44" t="s">
        <v>37</v>
      </c>
      <c r="CR196" s="44" t="s">
        <v>37</v>
      </c>
      <c r="CT196" s="44" t="s">
        <v>37</v>
      </c>
      <c r="CV196" s="44" t="s">
        <v>37</v>
      </c>
      <c r="CW196" s="44">
        <v>268667</v>
      </c>
      <c r="CX196" s="44" t="s">
        <v>37</v>
      </c>
      <c r="CY196" s="44">
        <v>69493</v>
      </c>
      <c r="CZ196" s="44" t="s">
        <v>37</v>
      </c>
      <c r="DA196" s="44">
        <v>97979</v>
      </c>
      <c r="DB196" s="44" t="s">
        <v>37</v>
      </c>
      <c r="DD196" s="44" t="s">
        <v>37</v>
      </c>
      <c r="DF196" s="44" t="s">
        <v>37</v>
      </c>
      <c r="DG196" s="44">
        <v>23356</v>
      </c>
      <c r="DH196" s="44" t="s">
        <v>37</v>
      </c>
      <c r="DJ196" s="44" t="s">
        <v>37</v>
      </c>
      <c r="DK196" s="44">
        <v>65961</v>
      </c>
      <c r="DL196" s="44" t="s">
        <v>37</v>
      </c>
      <c r="DM196" s="44">
        <v>155346</v>
      </c>
      <c r="DN196" s="44" t="s">
        <v>37</v>
      </c>
      <c r="DO196" s="44">
        <v>652045</v>
      </c>
      <c r="DP196" s="44" t="s">
        <v>37</v>
      </c>
      <c r="DR196" s="44" t="s">
        <v>37</v>
      </c>
      <c r="DT196" s="44" t="s">
        <v>37</v>
      </c>
      <c r="DV196" s="44" t="s">
        <v>37</v>
      </c>
      <c r="DW196" s="44">
        <v>560234</v>
      </c>
      <c r="DX196" s="44" t="s">
        <v>37</v>
      </c>
      <c r="DZ196" s="44" t="s">
        <v>37</v>
      </c>
      <c r="EB196" s="44" t="s">
        <v>37</v>
      </c>
      <c r="ED196" s="44" t="s">
        <v>37</v>
      </c>
      <c r="EF196" s="44" t="s">
        <v>37</v>
      </c>
      <c r="EH196" s="44" t="s">
        <v>37</v>
      </c>
      <c r="EJ196" s="44" t="s">
        <v>37</v>
      </c>
      <c r="EL196" s="44" t="s">
        <v>37</v>
      </c>
      <c r="EN196" s="44" t="s">
        <v>37</v>
      </c>
      <c r="EP196" s="44" t="s">
        <v>37</v>
      </c>
      <c r="ER196" s="44" t="s">
        <v>37</v>
      </c>
      <c r="ET196" s="44" t="s">
        <v>37</v>
      </c>
      <c r="EV196" s="44" t="s">
        <v>37</v>
      </c>
      <c r="EW196" s="44">
        <v>311528</v>
      </c>
      <c r="EX196" s="44" t="s">
        <v>37</v>
      </c>
      <c r="EZ196" s="44" t="s">
        <v>37</v>
      </c>
      <c r="FA196" s="44">
        <v>198400</v>
      </c>
      <c r="FB196" s="44" t="s">
        <v>37</v>
      </c>
      <c r="FD196" s="44" t="s">
        <v>37</v>
      </c>
      <c r="FF196" s="44" t="s">
        <v>37</v>
      </c>
      <c r="FH196" s="44" t="s">
        <v>37</v>
      </c>
      <c r="FJ196" s="44" t="s">
        <v>37</v>
      </c>
      <c r="FL196" s="44" t="s">
        <v>37</v>
      </c>
      <c r="FM196" s="44">
        <v>594433</v>
      </c>
      <c r="FN196" s="44" t="s">
        <v>37</v>
      </c>
      <c r="FO196" s="44">
        <v>13841</v>
      </c>
      <c r="FP196" s="44" t="s">
        <v>37</v>
      </c>
      <c r="FR196" s="44" t="s">
        <v>37</v>
      </c>
      <c r="FT196" s="44" t="s">
        <v>37</v>
      </c>
      <c r="FU196" s="44">
        <v>180046</v>
      </c>
      <c r="FV196" s="44" t="s">
        <v>37</v>
      </c>
      <c r="FW196" s="44">
        <v>171407</v>
      </c>
      <c r="FX196" s="44" t="s">
        <v>37</v>
      </c>
      <c r="FY196" s="44">
        <v>377190</v>
      </c>
      <c r="FZ196" s="44" t="s">
        <v>37</v>
      </c>
      <c r="GA196" s="44">
        <v>563981</v>
      </c>
      <c r="GB196" s="44" t="s">
        <v>37</v>
      </c>
      <c r="GD196" s="44" t="s">
        <v>37</v>
      </c>
      <c r="GF196" s="44" t="s">
        <v>37</v>
      </c>
      <c r="GH196" s="44" t="s">
        <v>37</v>
      </c>
      <c r="GJ196" s="44" t="s">
        <v>37</v>
      </c>
      <c r="GK196" s="44">
        <v>267133</v>
      </c>
      <c r="GL196" s="44" t="s">
        <v>37</v>
      </c>
      <c r="GM196" s="44">
        <v>132891</v>
      </c>
      <c r="GN196" s="44" t="s">
        <v>37</v>
      </c>
      <c r="GP196" s="44" t="s">
        <v>37</v>
      </c>
      <c r="GQ196" s="44">
        <v>26706</v>
      </c>
      <c r="GR196" s="44" t="s">
        <v>37</v>
      </c>
      <c r="GS196" s="44">
        <v>191860</v>
      </c>
      <c r="GT196" s="44" t="s">
        <v>37</v>
      </c>
      <c r="GV196" s="44" t="s">
        <v>37</v>
      </c>
      <c r="GX196" s="44" t="s">
        <v>37</v>
      </c>
      <c r="GZ196" s="44" t="s">
        <v>37</v>
      </c>
      <c r="HA196" s="44">
        <v>248920</v>
      </c>
      <c r="HB196" s="44" t="s">
        <v>37</v>
      </c>
      <c r="HD196" s="44" t="s">
        <v>37</v>
      </c>
      <c r="HF196" s="44" t="s">
        <v>37</v>
      </c>
      <c r="HG196" s="44">
        <v>6414898</v>
      </c>
      <c r="HH196" s="44" t="s">
        <v>37</v>
      </c>
      <c r="HJ196" s="44" t="s">
        <v>37</v>
      </c>
      <c r="HK196" s="44">
        <v>6414898</v>
      </c>
      <c r="HL196" s="44" t="s">
        <v>37</v>
      </c>
    </row>
    <row r="197" spans="1:220">
      <c r="A197" s="150" t="s">
        <v>411</v>
      </c>
      <c r="B197" s="44">
        <v>3591</v>
      </c>
      <c r="C197" s="44" t="s">
        <v>140</v>
      </c>
      <c r="D197" s="44" t="s">
        <v>37</v>
      </c>
      <c r="E197" s="44">
        <v>29852</v>
      </c>
      <c r="F197" s="44" t="s">
        <v>37</v>
      </c>
      <c r="G197" s="44">
        <v>201465</v>
      </c>
      <c r="H197" s="44" t="s">
        <v>37</v>
      </c>
      <c r="I197" s="44">
        <v>20500</v>
      </c>
      <c r="J197" s="44" t="s">
        <v>37</v>
      </c>
      <c r="L197" s="48" t="s">
        <v>37</v>
      </c>
      <c r="M197" s="51">
        <v>72519</v>
      </c>
      <c r="N197" s="48" t="s">
        <v>37</v>
      </c>
      <c r="O197" s="51">
        <v>41000</v>
      </c>
      <c r="P197" s="48" t="s">
        <v>37</v>
      </c>
      <c r="Q197" s="51">
        <v>20500</v>
      </c>
      <c r="R197" s="48" t="s">
        <v>37</v>
      </c>
      <c r="S197" s="51">
        <v>20500</v>
      </c>
      <c r="T197" s="48" t="s">
        <v>37</v>
      </c>
      <c r="U197" s="44">
        <v>61500</v>
      </c>
      <c r="V197" s="44" t="s">
        <v>37</v>
      </c>
      <c r="X197" s="44" t="s">
        <v>37</v>
      </c>
      <c r="Z197" s="44" t="s">
        <v>37</v>
      </c>
      <c r="AA197" s="44">
        <v>20500</v>
      </c>
      <c r="AB197" s="44" t="s">
        <v>37</v>
      </c>
      <c r="AC197" s="44">
        <v>17524</v>
      </c>
      <c r="AD197" s="44" t="s">
        <v>37</v>
      </c>
      <c r="AE197" s="44">
        <v>18880</v>
      </c>
      <c r="AF197" s="44" t="s">
        <v>37</v>
      </c>
      <c r="AG197" s="44">
        <v>20500</v>
      </c>
      <c r="AH197" s="44" t="s">
        <v>37</v>
      </c>
      <c r="AI197" s="44">
        <v>20500</v>
      </c>
      <c r="AJ197" s="44" t="s">
        <v>37</v>
      </c>
      <c r="AL197" s="44" t="s">
        <v>37</v>
      </c>
      <c r="AN197" s="44" t="s">
        <v>37</v>
      </c>
      <c r="AP197" s="44" t="s">
        <v>37</v>
      </c>
      <c r="AQ197" s="44">
        <v>183648</v>
      </c>
      <c r="AR197" s="44" t="s">
        <v>37</v>
      </c>
      <c r="AS197" s="44">
        <v>19923</v>
      </c>
      <c r="AT197" s="44" t="s">
        <v>37</v>
      </c>
      <c r="AU197" s="44">
        <v>361761</v>
      </c>
      <c r="AV197" s="44" t="s">
        <v>37</v>
      </c>
      <c r="AW197" s="44">
        <v>82000</v>
      </c>
      <c r="AX197" s="44" t="s">
        <v>37</v>
      </c>
      <c r="AY197" s="44">
        <v>53399</v>
      </c>
      <c r="AZ197" s="44" t="s">
        <v>37</v>
      </c>
      <c r="BA197" s="44">
        <v>70573</v>
      </c>
      <c r="BB197" s="44" t="s">
        <v>37</v>
      </c>
      <c r="BC197" s="44">
        <v>18294</v>
      </c>
      <c r="BD197" s="44" t="s">
        <v>37</v>
      </c>
      <c r="BE197" s="44">
        <v>20500</v>
      </c>
      <c r="BF197" s="44" t="s">
        <v>37</v>
      </c>
      <c r="BG197" s="44">
        <v>20500</v>
      </c>
      <c r="BH197" s="44" t="s">
        <v>37</v>
      </c>
      <c r="BJ197" s="44" t="s">
        <v>37</v>
      </c>
      <c r="BK197" s="44">
        <v>61500</v>
      </c>
      <c r="BL197" s="44" t="s">
        <v>37</v>
      </c>
      <c r="BM197" s="44">
        <v>52151</v>
      </c>
      <c r="BN197" s="44" t="s">
        <v>37</v>
      </c>
      <c r="BP197" s="44" t="s">
        <v>37</v>
      </c>
      <c r="BQ197" s="44">
        <v>20500</v>
      </c>
      <c r="BR197" s="44" t="s">
        <v>37</v>
      </c>
      <c r="BS197" s="44">
        <v>20500</v>
      </c>
      <c r="BT197" s="44" t="s">
        <v>37</v>
      </c>
      <c r="BU197" s="44">
        <v>20500</v>
      </c>
      <c r="BV197" s="44" t="s">
        <v>37</v>
      </c>
      <c r="BX197" s="44" t="s">
        <v>37</v>
      </c>
      <c r="BY197" s="44">
        <v>116862</v>
      </c>
      <c r="BZ197" s="44" t="s">
        <v>37</v>
      </c>
      <c r="CA197" s="44">
        <v>25654</v>
      </c>
      <c r="CB197" s="44" t="s">
        <v>37</v>
      </c>
      <c r="CD197" s="44" t="s">
        <v>37</v>
      </c>
      <c r="CE197" s="44">
        <v>40136</v>
      </c>
      <c r="CF197" s="44" t="s">
        <v>37</v>
      </c>
      <c r="CG197" s="44">
        <v>41000</v>
      </c>
      <c r="CH197" s="44" t="s">
        <v>37</v>
      </c>
      <c r="CI197" s="44">
        <v>61500</v>
      </c>
      <c r="CJ197" s="44" t="s">
        <v>37</v>
      </c>
      <c r="CK197" s="44">
        <v>20500</v>
      </c>
      <c r="CL197" s="44" t="s">
        <v>37</v>
      </c>
      <c r="CM197" s="44">
        <v>41834</v>
      </c>
      <c r="CN197" s="44" t="s">
        <v>37</v>
      </c>
      <c r="CO197" s="44">
        <v>20500</v>
      </c>
      <c r="CP197" s="44" t="s">
        <v>37</v>
      </c>
      <c r="CQ197" s="44">
        <v>20500</v>
      </c>
      <c r="CR197" s="44" t="s">
        <v>37</v>
      </c>
      <c r="CS197" s="44">
        <v>82000</v>
      </c>
      <c r="CT197" s="44" t="s">
        <v>37</v>
      </c>
      <c r="CU197" s="44">
        <v>355984</v>
      </c>
      <c r="CV197" s="44" t="s">
        <v>37</v>
      </c>
      <c r="CW197" s="44">
        <v>61500</v>
      </c>
      <c r="CX197" s="44" t="s">
        <v>37</v>
      </c>
      <c r="CY197" s="44">
        <v>17892</v>
      </c>
      <c r="CZ197" s="44" t="s">
        <v>37</v>
      </c>
      <c r="DA197" s="44">
        <v>20500</v>
      </c>
      <c r="DB197" s="44" t="s">
        <v>37</v>
      </c>
      <c r="DD197" s="44" t="s">
        <v>37</v>
      </c>
      <c r="DE197" s="44">
        <v>20500</v>
      </c>
      <c r="DF197" s="44" t="s">
        <v>37</v>
      </c>
      <c r="DG197" s="44">
        <v>20500</v>
      </c>
      <c r="DH197" s="44" t="s">
        <v>37</v>
      </c>
      <c r="DI197" s="44">
        <v>176162</v>
      </c>
      <c r="DJ197" s="44" t="s">
        <v>37</v>
      </c>
      <c r="DK197" s="44">
        <v>29326</v>
      </c>
      <c r="DL197" s="44" t="s">
        <v>37</v>
      </c>
      <c r="DM197" s="44">
        <v>82000</v>
      </c>
      <c r="DN197" s="44" t="s">
        <v>37</v>
      </c>
      <c r="DO197" s="44">
        <v>98449</v>
      </c>
      <c r="DP197" s="44" t="s">
        <v>37</v>
      </c>
      <c r="DQ197" s="44">
        <v>142496</v>
      </c>
      <c r="DR197" s="44" t="s">
        <v>37</v>
      </c>
      <c r="DS197" s="44">
        <v>20500</v>
      </c>
      <c r="DT197" s="44" t="s">
        <v>37</v>
      </c>
      <c r="DU197" s="44">
        <v>34118</v>
      </c>
      <c r="DV197" s="44" t="s">
        <v>37</v>
      </c>
      <c r="DW197" s="44">
        <v>104052</v>
      </c>
      <c r="DX197" s="44" t="s">
        <v>37</v>
      </c>
      <c r="DY197" s="44">
        <v>82000</v>
      </c>
      <c r="DZ197" s="44" t="s">
        <v>37</v>
      </c>
      <c r="EA197" s="44">
        <v>20500</v>
      </c>
      <c r="EB197" s="44" t="s">
        <v>37</v>
      </c>
      <c r="EC197" s="44">
        <v>20500</v>
      </c>
      <c r="ED197" s="44" t="s">
        <v>37</v>
      </c>
      <c r="EE197" s="44">
        <v>61500</v>
      </c>
      <c r="EF197" s="44" t="s">
        <v>37</v>
      </c>
      <c r="EH197" s="44" t="s">
        <v>37</v>
      </c>
      <c r="EJ197" s="44" t="s">
        <v>37</v>
      </c>
      <c r="EK197" s="44">
        <v>20500</v>
      </c>
      <c r="EL197" s="44" t="s">
        <v>37</v>
      </c>
      <c r="EM197" s="44">
        <v>20500</v>
      </c>
      <c r="EN197" s="44" t="s">
        <v>37</v>
      </c>
      <c r="EO197" s="44">
        <v>20500</v>
      </c>
      <c r="EP197" s="44" t="s">
        <v>37</v>
      </c>
      <c r="ER197" s="44" t="s">
        <v>37</v>
      </c>
      <c r="ES197" s="44">
        <v>46536</v>
      </c>
      <c r="ET197" s="44" t="s">
        <v>37</v>
      </c>
      <c r="EU197" s="44">
        <v>45503</v>
      </c>
      <c r="EV197" s="44" t="s">
        <v>37</v>
      </c>
      <c r="EW197" s="44">
        <v>87507</v>
      </c>
      <c r="EX197" s="44" t="s">
        <v>37</v>
      </c>
      <c r="EZ197" s="44" t="s">
        <v>37</v>
      </c>
      <c r="FA197" s="44">
        <v>26806</v>
      </c>
      <c r="FB197" s="44" t="s">
        <v>37</v>
      </c>
      <c r="FC197" s="44">
        <v>36304</v>
      </c>
      <c r="FD197" s="44" t="s">
        <v>37</v>
      </c>
      <c r="FE197" s="44">
        <v>53211</v>
      </c>
      <c r="FF197" s="44" t="s">
        <v>37</v>
      </c>
      <c r="FH197" s="44" t="s">
        <v>37</v>
      </c>
      <c r="FI197" s="44">
        <v>102500</v>
      </c>
      <c r="FJ197" s="44" t="s">
        <v>37</v>
      </c>
      <c r="FK197" s="44">
        <v>193124</v>
      </c>
      <c r="FL197" s="44" t="s">
        <v>37</v>
      </c>
      <c r="FM197" s="44">
        <v>102500</v>
      </c>
      <c r="FN197" s="44" t="s">
        <v>37</v>
      </c>
      <c r="FO197" s="44">
        <v>20500</v>
      </c>
      <c r="FP197" s="44" t="s">
        <v>37</v>
      </c>
      <c r="FQ197" s="44">
        <v>48149</v>
      </c>
      <c r="FR197" s="44" t="s">
        <v>37</v>
      </c>
      <c r="FS197" s="44">
        <v>41000</v>
      </c>
      <c r="FT197" s="44" t="s">
        <v>37</v>
      </c>
      <c r="FU197" s="44">
        <v>29598</v>
      </c>
      <c r="FV197" s="44" t="s">
        <v>37</v>
      </c>
      <c r="FW197" s="44">
        <v>20500</v>
      </c>
      <c r="FX197" s="44" t="s">
        <v>37</v>
      </c>
      <c r="FY197" s="44">
        <v>41000</v>
      </c>
      <c r="FZ197" s="44" t="s">
        <v>37</v>
      </c>
      <c r="GA197" s="44">
        <v>61500</v>
      </c>
      <c r="GB197" s="44" t="s">
        <v>37</v>
      </c>
      <c r="GC197" s="44">
        <v>61500</v>
      </c>
      <c r="GD197" s="44" t="s">
        <v>37</v>
      </c>
      <c r="GF197" s="44" t="s">
        <v>37</v>
      </c>
      <c r="GH197" s="44" t="s">
        <v>37</v>
      </c>
      <c r="GJ197" s="44" t="s">
        <v>37</v>
      </c>
      <c r="GK197" s="44">
        <v>69384</v>
      </c>
      <c r="GL197" s="44" t="s">
        <v>37</v>
      </c>
      <c r="GM197" s="44">
        <v>67746</v>
      </c>
      <c r="GN197" s="44" t="s">
        <v>37</v>
      </c>
      <c r="GP197" s="44" t="s">
        <v>37</v>
      </c>
      <c r="GQ197" s="44">
        <v>28860</v>
      </c>
      <c r="GR197" s="44" t="s">
        <v>37</v>
      </c>
      <c r="GS197" s="44">
        <v>36315</v>
      </c>
      <c r="GT197" s="44" t="s">
        <v>37</v>
      </c>
      <c r="GU197" s="44">
        <v>20500</v>
      </c>
      <c r="GV197" s="44" t="s">
        <v>37</v>
      </c>
      <c r="GW197" s="44">
        <v>20500</v>
      </c>
      <c r="GX197" s="44" t="s">
        <v>37</v>
      </c>
      <c r="GY197" s="44">
        <v>82270</v>
      </c>
      <c r="GZ197" s="44" t="s">
        <v>37</v>
      </c>
      <c r="HA197" s="44">
        <v>61500</v>
      </c>
      <c r="HB197" s="44" t="s">
        <v>37</v>
      </c>
      <c r="HC197" s="44">
        <v>20500</v>
      </c>
      <c r="HD197" s="44" t="s">
        <v>37</v>
      </c>
      <c r="HF197" s="44" t="s">
        <v>37</v>
      </c>
      <c r="HG197" s="44">
        <v>4876767</v>
      </c>
      <c r="HH197" s="44" t="s">
        <v>37</v>
      </c>
      <c r="HI197" s="44">
        <v>20500</v>
      </c>
      <c r="HJ197" s="44" t="s">
        <v>37</v>
      </c>
      <c r="HK197" s="44">
        <v>4897267</v>
      </c>
      <c r="HL197" s="44" t="s">
        <v>37</v>
      </c>
    </row>
    <row r="198" spans="1:220">
      <c r="A198" s="150" t="s">
        <v>411</v>
      </c>
      <c r="B198" s="44">
        <v>3592</v>
      </c>
      <c r="C198" s="44" t="s">
        <v>214</v>
      </c>
      <c r="D198" s="44" t="s">
        <v>37</v>
      </c>
      <c r="E198" s="44">
        <v>21829</v>
      </c>
      <c r="F198" s="44" t="s">
        <v>37</v>
      </c>
      <c r="G198" s="44">
        <v>152133</v>
      </c>
      <c r="H198" s="44" t="s">
        <v>37</v>
      </c>
      <c r="I198" s="44">
        <v>4456</v>
      </c>
      <c r="J198" s="44" t="s">
        <v>37</v>
      </c>
      <c r="L198" s="48" t="s">
        <v>37</v>
      </c>
      <c r="M198" s="51">
        <v>46242</v>
      </c>
      <c r="N198" s="48" t="s">
        <v>37</v>
      </c>
      <c r="O198" s="51">
        <v>23236</v>
      </c>
      <c r="P198" s="48" t="s">
        <v>37</v>
      </c>
      <c r="Q198" s="51">
        <v>15397</v>
      </c>
      <c r="R198" s="48" t="s">
        <v>37</v>
      </c>
      <c r="S198" s="51">
        <v>6872</v>
      </c>
      <c r="T198" s="48" t="s">
        <v>37</v>
      </c>
      <c r="U198" s="44">
        <v>64135</v>
      </c>
      <c r="V198" s="44" t="s">
        <v>37</v>
      </c>
      <c r="X198" s="44" t="s">
        <v>37</v>
      </c>
      <c r="Z198" s="44" t="s">
        <v>37</v>
      </c>
      <c r="AA198" s="44">
        <v>46410</v>
      </c>
      <c r="AB198" s="44" t="s">
        <v>37</v>
      </c>
      <c r="AC198" s="44">
        <v>5308</v>
      </c>
      <c r="AD198" s="44" t="s">
        <v>37</v>
      </c>
      <c r="AE198" s="44">
        <v>6368</v>
      </c>
      <c r="AF198" s="44" t="s">
        <v>37</v>
      </c>
      <c r="AG198" s="44">
        <v>5301</v>
      </c>
      <c r="AH198" s="44" t="s">
        <v>37</v>
      </c>
      <c r="AI198" s="44">
        <v>17378</v>
      </c>
      <c r="AJ198" s="44" t="s">
        <v>37</v>
      </c>
      <c r="AL198" s="44" t="s">
        <v>37</v>
      </c>
      <c r="AN198" s="44" t="s">
        <v>37</v>
      </c>
      <c r="AO198" s="44">
        <v>21576</v>
      </c>
      <c r="AP198" s="44" t="s">
        <v>37</v>
      </c>
      <c r="AQ198" s="44">
        <v>207003</v>
      </c>
      <c r="AR198" s="44" t="s">
        <v>37</v>
      </c>
      <c r="AS198" s="44">
        <v>999</v>
      </c>
      <c r="AT198" s="44" t="s">
        <v>37</v>
      </c>
      <c r="AU198" s="44">
        <v>106366</v>
      </c>
      <c r="AV198" s="44" t="s">
        <v>37</v>
      </c>
      <c r="AW198" s="44">
        <v>51579</v>
      </c>
      <c r="AX198" s="44" t="s">
        <v>37</v>
      </c>
      <c r="AY198" s="44">
        <v>31330</v>
      </c>
      <c r="AZ198" s="44" t="s">
        <v>37</v>
      </c>
      <c r="BA198" s="44">
        <v>85569</v>
      </c>
      <c r="BB198" s="44" t="s">
        <v>37</v>
      </c>
      <c r="BC198" s="44">
        <v>32250</v>
      </c>
      <c r="BD198" s="44" t="s">
        <v>37</v>
      </c>
      <c r="BF198" s="44" t="s">
        <v>37</v>
      </c>
      <c r="BG198" s="44">
        <v>8577</v>
      </c>
      <c r="BH198" s="44" t="s">
        <v>37</v>
      </c>
      <c r="BJ198" s="44" t="s">
        <v>37</v>
      </c>
      <c r="BK198" s="44">
        <v>41011</v>
      </c>
      <c r="BL198" s="44" t="s">
        <v>37</v>
      </c>
      <c r="BM198" s="44">
        <v>65426</v>
      </c>
      <c r="BN198" s="44" t="s">
        <v>37</v>
      </c>
      <c r="BP198" s="44" t="s">
        <v>37</v>
      </c>
      <c r="BQ198" s="44">
        <v>6856</v>
      </c>
      <c r="BR198" s="44" t="s">
        <v>37</v>
      </c>
      <c r="BS198" s="44">
        <v>23093</v>
      </c>
      <c r="BT198" s="44" t="s">
        <v>37</v>
      </c>
      <c r="BU198" s="44">
        <v>9968</v>
      </c>
      <c r="BV198" s="44" t="s">
        <v>37</v>
      </c>
      <c r="BX198" s="44" t="s">
        <v>37</v>
      </c>
      <c r="BY198" s="44">
        <v>123968</v>
      </c>
      <c r="BZ198" s="44" t="s">
        <v>37</v>
      </c>
      <c r="CA198" s="44">
        <v>13245</v>
      </c>
      <c r="CB198" s="44" t="s">
        <v>37</v>
      </c>
      <c r="CD198" s="44" t="s">
        <v>37</v>
      </c>
      <c r="CE198" s="44">
        <v>17673</v>
      </c>
      <c r="CF198" s="44" t="s">
        <v>37</v>
      </c>
      <c r="CG198" s="44">
        <v>15808</v>
      </c>
      <c r="CH198" s="44" t="s">
        <v>37</v>
      </c>
      <c r="CI198" s="44">
        <v>77293</v>
      </c>
      <c r="CJ198" s="44" t="s">
        <v>37</v>
      </c>
      <c r="CK198" s="44">
        <v>7633</v>
      </c>
      <c r="CL198" s="44" t="s">
        <v>37</v>
      </c>
      <c r="CM198" s="44">
        <v>23042</v>
      </c>
      <c r="CN198" s="44" t="s">
        <v>37</v>
      </c>
      <c r="CO198" s="44">
        <v>6222</v>
      </c>
      <c r="CP198" s="44" t="s">
        <v>37</v>
      </c>
      <c r="CQ198" s="44">
        <v>9908</v>
      </c>
      <c r="CR198" s="44" t="s">
        <v>37</v>
      </c>
      <c r="CS198" s="44">
        <v>53808</v>
      </c>
      <c r="CT198" s="44" t="s">
        <v>37</v>
      </c>
      <c r="CU198" s="44">
        <v>361986</v>
      </c>
      <c r="CV198" s="44" t="s">
        <v>37</v>
      </c>
      <c r="CX198" s="44" t="s">
        <v>37</v>
      </c>
      <c r="CY198" s="44">
        <v>7532</v>
      </c>
      <c r="CZ198" s="44" t="s">
        <v>37</v>
      </c>
      <c r="DA198" s="44">
        <v>6131</v>
      </c>
      <c r="DB198" s="44" t="s">
        <v>37</v>
      </c>
      <c r="DC198" s="44">
        <v>51844</v>
      </c>
      <c r="DD198" s="44" t="s">
        <v>37</v>
      </c>
      <c r="DE198" s="44">
        <v>16971</v>
      </c>
      <c r="DF198" s="44" t="s">
        <v>37</v>
      </c>
      <c r="DG198" s="44">
        <v>29981</v>
      </c>
      <c r="DH198" s="44" t="s">
        <v>37</v>
      </c>
      <c r="DI198" s="44">
        <v>134135</v>
      </c>
      <c r="DJ198" s="44" t="s">
        <v>37</v>
      </c>
      <c r="DK198" s="44">
        <v>9799</v>
      </c>
      <c r="DL198" s="44" t="s">
        <v>37</v>
      </c>
      <c r="DM198" s="44">
        <v>58501</v>
      </c>
      <c r="DN198" s="44" t="s">
        <v>37</v>
      </c>
      <c r="DO198" s="44">
        <v>63847</v>
      </c>
      <c r="DP198" s="44" t="s">
        <v>37</v>
      </c>
      <c r="DQ198" s="44">
        <v>31694</v>
      </c>
      <c r="DR198" s="44" t="s">
        <v>37</v>
      </c>
      <c r="DS198" s="44">
        <v>20638</v>
      </c>
      <c r="DT198" s="44" t="s">
        <v>37</v>
      </c>
      <c r="DU198" s="44">
        <v>12463</v>
      </c>
      <c r="DV198" s="44" t="s">
        <v>37</v>
      </c>
      <c r="DW198" s="44">
        <v>121312</v>
      </c>
      <c r="DX198" s="44" t="s">
        <v>37</v>
      </c>
      <c r="DY198" s="44">
        <v>46674</v>
      </c>
      <c r="DZ198" s="44" t="s">
        <v>37</v>
      </c>
      <c r="EA198" s="44">
        <v>12749</v>
      </c>
      <c r="EB198" s="44" t="s">
        <v>37</v>
      </c>
      <c r="EC198" s="44">
        <v>57770</v>
      </c>
      <c r="ED198" s="44" t="s">
        <v>37</v>
      </c>
      <c r="EE198" s="44">
        <v>82595</v>
      </c>
      <c r="EF198" s="44" t="s">
        <v>37</v>
      </c>
      <c r="EG198" s="44">
        <v>8524</v>
      </c>
      <c r="EH198" s="44" t="s">
        <v>37</v>
      </c>
      <c r="EJ198" s="44" t="s">
        <v>37</v>
      </c>
      <c r="EL198" s="44" t="s">
        <v>37</v>
      </c>
      <c r="EN198" s="44" t="s">
        <v>37</v>
      </c>
      <c r="EP198" s="44" t="s">
        <v>37</v>
      </c>
      <c r="EQ198" s="44">
        <v>38583</v>
      </c>
      <c r="ER198" s="44" t="s">
        <v>37</v>
      </c>
      <c r="ES198" s="44">
        <v>29907</v>
      </c>
      <c r="ET198" s="44" t="s">
        <v>37</v>
      </c>
      <c r="EU198" s="44">
        <v>34012</v>
      </c>
      <c r="EV198" s="44" t="s">
        <v>37</v>
      </c>
      <c r="EW198" s="44">
        <v>44083</v>
      </c>
      <c r="EX198" s="44" t="s">
        <v>37</v>
      </c>
      <c r="EZ198" s="44" t="s">
        <v>37</v>
      </c>
      <c r="FA198" s="44">
        <v>24691</v>
      </c>
      <c r="FB198" s="44" t="s">
        <v>37</v>
      </c>
      <c r="FC198" s="44">
        <v>24896</v>
      </c>
      <c r="FD198" s="44" t="s">
        <v>37</v>
      </c>
      <c r="FE198" s="44">
        <v>38500</v>
      </c>
      <c r="FF198" s="44" t="s">
        <v>37</v>
      </c>
      <c r="FH198" s="44" t="s">
        <v>37</v>
      </c>
      <c r="FI198" s="44">
        <v>87819</v>
      </c>
      <c r="FJ198" s="44" t="s">
        <v>37</v>
      </c>
      <c r="FK198" s="44">
        <v>123269</v>
      </c>
      <c r="FL198" s="44" t="s">
        <v>37</v>
      </c>
      <c r="FM198" s="44">
        <v>103401</v>
      </c>
      <c r="FN198" s="44" t="s">
        <v>37</v>
      </c>
      <c r="FO198" s="44">
        <v>12400</v>
      </c>
      <c r="FP198" s="44" t="s">
        <v>37</v>
      </c>
      <c r="FQ198" s="44">
        <v>27242</v>
      </c>
      <c r="FR198" s="44" t="s">
        <v>37</v>
      </c>
      <c r="FS198" s="44">
        <v>51638</v>
      </c>
      <c r="FT198" s="44" t="s">
        <v>37</v>
      </c>
      <c r="FU198" s="44">
        <v>17262</v>
      </c>
      <c r="FV198" s="44" t="s">
        <v>37</v>
      </c>
      <c r="FW198" s="44">
        <v>17108</v>
      </c>
      <c r="FX198" s="44" t="s">
        <v>37</v>
      </c>
      <c r="FY198" s="44">
        <v>79799</v>
      </c>
      <c r="FZ198" s="44" t="s">
        <v>37</v>
      </c>
      <c r="GA198" s="44">
        <v>36488</v>
      </c>
      <c r="GB198" s="44" t="s">
        <v>37</v>
      </c>
      <c r="GC198" s="44">
        <v>54334</v>
      </c>
      <c r="GD198" s="44" t="s">
        <v>37</v>
      </c>
      <c r="GF198" s="44" t="s">
        <v>37</v>
      </c>
      <c r="GH198" s="44" t="s">
        <v>37</v>
      </c>
      <c r="GJ198" s="44" t="s">
        <v>37</v>
      </c>
      <c r="GK198" s="44">
        <v>51066</v>
      </c>
      <c r="GL198" s="44" t="s">
        <v>37</v>
      </c>
      <c r="GM198" s="44">
        <v>52113</v>
      </c>
      <c r="GN198" s="44" t="s">
        <v>37</v>
      </c>
      <c r="GP198" s="44" t="s">
        <v>37</v>
      </c>
      <c r="GQ198" s="44">
        <v>30200</v>
      </c>
      <c r="GR198" s="44" t="s">
        <v>37</v>
      </c>
      <c r="GS198" s="44">
        <v>72218</v>
      </c>
      <c r="GT198" s="44" t="s">
        <v>37</v>
      </c>
      <c r="GU198" s="44">
        <v>30282</v>
      </c>
      <c r="GV198" s="44" t="s">
        <v>37</v>
      </c>
      <c r="GW198" s="44">
        <v>17414</v>
      </c>
      <c r="GX198" s="44" t="s">
        <v>37</v>
      </c>
      <c r="GY198" s="44">
        <v>118587</v>
      </c>
      <c r="GZ198" s="44" t="s">
        <v>37</v>
      </c>
      <c r="HA198" s="44">
        <v>34803</v>
      </c>
      <c r="HB198" s="44" t="s">
        <v>37</v>
      </c>
      <c r="HC198" s="44">
        <v>7115</v>
      </c>
      <c r="HD198" s="44" t="s">
        <v>37</v>
      </c>
      <c r="HF198" s="44" t="s">
        <v>37</v>
      </c>
      <c r="HG198" s="44">
        <v>3842529</v>
      </c>
      <c r="HH198" s="44" t="s">
        <v>37</v>
      </c>
      <c r="HI198" s="44">
        <v>7115</v>
      </c>
      <c r="HJ198" s="44" t="s">
        <v>37</v>
      </c>
      <c r="HK198" s="44">
        <v>3849644</v>
      </c>
      <c r="HL198" s="44" t="s">
        <v>37</v>
      </c>
    </row>
    <row r="199" spans="1:220">
      <c r="A199" s="150" t="s">
        <v>411</v>
      </c>
      <c r="B199" s="44">
        <v>3593</v>
      </c>
      <c r="C199" s="44" t="s">
        <v>215</v>
      </c>
      <c r="D199" s="44" t="s">
        <v>37</v>
      </c>
      <c r="E199" s="44">
        <v>198618</v>
      </c>
      <c r="F199" s="44" t="s">
        <v>37</v>
      </c>
      <c r="G199" s="44">
        <v>1175535</v>
      </c>
      <c r="H199" s="44" t="s">
        <v>37</v>
      </c>
      <c r="I199" s="44">
        <v>476072</v>
      </c>
      <c r="J199" s="44" t="s">
        <v>37</v>
      </c>
      <c r="L199" s="48" t="s">
        <v>37</v>
      </c>
      <c r="M199" s="51">
        <v>280877</v>
      </c>
      <c r="N199" s="48" t="s">
        <v>37</v>
      </c>
      <c r="O199" s="51">
        <v>161355</v>
      </c>
      <c r="P199" s="48" t="s">
        <v>37</v>
      </c>
      <c r="Q199" s="50"/>
      <c r="R199" s="48" t="s">
        <v>37</v>
      </c>
      <c r="S199" s="51">
        <v>110382</v>
      </c>
      <c r="T199" s="48" t="s">
        <v>37</v>
      </c>
      <c r="U199" s="44">
        <v>557887</v>
      </c>
      <c r="V199" s="44" t="s">
        <v>37</v>
      </c>
      <c r="X199" s="44" t="s">
        <v>37</v>
      </c>
      <c r="Z199" s="44" t="s">
        <v>37</v>
      </c>
      <c r="AA199" s="44">
        <v>80853</v>
      </c>
      <c r="AB199" s="44" t="s">
        <v>37</v>
      </c>
      <c r="AC199" s="44">
        <v>380858</v>
      </c>
      <c r="AD199" s="44" t="s">
        <v>37</v>
      </c>
      <c r="AE199" s="44">
        <v>91755</v>
      </c>
      <c r="AF199" s="44" t="s">
        <v>37</v>
      </c>
      <c r="AG199" s="44">
        <v>38463</v>
      </c>
      <c r="AH199" s="44" t="s">
        <v>37</v>
      </c>
      <c r="AI199" s="44">
        <v>138154</v>
      </c>
      <c r="AJ199" s="44" t="s">
        <v>37</v>
      </c>
      <c r="AL199" s="44" t="s">
        <v>37</v>
      </c>
      <c r="AM199" s="44">
        <v>831382</v>
      </c>
      <c r="AN199" s="44" t="s">
        <v>37</v>
      </c>
      <c r="AP199" s="44" t="s">
        <v>37</v>
      </c>
      <c r="AQ199" s="44">
        <v>1288378</v>
      </c>
      <c r="AR199" s="44" t="s">
        <v>37</v>
      </c>
      <c r="AS199" s="44">
        <v>126201</v>
      </c>
      <c r="AT199" s="44" t="s">
        <v>37</v>
      </c>
      <c r="AU199" s="44">
        <v>1918330</v>
      </c>
      <c r="AV199" s="44" t="s">
        <v>37</v>
      </c>
      <c r="AW199" s="44">
        <v>818853</v>
      </c>
      <c r="AX199" s="44" t="s">
        <v>37</v>
      </c>
      <c r="AY199" s="44">
        <v>303375</v>
      </c>
      <c r="AZ199" s="44" t="s">
        <v>37</v>
      </c>
      <c r="BA199" s="44">
        <v>440474</v>
      </c>
      <c r="BB199" s="44" t="s">
        <v>37</v>
      </c>
      <c r="BC199" s="44">
        <v>380858</v>
      </c>
      <c r="BD199" s="44" t="s">
        <v>37</v>
      </c>
      <c r="BE199" s="44">
        <v>188274</v>
      </c>
      <c r="BF199" s="44" t="s">
        <v>37</v>
      </c>
      <c r="BG199" s="44">
        <v>60464</v>
      </c>
      <c r="BH199" s="44" t="s">
        <v>37</v>
      </c>
      <c r="BJ199" s="44" t="s">
        <v>37</v>
      </c>
      <c r="BK199" s="44">
        <v>715311</v>
      </c>
      <c r="BL199" s="44" t="s">
        <v>37</v>
      </c>
      <c r="BM199" s="44">
        <v>679870</v>
      </c>
      <c r="BN199" s="44" t="s">
        <v>37</v>
      </c>
      <c r="BP199" s="44" t="s">
        <v>37</v>
      </c>
      <c r="BQ199" s="44">
        <v>51676</v>
      </c>
      <c r="BR199" s="44" t="s">
        <v>37</v>
      </c>
      <c r="BS199" s="44">
        <v>271737</v>
      </c>
      <c r="BT199" s="44" t="s">
        <v>37</v>
      </c>
      <c r="BU199" s="44">
        <v>84369</v>
      </c>
      <c r="BV199" s="44" t="s">
        <v>37</v>
      </c>
      <c r="BX199" s="44" t="s">
        <v>37</v>
      </c>
      <c r="BY199" s="44">
        <v>571597</v>
      </c>
      <c r="BZ199" s="44" t="s">
        <v>37</v>
      </c>
      <c r="CA199" s="44">
        <v>134943</v>
      </c>
      <c r="CB199" s="44" t="s">
        <v>37</v>
      </c>
      <c r="CD199" s="44" t="s">
        <v>37</v>
      </c>
      <c r="CE199" s="44">
        <v>214437</v>
      </c>
      <c r="CF199" s="44" t="s">
        <v>37</v>
      </c>
      <c r="CG199" s="44">
        <v>220764</v>
      </c>
      <c r="CH199" s="44" t="s">
        <v>37</v>
      </c>
      <c r="CI199" s="44">
        <v>741740</v>
      </c>
      <c r="CJ199" s="44" t="s">
        <v>37</v>
      </c>
      <c r="CL199" s="44" t="s">
        <v>37</v>
      </c>
      <c r="CM199" s="44">
        <v>251425</v>
      </c>
      <c r="CN199" s="44" t="s">
        <v>37</v>
      </c>
      <c r="CO199" s="44">
        <v>434477</v>
      </c>
      <c r="CP199" s="44" t="s">
        <v>37</v>
      </c>
      <c r="CQ199" s="44">
        <v>68901</v>
      </c>
      <c r="CR199" s="44" t="s">
        <v>37</v>
      </c>
      <c r="CS199" s="44">
        <v>525546</v>
      </c>
      <c r="CT199" s="44" t="s">
        <v>37</v>
      </c>
      <c r="CU199" s="44">
        <v>2456052</v>
      </c>
      <c r="CV199" s="44" t="s">
        <v>37</v>
      </c>
      <c r="CW199" s="44">
        <v>453129</v>
      </c>
      <c r="CX199" s="44" t="s">
        <v>37</v>
      </c>
      <c r="CY199" s="44">
        <v>54410</v>
      </c>
      <c r="CZ199" s="44" t="s">
        <v>37</v>
      </c>
      <c r="DA199" s="44">
        <v>59761</v>
      </c>
      <c r="DB199" s="44" t="s">
        <v>37</v>
      </c>
      <c r="DD199" s="44" t="s">
        <v>37</v>
      </c>
      <c r="DE199" s="44">
        <v>147996</v>
      </c>
      <c r="DF199" s="44" t="s">
        <v>37</v>
      </c>
      <c r="DG199" s="44">
        <v>74115</v>
      </c>
      <c r="DH199" s="44" t="s">
        <v>37</v>
      </c>
      <c r="DI199" s="44">
        <v>1619525</v>
      </c>
      <c r="DJ199" s="44" t="s">
        <v>37</v>
      </c>
      <c r="DK199" s="44">
        <v>761715</v>
      </c>
      <c r="DL199" s="44" t="s">
        <v>37</v>
      </c>
      <c r="DM199" s="44">
        <v>498017</v>
      </c>
      <c r="DN199" s="44" t="s">
        <v>37</v>
      </c>
      <c r="DO199" s="44">
        <v>474573</v>
      </c>
      <c r="DP199" s="44" t="s">
        <v>37</v>
      </c>
      <c r="DQ199" s="44">
        <v>275983</v>
      </c>
      <c r="DR199" s="44" t="s">
        <v>37</v>
      </c>
      <c r="DS199" s="44">
        <v>168737</v>
      </c>
      <c r="DT199" s="44" t="s">
        <v>37</v>
      </c>
      <c r="DU199" s="44">
        <v>904538</v>
      </c>
      <c r="DV199" s="44" t="s">
        <v>37</v>
      </c>
      <c r="DW199" s="44">
        <v>548747</v>
      </c>
      <c r="DX199" s="44" t="s">
        <v>37</v>
      </c>
      <c r="DY199" s="44">
        <v>487580</v>
      </c>
      <c r="DZ199" s="44" t="s">
        <v>37</v>
      </c>
      <c r="EA199" s="44">
        <v>113546</v>
      </c>
      <c r="EB199" s="44" t="s">
        <v>37</v>
      </c>
      <c r="EC199" s="44">
        <v>204242</v>
      </c>
      <c r="ED199" s="44" t="s">
        <v>37</v>
      </c>
      <c r="EE199" s="44">
        <v>332201</v>
      </c>
      <c r="EF199" s="44" t="s">
        <v>37</v>
      </c>
      <c r="EG199" s="44">
        <v>56246</v>
      </c>
      <c r="EH199" s="44" t="s">
        <v>37</v>
      </c>
      <c r="EJ199" s="44" t="s">
        <v>37</v>
      </c>
      <c r="EK199" s="44">
        <v>203891</v>
      </c>
      <c r="EL199" s="44" t="s">
        <v>37</v>
      </c>
      <c r="EM199" s="44">
        <v>136396</v>
      </c>
      <c r="EN199" s="44" t="s">
        <v>37</v>
      </c>
      <c r="EO199" s="44">
        <v>252837</v>
      </c>
      <c r="EP199" s="44" t="s">
        <v>37</v>
      </c>
      <c r="ER199" s="44" t="s">
        <v>37</v>
      </c>
      <c r="ES199" s="44">
        <v>340638</v>
      </c>
      <c r="ET199" s="44" t="s">
        <v>37</v>
      </c>
      <c r="EU199" s="44">
        <v>313921</v>
      </c>
      <c r="EV199" s="44" t="s">
        <v>37</v>
      </c>
      <c r="EW199" s="44">
        <v>524491</v>
      </c>
      <c r="EX199" s="44" t="s">
        <v>37</v>
      </c>
      <c r="EZ199" s="44" t="s">
        <v>37</v>
      </c>
      <c r="FA199" s="44">
        <v>188341</v>
      </c>
      <c r="FB199" s="44" t="s">
        <v>37</v>
      </c>
      <c r="FC199" s="44">
        <v>241857</v>
      </c>
      <c r="FD199" s="44" t="s">
        <v>37</v>
      </c>
      <c r="FE199" s="44">
        <v>506211</v>
      </c>
      <c r="FF199" s="44" t="s">
        <v>37</v>
      </c>
      <c r="FH199" s="44" t="s">
        <v>37</v>
      </c>
      <c r="FI199" s="44">
        <v>642959</v>
      </c>
      <c r="FJ199" s="44" t="s">
        <v>37</v>
      </c>
      <c r="FK199" s="44">
        <v>1658689</v>
      </c>
      <c r="FL199" s="44" t="s">
        <v>37</v>
      </c>
      <c r="FM199" s="44">
        <v>768105</v>
      </c>
      <c r="FN199" s="44" t="s">
        <v>37</v>
      </c>
      <c r="FO199" s="44">
        <v>237222</v>
      </c>
      <c r="FP199" s="44" t="s">
        <v>37</v>
      </c>
      <c r="FQ199" s="44">
        <v>206703</v>
      </c>
      <c r="FR199" s="44" t="s">
        <v>37</v>
      </c>
      <c r="FS199" s="44">
        <v>359269</v>
      </c>
      <c r="FT199" s="44" t="s">
        <v>37</v>
      </c>
      <c r="FU199" s="44">
        <v>131826</v>
      </c>
      <c r="FV199" s="44" t="s">
        <v>37</v>
      </c>
      <c r="FW199" s="44">
        <v>133232</v>
      </c>
      <c r="FX199" s="44" t="s">
        <v>37</v>
      </c>
      <c r="FY199" s="44">
        <v>242560</v>
      </c>
      <c r="FZ199" s="44" t="s">
        <v>37</v>
      </c>
      <c r="GA199" s="44">
        <v>387041</v>
      </c>
      <c r="GB199" s="44" t="s">
        <v>37</v>
      </c>
      <c r="GC199" s="44">
        <v>411650</v>
      </c>
      <c r="GD199" s="44" t="s">
        <v>37</v>
      </c>
      <c r="GF199" s="44" t="s">
        <v>37</v>
      </c>
      <c r="GH199" s="44" t="s">
        <v>37</v>
      </c>
      <c r="GJ199" s="44" t="s">
        <v>37</v>
      </c>
      <c r="GK199" s="44">
        <v>491716</v>
      </c>
      <c r="GL199" s="44" t="s">
        <v>37</v>
      </c>
      <c r="GM199" s="44">
        <v>523788</v>
      </c>
      <c r="GN199" s="44" t="s">
        <v>37</v>
      </c>
      <c r="GP199" s="44" t="s">
        <v>37</v>
      </c>
      <c r="GQ199" s="44">
        <v>266816</v>
      </c>
      <c r="GR199" s="44" t="s">
        <v>37</v>
      </c>
      <c r="GS199" s="44">
        <v>429225</v>
      </c>
      <c r="GT199" s="44" t="s">
        <v>37</v>
      </c>
      <c r="GV199" s="44" t="s">
        <v>37</v>
      </c>
      <c r="GW199" s="44">
        <v>140263</v>
      </c>
      <c r="GX199" s="44" t="s">
        <v>37</v>
      </c>
      <c r="GY199" s="44">
        <v>660184</v>
      </c>
      <c r="GZ199" s="44" t="s">
        <v>37</v>
      </c>
      <c r="HA199" s="44">
        <v>115655</v>
      </c>
      <c r="HB199" s="44" t="s">
        <v>37</v>
      </c>
      <c r="HD199" s="44" t="s">
        <v>37</v>
      </c>
      <c r="HF199" s="44" t="s">
        <v>37</v>
      </c>
      <c r="HG199" s="44">
        <v>35220790</v>
      </c>
      <c r="HH199" s="44" t="s">
        <v>37</v>
      </c>
      <c r="HJ199" s="44" t="s">
        <v>37</v>
      </c>
      <c r="HK199" s="44">
        <v>35220790</v>
      </c>
      <c r="HL199" s="44" t="s">
        <v>37</v>
      </c>
    </row>
    <row r="200" spans="1:220">
      <c r="A200" s="150" t="s">
        <v>411</v>
      </c>
      <c r="B200" s="44">
        <v>3595</v>
      </c>
      <c r="C200" s="44" t="s">
        <v>216</v>
      </c>
      <c r="D200" s="44" t="s">
        <v>37</v>
      </c>
      <c r="F200" s="44" t="s">
        <v>37</v>
      </c>
      <c r="G200" s="44">
        <v>14784</v>
      </c>
      <c r="H200" s="44" t="s">
        <v>37</v>
      </c>
      <c r="I200" s="44">
        <v>11043</v>
      </c>
      <c r="J200" s="44" t="s">
        <v>37</v>
      </c>
      <c r="L200" s="48" t="s">
        <v>37</v>
      </c>
      <c r="M200" s="50"/>
      <c r="N200" s="48" t="s">
        <v>37</v>
      </c>
      <c r="O200" s="50"/>
      <c r="P200" s="48" t="s">
        <v>37</v>
      </c>
      <c r="Q200" s="50"/>
      <c r="R200" s="48" t="s">
        <v>37</v>
      </c>
      <c r="S200" s="50"/>
      <c r="T200" s="48" t="s">
        <v>37</v>
      </c>
      <c r="V200" s="44" t="s">
        <v>37</v>
      </c>
      <c r="X200" s="44" t="s">
        <v>37</v>
      </c>
      <c r="Z200" s="44" t="s">
        <v>37</v>
      </c>
      <c r="AB200" s="44" t="s">
        <v>37</v>
      </c>
      <c r="AC200" s="44">
        <v>36417</v>
      </c>
      <c r="AD200" s="44" t="s">
        <v>37</v>
      </c>
      <c r="AE200" s="44">
        <v>24199</v>
      </c>
      <c r="AF200" s="44" t="s">
        <v>37</v>
      </c>
      <c r="AH200" s="44" t="s">
        <v>37</v>
      </c>
      <c r="AJ200" s="44" t="s">
        <v>37</v>
      </c>
      <c r="AL200" s="44" t="s">
        <v>37</v>
      </c>
      <c r="AM200" s="44">
        <v>74484</v>
      </c>
      <c r="AN200" s="44" t="s">
        <v>37</v>
      </c>
      <c r="AP200" s="44" t="s">
        <v>37</v>
      </c>
      <c r="AQ200" s="44">
        <v>32072</v>
      </c>
      <c r="AR200" s="44" t="s">
        <v>37</v>
      </c>
      <c r="AT200" s="44" t="s">
        <v>37</v>
      </c>
      <c r="AU200" s="44">
        <v>460445</v>
      </c>
      <c r="AV200" s="44" t="s">
        <v>37</v>
      </c>
      <c r="AX200" s="44" t="s">
        <v>37</v>
      </c>
      <c r="AY200" s="44">
        <v>87313</v>
      </c>
      <c r="AZ200" s="44" t="s">
        <v>37</v>
      </c>
      <c r="BA200" s="44">
        <v>13840</v>
      </c>
      <c r="BB200" s="44" t="s">
        <v>37</v>
      </c>
      <c r="BC200" s="44">
        <v>23503</v>
      </c>
      <c r="BD200" s="44" t="s">
        <v>37</v>
      </c>
      <c r="BF200" s="44" t="s">
        <v>37</v>
      </c>
      <c r="BG200" s="44">
        <v>31634</v>
      </c>
      <c r="BH200" s="44" t="s">
        <v>37</v>
      </c>
      <c r="BJ200" s="44" t="s">
        <v>37</v>
      </c>
      <c r="BK200" s="44">
        <v>20200</v>
      </c>
      <c r="BL200" s="44" t="s">
        <v>37</v>
      </c>
      <c r="BM200" s="44">
        <v>66048</v>
      </c>
      <c r="BN200" s="44" t="s">
        <v>37</v>
      </c>
      <c r="BP200" s="44" t="s">
        <v>37</v>
      </c>
      <c r="BQ200" s="44">
        <v>9129</v>
      </c>
      <c r="BR200" s="44" t="s">
        <v>37</v>
      </c>
      <c r="BT200" s="44" t="s">
        <v>37</v>
      </c>
      <c r="BV200" s="44" t="s">
        <v>37</v>
      </c>
      <c r="BX200" s="44" t="s">
        <v>37</v>
      </c>
      <c r="BZ200" s="44" t="s">
        <v>37</v>
      </c>
      <c r="CA200" s="44">
        <v>16455</v>
      </c>
      <c r="CB200" s="44" t="s">
        <v>37</v>
      </c>
      <c r="CD200" s="44" t="s">
        <v>37</v>
      </c>
      <c r="CF200" s="44" t="s">
        <v>37</v>
      </c>
      <c r="CG200" s="44">
        <v>43104</v>
      </c>
      <c r="CH200" s="44" t="s">
        <v>37</v>
      </c>
      <c r="CI200" s="44">
        <v>31883</v>
      </c>
      <c r="CJ200" s="44" t="s">
        <v>37</v>
      </c>
      <c r="CL200" s="44" t="s">
        <v>37</v>
      </c>
      <c r="CM200" s="44">
        <v>31674</v>
      </c>
      <c r="CN200" s="44" t="s">
        <v>37</v>
      </c>
      <c r="CO200" s="44">
        <v>33111</v>
      </c>
      <c r="CP200" s="44" t="s">
        <v>37</v>
      </c>
      <c r="CR200" s="44" t="s">
        <v>37</v>
      </c>
      <c r="CS200" s="44">
        <v>43613</v>
      </c>
      <c r="CT200" s="44" t="s">
        <v>37</v>
      </c>
      <c r="CU200" s="44">
        <v>92906</v>
      </c>
      <c r="CV200" s="44" t="s">
        <v>37</v>
      </c>
      <c r="CW200" s="44">
        <v>29335</v>
      </c>
      <c r="CX200" s="44" t="s">
        <v>37</v>
      </c>
      <c r="CY200" s="44">
        <v>15674</v>
      </c>
      <c r="CZ200" s="44" t="s">
        <v>37</v>
      </c>
      <c r="DB200" s="44" t="s">
        <v>37</v>
      </c>
      <c r="DD200" s="44" t="s">
        <v>37</v>
      </c>
      <c r="DE200" s="44">
        <v>39124</v>
      </c>
      <c r="DF200" s="44" t="s">
        <v>37</v>
      </c>
      <c r="DG200" s="44">
        <v>225</v>
      </c>
      <c r="DH200" s="44" t="s">
        <v>37</v>
      </c>
      <c r="DJ200" s="44" t="s">
        <v>37</v>
      </c>
      <c r="DK200" s="44">
        <v>1165</v>
      </c>
      <c r="DL200" s="44" t="s">
        <v>37</v>
      </c>
      <c r="DM200" s="44">
        <v>32919</v>
      </c>
      <c r="DN200" s="44" t="s">
        <v>37</v>
      </c>
      <c r="DO200" s="44">
        <v>3790</v>
      </c>
      <c r="DP200" s="44" t="s">
        <v>37</v>
      </c>
      <c r="DR200" s="44" t="s">
        <v>37</v>
      </c>
      <c r="DS200" s="44">
        <v>41669</v>
      </c>
      <c r="DT200" s="44" t="s">
        <v>37</v>
      </c>
      <c r="DU200" s="44">
        <v>118853</v>
      </c>
      <c r="DV200" s="44" t="s">
        <v>37</v>
      </c>
      <c r="DX200" s="44" t="s">
        <v>37</v>
      </c>
      <c r="DZ200" s="44" t="s">
        <v>37</v>
      </c>
      <c r="EB200" s="44" t="s">
        <v>37</v>
      </c>
      <c r="EC200" s="44">
        <v>43868</v>
      </c>
      <c r="ED200" s="44" t="s">
        <v>37</v>
      </c>
      <c r="EF200" s="44" t="s">
        <v>37</v>
      </c>
      <c r="EG200" s="44">
        <v>10614</v>
      </c>
      <c r="EH200" s="44" t="s">
        <v>37</v>
      </c>
      <c r="EJ200" s="44" t="s">
        <v>37</v>
      </c>
      <c r="EK200" s="44">
        <v>1473</v>
      </c>
      <c r="EL200" s="44" t="s">
        <v>37</v>
      </c>
      <c r="EN200" s="44" t="s">
        <v>37</v>
      </c>
      <c r="EP200" s="44" t="s">
        <v>37</v>
      </c>
      <c r="ER200" s="44" t="s">
        <v>37</v>
      </c>
      <c r="ES200" s="44">
        <v>130978</v>
      </c>
      <c r="ET200" s="44" t="s">
        <v>37</v>
      </c>
      <c r="EU200" s="44">
        <v>20012</v>
      </c>
      <c r="EV200" s="44" t="s">
        <v>37</v>
      </c>
      <c r="EX200" s="44" t="s">
        <v>37</v>
      </c>
      <c r="EZ200" s="44" t="s">
        <v>37</v>
      </c>
      <c r="FB200" s="44" t="s">
        <v>37</v>
      </c>
      <c r="FC200" s="44">
        <v>34340</v>
      </c>
      <c r="FD200" s="44" t="s">
        <v>37</v>
      </c>
      <c r="FE200" s="44">
        <v>64560</v>
      </c>
      <c r="FF200" s="44" t="s">
        <v>37</v>
      </c>
      <c r="FH200" s="44" t="s">
        <v>37</v>
      </c>
      <c r="FJ200" s="44" t="s">
        <v>37</v>
      </c>
      <c r="FK200" s="44">
        <v>185211</v>
      </c>
      <c r="FL200" s="44" t="s">
        <v>37</v>
      </c>
      <c r="FN200" s="44" t="s">
        <v>37</v>
      </c>
      <c r="FO200" s="44">
        <v>46346</v>
      </c>
      <c r="FP200" s="44" t="s">
        <v>37</v>
      </c>
      <c r="FR200" s="44" t="s">
        <v>37</v>
      </c>
      <c r="FT200" s="44" t="s">
        <v>37</v>
      </c>
      <c r="FV200" s="44" t="s">
        <v>37</v>
      </c>
      <c r="FX200" s="44" t="s">
        <v>37</v>
      </c>
      <c r="FZ200" s="44" t="s">
        <v>37</v>
      </c>
      <c r="GB200" s="44" t="s">
        <v>37</v>
      </c>
      <c r="GC200" s="44">
        <v>7468</v>
      </c>
      <c r="GD200" s="44" t="s">
        <v>37</v>
      </c>
      <c r="GF200" s="44" t="s">
        <v>37</v>
      </c>
      <c r="GH200" s="44" t="s">
        <v>37</v>
      </c>
      <c r="GJ200" s="44" t="s">
        <v>37</v>
      </c>
      <c r="GK200" s="44">
        <v>13542</v>
      </c>
      <c r="GL200" s="44" t="s">
        <v>37</v>
      </c>
      <c r="GN200" s="44" t="s">
        <v>37</v>
      </c>
      <c r="GP200" s="44" t="s">
        <v>37</v>
      </c>
      <c r="GQ200" s="44">
        <v>24958</v>
      </c>
      <c r="GR200" s="44" t="s">
        <v>37</v>
      </c>
      <c r="GS200" s="44">
        <v>10768</v>
      </c>
      <c r="GT200" s="44" t="s">
        <v>37</v>
      </c>
      <c r="GV200" s="44" t="s">
        <v>37</v>
      </c>
      <c r="GX200" s="44" t="s">
        <v>37</v>
      </c>
      <c r="GZ200" s="44" t="s">
        <v>37</v>
      </c>
      <c r="HB200" s="44" t="s">
        <v>37</v>
      </c>
      <c r="HD200" s="44" t="s">
        <v>37</v>
      </c>
      <c r="HF200" s="44" t="s">
        <v>37</v>
      </c>
      <c r="HG200" s="44">
        <v>2074749</v>
      </c>
      <c r="HH200" s="44" t="s">
        <v>37</v>
      </c>
      <c r="HJ200" s="44" t="s">
        <v>37</v>
      </c>
      <c r="HK200" s="44">
        <v>2074749</v>
      </c>
      <c r="HL200" s="44" t="s">
        <v>37</v>
      </c>
    </row>
    <row r="201" spans="1:220">
      <c r="A201" s="150" t="s">
        <v>411</v>
      </c>
      <c r="B201" s="44">
        <v>3596</v>
      </c>
      <c r="C201" s="44" t="s">
        <v>217</v>
      </c>
      <c r="D201" s="44" t="s">
        <v>37</v>
      </c>
      <c r="E201" s="44">
        <v>89623</v>
      </c>
      <c r="F201" s="44" t="s">
        <v>37</v>
      </c>
      <c r="G201" s="44">
        <v>308978</v>
      </c>
      <c r="H201" s="44" t="s">
        <v>37</v>
      </c>
      <c r="I201" s="44">
        <v>84326</v>
      </c>
      <c r="J201" s="44" t="s">
        <v>37</v>
      </c>
      <c r="K201" s="44">
        <v>350000</v>
      </c>
      <c r="L201" s="48" t="s">
        <v>37</v>
      </c>
      <c r="M201" s="51">
        <v>110896</v>
      </c>
      <c r="N201" s="48" t="s">
        <v>37</v>
      </c>
      <c r="O201" s="51">
        <v>21843</v>
      </c>
      <c r="P201" s="48" t="s">
        <v>37</v>
      </c>
      <c r="Q201" s="51">
        <v>11127</v>
      </c>
      <c r="R201" s="48" t="s">
        <v>37</v>
      </c>
      <c r="S201" s="51">
        <v>6671</v>
      </c>
      <c r="T201" s="48" t="s">
        <v>37</v>
      </c>
      <c r="U201" s="44">
        <v>33665</v>
      </c>
      <c r="V201" s="44" t="s">
        <v>37</v>
      </c>
      <c r="X201" s="44" t="s">
        <v>37</v>
      </c>
      <c r="Z201" s="44" t="s">
        <v>37</v>
      </c>
      <c r="AA201" s="44">
        <v>3044</v>
      </c>
      <c r="AB201" s="44" t="s">
        <v>37</v>
      </c>
      <c r="AC201" s="44">
        <v>48975</v>
      </c>
      <c r="AD201" s="44" t="s">
        <v>37</v>
      </c>
      <c r="AE201" s="44">
        <v>64214</v>
      </c>
      <c r="AF201" s="44" t="s">
        <v>37</v>
      </c>
      <c r="AG201" s="44">
        <v>55257</v>
      </c>
      <c r="AH201" s="44" t="s">
        <v>37</v>
      </c>
      <c r="AI201" s="44">
        <v>62631</v>
      </c>
      <c r="AJ201" s="44" t="s">
        <v>37</v>
      </c>
      <c r="AL201" s="44" t="s">
        <v>37</v>
      </c>
      <c r="AN201" s="44" t="s">
        <v>37</v>
      </c>
      <c r="AP201" s="44" t="s">
        <v>37</v>
      </c>
      <c r="AQ201" s="44">
        <v>262736</v>
      </c>
      <c r="AR201" s="44" t="s">
        <v>37</v>
      </c>
      <c r="AS201" s="44">
        <v>114098</v>
      </c>
      <c r="AT201" s="44" t="s">
        <v>37</v>
      </c>
      <c r="AU201" s="44">
        <v>319975</v>
      </c>
      <c r="AV201" s="44" t="s">
        <v>37</v>
      </c>
      <c r="AW201" s="44">
        <v>218202</v>
      </c>
      <c r="AX201" s="44" t="s">
        <v>37</v>
      </c>
      <c r="AY201" s="44">
        <v>159102</v>
      </c>
      <c r="AZ201" s="44" t="s">
        <v>37</v>
      </c>
      <c r="BA201" s="44">
        <v>167603</v>
      </c>
      <c r="BB201" s="44" t="s">
        <v>37</v>
      </c>
      <c r="BC201" s="44">
        <v>36786</v>
      </c>
      <c r="BD201" s="44" t="s">
        <v>37</v>
      </c>
      <c r="BE201" s="44">
        <v>84582</v>
      </c>
      <c r="BF201" s="44" t="s">
        <v>37</v>
      </c>
      <c r="BG201" s="44">
        <v>52981</v>
      </c>
      <c r="BH201" s="44" t="s">
        <v>37</v>
      </c>
      <c r="BJ201" s="44" t="s">
        <v>37</v>
      </c>
      <c r="BK201" s="44">
        <v>260125</v>
      </c>
      <c r="BL201" s="44" t="s">
        <v>37</v>
      </c>
      <c r="BM201" s="44">
        <v>280834</v>
      </c>
      <c r="BN201" s="44" t="s">
        <v>37</v>
      </c>
      <c r="BP201" s="44" t="s">
        <v>37</v>
      </c>
      <c r="BQ201" s="44">
        <v>146744</v>
      </c>
      <c r="BR201" s="44" t="s">
        <v>37</v>
      </c>
      <c r="BS201" s="44">
        <v>24699</v>
      </c>
      <c r="BT201" s="44" t="s">
        <v>37</v>
      </c>
      <c r="BU201" s="44">
        <v>7342</v>
      </c>
      <c r="BV201" s="44" t="s">
        <v>37</v>
      </c>
      <c r="BX201" s="44" t="s">
        <v>37</v>
      </c>
      <c r="BY201" s="44">
        <v>308082</v>
      </c>
      <c r="BZ201" s="44" t="s">
        <v>37</v>
      </c>
      <c r="CA201" s="44">
        <v>96550</v>
      </c>
      <c r="CB201" s="44" t="s">
        <v>37</v>
      </c>
      <c r="CD201" s="44" t="s">
        <v>37</v>
      </c>
      <c r="CE201" s="44">
        <v>169863</v>
      </c>
      <c r="CF201" s="44" t="s">
        <v>37</v>
      </c>
      <c r="CG201" s="44">
        <v>124081</v>
      </c>
      <c r="CH201" s="44" t="s">
        <v>37</v>
      </c>
      <c r="CI201" s="44">
        <v>174278</v>
      </c>
      <c r="CJ201" s="44" t="s">
        <v>37</v>
      </c>
      <c r="CK201" s="44">
        <v>65712</v>
      </c>
      <c r="CL201" s="44" t="s">
        <v>37</v>
      </c>
      <c r="CM201" s="44">
        <v>106836</v>
      </c>
      <c r="CN201" s="44" t="s">
        <v>37</v>
      </c>
      <c r="CO201" s="44">
        <v>53871</v>
      </c>
      <c r="CP201" s="44" t="s">
        <v>37</v>
      </c>
      <c r="CQ201" s="44">
        <v>48529</v>
      </c>
      <c r="CR201" s="44" t="s">
        <v>37</v>
      </c>
      <c r="CS201" s="44">
        <v>155580</v>
      </c>
      <c r="CT201" s="44" t="s">
        <v>37</v>
      </c>
      <c r="CU201" s="44">
        <v>275638</v>
      </c>
      <c r="CV201" s="44" t="s">
        <v>37</v>
      </c>
      <c r="CW201" s="44">
        <v>143906</v>
      </c>
      <c r="CX201" s="44" t="s">
        <v>37</v>
      </c>
      <c r="CY201" s="44">
        <v>52757</v>
      </c>
      <c r="CZ201" s="44" t="s">
        <v>37</v>
      </c>
      <c r="DA201" s="44">
        <v>51405</v>
      </c>
      <c r="DB201" s="44" t="s">
        <v>37</v>
      </c>
      <c r="DD201" s="44" t="s">
        <v>37</v>
      </c>
      <c r="DE201" s="44">
        <v>72764</v>
      </c>
      <c r="DF201" s="44" t="s">
        <v>37</v>
      </c>
      <c r="DG201" s="44">
        <v>46608</v>
      </c>
      <c r="DH201" s="44" t="s">
        <v>37</v>
      </c>
      <c r="DI201" s="44">
        <v>310363</v>
      </c>
      <c r="DJ201" s="44" t="s">
        <v>37</v>
      </c>
      <c r="DK201" s="44">
        <v>93667</v>
      </c>
      <c r="DL201" s="44" t="s">
        <v>37</v>
      </c>
      <c r="DM201" s="44">
        <v>299082</v>
      </c>
      <c r="DN201" s="44" t="s">
        <v>37</v>
      </c>
      <c r="DO201" s="44">
        <v>142040</v>
      </c>
      <c r="DP201" s="44" t="s">
        <v>37</v>
      </c>
      <c r="DQ201" s="44">
        <v>128602</v>
      </c>
      <c r="DR201" s="44" t="s">
        <v>37</v>
      </c>
      <c r="DS201" s="44">
        <v>80201</v>
      </c>
      <c r="DT201" s="44" t="s">
        <v>37</v>
      </c>
      <c r="DU201" s="44">
        <v>174528</v>
      </c>
      <c r="DV201" s="44" t="s">
        <v>37</v>
      </c>
      <c r="DW201" s="44">
        <v>160191</v>
      </c>
      <c r="DX201" s="44" t="s">
        <v>37</v>
      </c>
      <c r="DY201" s="44">
        <v>180494</v>
      </c>
      <c r="DZ201" s="44" t="s">
        <v>37</v>
      </c>
      <c r="EA201" s="44">
        <v>84233</v>
      </c>
      <c r="EB201" s="44" t="s">
        <v>37</v>
      </c>
      <c r="EC201" s="44">
        <v>105913</v>
      </c>
      <c r="ED201" s="44" t="s">
        <v>37</v>
      </c>
      <c r="EE201" s="44">
        <v>160591</v>
      </c>
      <c r="EF201" s="44" t="s">
        <v>37</v>
      </c>
      <c r="EG201" s="44">
        <v>86094</v>
      </c>
      <c r="EH201" s="44" t="s">
        <v>37</v>
      </c>
      <c r="EI201" s="44">
        <v>195626</v>
      </c>
      <c r="EJ201" s="44" t="s">
        <v>37</v>
      </c>
      <c r="EK201" s="44">
        <v>68328</v>
      </c>
      <c r="EL201" s="44" t="s">
        <v>37</v>
      </c>
      <c r="EM201" s="44">
        <v>6387</v>
      </c>
      <c r="EN201" s="44" t="s">
        <v>37</v>
      </c>
      <c r="EO201" s="44">
        <v>7102</v>
      </c>
      <c r="EP201" s="44" t="s">
        <v>37</v>
      </c>
      <c r="ER201" s="44" t="s">
        <v>37</v>
      </c>
      <c r="ES201" s="44">
        <v>155680</v>
      </c>
      <c r="ET201" s="44" t="s">
        <v>37</v>
      </c>
      <c r="EU201" s="44">
        <v>203791</v>
      </c>
      <c r="EV201" s="44" t="s">
        <v>37</v>
      </c>
      <c r="EW201" s="44">
        <v>235104</v>
      </c>
      <c r="EX201" s="44" t="s">
        <v>37</v>
      </c>
      <c r="EZ201" s="44" t="s">
        <v>37</v>
      </c>
      <c r="FA201" s="44">
        <v>83617</v>
      </c>
      <c r="FB201" s="44" t="s">
        <v>37</v>
      </c>
      <c r="FC201" s="44">
        <v>168391</v>
      </c>
      <c r="FD201" s="44" t="s">
        <v>37</v>
      </c>
      <c r="FE201" s="44">
        <v>140512</v>
      </c>
      <c r="FF201" s="44" t="s">
        <v>37</v>
      </c>
      <c r="FH201" s="44" t="s">
        <v>37</v>
      </c>
      <c r="FI201" s="44">
        <v>185311</v>
      </c>
      <c r="FJ201" s="44" t="s">
        <v>37</v>
      </c>
      <c r="FK201" s="44">
        <v>304323</v>
      </c>
      <c r="FL201" s="44" t="s">
        <v>37</v>
      </c>
      <c r="FM201" s="44">
        <v>46494</v>
      </c>
      <c r="FN201" s="44" t="s">
        <v>37</v>
      </c>
      <c r="FO201" s="44">
        <v>118131</v>
      </c>
      <c r="FP201" s="44" t="s">
        <v>37</v>
      </c>
      <c r="FQ201" s="44">
        <v>95492</v>
      </c>
      <c r="FR201" s="44" t="s">
        <v>37</v>
      </c>
      <c r="FS201" s="44">
        <v>101341</v>
      </c>
      <c r="FT201" s="44" t="s">
        <v>37</v>
      </c>
      <c r="FU201" s="44">
        <v>99485</v>
      </c>
      <c r="FV201" s="44" t="s">
        <v>37</v>
      </c>
      <c r="FW201" s="44">
        <v>63517</v>
      </c>
      <c r="FX201" s="44" t="s">
        <v>37</v>
      </c>
      <c r="FY201" s="44">
        <v>96155</v>
      </c>
      <c r="FZ201" s="44" t="s">
        <v>37</v>
      </c>
      <c r="GA201" s="44">
        <v>144198</v>
      </c>
      <c r="GB201" s="44" t="s">
        <v>37</v>
      </c>
      <c r="GC201" s="44">
        <v>165316</v>
      </c>
      <c r="GD201" s="44" t="s">
        <v>37</v>
      </c>
      <c r="GF201" s="44" t="s">
        <v>37</v>
      </c>
      <c r="GH201" s="44" t="s">
        <v>37</v>
      </c>
      <c r="GJ201" s="44" t="s">
        <v>37</v>
      </c>
      <c r="GK201" s="44">
        <v>177526</v>
      </c>
      <c r="GL201" s="44" t="s">
        <v>37</v>
      </c>
      <c r="GM201" s="44">
        <v>195911</v>
      </c>
      <c r="GN201" s="44" t="s">
        <v>37</v>
      </c>
      <c r="GP201" s="44" t="s">
        <v>37</v>
      </c>
      <c r="GQ201" s="44">
        <v>174676</v>
      </c>
      <c r="GR201" s="44" t="s">
        <v>37</v>
      </c>
      <c r="GS201" s="44">
        <v>153946</v>
      </c>
      <c r="GT201" s="44" t="s">
        <v>37</v>
      </c>
      <c r="GU201" s="44">
        <v>90791</v>
      </c>
      <c r="GV201" s="44" t="s">
        <v>37</v>
      </c>
      <c r="GW201" s="44">
        <v>103529</v>
      </c>
      <c r="GX201" s="44" t="s">
        <v>37</v>
      </c>
      <c r="GY201" s="44">
        <v>115315</v>
      </c>
      <c r="GZ201" s="44" t="s">
        <v>37</v>
      </c>
      <c r="HA201" s="44">
        <v>118576</v>
      </c>
      <c r="HB201" s="44" t="s">
        <v>37</v>
      </c>
      <c r="HD201" s="44" t="s">
        <v>37</v>
      </c>
      <c r="HF201" s="44" t="s">
        <v>37</v>
      </c>
      <c r="HG201" s="44">
        <v>11154089</v>
      </c>
      <c r="HH201" s="44" t="s">
        <v>37</v>
      </c>
      <c r="HJ201" s="44" t="s">
        <v>37</v>
      </c>
      <c r="HK201" s="44">
        <v>11154089</v>
      </c>
      <c r="HL201" s="44" t="s">
        <v>37</v>
      </c>
    </row>
    <row r="202" spans="1:220">
      <c r="A202" s="150" t="s">
        <v>411</v>
      </c>
      <c r="B202" s="44">
        <v>3598</v>
      </c>
      <c r="C202" s="44" t="s">
        <v>218</v>
      </c>
      <c r="D202" s="44" t="s">
        <v>37</v>
      </c>
      <c r="E202" s="44">
        <v>2588</v>
      </c>
      <c r="F202" s="44" t="s">
        <v>37</v>
      </c>
      <c r="G202" s="44">
        <v>16564</v>
      </c>
      <c r="H202" s="44" t="s">
        <v>37</v>
      </c>
      <c r="J202" s="44" t="s">
        <v>37</v>
      </c>
      <c r="L202" s="48" t="s">
        <v>37</v>
      </c>
      <c r="M202" s="51">
        <v>4137</v>
      </c>
      <c r="N202" s="48" t="s">
        <v>37</v>
      </c>
      <c r="O202" s="51">
        <v>2225</v>
      </c>
      <c r="P202" s="48" t="s">
        <v>37</v>
      </c>
      <c r="Q202" s="51">
        <v>2593</v>
      </c>
      <c r="R202" s="48" t="s">
        <v>37</v>
      </c>
      <c r="S202" s="51">
        <v>2176</v>
      </c>
      <c r="T202" s="48" t="s">
        <v>37</v>
      </c>
      <c r="U202" s="44">
        <v>7488</v>
      </c>
      <c r="V202" s="44" t="s">
        <v>37</v>
      </c>
      <c r="X202" s="44" t="s">
        <v>37</v>
      </c>
      <c r="Z202" s="44" t="s">
        <v>37</v>
      </c>
      <c r="AA202" s="44">
        <v>1235</v>
      </c>
      <c r="AB202" s="44" t="s">
        <v>37</v>
      </c>
      <c r="AC202" s="44">
        <v>912</v>
      </c>
      <c r="AD202" s="44" t="s">
        <v>37</v>
      </c>
      <c r="AE202" s="44">
        <v>503</v>
      </c>
      <c r="AF202" s="44" t="s">
        <v>37</v>
      </c>
      <c r="AG202" s="44">
        <v>688</v>
      </c>
      <c r="AH202" s="44" t="s">
        <v>37</v>
      </c>
      <c r="AI202" s="44">
        <v>1910</v>
      </c>
      <c r="AJ202" s="44" t="s">
        <v>37</v>
      </c>
      <c r="AL202" s="44" t="s">
        <v>37</v>
      </c>
      <c r="AM202" s="44">
        <v>10558</v>
      </c>
      <c r="AN202" s="44" t="s">
        <v>37</v>
      </c>
      <c r="AP202" s="44" t="s">
        <v>37</v>
      </c>
      <c r="AQ202" s="44">
        <v>18808</v>
      </c>
      <c r="AR202" s="44" t="s">
        <v>37</v>
      </c>
      <c r="AT202" s="44" t="s">
        <v>37</v>
      </c>
      <c r="AU202" s="44">
        <v>-146</v>
      </c>
      <c r="AV202" s="44" t="s">
        <v>37</v>
      </c>
      <c r="AW202" s="44">
        <v>5271</v>
      </c>
      <c r="AX202" s="44" t="s">
        <v>37</v>
      </c>
      <c r="AY202" s="44">
        <v>4646</v>
      </c>
      <c r="AZ202" s="44" t="s">
        <v>37</v>
      </c>
      <c r="BA202" s="44">
        <v>7268</v>
      </c>
      <c r="BB202" s="44" t="s">
        <v>37</v>
      </c>
      <c r="BD202" s="44" t="s">
        <v>37</v>
      </c>
      <c r="BE202" s="44">
        <v>2180</v>
      </c>
      <c r="BF202" s="44" t="s">
        <v>37</v>
      </c>
      <c r="BG202" s="44">
        <v>1093</v>
      </c>
      <c r="BH202" s="44" t="s">
        <v>37</v>
      </c>
      <c r="BJ202" s="44" t="s">
        <v>37</v>
      </c>
      <c r="BK202" s="44">
        <v>8614</v>
      </c>
      <c r="BL202" s="44" t="s">
        <v>37</v>
      </c>
      <c r="BM202" s="44">
        <v>10002</v>
      </c>
      <c r="BN202" s="44" t="s">
        <v>37</v>
      </c>
      <c r="BP202" s="44" t="s">
        <v>37</v>
      </c>
      <c r="BQ202" s="44">
        <v>1123</v>
      </c>
      <c r="BR202" s="44" t="s">
        <v>37</v>
      </c>
      <c r="BS202" s="44">
        <v>1976</v>
      </c>
      <c r="BT202" s="44" t="s">
        <v>37</v>
      </c>
      <c r="BU202" s="44">
        <v>1080</v>
      </c>
      <c r="BV202" s="44" t="s">
        <v>37</v>
      </c>
      <c r="BX202" s="44" t="s">
        <v>37</v>
      </c>
      <c r="BY202" s="44">
        <v>11934</v>
      </c>
      <c r="BZ202" s="44" t="s">
        <v>37</v>
      </c>
      <c r="CA202" s="44">
        <v>3515</v>
      </c>
      <c r="CB202" s="44" t="s">
        <v>37</v>
      </c>
      <c r="CD202" s="44" t="s">
        <v>37</v>
      </c>
      <c r="CE202" s="44">
        <v>3791</v>
      </c>
      <c r="CF202" s="44" t="s">
        <v>37</v>
      </c>
      <c r="CG202" s="44">
        <v>4360</v>
      </c>
      <c r="CH202" s="44" t="s">
        <v>37</v>
      </c>
      <c r="CI202" s="44">
        <v>14833</v>
      </c>
      <c r="CJ202" s="44" t="s">
        <v>37</v>
      </c>
      <c r="CK202" s="44">
        <v>967</v>
      </c>
      <c r="CL202" s="44" t="s">
        <v>37</v>
      </c>
      <c r="CM202" s="44">
        <v>2829</v>
      </c>
      <c r="CN202" s="44" t="s">
        <v>37</v>
      </c>
      <c r="CO202" s="44">
        <v>790</v>
      </c>
      <c r="CP202" s="44" t="s">
        <v>37</v>
      </c>
      <c r="CQ202" s="44">
        <v>669</v>
      </c>
      <c r="CR202" s="44" t="s">
        <v>37</v>
      </c>
      <c r="CS202" s="44">
        <v>7783</v>
      </c>
      <c r="CT202" s="44" t="s">
        <v>37</v>
      </c>
      <c r="CU202" s="44">
        <v>28063</v>
      </c>
      <c r="CV202" s="44" t="s">
        <v>37</v>
      </c>
      <c r="CW202" s="44">
        <v>5087</v>
      </c>
      <c r="CX202" s="44" t="s">
        <v>37</v>
      </c>
      <c r="CY202" s="44">
        <v>714</v>
      </c>
      <c r="CZ202" s="44" t="s">
        <v>37</v>
      </c>
      <c r="DA202" s="44">
        <v>769</v>
      </c>
      <c r="DB202" s="44" t="s">
        <v>37</v>
      </c>
      <c r="DD202" s="44" t="s">
        <v>37</v>
      </c>
      <c r="DE202" s="44">
        <v>2266</v>
      </c>
      <c r="DF202" s="44" t="s">
        <v>37</v>
      </c>
      <c r="DG202" s="44">
        <v>1451</v>
      </c>
      <c r="DH202" s="44" t="s">
        <v>37</v>
      </c>
      <c r="DI202" s="44">
        <v>23640</v>
      </c>
      <c r="DJ202" s="44" t="s">
        <v>37</v>
      </c>
      <c r="DK202" s="44">
        <v>2864</v>
      </c>
      <c r="DL202" s="44" t="s">
        <v>37</v>
      </c>
      <c r="DM202" s="44">
        <v>7700</v>
      </c>
      <c r="DN202" s="44" t="s">
        <v>37</v>
      </c>
      <c r="DO202" s="44">
        <v>7479</v>
      </c>
      <c r="DP202" s="44" t="s">
        <v>37</v>
      </c>
      <c r="DQ202" s="44">
        <v>4105</v>
      </c>
      <c r="DR202" s="44" t="s">
        <v>37</v>
      </c>
      <c r="DS202" s="44">
        <v>2227</v>
      </c>
      <c r="DT202" s="44" t="s">
        <v>37</v>
      </c>
      <c r="DU202" s="44">
        <v>3355</v>
      </c>
      <c r="DV202" s="44" t="s">
        <v>37</v>
      </c>
      <c r="DW202" s="44">
        <v>15083</v>
      </c>
      <c r="DX202" s="44" t="s">
        <v>37</v>
      </c>
      <c r="DY202" s="44">
        <v>5759</v>
      </c>
      <c r="DZ202" s="44" t="s">
        <v>37</v>
      </c>
      <c r="EA202" s="44">
        <v>1818</v>
      </c>
      <c r="EB202" s="44" t="s">
        <v>37</v>
      </c>
      <c r="EC202" s="44">
        <v>2962</v>
      </c>
      <c r="ED202" s="44" t="s">
        <v>37</v>
      </c>
      <c r="EE202" s="44">
        <v>7301</v>
      </c>
      <c r="EF202" s="44" t="s">
        <v>37</v>
      </c>
      <c r="EG202" s="44">
        <v>1211</v>
      </c>
      <c r="EH202" s="44" t="s">
        <v>37</v>
      </c>
      <c r="EJ202" s="44" t="s">
        <v>37</v>
      </c>
      <c r="EK202" s="44">
        <v>2317</v>
      </c>
      <c r="EL202" s="44" t="s">
        <v>37</v>
      </c>
      <c r="EM202" s="44">
        <v>1038</v>
      </c>
      <c r="EN202" s="44" t="s">
        <v>37</v>
      </c>
      <c r="EO202" s="44">
        <v>1425</v>
      </c>
      <c r="EP202" s="44" t="s">
        <v>37</v>
      </c>
      <c r="ER202" s="44" t="s">
        <v>37</v>
      </c>
      <c r="ES202" s="44">
        <v>4891</v>
      </c>
      <c r="ET202" s="44" t="s">
        <v>37</v>
      </c>
      <c r="EU202" s="44">
        <v>4735</v>
      </c>
      <c r="EV202" s="44" t="s">
        <v>37</v>
      </c>
      <c r="EW202" s="44">
        <v>8249</v>
      </c>
      <c r="EX202" s="44" t="s">
        <v>37</v>
      </c>
      <c r="EZ202" s="44" t="s">
        <v>37</v>
      </c>
      <c r="FA202" s="44">
        <v>4235</v>
      </c>
      <c r="FB202" s="44" t="s">
        <v>37</v>
      </c>
      <c r="FC202" s="44">
        <v>3805</v>
      </c>
      <c r="FD202" s="44" t="s">
        <v>37</v>
      </c>
      <c r="FE202" s="44">
        <v>5017</v>
      </c>
      <c r="FF202" s="44" t="s">
        <v>37</v>
      </c>
      <c r="FH202" s="44" t="s">
        <v>37</v>
      </c>
      <c r="FI202" s="44">
        <v>10659</v>
      </c>
      <c r="FJ202" s="44" t="s">
        <v>37</v>
      </c>
      <c r="FK202" s="44">
        <v>15800</v>
      </c>
      <c r="FL202" s="44" t="s">
        <v>37</v>
      </c>
      <c r="FM202" s="44">
        <v>8298</v>
      </c>
      <c r="FN202" s="44" t="s">
        <v>37</v>
      </c>
      <c r="FO202" s="44">
        <v>2447</v>
      </c>
      <c r="FP202" s="44" t="s">
        <v>37</v>
      </c>
      <c r="FQ202" s="44">
        <v>2402</v>
      </c>
      <c r="FR202" s="44" t="s">
        <v>37</v>
      </c>
      <c r="FS202" s="44">
        <v>4303</v>
      </c>
      <c r="FT202" s="44" t="s">
        <v>37</v>
      </c>
      <c r="FU202" s="44">
        <v>1902</v>
      </c>
      <c r="FV202" s="44" t="s">
        <v>37</v>
      </c>
      <c r="FW202" s="44">
        <v>1650</v>
      </c>
      <c r="FX202" s="44" t="s">
        <v>37</v>
      </c>
      <c r="FY202" s="44">
        <v>2831</v>
      </c>
      <c r="FZ202" s="44" t="s">
        <v>37</v>
      </c>
      <c r="GA202" s="44">
        <v>4248</v>
      </c>
      <c r="GB202" s="44" t="s">
        <v>37</v>
      </c>
      <c r="GC202" s="44">
        <v>5530</v>
      </c>
      <c r="GD202" s="44" t="s">
        <v>37</v>
      </c>
      <c r="GF202" s="44" t="s">
        <v>37</v>
      </c>
      <c r="GH202" s="44" t="s">
        <v>37</v>
      </c>
      <c r="GJ202" s="44" t="s">
        <v>37</v>
      </c>
      <c r="GK202" s="44">
        <v>8828</v>
      </c>
      <c r="GL202" s="44" t="s">
        <v>37</v>
      </c>
      <c r="GN202" s="44" t="s">
        <v>37</v>
      </c>
      <c r="GP202" s="44" t="s">
        <v>37</v>
      </c>
      <c r="GQ202" s="44">
        <v>3344</v>
      </c>
      <c r="GR202" s="44" t="s">
        <v>37</v>
      </c>
      <c r="GS202" s="44">
        <v>6793</v>
      </c>
      <c r="GT202" s="44" t="s">
        <v>37</v>
      </c>
      <c r="GU202" s="44">
        <v>4519</v>
      </c>
      <c r="GV202" s="44" t="s">
        <v>37</v>
      </c>
      <c r="GW202" s="44">
        <v>3436</v>
      </c>
      <c r="GX202" s="44" t="s">
        <v>37</v>
      </c>
      <c r="GY202" s="44">
        <v>8135</v>
      </c>
      <c r="GZ202" s="44" t="s">
        <v>37</v>
      </c>
      <c r="HA202" s="44">
        <v>3200</v>
      </c>
      <c r="HB202" s="44" t="s">
        <v>37</v>
      </c>
      <c r="HD202" s="44" t="s">
        <v>37</v>
      </c>
      <c r="HF202" s="44" t="s">
        <v>37</v>
      </c>
      <c r="HG202" s="44">
        <v>424854</v>
      </c>
      <c r="HH202" s="44" t="s">
        <v>37</v>
      </c>
      <c r="HJ202" s="44" t="s">
        <v>37</v>
      </c>
      <c r="HK202" s="44">
        <v>424854</v>
      </c>
      <c r="HL202" s="44" t="s">
        <v>37</v>
      </c>
    </row>
    <row r="203" spans="1:220">
      <c r="A203" s="150" t="s">
        <v>411</v>
      </c>
      <c r="B203" s="44">
        <v>3599</v>
      </c>
      <c r="C203" s="44" t="s">
        <v>219</v>
      </c>
      <c r="D203" s="44" t="s">
        <v>37</v>
      </c>
      <c r="F203" s="44" t="s">
        <v>37</v>
      </c>
      <c r="H203" s="44" t="s">
        <v>37</v>
      </c>
      <c r="I203" s="44">
        <v>13250</v>
      </c>
      <c r="J203" s="44" t="s">
        <v>37</v>
      </c>
      <c r="L203" s="48" t="s">
        <v>37</v>
      </c>
      <c r="M203" s="50"/>
      <c r="N203" s="48" t="s">
        <v>37</v>
      </c>
      <c r="O203" s="51">
        <v>4500</v>
      </c>
      <c r="P203" s="48" t="s">
        <v>37</v>
      </c>
      <c r="Q203" s="50"/>
      <c r="R203" s="48" t="s">
        <v>37</v>
      </c>
      <c r="S203" s="50"/>
      <c r="T203" s="48" t="s">
        <v>37</v>
      </c>
      <c r="V203" s="44" t="s">
        <v>37</v>
      </c>
      <c r="X203" s="44" t="s">
        <v>37</v>
      </c>
      <c r="Z203" s="44" t="s">
        <v>37</v>
      </c>
      <c r="AB203" s="44" t="s">
        <v>37</v>
      </c>
      <c r="AC203" s="44">
        <v>1169</v>
      </c>
      <c r="AD203" s="44" t="s">
        <v>37</v>
      </c>
      <c r="AF203" s="44" t="s">
        <v>37</v>
      </c>
      <c r="AH203" s="44" t="s">
        <v>37</v>
      </c>
      <c r="AI203" s="44">
        <v>4475</v>
      </c>
      <c r="AJ203" s="44" t="s">
        <v>37</v>
      </c>
      <c r="AL203" s="44" t="s">
        <v>37</v>
      </c>
      <c r="AM203" s="44">
        <v>191528</v>
      </c>
      <c r="AN203" s="44" t="s">
        <v>37</v>
      </c>
      <c r="AP203" s="44" t="s">
        <v>37</v>
      </c>
      <c r="AQ203" s="44">
        <v>1000</v>
      </c>
      <c r="AR203" s="44" t="s">
        <v>37</v>
      </c>
      <c r="AT203" s="44" t="s">
        <v>37</v>
      </c>
      <c r="AU203" s="44">
        <v>1555</v>
      </c>
      <c r="AV203" s="44" t="s">
        <v>37</v>
      </c>
      <c r="AW203" s="44">
        <v>2700</v>
      </c>
      <c r="AX203" s="44" t="s">
        <v>37</v>
      </c>
      <c r="AY203" s="44">
        <v>4500</v>
      </c>
      <c r="AZ203" s="44" t="s">
        <v>37</v>
      </c>
      <c r="BA203" s="44">
        <v>150</v>
      </c>
      <c r="BB203" s="44" t="s">
        <v>37</v>
      </c>
      <c r="BD203" s="44" t="s">
        <v>37</v>
      </c>
      <c r="BF203" s="44" t="s">
        <v>37</v>
      </c>
      <c r="BG203" s="44">
        <v>982</v>
      </c>
      <c r="BH203" s="44" t="s">
        <v>37</v>
      </c>
      <c r="BJ203" s="44" t="s">
        <v>37</v>
      </c>
      <c r="BK203" s="44">
        <v>13542</v>
      </c>
      <c r="BL203" s="44" t="s">
        <v>37</v>
      </c>
      <c r="BN203" s="44" t="s">
        <v>37</v>
      </c>
      <c r="BP203" s="44" t="s">
        <v>37</v>
      </c>
      <c r="BR203" s="44" t="s">
        <v>37</v>
      </c>
      <c r="BS203" s="44">
        <v>1745</v>
      </c>
      <c r="BT203" s="44" t="s">
        <v>37</v>
      </c>
      <c r="BV203" s="44" t="s">
        <v>37</v>
      </c>
      <c r="BX203" s="44" t="s">
        <v>37</v>
      </c>
      <c r="BY203" s="44">
        <v>14948</v>
      </c>
      <c r="BZ203" s="44" t="s">
        <v>37</v>
      </c>
      <c r="CA203" s="44">
        <v>862</v>
      </c>
      <c r="CB203" s="44" t="s">
        <v>37</v>
      </c>
      <c r="CD203" s="44" t="s">
        <v>37</v>
      </c>
      <c r="CE203" s="44">
        <v>10000</v>
      </c>
      <c r="CF203" s="44" t="s">
        <v>37</v>
      </c>
      <c r="CH203" s="44" t="s">
        <v>37</v>
      </c>
      <c r="CI203" s="44">
        <v>24646</v>
      </c>
      <c r="CJ203" s="44" t="s">
        <v>37</v>
      </c>
      <c r="CK203" s="44">
        <v>1000</v>
      </c>
      <c r="CL203" s="44" t="s">
        <v>37</v>
      </c>
      <c r="CN203" s="44" t="s">
        <v>37</v>
      </c>
      <c r="CP203" s="44" t="s">
        <v>37</v>
      </c>
      <c r="CR203" s="44" t="s">
        <v>37</v>
      </c>
      <c r="CT203" s="44" t="s">
        <v>37</v>
      </c>
      <c r="CU203" s="44">
        <v>14000</v>
      </c>
      <c r="CV203" s="44" t="s">
        <v>37</v>
      </c>
      <c r="CW203" s="44">
        <v>58</v>
      </c>
      <c r="CX203" s="44" t="s">
        <v>37</v>
      </c>
      <c r="CZ203" s="44" t="s">
        <v>37</v>
      </c>
      <c r="DB203" s="44" t="s">
        <v>37</v>
      </c>
      <c r="DD203" s="44" t="s">
        <v>37</v>
      </c>
      <c r="DF203" s="44" t="s">
        <v>37</v>
      </c>
      <c r="DG203" s="44">
        <v>2455</v>
      </c>
      <c r="DH203" s="44" t="s">
        <v>37</v>
      </c>
      <c r="DI203" s="44">
        <v>14000</v>
      </c>
      <c r="DJ203" s="44" t="s">
        <v>37</v>
      </c>
      <c r="DL203" s="44" t="s">
        <v>37</v>
      </c>
      <c r="DM203" s="44">
        <v>4500</v>
      </c>
      <c r="DN203" s="44" t="s">
        <v>37</v>
      </c>
      <c r="DP203" s="44" t="s">
        <v>37</v>
      </c>
      <c r="DR203" s="44" t="s">
        <v>37</v>
      </c>
      <c r="DS203" s="44">
        <v>33019</v>
      </c>
      <c r="DT203" s="44" t="s">
        <v>37</v>
      </c>
      <c r="DU203" s="44">
        <v>3551</v>
      </c>
      <c r="DV203" s="44" t="s">
        <v>37</v>
      </c>
      <c r="DW203" s="44">
        <v>9500</v>
      </c>
      <c r="DX203" s="44" t="s">
        <v>37</v>
      </c>
      <c r="DZ203" s="44" t="s">
        <v>37</v>
      </c>
      <c r="EA203" s="44">
        <v>130</v>
      </c>
      <c r="EB203" s="44" t="s">
        <v>37</v>
      </c>
      <c r="ED203" s="44" t="s">
        <v>37</v>
      </c>
      <c r="EE203" s="44">
        <v>12034</v>
      </c>
      <c r="EF203" s="44" t="s">
        <v>37</v>
      </c>
      <c r="EH203" s="44" t="s">
        <v>37</v>
      </c>
      <c r="EJ203" s="44" t="s">
        <v>37</v>
      </c>
      <c r="EL203" s="44" t="s">
        <v>37</v>
      </c>
      <c r="EN203" s="44" t="s">
        <v>37</v>
      </c>
      <c r="EP203" s="44" t="s">
        <v>37</v>
      </c>
      <c r="ER203" s="44" t="s">
        <v>37</v>
      </c>
      <c r="ES203" s="44">
        <v>12988</v>
      </c>
      <c r="ET203" s="44" t="s">
        <v>37</v>
      </c>
      <c r="EV203" s="44" t="s">
        <v>37</v>
      </c>
      <c r="EW203" s="44">
        <v>9150</v>
      </c>
      <c r="EX203" s="44" t="s">
        <v>37</v>
      </c>
      <c r="EZ203" s="44" t="s">
        <v>37</v>
      </c>
      <c r="FB203" s="44" t="s">
        <v>37</v>
      </c>
      <c r="FC203" s="44">
        <v>16000</v>
      </c>
      <c r="FD203" s="44" t="s">
        <v>37</v>
      </c>
      <c r="FF203" s="44" t="s">
        <v>37</v>
      </c>
      <c r="FH203" s="44" t="s">
        <v>37</v>
      </c>
      <c r="FI203" s="44">
        <v>475</v>
      </c>
      <c r="FJ203" s="44" t="s">
        <v>37</v>
      </c>
      <c r="FK203" s="44">
        <v>150</v>
      </c>
      <c r="FL203" s="44" t="s">
        <v>37</v>
      </c>
      <c r="FM203" s="44">
        <v>2983</v>
      </c>
      <c r="FN203" s="44" t="s">
        <v>37</v>
      </c>
      <c r="FP203" s="44" t="s">
        <v>37</v>
      </c>
      <c r="FR203" s="44" t="s">
        <v>37</v>
      </c>
      <c r="FS203" s="44">
        <v>1200</v>
      </c>
      <c r="FT203" s="44" t="s">
        <v>37</v>
      </c>
      <c r="FV203" s="44" t="s">
        <v>37</v>
      </c>
      <c r="FX203" s="44" t="s">
        <v>37</v>
      </c>
      <c r="FY203" s="44">
        <v>9000</v>
      </c>
      <c r="FZ203" s="44" t="s">
        <v>37</v>
      </c>
      <c r="GA203" s="44">
        <v>4500</v>
      </c>
      <c r="GB203" s="44" t="s">
        <v>37</v>
      </c>
      <c r="GC203" s="44">
        <v>8126</v>
      </c>
      <c r="GD203" s="44" t="s">
        <v>37</v>
      </c>
      <c r="GF203" s="44" t="s">
        <v>37</v>
      </c>
      <c r="GH203" s="44" t="s">
        <v>37</v>
      </c>
      <c r="GJ203" s="44" t="s">
        <v>37</v>
      </c>
      <c r="GK203" s="44">
        <v>585</v>
      </c>
      <c r="GL203" s="44" t="s">
        <v>37</v>
      </c>
      <c r="GN203" s="44" t="s">
        <v>37</v>
      </c>
      <c r="GP203" s="44" t="s">
        <v>37</v>
      </c>
      <c r="GR203" s="44" t="s">
        <v>37</v>
      </c>
      <c r="GS203" s="44">
        <v>2488</v>
      </c>
      <c r="GT203" s="44" t="s">
        <v>37</v>
      </c>
      <c r="GV203" s="44" t="s">
        <v>37</v>
      </c>
      <c r="GW203" s="44">
        <v>3500</v>
      </c>
      <c r="GX203" s="44" t="s">
        <v>37</v>
      </c>
      <c r="GY203" s="44">
        <v>47500</v>
      </c>
      <c r="GZ203" s="44" t="s">
        <v>37</v>
      </c>
      <c r="HB203" s="44" t="s">
        <v>37</v>
      </c>
      <c r="HD203" s="44" t="s">
        <v>37</v>
      </c>
      <c r="HF203" s="44" t="s">
        <v>37</v>
      </c>
      <c r="HG203" s="44">
        <v>504444</v>
      </c>
      <c r="HH203" s="44" t="s">
        <v>37</v>
      </c>
      <c r="HJ203" s="44" t="s">
        <v>37</v>
      </c>
      <c r="HK203" s="44">
        <v>504444</v>
      </c>
      <c r="HL203" s="44" t="s">
        <v>37</v>
      </c>
    </row>
    <row r="204" spans="1:220">
      <c r="A204" s="150" t="s">
        <v>411</v>
      </c>
      <c r="B204" s="44">
        <v>3600</v>
      </c>
      <c r="C204" s="44" t="s">
        <v>220</v>
      </c>
      <c r="D204" s="44" t="s">
        <v>37</v>
      </c>
      <c r="F204" s="44" t="s">
        <v>37</v>
      </c>
      <c r="H204" s="44" t="s">
        <v>37</v>
      </c>
      <c r="J204" s="44" t="s">
        <v>37</v>
      </c>
      <c r="L204" s="48" t="s">
        <v>37</v>
      </c>
      <c r="M204" s="50"/>
      <c r="N204" s="48" t="s">
        <v>37</v>
      </c>
      <c r="O204" s="50"/>
      <c r="P204" s="48" t="s">
        <v>37</v>
      </c>
      <c r="Q204" s="50"/>
      <c r="R204" s="48" t="s">
        <v>37</v>
      </c>
      <c r="S204" s="50"/>
      <c r="T204" s="48" t="s">
        <v>37</v>
      </c>
      <c r="V204" s="44" t="s">
        <v>37</v>
      </c>
      <c r="X204" s="44" t="s">
        <v>37</v>
      </c>
      <c r="Z204" s="44" t="s">
        <v>37</v>
      </c>
      <c r="AB204" s="44" t="s">
        <v>37</v>
      </c>
      <c r="AD204" s="44" t="s">
        <v>37</v>
      </c>
      <c r="AF204" s="44" t="s">
        <v>37</v>
      </c>
      <c r="AH204" s="44" t="s">
        <v>37</v>
      </c>
      <c r="AJ204" s="44" t="s">
        <v>37</v>
      </c>
      <c r="AL204" s="44" t="s">
        <v>37</v>
      </c>
      <c r="AN204" s="44" t="s">
        <v>37</v>
      </c>
      <c r="AP204" s="44" t="s">
        <v>37</v>
      </c>
      <c r="AR204" s="44" t="s">
        <v>37</v>
      </c>
      <c r="AT204" s="44" t="s">
        <v>37</v>
      </c>
      <c r="AV204" s="44" t="s">
        <v>37</v>
      </c>
      <c r="AX204" s="44" t="s">
        <v>37</v>
      </c>
      <c r="AZ204" s="44" t="s">
        <v>37</v>
      </c>
      <c r="BB204" s="44" t="s">
        <v>37</v>
      </c>
      <c r="BD204" s="44" t="s">
        <v>37</v>
      </c>
      <c r="BF204" s="44" t="s">
        <v>37</v>
      </c>
      <c r="BH204" s="44" t="s">
        <v>37</v>
      </c>
      <c r="BJ204" s="44" t="s">
        <v>37</v>
      </c>
      <c r="BL204" s="44" t="s">
        <v>37</v>
      </c>
      <c r="BN204" s="44" t="s">
        <v>37</v>
      </c>
      <c r="BP204" s="44" t="s">
        <v>37</v>
      </c>
      <c r="BR204" s="44" t="s">
        <v>37</v>
      </c>
      <c r="BT204" s="44" t="s">
        <v>37</v>
      </c>
      <c r="BV204" s="44" t="s">
        <v>37</v>
      </c>
      <c r="BX204" s="44" t="s">
        <v>37</v>
      </c>
      <c r="BZ204" s="44" t="s">
        <v>37</v>
      </c>
      <c r="CB204" s="44" t="s">
        <v>37</v>
      </c>
      <c r="CD204" s="44" t="s">
        <v>37</v>
      </c>
      <c r="CF204" s="44" t="s">
        <v>37</v>
      </c>
      <c r="CH204" s="44" t="s">
        <v>37</v>
      </c>
      <c r="CJ204" s="44" t="s">
        <v>37</v>
      </c>
      <c r="CL204" s="44" t="s">
        <v>37</v>
      </c>
      <c r="CN204" s="44" t="s">
        <v>37</v>
      </c>
      <c r="CP204" s="44" t="s">
        <v>37</v>
      </c>
      <c r="CR204" s="44" t="s">
        <v>37</v>
      </c>
      <c r="CT204" s="44" t="s">
        <v>37</v>
      </c>
      <c r="CV204" s="44" t="s">
        <v>37</v>
      </c>
      <c r="CX204" s="44" t="s">
        <v>37</v>
      </c>
      <c r="CZ204" s="44" t="s">
        <v>37</v>
      </c>
      <c r="DB204" s="44" t="s">
        <v>37</v>
      </c>
      <c r="DD204" s="44" t="s">
        <v>37</v>
      </c>
      <c r="DF204" s="44" t="s">
        <v>37</v>
      </c>
      <c r="DH204" s="44" t="s">
        <v>37</v>
      </c>
      <c r="DJ204" s="44" t="s">
        <v>37</v>
      </c>
      <c r="DL204" s="44" t="s">
        <v>37</v>
      </c>
      <c r="DN204" s="44" t="s">
        <v>37</v>
      </c>
      <c r="DP204" s="44" t="s">
        <v>37</v>
      </c>
      <c r="DR204" s="44" t="s">
        <v>37</v>
      </c>
      <c r="DT204" s="44" t="s">
        <v>37</v>
      </c>
      <c r="DV204" s="44" t="s">
        <v>37</v>
      </c>
      <c r="DX204" s="44" t="s">
        <v>37</v>
      </c>
      <c r="DZ204" s="44" t="s">
        <v>37</v>
      </c>
      <c r="EB204" s="44" t="s">
        <v>37</v>
      </c>
      <c r="ED204" s="44" t="s">
        <v>37</v>
      </c>
      <c r="EF204" s="44" t="s">
        <v>37</v>
      </c>
      <c r="EH204" s="44" t="s">
        <v>37</v>
      </c>
      <c r="EJ204" s="44" t="s">
        <v>37</v>
      </c>
      <c r="EL204" s="44" t="s">
        <v>37</v>
      </c>
      <c r="EN204" s="44" t="s">
        <v>37</v>
      </c>
      <c r="EP204" s="44" t="s">
        <v>37</v>
      </c>
      <c r="ER204" s="44" t="s">
        <v>37</v>
      </c>
      <c r="ET204" s="44" t="s">
        <v>37</v>
      </c>
      <c r="EV204" s="44" t="s">
        <v>37</v>
      </c>
      <c r="EX204" s="44" t="s">
        <v>37</v>
      </c>
      <c r="EZ204" s="44" t="s">
        <v>37</v>
      </c>
      <c r="FB204" s="44" t="s">
        <v>37</v>
      </c>
      <c r="FD204" s="44" t="s">
        <v>37</v>
      </c>
      <c r="FF204" s="44" t="s">
        <v>37</v>
      </c>
      <c r="FH204" s="44" t="s">
        <v>37</v>
      </c>
      <c r="FJ204" s="44" t="s">
        <v>37</v>
      </c>
      <c r="FL204" s="44" t="s">
        <v>37</v>
      </c>
      <c r="FN204" s="44" t="s">
        <v>37</v>
      </c>
      <c r="FP204" s="44" t="s">
        <v>37</v>
      </c>
      <c r="FR204" s="44" t="s">
        <v>37</v>
      </c>
      <c r="FT204" s="44" t="s">
        <v>37</v>
      </c>
      <c r="FV204" s="44" t="s">
        <v>37</v>
      </c>
      <c r="FX204" s="44" t="s">
        <v>37</v>
      </c>
      <c r="FZ204" s="44" t="s">
        <v>37</v>
      </c>
      <c r="GB204" s="44" t="s">
        <v>37</v>
      </c>
      <c r="GD204" s="44" t="s">
        <v>37</v>
      </c>
      <c r="GF204" s="44" t="s">
        <v>37</v>
      </c>
      <c r="GH204" s="44" t="s">
        <v>37</v>
      </c>
      <c r="GJ204" s="44" t="s">
        <v>37</v>
      </c>
      <c r="GL204" s="44" t="s">
        <v>37</v>
      </c>
      <c r="GN204" s="44" t="s">
        <v>37</v>
      </c>
      <c r="GP204" s="44" t="s">
        <v>37</v>
      </c>
      <c r="GR204" s="44" t="s">
        <v>37</v>
      </c>
      <c r="GT204" s="44" t="s">
        <v>37</v>
      </c>
      <c r="GV204" s="44" t="s">
        <v>37</v>
      </c>
      <c r="GX204" s="44" t="s">
        <v>37</v>
      </c>
      <c r="GZ204" s="44" t="s">
        <v>37</v>
      </c>
      <c r="HB204" s="44" t="s">
        <v>37</v>
      </c>
      <c r="HD204" s="44" t="s">
        <v>37</v>
      </c>
      <c r="HF204" s="44" t="s">
        <v>37</v>
      </c>
      <c r="HH204" s="44" t="s">
        <v>37</v>
      </c>
      <c r="HJ204" s="44" t="s">
        <v>37</v>
      </c>
      <c r="HL204" s="44" t="s">
        <v>37</v>
      </c>
    </row>
    <row r="205" spans="1:220">
      <c r="A205" s="150" t="s">
        <v>411</v>
      </c>
      <c r="B205" s="44">
        <v>3603</v>
      </c>
      <c r="C205" s="44" t="s">
        <v>221</v>
      </c>
      <c r="D205" s="44" t="s">
        <v>37</v>
      </c>
      <c r="F205" s="44" t="s">
        <v>37</v>
      </c>
      <c r="G205" s="44">
        <v>18081</v>
      </c>
      <c r="H205" s="44" t="s">
        <v>37</v>
      </c>
      <c r="J205" s="44" t="s">
        <v>37</v>
      </c>
      <c r="L205" s="48" t="s">
        <v>37</v>
      </c>
      <c r="M205" s="50"/>
      <c r="N205" s="48" t="s">
        <v>37</v>
      </c>
      <c r="O205" s="50"/>
      <c r="P205" s="48" t="s">
        <v>37</v>
      </c>
      <c r="Q205" s="50"/>
      <c r="R205" s="48" t="s">
        <v>37</v>
      </c>
      <c r="S205" s="50"/>
      <c r="T205" s="48" t="s">
        <v>37</v>
      </c>
      <c r="V205" s="44" t="s">
        <v>37</v>
      </c>
      <c r="X205" s="44" t="s">
        <v>37</v>
      </c>
      <c r="Z205" s="44" t="s">
        <v>37</v>
      </c>
      <c r="AB205" s="44" t="s">
        <v>37</v>
      </c>
      <c r="AD205" s="44" t="s">
        <v>37</v>
      </c>
      <c r="AF205" s="44" t="s">
        <v>37</v>
      </c>
      <c r="AH205" s="44" t="s">
        <v>37</v>
      </c>
      <c r="AJ205" s="44" t="s">
        <v>37</v>
      </c>
      <c r="AL205" s="44" t="s">
        <v>37</v>
      </c>
      <c r="AN205" s="44" t="s">
        <v>37</v>
      </c>
      <c r="AP205" s="44" t="s">
        <v>37</v>
      </c>
      <c r="AR205" s="44" t="s">
        <v>37</v>
      </c>
      <c r="AT205" s="44" t="s">
        <v>37</v>
      </c>
      <c r="AV205" s="44" t="s">
        <v>37</v>
      </c>
      <c r="AX205" s="44" t="s">
        <v>37</v>
      </c>
      <c r="AZ205" s="44" t="s">
        <v>37</v>
      </c>
      <c r="BB205" s="44" t="s">
        <v>37</v>
      </c>
      <c r="BC205" s="44">
        <v>5000</v>
      </c>
      <c r="BD205" s="44" t="s">
        <v>37</v>
      </c>
      <c r="BF205" s="44" t="s">
        <v>37</v>
      </c>
      <c r="BH205" s="44" t="s">
        <v>37</v>
      </c>
      <c r="BJ205" s="44" t="s">
        <v>37</v>
      </c>
      <c r="BL205" s="44" t="s">
        <v>37</v>
      </c>
      <c r="BM205" s="44">
        <v>9703</v>
      </c>
      <c r="BN205" s="44" t="s">
        <v>37</v>
      </c>
      <c r="BP205" s="44" t="s">
        <v>37</v>
      </c>
      <c r="BR205" s="44" t="s">
        <v>37</v>
      </c>
      <c r="BT205" s="44" t="s">
        <v>37</v>
      </c>
      <c r="BV205" s="44" t="s">
        <v>37</v>
      </c>
      <c r="BX205" s="44" t="s">
        <v>37</v>
      </c>
      <c r="BZ205" s="44" t="s">
        <v>37</v>
      </c>
      <c r="CB205" s="44" t="s">
        <v>37</v>
      </c>
      <c r="CD205" s="44" t="s">
        <v>37</v>
      </c>
      <c r="CF205" s="44" t="s">
        <v>37</v>
      </c>
      <c r="CG205" s="44">
        <v>52745</v>
      </c>
      <c r="CH205" s="44" t="s">
        <v>37</v>
      </c>
      <c r="CI205" s="44">
        <v>15315</v>
      </c>
      <c r="CJ205" s="44" t="s">
        <v>37</v>
      </c>
      <c r="CL205" s="44" t="s">
        <v>37</v>
      </c>
      <c r="CN205" s="44" t="s">
        <v>37</v>
      </c>
      <c r="CP205" s="44" t="s">
        <v>37</v>
      </c>
      <c r="CR205" s="44" t="s">
        <v>37</v>
      </c>
      <c r="CT205" s="44" t="s">
        <v>37</v>
      </c>
      <c r="CV205" s="44" t="s">
        <v>37</v>
      </c>
      <c r="CX205" s="44" t="s">
        <v>37</v>
      </c>
      <c r="CZ205" s="44" t="s">
        <v>37</v>
      </c>
      <c r="DB205" s="44" t="s">
        <v>37</v>
      </c>
      <c r="DD205" s="44" t="s">
        <v>37</v>
      </c>
      <c r="DF205" s="44" t="s">
        <v>37</v>
      </c>
      <c r="DH205" s="44" t="s">
        <v>37</v>
      </c>
      <c r="DJ205" s="44" t="s">
        <v>37</v>
      </c>
      <c r="DK205" s="44">
        <v>138271</v>
      </c>
      <c r="DL205" s="44" t="s">
        <v>37</v>
      </c>
      <c r="DN205" s="44" t="s">
        <v>37</v>
      </c>
      <c r="DP205" s="44" t="s">
        <v>37</v>
      </c>
      <c r="DR205" s="44" t="s">
        <v>37</v>
      </c>
      <c r="DT205" s="44" t="s">
        <v>37</v>
      </c>
      <c r="DV205" s="44" t="s">
        <v>37</v>
      </c>
      <c r="DX205" s="44" t="s">
        <v>37</v>
      </c>
      <c r="DZ205" s="44" t="s">
        <v>37</v>
      </c>
      <c r="EB205" s="44" t="s">
        <v>37</v>
      </c>
      <c r="ED205" s="44" t="s">
        <v>37</v>
      </c>
      <c r="EF205" s="44" t="s">
        <v>37</v>
      </c>
      <c r="EH205" s="44" t="s">
        <v>37</v>
      </c>
      <c r="EJ205" s="44" t="s">
        <v>37</v>
      </c>
      <c r="EL205" s="44" t="s">
        <v>37</v>
      </c>
      <c r="EN205" s="44" t="s">
        <v>37</v>
      </c>
      <c r="EP205" s="44" t="s">
        <v>37</v>
      </c>
      <c r="ER205" s="44" t="s">
        <v>37</v>
      </c>
      <c r="ET205" s="44" t="s">
        <v>37</v>
      </c>
      <c r="EV205" s="44" t="s">
        <v>37</v>
      </c>
      <c r="EX205" s="44" t="s">
        <v>37</v>
      </c>
      <c r="EZ205" s="44" t="s">
        <v>37</v>
      </c>
      <c r="FB205" s="44" t="s">
        <v>37</v>
      </c>
      <c r="FD205" s="44" t="s">
        <v>37</v>
      </c>
      <c r="FF205" s="44" t="s">
        <v>37</v>
      </c>
      <c r="FH205" s="44" t="s">
        <v>37</v>
      </c>
      <c r="FJ205" s="44" t="s">
        <v>37</v>
      </c>
      <c r="FL205" s="44" t="s">
        <v>37</v>
      </c>
      <c r="FN205" s="44" t="s">
        <v>37</v>
      </c>
      <c r="FP205" s="44" t="s">
        <v>37</v>
      </c>
      <c r="FR205" s="44" t="s">
        <v>37</v>
      </c>
      <c r="FT205" s="44" t="s">
        <v>37</v>
      </c>
      <c r="FV205" s="44" t="s">
        <v>37</v>
      </c>
      <c r="FX205" s="44" t="s">
        <v>37</v>
      </c>
      <c r="FZ205" s="44" t="s">
        <v>37</v>
      </c>
      <c r="GB205" s="44" t="s">
        <v>37</v>
      </c>
      <c r="GC205" s="44">
        <v>6418</v>
      </c>
      <c r="GD205" s="44" t="s">
        <v>37</v>
      </c>
      <c r="GF205" s="44" t="s">
        <v>37</v>
      </c>
      <c r="GH205" s="44" t="s">
        <v>37</v>
      </c>
      <c r="GJ205" s="44" t="s">
        <v>37</v>
      </c>
      <c r="GL205" s="44" t="s">
        <v>37</v>
      </c>
      <c r="GN205" s="44" t="s">
        <v>37</v>
      </c>
      <c r="GP205" s="44" t="s">
        <v>37</v>
      </c>
      <c r="GR205" s="44" t="s">
        <v>37</v>
      </c>
      <c r="GT205" s="44" t="s">
        <v>37</v>
      </c>
      <c r="GV205" s="44" t="s">
        <v>37</v>
      </c>
      <c r="GX205" s="44" t="s">
        <v>37</v>
      </c>
      <c r="GZ205" s="44" t="s">
        <v>37</v>
      </c>
      <c r="HB205" s="44" t="s">
        <v>37</v>
      </c>
      <c r="HD205" s="44" t="s">
        <v>37</v>
      </c>
      <c r="HF205" s="44" t="s">
        <v>37</v>
      </c>
      <c r="HG205" s="44">
        <v>245533</v>
      </c>
      <c r="HH205" s="44" t="s">
        <v>37</v>
      </c>
      <c r="HJ205" s="44" t="s">
        <v>37</v>
      </c>
      <c r="HK205" s="44">
        <v>245533</v>
      </c>
      <c r="HL205" s="44" t="s">
        <v>37</v>
      </c>
    </row>
    <row r="206" spans="1:220">
      <c r="A206" s="150" t="s">
        <v>411</v>
      </c>
      <c r="B206" s="44">
        <v>3604</v>
      </c>
      <c r="C206" s="44" t="s">
        <v>222</v>
      </c>
      <c r="D206" s="44" t="s">
        <v>37</v>
      </c>
      <c r="F206" s="44" t="s">
        <v>37</v>
      </c>
      <c r="H206" s="44" t="s">
        <v>37</v>
      </c>
      <c r="J206" s="44" t="s">
        <v>37</v>
      </c>
      <c r="L206" s="48" t="s">
        <v>37</v>
      </c>
      <c r="M206" s="50"/>
      <c r="N206" s="48" t="s">
        <v>37</v>
      </c>
      <c r="O206" s="50"/>
      <c r="P206" s="48" t="s">
        <v>37</v>
      </c>
      <c r="Q206" s="50"/>
      <c r="R206" s="48" t="s">
        <v>37</v>
      </c>
      <c r="S206" s="50"/>
      <c r="T206" s="48" t="s">
        <v>37</v>
      </c>
      <c r="V206" s="44" t="s">
        <v>37</v>
      </c>
      <c r="X206" s="44" t="s">
        <v>37</v>
      </c>
      <c r="Z206" s="44" t="s">
        <v>37</v>
      </c>
      <c r="AB206" s="44" t="s">
        <v>37</v>
      </c>
      <c r="AD206" s="44" t="s">
        <v>37</v>
      </c>
      <c r="AF206" s="44" t="s">
        <v>37</v>
      </c>
      <c r="AH206" s="44" t="s">
        <v>37</v>
      </c>
      <c r="AJ206" s="44" t="s">
        <v>37</v>
      </c>
      <c r="AL206" s="44" t="s">
        <v>37</v>
      </c>
      <c r="AN206" s="44" t="s">
        <v>37</v>
      </c>
      <c r="AP206" s="44" t="s">
        <v>37</v>
      </c>
      <c r="AR206" s="44" t="s">
        <v>37</v>
      </c>
      <c r="AT206" s="44" t="s">
        <v>37</v>
      </c>
      <c r="AV206" s="44" t="s">
        <v>37</v>
      </c>
      <c r="AX206" s="44" t="s">
        <v>37</v>
      </c>
      <c r="AZ206" s="44" t="s">
        <v>37</v>
      </c>
      <c r="BB206" s="44" t="s">
        <v>37</v>
      </c>
      <c r="BD206" s="44" t="s">
        <v>37</v>
      </c>
      <c r="BE206" s="44">
        <v>221</v>
      </c>
      <c r="BF206" s="44" t="s">
        <v>37</v>
      </c>
      <c r="BH206" s="44" t="s">
        <v>37</v>
      </c>
      <c r="BJ206" s="44" t="s">
        <v>37</v>
      </c>
      <c r="BL206" s="44" t="s">
        <v>37</v>
      </c>
      <c r="BM206" s="44">
        <v>16437</v>
      </c>
      <c r="BN206" s="44" t="s">
        <v>37</v>
      </c>
      <c r="BP206" s="44" t="s">
        <v>37</v>
      </c>
      <c r="BR206" s="44" t="s">
        <v>37</v>
      </c>
      <c r="BS206" s="44">
        <v>799</v>
      </c>
      <c r="BT206" s="44" t="s">
        <v>37</v>
      </c>
      <c r="BV206" s="44" t="s">
        <v>37</v>
      </c>
      <c r="BX206" s="44" t="s">
        <v>37</v>
      </c>
      <c r="BZ206" s="44" t="s">
        <v>37</v>
      </c>
      <c r="CB206" s="44" t="s">
        <v>37</v>
      </c>
      <c r="CD206" s="44" t="s">
        <v>37</v>
      </c>
      <c r="CF206" s="44" t="s">
        <v>37</v>
      </c>
      <c r="CG206" s="44">
        <v>47875</v>
      </c>
      <c r="CH206" s="44" t="s">
        <v>37</v>
      </c>
      <c r="CJ206" s="44" t="s">
        <v>37</v>
      </c>
      <c r="CL206" s="44" t="s">
        <v>37</v>
      </c>
      <c r="CN206" s="44" t="s">
        <v>37</v>
      </c>
      <c r="CP206" s="44" t="s">
        <v>37</v>
      </c>
      <c r="CR206" s="44" t="s">
        <v>37</v>
      </c>
      <c r="CT206" s="44" t="s">
        <v>37</v>
      </c>
      <c r="CV206" s="44" t="s">
        <v>37</v>
      </c>
      <c r="CX206" s="44" t="s">
        <v>37</v>
      </c>
      <c r="CZ206" s="44" t="s">
        <v>37</v>
      </c>
      <c r="DB206" s="44" t="s">
        <v>37</v>
      </c>
      <c r="DD206" s="44" t="s">
        <v>37</v>
      </c>
      <c r="DF206" s="44" t="s">
        <v>37</v>
      </c>
      <c r="DH206" s="44" t="s">
        <v>37</v>
      </c>
      <c r="DJ206" s="44" t="s">
        <v>37</v>
      </c>
      <c r="DL206" s="44" t="s">
        <v>37</v>
      </c>
      <c r="DN206" s="44" t="s">
        <v>37</v>
      </c>
      <c r="DP206" s="44" t="s">
        <v>37</v>
      </c>
      <c r="DR206" s="44" t="s">
        <v>37</v>
      </c>
      <c r="DT206" s="44" t="s">
        <v>37</v>
      </c>
      <c r="DV206" s="44" t="s">
        <v>37</v>
      </c>
      <c r="DX206" s="44" t="s">
        <v>37</v>
      </c>
      <c r="DZ206" s="44" t="s">
        <v>37</v>
      </c>
      <c r="EB206" s="44" t="s">
        <v>37</v>
      </c>
      <c r="ED206" s="44" t="s">
        <v>37</v>
      </c>
      <c r="EF206" s="44" t="s">
        <v>37</v>
      </c>
      <c r="EH206" s="44" t="s">
        <v>37</v>
      </c>
      <c r="EJ206" s="44" t="s">
        <v>37</v>
      </c>
      <c r="EL206" s="44" t="s">
        <v>37</v>
      </c>
      <c r="EN206" s="44" t="s">
        <v>37</v>
      </c>
      <c r="EO206" s="44">
        <v>39815</v>
      </c>
      <c r="EP206" s="44" t="s">
        <v>37</v>
      </c>
      <c r="ER206" s="44" t="s">
        <v>37</v>
      </c>
      <c r="ET206" s="44" t="s">
        <v>37</v>
      </c>
      <c r="EV206" s="44" t="s">
        <v>37</v>
      </c>
      <c r="EX206" s="44" t="s">
        <v>37</v>
      </c>
      <c r="EZ206" s="44" t="s">
        <v>37</v>
      </c>
      <c r="FB206" s="44" t="s">
        <v>37</v>
      </c>
      <c r="FD206" s="44" t="s">
        <v>37</v>
      </c>
      <c r="FF206" s="44" t="s">
        <v>37</v>
      </c>
      <c r="FH206" s="44" t="s">
        <v>37</v>
      </c>
      <c r="FJ206" s="44" t="s">
        <v>37</v>
      </c>
      <c r="FL206" s="44" t="s">
        <v>37</v>
      </c>
      <c r="FN206" s="44" t="s">
        <v>37</v>
      </c>
      <c r="FP206" s="44" t="s">
        <v>37</v>
      </c>
      <c r="FR206" s="44" t="s">
        <v>37</v>
      </c>
      <c r="FT206" s="44" t="s">
        <v>37</v>
      </c>
      <c r="FV206" s="44" t="s">
        <v>37</v>
      </c>
      <c r="FX206" s="44" t="s">
        <v>37</v>
      </c>
      <c r="FZ206" s="44" t="s">
        <v>37</v>
      </c>
      <c r="GB206" s="44" t="s">
        <v>37</v>
      </c>
      <c r="GD206" s="44" t="s">
        <v>37</v>
      </c>
      <c r="GF206" s="44" t="s">
        <v>37</v>
      </c>
      <c r="GH206" s="44" t="s">
        <v>37</v>
      </c>
      <c r="GJ206" s="44" t="s">
        <v>37</v>
      </c>
      <c r="GL206" s="44" t="s">
        <v>37</v>
      </c>
      <c r="GM206" s="44">
        <v>15778</v>
      </c>
      <c r="GN206" s="44" t="s">
        <v>37</v>
      </c>
      <c r="GP206" s="44" t="s">
        <v>37</v>
      </c>
      <c r="GR206" s="44" t="s">
        <v>37</v>
      </c>
      <c r="GT206" s="44" t="s">
        <v>37</v>
      </c>
      <c r="GV206" s="44" t="s">
        <v>37</v>
      </c>
      <c r="GX206" s="44" t="s">
        <v>37</v>
      </c>
      <c r="GZ206" s="44" t="s">
        <v>37</v>
      </c>
      <c r="HB206" s="44" t="s">
        <v>37</v>
      </c>
      <c r="HD206" s="44" t="s">
        <v>37</v>
      </c>
      <c r="HF206" s="44" t="s">
        <v>37</v>
      </c>
      <c r="HG206" s="44">
        <v>120925</v>
      </c>
      <c r="HH206" s="44" t="s">
        <v>37</v>
      </c>
      <c r="HJ206" s="44" t="s">
        <v>37</v>
      </c>
      <c r="HK206" s="44">
        <v>120925</v>
      </c>
      <c r="HL206" s="44" t="s">
        <v>37</v>
      </c>
    </row>
    <row r="207" spans="1:220">
      <c r="A207" s="150" t="s">
        <v>411</v>
      </c>
      <c r="B207" s="44">
        <v>3605</v>
      </c>
      <c r="C207" s="44" t="s">
        <v>223</v>
      </c>
      <c r="D207" s="44" t="s">
        <v>37</v>
      </c>
      <c r="F207" s="44" t="s">
        <v>37</v>
      </c>
      <c r="H207" s="44" t="s">
        <v>37</v>
      </c>
      <c r="J207" s="44" t="s">
        <v>37</v>
      </c>
      <c r="L207" s="48" t="s">
        <v>37</v>
      </c>
      <c r="M207" s="50"/>
      <c r="N207" s="48" t="s">
        <v>37</v>
      </c>
      <c r="O207" s="50"/>
      <c r="P207" s="48" t="s">
        <v>37</v>
      </c>
      <c r="Q207" s="50"/>
      <c r="R207" s="48" t="s">
        <v>37</v>
      </c>
      <c r="S207" s="50"/>
      <c r="T207" s="48" t="s">
        <v>37</v>
      </c>
      <c r="V207" s="44" t="s">
        <v>37</v>
      </c>
      <c r="X207" s="44" t="s">
        <v>37</v>
      </c>
      <c r="Z207" s="44" t="s">
        <v>37</v>
      </c>
      <c r="AB207" s="44" t="s">
        <v>37</v>
      </c>
      <c r="AD207" s="44" t="s">
        <v>37</v>
      </c>
      <c r="AF207" s="44" t="s">
        <v>37</v>
      </c>
      <c r="AH207" s="44" t="s">
        <v>37</v>
      </c>
      <c r="AJ207" s="44" t="s">
        <v>37</v>
      </c>
      <c r="AL207" s="44" t="s">
        <v>37</v>
      </c>
      <c r="AN207" s="44" t="s">
        <v>37</v>
      </c>
      <c r="AP207" s="44" t="s">
        <v>37</v>
      </c>
      <c r="AR207" s="44" t="s">
        <v>37</v>
      </c>
      <c r="AT207" s="44" t="s">
        <v>37</v>
      </c>
      <c r="AV207" s="44" t="s">
        <v>37</v>
      </c>
      <c r="AX207" s="44" t="s">
        <v>37</v>
      </c>
      <c r="AZ207" s="44" t="s">
        <v>37</v>
      </c>
      <c r="BB207" s="44" t="s">
        <v>37</v>
      </c>
      <c r="BC207" s="44">
        <v>234</v>
      </c>
      <c r="BD207" s="44" t="s">
        <v>37</v>
      </c>
      <c r="BF207" s="44" t="s">
        <v>37</v>
      </c>
      <c r="BH207" s="44" t="s">
        <v>37</v>
      </c>
      <c r="BJ207" s="44" t="s">
        <v>37</v>
      </c>
      <c r="BL207" s="44" t="s">
        <v>37</v>
      </c>
      <c r="BN207" s="44" t="s">
        <v>37</v>
      </c>
      <c r="BP207" s="44" t="s">
        <v>37</v>
      </c>
      <c r="BR207" s="44" t="s">
        <v>37</v>
      </c>
      <c r="BT207" s="44" t="s">
        <v>37</v>
      </c>
      <c r="BV207" s="44" t="s">
        <v>37</v>
      </c>
      <c r="BX207" s="44" t="s">
        <v>37</v>
      </c>
      <c r="BZ207" s="44" t="s">
        <v>37</v>
      </c>
      <c r="CB207" s="44" t="s">
        <v>37</v>
      </c>
      <c r="CC207" s="44">
        <v>16469</v>
      </c>
      <c r="CD207" s="44" t="s">
        <v>37</v>
      </c>
      <c r="CF207" s="44" t="s">
        <v>37</v>
      </c>
      <c r="CG207" s="44">
        <v>284</v>
      </c>
      <c r="CH207" s="44" t="s">
        <v>37</v>
      </c>
      <c r="CI207" s="44">
        <v>751</v>
      </c>
      <c r="CJ207" s="44" t="s">
        <v>37</v>
      </c>
      <c r="CL207" s="44" t="s">
        <v>37</v>
      </c>
      <c r="CN207" s="44" t="s">
        <v>37</v>
      </c>
      <c r="CP207" s="44" t="s">
        <v>37</v>
      </c>
      <c r="CR207" s="44" t="s">
        <v>37</v>
      </c>
      <c r="CT207" s="44" t="s">
        <v>37</v>
      </c>
      <c r="CV207" s="44" t="s">
        <v>37</v>
      </c>
      <c r="CX207" s="44" t="s">
        <v>37</v>
      </c>
      <c r="CZ207" s="44" t="s">
        <v>37</v>
      </c>
      <c r="DB207" s="44" t="s">
        <v>37</v>
      </c>
      <c r="DD207" s="44" t="s">
        <v>37</v>
      </c>
      <c r="DF207" s="44" t="s">
        <v>37</v>
      </c>
      <c r="DH207" s="44" t="s">
        <v>37</v>
      </c>
      <c r="DJ207" s="44" t="s">
        <v>37</v>
      </c>
      <c r="DL207" s="44" t="s">
        <v>37</v>
      </c>
      <c r="DN207" s="44" t="s">
        <v>37</v>
      </c>
      <c r="DP207" s="44" t="s">
        <v>37</v>
      </c>
      <c r="DR207" s="44" t="s">
        <v>37</v>
      </c>
      <c r="DT207" s="44" t="s">
        <v>37</v>
      </c>
      <c r="DV207" s="44" t="s">
        <v>37</v>
      </c>
      <c r="DX207" s="44" t="s">
        <v>37</v>
      </c>
      <c r="DZ207" s="44" t="s">
        <v>37</v>
      </c>
      <c r="EB207" s="44" t="s">
        <v>37</v>
      </c>
      <c r="ED207" s="44" t="s">
        <v>37</v>
      </c>
      <c r="EF207" s="44" t="s">
        <v>37</v>
      </c>
      <c r="EH207" s="44" t="s">
        <v>37</v>
      </c>
      <c r="EJ207" s="44" t="s">
        <v>37</v>
      </c>
      <c r="EL207" s="44" t="s">
        <v>37</v>
      </c>
      <c r="EN207" s="44" t="s">
        <v>37</v>
      </c>
      <c r="EP207" s="44" t="s">
        <v>37</v>
      </c>
      <c r="ER207" s="44" t="s">
        <v>37</v>
      </c>
      <c r="ET207" s="44" t="s">
        <v>37</v>
      </c>
      <c r="EV207" s="44" t="s">
        <v>37</v>
      </c>
      <c r="EX207" s="44" t="s">
        <v>37</v>
      </c>
      <c r="EZ207" s="44" t="s">
        <v>37</v>
      </c>
      <c r="FB207" s="44" t="s">
        <v>37</v>
      </c>
      <c r="FD207" s="44" t="s">
        <v>37</v>
      </c>
      <c r="FF207" s="44" t="s">
        <v>37</v>
      </c>
      <c r="FH207" s="44" t="s">
        <v>37</v>
      </c>
      <c r="FJ207" s="44" t="s">
        <v>37</v>
      </c>
      <c r="FL207" s="44" t="s">
        <v>37</v>
      </c>
      <c r="FN207" s="44" t="s">
        <v>37</v>
      </c>
      <c r="FP207" s="44" t="s">
        <v>37</v>
      </c>
      <c r="FR207" s="44" t="s">
        <v>37</v>
      </c>
      <c r="FT207" s="44" t="s">
        <v>37</v>
      </c>
      <c r="FV207" s="44" t="s">
        <v>37</v>
      </c>
      <c r="FX207" s="44" t="s">
        <v>37</v>
      </c>
      <c r="FZ207" s="44" t="s">
        <v>37</v>
      </c>
      <c r="GB207" s="44" t="s">
        <v>37</v>
      </c>
      <c r="GC207" s="44">
        <v>4298</v>
      </c>
      <c r="GD207" s="44" t="s">
        <v>37</v>
      </c>
      <c r="GF207" s="44" t="s">
        <v>37</v>
      </c>
      <c r="GH207" s="44" t="s">
        <v>37</v>
      </c>
      <c r="GJ207" s="44" t="s">
        <v>37</v>
      </c>
      <c r="GL207" s="44" t="s">
        <v>37</v>
      </c>
      <c r="GN207" s="44" t="s">
        <v>37</v>
      </c>
      <c r="GP207" s="44" t="s">
        <v>37</v>
      </c>
      <c r="GR207" s="44" t="s">
        <v>37</v>
      </c>
      <c r="GT207" s="44" t="s">
        <v>37</v>
      </c>
      <c r="GV207" s="44" t="s">
        <v>37</v>
      </c>
      <c r="GW207" s="44">
        <v>1438</v>
      </c>
      <c r="GX207" s="44" t="s">
        <v>37</v>
      </c>
      <c r="GZ207" s="44" t="s">
        <v>37</v>
      </c>
      <c r="HB207" s="44" t="s">
        <v>37</v>
      </c>
      <c r="HD207" s="44" t="s">
        <v>37</v>
      </c>
      <c r="HF207" s="44" t="s">
        <v>37</v>
      </c>
      <c r="HG207" s="44">
        <v>23474</v>
      </c>
      <c r="HH207" s="44" t="s">
        <v>37</v>
      </c>
      <c r="HJ207" s="44" t="s">
        <v>37</v>
      </c>
      <c r="HK207" s="44">
        <v>23474</v>
      </c>
      <c r="HL207" s="44" t="s">
        <v>37</v>
      </c>
    </row>
    <row r="208" spans="1:220">
      <c r="A208" s="150" t="s">
        <v>411</v>
      </c>
      <c r="B208" s="44">
        <v>3606</v>
      </c>
      <c r="C208" s="44" t="s">
        <v>224</v>
      </c>
      <c r="D208" s="44" t="s">
        <v>37</v>
      </c>
      <c r="F208" s="44" t="s">
        <v>37</v>
      </c>
      <c r="H208" s="44" t="s">
        <v>37</v>
      </c>
      <c r="J208" s="44" t="s">
        <v>37</v>
      </c>
      <c r="L208" s="48" t="s">
        <v>37</v>
      </c>
      <c r="M208" s="50"/>
      <c r="N208" s="48" t="s">
        <v>37</v>
      </c>
      <c r="O208" s="50"/>
      <c r="P208" s="48" t="s">
        <v>37</v>
      </c>
      <c r="Q208" s="50"/>
      <c r="R208" s="48" t="s">
        <v>37</v>
      </c>
      <c r="S208" s="50"/>
      <c r="T208" s="48" t="s">
        <v>37</v>
      </c>
      <c r="V208" s="44" t="s">
        <v>37</v>
      </c>
      <c r="X208" s="44" t="s">
        <v>37</v>
      </c>
      <c r="Z208" s="44" t="s">
        <v>37</v>
      </c>
      <c r="AB208" s="44" t="s">
        <v>37</v>
      </c>
      <c r="AD208" s="44" t="s">
        <v>37</v>
      </c>
      <c r="AF208" s="44" t="s">
        <v>37</v>
      </c>
      <c r="AH208" s="44" t="s">
        <v>37</v>
      </c>
      <c r="AJ208" s="44" t="s">
        <v>37</v>
      </c>
      <c r="AL208" s="44" t="s">
        <v>37</v>
      </c>
      <c r="AN208" s="44" t="s">
        <v>37</v>
      </c>
      <c r="AP208" s="44" t="s">
        <v>37</v>
      </c>
      <c r="AR208" s="44" t="s">
        <v>37</v>
      </c>
      <c r="AT208" s="44" t="s">
        <v>37</v>
      </c>
      <c r="AV208" s="44" t="s">
        <v>37</v>
      </c>
      <c r="AX208" s="44" t="s">
        <v>37</v>
      </c>
      <c r="AZ208" s="44" t="s">
        <v>37</v>
      </c>
      <c r="BB208" s="44" t="s">
        <v>37</v>
      </c>
      <c r="BD208" s="44" t="s">
        <v>37</v>
      </c>
      <c r="BF208" s="44" t="s">
        <v>37</v>
      </c>
      <c r="BH208" s="44" t="s">
        <v>37</v>
      </c>
      <c r="BJ208" s="44" t="s">
        <v>37</v>
      </c>
      <c r="BL208" s="44" t="s">
        <v>37</v>
      </c>
      <c r="BN208" s="44" t="s">
        <v>37</v>
      </c>
      <c r="BP208" s="44" t="s">
        <v>37</v>
      </c>
      <c r="BR208" s="44" t="s">
        <v>37</v>
      </c>
      <c r="BT208" s="44" t="s">
        <v>37</v>
      </c>
      <c r="BV208" s="44" t="s">
        <v>37</v>
      </c>
      <c r="BX208" s="44" t="s">
        <v>37</v>
      </c>
      <c r="BZ208" s="44" t="s">
        <v>37</v>
      </c>
      <c r="CB208" s="44" t="s">
        <v>37</v>
      </c>
      <c r="CD208" s="44" t="s">
        <v>37</v>
      </c>
      <c r="CF208" s="44" t="s">
        <v>37</v>
      </c>
      <c r="CH208" s="44" t="s">
        <v>37</v>
      </c>
      <c r="CJ208" s="44" t="s">
        <v>37</v>
      </c>
      <c r="CK208" s="44">
        <v>4000</v>
      </c>
      <c r="CL208" s="44" t="s">
        <v>37</v>
      </c>
      <c r="CN208" s="44" t="s">
        <v>37</v>
      </c>
      <c r="CP208" s="44" t="s">
        <v>37</v>
      </c>
      <c r="CR208" s="44" t="s">
        <v>37</v>
      </c>
      <c r="CT208" s="44" t="s">
        <v>37</v>
      </c>
      <c r="CU208" s="44">
        <v>62400</v>
      </c>
      <c r="CV208" s="44" t="s">
        <v>37</v>
      </c>
      <c r="CX208" s="44" t="s">
        <v>37</v>
      </c>
      <c r="CZ208" s="44" t="s">
        <v>37</v>
      </c>
      <c r="DB208" s="44" t="s">
        <v>37</v>
      </c>
      <c r="DD208" s="44" t="s">
        <v>37</v>
      </c>
      <c r="DF208" s="44" t="s">
        <v>37</v>
      </c>
      <c r="DH208" s="44" t="s">
        <v>37</v>
      </c>
      <c r="DJ208" s="44" t="s">
        <v>37</v>
      </c>
      <c r="DL208" s="44" t="s">
        <v>37</v>
      </c>
      <c r="DN208" s="44" t="s">
        <v>37</v>
      </c>
      <c r="DP208" s="44" t="s">
        <v>37</v>
      </c>
      <c r="DR208" s="44" t="s">
        <v>37</v>
      </c>
      <c r="DT208" s="44" t="s">
        <v>37</v>
      </c>
      <c r="DV208" s="44" t="s">
        <v>37</v>
      </c>
      <c r="DX208" s="44" t="s">
        <v>37</v>
      </c>
      <c r="DZ208" s="44" t="s">
        <v>37</v>
      </c>
      <c r="EB208" s="44" t="s">
        <v>37</v>
      </c>
      <c r="ED208" s="44" t="s">
        <v>37</v>
      </c>
      <c r="EF208" s="44" t="s">
        <v>37</v>
      </c>
      <c r="EH208" s="44" t="s">
        <v>37</v>
      </c>
      <c r="EJ208" s="44" t="s">
        <v>37</v>
      </c>
      <c r="EL208" s="44" t="s">
        <v>37</v>
      </c>
      <c r="EN208" s="44" t="s">
        <v>37</v>
      </c>
      <c r="EP208" s="44" t="s">
        <v>37</v>
      </c>
      <c r="ER208" s="44" t="s">
        <v>37</v>
      </c>
      <c r="ET208" s="44" t="s">
        <v>37</v>
      </c>
      <c r="EV208" s="44" t="s">
        <v>37</v>
      </c>
      <c r="EX208" s="44" t="s">
        <v>37</v>
      </c>
      <c r="EZ208" s="44" t="s">
        <v>37</v>
      </c>
      <c r="FB208" s="44" t="s">
        <v>37</v>
      </c>
      <c r="FD208" s="44" t="s">
        <v>37</v>
      </c>
      <c r="FF208" s="44" t="s">
        <v>37</v>
      </c>
      <c r="FH208" s="44" t="s">
        <v>37</v>
      </c>
      <c r="FJ208" s="44" t="s">
        <v>37</v>
      </c>
      <c r="FL208" s="44" t="s">
        <v>37</v>
      </c>
      <c r="FN208" s="44" t="s">
        <v>37</v>
      </c>
      <c r="FP208" s="44" t="s">
        <v>37</v>
      </c>
      <c r="FR208" s="44" t="s">
        <v>37</v>
      </c>
      <c r="FT208" s="44" t="s">
        <v>37</v>
      </c>
      <c r="FV208" s="44" t="s">
        <v>37</v>
      </c>
      <c r="FX208" s="44" t="s">
        <v>37</v>
      </c>
      <c r="FZ208" s="44" t="s">
        <v>37</v>
      </c>
      <c r="GB208" s="44" t="s">
        <v>37</v>
      </c>
      <c r="GD208" s="44" t="s">
        <v>37</v>
      </c>
      <c r="GF208" s="44" t="s">
        <v>37</v>
      </c>
      <c r="GH208" s="44" t="s">
        <v>37</v>
      </c>
      <c r="GJ208" s="44" t="s">
        <v>37</v>
      </c>
      <c r="GL208" s="44" t="s">
        <v>37</v>
      </c>
      <c r="GN208" s="44" t="s">
        <v>37</v>
      </c>
      <c r="GP208" s="44" t="s">
        <v>37</v>
      </c>
      <c r="GR208" s="44" t="s">
        <v>37</v>
      </c>
      <c r="GT208" s="44" t="s">
        <v>37</v>
      </c>
      <c r="GV208" s="44" t="s">
        <v>37</v>
      </c>
      <c r="GX208" s="44" t="s">
        <v>37</v>
      </c>
      <c r="GY208" s="44">
        <v>54530</v>
      </c>
      <c r="GZ208" s="44" t="s">
        <v>37</v>
      </c>
      <c r="HB208" s="44" t="s">
        <v>37</v>
      </c>
      <c r="HD208" s="44" t="s">
        <v>37</v>
      </c>
      <c r="HF208" s="44" t="s">
        <v>37</v>
      </c>
      <c r="HG208" s="44">
        <v>120930</v>
      </c>
      <c r="HH208" s="44" t="s">
        <v>37</v>
      </c>
      <c r="HJ208" s="44" t="s">
        <v>37</v>
      </c>
      <c r="HK208" s="44">
        <v>120930</v>
      </c>
      <c r="HL208" s="44" t="s">
        <v>37</v>
      </c>
    </row>
    <row r="209" spans="1:220">
      <c r="A209" s="150" t="s">
        <v>411</v>
      </c>
      <c r="B209" s="44">
        <v>3607</v>
      </c>
      <c r="C209" s="44" t="s">
        <v>225</v>
      </c>
      <c r="D209" s="44" t="s">
        <v>37</v>
      </c>
      <c r="E209" s="44">
        <v>5986</v>
      </c>
      <c r="F209" s="44" t="s">
        <v>37</v>
      </c>
      <c r="G209" s="44">
        <v>66910</v>
      </c>
      <c r="H209" s="44" t="s">
        <v>37</v>
      </c>
      <c r="J209" s="44" t="s">
        <v>37</v>
      </c>
      <c r="L209" s="48" t="s">
        <v>37</v>
      </c>
      <c r="M209" s="51">
        <v>27508</v>
      </c>
      <c r="N209" s="48" t="s">
        <v>37</v>
      </c>
      <c r="O209" s="51">
        <v>9400</v>
      </c>
      <c r="P209" s="48" t="s">
        <v>37</v>
      </c>
      <c r="Q209" s="51">
        <v>1830</v>
      </c>
      <c r="R209" s="48" t="s">
        <v>37</v>
      </c>
      <c r="S209" s="51">
        <v>2469</v>
      </c>
      <c r="T209" s="48" t="s">
        <v>37</v>
      </c>
      <c r="U209" s="44">
        <v>23804</v>
      </c>
      <c r="V209" s="44" t="s">
        <v>37</v>
      </c>
      <c r="X209" s="44" t="s">
        <v>37</v>
      </c>
      <c r="Z209" s="44" t="s">
        <v>37</v>
      </c>
      <c r="AA209" s="44">
        <v>4900</v>
      </c>
      <c r="AB209" s="44" t="s">
        <v>37</v>
      </c>
      <c r="AC209" s="44">
        <v>2768</v>
      </c>
      <c r="AD209" s="44" t="s">
        <v>37</v>
      </c>
      <c r="AE209" s="44">
        <v>4000</v>
      </c>
      <c r="AF209" s="44" t="s">
        <v>37</v>
      </c>
      <c r="AG209" s="44">
        <v>1791</v>
      </c>
      <c r="AH209" s="44" t="s">
        <v>37</v>
      </c>
      <c r="AJ209" s="44" t="s">
        <v>37</v>
      </c>
      <c r="AL209" s="44" t="s">
        <v>37</v>
      </c>
      <c r="AM209" s="44">
        <v>46400</v>
      </c>
      <c r="AN209" s="44" t="s">
        <v>37</v>
      </c>
      <c r="AP209" s="44" t="s">
        <v>37</v>
      </c>
      <c r="AQ209" s="44">
        <v>57681</v>
      </c>
      <c r="AR209" s="44" t="s">
        <v>37</v>
      </c>
      <c r="AS209" s="44">
        <v>5200</v>
      </c>
      <c r="AT209" s="44" t="s">
        <v>37</v>
      </c>
      <c r="AU209" s="44">
        <v>125631</v>
      </c>
      <c r="AV209" s="44" t="s">
        <v>37</v>
      </c>
      <c r="AW209" s="44">
        <v>34946</v>
      </c>
      <c r="AX209" s="44" t="s">
        <v>37</v>
      </c>
      <c r="AY209" s="44">
        <v>9026</v>
      </c>
      <c r="AZ209" s="44" t="s">
        <v>37</v>
      </c>
      <c r="BA209" s="44">
        <v>31431</v>
      </c>
      <c r="BB209" s="44" t="s">
        <v>37</v>
      </c>
      <c r="BC209" s="44">
        <v>4230</v>
      </c>
      <c r="BD209" s="44" t="s">
        <v>37</v>
      </c>
      <c r="BE209" s="44">
        <v>7330</v>
      </c>
      <c r="BF209" s="44" t="s">
        <v>37</v>
      </c>
      <c r="BG209" s="44">
        <v>4200</v>
      </c>
      <c r="BH209" s="44" t="s">
        <v>37</v>
      </c>
      <c r="BJ209" s="44" t="s">
        <v>37</v>
      </c>
      <c r="BK209" s="44">
        <v>20351</v>
      </c>
      <c r="BL209" s="44" t="s">
        <v>37</v>
      </c>
      <c r="BM209" s="44">
        <v>45301</v>
      </c>
      <c r="BN209" s="44" t="s">
        <v>37</v>
      </c>
      <c r="BP209" s="44" t="s">
        <v>37</v>
      </c>
      <c r="BQ209" s="44">
        <v>4100</v>
      </c>
      <c r="BR209" s="44" t="s">
        <v>37</v>
      </c>
      <c r="BT209" s="44" t="s">
        <v>37</v>
      </c>
      <c r="BU209" s="44">
        <v>5100</v>
      </c>
      <c r="BV209" s="44" t="s">
        <v>37</v>
      </c>
      <c r="BX209" s="44" t="s">
        <v>37</v>
      </c>
      <c r="BY209" s="44">
        <v>79600</v>
      </c>
      <c r="BZ209" s="44" t="s">
        <v>37</v>
      </c>
      <c r="CA209" s="44">
        <v>8646</v>
      </c>
      <c r="CB209" s="44" t="s">
        <v>37</v>
      </c>
      <c r="CD209" s="44" t="s">
        <v>37</v>
      </c>
      <c r="CE209" s="44">
        <v>13268</v>
      </c>
      <c r="CF209" s="44" t="s">
        <v>37</v>
      </c>
      <c r="CG209" s="44">
        <v>18252</v>
      </c>
      <c r="CH209" s="44" t="s">
        <v>37</v>
      </c>
      <c r="CI209" s="44">
        <v>29018</v>
      </c>
      <c r="CJ209" s="44" t="s">
        <v>37</v>
      </c>
      <c r="CK209" s="44">
        <v>111500</v>
      </c>
      <c r="CL209" s="44" t="s">
        <v>37</v>
      </c>
      <c r="CM209" s="44">
        <v>7039</v>
      </c>
      <c r="CN209" s="44" t="s">
        <v>37</v>
      </c>
      <c r="CO209" s="44">
        <v>11014</v>
      </c>
      <c r="CP209" s="44" t="s">
        <v>37</v>
      </c>
      <c r="CQ209" s="44">
        <v>4300</v>
      </c>
      <c r="CR209" s="44" t="s">
        <v>37</v>
      </c>
      <c r="CS209" s="44">
        <v>32180</v>
      </c>
      <c r="CT209" s="44" t="s">
        <v>37</v>
      </c>
      <c r="CU209" s="44">
        <v>191683</v>
      </c>
      <c r="CV209" s="44" t="s">
        <v>37</v>
      </c>
      <c r="CW209" s="44">
        <v>19034</v>
      </c>
      <c r="CX209" s="44" t="s">
        <v>37</v>
      </c>
      <c r="CY209" s="44">
        <v>3903</v>
      </c>
      <c r="CZ209" s="44" t="s">
        <v>37</v>
      </c>
      <c r="DA209" s="44">
        <v>4628</v>
      </c>
      <c r="DB209" s="44" t="s">
        <v>37</v>
      </c>
      <c r="DD209" s="44" t="s">
        <v>37</v>
      </c>
      <c r="DE209" s="44">
        <v>7500</v>
      </c>
      <c r="DF209" s="44" t="s">
        <v>37</v>
      </c>
      <c r="DG209" s="44">
        <v>8500</v>
      </c>
      <c r="DH209" s="44" t="s">
        <v>37</v>
      </c>
      <c r="DI209" s="44">
        <v>38709</v>
      </c>
      <c r="DJ209" s="44" t="s">
        <v>37</v>
      </c>
      <c r="DL209" s="44" t="s">
        <v>37</v>
      </c>
      <c r="DM209" s="44">
        <v>54094</v>
      </c>
      <c r="DN209" s="44" t="s">
        <v>37</v>
      </c>
      <c r="DO209" s="44">
        <v>20658</v>
      </c>
      <c r="DP209" s="44" t="s">
        <v>37</v>
      </c>
      <c r="DQ209" s="44">
        <v>14507</v>
      </c>
      <c r="DR209" s="44" t="s">
        <v>37</v>
      </c>
      <c r="DS209" s="44">
        <v>10336</v>
      </c>
      <c r="DT209" s="44" t="s">
        <v>37</v>
      </c>
      <c r="DU209" s="44">
        <v>17578</v>
      </c>
      <c r="DV209" s="44" t="s">
        <v>37</v>
      </c>
      <c r="DW209" s="44">
        <v>47800</v>
      </c>
      <c r="DX209" s="44" t="s">
        <v>37</v>
      </c>
      <c r="DY209" s="44">
        <v>14264</v>
      </c>
      <c r="DZ209" s="44" t="s">
        <v>37</v>
      </c>
      <c r="EA209" s="44">
        <v>10010</v>
      </c>
      <c r="EB209" s="44" t="s">
        <v>37</v>
      </c>
      <c r="EC209" s="44">
        <v>9300</v>
      </c>
      <c r="ED209" s="44" t="s">
        <v>37</v>
      </c>
      <c r="EE209" s="44">
        <v>42188</v>
      </c>
      <c r="EF209" s="44" t="s">
        <v>37</v>
      </c>
      <c r="EH209" s="44" t="s">
        <v>37</v>
      </c>
      <c r="EJ209" s="44" t="s">
        <v>37</v>
      </c>
      <c r="EK209" s="44">
        <v>8700</v>
      </c>
      <c r="EL209" s="44" t="s">
        <v>37</v>
      </c>
      <c r="EM209" s="44">
        <v>6060</v>
      </c>
      <c r="EN209" s="44" t="s">
        <v>37</v>
      </c>
      <c r="EO209" s="44">
        <v>7200</v>
      </c>
      <c r="EP209" s="44" t="s">
        <v>37</v>
      </c>
      <c r="ER209" s="44" t="s">
        <v>37</v>
      </c>
      <c r="ES209" s="44">
        <v>20429</v>
      </c>
      <c r="ET209" s="44" t="s">
        <v>37</v>
      </c>
      <c r="EU209" s="44">
        <v>14800</v>
      </c>
      <c r="EV209" s="44" t="s">
        <v>37</v>
      </c>
      <c r="EW209" s="44">
        <v>25932</v>
      </c>
      <c r="EX209" s="44" t="s">
        <v>37</v>
      </c>
      <c r="EZ209" s="44" t="s">
        <v>37</v>
      </c>
      <c r="FA209" s="44">
        <v>894</v>
      </c>
      <c r="FB209" s="44" t="s">
        <v>37</v>
      </c>
      <c r="FC209" s="44">
        <v>15000</v>
      </c>
      <c r="FD209" s="44" t="s">
        <v>37</v>
      </c>
      <c r="FE209" s="44">
        <v>19702</v>
      </c>
      <c r="FF209" s="44" t="s">
        <v>37</v>
      </c>
      <c r="FH209" s="44" t="s">
        <v>37</v>
      </c>
      <c r="FI209" s="44">
        <v>20640</v>
      </c>
      <c r="FJ209" s="44" t="s">
        <v>37</v>
      </c>
      <c r="FK209" s="44">
        <v>70753</v>
      </c>
      <c r="FL209" s="44" t="s">
        <v>37</v>
      </c>
      <c r="FM209" s="44">
        <v>114621</v>
      </c>
      <c r="FN209" s="44" t="s">
        <v>37</v>
      </c>
      <c r="FO209" s="44">
        <v>6300</v>
      </c>
      <c r="FP209" s="44" t="s">
        <v>37</v>
      </c>
      <c r="FR209" s="44" t="s">
        <v>37</v>
      </c>
      <c r="FT209" s="44" t="s">
        <v>37</v>
      </c>
      <c r="FU209" s="44">
        <v>8700</v>
      </c>
      <c r="FV209" s="44" t="s">
        <v>37</v>
      </c>
      <c r="FW209" s="44">
        <v>8400</v>
      </c>
      <c r="FX209" s="44" t="s">
        <v>37</v>
      </c>
      <c r="FY209" s="44">
        <v>14813</v>
      </c>
      <c r="FZ209" s="44" t="s">
        <v>37</v>
      </c>
      <c r="GA209" s="44">
        <v>34178</v>
      </c>
      <c r="GB209" s="44" t="s">
        <v>37</v>
      </c>
      <c r="GC209" s="44">
        <v>8113</v>
      </c>
      <c r="GD209" s="44" t="s">
        <v>37</v>
      </c>
      <c r="GF209" s="44" t="s">
        <v>37</v>
      </c>
      <c r="GH209" s="44" t="s">
        <v>37</v>
      </c>
      <c r="GJ209" s="44" t="s">
        <v>37</v>
      </c>
      <c r="GK209" s="44">
        <v>30765</v>
      </c>
      <c r="GL209" s="44" t="s">
        <v>37</v>
      </c>
      <c r="GM209" s="44">
        <v>26489</v>
      </c>
      <c r="GN209" s="44" t="s">
        <v>37</v>
      </c>
      <c r="GP209" s="44" t="s">
        <v>37</v>
      </c>
      <c r="GQ209" s="44">
        <v>16730</v>
      </c>
      <c r="GR209" s="44" t="s">
        <v>37</v>
      </c>
      <c r="GS209" s="44">
        <v>35186</v>
      </c>
      <c r="GT209" s="44" t="s">
        <v>37</v>
      </c>
      <c r="GU209" s="44">
        <v>9355</v>
      </c>
      <c r="GV209" s="44" t="s">
        <v>37</v>
      </c>
      <c r="GW209" s="44">
        <v>25550</v>
      </c>
      <c r="GX209" s="44" t="s">
        <v>37</v>
      </c>
      <c r="GZ209" s="44" t="s">
        <v>37</v>
      </c>
      <c r="HA209" s="44">
        <v>18300</v>
      </c>
      <c r="HB209" s="44" t="s">
        <v>37</v>
      </c>
      <c r="HC209" s="44">
        <v>4300</v>
      </c>
      <c r="HD209" s="44" t="s">
        <v>37</v>
      </c>
      <c r="HF209" s="44" t="s">
        <v>37</v>
      </c>
      <c r="HG209" s="44">
        <v>1949412</v>
      </c>
      <c r="HH209" s="44" t="s">
        <v>37</v>
      </c>
      <c r="HI209" s="44">
        <v>4300</v>
      </c>
      <c r="HJ209" s="44" t="s">
        <v>37</v>
      </c>
      <c r="HK209" s="44">
        <v>1953712</v>
      </c>
      <c r="HL209" s="44" t="s">
        <v>37</v>
      </c>
    </row>
    <row r="210" spans="1:220">
      <c r="A210" s="150" t="s">
        <v>411</v>
      </c>
      <c r="B210" s="44">
        <v>3608</v>
      </c>
      <c r="C210" s="44" t="s">
        <v>209</v>
      </c>
      <c r="D210" s="44" t="s">
        <v>37</v>
      </c>
      <c r="F210" s="44" t="s">
        <v>37</v>
      </c>
      <c r="H210" s="44" t="s">
        <v>37</v>
      </c>
      <c r="J210" s="44" t="s">
        <v>37</v>
      </c>
      <c r="L210" s="48" t="s">
        <v>37</v>
      </c>
      <c r="M210" s="50"/>
      <c r="N210" s="48" t="s">
        <v>37</v>
      </c>
      <c r="O210" s="50"/>
      <c r="P210" s="48" t="s">
        <v>37</v>
      </c>
      <c r="Q210" s="50"/>
      <c r="R210" s="48" t="s">
        <v>37</v>
      </c>
      <c r="S210" s="50"/>
      <c r="T210" s="48" t="s">
        <v>37</v>
      </c>
      <c r="V210" s="44" t="s">
        <v>37</v>
      </c>
      <c r="X210" s="44" t="s">
        <v>37</v>
      </c>
      <c r="Z210" s="44" t="s">
        <v>37</v>
      </c>
      <c r="AB210" s="44" t="s">
        <v>37</v>
      </c>
      <c r="AD210" s="44" t="s">
        <v>37</v>
      </c>
      <c r="AF210" s="44" t="s">
        <v>37</v>
      </c>
      <c r="AH210" s="44" t="s">
        <v>37</v>
      </c>
      <c r="AJ210" s="44" t="s">
        <v>37</v>
      </c>
      <c r="AL210" s="44" t="s">
        <v>37</v>
      </c>
      <c r="AN210" s="44" t="s">
        <v>37</v>
      </c>
      <c r="AP210" s="44" t="s">
        <v>37</v>
      </c>
      <c r="AR210" s="44" t="s">
        <v>37</v>
      </c>
      <c r="AT210" s="44" t="s">
        <v>37</v>
      </c>
      <c r="AV210" s="44" t="s">
        <v>37</v>
      </c>
      <c r="AX210" s="44" t="s">
        <v>37</v>
      </c>
      <c r="AZ210" s="44" t="s">
        <v>37</v>
      </c>
      <c r="BB210" s="44" t="s">
        <v>37</v>
      </c>
      <c r="BD210" s="44" t="s">
        <v>37</v>
      </c>
      <c r="BF210" s="44" t="s">
        <v>37</v>
      </c>
      <c r="BH210" s="44" t="s">
        <v>37</v>
      </c>
      <c r="BJ210" s="44" t="s">
        <v>37</v>
      </c>
      <c r="BL210" s="44" t="s">
        <v>37</v>
      </c>
      <c r="BN210" s="44" t="s">
        <v>37</v>
      </c>
      <c r="BP210" s="44" t="s">
        <v>37</v>
      </c>
      <c r="BR210" s="44" t="s">
        <v>37</v>
      </c>
      <c r="BT210" s="44" t="s">
        <v>37</v>
      </c>
      <c r="BV210" s="44" t="s">
        <v>37</v>
      </c>
      <c r="BX210" s="44" t="s">
        <v>37</v>
      </c>
      <c r="BZ210" s="44" t="s">
        <v>37</v>
      </c>
      <c r="CB210" s="44" t="s">
        <v>37</v>
      </c>
      <c r="CD210" s="44" t="s">
        <v>37</v>
      </c>
      <c r="CF210" s="44" t="s">
        <v>37</v>
      </c>
      <c r="CH210" s="44" t="s">
        <v>37</v>
      </c>
      <c r="CJ210" s="44" t="s">
        <v>37</v>
      </c>
      <c r="CL210" s="44" t="s">
        <v>37</v>
      </c>
      <c r="CN210" s="44" t="s">
        <v>37</v>
      </c>
      <c r="CP210" s="44" t="s">
        <v>37</v>
      </c>
      <c r="CR210" s="44" t="s">
        <v>37</v>
      </c>
      <c r="CT210" s="44" t="s">
        <v>37</v>
      </c>
      <c r="CV210" s="44" t="s">
        <v>37</v>
      </c>
      <c r="CX210" s="44" t="s">
        <v>37</v>
      </c>
      <c r="CZ210" s="44" t="s">
        <v>37</v>
      </c>
      <c r="DB210" s="44" t="s">
        <v>37</v>
      </c>
      <c r="DD210" s="44" t="s">
        <v>37</v>
      </c>
      <c r="DF210" s="44" t="s">
        <v>37</v>
      </c>
      <c r="DH210" s="44" t="s">
        <v>37</v>
      </c>
      <c r="DJ210" s="44" t="s">
        <v>37</v>
      </c>
      <c r="DL210" s="44" t="s">
        <v>37</v>
      </c>
      <c r="DN210" s="44" t="s">
        <v>37</v>
      </c>
      <c r="DP210" s="44" t="s">
        <v>37</v>
      </c>
      <c r="DR210" s="44" t="s">
        <v>37</v>
      </c>
      <c r="DT210" s="44" t="s">
        <v>37</v>
      </c>
      <c r="DV210" s="44" t="s">
        <v>37</v>
      </c>
      <c r="DX210" s="44" t="s">
        <v>37</v>
      </c>
      <c r="DZ210" s="44" t="s">
        <v>37</v>
      </c>
      <c r="EB210" s="44" t="s">
        <v>37</v>
      </c>
      <c r="ED210" s="44" t="s">
        <v>37</v>
      </c>
      <c r="EF210" s="44" t="s">
        <v>37</v>
      </c>
      <c r="EH210" s="44" t="s">
        <v>37</v>
      </c>
      <c r="EJ210" s="44" t="s">
        <v>37</v>
      </c>
      <c r="EL210" s="44" t="s">
        <v>37</v>
      </c>
      <c r="EN210" s="44" t="s">
        <v>37</v>
      </c>
      <c r="EP210" s="44" t="s">
        <v>37</v>
      </c>
      <c r="ER210" s="44" t="s">
        <v>37</v>
      </c>
      <c r="ET210" s="44" t="s">
        <v>37</v>
      </c>
      <c r="EV210" s="44" t="s">
        <v>37</v>
      </c>
      <c r="EX210" s="44" t="s">
        <v>37</v>
      </c>
      <c r="EZ210" s="44" t="s">
        <v>37</v>
      </c>
      <c r="FB210" s="44" t="s">
        <v>37</v>
      </c>
      <c r="FD210" s="44" t="s">
        <v>37</v>
      </c>
      <c r="FF210" s="44" t="s">
        <v>37</v>
      </c>
      <c r="FH210" s="44" t="s">
        <v>37</v>
      </c>
      <c r="FJ210" s="44" t="s">
        <v>37</v>
      </c>
      <c r="FL210" s="44" t="s">
        <v>37</v>
      </c>
      <c r="FN210" s="44" t="s">
        <v>37</v>
      </c>
      <c r="FP210" s="44" t="s">
        <v>37</v>
      </c>
      <c r="FR210" s="44" t="s">
        <v>37</v>
      </c>
      <c r="FT210" s="44" t="s">
        <v>37</v>
      </c>
      <c r="FV210" s="44" t="s">
        <v>37</v>
      </c>
      <c r="FX210" s="44" t="s">
        <v>37</v>
      </c>
      <c r="FZ210" s="44" t="s">
        <v>37</v>
      </c>
      <c r="GB210" s="44" t="s">
        <v>37</v>
      </c>
      <c r="GD210" s="44" t="s">
        <v>37</v>
      </c>
      <c r="GF210" s="44" t="s">
        <v>37</v>
      </c>
      <c r="GH210" s="44" t="s">
        <v>37</v>
      </c>
      <c r="GJ210" s="44" t="s">
        <v>37</v>
      </c>
      <c r="GL210" s="44" t="s">
        <v>37</v>
      </c>
      <c r="GN210" s="44" t="s">
        <v>37</v>
      </c>
      <c r="GP210" s="44" t="s">
        <v>37</v>
      </c>
      <c r="GR210" s="44" t="s">
        <v>37</v>
      </c>
      <c r="GT210" s="44" t="s">
        <v>37</v>
      </c>
      <c r="GV210" s="44" t="s">
        <v>37</v>
      </c>
      <c r="GW210" s="44">
        <v>1590</v>
      </c>
      <c r="GX210" s="44" t="s">
        <v>37</v>
      </c>
      <c r="GZ210" s="44" t="s">
        <v>37</v>
      </c>
      <c r="HB210" s="44" t="s">
        <v>37</v>
      </c>
      <c r="HD210" s="44" t="s">
        <v>37</v>
      </c>
      <c r="HF210" s="44" t="s">
        <v>37</v>
      </c>
      <c r="HG210" s="44">
        <v>1590</v>
      </c>
      <c r="HH210" s="44" t="s">
        <v>37</v>
      </c>
      <c r="HJ210" s="44" t="s">
        <v>37</v>
      </c>
      <c r="HK210" s="44">
        <v>1590</v>
      </c>
      <c r="HL210" s="44" t="s">
        <v>37</v>
      </c>
    </row>
    <row r="211" spans="1:220">
      <c r="A211" s="150" t="s">
        <v>411</v>
      </c>
      <c r="B211" s="44">
        <v>3610</v>
      </c>
      <c r="C211" s="44" t="s">
        <v>226</v>
      </c>
      <c r="D211" s="44" t="s">
        <v>37</v>
      </c>
      <c r="E211" s="44">
        <v>179023</v>
      </c>
      <c r="F211" s="44" t="s">
        <v>37</v>
      </c>
      <c r="G211" s="44">
        <v>1559252</v>
      </c>
      <c r="H211" s="44" t="s">
        <v>37</v>
      </c>
      <c r="I211" s="44">
        <v>36710</v>
      </c>
      <c r="J211" s="44" t="s">
        <v>37</v>
      </c>
      <c r="L211" s="48" t="s">
        <v>37</v>
      </c>
      <c r="M211" s="51">
        <v>465306</v>
      </c>
      <c r="N211" s="48" t="s">
        <v>37</v>
      </c>
      <c r="O211" s="51">
        <v>264783</v>
      </c>
      <c r="P211" s="48" t="s">
        <v>37</v>
      </c>
      <c r="Q211" s="51">
        <v>293238</v>
      </c>
      <c r="R211" s="48" t="s">
        <v>37</v>
      </c>
      <c r="S211" s="51">
        <v>269588</v>
      </c>
      <c r="T211" s="48" t="s">
        <v>37</v>
      </c>
      <c r="U211" s="44">
        <v>758198</v>
      </c>
      <c r="V211" s="44" t="s">
        <v>37</v>
      </c>
      <c r="X211" s="44" t="s">
        <v>37</v>
      </c>
      <c r="Z211" s="44" t="s">
        <v>37</v>
      </c>
      <c r="AA211" s="44">
        <v>183373</v>
      </c>
      <c r="AB211" s="44" t="s">
        <v>37</v>
      </c>
      <c r="AC211" s="44">
        <v>67878</v>
      </c>
      <c r="AD211" s="44" t="s">
        <v>37</v>
      </c>
      <c r="AE211" s="44">
        <v>111545</v>
      </c>
      <c r="AF211" s="44" t="s">
        <v>37</v>
      </c>
      <c r="AG211" s="44">
        <v>117852</v>
      </c>
      <c r="AH211" s="44" t="s">
        <v>37</v>
      </c>
      <c r="AI211" s="44">
        <v>244400</v>
      </c>
      <c r="AJ211" s="44" t="s">
        <v>37</v>
      </c>
      <c r="AL211" s="44" t="s">
        <v>37</v>
      </c>
      <c r="AM211" s="44">
        <v>993761</v>
      </c>
      <c r="AN211" s="44" t="s">
        <v>37</v>
      </c>
      <c r="AP211" s="44" t="s">
        <v>37</v>
      </c>
      <c r="AQ211" s="44">
        <v>1330157</v>
      </c>
      <c r="AR211" s="44" t="s">
        <v>37</v>
      </c>
      <c r="AS211" s="44">
        <v>267635</v>
      </c>
      <c r="AT211" s="44" t="s">
        <v>37</v>
      </c>
      <c r="AU211" s="44">
        <v>1956060</v>
      </c>
      <c r="AV211" s="44" t="s">
        <v>37</v>
      </c>
      <c r="AW211" s="44">
        <v>757999</v>
      </c>
      <c r="AX211" s="44" t="s">
        <v>37</v>
      </c>
      <c r="AY211" s="44">
        <v>497149</v>
      </c>
      <c r="AZ211" s="44" t="s">
        <v>37</v>
      </c>
      <c r="BA211" s="44">
        <v>544447</v>
      </c>
      <c r="BB211" s="44" t="s">
        <v>37</v>
      </c>
      <c r="BC211" s="44">
        <v>226423</v>
      </c>
      <c r="BD211" s="44" t="s">
        <v>37</v>
      </c>
      <c r="BE211" s="44">
        <v>260905</v>
      </c>
      <c r="BF211" s="44" t="s">
        <v>37</v>
      </c>
      <c r="BG211" s="44">
        <v>114900</v>
      </c>
      <c r="BH211" s="44" t="s">
        <v>37</v>
      </c>
      <c r="BJ211" s="44" t="s">
        <v>37</v>
      </c>
      <c r="BK211" s="44">
        <v>564554</v>
      </c>
      <c r="BL211" s="44" t="s">
        <v>37</v>
      </c>
      <c r="BN211" s="44" t="s">
        <v>37</v>
      </c>
      <c r="BP211" s="44" t="s">
        <v>37</v>
      </c>
      <c r="BQ211" s="44">
        <v>121528</v>
      </c>
      <c r="BR211" s="44" t="s">
        <v>37</v>
      </c>
      <c r="BS211" s="44">
        <v>286481</v>
      </c>
      <c r="BT211" s="44" t="s">
        <v>37</v>
      </c>
      <c r="BU211" s="44">
        <v>160200</v>
      </c>
      <c r="BV211" s="44" t="s">
        <v>37</v>
      </c>
      <c r="BX211" s="44" t="s">
        <v>37</v>
      </c>
      <c r="BY211" s="44">
        <v>832375</v>
      </c>
      <c r="BZ211" s="44" t="s">
        <v>37</v>
      </c>
      <c r="CA211" s="44">
        <v>238211</v>
      </c>
      <c r="CB211" s="44" t="s">
        <v>37</v>
      </c>
      <c r="CD211" s="44" t="s">
        <v>37</v>
      </c>
      <c r="CE211" s="44">
        <v>360937</v>
      </c>
      <c r="CF211" s="44" t="s">
        <v>37</v>
      </c>
      <c r="CG211" s="44">
        <v>334385</v>
      </c>
      <c r="CH211" s="44" t="s">
        <v>37</v>
      </c>
      <c r="CI211" s="44">
        <v>983644</v>
      </c>
      <c r="CJ211" s="44" t="s">
        <v>37</v>
      </c>
      <c r="CL211" s="44" t="s">
        <v>37</v>
      </c>
      <c r="CM211" s="44">
        <v>272860</v>
      </c>
      <c r="CN211" s="44" t="s">
        <v>37</v>
      </c>
      <c r="CO211" s="44">
        <v>198653</v>
      </c>
      <c r="CP211" s="44" t="s">
        <v>37</v>
      </c>
      <c r="CQ211" s="44">
        <v>127000</v>
      </c>
      <c r="CR211" s="44" t="s">
        <v>37</v>
      </c>
      <c r="CS211" s="44">
        <v>509088</v>
      </c>
      <c r="CT211" s="44" t="s">
        <v>37</v>
      </c>
      <c r="CU211" s="44">
        <v>3995169</v>
      </c>
      <c r="CV211" s="44" t="s">
        <v>37</v>
      </c>
      <c r="CW211" s="44">
        <v>720927</v>
      </c>
      <c r="CX211" s="44" t="s">
        <v>37</v>
      </c>
      <c r="CY211" s="44">
        <v>120217</v>
      </c>
      <c r="CZ211" s="44" t="s">
        <v>37</v>
      </c>
      <c r="DA211" s="44">
        <v>115918</v>
      </c>
      <c r="DB211" s="44" t="s">
        <v>37</v>
      </c>
      <c r="DD211" s="44" t="s">
        <v>37</v>
      </c>
      <c r="DE211" s="44">
        <v>192347</v>
      </c>
      <c r="DF211" s="44" t="s">
        <v>37</v>
      </c>
      <c r="DG211" s="44">
        <v>225200</v>
      </c>
      <c r="DH211" s="44" t="s">
        <v>37</v>
      </c>
      <c r="DI211" s="44">
        <v>1910221</v>
      </c>
      <c r="DJ211" s="44" t="s">
        <v>37</v>
      </c>
      <c r="DK211" s="44">
        <v>254564</v>
      </c>
      <c r="DL211" s="44" t="s">
        <v>37</v>
      </c>
      <c r="DM211" s="44">
        <v>789216</v>
      </c>
      <c r="DN211" s="44" t="s">
        <v>37</v>
      </c>
      <c r="DO211" s="44">
        <v>573792</v>
      </c>
      <c r="DP211" s="44" t="s">
        <v>37</v>
      </c>
      <c r="DQ211" s="44">
        <v>751605</v>
      </c>
      <c r="DR211" s="44" t="s">
        <v>37</v>
      </c>
      <c r="DS211" s="44">
        <v>268134</v>
      </c>
      <c r="DT211" s="44" t="s">
        <v>37</v>
      </c>
      <c r="DU211" s="44">
        <v>228619</v>
      </c>
      <c r="DV211" s="44" t="s">
        <v>37</v>
      </c>
      <c r="DW211" s="44">
        <v>1291791</v>
      </c>
      <c r="DX211" s="44" t="s">
        <v>37</v>
      </c>
      <c r="DY211" s="44">
        <v>768984</v>
      </c>
      <c r="DZ211" s="44" t="s">
        <v>37</v>
      </c>
      <c r="EA211" s="44">
        <v>167000</v>
      </c>
      <c r="EB211" s="44" t="s">
        <v>37</v>
      </c>
      <c r="EC211" s="44">
        <v>445714</v>
      </c>
      <c r="ED211" s="44" t="s">
        <v>37</v>
      </c>
      <c r="EE211" s="44">
        <v>1428188</v>
      </c>
      <c r="EF211" s="44" t="s">
        <v>37</v>
      </c>
      <c r="EG211" s="44">
        <v>110676</v>
      </c>
      <c r="EH211" s="44" t="s">
        <v>37</v>
      </c>
      <c r="EJ211" s="44" t="s">
        <v>37</v>
      </c>
      <c r="EK211" s="44">
        <v>279013</v>
      </c>
      <c r="EL211" s="44" t="s">
        <v>37</v>
      </c>
      <c r="EM211" s="44">
        <v>187499</v>
      </c>
      <c r="EN211" s="44" t="s">
        <v>37</v>
      </c>
      <c r="EO211" s="44">
        <v>155500</v>
      </c>
      <c r="EP211" s="44" t="s">
        <v>37</v>
      </c>
      <c r="ER211" s="44" t="s">
        <v>37</v>
      </c>
      <c r="ES211" s="44">
        <v>405466</v>
      </c>
      <c r="ET211" s="44" t="s">
        <v>37</v>
      </c>
      <c r="EU211" s="44">
        <v>393600</v>
      </c>
      <c r="EV211" s="44" t="s">
        <v>37</v>
      </c>
      <c r="EW211" s="44">
        <v>922732</v>
      </c>
      <c r="EX211" s="44" t="s">
        <v>37</v>
      </c>
      <c r="EZ211" s="44" t="s">
        <v>37</v>
      </c>
      <c r="FA211" s="44">
        <v>330695</v>
      </c>
      <c r="FB211" s="44" t="s">
        <v>37</v>
      </c>
      <c r="FC211" s="44">
        <v>307824</v>
      </c>
      <c r="FD211" s="44" t="s">
        <v>37</v>
      </c>
      <c r="FE211" s="44">
        <v>428163</v>
      </c>
      <c r="FF211" s="44" t="s">
        <v>37</v>
      </c>
      <c r="FH211" s="44" t="s">
        <v>37</v>
      </c>
      <c r="FI211" s="44">
        <v>1023865</v>
      </c>
      <c r="FJ211" s="44" t="s">
        <v>37</v>
      </c>
      <c r="FK211" s="44">
        <v>1350249</v>
      </c>
      <c r="FL211" s="44" t="s">
        <v>37</v>
      </c>
      <c r="FM211" s="44">
        <v>1144102</v>
      </c>
      <c r="FN211" s="44" t="s">
        <v>37</v>
      </c>
      <c r="FO211" s="44">
        <v>166600</v>
      </c>
      <c r="FP211" s="44" t="s">
        <v>37</v>
      </c>
      <c r="FQ211" s="44">
        <v>445000</v>
      </c>
      <c r="FR211" s="44" t="s">
        <v>37</v>
      </c>
      <c r="FS211" s="44">
        <v>553018</v>
      </c>
      <c r="FT211" s="44" t="s">
        <v>37</v>
      </c>
      <c r="FU211" s="44">
        <v>265200</v>
      </c>
      <c r="FV211" s="44" t="s">
        <v>37</v>
      </c>
      <c r="FW211" s="44">
        <v>204039</v>
      </c>
      <c r="FX211" s="44" t="s">
        <v>37</v>
      </c>
      <c r="FY211" s="44">
        <v>437118</v>
      </c>
      <c r="FZ211" s="44" t="s">
        <v>37</v>
      </c>
      <c r="GA211" s="44">
        <v>611000</v>
      </c>
      <c r="GB211" s="44" t="s">
        <v>37</v>
      </c>
      <c r="GC211" s="44">
        <v>511897</v>
      </c>
      <c r="GD211" s="44" t="s">
        <v>37</v>
      </c>
      <c r="GF211" s="44" t="s">
        <v>37</v>
      </c>
      <c r="GH211" s="44" t="s">
        <v>37</v>
      </c>
      <c r="GJ211" s="44" t="s">
        <v>37</v>
      </c>
      <c r="GK211" s="44">
        <v>670907</v>
      </c>
      <c r="GL211" s="44" t="s">
        <v>37</v>
      </c>
      <c r="GM211" s="44">
        <v>615922</v>
      </c>
      <c r="GN211" s="44" t="s">
        <v>37</v>
      </c>
      <c r="GP211" s="44" t="s">
        <v>37</v>
      </c>
      <c r="GQ211" s="44">
        <v>467408</v>
      </c>
      <c r="GR211" s="44" t="s">
        <v>37</v>
      </c>
      <c r="GS211" s="44">
        <v>366189</v>
      </c>
      <c r="GT211" s="44" t="s">
        <v>37</v>
      </c>
      <c r="GU211" s="44">
        <v>312111</v>
      </c>
      <c r="GV211" s="44" t="s">
        <v>37</v>
      </c>
      <c r="GW211" s="44">
        <v>312390</v>
      </c>
      <c r="GX211" s="44" t="s">
        <v>37</v>
      </c>
      <c r="GY211" s="44">
        <v>1105895</v>
      </c>
      <c r="GZ211" s="44" t="s">
        <v>37</v>
      </c>
      <c r="HA211" s="44">
        <v>419700</v>
      </c>
      <c r="HB211" s="44" t="s">
        <v>37</v>
      </c>
      <c r="HD211" s="44" t="s">
        <v>37</v>
      </c>
      <c r="HF211" s="44" t="s">
        <v>37</v>
      </c>
      <c r="HG211" s="44">
        <v>45241882</v>
      </c>
      <c r="HH211" s="44" t="s">
        <v>37</v>
      </c>
      <c r="HJ211" s="44" t="s">
        <v>37</v>
      </c>
      <c r="HK211" s="44">
        <v>45241882</v>
      </c>
      <c r="HL211" s="44" t="s">
        <v>37</v>
      </c>
    </row>
    <row r="212" spans="1:220">
      <c r="A212" s="150" t="s">
        <v>411</v>
      </c>
      <c r="B212" s="44">
        <v>3615</v>
      </c>
      <c r="C212" s="44" t="s">
        <v>204</v>
      </c>
      <c r="D212" s="44" t="s">
        <v>37</v>
      </c>
      <c r="F212" s="44" t="s">
        <v>37</v>
      </c>
      <c r="H212" s="44" t="s">
        <v>37</v>
      </c>
      <c r="J212" s="44" t="s">
        <v>37</v>
      </c>
      <c r="L212" s="48" t="s">
        <v>37</v>
      </c>
      <c r="M212" s="50"/>
      <c r="N212" s="48" t="s">
        <v>37</v>
      </c>
      <c r="O212" s="50"/>
      <c r="P212" s="48" t="s">
        <v>37</v>
      </c>
      <c r="Q212" s="50"/>
      <c r="R212" s="48" t="s">
        <v>37</v>
      </c>
      <c r="S212" s="50"/>
      <c r="T212" s="48" t="s">
        <v>37</v>
      </c>
      <c r="V212" s="44" t="s">
        <v>37</v>
      </c>
      <c r="X212" s="44" t="s">
        <v>37</v>
      </c>
      <c r="Z212" s="44" t="s">
        <v>37</v>
      </c>
      <c r="AB212" s="44" t="s">
        <v>37</v>
      </c>
      <c r="AD212" s="44" t="s">
        <v>37</v>
      </c>
      <c r="AF212" s="44" t="s">
        <v>37</v>
      </c>
      <c r="AH212" s="44" t="s">
        <v>37</v>
      </c>
      <c r="AJ212" s="44" t="s">
        <v>37</v>
      </c>
      <c r="AL212" s="44" t="s">
        <v>37</v>
      </c>
      <c r="AN212" s="44" t="s">
        <v>37</v>
      </c>
      <c r="AP212" s="44" t="s">
        <v>37</v>
      </c>
      <c r="AR212" s="44" t="s">
        <v>37</v>
      </c>
      <c r="AT212" s="44" t="s">
        <v>37</v>
      </c>
      <c r="AU212" s="44">
        <v>3060193</v>
      </c>
      <c r="AV212" s="44" t="s">
        <v>37</v>
      </c>
      <c r="AX212" s="44" t="s">
        <v>37</v>
      </c>
      <c r="AZ212" s="44" t="s">
        <v>37</v>
      </c>
      <c r="BB212" s="44" t="s">
        <v>37</v>
      </c>
      <c r="BD212" s="44" t="s">
        <v>37</v>
      </c>
      <c r="BF212" s="44" t="s">
        <v>37</v>
      </c>
      <c r="BH212" s="44" t="s">
        <v>37</v>
      </c>
      <c r="BJ212" s="44" t="s">
        <v>37</v>
      </c>
      <c r="BK212" s="44">
        <v>419930</v>
      </c>
      <c r="BL212" s="44" t="s">
        <v>37</v>
      </c>
      <c r="BN212" s="44" t="s">
        <v>37</v>
      </c>
      <c r="BP212" s="44" t="s">
        <v>37</v>
      </c>
      <c r="BR212" s="44" t="s">
        <v>37</v>
      </c>
      <c r="BT212" s="44" t="s">
        <v>37</v>
      </c>
      <c r="BV212" s="44" t="s">
        <v>37</v>
      </c>
      <c r="BX212" s="44" t="s">
        <v>37</v>
      </c>
      <c r="BZ212" s="44" t="s">
        <v>37</v>
      </c>
      <c r="CB212" s="44" t="s">
        <v>37</v>
      </c>
      <c r="CD212" s="44" t="s">
        <v>37</v>
      </c>
      <c r="CF212" s="44" t="s">
        <v>37</v>
      </c>
      <c r="CH212" s="44" t="s">
        <v>37</v>
      </c>
      <c r="CJ212" s="44" t="s">
        <v>37</v>
      </c>
      <c r="CL212" s="44" t="s">
        <v>37</v>
      </c>
      <c r="CN212" s="44" t="s">
        <v>37</v>
      </c>
      <c r="CP212" s="44" t="s">
        <v>37</v>
      </c>
      <c r="CR212" s="44" t="s">
        <v>37</v>
      </c>
      <c r="CT212" s="44" t="s">
        <v>37</v>
      </c>
      <c r="CU212" s="44">
        <v>1537605</v>
      </c>
      <c r="CV212" s="44" t="s">
        <v>37</v>
      </c>
      <c r="CX212" s="44" t="s">
        <v>37</v>
      </c>
      <c r="CZ212" s="44" t="s">
        <v>37</v>
      </c>
      <c r="DB212" s="44" t="s">
        <v>37</v>
      </c>
      <c r="DD212" s="44" t="s">
        <v>37</v>
      </c>
      <c r="DF212" s="44" t="s">
        <v>37</v>
      </c>
      <c r="DH212" s="44" t="s">
        <v>37</v>
      </c>
      <c r="DJ212" s="44" t="s">
        <v>37</v>
      </c>
      <c r="DK212" s="44">
        <v>611701</v>
      </c>
      <c r="DL212" s="44" t="s">
        <v>37</v>
      </c>
      <c r="DN212" s="44" t="s">
        <v>37</v>
      </c>
      <c r="DP212" s="44" t="s">
        <v>37</v>
      </c>
      <c r="DR212" s="44" t="s">
        <v>37</v>
      </c>
      <c r="DT212" s="44" t="s">
        <v>37</v>
      </c>
      <c r="DU212" s="44">
        <v>882730</v>
      </c>
      <c r="DV212" s="44" t="s">
        <v>37</v>
      </c>
      <c r="DX212" s="44" t="s">
        <v>37</v>
      </c>
      <c r="DZ212" s="44" t="s">
        <v>37</v>
      </c>
      <c r="EB212" s="44" t="s">
        <v>37</v>
      </c>
      <c r="ED212" s="44" t="s">
        <v>37</v>
      </c>
      <c r="EF212" s="44" t="s">
        <v>37</v>
      </c>
      <c r="EH212" s="44" t="s">
        <v>37</v>
      </c>
      <c r="EJ212" s="44" t="s">
        <v>37</v>
      </c>
      <c r="EL212" s="44" t="s">
        <v>37</v>
      </c>
      <c r="EN212" s="44" t="s">
        <v>37</v>
      </c>
      <c r="EP212" s="44" t="s">
        <v>37</v>
      </c>
      <c r="ER212" s="44" t="s">
        <v>37</v>
      </c>
      <c r="ES212" s="44">
        <v>942060</v>
      </c>
      <c r="ET212" s="44" t="s">
        <v>37</v>
      </c>
      <c r="EV212" s="44" t="s">
        <v>37</v>
      </c>
      <c r="EX212" s="44" t="s">
        <v>37</v>
      </c>
      <c r="EZ212" s="44" t="s">
        <v>37</v>
      </c>
      <c r="FB212" s="44" t="s">
        <v>37</v>
      </c>
      <c r="FD212" s="44" t="s">
        <v>37</v>
      </c>
      <c r="FF212" s="44" t="s">
        <v>37</v>
      </c>
      <c r="FH212" s="44" t="s">
        <v>37</v>
      </c>
      <c r="FJ212" s="44" t="s">
        <v>37</v>
      </c>
      <c r="FK212" s="44">
        <v>1412027</v>
      </c>
      <c r="FL212" s="44" t="s">
        <v>37</v>
      </c>
      <c r="FN212" s="44" t="s">
        <v>37</v>
      </c>
      <c r="FP212" s="44" t="s">
        <v>37</v>
      </c>
      <c r="FR212" s="44" t="s">
        <v>37</v>
      </c>
      <c r="FT212" s="44" t="s">
        <v>37</v>
      </c>
      <c r="FV212" s="44" t="s">
        <v>37</v>
      </c>
      <c r="FX212" s="44" t="s">
        <v>37</v>
      </c>
      <c r="FZ212" s="44" t="s">
        <v>37</v>
      </c>
      <c r="GB212" s="44" t="s">
        <v>37</v>
      </c>
      <c r="GC212" s="44">
        <v>303864</v>
      </c>
      <c r="GD212" s="44" t="s">
        <v>37</v>
      </c>
      <c r="GF212" s="44" t="s">
        <v>37</v>
      </c>
      <c r="GH212" s="44" t="s">
        <v>37</v>
      </c>
      <c r="GJ212" s="44" t="s">
        <v>37</v>
      </c>
      <c r="GL212" s="44" t="s">
        <v>37</v>
      </c>
      <c r="GN212" s="44" t="s">
        <v>37</v>
      </c>
      <c r="GP212" s="44" t="s">
        <v>37</v>
      </c>
      <c r="GR212" s="44" t="s">
        <v>37</v>
      </c>
      <c r="GT212" s="44" t="s">
        <v>37</v>
      </c>
      <c r="GV212" s="44" t="s">
        <v>37</v>
      </c>
      <c r="GX212" s="44" t="s">
        <v>37</v>
      </c>
      <c r="GZ212" s="44" t="s">
        <v>37</v>
      </c>
      <c r="HB212" s="44" t="s">
        <v>37</v>
      </c>
      <c r="HD212" s="44" t="s">
        <v>37</v>
      </c>
      <c r="HF212" s="44" t="s">
        <v>37</v>
      </c>
      <c r="HG212" s="44">
        <v>9170110</v>
      </c>
      <c r="HH212" s="44" t="s">
        <v>37</v>
      </c>
      <c r="HJ212" s="44" t="s">
        <v>37</v>
      </c>
      <c r="HK212" s="44">
        <v>9170110</v>
      </c>
      <c r="HL212" s="44" t="s">
        <v>37</v>
      </c>
    </row>
    <row r="213" spans="1:220">
      <c r="A213" s="150" t="s">
        <v>411</v>
      </c>
      <c r="B213" s="44">
        <v>3699</v>
      </c>
      <c r="C213" s="44" t="s">
        <v>227</v>
      </c>
      <c r="D213" s="44" t="s">
        <v>37</v>
      </c>
      <c r="F213" s="44" t="s">
        <v>37</v>
      </c>
      <c r="G213" s="44">
        <v>80</v>
      </c>
      <c r="H213" s="44" t="s">
        <v>37</v>
      </c>
      <c r="I213" s="44">
        <v>4476</v>
      </c>
      <c r="J213" s="44" t="s">
        <v>37</v>
      </c>
      <c r="L213" s="48" t="s">
        <v>37</v>
      </c>
      <c r="M213" s="51">
        <v>24911</v>
      </c>
      <c r="N213" s="48" t="s">
        <v>37</v>
      </c>
      <c r="O213" s="50"/>
      <c r="P213" s="48" t="s">
        <v>37</v>
      </c>
      <c r="Q213" s="51">
        <v>2400</v>
      </c>
      <c r="R213" s="48" t="s">
        <v>37</v>
      </c>
      <c r="S213" s="50"/>
      <c r="T213" s="48" t="s">
        <v>37</v>
      </c>
      <c r="U213" s="44">
        <v>475</v>
      </c>
      <c r="V213" s="44" t="s">
        <v>37</v>
      </c>
      <c r="X213" s="44" t="s">
        <v>37</v>
      </c>
      <c r="Z213" s="44" t="s">
        <v>37</v>
      </c>
      <c r="AA213" s="44">
        <v>1193</v>
      </c>
      <c r="AB213" s="44" t="s">
        <v>37</v>
      </c>
      <c r="AD213" s="44" t="s">
        <v>37</v>
      </c>
      <c r="AF213" s="44" t="s">
        <v>37</v>
      </c>
      <c r="AG213" s="44">
        <v>2803</v>
      </c>
      <c r="AH213" s="44" t="s">
        <v>37</v>
      </c>
      <c r="AJ213" s="44" t="s">
        <v>37</v>
      </c>
      <c r="AL213" s="44" t="s">
        <v>37</v>
      </c>
      <c r="AN213" s="44" t="s">
        <v>37</v>
      </c>
      <c r="AP213" s="44" t="s">
        <v>37</v>
      </c>
      <c r="AR213" s="44" t="s">
        <v>37</v>
      </c>
      <c r="AT213" s="44" t="s">
        <v>37</v>
      </c>
      <c r="AU213" s="44">
        <v>5366</v>
      </c>
      <c r="AV213" s="44" t="s">
        <v>37</v>
      </c>
      <c r="AX213" s="44" t="s">
        <v>37</v>
      </c>
      <c r="AZ213" s="44" t="s">
        <v>37</v>
      </c>
      <c r="BA213" s="44">
        <v>9571</v>
      </c>
      <c r="BB213" s="44" t="s">
        <v>37</v>
      </c>
      <c r="BC213" s="44">
        <v>4149</v>
      </c>
      <c r="BD213" s="44" t="s">
        <v>37</v>
      </c>
      <c r="BF213" s="44" t="s">
        <v>37</v>
      </c>
      <c r="BH213" s="44" t="s">
        <v>37</v>
      </c>
      <c r="BJ213" s="44" t="s">
        <v>37</v>
      </c>
      <c r="BK213" s="44">
        <v>21227</v>
      </c>
      <c r="BL213" s="44" t="s">
        <v>37</v>
      </c>
      <c r="BM213" s="44">
        <v>11853</v>
      </c>
      <c r="BN213" s="44" t="s">
        <v>37</v>
      </c>
      <c r="BP213" s="44" t="s">
        <v>37</v>
      </c>
      <c r="BQ213" s="44">
        <v>1267</v>
      </c>
      <c r="BR213" s="44" t="s">
        <v>37</v>
      </c>
      <c r="BT213" s="44" t="s">
        <v>37</v>
      </c>
      <c r="BV213" s="44" t="s">
        <v>37</v>
      </c>
      <c r="BX213" s="44" t="s">
        <v>37</v>
      </c>
      <c r="BZ213" s="44" t="s">
        <v>37</v>
      </c>
      <c r="CA213" s="44">
        <v>7399</v>
      </c>
      <c r="CB213" s="44" t="s">
        <v>37</v>
      </c>
      <c r="CD213" s="44" t="s">
        <v>37</v>
      </c>
      <c r="CF213" s="44" t="s">
        <v>37</v>
      </c>
      <c r="CH213" s="44" t="s">
        <v>37</v>
      </c>
      <c r="CJ213" s="44" t="s">
        <v>37</v>
      </c>
      <c r="CL213" s="44" t="s">
        <v>37</v>
      </c>
      <c r="CN213" s="44" t="s">
        <v>37</v>
      </c>
      <c r="CP213" s="44" t="s">
        <v>37</v>
      </c>
      <c r="CR213" s="44" t="s">
        <v>37</v>
      </c>
      <c r="CS213" s="44">
        <v>793</v>
      </c>
      <c r="CT213" s="44" t="s">
        <v>37</v>
      </c>
      <c r="CV213" s="44" t="s">
        <v>37</v>
      </c>
      <c r="CW213" s="44">
        <v>2689</v>
      </c>
      <c r="CX213" s="44" t="s">
        <v>37</v>
      </c>
      <c r="CZ213" s="44" t="s">
        <v>37</v>
      </c>
      <c r="DB213" s="44" t="s">
        <v>37</v>
      </c>
      <c r="DD213" s="44" t="s">
        <v>37</v>
      </c>
      <c r="DE213" s="44">
        <v>22</v>
      </c>
      <c r="DF213" s="44" t="s">
        <v>37</v>
      </c>
      <c r="DH213" s="44" t="s">
        <v>37</v>
      </c>
      <c r="DI213" s="44">
        <v>7539</v>
      </c>
      <c r="DJ213" s="44" t="s">
        <v>37</v>
      </c>
      <c r="DL213" s="44" t="s">
        <v>37</v>
      </c>
      <c r="DM213" s="44">
        <v>15119</v>
      </c>
      <c r="DN213" s="44" t="s">
        <v>37</v>
      </c>
      <c r="DP213" s="44" t="s">
        <v>37</v>
      </c>
      <c r="DR213" s="44" t="s">
        <v>37</v>
      </c>
      <c r="DT213" s="44" t="s">
        <v>37</v>
      </c>
      <c r="DU213" s="44">
        <v>4500</v>
      </c>
      <c r="DV213" s="44" t="s">
        <v>37</v>
      </c>
      <c r="DW213" s="44">
        <v>899</v>
      </c>
      <c r="DX213" s="44" t="s">
        <v>37</v>
      </c>
      <c r="DY213" s="44">
        <v>7000</v>
      </c>
      <c r="DZ213" s="44" t="s">
        <v>37</v>
      </c>
      <c r="EB213" s="44" t="s">
        <v>37</v>
      </c>
      <c r="EC213" s="44">
        <v>170612</v>
      </c>
      <c r="ED213" s="44" t="s">
        <v>37</v>
      </c>
      <c r="EF213" s="44" t="s">
        <v>37</v>
      </c>
      <c r="EH213" s="44" t="s">
        <v>37</v>
      </c>
      <c r="EJ213" s="44" t="s">
        <v>37</v>
      </c>
      <c r="EK213" s="44">
        <v>3693</v>
      </c>
      <c r="EL213" s="44" t="s">
        <v>37</v>
      </c>
      <c r="EM213" s="44">
        <v>1129</v>
      </c>
      <c r="EN213" s="44" t="s">
        <v>37</v>
      </c>
      <c r="EP213" s="44" t="s">
        <v>37</v>
      </c>
      <c r="ER213" s="44" t="s">
        <v>37</v>
      </c>
      <c r="ES213" s="44">
        <v>6300</v>
      </c>
      <c r="ET213" s="44" t="s">
        <v>37</v>
      </c>
      <c r="EU213" s="44">
        <v>2533</v>
      </c>
      <c r="EV213" s="44" t="s">
        <v>37</v>
      </c>
      <c r="EW213" s="44">
        <v>2353</v>
      </c>
      <c r="EX213" s="44" t="s">
        <v>37</v>
      </c>
      <c r="EZ213" s="44" t="s">
        <v>37</v>
      </c>
      <c r="FB213" s="44" t="s">
        <v>37</v>
      </c>
      <c r="FC213" s="44">
        <v>1461</v>
      </c>
      <c r="FD213" s="44" t="s">
        <v>37</v>
      </c>
      <c r="FF213" s="44" t="s">
        <v>37</v>
      </c>
      <c r="FH213" s="44" t="s">
        <v>37</v>
      </c>
      <c r="FI213" s="44">
        <v>3370</v>
      </c>
      <c r="FJ213" s="44" t="s">
        <v>37</v>
      </c>
      <c r="FK213" s="44">
        <v>432898</v>
      </c>
      <c r="FL213" s="44" t="s">
        <v>37</v>
      </c>
      <c r="FM213" s="44">
        <v>17772</v>
      </c>
      <c r="FN213" s="44" t="s">
        <v>37</v>
      </c>
      <c r="FO213" s="44">
        <v>47254</v>
      </c>
      <c r="FP213" s="44" t="s">
        <v>37</v>
      </c>
      <c r="FR213" s="44" t="s">
        <v>37</v>
      </c>
      <c r="FT213" s="44" t="s">
        <v>37</v>
      </c>
      <c r="FV213" s="44" t="s">
        <v>37</v>
      </c>
      <c r="FX213" s="44" t="s">
        <v>37</v>
      </c>
      <c r="FZ213" s="44" t="s">
        <v>37</v>
      </c>
      <c r="GA213" s="44">
        <v>24303</v>
      </c>
      <c r="GB213" s="44" t="s">
        <v>37</v>
      </c>
      <c r="GC213" s="44">
        <v>209553</v>
      </c>
      <c r="GD213" s="44" t="s">
        <v>37</v>
      </c>
      <c r="GF213" s="44" t="s">
        <v>37</v>
      </c>
      <c r="GH213" s="44" t="s">
        <v>37</v>
      </c>
      <c r="GJ213" s="44" t="s">
        <v>37</v>
      </c>
      <c r="GK213" s="44">
        <v>59298</v>
      </c>
      <c r="GL213" s="44" t="s">
        <v>37</v>
      </c>
      <c r="GM213" s="44">
        <v>26717</v>
      </c>
      <c r="GN213" s="44" t="s">
        <v>37</v>
      </c>
      <c r="GP213" s="44" t="s">
        <v>37</v>
      </c>
      <c r="GQ213" s="44">
        <v>90247</v>
      </c>
      <c r="GR213" s="44" t="s">
        <v>37</v>
      </c>
      <c r="GS213" s="44">
        <v>54874</v>
      </c>
      <c r="GT213" s="44" t="s">
        <v>37</v>
      </c>
      <c r="GU213" s="44">
        <v>4695</v>
      </c>
      <c r="GV213" s="44" t="s">
        <v>37</v>
      </c>
      <c r="GX213" s="44" t="s">
        <v>37</v>
      </c>
      <c r="GY213" s="44">
        <v>39740</v>
      </c>
      <c r="GZ213" s="44" t="s">
        <v>37</v>
      </c>
      <c r="HB213" s="44" t="s">
        <v>37</v>
      </c>
      <c r="HD213" s="44" t="s">
        <v>37</v>
      </c>
      <c r="HF213" s="44" t="s">
        <v>37</v>
      </c>
      <c r="HG213" s="44">
        <v>1334533</v>
      </c>
      <c r="HH213" s="44" t="s">
        <v>37</v>
      </c>
      <c r="HJ213" s="44" t="s">
        <v>37</v>
      </c>
      <c r="HK213" s="44">
        <v>1334533</v>
      </c>
      <c r="HL213" s="44" t="s">
        <v>37</v>
      </c>
    </row>
    <row r="214" spans="1:220">
      <c r="A214" s="150" t="s">
        <v>408</v>
      </c>
      <c r="B214" s="54">
        <v>3800</v>
      </c>
      <c r="C214" s="44" t="s">
        <v>228</v>
      </c>
      <c r="D214" s="44" t="s">
        <v>37</v>
      </c>
      <c r="F214" s="44" t="s">
        <v>37</v>
      </c>
      <c r="H214" s="44" t="s">
        <v>37</v>
      </c>
      <c r="J214" s="44" t="s">
        <v>37</v>
      </c>
      <c r="L214" s="48" t="s">
        <v>37</v>
      </c>
      <c r="M214" s="50"/>
      <c r="N214" s="48" t="s">
        <v>37</v>
      </c>
      <c r="O214" s="50"/>
      <c r="P214" s="48" t="s">
        <v>37</v>
      </c>
      <c r="Q214" s="50"/>
      <c r="R214" s="48" t="s">
        <v>37</v>
      </c>
      <c r="S214" s="50"/>
      <c r="T214" s="48" t="s">
        <v>37</v>
      </c>
      <c r="V214" s="44" t="s">
        <v>37</v>
      </c>
      <c r="X214" s="44" t="s">
        <v>37</v>
      </c>
      <c r="Z214" s="44" t="s">
        <v>37</v>
      </c>
      <c r="AB214" s="44" t="s">
        <v>37</v>
      </c>
      <c r="AD214" s="44" t="s">
        <v>37</v>
      </c>
      <c r="AF214" s="44" t="s">
        <v>37</v>
      </c>
      <c r="AH214" s="44" t="s">
        <v>37</v>
      </c>
      <c r="AJ214" s="44" t="s">
        <v>37</v>
      </c>
      <c r="AL214" s="44" t="s">
        <v>37</v>
      </c>
      <c r="AN214" s="44" t="s">
        <v>37</v>
      </c>
      <c r="AP214" s="44" t="s">
        <v>37</v>
      </c>
      <c r="AR214" s="44" t="s">
        <v>37</v>
      </c>
      <c r="AT214" s="44" t="s">
        <v>37</v>
      </c>
      <c r="AV214" s="44" t="s">
        <v>37</v>
      </c>
      <c r="AX214" s="44" t="s">
        <v>37</v>
      </c>
      <c r="AZ214" s="44" t="s">
        <v>37</v>
      </c>
      <c r="BB214" s="44" t="s">
        <v>37</v>
      </c>
      <c r="BD214" s="44" t="s">
        <v>37</v>
      </c>
      <c r="BF214" s="44" t="s">
        <v>37</v>
      </c>
      <c r="BH214" s="44" t="s">
        <v>37</v>
      </c>
      <c r="BJ214" s="44" t="s">
        <v>37</v>
      </c>
      <c r="BL214" s="44" t="s">
        <v>37</v>
      </c>
      <c r="BN214" s="44" t="s">
        <v>37</v>
      </c>
      <c r="BP214" s="44" t="s">
        <v>37</v>
      </c>
      <c r="BR214" s="44" t="s">
        <v>37</v>
      </c>
      <c r="BT214" s="44" t="s">
        <v>37</v>
      </c>
      <c r="BV214" s="44" t="s">
        <v>37</v>
      </c>
      <c r="BX214" s="44" t="s">
        <v>37</v>
      </c>
      <c r="BZ214" s="44" t="s">
        <v>37</v>
      </c>
      <c r="CB214" s="44" t="s">
        <v>37</v>
      </c>
      <c r="CD214" s="44" t="s">
        <v>37</v>
      </c>
      <c r="CF214" s="44" t="s">
        <v>37</v>
      </c>
      <c r="CH214" s="44" t="s">
        <v>37</v>
      </c>
      <c r="CJ214" s="44" t="s">
        <v>37</v>
      </c>
      <c r="CL214" s="44" t="s">
        <v>37</v>
      </c>
      <c r="CN214" s="44" t="s">
        <v>37</v>
      </c>
      <c r="CP214" s="44" t="s">
        <v>37</v>
      </c>
      <c r="CR214" s="44" t="s">
        <v>37</v>
      </c>
      <c r="CT214" s="44" t="s">
        <v>37</v>
      </c>
      <c r="CV214" s="44" t="s">
        <v>37</v>
      </c>
      <c r="CX214" s="44" t="s">
        <v>37</v>
      </c>
      <c r="CZ214" s="44" t="s">
        <v>37</v>
      </c>
      <c r="DB214" s="44" t="s">
        <v>37</v>
      </c>
      <c r="DD214" s="44" t="s">
        <v>37</v>
      </c>
      <c r="DF214" s="44" t="s">
        <v>37</v>
      </c>
      <c r="DH214" s="44" t="s">
        <v>37</v>
      </c>
      <c r="DJ214" s="44" t="s">
        <v>37</v>
      </c>
      <c r="DL214" s="44" t="s">
        <v>37</v>
      </c>
      <c r="DN214" s="44" t="s">
        <v>37</v>
      </c>
      <c r="DP214" s="44" t="s">
        <v>37</v>
      </c>
      <c r="DR214" s="44" t="s">
        <v>37</v>
      </c>
      <c r="DT214" s="44" t="s">
        <v>37</v>
      </c>
      <c r="DV214" s="44" t="s">
        <v>37</v>
      </c>
      <c r="DX214" s="44" t="s">
        <v>37</v>
      </c>
      <c r="DZ214" s="44" t="s">
        <v>37</v>
      </c>
      <c r="EB214" s="44" t="s">
        <v>37</v>
      </c>
      <c r="ED214" s="44" t="s">
        <v>37</v>
      </c>
      <c r="EF214" s="44" t="s">
        <v>37</v>
      </c>
      <c r="EH214" s="44" t="s">
        <v>37</v>
      </c>
      <c r="EJ214" s="44" t="s">
        <v>37</v>
      </c>
      <c r="EL214" s="44" t="s">
        <v>37</v>
      </c>
      <c r="EN214" s="44" t="s">
        <v>37</v>
      </c>
      <c r="EP214" s="44" t="s">
        <v>37</v>
      </c>
      <c r="ER214" s="44" t="s">
        <v>37</v>
      </c>
      <c r="ET214" s="44" t="s">
        <v>37</v>
      </c>
      <c r="EV214" s="44" t="s">
        <v>37</v>
      </c>
      <c r="EX214" s="44" t="s">
        <v>37</v>
      </c>
      <c r="EZ214" s="44" t="s">
        <v>37</v>
      </c>
      <c r="FB214" s="44" t="s">
        <v>37</v>
      </c>
      <c r="FD214" s="44" t="s">
        <v>37</v>
      </c>
      <c r="FF214" s="44" t="s">
        <v>37</v>
      </c>
      <c r="FH214" s="44" t="s">
        <v>37</v>
      </c>
      <c r="FJ214" s="44" t="s">
        <v>37</v>
      </c>
      <c r="FL214" s="44" t="s">
        <v>37</v>
      </c>
      <c r="FN214" s="44" t="s">
        <v>37</v>
      </c>
      <c r="FP214" s="44" t="s">
        <v>37</v>
      </c>
      <c r="FR214" s="44" t="s">
        <v>37</v>
      </c>
      <c r="FT214" s="44" t="s">
        <v>37</v>
      </c>
      <c r="FV214" s="44" t="s">
        <v>37</v>
      </c>
      <c r="FX214" s="44" t="s">
        <v>37</v>
      </c>
      <c r="FZ214" s="44" t="s">
        <v>37</v>
      </c>
      <c r="GB214" s="44" t="s">
        <v>37</v>
      </c>
      <c r="GD214" s="44" t="s">
        <v>37</v>
      </c>
      <c r="GF214" s="44" t="s">
        <v>37</v>
      </c>
      <c r="GH214" s="44" t="s">
        <v>37</v>
      </c>
      <c r="GJ214" s="44" t="s">
        <v>37</v>
      </c>
      <c r="GL214" s="44" t="s">
        <v>37</v>
      </c>
      <c r="GN214" s="44" t="s">
        <v>37</v>
      </c>
      <c r="GP214" s="44" t="s">
        <v>37</v>
      </c>
      <c r="GR214" s="44" t="s">
        <v>37</v>
      </c>
      <c r="GT214" s="44" t="s">
        <v>37</v>
      </c>
      <c r="GV214" s="44" t="s">
        <v>37</v>
      </c>
      <c r="GX214" s="44" t="s">
        <v>37</v>
      </c>
      <c r="GZ214" s="44" t="s">
        <v>37</v>
      </c>
      <c r="HB214" s="44" t="s">
        <v>37</v>
      </c>
      <c r="HD214" s="44" t="s">
        <v>37</v>
      </c>
      <c r="HF214" s="44" t="s">
        <v>37</v>
      </c>
      <c r="HH214" s="44" t="s">
        <v>37</v>
      </c>
      <c r="HJ214" s="44" t="s">
        <v>37</v>
      </c>
      <c r="HL214" s="44" t="s">
        <v>37</v>
      </c>
    </row>
    <row r="215" spans="1:220">
      <c r="A215" s="150" t="s">
        <v>411</v>
      </c>
      <c r="B215" s="44">
        <v>3810</v>
      </c>
      <c r="C215" s="44" t="s">
        <v>229</v>
      </c>
      <c r="D215" s="44" t="s">
        <v>37</v>
      </c>
      <c r="E215" s="44">
        <v>1321955</v>
      </c>
      <c r="F215" s="44" t="s">
        <v>37</v>
      </c>
      <c r="G215" s="44">
        <v>8147500</v>
      </c>
      <c r="H215" s="44" t="s">
        <v>37</v>
      </c>
      <c r="I215" s="44">
        <v>413385</v>
      </c>
      <c r="J215" s="44" t="s">
        <v>37</v>
      </c>
      <c r="K215" s="44">
        <v>45432</v>
      </c>
      <c r="L215" s="48" t="s">
        <v>37</v>
      </c>
      <c r="M215" s="51">
        <v>1717987</v>
      </c>
      <c r="N215" s="48" t="s">
        <v>37</v>
      </c>
      <c r="O215" s="51">
        <v>958028</v>
      </c>
      <c r="P215" s="48" t="s">
        <v>37</v>
      </c>
      <c r="Q215" s="51">
        <v>539881</v>
      </c>
      <c r="R215" s="48" t="s">
        <v>37</v>
      </c>
      <c r="S215" s="51">
        <v>1045976</v>
      </c>
      <c r="T215" s="48" t="s">
        <v>37</v>
      </c>
      <c r="U215" s="44">
        <v>3707699</v>
      </c>
      <c r="V215" s="44" t="s">
        <v>37</v>
      </c>
      <c r="W215" s="44">
        <v>181347</v>
      </c>
      <c r="X215" s="44" t="s">
        <v>37</v>
      </c>
      <c r="Y215" s="44">
        <v>411803</v>
      </c>
      <c r="Z215" s="44" t="s">
        <v>37</v>
      </c>
      <c r="AA215" s="44">
        <v>474587</v>
      </c>
      <c r="AB215" s="44" t="s">
        <v>37</v>
      </c>
      <c r="AC215" s="44">
        <v>349410</v>
      </c>
      <c r="AD215" s="44" t="s">
        <v>37</v>
      </c>
      <c r="AE215" s="44">
        <v>183447</v>
      </c>
      <c r="AF215" s="44" t="s">
        <v>37</v>
      </c>
      <c r="AG215" s="44">
        <v>232270</v>
      </c>
      <c r="AH215" s="44" t="s">
        <v>37</v>
      </c>
      <c r="AI215" s="44">
        <v>597820</v>
      </c>
      <c r="AJ215" s="44" t="s">
        <v>37</v>
      </c>
      <c r="AL215" s="44" t="s">
        <v>37</v>
      </c>
      <c r="AM215" s="44">
        <v>7036261</v>
      </c>
      <c r="AN215" s="44" t="s">
        <v>37</v>
      </c>
      <c r="AP215" s="44" t="s">
        <v>37</v>
      </c>
      <c r="AQ215" s="44">
        <v>8124018</v>
      </c>
      <c r="AR215" s="44" t="s">
        <v>37</v>
      </c>
      <c r="AS215" s="44">
        <v>785314</v>
      </c>
      <c r="AT215" s="44" t="s">
        <v>37</v>
      </c>
      <c r="AU215" s="44">
        <v>16955782</v>
      </c>
      <c r="AV215" s="44" t="s">
        <v>37</v>
      </c>
      <c r="AW215" s="44">
        <v>2842750</v>
      </c>
      <c r="AX215" s="44" t="s">
        <v>37</v>
      </c>
      <c r="AY215" s="44">
        <v>2027221</v>
      </c>
      <c r="AZ215" s="44" t="s">
        <v>37</v>
      </c>
      <c r="BA215" s="44">
        <v>1858326</v>
      </c>
      <c r="BB215" s="44" t="s">
        <v>37</v>
      </c>
      <c r="BC215" s="44">
        <v>322096</v>
      </c>
      <c r="BD215" s="44" t="s">
        <v>37</v>
      </c>
      <c r="BE215" s="44">
        <v>581142</v>
      </c>
      <c r="BF215" s="44" t="s">
        <v>37</v>
      </c>
      <c r="BG215" s="44">
        <v>288106</v>
      </c>
      <c r="BH215" s="44" t="s">
        <v>37</v>
      </c>
      <c r="BI215" s="44">
        <v>41143</v>
      </c>
      <c r="BJ215" s="44" t="s">
        <v>37</v>
      </c>
      <c r="BK215" s="44">
        <v>2098075</v>
      </c>
      <c r="BL215" s="44" t="s">
        <v>37</v>
      </c>
      <c r="BM215" s="44">
        <v>3748257</v>
      </c>
      <c r="BN215" s="44" t="s">
        <v>37</v>
      </c>
      <c r="BO215" s="44">
        <v>53077</v>
      </c>
      <c r="BP215" s="44" t="s">
        <v>37</v>
      </c>
      <c r="BQ215" s="44">
        <v>142946</v>
      </c>
      <c r="BR215" s="44" t="s">
        <v>37</v>
      </c>
      <c r="BS215" s="44">
        <v>517989</v>
      </c>
      <c r="BT215" s="44" t="s">
        <v>37</v>
      </c>
      <c r="BU215" s="44">
        <v>184116</v>
      </c>
      <c r="BV215" s="44" t="s">
        <v>37</v>
      </c>
      <c r="BW215" s="44">
        <v>185463</v>
      </c>
      <c r="BX215" s="44" t="s">
        <v>37</v>
      </c>
      <c r="BY215" s="44">
        <v>6075787</v>
      </c>
      <c r="BZ215" s="44" t="s">
        <v>37</v>
      </c>
      <c r="CA215" s="44">
        <v>888604</v>
      </c>
      <c r="CB215" s="44" t="s">
        <v>37</v>
      </c>
      <c r="CD215" s="44" t="s">
        <v>37</v>
      </c>
      <c r="CE215" s="44">
        <v>1553034</v>
      </c>
      <c r="CF215" s="44" t="s">
        <v>37</v>
      </c>
      <c r="CG215" s="44">
        <v>1395634</v>
      </c>
      <c r="CH215" s="44" t="s">
        <v>37</v>
      </c>
      <c r="CI215" s="44">
        <v>4230371</v>
      </c>
      <c r="CJ215" s="44" t="s">
        <v>37</v>
      </c>
      <c r="CK215" s="44">
        <v>290640</v>
      </c>
      <c r="CL215" s="44" t="s">
        <v>37</v>
      </c>
      <c r="CM215" s="44">
        <v>802083</v>
      </c>
      <c r="CN215" s="44" t="s">
        <v>37</v>
      </c>
      <c r="CO215" s="44">
        <v>309117</v>
      </c>
      <c r="CP215" s="44" t="s">
        <v>37</v>
      </c>
      <c r="CQ215" s="44">
        <v>276138</v>
      </c>
      <c r="CR215" s="44" t="s">
        <v>37</v>
      </c>
      <c r="CS215" s="44">
        <v>4615361</v>
      </c>
      <c r="CT215" s="44" t="s">
        <v>37</v>
      </c>
      <c r="CU215" s="44">
        <v>23410334</v>
      </c>
      <c r="CV215" s="44" t="s">
        <v>37</v>
      </c>
      <c r="CW215" s="44">
        <v>2163644</v>
      </c>
      <c r="CX215" s="44" t="s">
        <v>37</v>
      </c>
      <c r="CY215" s="44">
        <v>325627</v>
      </c>
      <c r="CZ215" s="44" t="s">
        <v>37</v>
      </c>
      <c r="DA215" s="44">
        <v>164380</v>
      </c>
      <c r="DB215" s="44" t="s">
        <v>37</v>
      </c>
      <c r="DC215" s="44">
        <v>75853</v>
      </c>
      <c r="DD215" s="44" t="s">
        <v>37</v>
      </c>
      <c r="DE215" s="44">
        <v>839282</v>
      </c>
      <c r="DF215" s="44" t="s">
        <v>37</v>
      </c>
      <c r="DG215" s="44">
        <v>493246</v>
      </c>
      <c r="DH215" s="44" t="s">
        <v>37</v>
      </c>
      <c r="DI215" s="44">
        <v>11696932</v>
      </c>
      <c r="DJ215" s="44" t="s">
        <v>37</v>
      </c>
      <c r="DK215" s="44">
        <v>980937</v>
      </c>
      <c r="DL215" s="44" t="s">
        <v>37</v>
      </c>
      <c r="DM215" s="44">
        <v>3705358</v>
      </c>
      <c r="DN215" s="44" t="s">
        <v>37</v>
      </c>
      <c r="DO215" s="44">
        <v>3724743</v>
      </c>
      <c r="DP215" s="44" t="s">
        <v>37</v>
      </c>
      <c r="DQ215" s="44">
        <v>1824066</v>
      </c>
      <c r="DR215" s="44" t="s">
        <v>37</v>
      </c>
      <c r="DS215" s="44">
        <v>933593</v>
      </c>
      <c r="DT215" s="44" t="s">
        <v>37</v>
      </c>
      <c r="DU215" s="44">
        <v>908086</v>
      </c>
      <c r="DV215" s="44" t="s">
        <v>37</v>
      </c>
      <c r="DW215" s="44">
        <v>8055568</v>
      </c>
      <c r="DX215" s="44" t="s">
        <v>37</v>
      </c>
      <c r="DY215" s="44">
        <v>4999144</v>
      </c>
      <c r="DZ215" s="44" t="s">
        <v>37</v>
      </c>
      <c r="EA215" s="44">
        <v>992749</v>
      </c>
      <c r="EB215" s="44" t="s">
        <v>37</v>
      </c>
      <c r="EC215" s="44">
        <v>913225</v>
      </c>
      <c r="ED215" s="44" t="s">
        <v>37</v>
      </c>
      <c r="EE215" s="44">
        <v>10580071</v>
      </c>
      <c r="EF215" s="44" t="s">
        <v>37</v>
      </c>
      <c r="EG215" s="44">
        <v>404119</v>
      </c>
      <c r="EH215" s="44" t="s">
        <v>37</v>
      </c>
      <c r="EI215" s="44">
        <v>104952</v>
      </c>
      <c r="EJ215" s="44" t="s">
        <v>37</v>
      </c>
      <c r="EK215" s="44">
        <v>777587</v>
      </c>
      <c r="EL215" s="44" t="s">
        <v>37</v>
      </c>
      <c r="EM215" s="44">
        <v>489668</v>
      </c>
      <c r="EN215" s="44" t="s">
        <v>37</v>
      </c>
      <c r="EO215" s="44">
        <v>321595</v>
      </c>
      <c r="EP215" s="44" t="s">
        <v>37</v>
      </c>
      <c r="EQ215" s="44">
        <v>172368</v>
      </c>
      <c r="ER215" s="44" t="s">
        <v>37</v>
      </c>
      <c r="ES215" s="44">
        <v>990059</v>
      </c>
      <c r="ET215" s="44" t="s">
        <v>37</v>
      </c>
      <c r="EU215" s="44">
        <v>2148612</v>
      </c>
      <c r="EV215" s="44" t="s">
        <v>37</v>
      </c>
      <c r="EW215" s="44">
        <v>3948128</v>
      </c>
      <c r="EX215" s="44" t="s">
        <v>37</v>
      </c>
      <c r="EZ215" s="44" t="s">
        <v>37</v>
      </c>
      <c r="FA215" s="44">
        <v>1180108</v>
      </c>
      <c r="FB215" s="44" t="s">
        <v>37</v>
      </c>
      <c r="FC215" s="44">
        <v>941588</v>
      </c>
      <c r="FD215" s="44" t="s">
        <v>37</v>
      </c>
      <c r="FE215" s="44">
        <v>3520353</v>
      </c>
      <c r="FF215" s="44" t="s">
        <v>37</v>
      </c>
      <c r="FH215" s="44" t="s">
        <v>37</v>
      </c>
      <c r="FI215" s="44">
        <v>5897452</v>
      </c>
      <c r="FJ215" s="44" t="s">
        <v>37</v>
      </c>
      <c r="FK215" s="44">
        <v>13184416</v>
      </c>
      <c r="FL215" s="44" t="s">
        <v>37</v>
      </c>
      <c r="FM215" s="44">
        <v>8759333</v>
      </c>
      <c r="FN215" s="44" t="s">
        <v>37</v>
      </c>
      <c r="FO215" s="44">
        <v>832712</v>
      </c>
      <c r="FP215" s="44" t="s">
        <v>37</v>
      </c>
      <c r="FQ215" s="44">
        <v>2081756</v>
      </c>
      <c r="FR215" s="44" t="s">
        <v>37</v>
      </c>
      <c r="FS215" s="44">
        <v>3198243</v>
      </c>
      <c r="FT215" s="44" t="s">
        <v>37</v>
      </c>
      <c r="FU215" s="44">
        <v>1091770</v>
      </c>
      <c r="FV215" s="44" t="s">
        <v>37</v>
      </c>
      <c r="FW215" s="44">
        <v>892411</v>
      </c>
      <c r="FX215" s="44" t="s">
        <v>37</v>
      </c>
      <c r="FY215" s="44">
        <v>1681807</v>
      </c>
      <c r="FZ215" s="44" t="s">
        <v>37</v>
      </c>
      <c r="GA215" s="44">
        <v>3175730</v>
      </c>
      <c r="GB215" s="44" t="s">
        <v>37</v>
      </c>
      <c r="GC215" s="44">
        <v>4896380</v>
      </c>
      <c r="GD215" s="44" t="s">
        <v>37</v>
      </c>
      <c r="GE215" s="44">
        <v>212647</v>
      </c>
      <c r="GF215" s="44" t="s">
        <v>37</v>
      </c>
      <c r="GH215" s="44" t="s">
        <v>37</v>
      </c>
      <c r="GJ215" s="44" t="s">
        <v>37</v>
      </c>
      <c r="GK215" s="44">
        <v>1808552</v>
      </c>
      <c r="GL215" s="44" t="s">
        <v>37</v>
      </c>
      <c r="GM215" s="44">
        <v>2452050</v>
      </c>
      <c r="GN215" s="44" t="s">
        <v>37</v>
      </c>
      <c r="GP215" s="44" t="s">
        <v>37</v>
      </c>
      <c r="GQ215" s="44">
        <v>1564231</v>
      </c>
      <c r="GR215" s="44" t="s">
        <v>37</v>
      </c>
      <c r="GS215" s="44">
        <v>1366370</v>
      </c>
      <c r="GT215" s="44" t="s">
        <v>37</v>
      </c>
      <c r="GU215" s="44">
        <v>1805466</v>
      </c>
      <c r="GV215" s="44" t="s">
        <v>37</v>
      </c>
      <c r="GW215" s="44">
        <v>1655984</v>
      </c>
      <c r="GX215" s="44" t="s">
        <v>37</v>
      </c>
      <c r="GY215" s="44">
        <v>5991204</v>
      </c>
      <c r="GZ215" s="44" t="s">
        <v>37</v>
      </c>
      <c r="HA215" s="44">
        <v>2081523</v>
      </c>
      <c r="HB215" s="44" t="s">
        <v>37</v>
      </c>
      <c r="HD215" s="44" t="s">
        <v>37</v>
      </c>
      <c r="HF215" s="44" t="s">
        <v>37</v>
      </c>
      <c r="HG215" s="44">
        <v>244973390</v>
      </c>
      <c r="HH215" s="44" t="s">
        <v>37</v>
      </c>
      <c r="HJ215" s="44" t="s">
        <v>37</v>
      </c>
      <c r="HK215" s="44">
        <v>244973390</v>
      </c>
      <c r="HL215" s="44" t="s">
        <v>37</v>
      </c>
    </row>
    <row r="216" spans="1:220">
      <c r="A216" s="150" t="s">
        <v>411</v>
      </c>
      <c r="B216" s="44">
        <v>3820</v>
      </c>
      <c r="C216" s="44" t="s">
        <v>230</v>
      </c>
      <c r="D216" s="44" t="s">
        <v>37</v>
      </c>
      <c r="E216" s="44">
        <v>837366</v>
      </c>
      <c r="F216" s="44" t="s">
        <v>37</v>
      </c>
      <c r="H216" s="44" t="s">
        <v>37</v>
      </c>
      <c r="I216" s="44">
        <v>304127</v>
      </c>
      <c r="J216" s="44" t="s">
        <v>37</v>
      </c>
      <c r="K216" s="44">
        <v>27559</v>
      </c>
      <c r="L216" s="48" t="s">
        <v>37</v>
      </c>
      <c r="M216" s="51">
        <v>882249</v>
      </c>
      <c r="N216" s="48" t="s">
        <v>37</v>
      </c>
      <c r="O216" s="51">
        <v>791024</v>
      </c>
      <c r="P216" s="48" t="s">
        <v>37</v>
      </c>
      <c r="Q216" s="51">
        <v>371997</v>
      </c>
      <c r="R216" s="48" t="s">
        <v>37</v>
      </c>
      <c r="S216" s="51">
        <v>592880</v>
      </c>
      <c r="T216" s="48" t="s">
        <v>37</v>
      </c>
      <c r="U216" s="44">
        <v>2171654</v>
      </c>
      <c r="V216" s="44" t="s">
        <v>37</v>
      </c>
      <c r="W216" s="44">
        <v>55214</v>
      </c>
      <c r="X216" s="44" t="s">
        <v>37</v>
      </c>
      <c r="Y216" s="44">
        <v>150151</v>
      </c>
      <c r="Z216" s="44" t="s">
        <v>37</v>
      </c>
      <c r="AA216" s="44">
        <v>330844</v>
      </c>
      <c r="AB216" s="44" t="s">
        <v>37</v>
      </c>
      <c r="AC216" s="44">
        <v>240388</v>
      </c>
      <c r="AD216" s="44" t="s">
        <v>37</v>
      </c>
      <c r="AE216" s="44">
        <v>123417</v>
      </c>
      <c r="AF216" s="44" t="s">
        <v>37</v>
      </c>
      <c r="AG216" s="44">
        <v>115085</v>
      </c>
      <c r="AH216" s="44" t="s">
        <v>37</v>
      </c>
      <c r="AI216" s="44">
        <v>301635</v>
      </c>
      <c r="AJ216" s="44" t="s">
        <v>37</v>
      </c>
      <c r="AK216" s="44">
        <v>63654</v>
      </c>
      <c r="AL216" s="44" t="s">
        <v>37</v>
      </c>
      <c r="AM216" s="44">
        <v>2439630</v>
      </c>
      <c r="AN216" s="44" t="s">
        <v>37</v>
      </c>
      <c r="AP216" s="44" t="s">
        <v>37</v>
      </c>
      <c r="AQ216" s="44">
        <v>2705991</v>
      </c>
      <c r="AR216" s="44" t="s">
        <v>37</v>
      </c>
      <c r="AS216" s="44">
        <v>301400</v>
      </c>
      <c r="AT216" s="44" t="s">
        <v>37</v>
      </c>
      <c r="AU216" s="44">
        <v>3592450</v>
      </c>
      <c r="AV216" s="44" t="s">
        <v>37</v>
      </c>
      <c r="AW216" s="44">
        <v>1367886</v>
      </c>
      <c r="AX216" s="44" t="s">
        <v>37</v>
      </c>
      <c r="AY216" s="44">
        <v>1094721</v>
      </c>
      <c r="AZ216" s="44" t="s">
        <v>37</v>
      </c>
      <c r="BA216" s="44">
        <v>888965</v>
      </c>
      <c r="BB216" s="44" t="s">
        <v>37</v>
      </c>
      <c r="BC216" s="44">
        <v>227465</v>
      </c>
      <c r="BD216" s="44" t="s">
        <v>37</v>
      </c>
      <c r="BE216" s="44">
        <v>1830835</v>
      </c>
      <c r="BF216" s="44" t="s">
        <v>37</v>
      </c>
      <c r="BG216" s="44">
        <v>143021</v>
      </c>
      <c r="BH216" s="44" t="s">
        <v>37</v>
      </c>
      <c r="BJ216" s="44" t="s">
        <v>37</v>
      </c>
      <c r="BK216" s="44">
        <v>727201</v>
      </c>
      <c r="BL216" s="44" t="s">
        <v>37</v>
      </c>
      <c r="BM216" s="44">
        <v>1637395</v>
      </c>
      <c r="BN216" s="44" t="s">
        <v>37</v>
      </c>
      <c r="BO216" s="44">
        <v>22203</v>
      </c>
      <c r="BP216" s="44" t="s">
        <v>37</v>
      </c>
      <c r="BQ216" s="44">
        <v>56405</v>
      </c>
      <c r="BR216" s="44" t="s">
        <v>37</v>
      </c>
      <c r="BS216" s="44">
        <v>248374</v>
      </c>
      <c r="BT216" s="44" t="s">
        <v>37</v>
      </c>
      <c r="BU216" s="44">
        <v>103148</v>
      </c>
      <c r="BV216" s="44" t="s">
        <v>37</v>
      </c>
      <c r="BW216" s="44">
        <v>55978</v>
      </c>
      <c r="BX216" s="44" t="s">
        <v>37</v>
      </c>
      <c r="BY216" s="44">
        <v>1490744</v>
      </c>
      <c r="BZ216" s="44" t="s">
        <v>37</v>
      </c>
      <c r="CA216" s="44">
        <v>634879</v>
      </c>
      <c r="CB216" s="44" t="s">
        <v>37</v>
      </c>
      <c r="CD216" s="44" t="s">
        <v>37</v>
      </c>
      <c r="CE216" s="44">
        <v>613681</v>
      </c>
      <c r="CF216" s="44" t="s">
        <v>37</v>
      </c>
      <c r="CG216" s="44">
        <v>673986</v>
      </c>
      <c r="CH216" s="44" t="s">
        <v>37</v>
      </c>
      <c r="CI216" s="44">
        <v>1763548</v>
      </c>
      <c r="CJ216" s="44" t="s">
        <v>37</v>
      </c>
      <c r="CK216" s="44">
        <v>274744</v>
      </c>
      <c r="CL216" s="44" t="s">
        <v>37</v>
      </c>
      <c r="CM216" s="44">
        <v>473576</v>
      </c>
      <c r="CN216" s="44" t="s">
        <v>37</v>
      </c>
      <c r="CO216" s="44">
        <v>170795</v>
      </c>
      <c r="CP216" s="44" t="s">
        <v>37</v>
      </c>
      <c r="CQ216" s="44">
        <v>170328</v>
      </c>
      <c r="CR216" s="44" t="s">
        <v>37</v>
      </c>
      <c r="CS216" s="44">
        <v>1198330</v>
      </c>
      <c r="CT216" s="44" t="s">
        <v>37</v>
      </c>
      <c r="CU216" s="44">
        <v>8172065</v>
      </c>
      <c r="CV216" s="44" t="s">
        <v>37</v>
      </c>
      <c r="CW216" s="44">
        <v>1918798</v>
      </c>
      <c r="CX216" s="44" t="s">
        <v>37</v>
      </c>
      <c r="CY216" s="44">
        <v>232645</v>
      </c>
      <c r="CZ216" s="44" t="s">
        <v>37</v>
      </c>
      <c r="DA216" s="44">
        <v>259918</v>
      </c>
      <c r="DB216" s="44" t="s">
        <v>37</v>
      </c>
      <c r="DC216" s="44">
        <v>71870</v>
      </c>
      <c r="DD216" s="44" t="s">
        <v>37</v>
      </c>
      <c r="DE216" s="44">
        <v>460727</v>
      </c>
      <c r="DF216" s="44" t="s">
        <v>37</v>
      </c>
      <c r="DG216" s="44">
        <v>266112</v>
      </c>
      <c r="DH216" s="44" t="s">
        <v>37</v>
      </c>
      <c r="DI216" s="44">
        <v>5072503</v>
      </c>
      <c r="DJ216" s="44" t="s">
        <v>37</v>
      </c>
      <c r="DK216" s="44">
        <v>298506</v>
      </c>
      <c r="DL216" s="44" t="s">
        <v>37</v>
      </c>
      <c r="DM216" s="44">
        <v>1345884</v>
      </c>
      <c r="DN216" s="44" t="s">
        <v>37</v>
      </c>
      <c r="DO216" s="44">
        <v>1572993</v>
      </c>
      <c r="DP216" s="44" t="s">
        <v>37</v>
      </c>
      <c r="DQ216" s="44">
        <v>788798</v>
      </c>
      <c r="DR216" s="44" t="s">
        <v>37</v>
      </c>
      <c r="DS216" s="44">
        <v>524196</v>
      </c>
      <c r="DT216" s="44" t="s">
        <v>37</v>
      </c>
      <c r="DU216" s="44">
        <v>906298</v>
      </c>
      <c r="DV216" s="44" t="s">
        <v>37</v>
      </c>
      <c r="DW216" s="44">
        <v>2860310</v>
      </c>
      <c r="DX216" s="44" t="s">
        <v>37</v>
      </c>
      <c r="DY216" s="44">
        <v>1534444</v>
      </c>
      <c r="DZ216" s="44" t="s">
        <v>37</v>
      </c>
      <c r="EA216" s="44">
        <v>506051</v>
      </c>
      <c r="EB216" s="44" t="s">
        <v>37</v>
      </c>
      <c r="EC216" s="44">
        <v>404589</v>
      </c>
      <c r="ED216" s="44" t="s">
        <v>37</v>
      </c>
      <c r="EE216" s="44">
        <v>2153750</v>
      </c>
      <c r="EF216" s="44" t="s">
        <v>37</v>
      </c>
      <c r="EG216" s="44">
        <v>331519</v>
      </c>
      <c r="EH216" s="44" t="s">
        <v>37</v>
      </c>
      <c r="EI216" s="44">
        <v>76575</v>
      </c>
      <c r="EJ216" s="44" t="s">
        <v>37</v>
      </c>
      <c r="EK216" s="44">
        <v>327818</v>
      </c>
      <c r="EL216" s="44" t="s">
        <v>37</v>
      </c>
      <c r="EM216" s="44">
        <v>217196</v>
      </c>
      <c r="EN216" s="44" t="s">
        <v>37</v>
      </c>
      <c r="EO216" s="44">
        <v>134326</v>
      </c>
      <c r="EP216" s="44" t="s">
        <v>37</v>
      </c>
      <c r="EQ216" s="44">
        <v>67445</v>
      </c>
      <c r="ER216" s="44" t="s">
        <v>37</v>
      </c>
      <c r="ES216" s="44">
        <v>665842</v>
      </c>
      <c r="ET216" s="44" t="s">
        <v>37</v>
      </c>
      <c r="EU216" s="44">
        <v>1549572</v>
      </c>
      <c r="EV216" s="44" t="s">
        <v>37</v>
      </c>
      <c r="EW216" s="44">
        <v>1849424</v>
      </c>
      <c r="EX216" s="44" t="s">
        <v>37</v>
      </c>
      <c r="EZ216" s="44" t="s">
        <v>37</v>
      </c>
      <c r="FA216" s="44">
        <v>657680</v>
      </c>
      <c r="FB216" s="44" t="s">
        <v>37</v>
      </c>
      <c r="FC216" s="44">
        <v>445795</v>
      </c>
      <c r="FD216" s="44" t="s">
        <v>37</v>
      </c>
      <c r="FE216" s="44">
        <v>1326604</v>
      </c>
      <c r="FF216" s="44" t="s">
        <v>37</v>
      </c>
      <c r="FH216" s="44" t="s">
        <v>37</v>
      </c>
      <c r="FI216" s="44">
        <v>2218752</v>
      </c>
      <c r="FJ216" s="44" t="s">
        <v>37</v>
      </c>
      <c r="FK216" s="44">
        <v>4777289</v>
      </c>
      <c r="FL216" s="44" t="s">
        <v>37</v>
      </c>
      <c r="FN216" s="44" t="s">
        <v>37</v>
      </c>
      <c r="FO216" s="44">
        <v>445048</v>
      </c>
      <c r="FP216" s="44" t="s">
        <v>37</v>
      </c>
      <c r="FQ216" s="44">
        <v>930351</v>
      </c>
      <c r="FR216" s="44" t="s">
        <v>37</v>
      </c>
      <c r="FS216" s="44">
        <v>1012754</v>
      </c>
      <c r="FT216" s="44" t="s">
        <v>37</v>
      </c>
      <c r="FU216" s="44">
        <v>580080</v>
      </c>
      <c r="FV216" s="44" t="s">
        <v>37</v>
      </c>
      <c r="FW216" s="44">
        <v>367139</v>
      </c>
      <c r="FX216" s="44" t="s">
        <v>37</v>
      </c>
      <c r="FY216" s="44">
        <v>913844</v>
      </c>
      <c r="FZ216" s="44" t="s">
        <v>37</v>
      </c>
      <c r="GA216" s="44">
        <v>1188759</v>
      </c>
      <c r="GB216" s="44" t="s">
        <v>37</v>
      </c>
      <c r="GC216" s="44">
        <v>1749540</v>
      </c>
      <c r="GD216" s="44" t="s">
        <v>37</v>
      </c>
      <c r="GE216" s="44">
        <v>67505</v>
      </c>
      <c r="GF216" s="44" t="s">
        <v>37</v>
      </c>
      <c r="GG216" s="44">
        <v>67370</v>
      </c>
      <c r="GH216" s="44" t="s">
        <v>37</v>
      </c>
      <c r="GI216" s="44">
        <v>101632</v>
      </c>
      <c r="GJ216" s="44" t="s">
        <v>37</v>
      </c>
      <c r="GK216" s="44">
        <v>698050</v>
      </c>
      <c r="GL216" s="44" t="s">
        <v>37</v>
      </c>
      <c r="GM216" s="44">
        <v>879843</v>
      </c>
      <c r="GN216" s="44" t="s">
        <v>37</v>
      </c>
      <c r="GP216" s="44" t="s">
        <v>37</v>
      </c>
      <c r="GQ216" s="44">
        <v>903969</v>
      </c>
      <c r="GR216" s="44" t="s">
        <v>37</v>
      </c>
      <c r="GS216" s="44">
        <v>656438</v>
      </c>
      <c r="GT216" s="44" t="s">
        <v>37</v>
      </c>
      <c r="GU216" s="44">
        <v>710678</v>
      </c>
      <c r="GV216" s="44" t="s">
        <v>37</v>
      </c>
      <c r="GW216" s="44">
        <v>668537</v>
      </c>
      <c r="GX216" s="44" t="s">
        <v>37</v>
      </c>
      <c r="GY216" s="44">
        <v>2205422</v>
      </c>
      <c r="GZ216" s="44" t="s">
        <v>37</v>
      </c>
      <c r="HA216" s="44">
        <v>728059</v>
      </c>
      <c r="HB216" s="44" t="s">
        <v>37</v>
      </c>
      <c r="HD216" s="44" t="s">
        <v>37</v>
      </c>
      <c r="HF216" s="44" t="s">
        <v>37</v>
      </c>
      <c r="HG216" s="44">
        <v>91138235</v>
      </c>
      <c r="HH216" s="44" t="s">
        <v>37</v>
      </c>
      <c r="HJ216" s="44" t="s">
        <v>37</v>
      </c>
      <c r="HK216" s="44">
        <v>91138235</v>
      </c>
      <c r="HL216" s="44" t="s">
        <v>37</v>
      </c>
    </row>
    <row r="217" spans="1:220">
      <c r="A217" s="150" t="s">
        <v>411</v>
      </c>
      <c r="B217" s="44">
        <v>3830</v>
      </c>
      <c r="C217" s="44" t="s">
        <v>231</v>
      </c>
      <c r="D217" s="44" t="s">
        <v>37</v>
      </c>
      <c r="F217" s="44" t="s">
        <v>37</v>
      </c>
      <c r="H217" s="44" t="s">
        <v>37</v>
      </c>
      <c r="I217" s="44">
        <v>30430</v>
      </c>
      <c r="J217" s="44" t="s">
        <v>37</v>
      </c>
      <c r="K217" s="44">
        <v>3409</v>
      </c>
      <c r="L217" s="48" t="s">
        <v>37</v>
      </c>
      <c r="M217" s="51">
        <v>58160</v>
      </c>
      <c r="N217" s="48" t="s">
        <v>37</v>
      </c>
      <c r="O217" s="51">
        <v>66073</v>
      </c>
      <c r="P217" s="48" t="s">
        <v>37</v>
      </c>
      <c r="Q217" s="51">
        <v>8665</v>
      </c>
      <c r="R217" s="48" t="s">
        <v>37</v>
      </c>
      <c r="S217" s="51">
        <v>28731</v>
      </c>
      <c r="T217" s="48" t="s">
        <v>37</v>
      </c>
      <c r="U217" s="44">
        <v>366910</v>
      </c>
      <c r="V217" s="44" t="s">
        <v>37</v>
      </c>
      <c r="X217" s="44" t="s">
        <v>37</v>
      </c>
      <c r="Y217" s="44">
        <v>15145</v>
      </c>
      <c r="Z217" s="44" t="s">
        <v>37</v>
      </c>
      <c r="AA217" s="44">
        <v>21584</v>
      </c>
      <c r="AB217" s="44" t="s">
        <v>37</v>
      </c>
      <c r="AC217" s="44">
        <v>35396</v>
      </c>
      <c r="AD217" s="44" t="s">
        <v>37</v>
      </c>
      <c r="AE217" s="44">
        <v>4578</v>
      </c>
      <c r="AF217" s="44" t="s">
        <v>37</v>
      </c>
      <c r="AG217" s="44">
        <v>14104</v>
      </c>
      <c r="AH217" s="44" t="s">
        <v>37</v>
      </c>
      <c r="AI217" s="44">
        <v>48022</v>
      </c>
      <c r="AJ217" s="44" t="s">
        <v>37</v>
      </c>
      <c r="AK217" s="44">
        <v>8429</v>
      </c>
      <c r="AL217" s="44" t="s">
        <v>37</v>
      </c>
      <c r="AM217" s="44">
        <v>418067</v>
      </c>
      <c r="AN217" s="44" t="s">
        <v>37</v>
      </c>
      <c r="AP217" s="44" t="s">
        <v>37</v>
      </c>
      <c r="AQ217" s="44">
        <v>245768</v>
      </c>
      <c r="AR217" s="44" t="s">
        <v>37</v>
      </c>
      <c r="AS217" s="44">
        <v>27261</v>
      </c>
      <c r="AT217" s="44" t="s">
        <v>37</v>
      </c>
      <c r="AU217" s="44">
        <v>2394290</v>
      </c>
      <c r="AV217" s="44" t="s">
        <v>37</v>
      </c>
      <c r="AW217" s="44">
        <v>158686</v>
      </c>
      <c r="AX217" s="44" t="s">
        <v>37</v>
      </c>
      <c r="AY217" s="44">
        <v>129377</v>
      </c>
      <c r="AZ217" s="44" t="s">
        <v>37</v>
      </c>
      <c r="BA217" s="44">
        <v>113390</v>
      </c>
      <c r="BB217" s="44" t="s">
        <v>37</v>
      </c>
      <c r="BC217" s="44">
        <v>6889</v>
      </c>
      <c r="BD217" s="44" t="s">
        <v>37</v>
      </c>
      <c r="BE217" s="44">
        <v>57864</v>
      </c>
      <c r="BF217" s="44" t="s">
        <v>37</v>
      </c>
      <c r="BG217" s="44">
        <v>5511</v>
      </c>
      <c r="BH217" s="44" t="s">
        <v>37</v>
      </c>
      <c r="BJ217" s="44" t="s">
        <v>37</v>
      </c>
      <c r="BK217" s="44">
        <v>154242</v>
      </c>
      <c r="BL217" s="44" t="s">
        <v>37</v>
      </c>
      <c r="BM217" s="44">
        <v>330263</v>
      </c>
      <c r="BN217" s="44" t="s">
        <v>37</v>
      </c>
      <c r="BO217" s="44">
        <v>2498</v>
      </c>
      <c r="BP217" s="44" t="s">
        <v>37</v>
      </c>
      <c r="BQ217" s="44">
        <v>5547</v>
      </c>
      <c r="BR217" s="44" t="s">
        <v>37</v>
      </c>
      <c r="BS217" s="44">
        <v>49077</v>
      </c>
      <c r="BT217" s="44" t="s">
        <v>37</v>
      </c>
      <c r="BU217" s="44">
        <v>20874</v>
      </c>
      <c r="BV217" s="44" t="s">
        <v>37</v>
      </c>
      <c r="BW217" s="44">
        <v>7955</v>
      </c>
      <c r="BX217" s="44" t="s">
        <v>37</v>
      </c>
      <c r="BY217" s="44">
        <v>247186</v>
      </c>
      <c r="BZ217" s="44" t="s">
        <v>37</v>
      </c>
      <c r="CA217" s="44">
        <v>54802</v>
      </c>
      <c r="CB217" s="44" t="s">
        <v>37</v>
      </c>
      <c r="CD217" s="44" t="s">
        <v>37</v>
      </c>
      <c r="CE217" s="44">
        <v>56168</v>
      </c>
      <c r="CF217" s="44" t="s">
        <v>37</v>
      </c>
      <c r="CG217" s="44">
        <v>31732</v>
      </c>
      <c r="CH217" s="44" t="s">
        <v>37</v>
      </c>
      <c r="CI217" s="44">
        <v>616403</v>
      </c>
      <c r="CJ217" s="44" t="s">
        <v>37</v>
      </c>
      <c r="CK217" s="44">
        <v>7342</v>
      </c>
      <c r="CL217" s="44" t="s">
        <v>37</v>
      </c>
      <c r="CM217" s="44">
        <v>116404</v>
      </c>
      <c r="CN217" s="44" t="s">
        <v>37</v>
      </c>
      <c r="CO217" s="44">
        <v>31327</v>
      </c>
      <c r="CP217" s="44" t="s">
        <v>37</v>
      </c>
      <c r="CQ217" s="44">
        <v>7905</v>
      </c>
      <c r="CR217" s="44" t="s">
        <v>37</v>
      </c>
      <c r="CS217" s="44">
        <v>267627</v>
      </c>
      <c r="CT217" s="44" t="s">
        <v>37</v>
      </c>
      <c r="CU217" s="44">
        <v>2562785</v>
      </c>
      <c r="CV217" s="44" t="s">
        <v>37</v>
      </c>
      <c r="CW217" s="44">
        <v>218383</v>
      </c>
      <c r="CX217" s="44" t="s">
        <v>37</v>
      </c>
      <c r="CY217" s="44">
        <v>17072</v>
      </c>
      <c r="CZ217" s="44" t="s">
        <v>37</v>
      </c>
      <c r="DA217" s="44">
        <v>18481</v>
      </c>
      <c r="DB217" s="44" t="s">
        <v>37</v>
      </c>
      <c r="DC217" s="44">
        <v>9332</v>
      </c>
      <c r="DD217" s="44" t="s">
        <v>37</v>
      </c>
      <c r="DE217" s="44">
        <v>91463</v>
      </c>
      <c r="DF217" s="44" t="s">
        <v>37</v>
      </c>
      <c r="DG217" s="44">
        <v>61038</v>
      </c>
      <c r="DH217" s="44" t="s">
        <v>37</v>
      </c>
      <c r="DI217" s="44">
        <v>903809</v>
      </c>
      <c r="DJ217" s="44" t="s">
        <v>37</v>
      </c>
      <c r="DK217" s="44">
        <v>49139</v>
      </c>
      <c r="DL217" s="44" t="s">
        <v>37</v>
      </c>
      <c r="DM217" s="44">
        <v>177216</v>
      </c>
      <c r="DN217" s="44" t="s">
        <v>37</v>
      </c>
      <c r="DO217" s="44">
        <v>198382</v>
      </c>
      <c r="DP217" s="44" t="s">
        <v>37</v>
      </c>
      <c r="DQ217" s="44">
        <v>100918</v>
      </c>
      <c r="DR217" s="44" t="s">
        <v>37</v>
      </c>
      <c r="DS217" s="44">
        <v>74052</v>
      </c>
      <c r="DT217" s="44" t="s">
        <v>37</v>
      </c>
      <c r="DU217" s="44">
        <v>43976</v>
      </c>
      <c r="DV217" s="44" t="s">
        <v>37</v>
      </c>
      <c r="DW217" s="44">
        <v>326648</v>
      </c>
      <c r="DX217" s="44" t="s">
        <v>37</v>
      </c>
      <c r="DY217" s="44">
        <v>670297</v>
      </c>
      <c r="DZ217" s="44" t="s">
        <v>37</v>
      </c>
      <c r="EA217" s="44">
        <v>88912</v>
      </c>
      <c r="EB217" s="44" t="s">
        <v>37</v>
      </c>
      <c r="EC217" s="44">
        <v>10877</v>
      </c>
      <c r="ED217" s="44" t="s">
        <v>37</v>
      </c>
      <c r="EE217" s="44">
        <v>285273</v>
      </c>
      <c r="EF217" s="44" t="s">
        <v>37</v>
      </c>
      <c r="EG217" s="44">
        <v>8870</v>
      </c>
      <c r="EH217" s="44" t="s">
        <v>37</v>
      </c>
      <c r="EI217" s="44">
        <v>5974</v>
      </c>
      <c r="EJ217" s="44" t="s">
        <v>37</v>
      </c>
      <c r="EK217" s="44">
        <v>71311</v>
      </c>
      <c r="EL217" s="44" t="s">
        <v>37</v>
      </c>
      <c r="EM217" s="44">
        <v>52931</v>
      </c>
      <c r="EN217" s="44" t="s">
        <v>37</v>
      </c>
      <c r="EO217" s="44">
        <v>23375</v>
      </c>
      <c r="EP217" s="44" t="s">
        <v>37</v>
      </c>
      <c r="EQ217" s="44">
        <v>13143</v>
      </c>
      <c r="ER217" s="44" t="s">
        <v>37</v>
      </c>
      <c r="ES217" s="44">
        <v>148012</v>
      </c>
      <c r="ET217" s="44" t="s">
        <v>37</v>
      </c>
      <c r="EU217" s="44">
        <v>168635</v>
      </c>
      <c r="EV217" s="44" t="s">
        <v>37</v>
      </c>
      <c r="EW217" s="44">
        <v>169330</v>
      </c>
      <c r="EX217" s="44" t="s">
        <v>37</v>
      </c>
      <c r="EZ217" s="44" t="s">
        <v>37</v>
      </c>
      <c r="FA217" s="44">
        <v>358025</v>
      </c>
      <c r="FB217" s="44" t="s">
        <v>37</v>
      </c>
      <c r="FC217" s="44">
        <v>15061</v>
      </c>
      <c r="FD217" s="44" t="s">
        <v>37</v>
      </c>
      <c r="FE217" s="44">
        <v>440970</v>
      </c>
      <c r="FF217" s="44" t="s">
        <v>37</v>
      </c>
      <c r="FH217" s="44" t="s">
        <v>37</v>
      </c>
      <c r="FI217" s="44">
        <v>345878</v>
      </c>
      <c r="FJ217" s="44" t="s">
        <v>37</v>
      </c>
      <c r="FK217" s="44">
        <v>2186865</v>
      </c>
      <c r="FL217" s="44" t="s">
        <v>37</v>
      </c>
      <c r="FN217" s="44" t="s">
        <v>37</v>
      </c>
      <c r="FO217" s="44">
        <v>25888</v>
      </c>
      <c r="FP217" s="44" t="s">
        <v>37</v>
      </c>
      <c r="FQ217" s="44">
        <v>71357</v>
      </c>
      <c r="FR217" s="44" t="s">
        <v>37</v>
      </c>
      <c r="FS217" s="44">
        <v>94079</v>
      </c>
      <c r="FT217" s="44" t="s">
        <v>37</v>
      </c>
      <c r="FU217" s="44">
        <v>65610</v>
      </c>
      <c r="FV217" s="44" t="s">
        <v>37</v>
      </c>
      <c r="FW217" s="44">
        <v>34263</v>
      </c>
      <c r="FX217" s="44" t="s">
        <v>37</v>
      </c>
      <c r="FY217" s="44">
        <v>89177</v>
      </c>
      <c r="FZ217" s="44" t="s">
        <v>37</v>
      </c>
      <c r="GA217" s="44">
        <v>652335</v>
      </c>
      <c r="GB217" s="44" t="s">
        <v>37</v>
      </c>
      <c r="GC217" s="44">
        <v>1157797</v>
      </c>
      <c r="GD217" s="44" t="s">
        <v>37</v>
      </c>
      <c r="GE217" s="44">
        <v>36209</v>
      </c>
      <c r="GF217" s="44" t="s">
        <v>37</v>
      </c>
      <c r="GG217" s="44">
        <v>29747</v>
      </c>
      <c r="GH217" s="44" t="s">
        <v>37</v>
      </c>
      <c r="GI217" s="44">
        <v>11562</v>
      </c>
      <c r="GJ217" s="44" t="s">
        <v>37</v>
      </c>
      <c r="GK217" s="44">
        <v>125906</v>
      </c>
      <c r="GL217" s="44" t="s">
        <v>37</v>
      </c>
      <c r="GM217" s="44">
        <v>437432</v>
      </c>
      <c r="GN217" s="44" t="s">
        <v>37</v>
      </c>
      <c r="GP217" s="44" t="s">
        <v>37</v>
      </c>
      <c r="GQ217" s="44">
        <v>119642</v>
      </c>
      <c r="GR217" s="44" t="s">
        <v>37</v>
      </c>
      <c r="GS217" s="44">
        <v>95087</v>
      </c>
      <c r="GT217" s="44" t="s">
        <v>37</v>
      </c>
      <c r="GU217" s="44">
        <v>71699</v>
      </c>
      <c r="GV217" s="44" t="s">
        <v>37</v>
      </c>
      <c r="GW217" s="44">
        <v>40615</v>
      </c>
      <c r="GX217" s="44" t="s">
        <v>37</v>
      </c>
      <c r="GY217" s="44">
        <v>350681</v>
      </c>
      <c r="GZ217" s="44" t="s">
        <v>37</v>
      </c>
      <c r="HA217" s="44">
        <v>175567</v>
      </c>
      <c r="HB217" s="44" t="s">
        <v>37</v>
      </c>
      <c r="HD217" s="44" t="s">
        <v>37</v>
      </c>
      <c r="HF217" s="44" t="s">
        <v>37</v>
      </c>
      <c r="HG217" s="44">
        <v>19875177</v>
      </c>
      <c r="HH217" s="44" t="s">
        <v>37</v>
      </c>
      <c r="HJ217" s="44" t="s">
        <v>37</v>
      </c>
      <c r="HK217" s="44">
        <v>19875177</v>
      </c>
      <c r="HL217" s="44" t="s">
        <v>37</v>
      </c>
    </row>
    <row r="218" spans="1:220">
      <c r="A218" s="150" t="s">
        <v>411</v>
      </c>
      <c r="B218" s="44">
        <v>3840</v>
      </c>
      <c r="C218" s="44" t="s">
        <v>232</v>
      </c>
      <c r="D218" s="44" t="s">
        <v>37</v>
      </c>
      <c r="E218" s="44">
        <v>371398</v>
      </c>
      <c r="F218" s="44" t="s">
        <v>37</v>
      </c>
      <c r="H218" s="44" t="s">
        <v>37</v>
      </c>
      <c r="I218" s="44">
        <v>177794</v>
      </c>
      <c r="J218" s="44" t="s">
        <v>37</v>
      </c>
      <c r="K218" s="44">
        <v>8240</v>
      </c>
      <c r="L218" s="48" t="s">
        <v>37</v>
      </c>
      <c r="M218" s="51">
        <v>421979</v>
      </c>
      <c r="N218" s="48" t="s">
        <v>37</v>
      </c>
      <c r="O218" s="51">
        <v>176544</v>
      </c>
      <c r="P218" s="48" t="s">
        <v>37</v>
      </c>
      <c r="Q218" s="51">
        <v>198198</v>
      </c>
      <c r="R218" s="48" t="s">
        <v>37</v>
      </c>
      <c r="S218" s="51">
        <v>233588</v>
      </c>
      <c r="T218" s="48" t="s">
        <v>37</v>
      </c>
      <c r="U218" s="44">
        <v>355045</v>
      </c>
      <c r="V218" s="44" t="s">
        <v>37</v>
      </c>
      <c r="W218" s="44">
        <v>16538</v>
      </c>
      <c r="X218" s="44" t="s">
        <v>37</v>
      </c>
      <c r="Y218" s="44">
        <v>56629</v>
      </c>
      <c r="Z218" s="44" t="s">
        <v>37</v>
      </c>
      <c r="AA218" s="44">
        <v>21826</v>
      </c>
      <c r="AB218" s="44" t="s">
        <v>37</v>
      </c>
      <c r="AD218" s="44" t="s">
        <v>37</v>
      </c>
      <c r="AE218" s="44">
        <v>3230</v>
      </c>
      <c r="AF218" s="44" t="s">
        <v>37</v>
      </c>
      <c r="AG218" s="44">
        <v>102297</v>
      </c>
      <c r="AH218" s="44" t="s">
        <v>37</v>
      </c>
      <c r="AI218" s="44">
        <v>102410</v>
      </c>
      <c r="AJ218" s="44" t="s">
        <v>37</v>
      </c>
      <c r="AK218" s="44">
        <v>25170</v>
      </c>
      <c r="AL218" s="44" t="s">
        <v>37</v>
      </c>
      <c r="AN218" s="44" t="s">
        <v>37</v>
      </c>
      <c r="AP218" s="44" t="s">
        <v>37</v>
      </c>
      <c r="AQ218" s="44">
        <v>1048813</v>
      </c>
      <c r="AR218" s="44" t="s">
        <v>37</v>
      </c>
      <c r="AS218" s="44">
        <v>785647</v>
      </c>
      <c r="AT218" s="44" t="s">
        <v>37</v>
      </c>
      <c r="AU218" s="44">
        <v>949316</v>
      </c>
      <c r="AV218" s="44" t="s">
        <v>37</v>
      </c>
      <c r="AX218" s="44" t="s">
        <v>37</v>
      </c>
      <c r="AY218" s="44">
        <v>535615</v>
      </c>
      <c r="AZ218" s="44" t="s">
        <v>37</v>
      </c>
      <c r="BA218" s="44">
        <v>689606</v>
      </c>
      <c r="BB218" s="44" t="s">
        <v>37</v>
      </c>
      <c r="BD218" s="44" t="s">
        <v>37</v>
      </c>
      <c r="BE218" s="44">
        <v>11585</v>
      </c>
      <c r="BF218" s="44" t="s">
        <v>37</v>
      </c>
      <c r="BG218" s="44">
        <v>2549</v>
      </c>
      <c r="BH218" s="44" t="s">
        <v>37</v>
      </c>
      <c r="BJ218" s="44" t="s">
        <v>37</v>
      </c>
      <c r="BK218" s="44">
        <v>65366</v>
      </c>
      <c r="BL218" s="44" t="s">
        <v>37</v>
      </c>
      <c r="BN218" s="44" t="s">
        <v>37</v>
      </c>
      <c r="BO218" s="44">
        <v>6746</v>
      </c>
      <c r="BP218" s="44" t="s">
        <v>37</v>
      </c>
      <c r="BQ218" s="44">
        <v>17138</v>
      </c>
      <c r="BR218" s="44" t="s">
        <v>37</v>
      </c>
      <c r="BS218" s="44">
        <v>75466</v>
      </c>
      <c r="BT218" s="44" t="s">
        <v>37</v>
      </c>
      <c r="BU218" s="44">
        <v>31341</v>
      </c>
      <c r="BV218" s="44" t="s">
        <v>37</v>
      </c>
      <c r="BW218" s="44">
        <v>17008</v>
      </c>
      <c r="BX218" s="44" t="s">
        <v>37</v>
      </c>
      <c r="BY218" s="44">
        <v>363111</v>
      </c>
      <c r="BZ218" s="44" t="s">
        <v>37</v>
      </c>
      <c r="CB218" s="44" t="s">
        <v>37</v>
      </c>
      <c r="CD218" s="44" t="s">
        <v>37</v>
      </c>
      <c r="CE218" s="44">
        <v>112968</v>
      </c>
      <c r="CF218" s="44" t="s">
        <v>37</v>
      </c>
      <c r="CG218" s="44">
        <v>3260</v>
      </c>
      <c r="CH218" s="44" t="s">
        <v>37</v>
      </c>
      <c r="CI218" s="44">
        <v>799377</v>
      </c>
      <c r="CJ218" s="44" t="s">
        <v>37</v>
      </c>
      <c r="CK218" s="44">
        <v>23918</v>
      </c>
      <c r="CL218" s="44" t="s">
        <v>37</v>
      </c>
      <c r="CM218" s="44">
        <v>674100</v>
      </c>
      <c r="CN218" s="44" t="s">
        <v>37</v>
      </c>
      <c r="CO218" s="44">
        <v>30323</v>
      </c>
      <c r="CP218" s="44" t="s">
        <v>37</v>
      </c>
      <c r="CQ218" s="44">
        <v>226268</v>
      </c>
      <c r="CR218" s="44" t="s">
        <v>37</v>
      </c>
      <c r="CS218" s="44">
        <v>858114</v>
      </c>
      <c r="CT218" s="44" t="s">
        <v>37</v>
      </c>
      <c r="CU218" s="44">
        <v>2933703</v>
      </c>
      <c r="CV218" s="44" t="s">
        <v>37</v>
      </c>
      <c r="CX218" s="44" t="s">
        <v>37</v>
      </c>
      <c r="CY218" s="44">
        <v>70507</v>
      </c>
      <c r="CZ218" s="44" t="s">
        <v>37</v>
      </c>
      <c r="DB218" s="44" t="s">
        <v>37</v>
      </c>
      <c r="DD218" s="44" t="s">
        <v>37</v>
      </c>
      <c r="DE218" s="44">
        <v>34452</v>
      </c>
      <c r="DF218" s="44" t="s">
        <v>37</v>
      </c>
      <c r="DG218" s="44">
        <v>29601</v>
      </c>
      <c r="DH218" s="44" t="s">
        <v>37</v>
      </c>
      <c r="DI218" s="44">
        <v>346392</v>
      </c>
      <c r="DJ218" s="44" t="s">
        <v>37</v>
      </c>
      <c r="DL218" s="44" t="s">
        <v>37</v>
      </c>
      <c r="DM218" s="44">
        <v>313139</v>
      </c>
      <c r="DN218" s="44" t="s">
        <v>37</v>
      </c>
      <c r="DO218" s="44">
        <v>530331</v>
      </c>
      <c r="DP218" s="44" t="s">
        <v>37</v>
      </c>
      <c r="DQ218" s="44">
        <v>214824</v>
      </c>
      <c r="DR218" s="44" t="s">
        <v>37</v>
      </c>
      <c r="DS218" s="44">
        <v>142091</v>
      </c>
      <c r="DT218" s="44" t="s">
        <v>37</v>
      </c>
      <c r="DV218" s="44" t="s">
        <v>37</v>
      </c>
      <c r="DW218" s="44">
        <v>290712</v>
      </c>
      <c r="DX218" s="44" t="s">
        <v>37</v>
      </c>
      <c r="DY218" s="44">
        <v>232753</v>
      </c>
      <c r="DZ218" s="44" t="s">
        <v>37</v>
      </c>
      <c r="EA218" s="44">
        <v>87841</v>
      </c>
      <c r="EB218" s="44" t="s">
        <v>37</v>
      </c>
      <c r="EC218" s="44">
        <v>5296</v>
      </c>
      <c r="ED218" s="44" t="s">
        <v>37</v>
      </c>
      <c r="EE218" s="44">
        <v>335247</v>
      </c>
      <c r="EF218" s="44" t="s">
        <v>37</v>
      </c>
      <c r="EG218" s="44">
        <v>37259</v>
      </c>
      <c r="EH218" s="44" t="s">
        <v>37</v>
      </c>
      <c r="EI218" s="44">
        <v>28014</v>
      </c>
      <c r="EJ218" s="44" t="s">
        <v>37</v>
      </c>
      <c r="EK218" s="44">
        <v>130140</v>
      </c>
      <c r="EL218" s="44" t="s">
        <v>37</v>
      </c>
      <c r="EM218" s="44">
        <v>76746</v>
      </c>
      <c r="EN218" s="44" t="s">
        <v>37</v>
      </c>
      <c r="EP218" s="44" t="s">
        <v>37</v>
      </c>
      <c r="EQ218" s="44">
        <v>24719</v>
      </c>
      <c r="ER218" s="44" t="s">
        <v>37</v>
      </c>
      <c r="ES218" s="44">
        <v>280941</v>
      </c>
      <c r="ET218" s="44" t="s">
        <v>37</v>
      </c>
      <c r="EU218" s="44">
        <v>304393</v>
      </c>
      <c r="EV218" s="44" t="s">
        <v>37</v>
      </c>
      <c r="EW218" s="44">
        <v>462897</v>
      </c>
      <c r="EX218" s="44" t="s">
        <v>37</v>
      </c>
      <c r="EZ218" s="44" t="s">
        <v>37</v>
      </c>
      <c r="FA218" s="44">
        <v>160037</v>
      </c>
      <c r="FB218" s="44" t="s">
        <v>37</v>
      </c>
      <c r="FC218" s="44">
        <v>369730</v>
      </c>
      <c r="FD218" s="44" t="s">
        <v>37</v>
      </c>
      <c r="FE218" s="44">
        <v>633808</v>
      </c>
      <c r="FF218" s="44" t="s">
        <v>37</v>
      </c>
      <c r="FH218" s="44" t="s">
        <v>37</v>
      </c>
      <c r="FI218" s="44">
        <v>299144</v>
      </c>
      <c r="FJ218" s="44" t="s">
        <v>37</v>
      </c>
      <c r="FL218" s="44" t="s">
        <v>37</v>
      </c>
      <c r="FN218" s="44" t="s">
        <v>37</v>
      </c>
      <c r="FO218" s="44">
        <v>24552</v>
      </c>
      <c r="FP218" s="44" t="s">
        <v>37</v>
      </c>
      <c r="FQ218" s="44">
        <v>99989</v>
      </c>
      <c r="FR218" s="44" t="s">
        <v>37</v>
      </c>
      <c r="FS218" s="44">
        <v>150467</v>
      </c>
      <c r="FT218" s="44" t="s">
        <v>37</v>
      </c>
      <c r="FU218" s="44">
        <v>448797</v>
      </c>
      <c r="FV218" s="44" t="s">
        <v>37</v>
      </c>
      <c r="FW218" s="44">
        <v>87495</v>
      </c>
      <c r="FX218" s="44" t="s">
        <v>37</v>
      </c>
      <c r="FY218" s="44">
        <v>768735</v>
      </c>
      <c r="FZ218" s="44" t="s">
        <v>37</v>
      </c>
      <c r="GA218" s="44">
        <v>496181</v>
      </c>
      <c r="GB218" s="44" t="s">
        <v>37</v>
      </c>
      <c r="GC218" s="44">
        <v>273779</v>
      </c>
      <c r="GD218" s="44" t="s">
        <v>37</v>
      </c>
      <c r="GE218" s="44">
        <v>19624</v>
      </c>
      <c r="GF218" s="44" t="s">
        <v>37</v>
      </c>
      <c r="GG218" s="44">
        <v>39460</v>
      </c>
      <c r="GH218" s="44" t="s">
        <v>37</v>
      </c>
      <c r="GI218" s="44">
        <v>13753</v>
      </c>
      <c r="GJ218" s="44" t="s">
        <v>37</v>
      </c>
      <c r="GK218" s="44">
        <v>395193</v>
      </c>
      <c r="GL218" s="44" t="s">
        <v>37</v>
      </c>
      <c r="GM218" s="44">
        <v>132695</v>
      </c>
      <c r="GN218" s="44" t="s">
        <v>37</v>
      </c>
      <c r="GP218" s="44" t="s">
        <v>37</v>
      </c>
      <c r="GQ218" s="44">
        <v>308686</v>
      </c>
      <c r="GR218" s="44" t="s">
        <v>37</v>
      </c>
      <c r="GS218" s="44">
        <v>201243</v>
      </c>
      <c r="GT218" s="44" t="s">
        <v>37</v>
      </c>
      <c r="GV218" s="44" t="s">
        <v>37</v>
      </c>
      <c r="GW218" s="44">
        <v>91335</v>
      </c>
      <c r="GX218" s="44" t="s">
        <v>37</v>
      </c>
      <c r="GY218" s="44">
        <v>1427723</v>
      </c>
      <c r="GZ218" s="44" t="s">
        <v>37</v>
      </c>
      <c r="HA218" s="44">
        <v>160650</v>
      </c>
      <c r="HB218" s="44" t="s">
        <v>37</v>
      </c>
      <c r="HD218" s="44" t="s">
        <v>37</v>
      </c>
      <c r="HF218" s="44" t="s">
        <v>37</v>
      </c>
      <c r="HG218" s="44">
        <v>23113595</v>
      </c>
      <c r="HH218" s="44" t="s">
        <v>37</v>
      </c>
      <c r="HJ218" s="44" t="s">
        <v>37</v>
      </c>
      <c r="HK218" s="44">
        <v>23113595</v>
      </c>
      <c r="HL218" s="44" t="s">
        <v>37</v>
      </c>
    </row>
    <row r="219" spans="1:220">
      <c r="A219" s="150" t="s">
        <v>411</v>
      </c>
      <c r="B219" s="44">
        <v>3890</v>
      </c>
      <c r="C219" s="44" t="s">
        <v>233</v>
      </c>
      <c r="D219" s="44" t="s">
        <v>37</v>
      </c>
      <c r="E219" s="44">
        <v>5583</v>
      </c>
      <c r="F219" s="44" t="s">
        <v>37</v>
      </c>
      <c r="H219" s="44" t="s">
        <v>37</v>
      </c>
      <c r="J219" s="44" t="s">
        <v>37</v>
      </c>
      <c r="K219" s="44">
        <v>3122</v>
      </c>
      <c r="L219" s="48" t="s">
        <v>37</v>
      </c>
      <c r="M219" s="51">
        <v>89823</v>
      </c>
      <c r="N219" s="48" t="s">
        <v>37</v>
      </c>
      <c r="O219" s="51">
        <v>78209</v>
      </c>
      <c r="P219" s="48" t="s">
        <v>37</v>
      </c>
      <c r="Q219" s="51">
        <v>22975</v>
      </c>
      <c r="R219" s="48" t="s">
        <v>37</v>
      </c>
      <c r="S219" s="51">
        <v>50980</v>
      </c>
      <c r="T219" s="48" t="s">
        <v>37</v>
      </c>
      <c r="U219" s="44">
        <v>193143</v>
      </c>
      <c r="V219" s="44" t="s">
        <v>37</v>
      </c>
      <c r="W219" s="44">
        <v>5469</v>
      </c>
      <c r="X219" s="44" t="s">
        <v>37</v>
      </c>
      <c r="Y219" s="44">
        <v>17055</v>
      </c>
      <c r="Z219" s="44" t="s">
        <v>37</v>
      </c>
      <c r="AA219" s="44">
        <v>76702</v>
      </c>
      <c r="AB219" s="44" t="s">
        <v>37</v>
      </c>
      <c r="AC219" s="44">
        <v>75241</v>
      </c>
      <c r="AD219" s="44" t="s">
        <v>37</v>
      </c>
      <c r="AE219" s="44">
        <v>21777</v>
      </c>
      <c r="AF219" s="44" t="s">
        <v>37</v>
      </c>
      <c r="AG219" s="44">
        <v>27435</v>
      </c>
      <c r="AH219" s="44" t="s">
        <v>37</v>
      </c>
      <c r="AI219" s="44">
        <v>71494</v>
      </c>
      <c r="AJ219" s="44" t="s">
        <v>37</v>
      </c>
      <c r="AK219" s="44">
        <v>13658</v>
      </c>
      <c r="AL219" s="44" t="s">
        <v>37</v>
      </c>
      <c r="AM219" s="44">
        <v>140530</v>
      </c>
      <c r="AN219" s="44" t="s">
        <v>37</v>
      </c>
      <c r="AP219" s="44" t="s">
        <v>37</v>
      </c>
      <c r="AR219" s="44" t="s">
        <v>37</v>
      </c>
      <c r="AS219" s="44">
        <v>101498</v>
      </c>
      <c r="AT219" s="44" t="s">
        <v>37</v>
      </c>
      <c r="AU219" s="44">
        <v>28502</v>
      </c>
      <c r="AV219" s="44" t="s">
        <v>37</v>
      </c>
      <c r="AW219" s="44">
        <v>128241</v>
      </c>
      <c r="AX219" s="44" t="s">
        <v>37</v>
      </c>
      <c r="AY219" s="44">
        <v>139307</v>
      </c>
      <c r="AZ219" s="44" t="s">
        <v>37</v>
      </c>
      <c r="BA219" s="44">
        <v>104496</v>
      </c>
      <c r="BB219" s="44" t="s">
        <v>37</v>
      </c>
      <c r="BD219" s="44" t="s">
        <v>37</v>
      </c>
      <c r="BE219" s="44">
        <v>63619</v>
      </c>
      <c r="BF219" s="44" t="s">
        <v>37</v>
      </c>
      <c r="BG219" s="44">
        <v>24283</v>
      </c>
      <c r="BH219" s="44" t="s">
        <v>37</v>
      </c>
      <c r="BJ219" s="44" t="s">
        <v>37</v>
      </c>
      <c r="BK219" s="44">
        <v>159550</v>
      </c>
      <c r="BL219" s="44" t="s">
        <v>37</v>
      </c>
      <c r="BM219" s="44">
        <v>194477</v>
      </c>
      <c r="BN219" s="44" t="s">
        <v>37</v>
      </c>
      <c r="BO219" s="44">
        <v>84799</v>
      </c>
      <c r="BP219" s="44" t="s">
        <v>37</v>
      </c>
      <c r="BQ219" s="44">
        <v>14444</v>
      </c>
      <c r="BR219" s="44" t="s">
        <v>37</v>
      </c>
      <c r="BS219" s="44">
        <v>54562</v>
      </c>
      <c r="BT219" s="44" t="s">
        <v>37</v>
      </c>
      <c r="BU219" s="44">
        <v>23070</v>
      </c>
      <c r="BV219" s="44" t="s">
        <v>37</v>
      </c>
      <c r="BW219" s="44">
        <v>12552</v>
      </c>
      <c r="BX219" s="44" t="s">
        <v>37</v>
      </c>
      <c r="BY219" s="44">
        <v>158590</v>
      </c>
      <c r="BZ219" s="44" t="s">
        <v>37</v>
      </c>
      <c r="CA219" s="44">
        <v>342795</v>
      </c>
      <c r="CB219" s="44" t="s">
        <v>37</v>
      </c>
      <c r="CD219" s="44" t="s">
        <v>37</v>
      </c>
      <c r="CE219" s="44">
        <v>146691</v>
      </c>
      <c r="CF219" s="44" t="s">
        <v>37</v>
      </c>
      <c r="CG219" s="44">
        <v>8403</v>
      </c>
      <c r="CH219" s="44" t="s">
        <v>37</v>
      </c>
      <c r="CI219" s="44">
        <v>260554</v>
      </c>
      <c r="CJ219" s="44" t="s">
        <v>37</v>
      </c>
      <c r="CL219" s="44" t="s">
        <v>37</v>
      </c>
      <c r="CM219" s="44">
        <v>29219</v>
      </c>
      <c r="CN219" s="44" t="s">
        <v>37</v>
      </c>
      <c r="CP219" s="44" t="s">
        <v>37</v>
      </c>
      <c r="CQ219" s="44">
        <v>11069</v>
      </c>
      <c r="CR219" s="44" t="s">
        <v>37</v>
      </c>
      <c r="CS219" s="44">
        <v>167206</v>
      </c>
      <c r="CT219" s="44" t="s">
        <v>37</v>
      </c>
      <c r="CU219" s="44">
        <v>434763</v>
      </c>
      <c r="CV219" s="44" t="s">
        <v>37</v>
      </c>
      <c r="CW219" s="44">
        <v>1176484</v>
      </c>
      <c r="CX219" s="44" t="s">
        <v>37</v>
      </c>
      <c r="CY219" s="44">
        <v>99377</v>
      </c>
      <c r="CZ219" s="44" t="s">
        <v>37</v>
      </c>
      <c r="DB219" s="44" t="s">
        <v>37</v>
      </c>
      <c r="DC219" s="44">
        <v>51208</v>
      </c>
      <c r="DD219" s="44" t="s">
        <v>37</v>
      </c>
      <c r="DE219" s="44">
        <v>75401</v>
      </c>
      <c r="DF219" s="44" t="s">
        <v>37</v>
      </c>
      <c r="DG219" s="44">
        <v>44254</v>
      </c>
      <c r="DH219" s="44" t="s">
        <v>37</v>
      </c>
      <c r="DI219" s="44">
        <v>437674</v>
      </c>
      <c r="DJ219" s="44" t="s">
        <v>37</v>
      </c>
      <c r="DK219" s="44">
        <v>64398</v>
      </c>
      <c r="DL219" s="44" t="s">
        <v>37</v>
      </c>
      <c r="DM219" s="44">
        <v>153907</v>
      </c>
      <c r="DN219" s="44" t="s">
        <v>37</v>
      </c>
      <c r="DO219" s="44">
        <v>204196</v>
      </c>
      <c r="DP219" s="44" t="s">
        <v>37</v>
      </c>
      <c r="DQ219" s="44">
        <v>137211</v>
      </c>
      <c r="DR219" s="44" t="s">
        <v>37</v>
      </c>
      <c r="DS219" s="44">
        <v>76519</v>
      </c>
      <c r="DT219" s="44" t="s">
        <v>37</v>
      </c>
      <c r="DV219" s="44" t="s">
        <v>37</v>
      </c>
      <c r="DW219" s="44">
        <v>229855</v>
      </c>
      <c r="DX219" s="44" t="s">
        <v>37</v>
      </c>
      <c r="DY219" s="44">
        <v>85679</v>
      </c>
      <c r="DZ219" s="44" t="s">
        <v>37</v>
      </c>
      <c r="EA219" s="44">
        <v>39504</v>
      </c>
      <c r="EB219" s="44" t="s">
        <v>37</v>
      </c>
      <c r="EC219" s="44">
        <v>16503</v>
      </c>
      <c r="ED219" s="44" t="s">
        <v>37</v>
      </c>
      <c r="EE219" s="44">
        <v>187596</v>
      </c>
      <c r="EF219" s="44" t="s">
        <v>37</v>
      </c>
      <c r="EG219" s="44">
        <v>140215</v>
      </c>
      <c r="EH219" s="44" t="s">
        <v>37</v>
      </c>
      <c r="EI219" s="44">
        <v>6717</v>
      </c>
      <c r="EJ219" s="44" t="s">
        <v>37</v>
      </c>
      <c r="EK219" s="44">
        <v>53149</v>
      </c>
      <c r="EL219" s="44" t="s">
        <v>37</v>
      </c>
      <c r="EM219" s="44">
        <v>30887</v>
      </c>
      <c r="EN219" s="44" t="s">
        <v>37</v>
      </c>
      <c r="EP219" s="44" t="s">
        <v>37</v>
      </c>
      <c r="EQ219" s="44">
        <v>11962</v>
      </c>
      <c r="ER219" s="44" t="s">
        <v>37</v>
      </c>
      <c r="ES219" s="44">
        <v>163934</v>
      </c>
      <c r="ET219" s="44" t="s">
        <v>37</v>
      </c>
      <c r="EU219" s="44">
        <v>162525</v>
      </c>
      <c r="EV219" s="44" t="s">
        <v>37</v>
      </c>
      <c r="EW219" s="44">
        <v>291248</v>
      </c>
      <c r="EX219" s="44" t="s">
        <v>37</v>
      </c>
      <c r="EZ219" s="44" t="s">
        <v>37</v>
      </c>
      <c r="FA219" s="44">
        <v>59926</v>
      </c>
      <c r="FB219" s="44" t="s">
        <v>37</v>
      </c>
      <c r="FC219" s="44">
        <v>93788</v>
      </c>
      <c r="FD219" s="44" t="s">
        <v>37</v>
      </c>
      <c r="FE219" s="44">
        <v>213056</v>
      </c>
      <c r="FF219" s="44" t="s">
        <v>37</v>
      </c>
      <c r="FH219" s="44" t="s">
        <v>37</v>
      </c>
      <c r="FI219" s="44">
        <v>302718</v>
      </c>
      <c r="FJ219" s="44" t="s">
        <v>37</v>
      </c>
      <c r="FL219" s="44" t="s">
        <v>37</v>
      </c>
      <c r="FN219" s="44" t="s">
        <v>37</v>
      </c>
      <c r="FO219" s="44">
        <v>124564</v>
      </c>
      <c r="FP219" s="44" t="s">
        <v>37</v>
      </c>
      <c r="FQ219" s="44">
        <v>47667</v>
      </c>
      <c r="FR219" s="44" t="s">
        <v>37</v>
      </c>
      <c r="FS219" s="44">
        <v>68791</v>
      </c>
      <c r="FT219" s="44" t="s">
        <v>37</v>
      </c>
      <c r="FU219" s="44">
        <v>35226</v>
      </c>
      <c r="FV219" s="44" t="s">
        <v>37</v>
      </c>
      <c r="FW219" s="44">
        <v>19358</v>
      </c>
      <c r="FX219" s="44" t="s">
        <v>37</v>
      </c>
      <c r="FY219" s="44">
        <v>79603</v>
      </c>
      <c r="FZ219" s="44" t="s">
        <v>37</v>
      </c>
      <c r="GA219" s="44">
        <v>106708</v>
      </c>
      <c r="GB219" s="44" t="s">
        <v>37</v>
      </c>
      <c r="GD219" s="44" t="s">
        <v>37</v>
      </c>
      <c r="GF219" s="44" t="s">
        <v>37</v>
      </c>
      <c r="GH219" s="44" t="s">
        <v>37</v>
      </c>
      <c r="GJ219" s="44" t="s">
        <v>37</v>
      </c>
      <c r="GK219" s="44">
        <v>29763</v>
      </c>
      <c r="GL219" s="44" t="s">
        <v>37</v>
      </c>
      <c r="GN219" s="44" t="s">
        <v>37</v>
      </c>
      <c r="GP219" s="44" t="s">
        <v>37</v>
      </c>
      <c r="GQ219" s="44">
        <v>129857</v>
      </c>
      <c r="GR219" s="44" t="s">
        <v>37</v>
      </c>
      <c r="GS219" s="44">
        <v>11583</v>
      </c>
      <c r="GT219" s="44" t="s">
        <v>37</v>
      </c>
      <c r="GV219" s="44" t="s">
        <v>37</v>
      </c>
      <c r="GW219" s="44">
        <v>90539</v>
      </c>
      <c r="GX219" s="44" t="s">
        <v>37</v>
      </c>
      <c r="GY219" s="44">
        <v>33607</v>
      </c>
      <c r="GZ219" s="44" t="s">
        <v>37</v>
      </c>
      <c r="HA219" s="44">
        <v>71126</v>
      </c>
      <c r="HB219" s="44" t="s">
        <v>37</v>
      </c>
      <c r="HD219" s="44" t="s">
        <v>37</v>
      </c>
      <c r="HF219" s="44" t="s">
        <v>37</v>
      </c>
      <c r="HG219" s="44">
        <v>9044169</v>
      </c>
      <c r="HH219" s="44" t="s">
        <v>37</v>
      </c>
      <c r="HJ219" s="44" t="s">
        <v>37</v>
      </c>
      <c r="HK219" s="44">
        <v>9044169</v>
      </c>
      <c r="HL219" s="44" t="s">
        <v>37</v>
      </c>
    </row>
    <row r="220" spans="1:220">
      <c r="A220" s="150" t="s">
        <v>408</v>
      </c>
      <c r="B220" s="54">
        <v>3990</v>
      </c>
      <c r="C220" s="44" t="s">
        <v>234</v>
      </c>
      <c r="D220" s="44" t="s">
        <v>37</v>
      </c>
      <c r="F220" s="44" t="s">
        <v>37</v>
      </c>
      <c r="H220" s="44" t="s">
        <v>37</v>
      </c>
      <c r="J220" s="44" t="s">
        <v>37</v>
      </c>
      <c r="L220" s="48" t="s">
        <v>37</v>
      </c>
      <c r="M220" s="50"/>
      <c r="N220" s="48" t="s">
        <v>37</v>
      </c>
      <c r="O220" s="50"/>
      <c r="P220" s="48" t="s">
        <v>37</v>
      </c>
      <c r="Q220" s="50"/>
      <c r="R220" s="48" t="s">
        <v>37</v>
      </c>
      <c r="S220" s="50"/>
      <c r="T220" s="48" t="s">
        <v>37</v>
      </c>
      <c r="V220" s="44" t="s">
        <v>37</v>
      </c>
      <c r="X220" s="44" t="s">
        <v>37</v>
      </c>
      <c r="Z220" s="44" t="s">
        <v>37</v>
      </c>
      <c r="AB220" s="44" t="s">
        <v>37</v>
      </c>
      <c r="AD220" s="44" t="s">
        <v>37</v>
      </c>
      <c r="AF220" s="44" t="s">
        <v>37</v>
      </c>
      <c r="AH220" s="44" t="s">
        <v>37</v>
      </c>
      <c r="AJ220" s="44" t="s">
        <v>37</v>
      </c>
      <c r="AL220" s="44" t="s">
        <v>37</v>
      </c>
      <c r="AN220" s="44" t="s">
        <v>37</v>
      </c>
      <c r="AP220" s="44" t="s">
        <v>37</v>
      </c>
      <c r="AR220" s="44" t="s">
        <v>37</v>
      </c>
      <c r="AT220" s="44" t="s">
        <v>37</v>
      </c>
      <c r="AV220" s="44" t="s">
        <v>37</v>
      </c>
      <c r="AX220" s="44" t="s">
        <v>37</v>
      </c>
      <c r="AZ220" s="44" t="s">
        <v>37</v>
      </c>
      <c r="BB220" s="44" t="s">
        <v>37</v>
      </c>
      <c r="BD220" s="44" t="s">
        <v>37</v>
      </c>
      <c r="BF220" s="44" t="s">
        <v>37</v>
      </c>
      <c r="BH220" s="44" t="s">
        <v>37</v>
      </c>
      <c r="BJ220" s="44" t="s">
        <v>37</v>
      </c>
      <c r="BL220" s="44" t="s">
        <v>37</v>
      </c>
      <c r="BN220" s="44" t="s">
        <v>37</v>
      </c>
      <c r="BP220" s="44" t="s">
        <v>37</v>
      </c>
      <c r="BR220" s="44" t="s">
        <v>37</v>
      </c>
      <c r="BT220" s="44" t="s">
        <v>37</v>
      </c>
      <c r="BV220" s="44" t="s">
        <v>37</v>
      </c>
      <c r="BX220" s="44" t="s">
        <v>37</v>
      </c>
      <c r="BZ220" s="44" t="s">
        <v>37</v>
      </c>
      <c r="CB220" s="44" t="s">
        <v>37</v>
      </c>
      <c r="CD220" s="44" t="s">
        <v>37</v>
      </c>
      <c r="CF220" s="44" t="s">
        <v>37</v>
      </c>
      <c r="CH220" s="44" t="s">
        <v>37</v>
      </c>
      <c r="CJ220" s="44" t="s">
        <v>37</v>
      </c>
      <c r="CL220" s="44" t="s">
        <v>37</v>
      </c>
      <c r="CN220" s="44" t="s">
        <v>37</v>
      </c>
      <c r="CP220" s="44" t="s">
        <v>37</v>
      </c>
      <c r="CR220" s="44" t="s">
        <v>37</v>
      </c>
      <c r="CT220" s="44" t="s">
        <v>37</v>
      </c>
      <c r="CV220" s="44" t="s">
        <v>37</v>
      </c>
      <c r="CX220" s="44" t="s">
        <v>37</v>
      </c>
      <c r="CZ220" s="44" t="s">
        <v>37</v>
      </c>
      <c r="DB220" s="44" t="s">
        <v>37</v>
      </c>
      <c r="DD220" s="44" t="s">
        <v>37</v>
      </c>
      <c r="DF220" s="44" t="s">
        <v>37</v>
      </c>
      <c r="DH220" s="44" t="s">
        <v>37</v>
      </c>
      <c r="DJ220" s="44" t="s">
        <v>37</v>
      </c>
      <c r="DL220" s="44" t="s">
        <v>37</v>
      </c>
      <c r="DN220" s="44" t="s">
        <v>37</v>
      </c>
      <c r="DP220" s="44" t="s">
        <v>37</v>
      </c>
      <c r="DR220" s="44" t="s">
        <v>37</v>
      </c>
      <c r="DT220" s="44" t="s">
        <v>37</v>
      </c>
      <c r="DV220" s="44" t="s">
        <v>37</v>
      </c>
      <c r="DX220" s="44" t="s">
        <v>37</v>
      </c>
      <c r="DZ220" s="44" t="s">
        <v>37</v>
      </c>
      <c r="EB220" s="44" t="s">
        <v>37</v>
      </c>
      <c r="ED220" s="44" t="s">
        <v>37</v>
      </c>
      <c r="EF220" s="44" t="s">
        <v>37</v>
      </c>
      <c r="EH220" s="44" t="s">
        <v>37</v>
      </c>
      <c r="EJ220" s="44" t="s">
        <v>37</v>
      </c>
      <c r="EL220" s="44" t="s">
        <v>37</v>
      </c>
      <c r="EN220" s="44" t="s">
        <v>37</v>
      </c>
      <c r="EP220" s="44" t="s">
        <v>37</v>
      </c>
      <c r="ER220" s="44" t="s">
        <v>37</v>
      </c>
      <c r="ET220" s="44" t="s">
        <v>37</v>
      </c>
      <c r="EV220" s="44" t="s">
        <v>37</v>
      </c>
      <c r="EX220" s="44" t="s">
        <v>37</v>
      </c>
      <c r="EZ220" s="44" t="s">
        <v>37</v>
      </c>
      <c r="FB220" s="44" t="s">
        <v>37</v>
      </c>
      <c r="FD220" s="44" t="s">
        <v>37</v>
      </c>
      <c r="FF220" s="44" t="s">
        <v>37</v>
      </c>
      <c r="FH220" s="44" t="s">
        <v>37</v>
      </c>
      <c r="FJ220" s="44" t="s">
        <v>37</v>
      </c>
      <c r="FL220" s="44" t="s">
        <v>37</v>
      </c>
      <c r="FN220" s="44" t="s">
        <v>37</v>
      </c>
      <c r="FP220" s="44" t="s">
        <v>37</v>
      </c>
      <c r="FR220" s="44" t="s">
        <v>37</v>
      </c>
      <c r="FT220" s="44" t="s">
        <v>37</v>
      </c>
      <c r="FV220" s="44" t="s">
        <v>37</v>
      </c>
      <c r="FX220" s="44" t="s">
        <v>37</v>
      </c>
      <c r="FZ220" s="44" t="s">
        <v>37</v>
      </c>
      <c r="GB220" s="44" t="s">
        <v>37</v>
      </c>
      <c r="GD220" s="44" t="s">
        <v>37</v>
      </c>
      <c r="GF220" s="44" t="s">
        <v>37</v>
      </c>
      <c r="GH220" s="44" t="s">
        <v>37</v>
      </c>
      <c r="GJ220" s="44" t="s">
        <v>37</v>
      </c>
      <c r="GL220" s="44" t="s">
        <v>37</v>
      </c>
      <c r="GN220" s="44" t="s">
        <v>37</v>
      </c>
      <c r="GP220" s="44" t="s">
        <v>37</v>
      </c>
      <c r="GR220" s="44" t="s">
        <v>37</v>
      </c>
      <c r="GT220" s="44" t="s">
        <v>37</v>
      </c>
      <c r="GV220" s="44" t="s">
        <v>37</v>
      </c>
      <c r="GX220" s="44" t="s">
        <v>37</v>
      </c>
      <c r="GZ220" s="44" t="s">
        <v>37</v>
      </c>
      <c r="HB220" s="44" t="s">
        <v>37</v>
      </c>
      <c r="HD220" s="44" t="s">
        <v>37</v>
      </c>
      <c r="HF220" s="44" t="s">
        <v>37</v>
      </c>
      <c r="HH220" s="44" t="s">
        <v>37</v>
      </c>
      <c r="HJ220" s="44" t="s">
        <v>37</v>
      </c>
      <c r="HL220" s="44" t="s">
        <v>37</v>
      </c>
    </row>
    <row r="221" spans="1:220">
      <c r="A221" s="150" t="s">
        <v>411</v>
      </c>
      <c r="B221" s="44">
        <v>3991</v>
      </c>
      <c r="C221" s="44" t="s">
        <v>235</v>
      </c>
      <c r="D221" s="44" t="s">
        <v>37</v>
      </c>
      <c r="E221" s="44">
        <v>16333</v>
      </c>
      <c r="F221" s="44" t="s">
        <v>37</v>
      </c>
      <c r="G221" s="44">
        <v>69354</v>
      </c>
      <c r="H221" s="44" t="s">
        <v>37</v>
      </c>
      <c r="I221" s="44">
        <v>7361</v>
      </c>
      <c r="J221" s="44" t="s">
        <v>37</v>
      </c>
      <c r="L221" s="48" t="s">
        <v>37</v>
      </c>
      <c r="M221" s="51">
        <v>19249</v>
      </c>
      <c r="N221" s="48" t="s">
        <v>37</v>
      </c>
      <c r="O221" s="51">
        <v>3245</v>
      </c>
      <c r="P221" s="48" t="s">
        <v>37</v>
      </c>
      <c r="Q221" s="51">
        <v>9244</v>
      </c>
      <c r="R221" s="48" t="s">
        <v>37</v>
      </c>
      <c r="S221" s="51">
        <v>12173</v>
      </c>
      <c r="T221" s="48" t="s">
        <v>37</v>
      </c>
      <c r="U221" s="44">
        <v>56026</v>
      </c>
      <c r="V221" s="44" t="s">
        <v>37</v>
      </c>
      <c r="X221" s="44" t="s">
        <v>37</v>
      </c>
      <c r="Y221" s="44">
        <v>583</v>
      </c>
      <c r="Z221" s="44" t="s">
        <v>37</v>
      </c>
      <c r="AA221" s="44">
        <v>3500</v>
      </c>
      <c r="AB221" s="44" t="s">
        <v>37</v>
      </c>
      <c r="AC221" s="44">
        <v>3299</v>
      </c>
      <c r="AD221" s="44" t="s">
        <v>37</v>
      </c>
      <c r="AE221" s="44">
        <v>590</v>
      </c>
      <c r="AF221" s="44" t="s">
        <v>37</v>
      </c>
      <c r="AG221" s="44">
        <v>5047</v>
      </c>
      <c r="AH221" s="44" t="s">
        <v>37</v>
      </c>
      <c r="AI221" s="44">
        <v>2333</v>
      </c>
      <c r="AJ221" s="44" t="s">
        <v>37</v>
      </c>
      <c r="AL221" s="44" t="s">
        <v>37</v>
      </c>
      <c r="AM221" s="44">
        <v>40249</v>
      </c>
      <c r="AN221" s="44" t="s">
        <v>37</v>
      </c>
      <c r="AP221" s="44" t="s">
        <v>37</v>
      </c>
      <c r="AQ221" s="44">
        <v>51996</v>
      </c>
      <c r="AR221" s="44" t="s">
        <v>37</v>
      </c>
      <c r="AS221" s="44">
        <v>7170</v>
      </c>
      <c r="AT221" s="44" t="s">
        <v>37</v>
      </c>
      <c r="AU221" s="44">
        <v>124240</v>
      </c>
      <c r="AV221" s="44" t="s">
        <v>37</v>
      </c>
      <c r="AW221" s="44">
        <v>31518</v>
      </c>
      <c r="AX221" s="44" t="s">
        <v>37</v>
      </c>
      <c r="AY221" s="44">
        <v>11710</v>
      </c>
      <c r="AZ221" s="44" t="s">
        <v>37</v>
      </c>
      <c r="BA221" s="44">
        <v>8666</v>
      </c>
      <c r="BB221" s="44" t="s">
        <v>37</v>
      </c>
      <c r="BC221" s="44">
        <v>4557</v>
      </c>
      <c r="BD221" s="44" t="s">
        <v>37</v>
      </c>
      <c r="BE221" s="44">
        <v>6212</v>
      </c>
      <c r="BF221" s="44" t="s">
        <v>37</v>
      </c>
      <c r="BG221" s="44">
        <v>1750</v>
      </c>
      <c r="BH221" s="44" t="s">
        <v>37</v>
      </c>
      <c r="BJ221" s="44" t="s">
        <v>37</v>
      </c>
      <c r="BK221" s="44">
        <v>19206</v>
      </c>
      <c r="BL221" s="44" t="s">
        <v>37</v>
      </c>
      <c r="BM221" s="44">
        <v>17702</v>
      </c>
      <c r="BN221" s="44" t="s">
        <v>37</v>
      </c>
      <c r="BP221" s="44" t="s">
        <v>37</v>
      </c>
      <c r="BQ221" s="44">
        <v>1131</v>
      </c>
      <c r="BR221" s="44" t="s">
        <v>37</v>
      </c>
      <c r="BT221" s="44" t="s">
        <v>37</v>
      </c>
      <c r="BU221" s="44">
        <v>5250</v>
      </c>
      <c r="BV221" s="44" t="s">
        <v>37</v>
      </c>
      <c r="BX221" s="44" t="s">
        <v>37</v>
      </c>
      <c r="BY221" s="44">
        <v>96705</v>
      </c>
      <c r="BZ221" s="44" t="s">
        <v>37</v>
      </c>
      <c r="CA221" s="44">
        <v>13763</v>
      </c>
      <c r="CB221" s="44" t="s">
        <v>37</v>
      </c>
      <c r="CC221" s="44">
        <v>583</v>
      </c>
      <c r="CD221" s="44" t="s">
        <v>37</v>
      </c>
      <c r="CE221" s="44">
        <v>5833</v>
      </c>
      <c r="CF221" s="44" t="s">
        <v>37</v>
      </c>
      <c r="CG221" s="44">
        <v>26886</v>
      </c>
      <c r="CH221" s="44" t="s">
        <v>37</v>
      </c>
      <c r="CI221" s="44">
        <v>33691</v>
      </c>
      <c r="CJ221" s="44" t="s">
        <v>37</v>
      </c>
      <c r="CK221" s="44">
        <v>1750</v>
      </c>
      <c r="CL221" s="44" t="s">
        <v>37</v>
      </c>
      <c r="CM221" s="44">
        <v>18713</v>
      </c>
      <c r="CN221" s="44" t="s">
        <v>37</v>
      </c>
      <c r="CO221" s="44">
        <v>4667</v>
      </c>
      <c r="CP221" s="44" t="s">
        <v>37</v>
      </c>
      <c r="CQ221" s="44">
        <v>1167</v>
      </c>
      <c r="CR221" s="44" t="s">
        <v>37</v>
      </c>
      <c r="CS221" s="44">
        <v>24273</v>
      </c>
      <c r="CT221" s="44" t="s">
        <v>37</v>
      </c>
      <c r="CU221" s="44">
        <v>243801</v>
      </c>
      <c r="CV221" s="44" t="s">
        <v>37</v>
      </c>
      <c r="CW221" s="44">
        <v>24178</v>
      </c>
      <c r="CX221" s="44" t="s">
        <v>37</v>
      </c>
      <c r="CY221" s="44">
        <v>4816</v>
      </c>
      <c r="CZ221" s="44" t="s">
        <v>37</v>
      </c>
      <c r="DB221" s="44" t="s">
        <v>37</v>
      </c>
      <c r="DC221" s="44">
        <v>583</v>
      </c>
      <c r="DD221" s="44" t="s">
        <v>37</v>
      </c>
      <c r="DE221" s="44">
        <v>10870</v>
      </c>
      <c r="DF221" s="44" t="s">
        <v>37</v>
      </c>
      <c r="DG221" s="44">
        <v>9484</v>
      </c>
      <c r="DH221" s="44" t="s">
        <v>37</v>
      </c>
      <c r="DI221" s="44">
        <v>86672</v>
      </c>
      <c r="DJ221" s="44" t="s">
        <v>37</v>
      </c>
      <c r="DK221" s="44">
        <v>8305</v>
      </c>
      <c r="DL221" s="44" t="s">
        <v>37</v>
      </c>
      <c r="DM221" s="44">
        <v>23511</v>
      </c>
      <c r="DN221" s="44" t="s">
        <v>37</v>
      </c>
      <c r="DO221" s="44">
        <v>29841</v>
      </c>
      <c r="DP221" s="44" t="s">
        <v>37</v>
      </c>
      <c r="DQ221" s="44">
        <v>18075</v>
      </c>
      <c r="DR221" s="44" t="s">
        <v>37</v>
      </c>
      <c r="DS221" s="44">
        <v>23558</v>
      </c>
      <c r="DT221" s="44" t="s">
        <v>37</v>
      </c>
      <c r="DU221" s="44">
        <v>11619</v>
      </c>
      <c r="DV221" s="44" t="s">
        <v>37</v>
      </c>
      <c r="DW221" s="44">
        <v>50302</v>
      </c>
      <c r="DX221" s="44" t="s">
        <v>37</v>
      </c>
      <c r="DY221" s="44">
        <v>33832</v>
      </c>
      <c r="DZ221" s="44" t="s">
        <v>37</v>
      </c>
      <c r="EA221" s="44">
        <v>2333</v>
      </c>
      <c r="EB221" s="44" t="s">
        <v>37</v>
      </c>
      <c r="EC221" s="44">
        <v>11070</v>
      </c>
      <c r="ED221" s="44" t="s">
        <v>37</v>
      </c>
      <c r="EE221" s="44">
        <v>34052</v>
      </c>
      <c r="EF221" s="44" t="s">
        <v>37</v>
      </c>
      <c r="EG221" s="44">
        <v>3596</v>
      </c>
      <c r="EH221" s="44" t="s">
        <v>37</v>
      </c>
      <c r="EJ221" s="44" t="s">
        <v>37</v>
      </c>
      <c r="EK221" s="44">
        <v>7513</v>
      </c>
      <c r="EL221" s="44" t="s">
        <v>37</v>
      </c>
      <c r="EM221" s="44">
        <v>1112</v>
      </c>
      <c r="EN221" s="44" t="s">
        <v>37</v>
      </c>
      <c r="EO221" s="44">
        <v>4083</v>
      </c>
      <c r="EP221" s="44" t="s">
        <v>37</v>
      </c>
      <c r="ER221" s="44" t="s">
        <v>37</v>
      </c>
      <c r="ES221" s="44">
        <v>2916</v>
      </c>
      <c r="ET221" s="44" t="s">
        <v>37</v>
      </c>
      <c r="EU221" s="44">
        <v>9872</v>
      </c>
      <c r="EV221" s="44" t="s">
        <v>37</v>
      </c>
      <c r="EW221" s="44">
        <v>27614</v>
      </c>
      <c r="EX221" s="44" t="s">
        <v>37</v>
      </c>
      <c r="EZ221" s="44" t="s">
        <v>37</v>
      </c>
      <c r="FA221" s="44">
        <v>11083</v>
      </c>
      <c r="FB221" s="44" t="s">
        <v>37</v>
      </c>
      <c r="FC221" s="44">
        <v>5443</v>
      </c>
      <c r="FD221" s="44" t="s">
        <v>37</v>
      </c>
      <c r="FE221" s="44">
        <v>27161</v>
      </c>
      <c r="FF221" s="44" t="s">
        <v>37</v>
      </c>
      <c r="FH221" s="44" t="s">
        <v>37</v>
      </c>
      <c r="FI221" s="44">
        <v>47917</v>
      </c>
      <c r="FJ221" s="44" t="s">
        <v>37</v>
      </c>
      <c r="FK221" s="44">
        <v>79331</v>
      </c>
      <c r="FL221" s="44" t="s">
        <v>37</v>
      </c>
      <c r="FM221" s="44">
        <v>83534</v>
      </c>
      <c r="FN221" s="44" t="s">
        <v>37</v>
      </c>
      <c r="FO221" s="44">
        <v>11083</v>
      </c>
      <c r="FP221" s="44" t="s">
        <v>37</v>
      </c>
      <c r="FQ221" s="44">
        <v>10346</v>
      </c>
      <c r="FR221" s="44" t="s">
        <v>37</v>
      </c>
      <c r="FS221" s="44">
        <v>17304</v>
      </c>
      <c r="FT221" s="44" t="s">
        <v>37</v>
      </c>
      <c r="FU221" s="44">
        <v>8166</v>
      </c>
      <c r="FV221" s="44" t="s">
        <v>37</v>
      </c>
      <c r="FW221" s="44">
        <v>5083</v>
      </c>
      <c r="FX221" s="44" t="s">
        <v>37</v>
      </c>
      <c r="FY221" s="44">
        <v>16916</v>
      </c>
      <c r="FZ221" s="44" t="s">
        <v>37</v>
      </c>
      <c r="GA221" s="44">
        <v>29457</v>
      </c>
      <c r="GB221" s="44" t="s">
        <v>37</v>
      </c>
      <c r="GC221" s="44">
        <v>9731</v>
      </c>
      <c r="GD221" s="44" t="s">
        <v>37</v>
      </c>
      <c r="GF221" s="44" t="s">
        <v>37</v>
      </c>
      <c r="GH221" s="44" t="s">
        <v>37</v>
      </c>
      <c r="GJ221" s="44" t="s">
        <v>37</v>
      </c>
      <c r="GK221" s="44">
        <v>36627</v>
      </c>
      <c r="GL221" s="44" t="s">
        <v>37</v>
      </c>
      <c r="GM221" s="44">
        <v>45242</v>
      </c>
      <c r="GN221" s="44" t="s">
        <v>37</v>
      </c>
      <c r="GP221" s="44" t="s">
        <v>37</v>
      </c>
      <c r="GQ221" s="44">
        <v>16611</v>
      </c>
      <c r="GR221" s="44" t="s">
        <v>37</v>
      </c>
      <c r="GS221" s="44">
        <v>22166</v>
      </c>
      <c r="GT221" s="44" t="s">
        <v>37</v>
      </c>
      <c r="GU221" s="44">
        <v>9916</v>
      </c>
      <c r="GV221" s="44" t="s">
        <v>37</v>
      </c>
      <c r="GW221" s="44">
        <v>14583</v>
      </c>
      <c r="GX221" s="44" t="s">
        <v>37</v>
      </c>
      <c r="GY221" s="44">
        <v>32666</v>
      </c>
      <c r="GZ221" s="44" t="s">
        <v>37</v>
      </c>
      <c r="HA221" s="44">
        <v>18666</v>
      </c>
      <c r="HB221" s="44" t="s">
        <v>37</v>
      </c>
      <c r="HC221" s="44">
        <v>1750</v>
      </c>
      <c r="HD221" s="44" t="s">
        <v>37</v>
      </c>
      <c r="HF221" s="44" t="s">
        <v>37</v>
      </c>
      <c r="HG221" s="44">
        <v>2010365</v>
      </c>
      <c r="HH221" s="44" t="s">
        <v>37</v>
      </c>
      <c r="HI221" s="44">
        <v>1750</v>
      </c>
      <c r="HJ221" s="44" t="s">
        <v>37</v>
      </c>
      <c r="HK221" s="44">
        <v>2012115</v>
      </c>
      <c r="HL221" s="44" t="s">
        <v>37</v>
      </c>
    </row>
    <row r="222" spans="1:220">
      <c r="A222" s="150" t="s">
        <v>411</v>
      </c>
      <c r="B222" s="44">
        <v>3992</v>
      </c>
      <c r="C222" s="44" t="s">
        <v>236</v>
      </c>
      <c r="D222" s="44" t="s">
        <v>37</v>
      </c>
      <c r="F222" s="44" t="s">
        <v>37</v>
      </c>
      <c r="H222" s="44" t="s">
        <v>37</v>
      </c>
      <c r="J222" s="44" t="s">
        <v>37</v>
      </c>
      <c r="L222" s="48" t="s">
        <v>37</v>
      </c>
      <c r="M222" s="50"/>
      <c r="N222" s="48" t="s">
        <v>37</v>
      </c>
      <c r="O222" s="50"/>
      <c r="P222" s="48" t="s">
        <v>37</v>
      </c>
      <c r="Q222" s="50"/>
      <c r="R222" s="48" t="s">
        <v>37</v>
      </c>
      <c r="S222" s="50"/>
      <c r="T222" s="48" t="s">
        <v>37</v>
      </c>
      <c r="V222" s="44" t="s">
        <v>37</v>
      </c>
      <c r="X222" s="44" t="s">
        <v>37</v>
      </c>
      <c r="Z222" s="44" t="s">
        <v>37</v>
      </c>
      <c r="AB222" s="44" t="s">
        <v>37</v>
      </c>
      <c r="AD222" s="44" t="s">
        <v>37</v>
      </c>
      <c r="AF222" s="44" t="s">
        <v>37</v>
      </c>
      <c r="AH222" s="44" t="s">
        <v>37</v>
      </c>
      <c r="AJ222" s="44" t="s">
        <v>37</v>
      </c>
      <c r="AL222" s="44" t="s">
        <v>37</v>
      </c>
      <c r="AN222" s="44" t="s">
        <v>37</v>
      </c>
      <c r="AP222" s="44" t="s">
        <v>37</v>
      </c>
      <c r="AR222" s="44" t="s">
        <v>37</v>
      </c>
      <c r="AT222" s="44" t="s">
        <v>37</v>
      </c>
      <c r="AV222" s="44" t="s">
        <v>37</v>
      </c>
      <c r="AX222" s="44" t="s">
        <v>37</v>
      </c>
      <c r="AZ222" s="44" t="s">
        <v>37</v>
      </c>
      <c r="BA222" s="44">
        <v>338667</v>
      </c>
      <c r="BB222" s="44" t="s">
        <v>37</v>
      </c>
      <c r="BD222" s="44" t="s">
        <v>37</v>
      </c>
      <c r="BF222" s="44" t="s">
        <v>37</v>
      </c>
      <c r="BH222" s="44" t="s">
        <v>37</v>
      </c>
      <c r="BJ222" s="44" t="s">
        <v>37</v>
      </c>
      <c r="BL222" s="44" t="s">
        <v>37</v>
      </c>
      <c r="BM222" s="44">
        <v>7454</v>
      </c>
      <c r="BN222" s="44" t="s">
        <v>37</v>
      </c>
      <c r="BP222" s="44" t="s">
        <v>37</v>
      </c>
      <c r="BR222" s="44" t="s">
        <v>37</v>
      </c>
      <c r="BT222" s="44" t="s">
        <v>37</v>
      </c>
      <c r="BV222" s="44" t="s">
        <v>37</v>
      </c>
      <c r="BX222" s="44" t="s">
        <v>37</v>
      </c>
      <c r="BZ222" s="44" t="s">
        <v>37</v>
      </c>
      <c r="CB222" s="44" t="s">
        <v>37</v>
      </c>
      <c r="CD222" s="44" t="s">
        <v>37</v>
      </c>
      <c r="CF222" s="44" t="s">
        <v>37</v>
      </c>
      <c r="CH222" s="44" t="s">
        <v>37</v>
      </c>
      <c r="CJ222" s="44" t="s">
        <v>37</v>
      </c>
      <c r="CL222" s="44" t="s">
        <v>37</v>
      </c>
      <c r="CN222" s="44" t="s">
        <v>37</v>
      </c>
      <c r="CP222" s="44" t="s">
        <v>37</v>
      </c>
      <c r="CR222" s="44" t="s">
        <v>37</v>
      </c>
      <c r="CT222" s="44" t="s">
        <v>37</v>
      </c>
      <c r="CV222" s="44" t="s">
        <v>37</v>
      </c>
      <c r="CX222" s="44" t="s">
        <v>37</v>
      </c>
      <c r="CZ222" s="44" t="s">
        <v>37</v>
      </c>
      <c r="DB222" s="44" t="s">
        <v>37</v>
      </c>
      <c r="DD222" s="44" t="s">
        <v>37</v>
      </c>
      <c r="DF222" s="44" t="s">
        <v>37</v>
      </c>
      <c r="DH222" s="44" t="s">
        <v>37</v>
      </c>
      <c r="DJ222" s="44" t="s">
        <v>37</v>
      </c>
      <c r="DL222" s="44" t="s">
        <v>37</v>
      </c>
      <c r="DN222" s="44" t="s">
        <v>37</v>
      </c>
      <c r="DP222" s="44" t="s">
        <v>37</v>
      </c>
      <c r="DR222" s="44" t="s">
        <v>37</v>
      </c>
      <c r="DT222" s="44" t="s">
        <v>37</v>
      </c>
      <c r="DV222" s="44" t="s">
        <v>37</v>
      </c>
      <c r="DX222" s="44" t="s">
        <v>37</v>
      </c>
      <c r="DZ222" s="44" t="s">
        <v>37</v>
      </c>
      <c r="EB222" s="44" t="s">
        <v>37</v>
      </c>
      <c r="ED222" s="44" t="s">
        <v>37</v>
      </c>
      <c r="EE222" s="44">
        <v>11162</v>
      </c>
      <c r="EF222" s="44" t="s">
        <v>37</v>
      </c>
      <c r="EH222" s="44" t="s">
        <v>37</v>
      </c>
      <c r="EJ222" s="44" t="s">
        <v>37</v>
      </c>
      <c r="EL222" s="44" t="s">
        <v>37</v>
      </c>
      <c r="EN222" s="44" t="s">
        <v>37</v>
      </c>
      <c r="EP222" s="44" t="s">
        <v>37</v>
      </c>
      <c r="ER222" s="44" t="s">
        <v>37</v>
      </c>
      <c r="ES222" s="44">
        <v>91</v>
      </c>
      <c r="ET222" s="44" t="s">
        <v>37</v>
      </c>
      <c r="EV222" s="44" t="s">
        <v>37</v>
      </c>
      <c r="EX222" s="44" t="s">
        <v>37</v>
      </c>
      <c r="EZ222" s="44" t="s">
        <v>37</v>
      </c>
      <c r="FB222" s="44" t="s">
        <v>37</v>
      </c>
      <c r="FD222" s="44" t="s">
        <v>37</v>
      </c>
      <c r="FF222" s="44" t="s">
        <v>37</v>
      </c>
      <c r="FH222" s="44" t="s">
        <v>37</v>
      </c>
      <c r="FJ222" s="44" t="s">
        <v>37</v>
      </c>
      <c r="FL222" s="44" t="s">
        <v>37</v>
      </c>
      <c r="FN222" s="44" t="s">
        <v>37</v>
      </c>
      <c r="FP222" s="44" t="s">
        <v>37</v>
      </c>
      <c r="FR222" s="44" t="s">
        <v>37</v>
      </c>
      <c r="FT222" s="44" t="s">
        <v>37</v>
      </c>
      <c r="FV222" s="44" t="s">
        <v>37</v>
      </c>
      <c r="FX222" s="44" t="s">
        <v>37</v>
      </c>
      <c r="FZ222" s="44" t="s">
        <v>37</v>
      </c>
      <c r="GB222" s="44" t="s">
        <v>37</v>
      </c>
      <c r="GD222" s="44" t="s">
        <v>37</v>
      </c>
      <c r="GF222" s="44" t="s">
        <v>37</v>
      </c>
      <c r="GH222" s="44" t="s">
        <v>37</v>
      </c>
      <c r="GJ222" s="44" t="s">
        <v>37</v>
      </c>
      <c r="GK222" s="44">
        <v>247309</v>
      </c>
      <c r="GL222" s="44" t="s">
        <v>37</v>
      </c>
      <c r="GN222" s="44" t="s">
        <v>37</v>
      </c>
      <c r="GP222" s="44" t="s">
        <v>37</v>
      </c>
      <c r="GR222" s="44" t="s">
        <v>37</v>
      </c>
      <c r="GS222" s="44">
        <v>7628</v>
      </c>
      <c r="GT222" s="44" t="s">
        <v>37</v>
      </c>
      <c r="GV222" s="44" t="s">
        <v>37</v>
      </c>
      <c r="GX222" s="44" t="s">
        <v>37</v>
      </c>
      <c r="GZ222" s="44" t="s">
        <v>37</v>
      </c>
      <c r="HB222" s="44" t="s">
        <v>37</v>
      </c>
      <c r="HD222" s="44" t="s">
        <v>37</v>
      </c>
      <c r="HF222" s="44" t="s">
        <v>37</v>
      </c>
      <c r="HG222" s="44">
        <v>612311</v>
      </c>
      <c r="HH222" s="44" t="s">
        <v>37</v>
      </c>
      <c r="HJ222" s="44" t="s">
        <v>37</v>
      </c>
      <c r="HK222" s="44">
        <v>612311</v>
      </c>
      <c r="HL222" s="44" t="s">
        <v>37</v>
      </c>
    </row>
    <row r="223" spans="1:220">
      <c r="A223" s="150" t="s">
        <v>411</v>
      </c>
      <c r="B223" s="44">
        <v>3999</v>
      </c>
      <c r="C223" s="44" t="s">
        <v>237</v>
      </c>
      <c r="D223" s="44" t="s">
        <v>37</v>
      </c>
      <c r="E223" s="44">
        <v>52627</v>
      </c>
      <c r="F223" s="44" t="s">
        <v>37</v>
      </c>
      <c r="G223" s="44">
        <v>827606</v>
      </c>
      <c r="H223" s="44" t="s">
        <v>37</v>
      </c>
      <c r="I223" s="44">
        <v>43708</v>
      </c>
      <c r="J223" s="44" t="s">
        <v>37</v>
      </c>
      <c r="L223" s="48" t="s">
        <v>37</v>
      </c>
      <c r="M223" s="51">
        <v>75640</v>
      </c>
      <c r="N223" s="48" t="s">
        <v>37</v>
      </c>
      <c r="O223" s="51">
        <v>74688</v>
      </c>
      <c r="P223" s="48" t="s">
        <v>37</v>
      </c>
      <c r="Q223" s="50"/>
      <c r="R223" s="48" t="s">
        <v>37</v>
      </c>
      <c r="S223" s="51">
        <v>71152</v>
      </c>
      <c r="T223" s="48" t="s">
        <v>37</v>
      </c>
      <c r="V223" s="44" t="s">
        <v>37</v>
      </c>
      <c r="X223" s="44" t="s">
        <v>37</v>
      </c>
      <c r="Z223" s="44" t="s">
        <v>37</v>
      </c>
      <c r="AB223" s="44" t="s">
        <v>37</v>
      </c>
      <c r="AC223" s="44">
        <v>15012</v>
      </c>
      <c r="AD223" s="44" t="s">
        <v>37</v>
      </c>
      <c r="AE223" s="44">
        <v>250000</v>
      </c>
      <c r="AF223" s="44" t="s">
        <v>37</v>
      </c>
      <c r="AG223" s="44">
        <v>250000</v>
      </c>
      <c r="AH223" s="44" t="s">
        <v>37</v>
      </c>
      <c r="AI223" s="44">
        <v>1175450</v>
      </c>
      <c r="AJ223" s="44" t="s">
        <v>37</v>
      </c>
      <c r="AL223" s="44" t="s">
        <v>37</v>
      </c>
      <c r="AM223" s="44">
        <v>34563</v>
      </c>
      <c r="AN223" s="44" t="s">
        <v>37</v>
      </c>
      <c r="AP223" s="44" t="s">
        <v>37</v>
      </c>
      <c r="AQ223" s="44">
        <v>18735</v>
      </c>
      <c r="AR223" s="44" t="s">
        <v>37</v>
      </c>
      <c r="AS223" s="44">
        <v>9447</v>
      </c>
      <c r="AT223" s="44" t="s">
        <v>37</v>
      </c>
      <c r="AU223" s="44">
        <v>439782</v>
      </c>
      <c r="AV223" s="44" t="s">
        <v>37</v>
      </c>
      <c r="AW223" s="44">
        <v>90105</v>
      </c>
      <c r="AX223" s="44" t="s">
        <v>37</v>
      </c>
      <c r="AZ223" s="44" t="s">
        <v>37</v>
      </c>
      <c r="BA223" s="44">
        <v>2000</v>
      </c>
      <c r="BB223" s="44" t="s">
        <v>37</v>
      </c>
      <c r="BC223" s="44">
        <v>3074</v>
      </c>
      <c r="BD223" s="44" t="s">
        <v>37</v>
      </c>
      <c r="BE223" s="44">
        <v>18698</v>
      </c>
      <c r="BF223" s="44" t="s">
        <v>37</v>
      </c>
      <c r="BH223" s="44" t="s">
        <v>37</v>
      </c>
      <c r="BJ223" s="44" t="s">
        <v>37</v>
      </c>
      <c r="BK223" s="44">
        <v>137886</v>
      </c>
      <c r="BL223" s="44" t="s">
        <v>37</v>
      </c>
      <c r="BM223" s="44">
        <v>60</v>
      </c>
      <c r="BN223" s="44" t="s">
        <v>37</v>
      </c>
      <c r="BP223" s="44" t="s">
        <v>37</v>
      </c>
      <c r="BQ223" s="44">
        <v>1319</v>
      </c>
      <c r="BR223" s="44" t="s">
        <v>37</v>
      </c>
      <c r="BS223" s="44">
        <v>16761</v>
      </c>
      <c r="BT223" s="44" t="s">
        <v>37</v>
      </c>
      <c r="BV223" s="44" t="s">
        <v>37</v>
      </c>
      <c r="BX223" s="44" t="s">
        <v>37</v>
      </c>
      <c r="BY223" s="44">
        <v>2660</v>
      </c>
      <c r="BZ223" s="44" t="s">
        <v>37</v>
      </c>
      <c r="CA223" s="44">
        <v>48736</v>
      </c>
      <c r="CB223" s="44" t="s">
        <v>37</v>
      </c>
      <c r="CD223" s="44" t="s">
        <v>37</v>
      </c>
      <c r="CF223" s="44" t="s">
        <v>37</v>
      </c>
      <c r="CH223" s="44" t="s">
        <v>37</v>
      </c>
      <c r="CI223" s="44">
        <v>143700</v>
      </c>
      <c r="CJ223" s="44" t="s">
        <v>37</v>
      </c>
      <c r="CL223" s="44" t="s">
        <v>37</v>
      </c>
      <c r="CM223" s="44">
        <v>53878</v>
      </c>
      <c r="CN223" s="44" t="s">
        <v>37</v>
      </c>
      <c r="CP223" s="44" t="s">
        <v>37</v>
      </c>
      <c r="CR223" s="44" t="s">
        <v>37</v>
      </c>
      <c r="CS223" s="44">
        <v>1837</v>
      </c>
      <c r="CT223" s="44" t="s">
        <v>37</v>
      </c>
      <c r="CU223" s="44">
        <v>903207</v>
      </c>
      <c r="CV223" s="44" t="s">
        <v>37</v>
      </c>
      <c r="CW223" s="44">
        <v>34750</v>
      </c>
      <c r="CX223" s="44" t="s">
        <v>37</v>
      </c>
      <c r="CZ223" s="44" t="s">
        <v>37</v>
      </c>
      <c r="DB223" s="44" t="s">
        <v>37</v>
      </c>
      <c r="DD223" s="44" t="s">
        <v>37</v>
      </c>
      <c r="DE223" s="44">
        <v>6768</v>
      </c>
      <c r="DF223" s="44" t="s">
        <v>37</v>
      </c>
      <c r="DH223" s="44" t="s">
        <v>37</v>
      </c>
      <c r="DI223" s="44">
        <v>447205</v>
      </c>
      <c r="DJ223" s="44" t="s">
        <v>37</v>
      </c>
      <c r="DK223" s="44">
        <v>57566</v>
      </c>
      <c r="DL223" s="44" t="s">
        <v>37</v>
      </c>
      <c r="DM223" s="44">
        <v>99509</v>
      </c>
      <c r="DN223" s="44" t="s">
        <v>37</v>
      </c>
      <c r="DO223" s="44">
        <v>104587</v>
      </c>
      <c r="DP223" s="44" t="s">
        <v>37</v>
      </c>
      <c r="DQ223" s="44">
        <v>5235</v>
      </c>
      <c r="DR223" s="44" t="s">
        <v>37</v>
      </c>
      <c r="DT223" s="44" t="s">
        <v>37</v>
      </c>
      <c r="DU223" s="44">
        <v>88</v>
      </c>
      <c r="DV223" s="44" t="s">
        <v>37</v>
      </c>
      <c r="DW223" s="44">
        <v>28279</v>
      </c>
      <c r="DX223" s="44" t="s">
        <v>37</v>
      </c>
      <c r="DY223" s="44">
        <v>112286</v>
      </c>
      <c r="DZ223" s="44" t="s">
        <v>37</v>
      </c>
      <c r="EA223" s="44">
        <v>2000</v>
      </c>
      <c r="EB223" s="44" t="s">
        <v>37</v>
      </c>
      <c r="ED223" s="44" t="s">
        <v>37</v>
      </c>
      <c r="EE223" s="44">
        <v>187067</v>
      </c>
      <c r="EF223" s="44" t="s">
        <v>37</v>
      </c>
      <c r="EG223" s="44">
        <v>4452</v>
      </c>
      <c r="EH223" s="44" t="s">
        <v>37</v>
      </c>
      <c r="EI223" s="44">
        <v>7557</v>
      </c>
      <c r="EJ223" s="44" t="s">
        <v>37</v>
      </c>
      <c r="EL223" s="44" t="s">
        <v>37</v>
      </c>
      <c r="EN223" s="44" t="s">
        <v>37</v>
      </c>
      <c r="EP223" s="44" t="s">
        <v>37</v>
      </c>
      <c r="EQ223" s="44">
        <v>39403</v>
      </c>
      <c r="ER223" s="44" t="s">
        <v>37</v>
      </c>
      <c r="ES223" s="44">
        <v>5667</v>
      </c>
      <c r="ET223" s="44" t="s">
        <v>37</v>
      </c>
      <c r="EV223" s="44" t="s">
        <v>37</v>
      </c>
      <c r="EW223" s="44">
        <v>4706</v>
      </c>
      <c r="EX223" s="44" t="s">
        <v>37</v>
      </c>
      <c r="EZ223" s="44" t="s">
        <v>37</v>
      </c>
      <c r="FB223" s="44" t="s">
        <v>37</v>
      </c>
      <c r="FC223" s="44">
        <v>1858</v>
      </c>
      <c r="FD223" s="44" t="s">
        <v>37</v>
      </c>
      <c r="FE223" s="44">
        <v>692406</v>
      </c>
      <c r="FF223" s="44" t="s">
        <v>37</v>
      </c>
      <c r="FH223" s="44" t="s">
        <v>37</v>
      </c>
      <c r="FJ223" s="44" t="s">
        <v>37</v>
      </c>
      <c r="FL223" s="44" t="s">
        <v>37</v>
      </c>
      <c r="FM223" s="44">
        <v>100822</v>
      </c>
      <c r="FN223" s="44" t="s">
        <v>37</v>
      </c>
      <c r="FP223" s="44" t="s">
        <v>37</v>
      </c>
      <c r="FR223" s="44" t="s">
        <v>37</v>
      </c>
      <c r="FT223" s="44" t="s">
        <v>37</v>
      </c>
      <c r="FV223" s="44" t="s">
        <v>37</v>
      </c>
      <c r="FW223" s="44">
        <v>9225</v>
      </c>
      <c r="FX223" s="44" t="s">
        <v>37</v>
      </c>
      <c r="FZ223" s="44" t="s">
        <v>37</v>
      </c>
      <c r="GB223" s="44" t="s">
        <v>37</v>
      </c>
      <c r="GC223" s="44">
        <v>6244</v>
      </c>
      <c r="GD223" s="44" t="s">
        <v>37</v>
      </c>
      <c r="GF223" s="44" t="s">
        <v>37</v>
      </c>
      <c r="GH223" s="44" t="s">
        <v>37</v>
      </c>
      <c r="GJ223" s="44" t="s">
        <v>37</v>
      </c>
      <c r="GK223" s="44">
        <v>13872</v>
      </c>
      <c r="GL223" s="44" t="s">
        <v>37</v>
      </c>
      <c r="GM223" s="44">
        <v>1700</v>
      </c>
      <c r="GN223" s="44" t="s">
        <v>37</v>
      </c>
      <c r="GP223" s="44" t="s">
        <v>37</v>
      </c>
      <c r="GQ223" s="44">
        <v>21024</v>
      </c>
      <c r="GR223" s="44" t="s">
        <v>37</v>
      </c>
      <c r="GS223" s="44">
        <v>11393</v>
      </c>
      <c r="GT223" s="44" t="s">
        <v>37</v>
      </c>
      <c r="GU223" s="44">
        <v>23236</v>
      </c>
      <c r="GV223" s="44" t="s">
        <v>37</v>
      </c>
      <c r="GW223" s="44">
        <v>55003</v>
      </c>
      <c r="GX223" s="44" t="s">
        <v>37</v>
      </c>
      <c r="GY223" s="44">
        <v>2250</v>
      </c>
      <c r="GZ223" s="44" t="s">
        <v>37</v>
      </c>
      <c r="HA223" s="44">
        <v>3714</v>
      </c>
      <c r="HB223" s="44" t="s">
        <v>37</v>
      </c>
      <c r="HC223" s="44">
        <v>464256</v>
      </c>
      <c r="HD223" s="44" t="s">
        <v>37</v>
      </c>
      <c r="HF223" s="44" t="s">
        <v>37</v>
      </c>
      <c r="HG223" s="44">
        <v>6852203</v>
      </c>
      <c r="HH223" s="44" t="s">
        <v>37</v>
      </c>
      <c r="HI223" s="44">
        <v>464256</v>
      </c>
      <c r="HJ223" s="44" t="s">
        <v>37</v>
      </c>
      <c r="HK223" s="44">
        <v>7316459</v>
      </c>
      <c r="HL223" s="44" t="s">
        <v>37</v>
      </c>
    </row>
    <row r="224" spans="1:220">
      <c r="A224" s="150" t="s">
        <v>408</v>
      </c>
      <c r="B224" s="54"/>
      <c r="D224" s="44" t="s">
        <v>37</v>
      </c>
      <c r="F224" s="44" t="s">
        <v>37</v>
      </c>
      <c r="H224" s="44" t="s">
        <v>37</v>
      </c>
      <c r="J224" s="44" t="s">
        <v>37</v>
      </c>
      <c r="L224" s="48" t="s">
        <v>37</v>
      </c>
      <c r="M224" s="51"/>
      <c r="N224" s="48" t="s">
        <v>37</v>
      </c>
      <c r="O224" s="51"/>
      <c r="P224" s="48" t="s">
        <v>37</v>
      </c>
      <c r="Q224" s="50"/>
      <c r="R224" s="48" t="s">
        <v>37</v>
      </c>
      <c r="S224" s="51"/>
      <c r="T224" s="48" t="s">
        <v>37</v>
      </c>
      <c r="V224" s="44" t="s">
        <v>37</v>
      </c>
      <c r="X224" s="44" t="s">
        <v>37</v>
      </c>
      <c r="Z224" s="44" t="s">
        <v>37</v>
      </c>
      <c r="AB224" s="44" t="s">
        <v>37</v>
      </c>
      <c r="AD224" s="44" t="s">
        <v>37</v>
      </c>
      <c r="AF224" s="44" t="s">
        <v>37</v>
      </c>
      <c r="AH224" s="44" t="s">
        <v>37</v>
      </c>
      <c r="AJ224" s="44" t="s">
        <v>37</v>
      </c>
      <c r="AL224" s="44" t="s">
        <v>37</v>
      </c>
      <c r="AN224" s="44" t="s">
        <v>37</v>
      </c>
      <c r="AP224" s="44" t="s">
        <v>37</v>
      </c>
      <c r="AR224" s="44" t="s">
        <v>37</v>
      </c>
      <c r="AT224" s="44" t="s">
        <v>37</v>
      </c>
      <c r="AV224" s="44" t="s">
        <v>37</v>
      </c>
      <c r="AX224" s="44" t="s">
        <v>37</v>
      </c>
      <c r="AZ224" s="44" t="s">
        <v>37</v>
      </c>
      <c r="BB224" s="44" t="s">
        <v>37</v>
      </c>
      <c r="BD224" s="44" t="s">
        <v>37</v>
      </c>
      <c r="BF224" s="44" t="s">
        <v>37</v>
      </c>
      <c r="BH224" s="44" t="s">
        <v>37</v>
      </c>
      <c r="BJ224" s="44" t="s">
        <v>37</v>
      </c>
      <c r="BL224" s="44" t="s">
        <v>37</v>
      </c>
      <c r="BN224" s="44" t="s">
        <v>37</v>
      </c>
      <c r="BP224" s="44" t="s">
        <v>37</v>
      </c>
      <c r="BR224" s="44" t="s">
        <v>37</v>
      </c>
      <c r="BT224" s="44" t="s">
        <v>37</v>
      </c>
      <c r="BV224" s="44" t="s">
        <v>37</v>
      </c>
      <c r="BX224" s="44" t="s">
        <v>37</v>
      </c>
      <c r="BZ224" s="44" t="s">
        <v>37</v>
      </c>
      <c r="CB224" s="44" t="s">
        <v>37</v>
      </c>
      <c r="CD224" s="44" t="s">
        <v>37</v>
      </c>
      <c r="CF224" s="44" t="s">
        <v>37</v>
      </c>
      <c r="CH224" s="44" t="s">
        <v>37</v>
      </c>
      <c r="CJ224" s="44" t="s">
        <v>37</v>
      </c>
      <c r="CL224" s="44" t="s">
        <v>37</v>
      </c>
      <c r="CN224" s="44" t="s">
        <v>37</v>
      </c>
      <c r="CP224" s="44" t="s">
        <v>37</v>
      </c>
      <c r="CR224" s="44" t="s">
        <v>37</v>
      </c>
      <c r="CT224" s="44" t="s">
        <v>37</v>
      </c>
      <c r="CV224" s="44" t="s">
        <v>37</v>
      </c>
      <c r="CX224" s="44" t="s">
        <v>37</v>
      </c>
      <c r="CZ224" s="44" t="s">
        <v>37</v>
      </c>
      <c r="DB224" s="44" t="s">
        <v>37</v>
      </c>
      <c r="DD224" s="44" t="s">
        <v>37</v>
      </c>
      <c r="DF224" s="44" t="s">
        <v>37</v>
      </c>
      <c r="DH224" s="44" t="s">
        <v>37</v>
      </c>
      <c r="DJ224" s="44" t="s">
        <v>37</v>
      </c>
      <c r="DL224" s="44" t="s">
        <v>37</v>
      </c>
      <c r="DN224" s="44" t="s">
        <v>37</v>
      </c>
      <c r="DP224" s="44" t="s">
        <v>37</v>
      </c>
      <c r="DR224" s="44" t="s">
        <v>37</v>
      </c>
      <c r="DT224" s="44" t="s">
        <v>37</v>
      </c>
      <c r="DV224" s="44" t="s">
        <v>37</v>
      </c>
      <c r="DX224" s="44" t="s">
        <v>37</v>
      </c>
      <c r="DZ224" s="44" t="s">
        <v>37</v>
      </c>
      <c r="EB224" s="44" t="s">
        <v>37</v>
      </c>
      <c r="ED224" s="44" t="s">
        <v>37</v>
      </c>
      <c r="EF224" s="44" t="s">
        <v>37</v>
      </c>
      <c r="EH224" s="44" t="s">
        <v>37</v>
      </c>
      <c r="EJ224" s="44" t="s">
        <v>37</v>
      </c>
      <c r="EL224" s="44" t="s">
        <v>37</v>
      </c>
      <c r="EN224" s="44" t="s">
        <v>37</v>
      </c>
      <c r="EP224" s="44" t="s">
        <v>37</v>
      </c>
      <c r="ER224" s="44" t="s">
        <v>37</v>
      </c>
      <c r="ET224" s="44" t="s">
        <v>37</v>
      </c>
      <c r="EV224" s="44" t="s">
        <v>37</v>
      </c>
      <c r="EX224" s="44" t="s">
        <v>37</v>
      </c>
      <c r="EZ224" s="44" t="s">
        <v>37</v>
      </c>
      <c r="FB224" s="44" t="s">
        <v>37</v>
      </c>
      <c r="FD224" s="44" t="s">
        <v>37</v>
      </c>
      <c r="FF224" s="44" t="s">
        <v>37</v>
      </c>
      <c r="FH224" s="44" t="s">
        <v>37</v>
      </c>
      <c r="FJ224" s="44" t="s">
        <v>37</v>
      </c>
      <c r="FL224" s="44" t="s">
        <v>37</v>
      </c>
      <c r="FN224" s="44" t="s">
        <v>37</v>
      </c>
      <c r="FP224" s="44" t="s">
        <v>37</v>
      </c>
      <c r="FR224" s="44" t="s">
        <v>37</v>
      </c>
      <c r="FT224" s="44" t="s">
        <v>37</v>
      </c>
      <c r="FV224" s="44" t="s">
        <v>37</v>
      </c>
      <c r="FX224" s="44" t="s">
        <v>37</v>
      </c>
      <c r="FZ224" s="44" t="s">
        <v>37</v>
      </c>
      <c r="GB224" s="44" t="s">
        <v>37</v>
      </c>
      <c r="GD224" s="44" t="s">
        <v>37</v>
      </c>
      <c r="GF224" s="44" t="s">
        <v>37</v>
      </c>
      <c r="GH224" s="44" t="s">
        <v>37</v>
      </c>
      <c r="GJ224" s="44" t="s">
        <v>37</v>
      </c>
      <c r="GL224" s="44" t="s">
        <v>37</v>
      </c>
      <c r="GN224" s="44" t="s">
        <v>37</v>
      </c>
      <c r="GP224" s="44" t="s">
        <v>37</v>
      </c>
      <c r="GR224" s="44" t="s">
        <v>37</v>
      </c>
      <c r="GT224" s="44" t="s">
        <v>37</v>
      </c>
      <c r="GV224" s="44" t="s">
        <v>37</v>
      </c>
      <c r="GX224" s="44" t="s">
        <v>37</v>
      </c>
      <c r="GZ224" s="44" t="s">
        <v>37</v>
      </c>
      <c r="HB224" s="44" t="s">
        <v>37</v>
      </c>
      <c r="HD224" s="44" t="s">
        <v>37</v>
      </c>
      <c r="HF224" s="44" t="s">
        <v>37</v>
      </c>
      <c r="HH224" s="44" t="s">
        <v>37</v>
      </c>
      <c r="HJ224" s="44" t="s">
        <v>37</v>
      </c>
      <c r="HL224" s="44" t="s">
        <v>37</v>
      </c>
    </row>
    <row r="225" spans="1:220">
      <c r="A225" s="150" t="s">
        <v>408</v>
      </c>
      <c r="B225" s="54" t="s">
        <v>90</v>
      </c>
      <c r="C225" s="44" t="s">
        <v>238</v>
      </c>
      <c r="D225" s="44" t="s">
        <v>37</v>
      </c>
      <c r="E225" s="44">
        <v>18654097</v>
      </c>
      <c r="F225" s="44" t="s">
        <v>37</v>
      </c>
      <c r="G225" s="44">
        <v>104927868</v>
      </c>
      <c r="H225" s="44" t="s">
        <v>37</v>
      </c>
      <c r="I225" s="44">
        <v>11242454</v>
      </c>
      <c r="J225" s="44" t="s">
        <v>37</v>
      </c>
      <c r="K225" s="44">
        <v>524098</v>
      </c>
      <c r="L225" s="48" t="s">
        <v>37</v>
      </c>
      <c r="M225" s="51">
        <v>36870125</v>
      </c>
      <c r="N225" s="48" t="s">
        <v>37</v>
      </c>
      <c r="O225" s="51">
        <v>17702542</v>
      </c>
      <c r="P225" s="48" t="s">
        <v>37</v>
      </c>
      <c r="Q225" s="51">
        <v>12580738</v>
      </c>
      <c r="R225" s="48" t="s">
        <v>37</v>
      </c>
      <c r="S225" s="51">
        <v>11478574</v>
      </c>
      <c r="T225" s="48" t="s">
        <v>37</v>
      </c>
      <c r="U225" s="44">
        <v>53409518</v>
      </c>
      <c r="V225" s="44" t="s">
        <v>37</v>
      </c>
      <c r="W225" s="44">
        <v>677455</v>
      </c>
      <c r="X225" s="44" t="s">
        <v>37</v>
      </c>
      <c r="Y225" s="44">
        <v>1243249</v>
      </c>
      <c r="Z225" s="44" t="s">
        <v>37</v>
      </c>
      <c r="AA225" s="44">
        <v>8557834</v>
      </c>
      <c r="AB225" s="44" t="s">
        <v>37</v>
      </c>
      <c r="AC225" s="44">
        <v>5958221</v>
      </c>
      <c r="AD225" s="44" t="s">
        <v>37</v>
      </c>
      <c r="AE225" s="44">
        <v>5072720</v>
      </c>
      <c r="AF225" s="44" t="s">
        <v>37</v>
      </c>
      <c r="AG225" s="44">
        <v>5193746</v>
      </c>
      <c r="AH225" s="44" t="s">
        <v>37</v>
      </c>
      <c r="AI225" s="44">
        <v>14540605</v>
      </c>
      <c r="AJ225" s="44" t="s">
        <v>37</v>
      </c>
      <c r="AK225" s="44">
        <v>217178</v>
      </c>
      <c r="AL225" s="44" t="s">
        <v>37</v>
      </c>
      <c r="AM225" s="44">
        <v>28053387</v>
      </c>
      <c r="AN225" s="44" t="s">
        <v>37</v>
      </c>
      <c r="AO225" s="44">
        <v>183013</v>
      </c>
      <c r="AP225" s="44" t="s">
        <v>37</v>
      </c>
      <c r="AQ225" s="44">
        <v>122324302</v>
      </c>
      <c r="AR225" s="44" t="s">
        <v>37</v>
      </c>
      <c r="AS225" s="44">
        <v>9172325</v>
      </c>
      <c r="AT225" s="44" t="s">
        <v>37</v>
      </c>
      <c r="AU225" s="44">
        <v>128541187</v>
      </c>
      <c r="AV225" s="44" t="s">
        <v>37</v>
      </c>
      <c r="AW225" s="44">
        <v>42800456</v>
      </c>
      <c r="AX225" s="44" t="s">
        <v>37</v>
      </c>
      <c r="AY225" s="44">
        <v>28926519</v>
      </c>
      <c r="AZ225" s="44" t="s">
        <v>37</v>
      </c>
      <c r="BA225" s="44">
        <v>38780715</v>
      </c>
      <c r="BB225" s="44" t="s">
        <v>37</v>
      </c>
      <c r="BC225" s="44">
        <v>5635106</v>
      </c>
      <c r="BD225" s="44" t="s">
        <v>37</v>
      </c>
      <c r="BE225" s="44">
        <v>16885809</v>
      </c>
      <c r="BF225" s="44" t="s">
        <v>37</v>
      </c>
      <c r="BG225" s="44">
        <v>6573858</v>
      </c>
      <c r="BH225" s="44" t="s">
        <v>37</v>
      </c>
      <c r="BI225" s="44">
        <v>491728</v>
      </c>
      <c r="BJ225" s="44" t="s">
        <v>37</v>
      </c>
      <c r="BK225" s="44">
        <v>31239338</v>
      </c>
      <c r="BL225" s="44" t="s">
        <v>37</v>
      </c>
      <c r="BM225" s="44">
        <v>53095241</v>
      </c>
      <c r="BN225" s="44" t="s">
        <v>37</v>
      </c>
      <c r="BO225" s="44">
        <v>748803</v>
      </c>
      <c r="BP225" s="44" t="s">
        <v>37</v>
      </c>
      <c r="BQ225" s="44">
        <v>4579669</v>
      </c>
      <c r="BR225" s="44" t="s">
        <v>37</v>
      </c>
      <c r="BS225" s="44">
        <v>17428535</v>
      </c>
      <c r="BT225" s="44" t="s">
        <v>37</v>
      </c>
      <c r="BU225" s="44">
        <v>7518630</v>
      </c>
      <c r="BV225" s="44" t="s">
        <v>37</v>
      </c>
      <c r="BW225" s="44">
        <v>353295</v>
      </c>
      <c r="BX225" s="44" t="s">
        <v>37</v>
      </c>
      <c r="BY225" s="44">
        <v>85250154</v>
      </c>
      <c r="BZ225" s="44" t="s">
        <v>37</v>
      </c>
      <c r="CA225" s="44">
        <v>11661093</v>
      </c>
      <c r="CB225" s="44" t="s">
        <v>37</v>
      </c>
      <c r="CC225" s="44">
        <v>148045</v>
      </c>
      <c r="CD225" s="44" t="s">
        <v>37</v>
      </c>
      <c r="CE225" s="44">
        <v>20698194</v>
      </c>
      <c r="CF225" s="44" t="s">
        <v>37</v>
      </c>
      <c r="CG225" s="44">
        <v>16017071</v>
      </c>
      <c r="CH225" s="44" t="s">
        <v>37</v>
      </c>
      <c r="CI225" s="44">
        <v>67849377</v>
      </c>
      <c r="CJ225" s="44" t="s">
        <v>37</v>
      </c>
      <c r="CK225" s="44">
        <v>6245687</v>
      </c>
      <c r="CL225" s="44" t="s">
        <v>37</v>
      </c>
      <c r="CM225" s="44">
        <v>19906027</v>
      </c>
      <c r="CN225" s="44" t="s">
        <v>37</v>
      </c>
      <c r="CO225" s="44">
        <v>6430095</v>
      </c>
      <c r="CP225" s="44" t="s">
        <v>37</v>
      </c>
      <c r="CQ225" s="44">
        <v>7687191</v>
      </c>
      <c r="CR225" s="44" t="s">
        <v>37</v>
      </c>
      <c r="CS225" s="44">
        <v>38725750</v>
      </c>
      <c r="CT225" s="44" t="s">
        <v>37</v>
      </c>
      <c r="CU225" s="44">
        <v>279061391</v>
      </c>
      <c r="CV225" s="44" t="s">
        <v>37</v>
      </c>
      <c r="CW225" s="44">
        <v>42458501</v>
      </c>
      <c r="CX225" s="44" t="s">
        <v>37</v>
      </c>
      <c r="CY225" s="44">
        <v>5986637</v>
      </c>
      <c r="CZ225" s="44" t="s">
        <v>37</v>
      </c>
      <c r="DA225" s="44">
        <v>5455921</v>
      </c>
      <c r="DB225" s="44" t="s">
        <v>37</v>
      </c>
      <c r="DC225" s="44">
        <v>592160</v>
      </c>
      <c r="DD225" s="44" t="s">
        <v>37</v>
      </c>
      <c r="DE225" s="44">
        <v>14354250</v>
      </c>
      <c r="DF225" s="44" t="s">
        <v>37</v>
      </c>
      <c r="DG225" s="44">
        <v>8434601</v>
      </c>
      <c r="DH225" s="44" t="s">
        <v>37</v>
      </c>
      <c r="DI225" s="44">
        <v>127393311</v>
      </c>
      <c r="DJ225" s="44" t="s">
        <v>37</v>
      </c>
      <c r="DK225" s="44">
        <v>15208859</v>
      </c>
      <c r="DL225" s="44" t="s">
        <v>37</v>
      </c>
      <c r="DM225" s="44">
        <v>48789949</v>
      </c>
      <c r="DN225" s="44" t="s">
        <v>37</v>
      </c>
      <c r="DO225" s="44">
        <v>52440113</v>
      </c>
      <c r="DP225" s="44" t="s">
        <v>37</v>
      </c>
      <c r="DQ225" s="44">
        <v>28242771</v>
      </c>
      <c r="DR225" s="44" t="s">
        <v>37</v>
      </c>
      <c r="DS225" s="44">
        <v>16509835</v>
      </c>
      <c r="DT225" s="44" t="s">
        <v>37</v>
      </c>
      <c r="DU225" s="44">
        <v>17088122</v>
      </c>
      <c r="DV225" s="44" t="s">
        <v>37</v>
      </c>
      <c r="DW225" s="44">
        <v>91304906</v>
      </c>
      <c r="DX225" s="44" t="s">
        <v>37</v>
      </c>
      <c r="DY225" s="44">
        <v>42265658</v>
      </c>
      <c r="DZ225" s="44" t="s">
        <v>37</v>
      </c>
      <c r="EA225" s="44">
        <v>10868863</v>
      </c>
      <c r="EB225" s="44" t="s">
        <v>37</v>
      </c>
      <c r="EC225" s="44">
        <v>18506569</v>
      </c>
      <c r="ED225" s="44" t="s">
        <v>37</v>
      </c>
      <c r="EE225" s="44">
        <v>77028601</v>
      </c>
      <c r="EF225" s="44" t="s">
        <v>37</v>
      </c>
      <c r="EG225" s="44">
        <v>4579559</v>
      </c>
      <c r="EH225" s="44" t="s">
        <v>37</v>
      </c>
      <c r="EI225" s="44">
        <v>651931</v>
      </c>
      <c r="EJ225" s="44" t="s">
        <v>37</v>
      </c>
      <c r="EK225" s="44">
        <v>14778860</v>
      </c>
      <c r="EL225" s="44" t="s">
        <v>37</v>
      </c>
      <c r="EM225" s="44">
        <v>10275974</v>
      </c>
      <c r="EN225" s="44" t="s">
        <v>37</v>
      </c>
      <c r="EO225" s="44">
        <v>5902586</v>
      </c>
      <c r="EP225" s="44" t="s">
        <v>37</v>
      </c>
      <c r="EQ225" s="44">
        <v>452446</v>
      </c>
      <c r="ER225" s="44" t="s">
        <v>37</v>
      </c>
      <c r="ES225" s="44">
        <v>26425792</v>
      </c>
      <c r="ET225" s="44" t="s">
        <v>37</v>
      </c>
      <c r="EU225" s="44">
        <v>29779280</v>
      </c>
      <c r="EV225" s="44" t="s">
        <v>37</v>
      </c>
      <c r="EW225" s="44">
        <v>41481188</v>
      </c>
      <c r="EX225" s="44" t="s">
        <v>37</v>
      </c>
      <c r="EZ225" s="44" t="s">
        <v>37</v>
      </c>
      <c r="FA225" s="44">
        <v>18414455</v>
      </c>
      <c r="FB225" s="44" t="s">
        <v>37</v>
      </c>
      <c r="FC225" s="44">
        <v>20540012</v>
      </c>
      <c r="FD225" s="44" t="s">
        <v>37</v>
      </c>
      <c r="FE225" s="44">
        <v>37061360</v>
      </c>
      <c r="FF225" s="44" t="s">
        <v>37</v>
      </c>
      <c r="FG225" s="44">
        <v>20095</v>
      </c>
      <c r="FH225" s="44" t="s">
        <v>37</v>
      </c>
      <c r="FI225" s="44">
        <v>70066036</v>
      </c>
      <c r="FJ225" s="44" t="s">
        <v>37</v>
      </c>
      <c r="FK225" s="44">
        <v>115006763</v>
      </c>
      <c r="FL225" s="44" t="s">
        <v>37</v>
      </c>
      <c r="FM225" s="44">
        <v>96245328</v>
      </c>
      <c r="FN225" s="44" t="s">
        <v>37</v>
      </c>
      <c r="FO225" s="44">
        <v>10955022</v>
      </c>
      <c r="FP225" s="44" t="s">
        <v>37</v>
      </c>
      <c r="FQ225" s="44">
        <v>22906337</v>
      </c>
      <c r="FR225" s="44" t="s">
        <v>37</v>
      </c>
      <c r="FS225" s="44">
        <v>40397515</v>
      </c>
      <c r="FT225" s="44" t="s">
        <v>37</v>
      </c>
      <c r="FU225" s="44">
        <v>14746972</v>
      </c>
      <c r="FV225" s="44" t="s">
        <v>37</v>
      </c>
      <c r="FW225" s="44">
        <v>13296318</v>
      </c>
      <c r="FX225" s="44" t="s">
        <v>37</v>
      </c>
      <c r="FY225" s="44">
        <v>27535052</v>
      </c>
      <c r="FZ225" s="44" t="s">
        <v>37</v>
      </c>
      <c r="GA225" s="44">
        <v>42614268</v>
      </c>
      <c r="GB225" s="44" t="s">
        <v>37</v>
      </c>
      <c r="GC225" s="44">
        <v>40742680</v>
      </c>
      <c r="GD225" s="44" t="s">
        <v>37</v>
      </c>
      <c r="GE225" s="44">
        <v>496154</v>
      </c>
      <c r="GF225" s="44" t="s">
        <v>37</v>
      </c>
      <c r="GG225" s="44">
        <v>316312</v>
      </c>
      <c r="GH225" s="44" t="s">
        <v>37</v>
      </c>
      <c r="GI225" s="44">
        <v>300675</v>
      </c>
      <c r="GJ225" s="44" t="s">
        <v>37</v>
      </c>
      <c r="GK225" s="44">
        <v>42718877</v>
      </c>
      <c r="GL225" s="44" t="s">
        <v>37</v>
      </c>
      <c r="GM225" s="44">
        <v>41369109</v>
      </c>
      <c r="GN225" s="44" t="s">
        <v>37</v>
      </c>
      <c r="GP225" s="44" t="s">
        <v>37</v>
      </c>
      <c r="GQ225" s="44">
        <v>24808289</v>
      </c>
      <c r="GR225" s="44" t="s">
        <v>37</v>
      </c>
      <c r="GS225" s="44">
        <v>28469389</v>
      </c>
      <c r="GT225" s="44" t="s">
        <v>37</v>
      </c>
      <c r="GU225" s="44">
        <v>23339328</v>
      </c>
      <c r="GV225" s="44" t="s">
        <v>37</v>
      </c>
      <c r="GW225" s="44">
        <v>18463832</v>
      </c>
      <c r="GX225" s="44" t="s">
        <v>37</v>
      </c>
      <c r="GY225" s="44">
        <v>75448546</v>
      </c>
      <c r="GZ225" s="44" t="s">
        <v>37</v>
      </c>
      <c r="HA225" s="44">
        <v>32077870</v>
      </c>
      <c r="HB225" s="44" t="s">
        <v>37</v>
      </c>
      <c r="HC225" s="44">
        <v>5801081</v>
      </c>
      <c r="HD225" s="44" t="s">
        <v>37</v>
      </c>
      <c r="HE225" s="44">
        <v>3489714</v>
      </c>
      <c r="HF225" s="44" t="s">
        <v>37</v>
      </c>
      <c r="HG225" s="44">
        <v>3027476850</v>
      </c>
      <c r="HH225" s="44" t="s">
        <v>37</v>
      </c>
      <c r="HI225" s="44">
        <v>9290795</v>
      </c>
      <c r="HJ225" s="44" t="s">
        <v>37</v>
      </c>
      <c r="HK225" s="44">
        <v>3036767645</v>
      </c>
      <c r="HL225" s="44" t="s">
        <v>37</v>
      </c>
    </row>
    <row r="226" spans="1:220">
      <c r="A226" s="150" t="s">
        <v>408</v>
      </c>
      <c r="B226" s="54"/>
      <c r="D226" s="44" t="s">
        <v>37</v>
      </c>
      <c r="F226" s="44" t="s">
        <v>37</v>
      </c>
      <c r="H226" s="44" t="s">
        <v>37</v>
      </c>
      <c r="J226" s="44" t="s">
        <v>37</v>
      </c>
      <c r="L226" s="48" t="s">
        <v>37</v>
      </c>
      <c r="M226" s="51"/>
      <c r="N226" s="48" t="s">
        <v>37</v>
      </c>
      <c r="O226" s="51"/>
      <c r="P226" s="48" t="s">
        <v>37</v>
      </c>
      <c r="Q226" s="51"/>
      <c r="R226" s="48" t="s">
        <v>37</v>
      </c>
      <c r="S226" s="51"/>
      <c r="T226" s="48" t="s">
        <v>37</v>
      </c>
      <c r="V226" s="44" t="s">
        <v>37</v>
      </c>
      <c r="X226" s="44" t="s">
        <v>37</v>
      </c>
      <c r="Z226" s="44" t="s">
        <v>37</v>
      </c>
      <c r="AB226" s="44" t="s">
        <v>37</v>
      </c>
      <c r="AD226" s="44" t="s">
        <v>37</v>
      </c>
      <c r="AF226" s="44" t="s">
        <v>37</v>
      </c>
      <c r="AH226" s="44" t="s">
        <v>37</v>
      </c>
      <c r="AJ226" s="44" t="s">
        <v>37</v>
      </c>
      <c r="AL226" s="44" t="s">
        <v>37</v>
      </c>
      <c r="AN226" s="44" t="s">
        <v>37</v>
      </c>
      <c r="AP226" s="44" t="s">
        <v>37</v>
      </c>
      <c r="AR226" s="44" t="s">
        <v>37</v>
      </c>
      <c r="AT226" s="44" t="s">
        <v>37</v>
      </c>
      <c r="AV226" s="44" t="s">
        <v>37</v>
      </c>
      <c r="AX226" s="44" t="s">
        <v>37</v>
      </c>
      <c r="AZ226" s="44" t="s">
        <v>37</v>
      </c>
      <c r="BB226" s="44" t="s">
        <v>37</v>
      </c>
      <c r="BD226" s="44" t="s">
        <v>37</v>
      </c>
      <c r="BF226" s="44" t="s">
        <v>37</v>
      </c>
      <c r="BH226" s="44" t="s">
        <v>37</v>
      </c>
      <c r="BJ226" s="44" t="s">
        <v>37</v>
      </c>
      <c r="BL226" s="44" t="s">
        <v>37</v>
      </c>
      <c r="BN226" s="44" t="s">
        <v>37</v>
      </c>
      <c r="BP226" s="44" t="s">
        <v>37</v>
      </c>
      <c r="BR226" s="44" t="s">
        <v>37</v>
      </c>
      <c r="BT226" s="44" t="s">
        <v>37</v>
      </c>
      <c r="BV226" s="44" t="s">
        <v>37</v>
      </c>
      <c r="BX226" s="44" t="s">
        <v>37</v>
      </c>
      <c r="BZ226" s="44" t="s">
        <v>37</v>
      </c>
      <c r="CB226" s="44" t="s">
        <v>37</v>
      </c>
      <c r="CD226" s="44" t="s">
        <v>37</v>
      </c>
      <c r="CF226" s="44" t="s">
        <v>37</v>
      </c>
      <c r="CH226" s="44" t="s">
        <v>37</v>
      </c>
      <c r="CJ226" s="44" t="s">
        <v>37</v>
      </c>
      <c r="CL226" s="44" t="s">
        <v>37</v>
      </c>
      <c r="CN226" s="44" t="s">
        <v>37</v>
      </c>
      <c r="CP226" s="44" t="s">
        <v>37</v>
      </c>
      <c r="CR226" s="44" t="s">
        <v>37</v>
      </c>
      <c r="CT226" s="44" t="s">
        <v>37</v>
      </c>
      <c r="CV226" s="44" t="s">
        <v>37</v>
      </c>
      <c r="CX226" s="44" t="s">
        <v>37</v>
      </c>
      <c r="CZ226" s="44" t="s">
        <v>37</v>
      </c>
      <c r="DB226" s="44" t="s">
        <v>37</v>
      </c>
      <c r="DD226" s="44" t="s">
        <v>37</v>
      </c>
      <c r="DF226" s="44" t="s">
        <v>37</v>
      </c>
      <c r="DH226" s="44" t="s">
        <v>37</v>
      </c>
      <c r="DJ226" s="44" t="s">
        <v>37</v>
      </c>
      <c r="DL226" s="44" t="s">
        <v>37</v>
      </c>
      <c r="DN226" s="44" t="s">
        <v>37</v>
      </c>
      <c r="DP226" s="44" t="s">
        <v>37</v>
      </c>
      <c r="DR226" s="44" t="s">
        <v>37</v>
      </c>
      <c r="DT226" s="44" t="s">
        <v>37</v>
      </c>
      <c r="DV226" s="44" t="s">
        <v>37</v>
      </c>
      <c r="DX226" s="44" t="s">
        <v>37</v>
      </c>
      <c r="DZ226" s="44" t="s">
        <v>37</v>
      </c>
      <c r="EB226" s="44" t="s">
        <v>37</v>
      </c>
      <c r="ED226" s="44" t="s">
        <v>37</v>
      </c>
      <c r="EF226" s="44" t="s">
        <v>37</v>
      </c>
      <c r="EH226" s="44" t="s">
        <v>37</v>
      </c>
      <c r="EJ226" s="44" t="s">
        <v>37</v>
      </c>
      <c r="EL226" s="44" t="s">
        <v>37</v>
      </c>
      <c r="EN226" s="44" t="s">
        <v>37</v>
      </c>
      <c r="EP226" s="44" t="s">
        <v>37</v>
      </c>
      <c r="ER226" s="44" t="s">
        <v>37</v>
      </c>
      <c r="ET226" s="44" t="s">
        <v>37</v>
      </c>
      <c r="EV226" s="44" t="s">
        <v>37</v>
      </c>
      <c r="EX226" s="44" t="s">
        <v>37</v>
      </c>
      <c r="EZ226" s="44" t="s">
        <v>37</v>
      </c>
      <c r="FB226" s="44" t="s">
        <v>37</v>
      </c>
      <c r="FD226" s="44" t="s">
        <v>37</v>
      </c>
      <c r="FF226" s="44" t="s">
        <v>37</v>
      </c>
      <c r="FH226" s="44" t="s">
        <v>37</v>
      </c>
      <c r="FJ226" s="44" t="s">
        <v>37</v>
      </c>
      <c r="FL226" s="44" t="s">
        <v>37</v>
      </c>
      <c r="FN226" s="44" t="s">
        <v>37</v>
      </c>
      <c r="FP226" s="44" t="s">
        <v>37</v>
      </c>
      <c r="FR226" s="44" t="s">
        <v>37</v>
      </c>
      <c r="FT226" s="44" t="s">
        <v>37</v>
      </c>
      <c r="FV226" s="44" t="s">
        <v>37</v>
      </c>
      <c r="FX226" s="44" t="s">
        <v>37</v>
      </c>
      <c r="FZ226" s="44" t="s">
        <v>37</v>
      </c>
      <c r="GB226" s="44" t="s">
        <v>37</v>
      </c>
      <c r="GD226" s="44" t="s">
        <v>37</v>
      </c>
      <c r="GF226" s="44" t="s">
        <v>37</v>
      </c>
      <c r="GH226" s="44" t="s">
        <v>37</v>
      </c>
      <c r="GJ226" s="44" t="s">
        <v>37</v>
      </c>
      <c r="GL226" s="44" t="s">
        <v>37</v>
      </c>
      <c r="GN226" s="44" t="s">
        <v>37</v>
      </c>
      <c r="GP226" s="44" t="s">
        <v>37</v>
      </c>
      <c r="GR226" s="44" t="s">
        <v>37</v>
      </c>
      <c r="GT226" s="44" t="s">
        <v>37</v>
      </c>
      <c r="GV226" s="44" t="s">
        <v>37</v>
      </c>
      <c r="GX226" s="44" t="s">
        <v>37</v>
      </c>
      <c r="GZ226" s="44" t="s">
        <v>37</v>
      </c>
      <c r="HB226" s="44" t="s">
        <v>37</v>
      </c>
      <c r="HD226" s="44" t="s">
        <v>37</v>
      </c>
      <c r="HF226" s="44" t="s">
        <v>37</v>
      </c>
      <c r="HH226" s="44" t="s">
        <v>37</v>
      </c>
      <c r="HJ226" s="44" t="s">
        <v>37</v>
      </c>
      <c r="HL226" s="44" t="s">
        <v>37</v>
      </c>
    </row>
    <row r="227" spans="1:220">
      <c r="A227" s="150" t="s">
        <v>408</v>
      </c>
      <c r="B227" s="54"/>
      <c r="D227" s="44" t="s">
        <v>37</v>
      </c>
      <c r="E227" s="44" t="s">
        <v>38</v>
      </c>
      <c r="F227" s="44" t="s">
        <v>37</v>
      </c>
      <c r="G227" s="44" t="s">
        <v>39</v>
      </c>
      <c r="H227" s="44" t="s">
        <v>37</v>
      </c>
      <c r="I227" s="44" t="s">
        <v>40</v>
      </c>
      <c r="J227" s="44" t="s">
        <v>37</v>
      </c>
      <c r="K227" s="44" t="s">
        <v>41</v>
      </c>
      <c r="L227" s="48" t="s">
        <v>37</v>
      </c>
      <c r="M227" s="49" t="s">
        <v>303</v>
      </c>
      <c r="N227" s="48" t="s">
        <v>37</v>
      </c>
      <c r="O227" s="49" t="s">
        <v>304</v>
      </c>
      <c r="P227" s="48" t="s">
        <v>37</v>
      </c>
      <c r="Q227" s="49" t="s">
        <v>305</v>
      </c>
      <c r="R227" s="48" t="s">
        <v>37</v>
      </c>
      <c r="S227" s="49" t="s">
        <v>306</v>
      </c>
      <c r="T227" s="48" t="s">
        <v>37</v>
      </c>
      <c r="U227" s="44" t="s">
        <v>307</v>
      </c>
      <c r="V227" s="44" t="s">
        <v>37</v>
      </c>
      <c r="W227" s="44" t="s">
        <v>308</v>
      </c>
      <c r="X227" s="44" t="s">
        <v>37</v>
      </c>
      <c r="Y227" s="44" t="s">
        <v>309</v>
      </c>
      <c r="Z227" s="44" t="s">
        <v>37</v>
      </c>
      <c r="AA227" s="44" t="s">
        <v>310</v>
      </c>
      <c r="AB227" s="44" t="s">
        <v>37</v>
      </c>
      <c r="AC227" s="44" t="s">
        <v>311</v>
      </c>
      <c r="AD227" s="44" t="s">
        <v>37</v>
      </c>
      <c r="AE227" s="44" t="s">
        <v>312</v>
      </c>
      <c r="AF227" s="44" t="s">
        <v>37</v>
      </c>
      <c r="AG227" s="44" t="s">
        <v>313</v>
      </c>
      <c r="AH227" s="44" t="s">
        <v>37</v>
      </c>
      <c r="AI227" s="44" t="s">
        <v>314</v>
      </c>
      <c r="AJ227" s="44" t="s">
        <v>37</v>
      </c>
      <c r="AK227" s="44" t="s">
        <v>315</v>
      </c>
      <c r="AL227" s="44" t="s">
        <v>37</v>
      </c>
      <c r="AM227" s="44" t="s">
        <v>316</v>
      </c>
      <c r="AN227" s="44" t="s">
        <v>37</v>
      </c>
      <c r="AO227" s="44" t="s">
        <v>317</v>
      </c>
      <c r="AP227" s="44" t="s">
        <v>37</v>
      </c>
      <c r="AQ227" s="44" t="s">
        <v>318</v>
      </c>
      <c r="AR227" s="44" t="s">
        <v>37</v>
      </c>
      <c r="AS227" s="44" t="s">
        <v>319</v>
      </c>
      <c r="AT227" s="44" t="s">
        <v>37</v>
      </c>
      <c r="AU227" s="44" t="s">
        <v>320</v>
      </c>
      <c r="AV227" s="44" t="s">
        <v>37</v>
      </c>
      <c r="AW227" s="44" t="s">
        <v>321</v>
      </c>
      <c r="AX227" s="44" t="s">
        <v>37</v>
      </c>
      <c r="AY227" s="44" t="s">
        <v>322</v>
      </c>
      <c r="AZ227" s="44" t="s">
        <v>37</v>
      </c>
      <c r="BA227" s="44" t="s">
        <v>323</v>
      </c>
      <c r="BB227" s="44" t="s">
        <v>37</v>
      </c>
      <c r="BC227" s="44" t="s">
        <v>324</v>
      </c>
      <c r="BD227" s="44" t="s">
        <v>37</v>
      </c>
      <c r="BE227" s="44" t="s">
        <v>325</v>
      </c>
      <c r="BF227" s="44" t="s">
        <v>37</v>
      </c>
      <c r="BG227" s="44" t="s">
        <v>326</v>
      </c>
      <c r="BH227" s="44" t="s">
        <v>37</v>
      </c>
      <c r="BI227" s="44" t="s">
        <v>327</v>
      </c>
      <c r="BJ227" s="44" t="s">
        <v>37</v>
      </c>
      <c r="BK227" s="44" t="s">
        <v>328</v>
      </c>
      <c r="BL227" s="44" t="s">
        <v>37</v>
      </c>
      <c r="BM227" s="44" t="s">
        <v>329</v>
      </c>
      <c r="BN227" s="44" t="s">
        <v>37</v>
      </c>
      <c r="BO227" s="44" t="s">
        <v>330</v>
      </c>
      <c r="BP227" s="44" t="s">
        <v>37</v>
      </c>
      <c r="BQ227" s="44" t="s">
        <v>331</v>
      </c>
      <c r="BR227" s="44" t="s">
        <v>37</v>
      </c>
      <c r="BS227" s="44" t="s">
        <v>332</v>
      </c>
      <c r="BT227" s="44" t="s">
        <v>37</v>
      </c>
      <c r="BU227" s="44" t="s">
        <v>333</v>
      </c>
      <c r="BV227" s="44" t="s">
        <v>37</v>
      </c>
      <c r="BW227" s="44" t="s">
        <v>334</v>
      </c>
      <c r="BX227" s="44" t="s">
        <v>37</v>
      </c>
      <c r="BY227" s="44" t="s">
        <v>335</v>
      </c>
      <c r="BZ227" s="44" t="s">
        <v>37</v>
      </c>
      <c r="CA227" s="44" t="s">
        <v>336</v>
      </c>
      <c r="CB227" s="44" t="s">
        <v>37</v>
      </c>
      <c r="CC227" s="44" t="s">
        <v>337</v>
      </c>
      <c r="CD227" s="44" t="s">
        <v>37</v>
      </c>
      <c r="CE227" s="44" t="s">
        <v>338</v>
      </c>
      <c r="CF227" s="44" t="s">
        <v>37</v>
      </c>
      <c r="CG227" s="44" t="s">
        <v>339</v>
      </c>
      <c r="CH227" s="44" t="s">
        <v>37</v>
      </c>
      <c r="CI227" s="44" t="s">
        <v>340</v>
      </c>
      <c r="CJ227" s="44" t="s">
        <v>37</v>
      </c>
      <c r="CK227" s="44" t="s">
        <v>341</v>
      </c>
      <c r="CL227" s="44" t="s">
        <v>37</v>
      </c>
      <c r="CM227" s="44" t="s">
        <v>342</v>
      </c>
      <c r="CN227" s="44" t="s">
        <v>37</v>
      </c>
      <c r="CO227" s="44" t="s">
        <v>343</v>
      </c>
      <c r="CP227" s="44" t="s">
        <v>37</v>
      </c>
      <c r="CQ227" s="44" t="s">
        <v>344</v>
      </c>
      <c r="CR227" s="44" t="s">
        <v>37</v>
      </c>
      <c r="CS227" s="44" t="s">
        <v>345</v>
      </c>
      <c r="CT227" s="44" t="s">
        <v>37</v>
      </c>
      <c r="CU227" s="44" t="s">
        <v>346</v>
      </c>
      <c r="CV227" s="44" t="s">
        <v>37</v>
      </c>
      <c r="CW227" s="44" t="s">
        <v>347</v>
      </c>
      <c r="CX227" s="44" t="s">
        <v>37</v>
      </c>
      <c r="CY227" s="44" t="s">
        <v>348</v>
      </c>
      <c r="CZ227" s="44" t="s">
        <v>37</v>
      </c>
      <c r="DA227" s="44" t="s">
        <v>349</v>
      </c>
      <c r="DB227" s="44" t="s">
        <v>37</v>
      </c>
      <c r="DC227" s="44" t="s">
        <v>350</v>
      </c>
      <c r="DD227" s="44" t="s">
        <v>37</v>
      </c>
      <c r="DE227" s="44" t="s">
        <v>351</v>
      </c>
      <c r="DF227" s="44" t="s">
        <v>37</v>
      </c>
      <c r="DG227" s="44" t="s">
        <v>352</v>
      </c>
      <c r="DH227" s="44" t="s">
        <v>37</v>
      </c>
      <c r="DI227" s="44" t="s">
        <v>353</v>
      </c>
      <c r="DJ227" s="44" t="s">
        <v>37</v>
      </c>
      <c r="DK227" s="44" t="s">
        <v>354</v>
      </c>
      <c r="DL227" s="44" t="s">
        <v>37</v>
      </c>
      <c r="DM227" s="44" t="s">
        <v>355</v>
      </c>
      <c r="DN227" s="44" t="s">
        <v>37</v>
      </c>
      <c r="DO227" s="44" t="s">
        <v>356</v>
      </c>
      <c r="DP227" s="44" t="s">
        <v>37</v>
      </c>
      <c r="DQ227" s="44" t="s">
        <v>357</v>
      </c>
      <c r="DR227" s="44" t="s">
        <v>37</v>
      </c>
      <c r="DS227" s="44" t="s">
        <v>358</v>
      </c>
      <c r="DT227" s="44" t="s">
        <v>37</v>
      </c>
      <c r="DU227" s="44" t="s">
        <v>359</v>
      </c>
      <c r="DV227" s="44" t="s">
        <v>37</v>
      </c>
      <c r="DW227" s="44" t="s">
        <v>360</v>
      </c>
      <c r="DX227" s="44" t="s">
        <v>37</v>
      </c>
      <c r="DY227" s="44" t="s">
        <v>361</v>
      </c>
      <c r="DZ227" s="44" t="s">
        <v>37</v>
      </c>
      <c r="EA227" s="44" t="s">
        <v>362</v>
      </c>
      <c r="EB227" s="44" t="s">
        <v>37</v>
      </c>
      <c r="EC227" s="44" t="s">
        <v>363</v>
      </c>
      <c r="ED227" s="44" t="s">
        <v>37</v>
      </c>
      <c r="EE227" s="44" t="s">
        <v>364</v>
      </c>
      <c r="EF227" s="44" t="s">
        <v>37</v>
      </c>
      <c r="EG227" s="44" t="s">
        <v>365</v>
      </c>
      <c r="EH227" s="44" t="s">
        <v>37</v>
      </c>
      <c r="EI227" s="44" t="s">
        <v>366</v>
      </c>
      <c r="EJ227" s="44" t="s">
        <v>37</v>
      </c>
      <c r="EK227" s="44" t="s">
        <v>367</v>
      </c>
      <c r="EL227" s="44" t="s">
        <v>37</v>
      </c>
      <c r="EM227" s="44" t="s">
        <v>368</v>
      </c>
      <c r="EN227" s="44" t="s">
        <v>37</v>
      </c>
      <c r="EO227" s="44" t="s">
        <v>369</v>
      </c>
      <c r="EP227" s="44" t="s">
        <v>37</v>
      </c>
      <c r="EQ227" s="44" t="s">
        <v>370</v>
      </c>
      <c r="ER227" s="44" t="s">
        <v>37</v>
      </c>
      <c r="ES227" s="44" t="s">
        <v>371</v>
      </c>
      <c r="ET227" s="44" t="s">
        <v>37</v>
      </c>
      <c r="EU227" s="44" t="s">
        <v>372</v>
      </c>
      <c r="EV227" s="44" t="s">
        <v>37</v>
      </c>
      <c r="EW227" s="44" t="s">
        <v>373</v>
      </c>
      <c r="EX227" s="44" t="s">
        <v>37</v>
      </c>
      <c r="EY227" s="44" t="s">
        <v>374</v>
      </c>
      <c r="EZ227" s="44" t="s">
        <v>37</v>
      </c>
      <c r="FA227" s="44" t="s">
        <v>375</v>
      </c>
      <c r="FB227" s="44" t="s">
        <v>37</v>
      </c>
      <c r="FC227" s="44" t="s">
        <v>376</v>
      </c>
      <c r="FD227" s="44" t="s">
        <v>37</v>
      </c>
      <c r="FE227" s="44" t="s">
        <v>377</v>
      </c>
      <c r="FF227" s="44" t="s">
        <v>37</v>
      </c>
      <c r="FG227" s="44" t="s">
        <v>378</v>
      </c>
      <c r="FH227" s="44" t="s">
        <v>37</v>
      </c>
      <c r="FI227" s="44" t="s">
        <v>379</v>
      </c>
      <c r="FJ227" s="44" t="s">
        <v>37</v>
      </c>
      <c r="FK227" s="44" t="s">
        <v>380</v>
      </c>
      <c r="FL227" s="44" t="s">
        <v>37</v>
      </c>
      <c r="FM227" s="44" t="s">
        <v>381</v>
      </c>
      <c r="FN227" s="44" t="s">
        <v>37</v>
      </c>
      <c r="FO227" s="44" t="s">
        <v>382</v>
      </c>
      <c r="FP227" s="44" t="s">
        <v>37</v>
      </c>
      <c r="FQ227" s="44" t="s">
        <v>383</v>
      </c>
      <c r="FR227" s="44" t="s">
        <v>37</v>
      </c>
      <c r="FS227" s="44" t="s">
        <v>384</v>
      </c>
      <c r="FT227" s="44" t="s">
        <v>37</v>
      </c>
      <c r="FU227" s="44" t="s">
        <v>385</v>
      </c>
      <c r="FV227" s="44" t="s">
        <v>37</v>
      </c>
      <c r="FW227" s="44" t="s">
        <v>386</v>
      </c>
      <c r="FX227" s="44" t="s">
        <v>37</v>
      </c>
      <c r="FY227" s="44" t="s">
        <v>387</v>
      </c>
      <c r="FZ227" s="44" t="s">
        <v>37</v>
      </c>
      <c r="GA227" s="44" t="s">
        <v>388</v>
      </c>
      <c r="GB227" s="44" t="s">
        <v>37</v>
      </c>
      <c r="GC227" s="44" t="s">
        <v>389</v>
      </c>
      <c r="GD227" s="44" t="s">
        <v>37</v>
      </c>
      <c r="GE227" s="44" t="s">
        <v>390</v>
      </c>
      <c r="GF227" s="44" t="s">
        <v>37</v>
      </c>
      <c r="GG227" s="44" t="s">
        <v>391</v>
      </c>
      <c r="GH227" s="44" t="s">
        <v>37</v>
      </c>
      <c r="GI227" s="44" t="s">
        <v>392</v>
      </c>
      <c r="GJ227" s="44" t="s">
        <v>37</v>
      </c>
      <c r="GK227" s="44" t="s">
        <v>393</v>
      </c>
      <c r="GL227" s="44" t="s">
        <v>37</v>
      </c>
      <c r="GM227" s="44" t="s">
        <v>394</v>
      </c>
      <c r="GN227" s="44" t="s">
        <v>37</v>
      </c>
      <c r="GO227" s="44" t="s">
        <v>395</v>
      </c>
      <c r="GP227" s="44" t="s">
        <v>37</v>
      </c>
      <c r="GQ227" s="44" t="s">
        <v>396</v>
      </c>
      <c r="GR227" s="44" t="s">
        <v>37</v>
      </c>
      <c r="GS227" s="44" t="s">
        <v>397</v>
      </c>
      <c r="GT227" s="44" t="s">
        <v>37</v>
      </c>
      <c r="GU227" s="44" t="s">
        <v>398</v>
      </c>
      <c r="GV227" s="44" t="s">
        <v>37</v>
      </c>
      <c r="GW227" s="44" t="s">
        <v>399</v>
      </c>
      <c r="GX227" s="44" t="s">
        <v>37</v>
      </c>
      <c r="GY227" s="44" t="s">
        <v>400</v>
      </c>
      <c r="GZ227" s="44" t="s">
        <v>37</v>
      </c>
      <c r="HA227" s="44" t="s">
        <v>401</v>
      </c>
      <c r="HB227" s="44" t="s">
        <v>37</v>
      </c>
      <c r="HC227" s="44" t="s">
        <v>29</v>
      </c>
      <c r="HD227" s="44" t="s">
        <v>37</v>
      </c>
      <c r="HE227" s="44" t="s">
        <v>402</v>
      </c>
      <c r="HF227" s="44" t="s">
        <v>37</v>
      </c>
      <c r="HG227" s="44" t="s">
        <v>403</v>
      </c>
      <c r="HH227" s="44" t="s">
        <v>37</v>
      </c>
      <c r="HI227" s="44" t="s">
        <v>404</v>
      </c>
      <c r="HJ227" s="44" t="s">
        <v>37</v>
      </c>
      <c r="HK227" s="44" t="s">
        <v>405</v>
      </c>
      <c r="HL227" s="44" t="s">
        <v>37</v>
      </c>
    </row>
    <row r="228" spans="1:220">
      <c r="A228" s="150" t="s">
        <v>408</v>
      </c>
      <c r="B228" s="54"/>
      <c r="D228" s="44" t="s">
        <v>37</v>
      </c>
      <c r="F228" s="44" t="s">
        <v>37</v>
      </c>
      <c r="H228" s="44" t="s">
        <v>37</v>
      </c>
      <c r="J228" s="44" t="s">
        <v>37</v>
      </c>
      <c r="L228" s="48" t="s">
        <v>37</v>
      </c>
      <c r="M228" s="51"/>
      <c r="N228" s="48" t="s">
        <v>37</v>
      </c>
      <c r="O228" s="51"/>
      <c r="P228" s="48" t="s">
        <v>37</v>
      </c>
      <c r="Q228" s="51"/>
      <c r="R228" s="48" t="s">
        <v>37</v>
      </c>
      <c r="S228" s="51"/>
      <c r="T228" s="48" t="s">
        <v>37</v>
      </c>
      <c r="V228" s="44" t="s">
        <v>37</v>
      </c>
      <c r="X228" s="44" t="s">
        <v>37</v>
      </c>
      <c r="Z228" s="44" t="s">
        <v>37</v>
      </c>
      <c r="AB228" s="44" t="s">
        <v>37</v>
      </c>
      <c r="AD228" s="44" t="s">
        <v>37</v>
      </c>
      <c r="AF228" s="44" t="s">
        <v>37</v>
      </c>
      <c r="AH228" s="44" t="s">
        <v>37</v>
      </c>
      <c r="AJ228" s="44" t="s">
        <v>37</v>
      </c>
      <c r="AL228" s="44" t="s">
        <v>37</v>
      </c>
      <c r="AN228" s="44" t="s">
        <v>37</v>
      </c>
      <c r="AP228" s="44" t="s">
        <v>37</v>
      </c>
      <c r="AR228" s="44" t="s">
        <v>37</v>
      </c>
      <c r="AT228" s="44" t="s">
        <v>37</v>
      </c>
      <c r="AV228" s="44" t="s">
        <v>37</v>
      </c>
      <c r="AX228" s="44" t="s">
        <v>37</v>
      </c>
      <c r="AZ228" s="44" t="s">
        <v>37</v>
      </c>
      <c r="BB228" s="44" t="s">
        <v>37</v>
      </c>
      <c r="BD228" s="44" t="s">
        <v>37</v>
      </c>
      <c r="BF228" s="44" t="s">
        <v>37</v>
      </c>
      <c r="BH228" s="44" t="s">
        <v>37</v>
      </c>
      <c r="BJ228" s="44" t="s">
        <v>37</v>
      </c>
      <c r="BL228" s="44" t="s">
        <v>37</v>
      </c>
      <c r="BN228" s="44" t="s">
        <v>37</v>
      </c>
      <c r="BP228" s="44" t="s">
        <v>37</v>
      </c>
      <c r="BR228" s="44" t="s">
        <v>37</v>
      </c>
      <c r="BT228" s="44" t="s">
        <v>37</v>
      </c>
      <c r="BV228" s="44" t="s">
        <v>37</v>
      </c>
      <c r="BX228" s="44" t="s">
        <v>37</v>
      </c>
      <c r="BZ228" s="44" t="s">
        <v>37</v>
      </c>
      <c r="CB228" s="44" t="s">
        <v>37</v>
      </c>
      <c r="CD228" s="44" t="s">
        <v>37</v>
      </c>
      <c r="CF228" s="44" t="s">
        <v>37</v>
      </c>
      <c r="CH228" s="44" t="s">
        <v>37</v>
      </c>
      <c r="CJ228" s="44" t="s">
        <v>37</v>
      </c>
      <c r="CL228" s="44" t="s">
        <v>37</v>
      </c>
      <c r="CN228" s="44" t="s">
        <v>37</v>
      </c>
      <c r="CP228" s="44" t="s">
        <v>37</v>
      </c>
      <c r="CR228" s="44" t="s">
        <v>37</v>
      </c>
      <c r="CT228" s="44" t="s">
        <v>37</v>
      </c>
      <c r="CV228" s="44" t="s">
        <v>37</v>
      </c>
      <c r="CX228" s="44" t="s">
        <v>37</v>
      </c>
      <c r="CZ228" s="44" t="s">
        <v>37</v>
      </c>
      <c r="DB228" s="44" t="s">
        <v>37</v>
      </c>
      <c r="DD228" s="44" t="s">
        <v>37</v>
      </c>
      <c r="DF228" s="44" t="s">
        <v>37</v>
      </c>
      <c r="DH228" s="44" t="s">
        <v>37</v>
      </c>
      <c r="DJ228" s="44" t="s">
        <v>37</v>
      </c>
      <c r="DL228" s="44" t="s">
        <v>37</v>
      </c>
      <c r="DN228" s="44" t="s">
        <v>37</v>
      </c>
      <c r="DP228" s="44" t="s">
        <v>37</v>
      </c>
      <c r="DR228" s="44" t="s">
        <v>37</v>
      </c>
      <c r="DT228" s="44" t="s">
        <v>37</v>
      </c>
      <c r="DV228" s="44" t="s">
        <v>37</v>
      </c>
      <c r="DX228" s="44" t="s">
        <v>37</v>
      </c>
      <c r="DZ228" s="44" t="s">
        <v>37</v>
      </c>
      <c r="EB228" s="44" t="s">
        <v>37</v>
      </c>
      <c r="ED228" s="44" t="s">
        <v>37</v>
      </c>
      <c r="EF228" s="44" t="s">
        <v>37</v>
      </c>
      <c r="EH228" s="44" t="s">
        <v>37</v>
      </c>
      <c r="EJ228" s="44" t="s">
        <v>37</v>
      </c>
      <c r="EL228" s="44" t="s">
        <v>37</v>
      </c>
      <c r="EN228" s="44" t="s">
        <v>37</v>
      </c>
      <c r="EP228" s="44" t="s">
        <v>37</v>
      </c>
      <c r="ER228" s="44" t="s">
        <v>37</v>
      </c>
      <c r="ET228" s="44" t="s">
        <v>37</v>
      </c>
      <c r="EV228" s="44" t="s">
        <v>37</v>
      </c>
      <c r="EX228" s="44" t="s">
        <v>37</v>
      </c>
      <c r="EZ228" s="44" t="s">
        <v>37</v>
      </c>
      <c r="FB228" s="44" t="s">
        <v>37</v>
      </c>
      <c r="FD228" s="44" t="s">
        <v>37</v>
      </c>
      <c r="FF228" s="44" t="s">
        <v>37</v>
      </c>
      <c r="FH228" s="44" t="s">
        <v>37</v>
      </c>
      <c r="FJ228" s="44" t="s">
        <v>37</v>
      </c>
      <c r="FL228" s="44" t="s">
        <v>37</v>
      </c>
      <c r="FN228" s="44" t="s">
        <v>37</v>
      </c>
      <c r="FP228" s="44" t="s">
        <v>37</v>
      </c>
      <c r="FR228" s="44" t="s">
        <v>37</v>
      </c>
      <c r="FT228" s="44" t="s">
        <v>37</v>
      </c>
      <c r="FV228" s="44" t="s">
        <v>37</v>
      </c>
      <c r="FX228" s="44" t="s">
        <v>37</v>
      </c>
      <c r="FZ228" s="44" t="s">
        <v>37</v>
      </c>
      <c r="GB228" s="44" t="s">
        <v>37</v>
      </c>
      <c r="GD228" s="44" t="s">
        <v>37</v>
      </c>
      <c r="GF228" s="44" t="s">
        <v>37</v>
      </c>
      <c r="GH228" s="44" t="s">
        <v>37</v>
      </c>
      <c r="GJ228" s="44" t="s">
        <v>37</v>
      </c>
      <c r="GL228" s="44" t="s">
        <v>37</v>
      </c>
      <c r="GN228" s="44" t="s">
        <v>37</v>
      </c>
      <c r="GP228" s="44" t="s">
        <v>37</v>
      </c>
      <c r="GR228" s="44" t="s">
        <v>37</v>
      </c>
      <c r="GT228" s="44" t="s">
        <v>37</v>
      </c>
      <c r="GV228" s="44" t="s">
        <v>37</v>
      </c>
      <c r="GX228" s="44" t="s">
        <v>37</v>
      </c>
      <c r="GZ228" s="44" t="s">
        <v>37</v>
      </c>
      <c r="HB228" s="44" t="s">
        <v>37</v>
      </c>
      <c r="HD228" s="44" t="s">
        <v>37</v>
      </c>
      <c r="HF228" s="44" t="s">
        <v>37</v>
      </c>
      <c r="HH228" s="44" t="s">
        <v>37</v>
      </c>
      <c r="HJ228" s="44" t="s">
        <v>37</v>
      </c>
      <c r="HL228" s="44" t="s">
        <v>37</v>
      </c>
    </row>
    <row r="229" spans="1:220">
      <c r="A229" s="150" t="s">
        <v>408</v>
      </c>
      <c r="B229" s="54">
        <v>4000</v>
      </c>
      <c r="C229" s="44" t="s">
        <v>239</v>
      </c>
      <c r="D229" s="44" t="s">
        <v>37</v>
      </c>
      <c r="F229" s="44" t="s">
        <v>37</v>
      </c>
      <c r="H229" s="44" t="s">
        <v>37</v>
      </c>
      <c r="J229" s="44" t="s">
        <v>37</v>
      </c>
      <c r="L229" s="48" t="s">
        <v>37</v>
      </c>
      <c r="M229" s="50"/>
      <c r="N229" s="48" t="s">
        <v>37</v>
      </c>
      <c r="O229" s="50"/>
      <c r="P229" s="48" t="s">
        <v>37</v>
      </c>
      <c r="Q229" s="50"/>
      <c r="R229" s="48" t="s">
        <v>37</v>
      </c>
      <c r="S229" s="50"/>
      <c r="T229" s="48" t="s">
        <v>37</v>
      </c>
      <c r="V229" s="44" t="s">
        <v>37</v>
      </c>
      <c r="X229" s="44" t="s">
        <v>37</v>
      </c>
      <c r="Z229" s="44" t="s">
        <v>37</v>
      </c>
      <c r="AB229" s="44" t="s">
        <v>37</v>
      </c>
      <c r="AD229" s="44" t="s">
        <v>37</v>
      </c>
      <c r="AF229" s="44" t="s">
        <v>37</v>
      </c>
      <c r="AH229" s="44" t="s">
        <v>37</v>
      </c>
      <c r="AJ229" s="44" t="s">
        <v>37</v>
      </c>
      <c r="AL229" s="44" t="s">
        <v>37</v>
      </c>
      <c r="AN229" s="44" t="s">
        <v>37</v>
      </c>
      <c r="AP229" s="44" t="s">
        <v>37</v>
      </c>
      <c r="AR229" s="44" t="s">
        <v>37</v>
      </c>
      <c r="AT229" s="44" t="s">
        <v>37</v>
      </c>
      <c r="AV229" s="44" t="s">
        <v>37</v>
      </c>
      <c r="AX229" s="44" t="s">
        <v>37</v>
      </c>
      <c r="AZ229" s="44" t="s">
        <v>37</v>
      </c>
      <c r="BB229" s="44" t="s">
        <v>37</v>
      </c>
      <c r="BD229" s="44" t="s">
        <v>37</v>
      </c>
      <c r="BF229" s="44" t="s">
        <v>37</v>
      </c>
      <c r="BH229" s="44" t="s">
        <v>37</v>
      </c>
      <c r="BJ229" s="44" t="s">
        <v>37</v>
      </c>
      <c r="BL229" s="44" t="s">
        <v>37</v>
      </c>
      <c r="BN229" s="44" t="s">
        <v>37</v>
      </c>
      <c r="BP229" s="44" t="s">
        <v>37</v>
      </c>
      <c r="BR229" s="44" t="s">
        <v>37</v>
      </c>
      <c r="BT229" s="44" t="s">
        <v>37</v>
      </c>
      <c r="BV229" s="44" t="s">
        <v>37</v>
      </c>
      <c r="BX229" s="44" t="s">
        <v>37</v>
      </c>
      <c r="BZ229" s="44" t="s">
        <v>37</v>
      </c>
      <c r="CB229" s="44" t="s">
        <v>37</v>
      </c>
      <c r="CD229" s="44" t="s">
        <v>37</v>
      </c>
      <c r="CF229" s="44" t="s">
        <v>37</v>
      </c>
      <c r="CH229" s="44" t="s">
        <v>37</v>
      </c>
      <c r="CJ229" s="44" t="s">
        <v>37</v>
      </c>
      <c r="CL229" s="44" t="s">
        <v>37</v>
      </c>
      <c r="CN229" s="44" t="s">
        <v>37</v>
      </c>
      <c r="CP229" s="44" t="s">
        <v>37</v>
      </c>
      <c r="CR229" s="44" t="s">
        <v>37</v>
      </c>
      <c r="CT229" s="44" t="s">
        <v>37</v>
      </c>
      <c r="CV229" s="44" t="s">
        <v>37</v>
      </c>
      <c r="CX229" s="44" t="s">
        <v>37</v>
      </c>
      <c r="CZ229" s="44" t="s">
        <v>37</v>
      </c>
      <c r="DB229" s="44" t="s">
        <v>37</v>
      </c>
      <c r="DD229" s="44" t="s">
        <v>37</v>
      </c>
      <c r="DF229" s="44" t="s">
        <v>37</v>
      </c>
      <c r="DH229" s="44" t="s">
        <v>37</v>
      </c>
      <c r="DJ229" s="44" t="s">
        <v>37</v>
      </c>
      <c r="DL229" s="44" t="s">
        <v>37</v>
      </c>
      <c r="DN229" s="44" t="s">
        <v>37</v>
      </c>
      <c r="DP229" s="44" t="s">
        <v>37</v>
      </c>
      <c r="DR229" s="44" t="s">
        <v>37</v>
      </c>
      <c r="DT229" s="44" t="s">
        <v>37</v>
      </c>
      <c r="DV229" s="44" t="s">
        <v>37</v>
      </c>
      <c r="DX229" s="44" t="s">
        <v>37</v>
      </c>
      <c r="DZ229" s="44" t="s">
        <v>37</v>
      </c>
      <c r="EB229" s="44" t="s">
        <v>37</v>
      </c>
      <c r="ED229" s="44" t="s">
        <v>37</v>
      </c>
      <c r="EF229" s="44" t="s">
        <v>37</v>
      </c>
      <c r="EH229" s="44" t="s">
        <v>37</v>
      </c>
      <c r="EJ229" s="44" t="s">
        <v>37</v>
      </c>
      <c r="EL229" s="44" t="s">
        <v>37</v>
      </c>
      <c r="EN229" s="44" t="s">
        <v>37</v>
      </c>
      <c r="EP229" s="44" t="s">
        <v>37</v>
      </c>
      <c r="ER229" s="44" t="s">
        <v>37</v>
      </c>
      <c r="ET229" s="44" t="s">
        <v>37</v>
      </c>
      <c r="EV229" s="44" t="s">
        <v>37</v>
      </c>
      <c r="EX229" s="44" t="s">
        <v>37</v>
      </c>
      <c r="EZ229" s="44" t="s">
        <v>37</v>
      </c>
      <c r="FB229" s="44" t="s">
        <v>37</v>
      </c>
      <c r="FD229" s="44" t="s">
        <v>37</v>
      </c>
      <c r="FF229" s="44" t="s">
        <v>37</v>
      </c>
      <c r="FH229" s="44" t="s">
        <v>37</v>
      </c>
      <c r="FJ229" s="44" t="s">
        <v>37</v>
      </c>
      <c r="FL229" s="44" t="s">
        <v>37</v>
      </c>
      <c r="FN229" s="44" t="s">
        <v>37</v>
      </c>
      <c r="FP229" s="44" t="s">
        <v>37</v>
      </c>
      <c r="FR229" s="44" t="s">
        <v>37</v>
      </c>
      <c r="FT229" s="44" t="s">
        <v>37</v>
      </c>
      <c r="FV229" s="44" t="s">
        <v>37</v>
      </c>
      <c r="FX229" s="44" t="s">
        <v>37</v>
      </c>
      <c r="FZ229" s="44" t="s">
        <v>37</v>
      </c>
      <c r="GB229" s="44" t="s">
        <v>37</v>
      </c>
      <c r="GD229" s="44" t="s">
        <v>37</v>
      </c>
      <c r="GF229" s="44" t="s">
        <v>37</v>
      </c>
      <c r="GH229" s="44" t="s">
        <v>37</v>
      </c>
      <c r="GJ229" s="44" t="s">
        <v>37</v>
      </c>
      <c r="GL229" s="44" t="s">
        <v>37</v>
      </c>
      <c r="GN229" s="44" t="s">
        <v>37</v>
      </c>
      <c r="GP229" s="44" t="s">
        <v>37</v>
      </c>
      <c r="GR229" s="44" t="s">
        <v>37</v>
      </c>
      <c r="GT229" s="44" t="s">
        <v>37</v>
      </c>
      <c r="GV229" s="44" t="s">
        <v>37</v>
      </c>
      <c r="GX229" s="44" t="s">
        <v>37</v>
      </c>
      <c r="GZ229" s="44" t="s">
        <v>37</v>
      </c>
      <c r="HB229" s="44" t="s">
        <v>37</v>
      </c>
      <c r="HD229" s="44" t="s">
        <v>37</v>
      </c>
      <c r="HF229" s="44" t="s">
        <v>37</v>
      </c>
      <c r="HH229" s="44" t="s">
        <v>37</v>
      </c>
      <c r="HJ229" s="44" t="s">
        <v>37</v>
      </c>
      <c r="HL229" s="44" t="s">
        <v>37</v>
      </c>
    </row>
    <row r="230" spans="1:220">
      <c r="A230" s="150" t="s">
        <v>408</v>
      </c>
      <c r="B230" s="54">
        <v>4100</v>
      </c>
      <c r="C230" s="44" t="s">
        <v>240</v>
      </c>
      <c r="D230" s="44" t="s">
        <v>37</v>
      </c>
      <c r="F230" s="44" t="s">
        <v>37</v>
      </c>
      <c r="H230" s="44" t="s">
        <v>37</v>
      </c>
      <c r="J230" s="44" t="s">
        <v>37</v>
      </c>
      <c r="L230" s="48" t="s">
        <v>37</v>
      </c>
      <c r="M230" s="50"/>
      <c r="N230" s="48" t="s">
        <v>37</v>
      </c>
      <c r="O230" s="50"/>
      <c r="P230" s="48" t="s">
        <v>37</v>
      </c>
      <c r="Q230" s="50"/>
      <c r="R230" s="48" t="s">
        <v>37</v>
      </c>
      <c r="S230" s="50"/>
      <c r="T230" s="48" t="s">
        <v>37</v>
      </c>
      <c r="V230" s="44" t="s">
        <v>37</v>
      </c>
      <c r="X230" s="44" t="s">
        <v>37</v>
      </c>
      <c r="Z230" s="44" t="s">
        <v>37</v>
      </c>
      <c r="AB230" s="44" t="s">
        <v>37</v>
      </c>
      <c r="AD230" s="44" t="s">
        <v>37</v>
      </c>
      <c r="AF230" s="44" t="s">
        <v>37</v>
      </c>
      <c r="AH230" s="44" t="s">
        <v>37</v>
      </c>
      <c r="AJ230" s="44" t="s">
        <v>37</v>
      </c>
      <c r="AL230" s="44" t="s">
        <v>37</v>
      </c>
      <c r="AN230" s="44" t="s">
        <v>37</v>
      </c>
      <c r="AP230" s="44" t="s">
        <v>37</v>
      </c>
      <c r="AR230" s="44" t="s">
        <v>37</v>
      </c>
      <c r="AT230" s="44" t="s">
        <v>37</v>
      </c>
      <c r="AV230" s="44" t="s">
        <v>37</v>
      </c>
      <c r="AX230" s="44" t="s">
        <v>37</v>
      </c>
      <c r="AZ230" s="44" t="s">
        <v>37</v>
      </c>
      <c r="BB230" s="44" t="s">
        <v>37</v>
      </c>
      <c r="BD230" s="44" t="s">
        <v>37</v>
      </c>
      <c r="BF230" s="44" t="s">
        <v>37</v>
      </c>
      <c r="BH230" s="44" t="s">
        <v>37</v>
      </c>
      <c r="BJ230" s="44" t="s">
        <v>37</v>
      </c>
      <c r="BL230" s="44" t="s">
        <v>37</v>
      </c>
      <c r="BN230" s="44" t="s">
        <v>37</v>
      </c>
      <c r="BP230" s="44" t="s">
        <v>37</v>
      </c>
      <c r="BR230" s="44" t="s">
        <v>37</v>
      </c>
      <c r="BT230" s="44" t="s">
        <v>37</v>
      </c>
      <c r="BV230" s="44" t="s">
        <v>37</v>
      </c>
      <c r="BX230" s="44" t="s">
        <v>37</v>
      </c>
      <c r="BZ230" s="44" t="s">
        <v>37</v>
      </c>
      <c r="CB230" s="44" t="s">
        <v>37</v>
      </c>
      <c r="CD230" s="44" t="s">
        <v>37</v>
      </c>
      <c r="CF230" s="44" t="s">
        <v>37</v>
      </c>
      <c r="CH230" s="44" t="s">
        <v>37</v>
      </c>
      <c r="CJ230" s="44" t="s">
        <v>37</v>
      </c>
      <c r="CL230" s="44" t="s">
        <v>37</v>
      </c>
      <c r="CN230" s="44" t="s">
        <v>37</v>
      </c>
      <c r="CP230" s="44" t="s">
        <v>37</v>
      </c>
      <c r="CR230" s="44" t="s">
        <v>37</v>
      </c>
      <c r="CT230" s="44" t="s">
        <v>37</v>
      </c>
      <c r="CV230" s="44" t="s">
        <v>37</v>
      </c>
      <c r="CX230" s="44" t="s">
        <v>37</v>
      </c>
      <c r="CZ230" s="44" t="s">
        <v>37</v>
      </c>
      <c r="DB230" s="44" t="s">
        <v>37</v>
      </c>
      <c r="DD230" s="44" t="s">
        <v>37</v>
      </c>
      <c r="DF230" s="44" t="s">
        <v>37</v>
      </c>
      <c r="DH230" s="44" t="s">
        <v>37</v>
      </c>
      <c r="DJ230" s="44" t="s">
        <v>37</v>
      </c>
      <c r="DL230" s="44" t="s">
        <v>37</v>
      </c>
      <c r="DN230" s="44" t="s">
        <v>37</v>
      </c>
      <c r="DP230" s="44" t="s">
        <v>37</v>
      </c>
      <c r="DR230" s="44" t="s">
        <v>37</v>
      </c>
      <c r="DT230" s="44" t="s">
        <v>37</v>
      </c>
      <c r="DV230" s="44" t="s">
        <v>37</v>
      </c>
      <c r="DX230" s="44" t="s">
        <v>37</v>
      </c>
      <c r="DZ230" s="44" t="s">
        <v>37</v>
      </c>
      <c r="EB230" s="44" t="s">
        <v>37</v>
      </c>
      <c r="ED230" s="44" t="s">
        <v>37</v>
      </c>
      <c r="EF230" s="44" t="s">
        <v>37</v>
      </c>
      <c r="EH230" s="44" t="s">
        <v>37</v>
      </c>
      <c r="EJ230" s="44" t="s">
        <v>37</v>
      </c>
      <c r="EL230" s="44" t="s">
        <v>37</v>
      </c>
      <c r="EN230" s="44" t="s">
        <v>37</v>
      </c>
      <c r="EP230" s="44" t="s">
        <v>37</v>
      </c>
      <c r="ER230" s="44" t="s">
        <v>37</v>
      </c>
      <c r="ET230" s="44" t="s">
        <v>37</v>
      </c>
      <c r="EV230" s="44" t="s">
        <v>37</v>
      </c>
      <c r="EX230" s="44" t="s">
        <v>37</v>
      </c>
      <c r="EZ230" s="44" t="s">
        <v>37</v>
      </c>
      <c r="FB230" s="44" t="s">
        <v>37</v>
      </c>
      <c r="FD230" s="44" t="s">
        <v>37</v>
      </c>
      <c r="FF230" s="44" t="s">
        <v>37</v>
      </c>
      <c r="FH230" s="44" t="s">
        <v>37</v>
      </c>
      <c r="FJ230" s="44" t="s">
        <v>37</v>
      </c>
      <c r="FL230" s="44" t="s">
        <v>37</v>
      </c>
      <c r="FN230" s="44" t="s">
        <v>37</v>
      </c>
      <c r="FP230" s="44" t="s">
        <v>37</v>
      </c>
      <c r="FR230" s="44" t="s">
        <v>37</v>
      </c>
      <c r="FT230" s="44" t="s">
        <v>37</v>
      </c>
      <c r="FV230" s="44" t="s">
        <v>37</v>
      </c>
      <c r="FX230" s="44" t="s">
        <v>37</v>
      </c>
      <c r="FZ230" s="44" t="s">
        <v>37</v>
      </c>
      <c r="GB230" s="44" t="s">
        <v>37</v>
      </c>
      <c r="GD230" s="44" t="s">
        <v>37</v>
      </c>
      <c r="GF230" s="44" t="s">
        <v>37</v>
      </c>
      <c r="GH230" s="44" t="s">
        <v>37</v>
      </c>
      <c r="GJ230" s="44" t="s">
        <v>37</v>
      </c>
      <c r="GL230" s="44" t="s">
        <v>37</v>
      </c>
      <c r="GN230" s="44" t="s">
        <v>37</v>
      </c>
      <c r="GP230" s="44" t="s">
        <v>37</v>
      </c>
      <c r="GR230" s="44" t="s">
        <v>37</v>
      </c>
      <c r="GT230" s="44" t="s">
        <v>37</v>
      </c>
      <c r="GV230" s="44" t="s">
        <v>37</v>
      </c>
      <c r="GX230" s="44" t="s">
        <v>37</v>
      </c>
      <c r="GZ230" s="44" t="s">
        <v>37</v>
      </c>
      <c r="HB230" s="44" t="s">
        <v>37</v>
      </c>
      <c r="HD230" s="44" t="s">
        <v>37</v>
      </c>
      <c r="HF230" s="44" t="s">
        <v>37</v>
      </c>
      <c r="HH230" s="44" t="s">
        <v>37</v>
      </c>
      <c r="HJ230" s="44" t="s">
        <v>37</v>
      </c>
      <c r="HL230" s="44" t="s">
        <v>37</v>
      </c>
    </row>
    <row r="231" spans="1:220">
      <c r="A231" s="150" t="s">
        <v>412</v>
      </c>
      <c r="B231" s="44">
        <v>4110</v>
      </c>
      <c r="C231" s="44" t="s">
        <v>241</v>
      </c>
      <c r="D231" s="44" t="s">
        <v>37</v>
      </c>
      <c r="F231" s="44" t="s">
        <v>37</v>
      </c>
      <c r="G231" s="44">
        <v>127702</v>
      </c>
      <c r="H231" s="44" t="s">
        <v>37</v>
      </c>
      <c r="J231" s="44" t="s">
        <v>37</v>
      </c>
      <c r="L231" s="48" t="s">
        <v>37</v>
      </c>
      <c r="M231" s="50"/>
      <c r="N231" s="48" t="s">
        <v>37</v>
      </c>
      <c r="O231" s="50"/>
      <c r="P231" s="48" t="s">
        <v>37</v>
      </c>
      <c r="Q231" s="50"/>
      <c r="R231" s="48" t="s">
        <v>37</v>
      </c>
      <c r="S231" s="51">
        <v>217630</v>
      </c>
      <c r="T231" s="48" t="s">
        <v>37</v>
      </c>
      <c r="V231" s="44" t="s">
        <v>37</v>
      </c>
      <c r="X231" s="44" t="s">
        <v>37</v>
      </c>
      <c r="Z231" s="44" t="s">
        <v>37</v>
      </c>
      <c r="AB231" s="44" t="s">
        <v>37</v>
      </c>
      <c r="AD231" s="44" t="s">
        <v>37</v>
      </c>
      <c r="AF231" s="44" t="s">
        <v>37</v>
      </c>
      <c r="AG231" s="44">
        <v>31774</v>
      </c>
      <c r="AH231" s="44" t="s">
        <v>37</v>
      </c>
      <c r="AI231" s="44">
        <v>21282</v>
      </c>
      <c r="AJ231" s="44" t="s">
        <v>37</v>
      </c>
      <c r="AL231" s="44" t="s">
        <v>37</v>
      </c>
      <c r="AM231" s="44">
        <v>28179</v>
      </c>
      <c r="AN231" s="44" t="s">
        <v>37</v>
      </c>
      <c r="AP231" s="44" t="s">
        <v>37</v>
      </c>
      <c r="AQ231" s="44">
        <v>873241</v>
      </c>
      <c r="AR231" s="44" t="s">
        <v>37</v>
      </c>
      <c r="AT231" s="44" t="s">
        <v>37</v>
      </c>
      <c r="AU231" s="44">
        <v>95774</v>
      </c>
      <c r="AV231" s="44" t="s">
        <v>37</v>
      </c>
      <c r="AX231" s="44" t="s">
        <v>37</v>
      </c>
      <c r="AZ231" s="44" t="s">
        <v>37</v>
      </c>
      <c r="BB231" s="44" t="s">
        <v>37</v>
      </c>
      <c r="BD231" s="44" t="s">
        <v>37</v>
      </c>
      <c r="BF231" s="44" t="s">
        <v>37</v>
      </c>
      <c r="BH231" s="44" t="s">
        <v>37</v>
      </c>
      <c r="BJ231" s="44" t="s">
        <v>37</v>
      </c>
      <c r="BL231" s="44" t="s">
        <v>37</v>
      </c>
      <c r="BN231" s="44" t="s">
        <v>37</v>
      </c>
      <c r="BP231" s="44" t="s">
        <v>37</v>
      </c>
      <c r="BR231" s="44" t="s">
        <v>37</v>
      </c>
      <c r="BT231" s="44" t="s">
        <v>37</v>
      </c>
      <c r="BV231" s="44" t="s">
        <v>37</v>
      </c>
      <c r="BX231" s="44" t="s">
        <v>37</v>
      </c>
      <c r="BY231" s="44">
        <v>143937</v>
      </c>
      <c r="BZ231" s="44" t="s">
        <v>37</v>
      </c>
      <c r="CB231" s="44" t="s">
        <v>37</v>
      </c>
      <c r="CD231" s="44" t="s">
        <v>37</v>
      </c>
      <c r="CF231" s="44" t="s">
        <v>37</v>
      </c>
      <c r="CH231" s="44" t="s">
        <v>37</v>
      </c>
      <c r="CJ231" s="44" t="s">
        <v>37</v>
      </c>
      <c r="CL231" s="44" t="s">
        <v>37</v>
      </c>
      <c r="CM231" s="44">
        <v>41613</v>
      </c>
      <c r="CN231" s="44" t="s">
        <v>37</v>
      </c>
      <c r="CP231" s="44" t="s">
        <v>37</v>
      </c>
      <c r="CR231" s="44" t="s">
        <v>37</v>
      </c>
      <c r="CT231" s="44" t="s">
        <v>37</v>
      </c>
      <c r="CU231" s="44">
        <v>6047</v>
      </c>
      <c r="CV231" s="44" t="s">
        <v>37</v>
      </c>
      <c r="CX231" s="44" t="s">
        <v>37</v>
      </c>
      <c r="CZ231" s="44" t="s">
        <v>37</v>
      </c>
      <c r="DB231" s="44" t="s">
        <v>37</v>
      </c>
      <c r="DD231" s="44" t="s">
        <v>37</v>
      </c>
      <c r="DF231" s="44" t="s">
        <v>37</v>
      </c>
      <c r="DH231" s="44" t="s">
        <v>37</v>
      </c>
      <c r="DJ231" s="44" t="s">
        <v>37</v>
      </c>
      <c r="DL231" s="44" t="s">
        <v>37</v>
      </c>
      <c r="DN231" s="44" t="s">
        <v>37</v>
      </c>
      <c r="DP231" s="44" t="s">
        <v>37</v>
      </c>
      <c r="DR231" s="44" t="s">
        <v>37</v>
      </c>
      <c r="DT231" s="44" t="s">
        <v>37</v>
      </c>
      <c r="DV231" s="44" t="s">
        <v>37</v>
      </c>
      <c r="DX231" s="44" t="s">
        <v>37</v>
      </c>
      <c r="DZ231" s="44" t="s">
        <v>37</v>
      </c>
      <c r="EB231" s="44" t="s">
        <v>37</v>
      </c>
      <c r="ED231" s="44" t="s">
        <v>37</v>
      </c>
      <c r="EF231" s="44" t="s">
        <v>37</v>
      </c>
      <c r="EH231" s="44" t="s">
        <v>37</v>
      </c>
      <c r="EJ231" s="44" t="s">
        <v>37</v>
      </c>
      <c r="EK231" s="44">
        <v>22587</v>
      </c>
      <c r="EL231" s="44" t="s">
        <v>37</v>
      </c>
      <c r="EN231" s="44" t="s">
        <v>37</v>
      </c>
      <c r="EP231" s="44" t="s">
        <v>37</v>
      </c>
      <c r="ER231" s="44" t="s">
        <v>37</v>
      </c>
      <c r="ET231" s="44" t="s">
        <v>37</v>
      </c>
      <c r="EV231" s="44" t="s">
        <v>37</v>
      </c>
      <c r="EX231" s="44" t="s">
        <v>37</v>
      </c>
      <c r="EZ231" s="44" t="s">
        <v>37</v>
      </c>
      <c r="FB231" s="44" t="s">
        <v>37</v>
      </c>
      <c r="FD231" s="44" t="s">
        <v>37</v>
      </c>
      <c r="FF231" s="44" t="s">
        <v>37</v>
      </c>
      <c r="FH231" s="44" t="s">
        <v>37</v>
      </c>
      <c r="FJ231" s="44" t="s">
        <v>37</v>
      </c>
      <c r="FL231" s="44" t="s">
        <v>37</v>
      </c>
      <c r="FM231" s="44">
        <v>501241</v>
      </c>
      <c r="FN231" s="44" t="s">
        <v>37</v>
      </c>
      <c r="FP231" s="44" t="s">
        <v>37</v>
      </c>
      <c r="FR231" s="44" t="s">
        <v>37</v>
      </c>
      <c r="FT231" s="44" t="s">
        <v>37</v>
      </c>
      <c r="FV231" s="44" t="s">
        <v>37</v>
      </c>
      <c r="FX231" s="44" t="s">
        <v>37</v>
      </c>
      <c r="FZ231" s="44" t="s">
        <v>37</v>
      </c>
      <c r="GB231" s="44" t="s">
        <v>37</v>
      </c>
      <c r="GC231" s="44">
        <v>11256</v>
      </c>
      <c r="GD231" s="44" t="s">
        <v>37</v>
      </c>
      <c r="GF231" s="44" t="s">
        <v>37</v>
      </c>
      <c r="GH231" s="44" t="s">
        <v>37</v>
      </c>
      <c r="GJ231" s="44" t="s">
        <v>37</v>
      </c>
      <c r="GK231" s="44">
        <v>815482</v>
      </c>
      <c r="GL231" s="44" t="s">
        <v>37</v>
      </c>
      <c r="GM231" s="44">
        <v>137328</v>
      </c>
      <c r="GN231" s="44" t="s">
        <v>37</v>
      </c>
      <c r="GP231" s="44" t="s">
        <v>37</v>
      </c>
      <c r="GR231" s="44" t="s">
        <v>37</v>
      </c>
      <c r="GT231" s="44" t="s">
        <v>37</v>
      </c>
      <c r="GV231" s="44" t="s">
        <v>37</v>
      </c>
      <c r="GX231" s="44" t="s">
        <v>37</v>
      </c>
      <c r="GZ231" s="44" t="s">
        <v>37</v>
      </c>
      <c r="HB231" s="44" t="s">
        <v>37</v>
      </c>
      <c r="HD231" s="44" t="s">
        <v>37</v>
      </c>
      <c r="HF231" s="44" t="s">
        <v>37</v>
      </c>
      <c r="HG231" s="44">
        <v>3075073</v>
      </c>
      <c r="HH231" s="44" t="s">
        <v>37</v>
      </c>
      <c r="HJ231" s="44" t="s">
        <v>37</v>
      </c>
      <c r="HK231" s="44">
        <v>3075073</v>
      </c>
      <c r="HL231" s="44" t="s">
        <v>37</v>
      </c>
    </row>
    <row r="232" spans="1:220">
      <c r="A232" s="150" t="s">
        <v>408</v>
      </c>
      <c r="B232" s="54">
        <v>4200</v>
      </c>
      <c r="C232" s="44" t="s">
        <v>100</v>
      </c>
      <c r="D232" s="44" t="s">
        <v>37</v>
      </c>
      <c r="F232" s="44" t="s">
        <v>37</v>
      </c>
      <c r="H232" s="44" t="s">
        <v>37</v>
      </c>
      <c r="J232" s="44" t="s">
        <v>37</v>
      </c>
      <c r="L232" s="48" t="s">
        <v>37</v>
      </c>
      <c r="M232" s="50"/>
      <c r="N232" s="48" t="s">
        <v>37</v>
      </c>
      <c r="O232" s="50"/>
      <c r="P232" s="48" t="s">
        <v>37</v>
      </c>
      <c r="Q232" s="50"/>
      <c r="R232" s="48" t="s">
        <v>37</v>
      </c>
      <c r="S232" s="50"/>
      <c r="T232" s="48" t="s">
        <v>37</v>
      </c>
      <c r="V232" s="44" t="s">
        <v>37</v>
      </c>
      <c r="X232" s="44" t="s">
        <v>37</v>
      </c>
      <c r="Z232" s="44" t="s">
        <v>37</v>
      </c>
      <c r="AB232" s="44" t="s">
        <v>37</v>
      </c>
      <c r="AD232" s="44" t="s">
        <v>37</v>
      </c>
      <c r="AF232" s="44" t="s">
        <v>37</v>
      </c>
      <c r="AH232" s="44" t="s">
        <v>37</v>
      </c>
      <c r="AJ232" s="44" t="s">
        <v>37</v>
      </c>
      <c r="AL232" s="44" t="s">
        <v>37</v>
      </c>
      <c r="AN232" s="44" t="s">
        <v>37</v>
      </c>
      <c r="AP232" s="44" t="s">
        <v>37</v>
      </c>
      <c r="AR232" s="44" t="s">
        <v>37</v>
      </c>
      <c r="AT232" s="44" t="s">
        <v>37</v>
      </c>
      <c r="AV232" s="44" t="s">
        <v>37</v>
      </c>
      <c r="AX232" s="44" t="s">
        <v>37</v>
      </c>
      <c r="AZ232" s="44" t="s">
        <v>37</v>
      </c>
      <c r="BB232" s="44" t="s">
        <v>37</v>
      </c>
      <c r="BD232" s="44" t="s">
        <v>37</v>
      </c>
      <c r="BF232" s="44" t="s">
        <v>37</v>
      </c>
      <c r="BH232" s="44" t="s">
        <v>37</v>
      </c>
      <c r="BJ232" s="44" t="s">
        <v>37</v>
      </c>
      <c r="BL232" s="44" t="s">
        <v>37</v>
      </c>
      <c r="BN232" s="44" t="s">
        <v>37</v>
      </c>
      <c r="BP232" s="44" t="s">
        <v>37</v>
      </c>
      <c r="BR232" s="44" t="s">
        <v>37</v>
      </c>
      <c r="BT232" s="44" t="s">
        <v>37</v>
      </c>
      <c r="BV232" s="44" t="s">
        <v>37</v>
      </c>
      <c r="BX232" s="44" t="s">
        <v>37</v>
      </c>
      <c r="BZ232" s="44" t="s">
        <v>37</v>
      </c>
      <c r="CB232" s="44" t="s">
        <v>37</v>
      </c>
      <c r="CD232" s="44" t="s">
        <v>37</v>
      </c>
      <c r="CF232" s="44" t="s">
        <v>37</v>
      </c>
      <c r="CH232" s="44" t="s">
        <v>37</v>
      </c>
      <c r="CJ232" s="44" t="s">
        <v>37</v>
      </c>
      <c r="CL232" s="44" t="s">
        <v>37</v>
      </c>
      <c r="CN232" s="44" t="s">
        <v>37</v>
      </c>
      <c r="CP232" s="44" t="s">
        <v>37</v>
      </c>
      <c r="CR232" s="44" t="s">
        <v>37</v>
      </c>
      <c r="CT232" s="44" t="s">
        <v>37</v>
      </c>
      <c r="CV232" s="44" t="s">
        <v>37</v>
      </c>
      <c r="CX232" s="44" t="s">
        <v>37</v>
      </c>
      <c r="CZ232" s="44" t="s">
        <v>37</v>
      </c>
      <c r="DB232" s="44" t="s">
        <v>37</v>
      </c>
      <c r="DD232" s="44" t="s">
        <v>37</v>
      </c>
      <c r="DF232" s="44" t="s">
        <v>37</v>
      </c>
      <c r="DH232" s="44" t="s">
        <v>37</v>
      </c>
      <c r="DJ232" s="44" t="s">
        <v>37</v>
      </c>
      <c r="DL232" s="44" t="s">
        <v>37</v>
      </c>
      <c r="DN232" s="44" t="s">
        <v>37</v>
      </c>
      <c r="DP232" s="44" t="s">
        <v>37</v>
      </c>
      <c r="DR232" s="44" t="s">
        <v>37</v>
      </c>
      <c r="DT232" s="44" t="s">
        <v>37</v>
      </c>
      <c r="DV232" s="44" t="s">
        <v>37</v>
      </c>
      <c r="DX232" s="44" t="s">
        <v>37</v>
      </c>
      <c r="DZ232" s="44" t="s">
        <v>37</v>
      </c>
      <c r="EB232" s="44" t="s">
        <v>37</v>
      </c>
      <c r="ED232" s="44" t="s">
        <v>37</v>
      </c>
      <c r="EF232" s="44" t="s">
        <v>37</v>
      </c>
      <c r="EH232" s="44" t="s">
        <v>37</v>
      </c>
      <c r="EJ232" s="44" t="s">
        <v>37</v>
      </c>
      <c r="EL232" s="44" t="s">
        <v>37</v>
      </c>
      <c r="EN232" s="44" t="s">
        <v>37</v>
      </c>
      <c r="EP232" s="44" t="s">
        <v>37</v>
      </c>
      <c r="ER232" s="44" t="s">
        <v>37</v>
      </c>
      <c r="ET232" s="44" t="s">
        <v>37</v>
      </c>
      <c r="EV232" s="44" t="s">
        <v>37</v>
      </c>
      <c r="EX232" s="44" t="s">
        <v>37</v>
      </c>
      <c r="EZ232" s="44" t="s">
        <v>37</v>
      </c>
      <c r="FB232" s="44" t="s">
        <v>37</v>
      </c>
      <c r="FD232" s="44" t="s">
        <v>37</v>
      </c>
      <c r="FF232" s="44" t="s">
        <v>37</v>
      </c>
      <c r="FH232" s="44" t="s">
        <v>37</v>
      </c>
      <c r="FJ232" s="44" t="s">
        <v>37</v>
      </c>
      <c r="FL232" s="44" t="s">
        <v>37</v>
      </c>
      <c r="FN232" s="44" t="s">
        <v>37</v>
      </c>
      <c r="FP232" s="44" t="s">
        <v>37</v>
      </c>
      <c r="FR232" s="44" t="s">
        <v>37</v>
      </c>
      <c r="FT232" s="44" t="s">
        <v>37</v>
      </c>
      <c r="FV232" s="44" t="s">
        <v>37</v>
      </c>
      <c r="FX232" s="44" t="s">
        <v>37</v>
      </c>
      <c r="FZ232" s="44" t="s">
        <v>37</v>
      </c>
      <c r="GB232" s="44" t="s">
        <v>37</v>
      </c>
      <c r="GD232" s="44" t="s">
        <v>37</v>
      </c>
      <c r="GF232" s="44" t="s">
        <v>37</v>
      </c>
      <c r="GH232" s="44" t="s">
        <v>37</v>
      </c>
      <c r="GJ232" s="44" t="s">
        <v>37</v>
      </c>
      <c r="GL232" s="44" t="s">
        <v>37</v>
      </c>
      <c r="GN232" s="44" t="s">
        <v>37</v>
      </c>
      <c r="GP232" s="44" t="s">
        <v>37</v>
      </c>
      <c r="GR232" s="44" t="s">
        <v>37</v>
      </c>
      <c r="GT232" s="44" t="s">
        <v>37</v>
      </c>
      <c r="GV232" s="44" t="s">
        <v>37</v>
      </c>
      <c r="GX232" s="44" t="s">
        <v>37</v>
      </c>
      <c r="GZ232" s="44" t="s">
        <v>37</v>
      </c>
      <c r="HB232" s="44" t="s">
        <v>37</v>
      </c>
      <c r="HD232" s="44" t="s">
        <v>37</v>
      </c>
      <c r="HF232" s="44" t="s">
        <v>37</v>
      </c>
      <c r="HH232" s="44" t="s">
        <v>37</v>
      </c>
      <c r="HJ232" s="44" t="s">
        <v>37</v>
      </c>
      <c r="HL232" s="44" t="s">
        <v>37</v>
      </c>
    </row>
    <row r="233" spans="1:220">
      <c r="A233" s="150" t="s">
        <v>412</v>
      </c>
      <c r="B233" s="44">
        <v>4210</v>
      </c>
      <c r="C233" s="44" t="s">
        <v>242</v>
      </c>
      <c r="D233" s="44" t="s">
        <v>37</v>
      </c>
      <c r="E233" s="44">
        <v>70323</v>
      </c>
      <c r="F233" s="44" t="s">
        <v>37</v>
      </c>
      <c r="G233" s="44">
        <v>441669</v>
      </c>
      <c r="H233" s="44" t="s">
        <v>37</v>
      </c>
      <c r="I233" s="44">
        <v>57070</v>
      </c>
      <c r="J233" s="44" t="s">
        <v>37</v>
      </c>
      <c r="L233" s="48" t="s">
        <v>37</v>
      </c>
      <c r="M233" s="51">
        <v>26657</v>
      </c>
      <c r="N233" s="48" t="s">
        <v>37</v>
      </c>
      <c r="O233" s="51">
        <v>22947</v>
      </c>
      <c r="P233" s="48" t="s">
        <v>37</v>
      </c>
      <c r="Q233" s="51">
        <v>38218</v>
      </c>
      <c r="R233" s="48" t="s">
        <v>37</v>
      </c>
      <c r="S233" s="51">
        <v>47734</v>
      </c>
      <c r="T233" s="48" t="s">
        <v>37</v>
      </c>
      <c r="U233" s="44">
        <v>199031</v>
      </c>
      <c r="V233" s="44" t="s">
        <v>37</v>
      </c>
      <c r="X233" s="44" t="s">
        <v>37</v>
      </c>
      <c r="Y233" s="44">
        <v>86380</v>
      </c>
      <c r="Z233" s="44" t="s">
        <v>37</v>
      </c>
      <c r="AA233" s="44">
        <v>34293</v>
      </c>
      <c r="AB233" s="44" t="s">
        <v>37</v>
      </c>
      <c r="AC233" s="44">
        <v>20480</v>
      </c>
      <c r="AD233" s="44" t="s">
        <v>37</v>
      </c>
      <c r="AE233" s="44">
        <v>13862</v>
      </c>
      <c r="AF233" s="44" t="s">
        <v>37</v>
      </c>
      <c r="AG233" s="44">
        <v>16442</v>
      </c>
      <c r="AH233" s="44" t="s">
        <v>37</v>
      </c>
      <c r="AI233" s="44">
        <v>38927</v>
      </c>
      <c r="AJ233" s="44" t="s">
        <v>37</v>
      </c>
      <c r="AK233" s="44">
        <v>12912</v>
      </c>
      <c r="AL233" s="44" t="s">
        <v>37</v>
      </c>
      <c r="AM233" s="44">
        <v>259918</v>
      </c>
      <c r="AN233" s="44" t="s">
        <v>37</v>
      </c>
      <c r="AO233" s="44">
        <v>91400</v>
      </c>
      <c r="AP233" s="44" t="s">
        <v>37</v>
      </c>
      <c r="AQ233" s="44">
        <v>397582</v>
      </c>
      <c r="AR233" s="44" t="s">
        <v>37</v>
      </c>
      <c r="AS233" s="44">
        <v>38874</v>
      </c>
      <c r="AT233" s="44" t="s">
        <v>37</v>
      </c>
      <c r="AU233" s="44">
        <v>793429</v>
      </c>
      <c r="AV233" s="44" t="s">
        <v>37</v>
      </c>
      <c r="AW233" s="44">
        <v>162277</v>
      </c>
      <c r="AX233" s="44" t="s">
        <v>37</v>
      </c>
      <c r="AY233" s="44">
        <v>113780</v>
      </c>
      <c r="AZ233" s="44" t="s">
        <v>37</v>
      </c>
      <c r="BA233" s="44">
        <v>141459</v>
      </c>
      <c r="BB233" s="44" t="s">
        <v>37</v>
      </c>
      <c r="BC233" s="44">
        <v>34061</v>
      </c>
      <c r="BD233" s="44" t="s">
        <v>37</v>
      </c>
      <c r="BE233" s="44">
        <v>65625</v>
      </c>
      <c r="BF233" s="44" t="s">
        <v>37</v>
      </c>
      <c r="BG233" s="44">
        <v>17063</v>
      </c>
      <c r="BH233" s="44" t="s">
        <v>37</v>
      </c>
      <c r="BJ233" s="44" t="s">
        <v>37</v>
      </c>
      <c r="BK233" s="44">
        <v>157749</v>
      </c>
      <c r="BL233" s="44" t="s">
        <v>37</v>
      </c>
      <c r="BM233" s="44">
        <v>232904</v>
      </c>
      <c r="BN233" s="44" t="s">
        <v>37</v>
      </c>
      <c r="BP233" s="44" t="s">
        <v>37</v>
      </c>
      <c r="BR233" s="44" t="s">
        <v>37</v>
      </c>
      <c r="BT233" s="44" t="s">
        <v>37</v>
      </c>
      <c r="BV233" s="44" t="s">
        <v>37</v>
      </c>
      <c r="BW233" s="44">
        <v>139914</v>
      </c>
      <c r="BX233" s="44" t="s">
        <v>37</v>
      </c>
      <c r="BY233" s="44">
        <v>219822</v>
      </c>
      <c r="BZ233" s="44" t="s">
        <v>37</v>
      </c>
      <c r="CA233" s="44">
        <v>61625</v>
      </c>
      <c r="CB233" s="44" t="s">
        <v>37</v>
      </c>
      <c r="CD233" s="44" t="s">
        <v>37</v>
      </c>
      <c r="CE233" s="44">
        <v>69609</v>
      </c>
      <c r="CF233" s="44" t="s">
        <v>37</v>
      </c>
      <c r="CG233" s="44">
        <v>76103</v>
      </c>
      <c r="CH233" s="44" t="s">
        <v>37</v>
      </c>
      <c r="CI233" s="44">
        <v>265411</v>
      </c>
      <c r="CJ233" s="44" t="s">
        <v>37</v>
      </c>
      <c r="CK233" s="44">
        <v>21771</v>
      </c>
      <c r="CL233" s="44" t="s">
        <v>37</v>
      </c>
      <c r="CM233" s="44">
        <v>91490</v>
      </c>
      <c r="CN233" s="44" t="s">
        <v>37</v>
      </c>
      <c r="CO233" s="44">
        <v>22921</v>
      </c>
      <c r="CP233" s="44" t="s">
        <v>37</v>
      </c>
      <c r="CQ233" s="44">
        <v>21558</v>
      </c>
      <c r="CR233" s="44" t="s">
        <v>37</v>
      </c>
      <c r="CS233" s="44">
        <v>169258</v>
      </c>
      <c r="CT233" s="44" t="s">
        <v>37</v>
      </c>
      <c r="CU233" s="44">
        <v>1021142</v>
      </c>
      <c r="CV233" s="44" t="s">
        <v>37</v>
      </c>
      <c r="CX233" s="44" t="s">
        <v>37</v>
      </c>
      <c r="CY233" s="44">
        <v>15516</v>
      </c>
      <c r="CZ233" s="44" t="s">
        <v>37</v>
      </c>
      <c r="DA233" s="44">
        <v>10776</v>
      </c>
      <c r="DB233" s="44" t="s">
        <v>37</v>
      </c>
      <c r="DD233" s="44" t="s">
        <v>37</v>
      </c>
      <c r="DE233" s="44">
        <v>42758</v>
      </c>
      <c r="DF233" s="44" t="s">
        <v>37</v>
      </c>
      <c r="DG233" s="44">
        <v>40488</v>
      </c>
      <c r="DH233" s="44" t="s">
        <v>37</v>
      </c>
      <c r="DI233" s="44">
        <v>550906</v>
      </c>
      <c r="DJ233" s="44" t="s">
        <v>37</v>
      </c>
      <c r="DK233" s="44">
        <v>86902</v>
      </c>
      <c r="DL233" s="44" t="s">
        <v>37</v>
      </c>
      <c r="DM233" s="44">
        <v>154370</v>
      </c>
      <c r="DN233" s="44" t="s">
        <v>37</v>
      </c>
      <c r="DO233" s="44">
        <v>165977</v>
      </c>
      <c r="DP233" s="44" t="s">
        <v>37</v>
      </c>
      <c r="DQ233" s="44">
        <v>99140</v>
      </c>
      <c r="DR233" s="44" t="s">
        <v>37</v>
      </c>
      <c r="DS233" s="44">
        <v>75885</v>
      </c>
      <c r="DT233" s="44" t="s">
        <v>37</v>
      </c>
      <c r="DU233" s="44">
        <v>63706</v>
      </c>
      <c r="DV233" s="44" t="s">
        <v>37</v>
      </c>
      <c r="DW233" s="44">
        <v>195469</v>
      </c>
      <c r="DX233" s="44" t="s">
        <v>37</v>
      </c>
      <c r="DY233" s="44">
        <v>181374</v>
      </c>
      <c r="DZ233" s="44" t="s">
        <v>37</v>
      </c>
      <c r="EA233" s="44">
        <v>37045</v>
      </c>
      <c r="EB233" s="44" t="s">
        <v>37</v>
      </c>
      <c r="EC233" s="44">
        <v>59495</v>
      </c>
      <c r="ED233" s="44" t="s">
        <v>37</v>
      </c>
      <c r="EE233" s="44">
        <v>147471</v>
      </c>
      <c r="EF233" s="44" t="s">
        <v>37</v>
      </c>
      <c r="EG233" s="44">
        <v>22839</v>
      </c>
      <c r="EH233" s="44" t="s">
        <v>37</v>
      </c>
      <c r="EJ233" s="44" t="s">
        <v>37</v>
      </c>
      <c r="EK233" s="44">
        <v>66683</v>
      </c>
      <c r="EL233" s="44" t="s">
        <v>37</v>
      </c>
      <c r="EM233" s="44">
        <v>53581</v>
      </c>
      <c r="EN233" s="44" t="s">
        <v>37</v>
      </c>
      <c r="EO233" s="44">
        <v>21650</v>
      </c>
      <c r="EP233" s="44" t="s">
        <v>37</v>
      </c>
      <c r="ER233" s="44" t="s">
        <v>37</v>
      </c>
      <c r="ES233" s="44">
        <v>107057</v>
      </c>
      <c r="ET233" s="44" t="s">
        <v>37</v>
      </c>
      <c r="EU233" s="44">
        <v>145390</v>
      </c>
      <c r="EV233" s="44" t="s">
        <v>37</v>
      </c>
      <c r="EW233" s="44">
        <v>185247</v>
      </c>
      <c r="EX233" s="44" t="s">
        <v>37</v>
      </c>
      <c r="EZ233" s="44" t="s">
        <v>37</v>
      </c>
      <c r="FA233" s="44">
        <v>92384</v>
      </c>
      <c r="FB233" s="44" t="s">
        <v>37</v>
      </c>
      <c r="FC233" s="44">
        <v>70029</v>
      </c>
      <c r="FD233" s="44" t="s">
        <v>37</v>
      </c>
      <c r="FE233" s="44">
        <v>175759</v>
      </c>
      <c r="FF233" s="44" t="s">
        <v>37</v>
      </c>
      <c r="FH233" s="44" t="s">
        <v>37</v>
      </c>
      <c r="FI233" s="44">
        <v>234833</v>
      </c>
      <c r="FJ233" s="44" t="s">
        <v>37</v>
      </c>
      <c r="FK233" s="44">
        <v>649517</v>
      </c>
      <c r="FL233" s="44" t="s">
        <v>37</v>
      </c>
      <c r="FM233" s="44">
        <v>181754</v>
      </c>
      <c r="FN233" s="44" t="s">
        <v>37</v>
      </c>
      <c r="FO233" s="44">
        <v>39274</v>
      </c>
      <c r="FP233" s="44" t="s">
        <v>37</v>
      </c>
      <c r="FQ233" s="44">
        <v>186452</v>
      </c>
      <c r="FR233" s="44" t="s">
        <v>37</v>
      </c>
      <c r="FS233" s="44">
        <v>109891</v>
      </c>
      <c r="FT233" s="44" t="s">
        <v>37</v>
      </c>
      <c r="FU233" s="44">
        <v>51132</v>
      </c>
      <c r="FV233" s="44" t="s">
        <v>37</v>
      </c>
      <c r="FW233" s="44">
        <v>36711</v>
      </c>
      <c r="FX233" s="44" t="s">
        <v>37</v>
      </c>
      <c r="FY233" s="44">
        <v>79298</v>
      </c>
      <c r="FZ233" s="44" t="s">
        <v>37</v>
      </c>
      <c r="GA233" s="44">
        <v>115548</v>
      </c>
      <c r="GB233" s="44" t="s">
        <v>37</v>
      </c>
      <c r="GC233" s="44">
        <v>189685</v>
      </c>
      <c r="GD233" s="44" t="s">
        <v>37</v>
      </c>
      <c r="GE233" s="44">
        <v>866</v>
      </c>
      <c r="GF233" s="44" t="s">
        <v>37</v>
      </c>
      <c r="GG233" s="44">
        <v>840</v>
      </c>
      <c r="GH233" s="44" t="s">
        <v>37</v>
      </c>
      <c r="GJ233" s="44" t="s">
        <v>37</v>
      </c>
      <c r="GK233" s="44">
        <v>211891</v>
      </c>
      <c r="GL233" s="44" t="s">
        <v>37</v>
      </c>
      <c r="GM233" s="44">
        <v>163113</v>
      </c>
      <c r="GN233" s="44" t="s">
        <v>37</v>
      </c>
      <c r="GP233" s="44" t="s">
        <v>37</v>
      </c>
      <c r="GQ233" s="44">
        <v>83918</v>
      </c>
      <c r="GR233" s="44" t="s">
        <v>37</v>
      </c>
      <c r="GS233" s="44">
        <v>232840</v>
      </c>
      <c r="GT233" s="44" t="s">
        <v>37</v>
      </c>
      <c r="GU233" s="44">
        <v>96587</v>
      </c>
      <c r="GV233" s="44" t="s">
        <v>37</v>
      </c>
      <c r="GW233" s="44">
        <v>63935</v>
      </c>
      <c r="GX233" s="44" t="s">
        <v>37</v>
      </c>
      <c r="GY233" s="44">
        <v>228493</v>
      </c>
      <c r="GZ233" s="44" t="s">
        <v>37</v>
      </c>
      <c r="HA233" s="44">
        <v>66827</v>
      </c>
      <c r="HB233" s="44" t="s">
        <v>37</v>
      </c>
      <c r="HC233" s="44">
        <v>66108</v>
      </c>
      <c r="HD233" s="44" t="s">
        <v>37</v>
      </c>
      <c r="HE233" s="44">
        <v>21551</v>
      </c>
      <c r="HF233" s="44" t="s">
        <v>37</v>
      </c>
      <c r="HG233" s="44">
        <v>11704992</v>
      </c>
      <c r="HH233" s="44" t="s">
        <v>37</v>
      </c>
      <c r="HI233" s="44">
        <v>87659</v>
      </c>
      <c r="HJ233" s="44" t="s">
        <v>37</v>
      </c>
      <c r="HK233" s="44">
        <v>11792651</v>
      </c>
      <c r="HL233" s="44" t="s">
        <v>37</v>
      </c>
    </row>
    <row r="234" spans="1:220">
      <c r="A234" s="150" t="s">
        <v>412</v>
      </c>
      <c r="B234" s="44">
        <v>4220</v>
      </c>
      <c r="C234" s="44" t="s">
        <v>243</v>
      </c>
      <c r="D234" s="44" t="s">
        <v>37</v>
      </c>
      <c r="F234" s="44" t="s">
        <v>37</v>
      </c>
      <c r="H234" s="44" t="s">
        <v>37</v>
      </c>
      <c r="J234" s="44" t="s">
        <v>37</v>
      </c>
      <c r="L234" s="48" t="s">
        <v>37</v>
      </c>
      <c r="M234" s="50"/>
      <c r="N234" s="48" t="s">
        <v>37</v>
      </c>
      <c r="O234" s="50"/>
      <c r="P234" s="48" t="s">
        <v>37</v>
      </c>
      <c r="Q234" s="50"/>
      <c r="R234" s="48" t="s">
        <v>37</v>
      </c>
      <c r="S234" s="50"/>
      <c r="T234" s="48" t="s">
        <v>37</v>
      </c>
      <c r="V234" s="44" t="s">
        <v>37</v>
      </c>
      <c r="X234" s="44" t="s">
        <v>37</v>
      </c>
      <c r="Z234" s="44" t="s">
        <v>37</v>
      </c>
      <c r="AA234" s="44">
        <v>66730</v>
      </c>
      <c r="AB234" s="44" t="s">
        <v>37</v>
      </c>
      <c r="AD234" s="44" t="s">
        <v>37</v>
      </c>
      <c r="AF234" s="44" t="s">
        <v>37</v>
      </c>
      <c r="AH234" s="44" t="s">
        <v>37</v>
      </c>
      <c r="AJ234" s="44" t="s">
        <v>37</v>
      </c>
      <c r="AL234" s="44" t="s">
        <v>37</v>
      </c>
      <c r="AN234" s="44" t="s">
        <v>37</v>
      </c>
      <c r="AO234" s="44">
        <v>91081</v>
      </c>
      <c r="AP234" s="44" t="s">
        <v>37</v>
      </c>
      <c r="AQ234" s="44">
        <v>142569</v>
      </c>
      <c r="AR234" s="44" t="s">
        <v>37</v>
      </c>
      <c r="AT234" s="44" t="s">
        <v>37</v>
      </c>
      <c r="AV234" s="44" t="s">
        <v>37</v>
      </c>
      <c r="AX234" s="44" t="s">
        <v>37</v>
      </c>
      <c r="AZ234" s="44" t="s">
        <v>37</v>
      </c>
      <c r="BA234" s="44">
        <v>74767</v>
      </c>
      <c r="BB234" s="44" t="s">
        <v>37</v>
      </c>
      <c r="BD234" s="44" t="s">
        <v>37</v>
      </c>
      <c r="BF234" s="44" t="s">
        <v>37</v>
      </c>
      <c r="BH234" s="44" t="s">
        <v>37</v>
      </c>
      <c r="BJ234" s="44" t="s">
        <v>37</v>
      </c>
      <c r="BL234" s="44" t="s">
        <v>37</v>
      </c>
      <c r="BM234" s="44">
        <v>4857</v>
      </c>
      <c r="BN234" s="44" t="s">
        <v>37</v>
      </c>
      <c r="BP234" s="44" t="s">
        <v>37</v>
      </c>
      <c r="BR234" s="44" t="s">
        <v>37</v>
      </c>
      <c r="BT234" s="44" t="s">
        <v>37</v>
      </c>
      <c r="BV234" s="44" t="s">
        <v>37</v>
      </c>
      <c r="BX234" s="44" t="s">
        <v>37</v>
      </c>
      <c r="BZ234" s="44" t="s">
        <v>37</v>
      </c>
      <c r="CB234" s="44" t="s">
        <v>37</v>
      </c>
      <c r="CD234" s="44" t="s">
        <v>37</v>
      </c>
      <c r="CF234" s="44" t="s">
        <v>37</v>
      </c>
      <c r="CH234" s="44" t="s">
        <v>37</v>
      </c>
      <c r="CI234" s="44">
        <v>5624</v>
      </c>
      <c r="CJ234" s="44" t="s">
        <v>37</v>
      </c>
      <c r="CL234" s="44" t="s">
        <v>37</v>
      </c>
      <c r="CM234" s="44">
        <v>96839</v>
      </c>
      <c r="CN234" s="44" t="s">
        <v>37</v>
      </c>
      <c r="CP234" s="44" t="s">
        <v>37</v>
      </c>
      <c r="CR234" s="44" t="s">
        <v>37</v>
      </c>
      <c r="CS234" s="44">
        <v>93254</v>
      </c>
      <c r="CT234" s="44" t="s">
        <v>37</v>
      </c>
      <c r="CU234" s="44">
        <v>106254</v>
      </c>
      <c r="CV234" s="44" t="s">
        <v>37</v>
      </c>
      <c r="CX234" s="44" t="s">
        <v>37</v>
      </c>
      <c r="CZ234" s="44" t="s">
        <v>37</v>
      </c>
      <c r="DB234" s="44" t="s">
        <v>37</v>
      </c>
      <c r="DD234" s="44" t="s">
        <v>37</v>
      </c>
      <c r="DF234" s="44" t="s">
        <v>37</v>
      </c>
      <c r="DH234" s="44" t="s">
        <v>37</v>
      </c>
      <c r="DJ234" s="44" t="s">
        <v>37</v>
      </c>
      <c r="DL234" s="44" t="s">
        <v>37</v>
      </c>
      <c r="DN234" s="44" t="s">
        <v>37</v>
      </c>
      <c r="DP234" s="44" t="s">
        <v>37</v>
      </c>
      <c r="DR234" s="44" t="s">
        <v>37</v>
      </c>
      <c r="DT234" s="44" t="s">
        <v>37</v>
      </c>
      <c r="DV234" s="44" t="s">
        <v>37</v>
      </c>
      <c r="DX234" s="44" t="s">
        <v>37</v>
      </c>
      <c r="DZ234" s="44" t="s">
        <v>37</v>
      </c>
      <c r="EB234" s="44" t="s">
        <v>37</v>
      </c>
      <c r="EC234" s="44">
        <v>142203</v>
      </c>
      <c r="ED234" s="44" t="s">
        <v>37</v>
      </c>
      <c r="EF234" s="44" t="s">
        <v>37</v>
      </c>
      <c r="EH234" s="44" t="s">
        <v>37</v>
      </c>
      <c r="EJ234" s="44" t="s">
        <v>37</v>
      </c>
      <c r="EL234" s="44" t="s">
        <v>37</v>
      </c>
      <c r="EN234" s="44" t="s">
        <v>37</v>
      </c>
      <c r="EP234" s="44" t="s">
        <v>37</v>
      </c>
      <c r="ER234" s="44" t="s">
        <v>37</v>
      </c>
      <c r="ET234" s="44" t="s">
        <v>37</v>
      </c>
      <c r="EV234" s="44" t="s">
        <v>37</v>
      </c>
      <c r="EX234" s="44" t="s">
        <v>37</v>
      </c>
      <c r="EZ234" s="44" t="s">
        <v>37</v>
      </c>
      <c r="FB234" s="44" t="s">
        <v>37</v>
      </c>
      <c r="FD234" s="44" t="s">
        <v>37</v>
      </c>
      <c r="FF234" s="44" t="s">
        <v>37</v>
      </c>
      <c r="FH234" s="44" t="s">
        <v>37</v>
      </c>
      <c r="FJ234" s="44" t="s">
        <v>37</v>
      </c>
      <c r="FL234" s="44" t="s">
        <v>37</v>
      </c>
      <c r="FN234" s="44" t="s">
        <v>37</v>
      </c>
      <c r="FP234" s="44" t="s">
        <v>37</v>
      </c>
      <c r="FR234" s="44" t="s">
        <v>37</v>
      </c>
      <c r="FT234" s="44" t="s">
        <v>37</v>
      </c>
      <c r="FV234" s="44" t="s">
        <v>37</v>
      </c>
      <c r="FX234" s="44" t="s">
        <v>37</v>
      </c>
      <c r="FY234" s="44">
        <v>107862</v>
      </c>
      <c r="FZ234" s="44" t="s">
        <v>37</v>
      </c>
      <c r="GB234" s="44" t="s">
        <v>37</v>
      </c>
      <c r="GD234" s="44" t="s">
        <v>37</v>
      </c>
      <c r="GF234" s="44" t="s">
        <v>37</v>
      </c>
      <c r="GH234" s="44" t="s">
        <v>37</v>
      </c>
      <c r="GJ234" s="44" t="s">
        <v>37</v>
      </c>
      <c r="GL234" s="44" t="s">
        <v>37</v>
      </c>
      <c r="GN234" s="44" t="s">
        <v>37</v>
      </c>
      <c r="GP234" s="44" t="s">
        <v>37</v>
      </c>
      <c r="GR234" s="44" t="s">
        <v>37</v>
      </c>
      <c r="GT234" s="44" t="s">
        <v>37</v>
      </c>
      <c r="GV234" s="44" t="s">
        <v>37</v>
      </c>
      <c r="GX234" s="44" t="s">
        <v>37</v>
      </c>
      <c r="GY234" s="44">
        <v>92305</v>
      </c>
      <c r="GZ234" s="44" t="s">
        <v>37</v>
      </c>
      <c r="HB234" s="44" t="s">
        <v>37</v>
      </c>
      <c r="HD234" s="44" t="s">
        <v>37</v>
      </c>
      <c r="HF234" s="44" t="s">
        <v>37</v>
      </c>
      <c r="HG234" s="44">
        <v>1024345</v>
      </c>
      <c r="HH234" s="44" t="s">
        <v>37</v>
      </c>
      <c r="HJ234" s="44" t="s">
        <v>37</v>
      </c>
      <c r="HK234" s="44">
        <v>1024345</v>
      </c>
      <c r="HL234" s="44" t="s">
        <v>37</v>
      </c>
    </row>
    <row r="235" spans="1:220">
      <c r="A235" s="150" t="s">
        <v>412</v>
      </c>
      <c r="B235" s="44">
        <v>4240</v>
      </c>
      <c r="C235" s="44" t="s">
        <v>244</v>
      </c>
      <c r="D235" s="44" t="s">
        <v>37</v>
      </c>
      <c r="F235" s="44" t="s">
        <v>37</v>
      </c>
      <c r="H235" s="44" t="s">
        <v>37</v>
      </c>
      <c r="J235" s="44" t="s">
        <v>37</v>
      </c>
      <c r="L235" s="48" t="s">
        <v>37</v>
      </c>
      <c r="M235" s="50"/>
      <c r="N235" s="48" t="s">
        <v>37</v>
      </c>
      <c r="O235" s="50"/>
      <c r="P235" s="48" t="s">
        <v>37</v>
      </c>
      <c r="Q235" s="50"/>
      <c r="R235" s="48" t="s">
        <v>37</v>
      </c>
      <c r="S235" s="50"/>
      <c r="T235" s="48" t="s">
        <v>37</v>
      </c>
      <c r="V235" s="44" t="s">
        <v>37</v>
      </c>
      <c r="X235" s="44" t="s">
        <v>37</v>
      </c>
      <c r="Z235" s="44" t="s">
        <v>37</v>
      </c>
      <c r="AB235" s="44" t="s">
        <v>37</v>
      </c>
      <c r="AD235" s="44" t="s">
        <v>37</v>
      </c>
      <c r="AF235" s="44" t="s">
        <v>37</v>
      </c>
      <c r="AH235" s="44" t="s">
        <v>37</v>
      </c>
      <c r="AJ235" s="44" t="s">
        <v>37</v>
      </c>
      <c r="AL235" s="44" t="s">
        <v>37</v>
      </c>
      <c r="AN235" s="44" t="s">
        <v>37</v>
      </c>
      <c r="AP235" s="44" t="s">
        <v>37</v>
      </c>
      <c r="AR235" s="44" t="s">
        <v>37</v>
      </c>
      <c r="AT235" s="44" t="s">
        <v>37</v>
      </c>
      <c r="AV235" s="44" t="s">
        <v>37</v>
      </c>
      <c r="AX235" s="44" t="s">
        <v>37</v>
      </c>
      <c r="AZ235" s="44" t="s">
        <v>37</v>
      </c>
      <c r="BB235" s="44" t="s">
        <v>37</v>
      </c>
      <c r="BD235" s="44" t="s">
        <v>37</v>
      </c>
      <c r="BF235" s="44" t="s">
        <v>37</v>
      </c>
      <c r="BH235" s="44" t="s">
        <v>37</v>
      </c>
      <c r="BJ235" s="44" t="s">
        <v>37</v>
      </c>
      <c r="BL235" s="44" t="s">
        <v>37</v>
      </c>
      <c r="BN235" s="44" t="s">
        <v>37</v>
      </c>
      <c r="BP235" s="44" t="s">
        <v>37</v>
      </c>
      <c r="BR235" s="44" t="s">
        <v>37</v>
      </c>
      <c r="BT235" s="44" t="s">
        <v>37</v>
      </c>
      <c r="BV235" s="44" t="s">
        <v>37</v>
      </c>
      <c r="BX235" s="44" t="s">
        <v>37</v>
      </c>
      <c r="BZ235" s="44" t="s">
        <v>37</v>
      </c>
      <c r="CB235" s="44" t="s">
        <v>37</v>
      </c>
      <c r="CD235" s="44" t="s">
        <v>37</v>
      </c>
      <c r="CF235" s="44" t="s">
        <v>37</v>
      </c>
      <c r="CH235" s="44" t="s">
        <v>37</v>
      </c>
      <c r="CJ235" s="44" t="s">
        <v>37</v>
      </c>
      <c r="CL235" s="44" t="s">
        <v>37</v>
      </c>
      <c r="CN235" s="44" t="s">
        <v>37</v>
      </c>
      <c r="CO235" s="44">
        <v>502</v>
      </c>
      <c r="CP235" s="44" t="s">
        <v>37</v>
      </c>
      <c r="CR235" s="44" t="s">
        <v>37</v>
      </c>
      <c r="CT235" s="44" t="s">
        <v>37</v>
      </c>
      <c r="CV235" s="44" t="s">
        <v>37</v>
      </c>
      <c r="CX235" s="44" t="s">
        <v>37</v>
      </c>
      <c r="CZ235" s="44" t="s">
        <v>37</v>
      </c>
      <c r="DB235" s="44" t="s">
        <v>37</v>
      </c>
      <c r="DD235" s="44" t="s">
        <v>37</v>
      </c>
      <c r="DF235" s="44" t="s">
        <v>37</v>
      </c>
      <c r="DH235" s="44" t="s">
        <v>37</v>
      </c>
      <c r="DJ235" s="44" t="s">
        <v>37</v>
      </c>
      <c r="DL235" s="44" t="s">
        <v>37</v>
      </c>
      <c r="DN235" s="44" t="s">
        <v>37</v>
      </c>
      <c r="DP235" s="44" t="s">
        <v>37</v>
      </c>
      <c r="DR235" s="44" t="s">
        <v>37</v>
      </c>
      <c r="DT235" s="44" t="s">
        <v>37</v>
      </c>
      <c r="DV235" s="44" t="s">
        <v>37</v>
      </c>
      <c r="DX235" s="44" t="s">
        <v>37</v>
      </c>
      <c r="DZ235" s="44" t="s">
        <v>37</v>
      </c>
      <c r="EB235" s="44" t="s">
        <v>37</v>
      </c>
      <c r="ED235" s="44" t="s">
        <v>37</v>
      </c>
      <c r="EF235" s="44" t="s">
        <v>37</v>
      </c>
      <c r="EH235" s="44" t="s">
        <v>37</v>
      </c>
      <c r="EJ235" s="44" t="s">
        <v>37</v>
      </c>
      <c r="EL235" s="44" t="s">
        <v>37</v>
      </c>
      <c r="EN235" s="44" t="s">
        <v>37</v>
      </c>
      <c r="EP235" s="44" t="s">
        <v>37</v>
      </c>
      <c r="ER235" s="44" t="s">
        <v>37</v>
      </c>
      <c r="ET235" s="44" t="s">
        <v>37</v>
      </c>
      <c r="EV235" s="44" t="s">
        <v>37</v>
      </c>
      <c r="EX235" s="44" t="s">
        <v>37</v>
      </c>
      <c r="EZ235" s="44" t="s">
        <v>37</v>
      </c>
      <c r="FB235" s="44" t="s">
        <v>37</v>
      </c>
      <c r="FD235" s="44" t="s">
        <v>37</v>
      </c>
      <c r="FF235" s="44" t="s">
        <v>37</v>
      </c>
      <c r="FH235" s="44" t="s">
        <v>37</v>
      </c>
      <c r="FJ235" s="44" t="s">
        <v>37</v>
      </c>
      <c r="FL235" s="44" t="s">
        <v>37</v>
      </c>
      <c r="FN235" s="44" t="s">
        <v>37</v>
      </c>
      <c r="FP235" s="44" t="s">
        <v>37</v>
      </c>
      <c r="FR235" s="44" t="s">
        <v>37</v>
      </c>
      <c r="FT235" s="44" t="s">
        <v>37</v>
      </c>
      <c r="FV235" s="44" t="s">
        <v>37</v>
      </c>
      <c r="FX235" s="44" t="s">
        <v>37</v>
      </c>
      <c r="FZ235" s="44" t="s">
        <v>37</v>
      </c>
      <c r="GB235" s="44" t="s">
        <v>37</v>
      </c>
      <c r="GD235" s="44" t="s">
        <v>37</v>
      </c>
      <c r="GF235" s="44" t="s">
        <v>37</v>
      </c>
      <c r="GH235" s="44" t="s">
        <v>37</v>
      </c>
      <c r="GJ235" s="44" t="s">
        <v>37</v>
      </c>
      <c r="GL235" s="44" t="s">
        <v>37</v>
      </c>
      <c r="GN235" s="44" t="s">
        <v>37</v>
      </c>
      <c r="GP235" s="44" t="s">
        <v>37</v>
      </c>
      <c r="GR235" s="44" t="s">
        <v>37</v>
      </c>
      <c r="GT235" s="44" t="s">
        <v>37</v>
      </c>
      <c r="GV235" s="44" t="s">
        <v>37</v>
      </c>
      <c r="GX235" s="44" t="s">
        <v>37</v>
      </c>
      <c r="GZ235" s="44" t="s">
        <v>37</v>
      </c>
      <c r="HB235" s="44" t="s">
        <v>37</v>
      </c>
      <c r="HD235" s="44" t="s">
        <v>37</v>
      </c>
      <c r="HF235" s="44" t="s">
        <v>37</v>
      </c>
      <c r="HG235" s="44">
        <v>502</v>
      </c>
      <c r="HH235" s="44" t="s">
        <v>37</v>
      </c>
      <c r="HJ235" s="44" t="s">
        <v>37</v>
      </c>
      <c r="HK235" s="44">
        <v>502</v>
      </c>
      <c r="HL235" s="44" t="s">
        <v>37</v>
      </c>
    </row>
    <row r="236" spans="1:220">
      <c r="A236" s="150" t="s">
        <v>408</v>
      </c>
      <c r="B236" s="54">
        <v>4300</v>
      </c>
      <c r="C236" s="44" t="s">
        <v>245</v>
      </c>
      <c r="D236" s="44" t="s">
        <v>37</v>
      </c>
      <c r="F236" s="44" t="s">
        <v>37</v>
      </c>
      <c r="H236" s="44" t="s">
        <v>37</v>
      </c>
      <c r="J236" s="44" t="s">
        <v>37</v>
      </c>
      <c r="L236" s="48" t="s">
        <v>37</v>
      </c>
      <c r="M236" s="50"/>
      <c r="N236" s="48" t="s">
        <v>37</v>
      </c>
      <c r="O236" s="50"/>
      <c r="P236" s="48" t="s">
        <v>37</v>
      </c>
      <c r="Q236" s="50"/>
      <c r="R236" s="48" t="s">
        <v>37</v>
      </c>
      <c r="S236" s="50"/>
      <c r="T236" s="48" t="s">
        <v>37</v>
      </c>
      <c r="V236" s="44" t="s">
        <v>37</v>
      </c>
      <c r="X236" s="44" t="s">
        <v>37</v>
      </c>
      <c r="Z236" s="44" t="s">
        <v>37</v>
      </c>
      <c r="AB236" s="44" t="s">
        <v>37</v>
      </c>
      <c r="AD236" s="44" t="s">
        <v>37</v>
      </c>
      <c r="AF236" s="44" t="s">
        <v>37</v>
      </c>
      <c r="AH236" s="44" t="s">
        <v>37</v>
      </c>
      <c r="AJ236" s="44" t="s">
        <v>37</v>
      </c>
      <c r="AL236" s="44" t="s">
        <v>37</v>
      </c>
      <c r="AN236" s="44" t="s">
        <v>37</v>
      </c>
      <c r="AP236" s="44" t="s">
        <v>37</v>
      </c>
      <c r="AR236" s="44" t="s">
        <v>37</v>
      </c>
      <c r="AT236" s="44" t="s">
        <v>37</v>
      </c>
      <c r="AV236" s="44" t="s">
        <v>37</v>
      </c>
      <c r="AX236" s="44" t="s">
        <v>37</v>
      </c>
      <c r="AZ236" s="44" t="s">
        <v>37</v>
      </c>
      <c r="BB236" s="44" t="s">
        <v>37</v>
      </c>
      <c r="BD236" s="44" t="s">
        <v>37</v>
      </c>
      <c r="BF236" s="44" t="s">
        <v>37</v>
      </c>
      <c r="BH236" s="44" t="s">
        <v>37</v>
      </c>
      <c r="BJ236" s="44" t="s">
        <v>37</v>
      </c>
      <c r="BL236" s="44" t="s">
        <v>37</v>
      </c>
      <c r="BN236" s="44" t="s">
        <v>37</v>
      </c>
      <c r="BP236" s="44" t="s">
        <v>37</v>
      </c>
      <c r="BR236" s="44" t="s">
        <v>37</v>
      </c>
      <c r="BT236" s="44" t="s">
        <v>37</v>
      </c>
      <c r="BV236" s="44" t="s">
        <v>37</v>
      </c>
      <c r="BX236" s="44" t="s">
        <v>37</v>
      </c>
      <c r="BZ236" s="44" t="s">
        <v>37</v>
      </c>
      <c r="CB236" s="44" t="s">
        <v>37</v>
      </c>
      <c r="CD236" s="44" t="s">
        <v>37</v>
      </c>
      <c r="CF236" s="44" t="s">
        <v>37</v>
      </c>
      <c r="CH236" s="44" t="s">
        <v>37</v>
      </c>
      <c r="CJ236" s="44" t="s">
        <v>37</v>
      </c>
      <c r="CL236" s="44" t="s">
        <v>37</v>
      </c>
      <c r="CN236" s="44" t="s">
        <v>37</v>
      </c>
      <c r="CP236" s="44" t="s">
        <v>37</v>
      </c>
      <c r="CR236" s="44" t="s">
        <v>37</v>
      </c>
      <c r="CT236" s="44" t="s">
        <v>37</v>
      </c>
      <c r="CV236" s="44" t="s">
        <v>37</v>
      </c>
      <c r="CX236" s="44" t="s">
        <v>37</v>
      </c>
      <c r="CZ236" s="44" t="s">
        <v>37</v>
      </c>
      <c r="DB236" s="44" t="s">
        <v>37</v>
      </c>
      <c r="DD236" s="44" t="s">
        <v>37</v>
      </c>
      <c r="DF236" s="44" t="s">
        <v>37</v>
      </c>
      <c r="DH236" s="44" t="s">
        <v>37</v>
      </c>
      <c r="DJ236" s="44" t="s">
        <v>37</v>
      </c>
      <c r="DL236" s="44" t="s">
        <v>37</v>
      </c>
      <c r="DN236" s="44" t="s">
        <v>37</v>
      </c>
      <c r="DP236" s="44" t="s">
        <v>37</v>
      </c>
      <c r="DR236" s="44" t="s">
        <v>37</v>
      </c>
      <c r="DT236" s="44" t="s">
        <v>37</v>
      </c>
      <c r="DV236" s="44" t="s">
        <v>37</v>
      </c>
      <c r="DX236" s="44" t="s">
        <v>37</v>
      </c>
      <c r="DZ236" s="44" t="s">
        <v>37</v>
      </c>
      <c r="EB236" s="44" t="s">
        <v>37</v>
      </c>
      <c r="ED236" s="44" t="s">
        <v>37</v>
      </c>
      <c r="EF236" s="44" t="s">
        <v>37</v>
      </c>
      <c r="EH236" s="44" t="s">
        <v>37</v>
      </c>
      <c r="EJ236" s="44" t="s">
        <v>37</v>
      </c>
      <c r="EL236" s="44" t="s">
        <v>37</v>
      </c>
      <c r="EN236" s="44" t="s">
        <v>37</v>
      </c>
      <c r="EP236" s="44" t="s">
        <v>37</v>
      </c>
      <c r="ER236" s="44" t="s">
        <v>37</v>
      </c>
      <c r="ET236" s="44" t="s">
        <v>37</v>
      </c>
      <c r="EV236" s="44" t="s">
        <v>37</v>
      </c>
      <c r="EX236" s="44" t="s">
        <v>37</v>
      </c>
      <c r="EZ236" s="44" t="s">
        <v>37</v>
      </c>
      <c r="FB236" s="44" t="s">
        <v>37</v>
      </c>
      <c r="FD236" s="44" t="s">
        <v>37</v>
      </c>
      <c r="FF236" s="44" t="s">
        <v>37</v>
      </c>
      <c r="FH236" s="44" t="s">
        <v>37</v>
      </c>
      <c r="FJ236" s="44" t="s">
        <v>37</v>
      </c>
      <c r="FL236" s="44" t="s">
        <v>37</v>
      </c>
      <c r="FN236" s="44" t="s">
        <v>37</v>
      </c>
      <c r="FP236" s="44" t="s">
        <v>37</v>
      </c>
      <c r="FR236" s="44" t="s">
        <v>37</v>
      </c>
      <c r="FT236" s="44" t="s">
        <v>37</v>
      </c>
      <c r="FV236" s="44" t="s">
        <v>37</v>
      </c>
      <c r="FX236" s="44" t="s">
        <v>37</v>
      </c>
      <c r="FZ236" s="44" t="s">
        <v>37</v>
      </c>
      <c r="GB236" s="44" t="s">
        <v>37</v>
      </c>
      <c r="GD236" s="44" t="s">
        <v>37</v>
      </c>
      <c r="GF236" s="44" t="s">
        <v>37</v>
      </c>
      <c r="GH236" s="44" t="s">
        <v>37</v>
      </c>
      <c r="GJ236" s="44" t="s">
        <v>37</v>
      </c>
      <c r="GL236" s="44" t="s">
        <v>37</v>
      </c>
      <c r="GN236" s="44" t="s">
        <v>37</v>
      </c>
      <c r="GP236" s="44" t="s">
        <v>37</v>
      </c>
      <c r="GR236" s="44" t="s">
        <v>37</v>
      </c>
      <c r="GT236" s="44" t="s">
        <v>37</v>
      </c>
      <c r="GV236" s="44" t="s">
        <v>37</v>
      </c>
      <c r="GX236" s="44" t="s">
        <v>37</v>
      </c>
      <c r="GZ236" s="44" t="s">
        <v>37</v>
      </c>
      <c r="HB236" s="44" t="s">
        <v>37</v>
      </c>
      <c r="HD236" s="44" t="s">
        <v>37</v>
      </c>
      <c r="HF236" s="44" t="s">
        <v>37</v>
      </c>
      <c r="HH236" s="44" t="s">
        <v>37</v>
      </c>
      <c r="HJ236" s="44" t="s">
        <v>37</v>
      </c>
      <c r="HL236" s="44" t="s">
        <v>37</v>
      </c>
    </row>
    <row r="237" spans="1:220">
      <c r="A237" s="150" t="s">
        <v>412</v>
      </c>
      <c r="B237" s="44">
        <v>4310</v>
      </c>
      <c r="C237" s="44" t="s">
        <v>246</v>
      </c>
      <c r="D237" s="44" t="s">
        <v>37</v>
      </c>
      <c r="E237" s="44">
        <v>881557</v>
      </c>
      <c r="F237" s="44" t="s">
        <v>37</v>
      </c>
      <c r="G237" s="44">
        <v>6280589</v>
      </c>
      <c r="H237" s="44" t="s">
        <v>37</v>
      </c>
      <c r="I237" s="44">
        <v>1168627</v>
      </c>
      <c r="J237" s="44" t="s">
        <v>37</v>
      </c>
      <c r="L237" s="48" t="s">
        <v>37</v>
      </c>
      <c r="M237" s="51">
        <v>805739</v>
      </c>
      <c r="N237" s="48" t="s">
        <v>37</v>
      </c>
      <c r="O237" s="51">
        <v>552829</v>
      </c>
      <c r="P237" s="48" t="s">
        <v>37</v>
      </c>
      <c r="Q237" s="51">
        <v>584385</v>
      </c>
      <c r="R237" s="48" t="s">
        <v>37</v>
      </c>
      <c r="S237" s="51">
        <v>518442</v>
      </c>
      <c r="T237" s="48" t="s">
        <v>37</v>
      </c>
      <c r="U237" s="44">
        <v>2518542</v>
      </c>
      <c r="V237" s="44" t="s">
        <v>37</v>
      </c>
      <c r="X237" s="44" t="s">
        <v>37</v>
      </c>
      <c r="Z237" s="44" t="s">
        <v>37</v>
      </c>
      <c r="AA237" s="44">
        <v>554577</v>
      </c>
      <c r="AB237" s="44" t="s">
        <v>37</v>
      </c>
      <c r="AC237" s="44">
        <v>590348</v>
      </c>
      <c r="AD237" s="44" t="s">
        <v>37</v>
      </c>
      <c r="AE237" s="44">
        <v>609851</v>
      </c>
      <c r="AF237" s="44" t="s">
        <v>37</v>
      </c>
      <c r="AG237" s="44">
        <v>217221</v>
      </c>
      <c r="AH237" s="44" t="s">
        <v>37</v>
      </c>
      <c r="AI237" s="44">
        <v>533737</v>
      </c>
      <c r="AJ237" s="44" t="s">
        <v>37</v>
      </c>
      <c r="AL237" s="44" t="s">
        <v>37</v>
      </c>
      <c r="AM237" s="44">
        <v>6027331</v>
      </c>
      <c r="AN237" s="44" t="s">
        <v>37</v>
      </c>
      <c r="AP237" s="44" t="s">
        <v>37</v>
      </c>
      <c r="AQ237" s="44">
        <v>6125083</v>
      </c>
      <c r="AR237" s="44" t="s">
        <v>37</v>
      </c>
      <c r="AS237" s="44">
        <v>462916</v>
      </c>
      <c r="AT237" s="44" t="s">
        <v>37</v>
      </c>
      <c r="AU237" s="44">
        <v>16439915</v>
      </c>
      <c r="AV237" s="44" t="s">
        <v>37</v>
      </c>
      <c r="AW237" s="44">
        <v>2334801</v>
      </c>
      <c r="AX237" s="44" t="s">
        <v>37</v>
      </c>
      <c r="AY237" s="44">
        <v>1728186</v>
      </c>
      <c r="AZ237" s="44" t="s">
        <v>37</v>
      </c>
      <c r="BA237" s="44">
        <v>2252931</v>
      </c>
      <c r="BB237" s="44" t="s">
        <v>37</v>
      </c>
      <c r="BC237" s="44">
        <v>645487</v>
      </c>
      <c r="BD237" s="44" t="s">
        <v>37</v>
      </c>
      <c r="BE237" s="44">
        <v>1294546</v>
      </c>
      <c r="BF237" s="44" t="s">
        <v>37</v>
      </c>
      <c r="BG237" s="44">
        <v>308336</v>
      </c>
      <c r="BH237" s="44" t="s">
        <v>37</v>
      </c>
      <c r="BJ237" s="44" t="s">
        <v>37</v>
      </c>
      <c r="BK237" s="44">
        <v>3028868</v>
      </c>
      <c r="BL237" s="44" t="s">
        <v>37</v>
      </c>
      <c r="BM237" s="44">
        <v>4130488</v>
      </c>
      <c r="BN237" s="44" t="s">
        <v>37</v>
      </c>
      <c r="BP237" s="44" t="s">
        <v>37</v>
      </c>
      <c r="BQ237" s="44">
        <v>315847</v>
      </c>
      <c r="BR237" s="44" t="s">
        <v>37</v>
      </c>
      <c r="BS237" s="44">
        <v>1539952</v>
      </c>
      <c r="BT237" s="44" t="s">
        <v>37</v>
      </c>
      <c r="BU237" s="44">
        <v>461920</v>
      </c>
      <c r="BV237" s="44" t="s">
        <v>37</v>
      </c>
      <c r="BX237" s="44" t="s">
        <v>37</v>
      </c>
      <c r="BY237" s="44">
        <v>2309146</v>
      </c>
      <c r="BZ237" s="44" t="s">
        <v>37</v>
      </c>
      <c r="CA237" s="44">
        <v>1164859</v>
      </c>
      <c r="CB237" s="44" t="s">
        <v>37</v>
      </c>
      <c r="CD237" s="44" t="s">
        <v>37</v>
      </c>
      <c r="CE237" s="44">
        <v>845220</v>
      </c>
      <c r="CF237" s="44" t="s">
        <v>37</v>
      </c>
      <c r="CG237" s="44">
        <v>1282273</v>
      </c>
      <c r="CH237" s="44" t="s">
        <v>37</v>
      </c>
      <c r="CI237" s="44">
        <v>3833305</v>
      </c>
      <c r="CJ237" s="44" t="s">
        <v>37</v>
      </c>
      <c r="CK237" s="44">
        <v>339376</v>
      </c>
      <c r="CL237" s="44" t="s">
        <v>37</v>
      </c>
      <c r="CM237" s="44">
        <v>1945748</v>
      </c>
      <c r="CN237" s="44" t="s">
        <v>37</v>
      </c>
      <c r="CO237" s="44">
        <v>486216</v>
      </c>
      <c r="CP237" s="44" t="s">
        <v>37</v>
      </c>
      <c r="CQ237" s="44">
        <v>285583</v>
      </c>
      <c r="CR237" s="44" t="s">
        <v>37</v>
      </c>
      <c r="CS237" s="44">
        <v>2682228</v>
      </c>
      <c r="CT237" s="44" t="s">
        <v>37</v>
      </c>
      <c r="CU237" s="44">
        <v>14818858</v>
      </c>
      <c r="CV237" s="44" t="s">
        <v>37</v>
      </c>
      <c r="CW237" s="44">
        <v>2346879</v>
      </c>
      <c r="CX237" s="44" t="s">
        <v>37</v>
      </c>
      <c r="CY237" s="44">
        <v>254887</v>
      </c>
      <c r="CZ237" s="44" t="s">
        <v>37</v>
      </c>
      <c r="DA237" s="44">
        <v>163373</v>
      </c>
      <c r="DB237" s="44" t="s">
        <v>37</v>
      </c>
      <c r="DD237" s="44" t="s">
        <v>37</v>
      </c>
      <c r="DE237" s="44">
        <v>558415</v>
      </c>
      <c r="DF237" s="44" t="s">
        <v>37</v>
      </c>
      <c r="DG237" s="44">
        <v>848218</v>
      </c>
      <c r="DH237" s="44" t="s">
        <v>37</v>
      </c>
      <c r="DI237" s="44">
        <v>9142974</v>
      </c>
      <c r="DJ237" s="44" t="s">
        <v>37</v>
      </c>
      <c r="DK237" s="44">
        <v>1865134</v>
      </c>
      <c r="DL237" s="44" t="s">
        <v>37</v>
      </c>
      <c r="DM237" s="44">
        <v>2072540</v>
      </c>
      <c r="DN237" s="44" t="s">
        <v>37</v>
      </c>
      <c r="DO237" s="44">
        <v>2482383</v>
      </c>
      <c r="DP237" s="44" t="s">
        <v>37</v>
      </c>
      <c r="DQ237" s="44">
        <v>1501328</v>
      </c>
      <c r="DR237" s="44" t="s">
        <v>37</v>
      </c>
      <c r="DS237" s="44">
        <v>1041334</v>
      </c>
      <c r="DT237" s="44" t="s">
        <v>37</v>
      </c>
      <c r="DU237" s="44">
        <v>1167720</v>
      </c>
      <c r="DV237" s="44" t="s">
        <v>37</v>
      </c>
      <c r="DW237" s="44">
        <v>1923639</v>
      </c>
      <c r="DX237" s="44" t="s">
        <v>37</v>
      </c>
      <c r="DY237" s="44">
        <v>2539330</v>
      </c>
      <c r="DZ237" s="44" t="s">
        <v>37</v>
      </c>
      <c r="EA237" s="44">
        <v>658336</v>
      </c>
      <c r="EB237" s="44" t="s">
        <v>37</v>
      </c>
      <c r="EC237" s="44">
        <v>913673</v>
      </c>
      <c r="ED237" s="44" t="s">
        <v>37</v>
      </c>
      <c r="EE237" s="44">
        <v>1162915</v>
      </c>
      <c r="EF237" s="44" t="s">
        <v>37</v>
      </c>
      <c r="EG237" s="44">
        <v>370317</v>
      </c>
      <c r="EH237" s="44" t="s">
        <v>37</v>
      </c>
      <c r="EJ237" s="44" t="s">
        <v>37</v>
      </c>
      <c r="EK237" s="44">
        <v>1308814</v>
      </c>
      <c r="EL237" s="44" t="s">
        <v>37</v>
      </c>
      <c r="EM237" s="44">
        <v>870449</v>
      </c>
      <c r="EN237" s="44" t="s">
        <v>37</v>
      </c>
      <c r="EO237" s="44">
        <v>408261</v>
      </c>
      <c r="EP237" s="44" t="s">
        <v>37</v>
      </c>
      <c r="ER237" s="44" t="s">
        <v>37</v>
      </c>
      <c r="ES237" s="44">
        <v>2338407</v>
      </c>
      <c r="ET237" s="44" t="s">
        <v>37</v>
      </c>
      <c r="EU237" s="44">
        <v>1430669</v>
      </c>
      <c r="EV237" s="44" t="s">
        <v>37</v>
      </c>
      <c r="EW237" s="44">
        <v>2592201</v>
      </c>
      <c r="EX237" s="44" t="s">
        <v>37</v>
      </c>
      <c r="EZ237" s="44" t="s">
        <v>37</v>
      </c>
      <c r="FA237" s="44">
        <v>1620247</v>
      </c>
      <c r="FB237" s="44" t="s">
        <v>37</v>
      </c>
      <c r="FC237" s="44">
        <v>1185114</v>
      </c>
      <c r="FD237" s="44" t="s">
        <v>37</v>
      </c>
      <c r="FE237" s="44">
        <v>2789311</v>
      </c>
      <c r="FF237" s="44" t="s">
        <v>37</v>
      </c>
      <c r="FH237" s="44" t="s">
        <v>37</v>
      </c>
      <c r="FI237" s="44">
        <v>2892905</v>
      </c>
      <c r="FJ237" s="44" t="s">
        <v>37</v>
      </c>
      <c r="FK237" s="44">
        <v>11564177</v>
      </c>
      <c r="FL237" s="44" t="s">
        <v>37</v>
      </c>
      <c r="FM237" s="44">
        <v>1521783</v>
      </c>
      <c r="FN237" s="44" t="s">
        <v>37</v>
      </c>
      <c r="FO237" s="44">
        <v>542494</v>
      </c>
      <c r="FP237" s="44" t="s">
        <v>37</v>
      </c>
      <c r="FQ237" s="44">
        <v>538180</v>
      </c>
      <c r="FR237" s="44" t="s">
        <v>37</v>
      </c>
      <c r="FS237" s="44">
        <v>1074229</v>
      </c>
      <c r="FT237" s="44" t="s">
        <v>37</v>
      </c>
      <c r="FU237" s="44">
        <v>459090</v>
      </c>
      <c r="FV237" s="44" t="s">
        <v>37</v>
      </c>
      <c r="FW237" s="44">
        <v>389648</v>
      </c>
      <c r="FX237" s="44" t="s">
        <v>37</v>
      </c>
      <c r="FY237" s="44">
        <v>1041526</v>
      </c>
      <c r="FZ237" s="44" t="s">
        <v>37</v>
      </c>
      <c r="GA237" s="44">
        <v>1174389</v>
      </c>
      <c r="GB237" s="44" t="s">
        <v>37</v>
      </c>
      <c r="GC237" s="44">
        <v>2681297</v>
      </c>
      <c r="GD237" s="44" t="s">
        <v>37</v>
      </c>
      <c r="GF237" s="44" t="s">
        <v>37</v>
      </c>
      <c r="GH237" s="44" t="s">
        <v>37</v>
      </c>
      <c r="GJ237" s="44" t="s">
        <v>37</v>
      </c>
      <c r="GK237" s="44">
        <v>3339992</v>
      </c>
      <c r="GL237" s="44" t="s">
        <v>37</v>
      </c>
      <c r="GM237" s="44">
        <v>3110140</v>
      </c>
      <c r="GN237" s="44" t="s">
        <v>37</v>
      </c>
      <c r="GP237" s="44" t="s">
        <v>37</v>
      </c>
      <c r="GQ237" s="44">
        <v>1174958</v>
      </c>
      <c r="GR237" s="44" t="s">
        <v>37</v>
      </c>
      <c r="GS237" s="44">
        <v>3472770</v>
      </c>
      <c r="GT237" s="44" t="s">
        <v>37</v>
      </c>
      <c r="GU237" s="44">
        <v>1678347</v>
      </c>
      <c r="GV237" s="44" t="s">
        <v>37</v>
      </c>
      <c r="GW237" s="44">
        <v>517903</v>
      </c>
      <c r="GX237" s="44" t="s">
        <v>37</v>
      </c>
      <c r="GY237" s="44">
        <v>2560962</v>
      </c>
      <c r="GZ237" s="44" t="s">
        <v>37</v>
      </c>
      <c r="HA237" s="44">
        <v>606167</v>
      </c>
      <c r="HB237" s="44" t="s">
        <v>37</v>
      </c>
      <c r="HC237" s="44">
        <v>434618</v>
      </c>
      <c r="HD237" s="44" t="s">
        <v>37</v>
      </c>
      <c r="HE237" s="44">
        <v>669115</v>
      </c>
      <c r="HF237" s="44" t="s">
        <v>37</v>
      </c>
      <c r="HG237" s="44">
        <v>178803688</v>
      </c>
      <c r="HH237" s="44" t="s">
        <v>37</v>
      </c>
      <c r="HI237" s="44">
        <v>1103733</v>
      </c>
      <c r="HJ237" s="44" t="s">
        <v>37</v>
      </c>
      <c r="HK237" s="44">
        <v>179907421</v>
      </c>
      <c r="HL237" s="44" t="s">
        <v>37</v>
      </c>
    </row>
    <row r="238" spans="1:220">
      <c r="A238" s="150" t="s">
        <v>412</v>
      </c>
      <c r="B238" s="44">
        <v>4312</v>
      </c>
      <c r="C238" s="44" t="s">
        <v>247</v>
      </c>
      <c r="D238" s="44" t="s">
        <v>37</v>
      </c>
      <c r="F238" s="44" t="s">
        <v>37</v>
      </c>
      <c r="H238" s="44" t="s">
        <v>37</v>
      </c>
      <c r="I238" s="44">
        <v>31002</v>
      </c>
      <c r="J238" s="44" t="s">
        <v>37</v>
      </c>
      <c r="L238" s="48" t="s">
        <v>37</v>
      </c>
      <c r="M238" s="50"/>
      <c r="N238" s="48" t="s">
        <v>37</v>
      </c>
      <c r="O238" s="50"/>
      <c r="P238" s="48" t="s">
        <v>37</v>
      </c>
      <c r="Q238" s="50"/>
      <c r="R238" s="48" t="s">
        <v>37</v>
      </c>
      <c r="S238" s="50"/>
      <c r="T238" s="48" t="s">
        <v>37</v>
      </c>
      <c r="V238" s="44" t="s">
        <v>37</v>
      </c>
      <c r="X238" s="44" t="s">
        <v>37</v>
      </c>
      <c r="Z238" s="44" t="s">
        <v>37</v>
      </c>
      <c r="AA238" s="44">
        <v>27228</v>
      </c>
      <c r="AB238" s="44" t="s">
        <v>37</v>
      </c>
      <c r="AC238" s="44">
        <v>35588</v>
      </c>
      <c r="AD238" s="44" t="s">
        <v>37</v>
      </c>
      <c r="AE238" s="44">
        <v>51540</v>
      </c>
      <c r="AF238" s="44" t="s">
        <v>37</v>
      </c>
      <c r="AG238" s="44">
        <v>27016</v>
      </c>
      <c r="AH238" s="44" t="s">
        <v>37</v>
      </c>
      <c r="AJ238" s="44" t="s">
        <v>37</v>
      </c>
      <c r="AL238" s="44" t="s">
        <v>37</v>
      </c>
      <c r="AN238" s="44" t="s">
        <v>37</v>
      </c>
      <c r="AP238" s="44" t="s">
        <v>37</v>
      </c>
      <c r="AR238" s="44" t="s">
        <v>37</v>
      </c>
      <c r="AT238" s="44" t="s">
        <v>37</v>
      </c>
      <c r="AV238" s="44" t="s">
        <v>37</v>
      </c>
      <c r="AX238" s="44" t="s">
        <v>37</v>
      </c>
      <c r="AY238" s="44">
        <v>149590</v>
      </c>
      <c r="AZ238" s="44" t="s">
        <v>37</v>
      </c>
      <c r="BA238" s="44">
        <v>220946</v>
      </c>
      <c r="BB238" s="44" t="s">
        <v>37</v>
      </c>
      <c r="BC238" s="44">
        <v>26596</v>
      </c>
      <c r="BD238" s="44" t="s">
        <v>37</v>
      </c>
      <c r="BE238" s="44">
        <v>126093</v>
      </c>
      <c r="BF238" s="44" t="s">
        <v>37</v>
      </c>
      <c r="BG238" s="44">
        <v>26676</v>
      </c>
      <c r="BH238" s="44" t="s">
        <v>37</v>
      </c>
      <c r="BJ238" s="44" t="s">
        <v>37</v>
      </c>
      <c r="BK238" s="44">
        <v>250612</v>
      </c>
      <c r="BL238" s="44" t="s">
        <v>37</v>
      </c>
      <c r="BN238" s="44" t="s">
        <v>37</v>
      </c>
      <c r="BP238" s="44" t="s">
        <v>37</v>
      </c>
      <c r="BQ238" s="44">
        <v>24854</v>
      </c>
      <c r="BR238" s="44" t="s">
        <v>37</v>
      </c>
      <c r="BS238" s="44">
        <v>112054</v>
      </c>
      <c r="BT238" s="44" t="s">
        <v>37</v>
      </c>
      <c r="BU238" s="44">
        <v>44354</v>
      </c>
      <c r="BV238" s="44" t="s">
        <v>37</v>
      </c>
      <c r="BX238" s="44" t="s">
        <v>37</v>
      </c>
      <c r="BZ238" s="44" t="s">
        <v>37</v>
      </c>
      <c r="CA238" s="44">
        <v>56822</v>
      </c>
      <c r="CB238" s="44" t="s">
        <v>37</v>
      </c>
      <c r="CD238" s="44" t="s">
        <v>37</v>
      </c>
      <c r="CF238" s="44" t="s">
        <v>37</v>
      </c>
      <c r="CH238" s="44" t="s">
        <v>37</v>
      </c>
      <c r="CJ238" s="44" t="s">
        <v>37</v>
      </c>
      <c r="CK238" s="44">
        <v>34431</v>
      </c>
      <c r="CL238" s="44" t="s">
        <v>37</v>
      </c>
      <c r="CN238" s="44" t="s">
        <v>37</v>
      </c>
      <c r="CO238" s="44">
        <v>31306</v>
      </c>
      <c r="CP238" s="44" t="s">
        <v>37</v>
      </c>
      <c r="CQ238" s="44">
        <v>41557</v>
      </c>
      <c r="CR238" s="44" t="s">
        <v>37</v>
      </c>
      <c r="CS238" s="44">
        <v>216059</v>
      </c>
      <c r="CT238" s="44" t="s">
        <v>37</v>
      </c>
      <c r="CV238" s="44" t="s">
        <v>37</v>
      </c>
      <c r="CX238" s="44" t="s">
        <v>37</v>
      </c>
      <c r="CZ238" s="44" t="s">
        <v>37</v>
      </c>
      <c r="DB238" s="44" t="s">
        <v>37</v>
      </c>
      <c r="DD238" s="44" t="s">
        <v>37</v>
      </c>
      <c r="DE238" s="44">
        <v>55979</v>
      </c>
      <c r="DF238" s="44" t="s">
        <v>37</v>
      </c>
      <c r="DG238" s="44">
        <v>50750</v>
      </c>
      <c r="DH238" s="44" t="s">
        <v>37</v>
      </c>
      <c r="DJ238" s="44" t="s">
        <v>37</v>
      </c>
      <c r="DK238" s="44">
        <v>137591</v>
      </c>
      <c r="DL238" s="44" t="s">
        <v>37</v>
      </c>
      <c r="DN238" s="44" t="s">
        <v>37</v>
      </c>
      <c r="DP238" s="44" t="s">
        <v>37</v>
      </c>
      <c r="DR238" s="44" t="s">
        <v>37</v>
      </c>
      <c r="DT238" s="44" t="s">
        <v>37</v>
      </c>
      <c r="DU238" s="44">
        <v>79224</v>
      </c>
      <c r="DV238" s="44" t="s">
        <v>37</v>
      </c>
      <c r="DX238" s="44" t="s">
        <v>37</v>
      </c>
      <c r="DZ238" s="44" t="s">
        <v>37</v>
      </c>
      <c r="EB238" s="44" t="s">
        <v>37</v>
      </c>
      <c r="EC238" s="44">
        <v>75589</v>
      </c>
      <c r="ED238" s="44" t="s">
        <v>37</v>
      </c>
      <c r="EF238" s="44" t="s">
        <v>37</v>
      </c>
      <c r="EH238" s="44" t="s">
        <v>37</v>
      </c>
      <c r="EJ238" s="44" t="s">
        <v>37</v>
      </c>
      <c r="EK238" s="44">
        <v>95625</v>
      </c>
      <c r="EL238" s="44" t="s">
        <v>37</v>
      </c>
      <c r="EM238" s="44">
        <v>61114</v>
      </c>
      <c r="EN238" s="44" t="s">
        <v>37</v>
      </c>
      <c r="EO238" s="44">
        <v>30411</v>
      </c>
      <c r="EP238" s="44" t="s">
        <v>37</v>
      </c>
      <c r="ER238" s="44" t="s">
        <v>37</v>
      </c>
      <c r="ES238" s="44">
        <v>146440</v>
      </c>
      <c r="ET238" s="44" t="s">
        <v>37</v>
      </c>
      <c r="EU238" s="44">
        <v>167310</v>
      </c>
      <c r="EV238" s="44" t="s">
        <v>37</v>
      </c>
      <c r="EX238" s="44" t="s">
        <v>37</v>
      </c>
      <c r="EZ238" s="44" t="s">
        <v>37</v>
      </c>
      <c r="FA238" s="44">
        <v>145435</v>
      </c>
      <c r="FB238" s="44" t="s">
        <v>37</v>
      </c>
      <c r="FC238" s="44">
        <v>116943</v>
      </c>
      <c r="FD238" s="44" t="s">
        <v>37</v>
      </c>
      <c r="FE238" s="44">
        <v>200025</v>
      </c>
      <c r="FF238" s="44" t="s">
        <v>37</v>
      </c>
      <c r="FH238" s="44" t="s">
        <v>37</v>
      </c>
      <c r="FJ238" s="44" t="s">
        <v>37</v>
      </c>
      <c r="FL238" s="44" t="s">
        <v>37</v>
      </c>
      <c r="FN238" s="44" t="s">
        <v>37</v>
      </c>
      <c r="FP238" s="44" t="s">
        <v>37</v>
      </c>
      <c r="FR238" s="44" t="s">
        <v>37</v>
      </c>
      <c r="FT238" s="44" t="s">
        <v>37</v>
      </c>
      <c r="FV238" s="44" t="s">
        <v>37</v>
      </c>
      <c r="FX238" s="44" t="s">
        <v>37</v>
      </c>
      <c r="FZ238" s="44" t="s">
        <v>37</v>
      </c>
      <c r="GB238" s="44" t="s">
        <v>37</v>
      </c>
      <c r="GD238" s="44" t="s">
        <v>37</v>
      </c>
      <c r="GF238" s="44" t="s">
        <v>37</v>
      </c>
      <c r="GH238" s="44" t="s">
        <v>37</v>
      </c>
      <c r="GJ238" s="44" t="s">
        <v>37</v>
      </c>
      <c r="GL238" s="44" t="s">
        <v>37</v>
      </c>
      <c r="GN238" s="44" t="s">
        <v>37</v>
      </c>
      <c r="GP238" s="44" t="s">
        <v>37</v>
      </c>
      <c r="GQ238" s="44">
        <v>128607</v>
      </c>
      <c r="GR238" s="44" t="s">
        <v>37</v>
      </c>
      <c r="GS238" s="44">
        <v>209152</v>
      </c>
      <c r="GT238" s="44" t="s">
        <v>37</v>
      </c>
      <c r="GV238" s="44" t="s">
        <v>37</v>
      </c>
      <c r="GX238" s="44" t="s">
        <v>37</v>
      </c>
      <c r="GZ238" s="44" t="s">
        <v>37</v>
      </c>
      <c r="HB238" s="44" t="s">
        <v>37</v>
      </c>
      <c r="HD238" s="44" t="s">
        <v>37</v>
      </c>
      <c r="HF238" s="44" t="s">
        <v>37</v>
      </c>
      <c r="HG238" s="44">
        <v>3234519</v>
      </c>
      <c r="HH238" s="44" t="s">
        <v>37</v>
      </c>
      <c r="HJ238" s="44" t="s">
        <v>37</v>
      </c>
      <c r="HK238" s="44">
        <v>3234519</v>
      </c>
      <c r="HL238" s="44" t="s">
        <v>37</v>
      </c>
    </row>
    <row r="239" spans="1:220">
      <c r="A239" s="150" t="s">
        <v>412</v>
      </c>
      <c r="B239" s="44">
        <v>4318</v>
      </c>
      <c r="C239" s="44" t="s">
        <v>248</v>
      </c>
      <c r="D239" s="44" t="s">
        <v>37</v>
      </c>
      <c r="F239" s="44" t="s">
        <v>37</v>
      </c>
      <c r="G239" s="44">
        <v>604229</v>
      </c>
      <c r="H239" s="44" t="s">
        <v>37</v>
      </c>
      <c r="J239" s="44" t="s">
        <v>37</v>
      </c>
      <c r="L239" s="48" t="s">
        <v>37</v>
      </c>
      <c r="M239" s="50"/>
      <c r="N239" s="48" t="s">
        <v>37</v>
      </c>
      <c r="O239" s="50"/>
      <c r="P239" s="48" t="s">
        <v>37</v>
      </c>
      <c r="Q239" s="50"/>
      <c r="R239" s="48" t="s">
        <v>37</v>
      </c>
      <c r="S239" s="50"/>
      <c r="T239" s="48" t="s">
        <v>37</v>
      </c>
      <c r="V239" s="44" t="s">
        <v>37</v>
      </c>
      <c r="X239" s="44" t="s">
        <v>37</v>
      </c>
      <c r="Z239" s="44" t="s">
        <v>37</v>
      </c>
      <c r="AA239" s="44">
        <v>436097</v>
      </c>
      <c r="AB239" s="44" t="s">
        <v>37</v>
      </c>
      <c r="AC239" s="44">
        <v>219629</v>
      </c>
      <c r="AD239" s="44" t="s">
        <v>37</v>
      </c>
      <c r="AF239" s="44" t="s">
        <v>37</v>
      </c>
      <c r="AH239" s="44" t="s">
        <v>37</v>
      </c>
      <c r="AJ239" s="44" t="s">
        <v>37</v>
      </c>
      <c r="AL239" s="44" t="s">
        <v>37</v>
      </c>
      <c r="AM239" s="44">
        <v>547732</v>
      </c>
      <c r="AN239" s="44" t="s">
        <v>37</v>
      </c>
      <c r="AP239" s="44" t="s">
        <v>37</v>
      </c>
      <c r="AR239" s="44" t="s">
        <v>37</v>
      </c>
      <c r="AT239" s="44" t="s">
        <v>37</v>
      </c>
      <c r="AU239" s="44">
        <v>1601237</v>
      </c>
      <c r="AV239" s="44" t="s">
        <v>37</v>
      </c>
      <c r="AW239" s="44">
        <v>597745</v>
      </c>
      <c r="AX239" s="44" t="s">
        <v>37</v>
      </c>
      <c r="AZ239" s="44" t="s">
        <v>37</v>
      </c>
      <c r="BB239" s="44" t="s">
        <v>37</v>
      </c>
      <c r="BD239" s="44" t="s">
        <v>37</v>
      </c>
      <c r="BE239" s="44">
        <v>212655</v>
      </c>
      <c r="BF239" s="44" t="s">
        <v>37</v>
      </c>
      <c r="BH239" s="44" t="s">
        <v>37</v>
      </c>
      <c r="BJ239" s="44" t="s">
        <v>37</v>
      </c>
      <c r="BK239" s="44">
        <v>469260</v>
      </c>
      <c r="BL239" s="44" t="s">
        <v>37</v>
      </c>
      <c r="BM239" s="44">
        <v>642870</v>
      </c>
      <c r="BN239" s="44" t="s">
        <v>37</v>
      </c>
      <c r="BP239" s="44" t="s">
        <v>37</v>
      </c>
      <c r="BR239" s="44" t="s">
        <v>37</v>
      </c>
      <c r="BS239" s="44">
        <v>628459</v>
      </c>
      <c r="BT239" s="44" t="s">
        <v>37</v>
      </c>
      <c r="BV239" s="44" t="s">
        <v>37</v>
      </c>
      <c r="BX239" s="44" t="s">
        <v>37</v>
      </c>
      <c r="BZ239" s="44" t="s">
        <v>37</v>
      </c>
      <c r="CA239" s="44">
        <v>250000</v>
      </c>
      <c r="CB239" s="44" t="s">
        <v>37</v>
      </c>
      <c r="CD239" s="44" t="s">
        <v>37</v>
      </c>
      <c r="CF239" s="44" t="s">
        <v>37</v>
      </c>
      <c r="CG239" s="44">
        <v>479255</v>
      </c>
      <c r="CH239" s="44" t="s">
        <v>37</v>
      </c>
      <c r="CI239" s="44">
        <v>461001</v>
      </c>
      <c r="CJ239" s="44" t="s">
        <v>37</v>
      </c>
      <c r="CL239" s="44" t="s">
        <v>37</v>
      </c>
      <c r="CM239" s="44">
        <v>492795</v>
      </c>
      <c r="CN239" s="44" t="s">
        <v>37</v>
      </c>
      <c r="CP239" s="44" t="s">
        <v>37</v>
      </c>
      <c r="CR239" s="44" t="s">
        <v>37</v>
      </c>
      <c r="CT239" s="44" t="s">
        <v>37</v>
      </c>
      <c r="CV239" s="44" t="s">
        <v>37</v>
      </c>
      <c r="CX239" s="44" t="s">
        <v>37</v>
      </c>
      <c r="CZ239" s="44" t="s">
        <v>37</v>
      </c>
      <c r="DB239" s="44" t="s">
        <v>37</v>
      </c>
      <c r="DD239" s="44" t="s">
        <v>37</v>
      </c>
      <c r="DE239" s="44">
        <v>464458</v>
      </c>
      <c r="DF239" s="44" t="s">
        <v>37</v>
      </c>
      <c r="DH239" s="44" t="s">
        <v>37</v>
      </c>
      <c r="DJ239" s="44" t="s">
        <v>37</v>
      </c>
      <c r="DL239" s="44" t="s">
        <v>37</v>
      </c>
      <c r="DN239" s="44" t="s">
        <v>37</v>
      </c>
      <c r="DO239" s="44">
        <v>342218</v>
      </c>
      <c r="DP239" s="44" t="s">
        <v>37</v>
      </c>
      <c r="DR239" s="44" t="s">
        <v>37</v>
      </c>
      <c r="DS239" s="44">
        <v>558978</v>
      </c>
      <c r="DT239" s="44" t="s">
        <v>37</v>
      </c>
      <c r="DU239" s="44">
        <v>245192</v>
      </c>
      <c r="DV239" s="44" t="s">
        <v>37</v>
      </c>
      <c r="DX239" s="44" t="s">
        <v>37</v>
      </c>
      <c r="DZ239" s="44" t="s">
        <v>37</v>
      </c>
      <c r="EB239" s="44" t="s">
        <v>37</v>
      </c>
      <c r="EC239" s="44">
        <v>1001051</v>
      </c>
      <c r="ED239" s="44" t="s">
        <v>37</v>
      </c>
      <c r="EF239" s="44" t="s">
        <v>37</v>
      </c>
      <c r="EH239" s="44" t="s">
        <v>37</v>
      </c>
      <c r="EJ239" s="44" t="s">
        <v>37</v>
      </c>
      <c r="EL239" s="44" t="s">
        <v>37</v>
      </c>
      <c r="EM239" s="44">
        <v>400359</v>
      </c>
      <c r="EN239" s="44" t="s">
        <v>37</v>
      </c>
      <c r="EO239" s="44">
        <v>425320</v>
      </c>
      <c r="EP239" s="44" t="s">
        <v>37</v>
      </c>
      <c r="ER239" s="44" t="s">
        <v>37</v>
      </c>
      <c r="ET239" s="44" t="s">
        <v>37</v>
      </c>
      <c r="EU239" s="44">
        <v>725639</v>
      </c>
      <c r="EV239" s="44" t="s">
        <v>37</v>
      </c>
      <c r="EX239" s="44" t="s">
        <v>37</v>
      </c>
      <c r="EZ239" s="44" t="s">
        <v>37</v>
      </c>
      <c r="FB239" s="44" t="s">
        <v>37</v>
      </c>
      <c r="FD239" s="44" t="s">
        <v>37</v>
      </c>
      <c r="FF239" s="44" t="s">
        <v>37</v>
      </c>
      <c r="FH239" s="44" t="s">
        <v>37</v>
      </c>
      <c r="FJ239" s="44" t="s">
        <v>37</v>
      </c>
      <c r="FK239" s="44">
        <v>1100000</v>
      </c>
      <c r="FL239" s="44" t="s">
        <v>37</v>
      </c>
      <c r="FN239" s="44" t="s">
        <v>37</v>
      </c>
      <c r="FP239" s="44" t="s">
        <v>37</v>
      </c>
      <c r="FR239" s="44" t="s">
        <v>37</v>
      </c>
      <c r="FT239" s="44" t="s">
        <v>37</v>
      </c>
      <c r="FV239" s="44" t="s">
        <v>37</v>
      </c>
      <c r="FX239" s="44" t="s">
        <v>37</v>
      </c>
      <c r="FZ239" s="44" t="s">
        <v>37</v>
      </c>
      <c r="GB239" s="44" t="s">
        <v>37</v>
      </c>
      <c r="GC239" s="44">
        <v>539105</v>
      </c>
      <c r="GD239" s="44" t="s">
        <v>37</v>
      </c>
      <c r="GF239" s="44" t="s">
        <v>37</v>
      </c>
      <c r="GH239" s="44" t="s">
        <v>37</v>
      </c>
      <c r="GJ239" s="44" t="s">
        <v>37</v>
      </c>
      <c r="GL239" s="44" t="s">
        <v>37</v>
      </c>
      <c r="GN239" s="44" t="s">
        <v>37</v>
      </c>
      <c r="GP239" s="44" t="s">
        <v>37</v>
      </c>
      <c r="GR239" s="44" t="s">
        <v>37</v>
      </c>
      <c r="GS239" s="44">
        <v>500000</v>
      </c>
      <c r="GT239" s="44" t="s">
        <v>37</v>
      </c>
      <c r="GV239" s="44" t="s">
        <v>37</v>
      </c>
      <c r="GX239" s="44" t="s">
        <v>37</v>
      </c>
      <c r="GZ239" s="44" t="s">
        <v>37</v>
      </c>
      <c r="HB239" s="44" t="s">
        <v>37</v>
      </c>
      <c r="HD239" s="44" t="s">
        <v>37</v>
      </c>
      <c r="HF239" s="44" t="s">
        <v>37</v>
      </c>
      <c r="HG239" s="44">
        <v>13945284</v>
      </c>
      <c r="HH239" s="44" t="s">
        <v>37</v>
      </c>
      <c r="HJ239" s="44" t="s">
        <v>37</v>
      </c>
      <c r="HK239" s="44">
        <v>13945284</v>
      </c>
      <c r="HL239" s="44" t="s">
        <v>37</v>
      </c>
    </row>
    <row r="240" spans="1:220">
      <c r="A240" s="150" t="s">
        <v>412</v>
      </c>
      <c r="B240" s="55">
        <v>4320</v>
      </c>
      <c r="C240" s="44" t="s">
        <v>249</v>
      </c>
      <c r="D240" s="44" t="s">
        <v>37</v>
      </c>
      <c r="F240" s="44" t="s">
        <v>37</v>
      </c>
      <c r="H240" s="44" t="s">
        <v>37</v>
      </c>
      <c r="J240" s="44" t="s">
        <v>37</v>
      </c>
      <c r="L240" s="48" t="s">
        <v>37</v>
      </c>
      <c r="M240" s="50"/>
      <c r="N240" s="48" t="s">
        <v>37</v>
      </c>
      <c r="O240" s="50"/>
      <c r="P240" s="48" t="s">
        <v>37</v>
      </c>
      <c r="Q240" s="50"/>
      <c r="R240" s="48" t="s">
        <v>37</v>
      </c>
      <c r="S240" s="50"/>
      <c r="T240" s="48" t="s">
        <v>37</v>
      </c>
      <c r="V240" s="44" t="s">
        <v>37</v>
      </c>
      <c r="X240" s="44" t="s">
        <v>37</v>
      </c>
      <c r="Z240" s="44" t="s">
        <v>37</v>
      </c>
      <c r="AB240" s="44" t="s">
        <v>37</v>
      </c>
      <c r="AD240" s="44" t="s">
        <v>37</v>
      </c>
      <c r="AF240" s="44" t="s">
        <v>37</v>
      </c>
      <c r="AH240" s="44" t="s">
        <v>37</v>
      </c>
      <c r="AJ240" s="44" t="s">
        <v>37</v>
      </c>
      <c r="AL240" s="44" t="s">
        <v>37</v>
      </c>
      <c r="AN240" s="44" t="s">
        <v>37</v>
      </c>
      <c r="AP240" s="44" t="s">
        <v>37</v>
      </c>
      <c r="AR240" s="44" t="s">
        <v>37</v>
      </c>
      <c r="AT240" s="44" t="s">
        <v>37</v>
      </c>
      <c r="AV240" s="44" t="s">
        <v>37</v>
      </c>
      <c r="AX240" s="44" t="s">
        <v>37</v>
      </c>
      <c r="AY240" s="44">
        <v>164444</v>
      </c>
      <c r="AZ240" s="44" t="s">
        <v>37</v>
      </c>
      <c r="BB240" s="44" t="s">
        <v>37</v>
      </c>
      <c r="BD240" s="44" t="s">
        <v>37</v>
      </c>
      <c r="BF240" s="44" t="s">
        <v>37</v>
      </c>
      <c r="BH240" s="44" t="s">
        <v>37</v>
      </c>
      <c r="BJ240" s="44" t="s">
        <v>37</v>
      </c>
      <c r="BL240" s="44" t="s">
        <v>37</v>
      </c>
      <c r="BN240" s="44" t="s">
        <v>37</v>
      </c>
      <c r="BP240" s="44" t="s">
        <v>37</v>
      </c>
      <c r="BR240" s="44" t="s">
        <v>37</v>
      </c>
      <c r="BT240" s="44" t="s">
        <v>37</v>
      </c>
      <c r="BV240" s="44" t="s">
        <v>37</v>
      </c>
      <c r="BX240" s="44" t="s">
        <v>37</v>
      </c>
      <c r="BZ240" s="44" t="s">
        <v>37</v>
      </c>
      <c r="CB240" s="44" t="s">
        <v>37</v>
      </c>
      <c r="CD240" s="44" t="s">
        <v>37</v>
      </c>
      <c r="CF240" s="44" t="s">
        <v>37</v>
      </c>
      <c r="CH240" s="44" t="s">
        <v>37</v>
      </c>
      <c r="CJ240" s="44" t="s">
        <v>37</v>
      </c>
      <c r="CL240" s="44" t="s">
        <v>37</v>
      </c>
      <c r="CN240" s="44" t="s">
        <v>37</v>
      </c>
      <c r="CP240" s="44" t="s">
        <v>37</v>
      </c>
      <c r="CR240" s="44" t="s">
        <v>37</v>
      </c>
      <c r="CT240" s="44" t="s">
        <v>37</v>
      </c>
      <c r="CU240" s="44">
        <v>513415</v>
      </c>
      <c r="CV240" s="44" t="s">
        <v>37</v>
      </c>
      <c r="CX240" s="44" t="s">
        <v>37</v>
      </c>
      <c r="CZ240" s="44" t="s">
        <v>37</v>
      </c>
      <c r="DB240" s="44" t="s">
        <v>37</v>
      </c>
      <c r="DD240" s="44" t="s">
        <v>37</v>
      </c>
      <c r="DF240" s="44" t="s">
        <v>37</v>
      </c>
      <c r="DH240" s="44" t="s">
        <v>37</v>
      </c>
      <c r="DJ240" s="44" t="s">
        <v>37</v>
      </c>
      <c r="DL240" s="44" t="s">
        <v>37</v>
      </c>
      <c r="DN240" s="44" t="s">
        <v>37</v>
      </c>
      <c r="DP240" s="44" t="s">
        <v>37</v>
      </c>
      <c r="DR240" s="44" t="s">
        <v>37</v>
      </c>
      <c r="DT240" s="44" t="s">
        <v>37</v>
      </c>
      <c r="DU240" s="44">
        <v>177116</v>
      </c>
      <c r="DV240" s="44" t="s">
        <v>37</v>
      </c>
      <c r="DX240" s="44" t="s">
        <v>37</v>
      </c>
      <c r="DZ240" s="44" t="s">
        <v>37</v>
      </c>
      <c r="EB240" s="44" t="s">
        <v>37</v>
      </c>
      <c r="ED240" s="44" t="s">
        <v>37</v>
      </c>
      <c r="EF240" s="44" t="s">
        <v>37</v>
      </c>
      <c r="EH240" s="44" t="s">
        <v>37</v>
      </c>
      <c r="EJ240" s="44" t="s">
        <v>37</v>
      </c>
      <c r="EL240" s="44" t="s">
        <v>37</v>
      </c>
      <c r="EN240" s="44" t="s">
        <v>37</v>
      </c>
      <c r="EP240" s="44" t="s">
        <v>37</v>
      </c>
      <c r="ER240" s="44" t="s">
        <v>37</v>
      </c>
      <c r="ET240" s="44" t="s">
        <v>37</v>
      </c>
      <c r="EV240" s="44" t="s">
        <v>37</v>
      </c>
      <c r="EX240" s="44" t="s">
        <v>37</v>
      </c>
      <c r="EZ240" s="44" t="s">
        <v>37</v>
      </c>
      <c r="FB240" s="44" t="s">
        <v>37</v>
      </c>
      <c r="FD240" s="44" t="s">
        <v>37</v>
      </c>
      <c r="FF240" s="44" t="s">
        <v>37</v>
      </c>
      <c r="FH240" s="44" t="s">
        <v>37</v>
      </c>
      <c r="FJ240" s="44" t="s">
        <v>37</v>
      </c>
      <c r="FK240" s="44">
        <v>131000</v>
      </c>
      <c r="FL240" s="44" t="s">
        <v>37</v>
      </c>
      <c r="FN240" s="44" t="s">
        <v>37</v>
      </c>
      <c r="FP240" s="44" t="s">
        <v>37</v>
      </c>
      <c r="FR240" s="44" t="s">
        <v>37</v>
      </c>
      <c r="FT240" s="44" t="s">
        <v>37</v>
      </c>
      <c r="FV240" s="44" t="s">
        <v>37</v>
      </c>
      <c r="FX240" s="44" t="s">
        <v>37</v>
      </c>
      <c r="FZ240" s="44" t="s">
        <v>37</v>
      </c>
      <c r="GB240" s="44" t="s">
        <v>37</v>
      </c>
      <c r="GD240" s="44" t="s">
        <v>37</v>
      </c>
      <c r="GF240" s="44" t="s">
        <v>37</v>
      </c>
      <c r="GH240" s="44" t="s">
        <v>37</v>
      </c>
      <c r="GJ240" s="44" t="s">
        <v>37</v>
      </c>
      <c r="GL240" s="44" t="s">
        <v>37</v>
      </c>
      <c r="GN240" s="44" t="s">
        <v>37</v>
      </c>
      <c r="GP240" s="44" t="s">
        <v>37</v>
      </c>
      <c r="GR240" s="44" t="s">
        <v>37</v>
      </c>
      <c r="GT240" s="44" t="s">
        <v>37</v>
      </c>
      <c r="GV240" s="44" t="s">
        <v>37</v>
      </c>
      <c r="GX240" s="44" t="s">
        <v>37</v>
      </c>
      <c r="GZ240" s="44" t="s">
        <v>37</v>
      </c>
      <c r="HB240" s="44" t="s">
        <v>37</v>
      </c>
      <c r="HD240" s="44" t="s">
        <v>37</v>
      </c>
      <c r="HF240" s="44" t="s">
        <v>37</v>
      </c>
      <c r="HG240" s="44">
        <v>985975</v>
      </c>
      <c r="HH240" s="44" t="s">
        <v>37</v>
      </c>
      <c r="HJ240" s="44" t="s">
        <v>37</v>
      </c>
      <c r="HK240" s="44">
        <v>985975</v>
      </c>
      <c r="HL240" s="44" t="s">
        <v>37</v>
      </c>
    </row>
    <row r="241" spans="1:220">
      <c r="A241" s="150" t="s">
        <v>412</v>
      </c>
      <c r="B241" s="44">
        <v>4325</v>
      </c>
      <c r="C241" s="44" t="s">
        <v>250</v>
      </c>
      <c r="D241" s="44" t="s">
        <v>37</v>
      </c>
      <c r="F241" s="44" t="s">
        <v>37</v>
      </c>
      <c r="H241" s="44" t="s">
        <v>37</v>
      </c>
      <c r="J241" s="44" t="s">
        <v>37</v>
      </c>
      <c r="L241" s="48" t="s">
        <v>37</v>
      </c>
      <c r="M241" s="50"/>
      <c r="N241" s="48" t="s">
        <v>37</v>
      </c>
      <c r="O241" s="50"/>
      <c r="P241" s="48" t="s">
        <v>37</v>
      </c>
      <c r="Q241" s="50"/>
      <c r="R241" s="48" t="s">
        <v>37</v>
      </c>
      <c r="S241" s="50"/>
      <c r="T241" s="48" t="s">
        <v>37</v>
      </c>
      <c r="U241" s="44">
        <v>203612</v>
      </c>
      <c r="V241" s="44" t="s">
        <v>37</v>
      </c>
      <c r="X241" s="44" t="s">
        <v>37</v>
      </c>
      <c r="Z241" s="44" t="s">
        <v>37</v>
      </c>
      <c r="AB241" s="44" t="s">
        <v>37</v>
      </c>
      <c r="AD241" s="44" t="s">
        <v>37</v>
      </c>
      <c r="AF241" s="44" t="s">
        <v>37</v>
      </c>
      <c r="AH241" s="44" t="s">
        <v>37</v>
      </c>
      <c r="AJ241" s="44" t="s">
        <v>37</v>
      </c>
      <c r="AL241" s="44" t="s">
        <v>37</v>
      </c>
      <c r="AN241" s="44" t="s">
        <v>37</v>
      </c>
      <c r="AP241" s="44" t="s">
        <v>37</v>
      </c>
      <c r="AQ241" s="44">
        <v>7141</v>
      </c>
      <c r="AR241" s="44" t="s">
        <v>37</v>
      </c>
      <c r="AT241" s="44" t="s">
        <v>37</v>
      </c>
      <c r="AV241" s="44" t="s">
        <v>37</v>
      </c>
      <c r="AX241" s="44" t="s">
        <v>37</v>
      </c>
      <c r="AZ241" s="44" t="s">
        <v>37</v>
      </c>
      <c r="BB241" s="44" t="s">
        <v>37</v>
      </c>
      <c r="BD241" s="44" t="s">
        <v>37</v>
      </c>
      <c r="BF241" s="44" t="s">
        <v>37</v>
      </c>
      <c r="BH241" s="44" t="s">
        <v>37</v>
      </c>
      <c r="BJ241" s="44" t="s">
        <v>37</v>
      </c>
      <c r="BL241" s="44" t="s">
        <v>37</v>
      </c>
      <c r="BN241" s="44" t="s">
        <v>37</v>
      </c>
      <c r="BP241" s="44" t="s">
        <v>37</v>
      </c>
      <c r="BR241" s="44" t="s">
        <v>37</v>
      </c>
      <c r="BT241" s="44" t="s">
        <v>37</v>
      </c>
      <c r="BV241" s="44" t="s">
        <v>37</v>
      </c>
      <c r="BX241" s="44" t="s">
        <v>37</v>
      </c>
      <c r="BZ241" s="44" t="s">
        <v>37</v>
      </c>
      <c r="CB241" s="44" t="s">
        <v>37</v>
      </c>
      <c r="CD241" s="44" t="s">
        <v>37</v>
      </c>
      <c r="CF241" s="44" t="s">
        <v>37</v>
      </c>
      <c r="CH241" s="44" t="s">
        <v>37</v>
      </c>
      <c r="CJ241" s="44" t="s">
        <v>37</v>
      </c>
      <c r="CL241" s="44" t="s">
        <v>37</v>
      </c>
      <c r="CN241" s="44" t="s">
        <v>37</v>
      </c>
      <c r="CP241" s="44" t="s">
        <v>37</v>
      </c>
      <c r="CR241" s="44" t="s">
        <v>37</v>
      </c>
      <c r="CT241" s="44" t="s">
        <v>37</v>
      </c>
      <c r="CV241" s="44" t="s">
        <v>37</v>
      </c>
      <c r="CX241" s="44" t="s">
        <v>37</v>
      </c>
      <c r="CZ241" s="44" t="s">
        <v>37</v>
      </c>
      <c r="DB241" s="44" t="s">
        <v>37</v>
      </c>
      <c r="DD241" s="44" t="s">
        <v>37</v>
      </c>
      <c r="DF241" s="44" t="s">
        <v>37</v>
      </c>
      <c r="DH241" s="44" t="s">
        <v>37</v>
      </c>
      <c r="DJ241" s="44" t="s">
        <v>37</v>
      </c>
      <c r="DL241" s="44" t="s">
        <v>37</v>
      </c>
      <c r="DN241" s="44" t="s">
        <v>37</v>
      </c>
      <c r="DP241" s="44" t="s">
        <v>37</v>
      </c>
      <c r="DR241" s="44" t="s">
        <v>37</v>
      </c>
      <c r="DS241" s="44">
        <v>38800</v>
      </c>
      <c r="DT241" s="44" t="s">
        <v>37</v>
      </c>
      <c r="DV241" s="44" t="s">
        <v>37</v>
      </c>
      <c r="DX241" s="44" t="s">
        <v>37</v>
      </c>
      <c r="DZ241" s="44" t="s">
        <v>37</v>
      </c>
      <c r="EB241" s="44" t="s">
        <v>37</v>
      </c>
      <c r="ED241" s="44" t="s">
        <v>37</v>
      </c>
      <c r="EF241" s="44" t="s">
        <v>37</v>
      </c>
      <c r="EH241" s="44" t="s">
        <v>37</v>
      </c>
      <c r="EJ241" s="44" t="s">
        <v>37</v>
      </c>
      <c r="EL241" s="44" t="s">
        <v>37</v>
      </c>
      <c r="EN241" s="44" t="s">
        <v>37</v>
      </c>
      <c r="EP241" s="44" t="s">
        <v>37</v>
      </c>
      <c r="ER241" s="44" t="s">
        <v>37</v>
      </c>
      <c r="ET241" s="44" t="s">
        <v>37</v>
      </c>
      <c r="EV241" s="44" t="s">
        <v>37</v>
      </c>
      <c r="EX241" s="44" t="s">
        <v>37</v>
      </c>
      <c r="EZ241" s="44" t="s">
        <v>37</v>
      </c>
      <c r="FB241" s="44" t="s">
        <v>37</v>
      </c>
      <c r="FD241" s="44" t="s">
        <v>37</v>
      </c>
      <c r="FE241" s="44">
        <v>186909</v>
      </c>
      <c r="FF241" s="44" t="s">
        <v>37</v>
      </c>
      <c r="FH241" s="44" t="s">
        <v>37</v>
      </c>
      <c r="FJ241" s="44" t="s">
        <v>37</v>
      </c>
      <c r="FL241" s="44" t="s">
        <v>37</v>
      </c>
      <c r="FN241" s="44" t="s">
        <v>37</v>
      </c>
      <c r="FP241" s="44" t="s">
        <v>37</v>
      </c>
      <c r="FR241" s="44" t="s">
        <v>37</v>
      </c>
      <c r="FS241" s="44">
        <v>60000</v>
      </c>
      <c r="FT241" s="44" t="s">
        <v>37</v>
      </c>
      <c r="FV241" s="44" t="s">
        <v>37</v>
      </c>
      <c r="FX241" s="44" t="s">
        <v>37</v>
      </c>
      <c r="FY241" s="44">
        <v>52413</v>
      </c>
      <c r="FZ241" s="44" t="s">
        <v>37</v>
      </c>
      <c r="GB241" s="44" t="s">
        <v>37</v>
      </c>
      <c r="GD241" s="44" t="s">
        <v>37</v>
      </c>
      <c r="GF241" s="44" t="s">
        <v>37</v>
      </c>
      <c r="GH241" s="44" t="s">
        <v>37</v>
      </c>
      <c r="GJ241" s="44" t="s">
        <v>37</v>
      </c>
      <c r="GL241" s="44" t="s">
        <v>37</v>
      </c>
      <c r="GN241" s="44" t="s">
        <v>37</v>
      </c>
      <c r="GP241" s="44" t="s">
        <v>37</v>
      </c>
      <c r="GR241" s="44" t="s">
        <v>37</v>
      </c>
      <c r="GT241" s="44" t="s">
        <v>37</v>
      </c>
      <c r="GV241" s="44" t="s">
        <v>37</v>
      </c>
      <c r="GX241" s="44" t="s">
        <v>37</v>
      </c>
      <c r="GY241" s="44">
        <v>19374</v>
      </c>
      <c r="GZ241" s="44" t="s">
        <v>37</v>
      </c>
      <c r="HB241" s="44" t="s">
        <v>37</v>
      </c>
      <c r="HD241" s="44" t="s">
        <v>37</v>
      </c>
      <c r="HF241" s="44" t="s">
        <v>37</v>
      </c>
      <c r="HG241" s="44">
        <v>568249</v>
      </c>
      <c r="HH241" s="44" t="s">
        <v>37</v>
      </c>
      <c r="HJ241" s="44" t="s">
        <v>37</v>
      </c>
      <c r="HK241" s="44">
        <v>568249</v>
      </c>
      <c r="HL241" s="44" t="s">
        <v>37</v>
      </c>
    </row>
    <row r="242" spans="1:220">
      <c r="A242" s="150" t="s">
        <v>412</v>
      </c>
      <c r="B242" s="44">
        <v>4331</v>
      </c>
      <c r="C242" s="44" t="s">
        <v>251</v>
      </c>
      <c r="D242" s="44" t="s">
        <v>37</v>
      </c>
      <c r="E242" s="44">
        <v>8257</v>
      </c>
      <c r="F242" s="44" t="s">
        <v>37</v>
      </c>
      <c r="G242" s="44">
        <v>136857</v>
      </c>
      <c r="H242" s="44" t="s">
        <v>37</v>
      </c>
      <c r="I242" s="44">
        <v>11018</v>
      </c>
      <c r="J242" s="44" t="s">
        <v>37</v>
      </c>
      <c r="L242" s="48" t="s">
        <v>37</v>
      </c>
      <c r="M242" s="51">
        <v>8127</v>
      </c>
      <c r="N242" s="48" t="s">
        <v>37</v>
      </c>
      <c r="O242" s="51">
        <v>5710</v>
      </c>
      <c r="P242" s="48" t="s">
        <v>37</v>
      </c>
      <c r="Q242" s="51">
        <v>12077</v>
      </c>
      <c r="R242" s="48" t="s">
        <v>37</v>
      </c>
      <c r="S242" s="51">
        <v>5979</v>
      </c>
      <c r="T242" s="48" t="s">
        <v>37</v>
      </c>
      <c r="U242" s="44">
        <v>27024</v>
      </c>
      <c r="V242" s="44" t="s">
        <v>37</v>
      </c>
      <c r="X242" s="44" t="s">
        <v>37</v>
      </c>
      <c r="Z242" s="44" t="s">
        <v>37</v>
      </c>
      <c r="AA242" s="44">
        <v>5559</v>
      </c>
      <c r="AB242" s="44" t="s">
        <v>37</v>
      </c>
      <c r="AD242" s="44" t="s">
        <v>37</v>
      </c>
      <c r="AE242" s="44">
        <v>5111</v>
      </c>
      <c r="AF242" s="44" t="s">
        <v>37</v>
      </c>
      <c r="AG242" s="44">
        <v>157896</v>
      </c>
      <c r="AH242" s="44" t="s">
        <v>37</v>
      </c>
      <c r="AI242" s="44">
        <v>16403</v>
      </c>
      <c r="AJ242" s="44" t="s">
        <v>37</v>
      </c>
      <c r="AL242" s="44" t="s">
        <v>37</v>
      </c>
      <c r="AM242" s="44">
        <v>59696</v>
      </c>
      <c r="AN242" s="44" t="s">
        <v>37</v>
      </c>
      <c r="AP242" s="44" t="s">
        <v>37</v>
      </c>
      <c r="AQ242" s="44">
        <v>51295</v>
      </c>
      <c r="AR242" s="44" t="s">
        <v>37</v>
      </c>
      <c r="AS242" s="44">
        <v>6320</v>
      </c>
      <c r="AT242" s="44" t="s">
        <v>37</v>
      </c>
      <c r="AU242" s="44">
        <v>141130</v>
      </c>
      <c r="AV242" s="44" t="s">
        <v>37</v>
      </c>
      <c r="AW242" s="44">
        <v>22132</v>
      </c>
      <c r="AX242" s="44" t="s">
        <v>37</v>
      </c>
      <c r="AY242" s="44">
        <v>28952</v>
      </c>
      <c r="AZ242" s="44" t="s">
        <v>37</v>
      </c>
      <c r="BA242" s="44">
        <v>233701</v>
      </c>
      <c r="BB242" s="44" t="s">
        <v>37</v>
      </c>
      <c r="BC242" s="44">
        <v>22457</v>
      </c>
      <c r="BD242" s="44" t="s">
        <v>37</v>
      </c>
      <c r="BE242" s="44">
        <v>12421</v>
      </c>
      <c r="BF242" s="44" t="s">
        <v>37</v>
      </c>
      <c r="BG242" s="44">
        <v>1780</v>
      </c>
      <c r="BH242" s="44" t="s">
        <v>37</v>
      </c>
      <c r="BJ242" s="44" t="s">
        <v>37</v>
      </c>
      <c r="BK242" s="44">
        <v>27208</v>
      </c>
      <c r="BL242" s="44" t="s">
        <v>37</v>
      </c>
      <c r="BM242" s="44">
        <v>40106</v>
      </c>
      <c r="BN242" s="44" t="s">
        <v>37</v>
      </c>
      <c r="BP242" s="44" t="s">
        <v>37</v>
      </c>
      <c r="BQ242" s="44">
        <v>131243</v>
      </c>
      <c r="BR242" s="44" t="s">
        <v>37</v>
      </c>
      <c r="BS242" s="44">
        <v>15377</v>
      </c>
      <c r="BT242" s="44" t="s">
        <v>37</v>
      </c>
      <c r="BU242" s="44">
        <v>5008</v>
      </c>
      <c r="BV242" s="44" t="s">
        <v>37</v>
      </c>
      <c r="BX242" s="44" t="s">
        <v>37</v>
      </c>
      <c r="BY242" s="44">
        <v>29867</v>
      </c>
      <c r="BZ242" s="44" t="s">
        <v>37</v>
      </c>
      <c r="CA242" s="44">
        <v>10456</v>
      </c>
      <c r="CB242" s="44" t="s">
        <v>37</v>
      </c>
      <c r="CD242" s="44" t="s">
        <v>37</v>
      </c>
      <c r="CE242" s="44">
        <v>4487</v>
      </c>
      <c r="CF242" s="44" t="s">
        <v>37</v>
      </c>
      <c r="CG242" s="44">
        <v>10605</v>
      </c>
      <c r="CH242" s="44" t="s">
        <v>37</v>
      </c>
      <c r="CI242" s="44">
        <v>25037</v>
      </c>
      <c r="CJ242" s="44" t="s">
        <v>37</v>
      </c>
      <c r="CK242" s="44">
        <v>3072</v>
      </c>
      <c r="CL242" s="44" t="s">
        <v>37</v>
      </c>
      <c r="CM242" s="44">
        <v>68914</v>
      </c>
      <c r="CN242" s="44" t="s">
        <v>37</v>
      </c>
      <c r="CO242" s="44">
        <v>3249</v>
      </c>
      <c r="CP242" s="44" t="s">
        <v>37</v>
      </c>
      <c r="CQ242" s="44">
        <v>3072</v>
      </c>
      <c r="CR242" s="44" t="s">
        <v>37</v>
      </c>
      <c r="CS242" s="44">
        <v>37308</v>
      </c>
      <c r="CT242" s="44" t="s">
        <v>37</v>
      </c>
      <c r="CU242" s="44">
        <v>182657</v>
      </c>
      <c r="CV242" s="44" t="s">
        <v>37</v>
      </c>
      <c r="CW242" s="44">
        <v>93073</v>
      </c>
      <c r="CX242" s="44" t="s">
        <v>37</v>
      </c>
      <c r="CY242" s="44">
        <v>2613</v>
      </c>
      <c r="CZ242" s="44" t="s">
        <v>37</v>
      </c>
      <c r="DA242" s="44">
        <v>3730</v>
      </c>
      <c r="DB242" s="44" t="s">
        <v>37</v>
      </c>
      <c r="DD242" s="44" t="s">
        <v>37</v>
      </c>
      <c r="DE242" s="44">
        <v>6109</v>
      </c>
      <c r="DF242" s="44" t="s">
        <v>37</v>
      </c>
      <c r="DG242" s="44">
        <v>19758</v>
      </c>
      <c r="DH242" s="44" t="s">
        <v>37</v>
      </c>
      <c r="DI242" s="44">
        <v>88785</v>
      </c>
      <c r="DJ242" s="44" t="s">
        <v>37</v>
      </c>
      <c r="DK242" s="44">
        <v>29375</v>
      </c>
      <c r="DL242" s="44" t="s">
        <v>37</v>
      </c>
      <c r="DM242" s="44">
        <v>18822</v>
      </c>
      <c r="DN242" s="44" t="s">
        <v>37</v>
      </c>
      <c r="DO242" s="44">
        <v>25899</v>
      </c>
      <c r="DP242" s="44" t="s">
        <v>37</v>
      </c>
      <c r="DQ242" s="44">
        <v>18072</v>
      </c>
      <c r="DR242" s="44" t="s">
        <v>37</v>
      </c>
      <c r="DS242" s="44">
        <v>16717</v>
      </c>
      <c r="DT242" s="44" t="s">
        <v>37</v>
      </c>
      <c r="DU242" s="44">
        <v>60130</v>
      </c>
      <c r="DV242" s="44" t="s">
        <v>37</v>
      </c>
      <c r="DW242" s="44">
        <v>24190</v>
      </c>
      <c r="DX242" s="44" t="s">
        <v>37</v>
      </c>
      <c r="DY242" s="44">
        <v>13682</v>
      </c>
      <c r="DZ242" s="44" t="s">
        <v>37</v>
      </c>
      <c r="EA242" s="44">
        <v>5797</v>
      </c>
      <c r="EB242" s="44" t="s">
        <v>37</v>
      </c>
      <c r="EC242" s="44">
        <v>139947</v>
      </c>
      <c r="ED242" s="44" t="s">
        <v>37</v>
      </c>
      <c r="EE242" s="44">
        <v>4150</v>
      </c>
      <c r="EF242" s="44" t="s">
        <v>37</v>
      </c>
      <c r="EG242" s="44">
        <v>3949</v>
      </c>
      <c r="EH242" s="44" t="s">
        <v>37</v>
      </c>
      <c r="EJ242" s="44" t="s">
        <v>37</v>
      </c>
      <c r="EK242" s="44">
        <v>12198</v>
      </c>
      <c r="EL242" s="44" t="s">
        <v>37</v>
      </c>
      <c r="EM242" s="44">
        <v>7135</v>
      </c>
      <c r="EN242" s="44" t="s">
        <v>37</v>
      </c>
      <c r="EO242" s="44">
        <v>135125</v>
      </c>
      <c r="EP242" s="44" t="s">
        <v>37</v>
      </c>
      <c r="ER242" s="44" t="s">
        <v>37</v>
      </c>
      <c r="ES242" s="44">
        <v>18200</v>
      </c>
      <c r="ET242" s="44" t="s">
        <v>37</v>
      </c>
      <c r="EU242" s="44">
        <v>17745</v>
      </c>
      <c r="EV242" s="44" t="s">
        <v>37</v>
      </c>
      <c r="EW242" s="44">
        <v>58020</v>
      </c>
      <c r="EX242" s="44" t="s">
        <v>37</v>
      </c>
      <c r="EZ242" s="44" t="s">
        <v>37</v>
      </c>
      <c r="FA242" s="44">
        <v>7277</v>
      </c>
      <c r="FB242" s="44" t="s">
        <v>37</v>
      </c>
      <c r="FC242" s="44">
        <v>11083</v>
      </c>
      <c r="FD242" s="44" t="s">
        <v>37</v>
      </c>
      <c r="FE242" s="44">
        <v>19973</v>
      </c>
      <c r="FF242" s="44" t="s">
        <v>37</v>
      </c>
      <c r="FH242" s="44" t="s">
        <v>37</v>
      </c>
      <c r="FI242" s="44">
        <v>28839</v>
      </c>
      <c r="FJ242" s="44" t="s">
        <v>37</v>
      </c>
      <c r="FK242" s="44">
        <v>275124</v>
      </c>
      <c r="FL242" s="44" t="s">
        <v>37</v>
      </c>
      <c r="FM242" s="44">
        <v>14680</v>
      </c>
      <c r="FN242" s="44" t="s">
        <v>37</v>
      </c>
      <c r="FO242" s="44">
        <v>5366</v>
      </c>
      <c r="FP242" s="44" t="s">
        <v>37</v>
      </c>
      <c r="FQ242" s="44">
        <v>2877</v>
      </c>
      <c r="FR242" s="44" t="s">
        <v>37</v>
      </c>
      <c r="FT242" s="44" t="s">
        <v>37</v>
      </c>
      <c r="FU242" s="44">
        <v>4500</v>
      </c>
      <c r="FV242" s="44" t="s">
        <v>37</v>
      </c>
      <c r="FW242" s="44">
        <v>3768</v>
      </c>
      <c r="FX242" s="44" t="s">
        <v>37</v>
      </c>
      <c r="FY242" s="44">
        <v>13500</v>
      </c>
      <c r="FZ242" s="44" t="s">
        <v>37</v>
      </c>
      <c r="GA242" s="44">
        <v>12043</v>
      </c>
      <c r="GB242" s="44" t="s">
        <v>37</v>
      </c>
      <c r="GC242" s="44">
        <v>15827</v>
      </c>
      <c r="GD242" s="44" t="s">
        <v>37</v>
      </c>
      <c r="GF242" s="44" t="s">
        <v>37</v>
      </c>
      <c r="GH242" s="44" t="s">
        <v>37</v>
      </c>
      <c r="GJ242" s="44" t="s">
        <v>37</v>
      </c>
      <c r="GK242" s="44">
        <v>34754</v>
      </c>
      <c r="GL242" s="44" t="s">
        <v>37</v>
      </c>
      <c r="GM242" s="44">
        <v>6308</v>
      </c>
      <c r="GN242" s="44" t="s">
        <v>37</v>
      </c>
      <c r="GP242" s="44" t="s">
        <v>37</v>
      </c>
      <c r="GQ242" s="44">
        <v>19214</v>
      </c>
      <c r="GR242" s="44" t="s">
        <v>37</v>
      </c>
      <c r="GS242" s="44">
        <v>27545</v>
      </c>
      <c r="GT242" s="44" t="s">
        <v>37</v>
      </c>
      <c r="GU242" s="44">
        <v>26438</v>
      </c>
      <c r="GV242" s="44" t="s">
        <v>37</v>
      </c>
      <c r="GW242" s="44">
        <v>4990</v>
      </c>
      <c r="GX242" s="44" t="s">
        <v>37</v>
      </c>
      <c r="GY242" s="44">
        <v>33830</v>
      </c>
      <c r="GZ242" s="44" t="s">
        <v>37</v>
      </c>
      <c r="HA242" s="44">
        <v>13935</v>
      </c>
      <c r="HB242" s="44" t="s">
        <v>37</v>
      </c>
      <c r="HD242" s="44" t="s">
        <v>37</v>
      </c>
      <c r="HF242" s="44" t="s">
        <v>37</v>
      </c>
      <c r="HG242" s="44">
        <v>2982660</v>
      </c>
      <c r="HH242" s="44" t="s">
        <v>37</v>
      </c>
      <c r="HJ242" s="44" t="s">
        <v>37</v>
      </c>
      <c r="HK242" s="44">
        <v>2982660</v>
      </c>
      <c r="HL242" s="44" t="s">
        <v>37</v>
      </c>
    </row>
    <row r="243" spans="1:220">
      <c r="A243" s="150" t="s">
        <v>412</v>
      </c>
      <c r="B243" s="44">
        <v>4340</v>
      </c>
      <c r="C243" s="44" t="s">
        <v>252</v>
      </c>
      <c r="D243" s="44" t="s">
        <v>37</v>
      </c>
      <c r="E243" s="44">
        <v>7411</v>
      </c>
      <c r="F243" s="44" t="s">
        <v>37</v>
      </c>
      <c r="G243" s="44">
        <v>41994</v>
      </c>
      <c r="H243" s="44" t="s">
        <v>37</v>
      </c>
      <c r="I243" s="44">
        <v>3935</v>
      </c>
      <c r="J243" s="44" t="s">
        <v>37</v>
      </c>
      <c r="L243" s="48" t="s">
        <v>37</v>
      </c>
      <c r="M243" s="51">
        <v>11509</v>
      </c>
      <c r="N243" s="48" t="s">
        <v>37</v>
      </c>
      <c r="O243" s="51">
        <v>4158</v>
      </c>
      <c r="P243" s="48" t="s">
        <v>37</v>
      </c>
      <c r="Q243" s="51">
        <v>2962</v>
      </c>
      <c r="R243" s="48" t="s">
        <v>37</v>
      </c>
      <c r="S243" s="51">
        <v>3864</v>
      </c>
      <c r="T243" s="48" t="s">
        <v>37</v>
      </c>
      <c r="U243" s="44">
        <v>31833</v>
      </c>
      <c r="V243" s="44" t="s">
        <v>37</v>
      </c>
      <c r="X243" s="44" t="s">
        <v>37</v>
      </c>
      <c r="Z243" s="44" t="s">
        <v>37</v>
      </c>
      <c r="AA243" s="44">
        <v>4774</v>
      </c>
      <c r="AB243" s="44" t="s">
        <v>37</v>
      </c>
      <c r="AC243" s="44">
        <v>3926</v>
      </c>
      <c r="AD243" s="44" t="s">
        <v>37</v>
      </c>
      <c r="AE243" s="44">
        <v>2329</v>
      </c>
      <c r="AF243" s="44" t="s">
        <v>37</v>
      </c>
      <c r="AG243" s="44">
        <v>1142</v>
      </c>
      <c r="AH243" s="44" t="s">
        <v>37</v>
      </c>
      <c r="AI243" s="44">
        <v>2959</v>
      </c>
      <c r="AJ243" s="44" t="s">
        <v>37</v>
      </c>
      <c r="AL243" s="44" t="s">
        <v>37</v>
      </c>
      <c r="AM243" s="44">
        <v>56164</v>
      </c>
      <c r="AN243" s="44" t="s">
        <v>37</v>
      </c>
      <c r="AP243" s="44" t="s">
        <v>37</v>
      </c>
      <c r="AQ243" s="44">
        <v>4973</v>
      </c>
      <c r="AR243" s="44" t="s">
        <v>37</v>
      </c>
      <c r="AS243" s="44">
        <v>3805</v>
      </c>
      <c r="AT243" s="44" t="s">
        <v>37</v>
      </c>
      <c r="AU243" s="44">
        <v>70089</v>
      </c>
      <c r="AV243" s="44" t="s">
        <v>37</v>
      </c>
      <c r="AW243" s="44">
        <v>17569</v>
      </c>
      <c r="AX243" s="44" t="s">
        <v>37</v>
      </c>
      <c r="AY243" s="44">
        <v>12513</v>
      </c>
      <c r="AZ243" s="44" t="s">
        <v>37</v>
      </c>
      <c r="BA243" s="44">
        <v>16792</v>
      </c>
      <c r="BB243" s="44" t="s">
        <v>37</v>
      </c>
      <c r="BC243" s="44">
        <v>7233</v>
      </c>
      <c r="BD243" s="44" t="s">
        <v>37</v>
      </c>
      <c r="BE243" s="44">
        <v>9281</v>
      </c>
      <c r="BF243" s="44" t="s">
        <v>37</v>
      </c>
      <c r="BG243" s="44">
        <v>3113</v>
      </c>
      <c r="BH243" s="44" t="s">
        <v>37</v>
      </c>
      <c r="BJ243" s="44" t="s">
        <v>37</v>
      </c>
      <c r="BK243" s="44">
        <v>21664</v>
      </c>
      <c r="BL243" s="44" t="s">
        <v>37</v>
      </c>
      <c r="BM243" s="44">
        <v>24560</v>
      </c>
      <c r="BN243" s="44" t="s">
        <v>37</v>
      </c>
      <c r="BP243" s="44" t="s">
        <v>37</v>
      </c>
      <c r="BQ243" s="44">
        <v>4931</v>
      </c>
      <c r="BR243" s="44" t="s">
        <v>37</v>
      </c>
      <c r="BS243" s="44">
        <v>5647</v>
      </c>
      <c r="BT243" s="44" t="s">
        <v>37</v>
      </c>
      <c r="BU243" s="44">
        <v>2715</v>
      </c>
      <c r="BV243" s="44" t="s">
        <v>37</v>
      </c>
      <c r="BX243" s="44" t="s">
        <v>37</v>
      </c>
      <c r="BY243" s="44">
        <v>26620</v>
      </c>
      <c r="BZ243" s="44" t="s">
        <v>37</v>
      </c>
      <c r="CA243" s="44">
        <v>6231</v>
      </c>
      <c r="CB243" s="44" t="s">
        <v>37</v>
      </c>
      <c r="CD243" s="44" t="s">
        <v>37</v>
      </c>
      <c r="CE243" s="44">
        <v>1751</v>
      </c>
      <c r="CF243" s="44" t="s">
        <v>37</v>
      </c>
      <c r="CH243" s="44" t="s">
        <v>37</v>
      </c>
      <c r="CI243" s="44">
        <v>26327</v>
      </c>
      <c r="CJ243" s="44" t="s">
        <v>37</v>
      </c>
      <c r="CK243" s="44">
        <v>2012</v>
      </c>
      <c r="CL243" s="44" t="s">
        <v>37</v>
      </c>
      <c r="CM243" s="44">
        <v>30042</v>
      </c>
      <c r="CN243" s="44" t="s">
        <v>37</v>
      </c>
      <c r="CO243" s="44">
        <v>2817</v>
      </c>
      <c r="CP243" s="44" t="s">
        <v>37</v>
      </c>
      <c r="CQ243" s="44">
        <v>1640</v>
      </c>
      <c r="CR243" s="44" t="s">
        <v>37</v>
      </c>
      <c r="CS243" s="44">
        <v>20490</v>
      </c>
      <c r="CT243" s="44" t="s">
        <v>37</v>
      </c>
      <c r="CU243" s="44">
        <v>139554</v>
      </c>
      <c r="CV243" s="44" t="s">
        <v>37</v>
      </c>
      <c r="CW243" s="44">
        <v>30712</v>
      </c>
      <c r="CX243" s="44" t="s">
        <v>37</v>
      </c>
      <c r="CY243" s="44">
        <v>1940</v>
      </c>
      <c r="CZ243" s="44" t="s">
        <v>37</v>
      </c>
      <c r="DA243" s="44">
        <v>1843</v>
      </c>
      <c r="DB243" s="44" t="s">
        <v>37</v>
      </c>
      <c r="DD243" s="44" t="s">
        <v>37</v>
      </c>
      <c r="DE243" s="44">
        <v>3008</v>
      </c>
      <c r="DF243" s="44" t="s">
        <v>37</v>
      </c>
      <c r="DG243" s="44">
        <v>29050</v>
      </c>
      <c r="DH243" s="44" t="s">
        <v>37</v>
      </c>
      <c r="DI243" s="44">
        <v>66118</v>
      </c>
      <c r="DJ243" s="44" t="s">
        <v>37</v>
      </c>
      <c r="DK243" s="44">
        <v>6063</v>
      </c>
      <c r="DL243" s="44" t="s">
        <v>37</v>
      </c>
      <c r="DM243" s="44">
        <v>28157</v>
      </c>
      <c r="DN243" s="44" t="s">
        <v>37</v>
      </c>
      <c r="DO243" s="44">
        <v>17109</v>
      </c>
      <c r="DP243" s="44" t="s">
        <v>37</v>
      </c>
      <c r="DQ243" s="44">
        <v>11614</v>
      </c>
      <c r="DR243" s="44" t="s">
        <v>37</v>
      </c>
      <c r="DS243" s="44">
        <v>7244</v>
      </c>
      <c r="DT243" s="44" t="s">
        <v>37</v>
      </c>
      <c r="DU243" s="44">
        <v>7026</v>
      </c>
      <c r="DV243" s="44" t="s">
        <v>37</v>
      </c>
      <c r="DW243" s="44">
        <v>26082</v>
      </c>
      <c r="DX243" s="44" t="s">
        <v>37</v>
      </c>
      <c r="DY243" s="44">
        <v>15682</v>
      </c>
      <c r="DZ243" s="44" t="s">
        <v>37</v>
      </c>
      <c r="EA243" s="44">
        <v>3552</v>
      </c>
      <c r="EB243" s="44" t="s">
        <v>37</v>
      </c>
      <c r="EC243" s="44">
        <v>8290</v>
      </c>
      <c r="ED243" s="44" t="s">
        <v>37</v>
      </c>
      <c r="EE243" s="44">
        <v>18870</v>
      </c>
      <c r="EF243" s="44" t="s">
        <v>37</v>
      </c>
      <c r="EG243" s="44">
        <v>2969</v>
      </c>
      <c r="EH243" s="44" t="s">
        <v>37</v>
      </c>
      <c r="EJ243" s="44" t="s">
        <v>37</v>
      </c>
      <c r="EK243" s="44">
        <v>6372</v>
      </c>
      <c r="EL243" s="44" t="s">
        <v>37</v>
      </c>
      <c r="EM243" s="44">
        <v>6254</v>
      </c>
      <c r="EN243" s="44" t="s">
        <v>37</v>
      </c>
      <c r="EO243" s="44">
        <v>2629</v>
      </c>
      <c r="EP243" s="44" t="s">
        <v>37</v>
      </c>
      <c r="ER243" s="44" t="s">
        <v>37</v>
      </c>
      <c r="ES243" s="44">
        <v>28293</v>
      </c>
      <c r="ET243" s="44" t="s">
        <v>37</v>
      </c>
      <c r="EU243" s="44">
        <v>11761</v>
      </c>
      <c r="EV243" s="44" t="s">
        <v>37</v>
      </c>
      <c r="EW243" s="44">
        <v>19636</v>
      </c>
      <c r="EX243" s="44" t="s">
        <v>37</v>
      </c>
      <c r="EZ243" s="44" t="s">
        <v>37</v>
      </c>
      <c r="FA243" s="44">
        <v>10320</v>
      </c>
      <c r="FB243" s="44" t="s">
        <v>37</v>
      </c>
      <c r="FC243" s="44">
        <v>9572</v>
      </c>
      <c r="FD243" s="44" t="s">
        <v>37</v>
      </c>
      <c r="FE243" s="44">
        <v>13154</v>
      </c>
      <c r="FF243" s="44" t="s">
        <v>37</v>
      </c>
      <c r="FH243" s="44" t="s">
        <v>37</v>
      </c>
      <c r="FI243" s="44">
        <v>28420</v>
      </c>
      <c r="FJ243" s="44" t="s">
        <v>37</v>
      </c>
      <c r="FK243" s="44">
        <v>20016</v>
      </c>
      <c r="FL243" s="44" t="s">
        <v>37</v>
      </c>
      <c r="FM243" s="44">
        <v>58310</v>
      </c>
      <c r="FN243" s="44" t="s">
        <v>37</v>
      </c>
      <c r="FO243" s="44">
        <v>4207</v>
      </c>
      <c r="FP243" s="44" t="s">
        <v>37</v>
      </c>
      <c r="FQ243" s="44">
        <v>6464</v>
      </c>
      <c r="FR243" s="44" t="s">
        <v>37</v>
      </c>
      <c r="FS243" s="44">
        <v>9769</v>
      </c>
      <c r="FT243" s="44" t="s">
        <v>37</v>
      </c>
      <c r="FV243" s="44" t="s">
        <v>37</v>
      </c>
      <c r="FW243" s="44">
        <v>3224</v>
      </c>
      <c r="FX243" s="44" t="s">
        <v>37</v>
      </c>
      <c r="FY243" s="44">
        <v>7996</v>
      </c>
      <c r="FZ243" s="44" t="s">
        <v>37</v>
      </c>
      <c r="GA243" s="44">
        <v>13436</v>
      </c>
      <c r="GB243" s="44" t="s">
        <v>37</v>
      </c>
      <c r="GC243" s="44">
        <v>18458</v>
      </c>
      <c r="GD243" s="44" t="s">
        <v>37</v>
      </c>
      <c r="GF243" s="44" t="s">
        <v>37</v>
      </c>
      <c r="GH243" s="44" t="s">
        <v>37</v>
      </c>
      <c r="GJ243" s="44" t="s">
        <v>37</v>
      </c>
      <c r="GK243" s="44">
        <v>37014</v>
      </c>
      <c r="GL243" s="44" t="s">
        <v>37</v>
      </c>
      <c r="GM243" s="44">
        <v>16825</v>
      </c>
      <c r="GN243" s="44" t="s">
        <v>37</v>
      </c>
      <c r="GP243" s="44" t="s">
        <v>37</v>
      </c>
      <c r="GQ243" s="44">
        <v>8605</v>
      </c>
      <c r="GR243" s="44" t="s">
        <v>37</v>
      </c>
      <c r="GS243" s="44">
        <v>14872</v>
      </c>
      <c r="GT243" s="44" t="s">
        <v>37</v>
      </c>
      <c r="GU243" s="44">
        <v>11531</v>
      </c>
      <c r="GV243" s="44" t="s">
        <v>37</v>
      </c>
      <c r="GW243" s="44">
        <v>6262</v>
      </c>
      <c r="GX243" s="44" t="s">
        <v>37</v>
      </c>
      <c r="GY243" s="44">
        <v>26221</v>
      </c>
      <c r="GZ243" s="44" t="s">
        <v>37</v>
      </c>
      <c r="HA243" s="44">
        <v>9638</v>
      </c>
      <c r="HB243" s="44" t="s">
        <v>37</v>
      </c>
      <c r="HC243" s="44">
        <v>4896</v>
      </c>
      <c r="HD243" s="44" t="s">
        <v>37</v>
      </c>
      <c r="HE243" s="44">
        <v>1694</v>
      </c>
      <c r="HF243" s="44" t="s">
        <v>37</v>
      </c>
      <c r="HG243" s="44">
        <v>1335917</v>
      </c>
      <c r="HH243" s="44" t="s">
        <v>37</v>
      </c>
      <c r="HI243" s="44">
        <v>6590</v>
      </c>
      <c r="HJ243" s="44" t="s">
        <v>37</v>
      </c>
      <c r="HK243" s="44">
        <v>1342507</v>
      </c>
      <c r="HL243" s="44" t="s">
        <v>37</v>
      </c>
    </row>
    <row r="244" spans="1:220">
      <c r="A244" s="150" t="s">
        <v>412</v>
      </c>
      <c r="B244" s="44">
        <v>4341</v>
      </c>
      <c r="C244" s="44" t="s">
        <v>253</v>
      </c>
      <c r="D244" s="44" t="s">
        <v>37</v>
      </c>
      <c r="E244" s="44">
        <v>7626</v>
      </c>
      <c r="F244" s="44" t="s">
        <v>37</v>
      </c>
      <c r="G244" s="44">
        <v>59599</v>
      </c>
      <c r="H244" s="44" t="s">
        <v>37</v>
      </c>
      <c r="I244" s="44">
        <v>15839</v>
      </c>
      <c r="J244" s="44" t="s">
        <v>37</v>
      </c>
      <c r="L244" s="48" t="s">
        <v>37</v>
      </c>
      <c r="M244" s="51">
        <v>22530</v>
      </c>
      <c r="N244" s="48" t="s">
        <v>37</v>
      </c>
      <c r="O244" s="51">
        <v>2664</v>
      </c>
      <c r="P244" s="48" t="s">
        <v>37</v>
      </c>
      <c r="Q244" s="51">
        <v>1229</v>
      </c>
      <c r="R244" s="48" t="s">
        <v>37</v>
      </c>
      <c r="S244" s="50"/>
      <c r="T244" s="48" t="s">
        <v>37</v>
      </c>
      <c r="U244" s="44">
        <v>45744</v>
      </c>
      <c r="V244" s="44" t="s">
        <v>37</v>
      </c>
      <c r="X244" s="44" t="s">
        <v>37</v>
      </c>
      <c r="Z244" s="44" t="s">
        <v>37</v>
      </c>
      <c r="AB244" s="44" t="s">
        <v>37</v>
      </c>
      <c r="AD244" s="44" t="s">
        <v>37</v>
      </c>
      <c r="AF244" s="44" t="s">
        <v>37</v>
      </c>
      <c r="AH244" s="44" t="s">
        <v>37</v>
      </c>
      <c r="AJ244" s="44" t="s">
        <v>37</v>
      </c>
      <c r="AL244" s="44" t="s">
        <v>37</v>
      </c>
      <c r="AM244" s="44">
        <v>206335</v>
      </c>
      <c r="AN244" s="44" t="s">
        <v>37</v>
      </c>
      <c r="AP244" s="44" t="s">
        <v>37</v>
      </c>
      <c r="AQ244" s="44">
        <v>47672</v>
      </c>
      <c r="AR244" s="44" t="s">
        <v>37</v>
      </c>
      <c r="AT244" s="44" t="s">
        <v>37</v>
      </c>
      <c r="AU244" s="44">
        <v>147545</v>
      </c>
      <c r="AV244" s="44" t="s">
        <v>37</v>
      </c>
      <c r="AW244" s="44">
        <v>23328</v>
      </c>
      <c r="AX244" s="44" t="s">
        <v>37</v>
      </c>
      <c r="AY244" s="44">
        <v>2843</v>
      </c>
      <c r="AZ244" s="44" t="s">
        <v>37</v>
      </c>
      <c r="BA244" s="44">
        <v>14018</v>
      </c>
      <c r="BB244" s="44" t="s">
        <v>37</v>
      </c>
      <c r="BD244" s="44" t="s">
        <v>37</v>
      </c>
      <c r="BE244" s="44">
        <v>510</v>
      </c>
      <c r="BF244" s="44" t="s">
        <v>37</v>
      </c>
      <c r="BH244" s="44" t="s">
        <v>37</v>
      </c>
      <c r="BJ244" s="44" t="s">
        <v>37</v>
      </c>
      <c r="BL244" s="44" t="s">
        <v>37</v>
      </c>
      <c r="BN244" s="44" t="s">
        <v>37</v>
      </c>
      <c r="BP244" s="44" t="s">
        <v>37</v>
      </c>
      <c r="BR244" s="44" t="s">
        <v>37</v>
      </c>
      <c r="BT244" s="44" t="s">
        <v>37</v>
      </c>
      <c r="BV244" s="44" t="s">
        <v>37</v>
      </c>
      <c r="BX244" s="44" t="s">
        <v>37</v>
      </c>
      <c r="BY244" s="44">
        <v>24662</v>
      </c>
      <c r="BZ244" s="44" t="s">
        <v>37</v>
      </c>
      <c r="CB244" s="44" t="s">
        <v>37</v>
      </c>
      <c r="CD244" s="44" t="s">
        <v>37</v>
      </c>
      <c r="CF244" s="44" t="s">
        <v>37</v>
      </c>
      <c r="CG244" s="44">
        <v>2354</v>
      </c>
      <c r="CH244" s="44" t="s">
        <v>37</v>
      </c>
      <c r="CI244" s="44">
        <v>26929</v>
      </c>
      <c r="CJ244" s="44" t="s">
        <v>37</v>
      </c>
      <c r="CL244" s="44" t="s">
        <v>37</v>
      </c>
      <c r="CN244" s="44" t="s">
        <v>37</v>
      </c>
      <c r="CP244" s="44" t="s">
        <v>37</v>
      </c>
      <c r="CR244" s="44" t="s">
        <v>37</v>
      </c>
      <c r="CS244" s="44">
        <v>20440</v>
      </c>
      <c r="CT244" s="44" t="s">
        <v>37</v>
      </c>
      <c r="CU244" s="44">
        <v>320156</v>
      </c>
      <c r="CV244" s="44" t="s">
        <v>37</v>
      </c>
      <c r="CW244" s="44">
        <v>62327</v>
      </c>
      <c r="CX244" s="44" t="s">
        <v>37</v>
      </c>
      <c r="CZ244" s="44" t="s">
        <v>37</v>
      </c>
      <c r="DB244" s="44" t="s">
        <v>37</v>
      </c>
      <c r="DD244" s="44" t="s">
        <v>37</v>
      </c>
      <c r="DF244" s="44" t="s">
        <v>37</v>
      </c>
      <c r="DH244" s="44" t="s">
        <v>37</v>
      </c>
      <c r="DI244" s="44">
        <v>145067</v>
      </c>
      <c r="DJ244" s="44" t="s">
        <v>37</v>
      </c>
      <c r="DK244" s="44">
        <v>61561</v>
      </c>
      <c r="DL244" s="44" t="s">
        <v>37</v>
      </c>
      <c r="DM244" s="44">
        <v>21603</v>
      </c>
      <c r="DN244" s="44" t="s">
        <v>37</v>
      </c>
      <c r="DO244" s="44">
        <v>29785</v>
      </c>
      <c r="DP244" s="44" t="s">
        <v>37</v>
      </c>
      <c r="DQ244" s="44">
        <v>22296</v>
      </c>
      <c r="DR244" s="44" t="s">
        <v>37</v>
      </c>
      <c r="DT244" s="44" t="s">
        <v>37</v>
      </c>
      <c r="DV244" s="44" t="s">
        <v>37</v>
      </c>
      <c r="DW244" s="44">
        <v>34740</v>
      </c>
      <c r="DX244" s="44" t="s">
        <v>37</v>
      </c>
      <c r="DY244" s="44">
        <v>44082</v>
      </c>
      <c r="DZ244" s="44" t="s">
        <v>37</v>
      </c>
      <c r="EB244" s="44" t="s">
        <v>37</v>
      </c>
      <c r="ED244" s="44" t="s">
        <v>37</v>
      </c>
      <c r="EE244" s="44">
        <v>28353</v>
      </c>
      <c r="EF244" s="44" t="s">
        <v>37</v>
      </c>
      <c r="EH244" s="44" t="s">
        <v>37</v>
      </c>
      <c r="EJ244" s="44" t="s">
        <v>37</v>
      </c>
      <c r="EL244" s="44" t="s">
        <v>37</v>
      </c>
      <c r="EN244" s="44" t="s">
        <v>37</v>
      </c>
      <c r="EO244" s="44">
        <v>18020</v>
      </c>
      <c r="EP244" s="44" t="s">
        <v>37</v>
      </c>
      <c r="ER244" s="44" t="s">
        <v>37</v>
      </c>
      <c r="ET244" s="44" t="s">
        <v>37</v>
      </c>
      <c r="EU244" s="44">
        <v>44181</v>
      </c>
      <c r="EV244" s="44" t="s">
        <v>37</v>
      </c>
      <c r="EW244" s="44">
        <v>43724</v>
      </c>
      <c r="EX244" s="44" t="s">
        <v>37</v>
      </c>
      <c r="EZ244" s="44" t="s">
        <v>37</v>
      </c>
      <c r="FB244" s="44" t="s">
        <v>37</v>
      </c>
      <c r="FD244" s="44" t="s">
        <v>37</v>
      </c>
      <c r="FE244" s="44">
        <v>20215</v>
      </c>
      <c r="FF244" s="44" t="s">
        <v>37</v>
      </c>
      <c r="FH244" s="44" t="s">
        <v>37</v>
      </c>
      <c r="FI244" s="44">
        <v>46354</v>
      </c>
      <c r="FJ244" s="44" t="s">
        <v>37</v>
      </c>
      <c r="FK244" s="44">
        <v>30152</v>
      </c>
      <c r="FL244" s="44" t="s">
        <v>37</v>
      </c>
      <c r="FM244" s="44">
        <v>98823</v>
      </c>
      <c r="FN244" s="44" t="s">
        <v>37</v>
      </c>
      <c r="FO244" s="44">
        <v>20740</v>
      </c>
      <c r="FP244" s="44" t="s">
        <v>37</v>
      </c>
      <c r="FQ244" s="44">
        <v>27350</v>
      </c>
      <c r="FR244" s="44" t="s">
        <v>37</v>
      </c>
      <c r="FS244" s="44">
        <v>77751</v>
      </c>
      <c r="FT244" s="44" t="s">
        <v>37</v>
      </c>
      <c r="FU244" s="44">
        <v>7881</v>
      </c>
      <c r="FV244" s="44" t="s">
        <v>37</v>
      </c>
      <c r="FX244" s="44" t="s">
        <v>37</v>
      </c>
      <c r="FY244" s="44">
        <v>21921</v>
      </c>
      <c r="FZ244" s="44" t="s">
        <v>37</v>
      </c>
      <c r="GA244" s="44">
        <v>60270</v>
      </c>
      <c r="GB244" s="44" t="s">
        <v>37</v>
      </c>
      <c r="GC244" s="44">
        <v>41366</v>
      </c>
      <c r="GD244" s="44" t="s">
        <v>37</v>
      </c>
      <c r="GF244" s="44" t="s">
        <v>37</v>
      </c>
      <c r="GH244" s="44" t="s">
        <v>37</v>
      </c>
      <c r="GJ244" s="44" t="s">
        <v>37</v>
      </c>
      <c r="GK244" s="44">
        <v>25006</v>
      </c>
      <c r="GL244" s="44" t="s">
        <v>37</v>
      </c>
      <c r="GN244" s="44" t="s">
        <v>37</v>
      </c>
      <c r="GP244" s="44" t="s">
        <v>37</v>
      </c>
      <c r="GR244" s="44" t="s">
        <v>37</v>
      </c>
      <c r="GT244" s="44" t="s">
        <v>37</v>
      </c>
      <c r="GU244" s="44">
        <v>12561</v>
      </c>
      <c r="GV244" s="44" t="s">
        <v>37</v>
      </c>
      <c r="GW244" s="44">
        <v>12731</v>
      </c>
      <c r="GX244" s="44" t="s">
        <v>37</v>
      </c>
      <c r="GY244" s="44">
        <v>78459</v>
      </c>
      <c r="GZ244" s="44" t="s">
        <v>37</v>
      </c>
      <c r="HA244" s="44">
        <v>6961</v>
      </c>
      <c r="HB244" s="44" t="s">
        <v>37</v>
      </c>
      <c r="HD244" s="44" t="s">
        <v>37</v>
      </c>
      <c r="HF244" s="44" t="s">
        <v>37</v>
      </c>
      <c r="HG244" s="44">
        <v>2136303</v>
      </c>
      <c r="HH244" s="44" t="s">
        <v>37</v>
      </c>
      <c r="HJ244" s="44" t="s">
        <v>37</v>
      </c>
      <c r="HK244" s="44">
        <v>2136303</v>
      </c>
      <c r="HL244" s="44" t="s">
        <v>37</v>
      </c>
    </row>
    <row r="245" spans="1:220">
      <c r="A245" s="150" t="s">
        <v>412</v>
      </c>
      <c r="B245" s="44">
        <v>4342</v>
      </c>
      <c r="C245" s="44" t="s">
        <v>254</v>
      </c>
      <c r="D245" s="44" t="s">
        <v>37</v>
      </c>
      <c r="F245" s="44" t="s">
        <v>37</v>
      </c>
      <c r="H245" s="44" t="s">
        <v>37</v>
      </c>
      <c r="J245" s="44" t="s">
        <v>37</v>
      </c>
      <c r="L245" s="48" t="s">
        <v>37</v>
      </c>
      <c r="M245" s="50"/>
      <c r="N245" s="48" t="s">
        <v>37</v>
      </c>
      <c r="O245" s="50"/>
      <c r="P245" s="48" t="s">
        <v>37</v>
      </c>
      <c r="Q245" s="50"/>
      <c r="R245" s="48" t="s">
        <v>37</v>
      </c>
      <c r="S245" s="50"/>
      <c r="T245" s="48" t="s">
        <v>37</v>
      </c>
      <c r="V245" s="44" t="s">
        <v>37</v>
      </c>
      <c r="X245" s="44" t="s">
        <v>37</v>
      </c>
      <c r="Z245" s="44" t="s">
        <v>37</v>
      </c>
      <c r="AB245" s="44" t="s">
        <v>37</v>
      </c>
      <c r="AD245" s="44" t="s">
        <v>37</v>
      </c>
      <c r="AF245" s="44" t="s">
        <v>37</v>
      </c>
      <c r="AH245" s="44" t="s">
        <v>37</v>
      </c>
      <c r="AJ245" s="44" t="s">
        <v>37</v>
      </c>
      <c r="AL245" s="44" t="s">
        <v>37</v>
      </c>
      <c r="AN245" s="44" t="s">
        <v>37</v>
      </c>
      <c r="AP245" s="44" t="s">
        <v>37</v>
      </c>
      <c r="AR245" s="44" t="s">
        <v>37</v>
      </c>
      <c r="AT245" s="44" t="s">
        <v>37</v>
      </c>
      <c r="AV245" s="44" t="s">
        <v>37</v>
      </c>
      <c r="AX245" s="44" t="s">
        <v>37</v>
      </c>
      <c r="AZ245" s="44" t="s">
        <v>37</v>
      </c>
      <c r="BB245" s="44" t="s">
        <v>37</v>
      </c>
      <c r="BD245" s="44" t="s">
        <v>37</v>
      </c>
      <c r="BF245" s="44" t="s">
        <v>37</v>
      </c>
      <c r="BH245" s="44" t="s">
        <v>37</v>
      </c>
      <c r="BJ245" s="44" t="s">
        <v>37</v>
      </c>
      <c r="BL245" s="44" t="s">
        <v>37</v>
      </c>
      <c r="BM245" s="44">
        <v>34523</v>
      </c>
      <c r="BN245" s="44" t="s">
        <v>37</v>
      </c>
      <c r="BP245" s="44" t="s">
        <v>37</v>
      </c>
      <c r="BR245" s="44" t="s">
        <v>37</v>
      </c>
      <c r="BT245" s="44" t="s">
        <v>37</v>
      </c>
      <c r="BV245" s="44" t="s">
        <v>37</v>
      </c>
      <c r="BX245" s="44" t="s">
        <v>37</v>
      </c>
      <c r="BZ245" s="44" t="s">
        <v>37</v>
      </c>
      <c r="CB245" s="44" t="s">
        <v>37</v>
      </c>
      <c r="CD245" s="44" t="s">
        <v>37</v>
      </c>
      <c r="CF245" s="44" t="s">
        <v>37</v>
      </c>
      <c r="CH245" s="44" t="s">
        <v>37</v>
      </c>
      <c r="CJ245" s="44" t="s">
        <v>37</v>
      </c>
      <c r="CL245" s="44" t="s">
        <v>37</v>
      </c>
      <c r="CM245" s="44">
        <v>346829</v>
      </c>
      <c r="CN245" s="44" t="s">
        <v>37</v>
      </c>
      <c r="CP245" s="44" t="s">
        <v>37</v>
      </c>
      <c r="CR245" s="44" t="s">
        <v>37</v>
      </c>
      <c r="CS245" s="44">
        <v>132948</v>
      </c>
      <c r="CT245" s="44" t="s">
        <v>37</v>
      </c>
      <c r="CV245" s="44" t="s">
        <v>37</v>
      </c>
      <c r="CX245" s="44" t="s">
        <v>37</v>
      </c>
      <c r="CZ245" s="44" t="s">
        <v>37</v>
      </c>
      <c r="DB245" s="44" t="s">
        <v>37</v>
      </c>
      <c r="DD245" s="44" t="s">
        <v>37</v>
      </c>
      <c r="DF245" s="44" t="s">
        <v>37</v>
      </c>
      <c r="DH245" s="44" t="s">
        <v>37</v>
      </c>
      <c r="DJ245" s="44" t="s">
        <v>37</v>
      </c>
      <c r="DL245" s="44" t="s">
        <v>37</v>
      </c>
      <c r="DN245" s="44" t="s">
        <v>37</v>
      </c>
      <c r="DP245" s="44" t="s">
        <v>37</v>
      </c>
      <c r="DR245" s="44" t="s">
        <v>37</v>
      </c>
      <c r="DS245" s="44">
        <v>125372</v>
      </c>
      <c r="DT245" s="44" t="s">
        <v>37</v>
      </c>
      <c r="DV245" s="44" t="s">
        <v>37</v>
      </c>
      <c r="DX245" s="44" t="s">
        <v>37</v>
      </c>
      <c r="DZ245" s="44" t="s">
        <v>37</v>
      </c>
      <c r="EB245" s="44" t="s">
        <v>37</v>
      </c>
      <c r="ED245" s="44" t="s">
        <v>37</v>
      </c>
      <c r="EF245" s="44" t="s">
        <v>37</v>
      </c>
      <c r="EH245" s="44" t="s">
        <v>37</v>
      </c>
      <c r="EJ245" s="44" t="s">
        <v>37</v>
      </c>
      <c r="EL245" s="44" t="s">
        <v>37</v>
      </c>
      <c r="EN245" s="44" t="s">
        <v>37</v>
      </c>
      <c r="EP245" s="44" t="s">
        <v>37</v>
      </c>
      <c r="ER245" s="44" t="s">
        <v>37</v>
      </c>
      <c r="ES245" s="44">
        <v>490213</v>
      </c>
      <c r="ET245" s="44" t="s">
        <v>37</v>
      </c>
      <c r="EV245" s="44" t="s">
        <v>37</v>
      </c>
      <c r="EX245" s="44" t="s">
        <v>37</v>
      </c>
      <c r="EZ245" s="44" t="s">
        <v>37</v>
      </c>
      <c r="FB245" s="44" t="s">
        <v>37</v>
      </c>
      <c r="FD245" s="44" t="s">
        <v>37</v>
      </c>
      <c r="FF245" s="44" t="s">
        <v>37</v>
      </c>
      <c r="FH245" s="44" t="s">
        <v>37</v>
      </c>
      <c r="FJ245" s="44" t="s">
        <v>37</v>
      </c>
      <c r="FL245" s="44" t="s">
        <v>37</v>
      </c>
      <c r="FN245" s="44" t="s">
        <v>37</v>
      </c>
      <c r="FP245" s="44" t="s">
        <v>37</v>
      </c>
      <c r="FR245" s="44" t="s">
        <v>37</v>
      </c>
      <c r="FT245" s="44" t="s">
        <v>37</v>
      </c>
      <c r="FV245" s="44" t="s">
        <v>37</v>
      </c>
      <c r="FX245" s="44" t="s">
        <v>37</v>
      </c>
      <c r="FZ245" s="44" t="s">
        <v>37</v>
      </c>
      <c r="GB245" s="44" t="s">
        <v>37</v>
      </c>
      <c r="GC245" s="44">
        <v>819591</v>
      </c>
      <c r="GD245" s="44" t="s">
        <v>37</v>
      </c>
      <c r="GF245" s="44" t="s">
        <v>37</v>
      </c>
      <c r="GH245" s="44" t="s">
        <v>37</v>
      </c>
      <c r="GJ245" s="44" t="s">
        <v>37</v>
      </c>
      <c r="GL245" s="44" t="s">
        <v>37</v>
      </c>
      <c r="GN245" s="44" t="s">
        <v>37</v>
      </c>
      <c r="GP245" s="44" t="s">
        <v>37</v>
      </c>
      <c r="GR245" s="44" t="s">
        <v>37</v>
      </c>
      <c r="GT245" s="44" t="s">
        <v>37</v>
      </c>
      <c r="GV245" s="44" t="s">
        <v>37</v>
      </c>
      <c r="GX245" s="44" t="s">
        <v>37</v>
      </c>
      <c r="GZ245" s="44" t="s">
        <v>37</v>
      </c>
      <c r="HB245" s="44" t="s">
        <v>37</v>
      </c>
      <c r="HD245" s="44" t="s">
        <v>37</v>
      </c>
      <c r="HF245" s="44" t="s">
        <v>37</v>
      </c>
      <c r="HG245" s="44">
        <v>1949476</v>
      </c>
      <c r="HH245" s="44" t="s">
        <v>37</v>
      </c>
      <c r="HJ245" s="44" t="s">
        <v>37</v>
      </c>
      <c r="HK245" s="44">
        <v>1949476</v>
      </c>
      <c r="HL245" s="44" t="s">
        <v>37</v>
      </c>
    </row>
    <row r="246" spans="1:220">
      <c r="A246" s="150" t="s">
        <v>412</v>
      </c>
      <c r="B246" s="44">
        <v>4351</v>
      </c>
      <c r="C246" s="44" t="s">
        <v>255</v>
      </c>
      <c r="D246" s="44" t="s">
        <v>37</v>
      </c>
      <c r="E246" s="44">
        <v>199450</v>
      </c>
      <c r="F246" s="44" t="s">
        <v>37</v>
      </c>
      <c r="G246" s="44">
        <v>1290642</v>
      </c>
      <c r="H246" s="44" t="s">
        <v>37</v>
      </c>
      <c r="I246" s="44">
        <v>169097</v>
      </c>
      <c r="J246" s="44" t="s">
        <v>37</v>
      </c>
      <c r="L246" s="48" t="s">
        <v>37</v>
      </c>
      <c r="M246" s="51">
        <v>256043</v>
      </c>
      <c r="N246" s="48" t="s">
        <v>37</v>
      </c>
      <c r="O246" s="51">
        <v>140829</v>
      </c>
      <c r="P246" s="48" t="s">
        <v>37</v>
      </c>
      <c r="Q246" s="51">
        <v>104791</v>
      </c>
      <c r="R246" s="48" t="s">
        <v>37</v>
      </c>
      <c r="S246" s="51">
        <v>121806</v>
      </c>
      <c r="T246" s="48" t="s">
        <v>37</v>
      </c>
      <c r="U246" s="44">
        <v>720966</v>
      </c>
      <c r="V246" s="44" t="s">
        <v>37</v>
      </c>
      <c r="X246" s="44" t="s">
        <v>37</v>
      </c>
      <c r="Z246" s="44" t="s">
        <v>37</v>
      </c>
      <c r="AA246" s="44">
        <v>139323</v>
      </c>
      <c r="AB246" s="44" t="s">
        <v>37</v>
      </c>
      <c r="AC246" s="44">
        <v>111936</v>
      </c>
      <c r="AD246" s="44" t="s">
        <v>37</v>
      </c>
      <c r="AE246" s="44">
        <v>84528</v>
      </c>
      <c r="AF246" s="44" t="s">
        <v>37</v>
      </c>
      <c r="AG246" s="44">
        <v>57322</v>
      </c>
      <c r="AH246" s="44" t="s">
        <v>37</v>
      </c>
      <c r="AI246" s="44">
        <v>167504</v>
      </c>
      <c r="AJ246" s="44" t="s">
        <v>37</v>
      </c>
      <c r="AL246" s="44" t="s">
        <v>37</v>
      </c>
      <c r="AM246" s="44">
        <v>767725</v>
      </c>
      <c r="AN246" s="44" t="s">
        <v>37</v>
      </c>
      <c r="AP246" s="44" t="s">
        <v>37</v>
      </c>
      <c r="AQ246" s="44">
        <v>1263167</v>
      </c>
      <c r="AR246" s="44" t="s">
        <v>37</v>
      </c>
      <c r="AS246" s="44">
        <v>148900</v>
      </c>
      <c r="AT246" s="44" t="s">
        <v>37</v>
      </c>
      <c r="AU246" s="44">
        <v>2915065</v>
      </c>
      <c r="AV246" s="44" t="s">
        <v>37</v>
      </c>
      <c r="AW246" s="44">
        <v>392954</v>
      </c>
      <c r="AX246" s="44" t="s">
        <v>37</v>
      </c>
      <c r="AY246" s="44">
        <v>428214</v>
      </c>
      <c r="AZ246" s="44" t="s">
        <v>37</v>
      </c>
      <c r="BA246" s="44">
        <v>447250</v>
      </c>
      <c r="BB246" s="44" t="s">
        <v>37</v>
      </c>
      <c r="BC246" s="44">
        <v>7862</v>
      </c>
      <c r="BD246" s="44" t="s">
        <v>37</v>
      </c>
      <c r="BE246" s="44">
        <v>275376</v>
      </c>
      <c r="BF246" s="44" t="s">
        <v>37</v>
      </c>
      <c r="BG246" s="44">
        <v>76387</v>
      </c>
      <c r="BH246" s="44" t="s">
        <v>37</v>
      </c>
      <c r="BJ246" s="44" t="s">
        <v>37</v>
      </c>
      <c r="BK246" s="44">
        <v>554952</v>
      </c>
      <c r="BL246" s="44" t="s">
        <v>37</v>
      </c>
      <c r="BM246" s="44">
        <v>941982</v>
      </c>
      <c r="BN246" s="44" t="s">
        <v>37</v>
      </c>
      <c r="BP246" s="44" t="s">
        <v>37</v>
      </c>
      <c r="BQ246" s="44">
        <v>63895</v>
      </c>
      <c r="BR246" s="44" t="s">
        <v>37</v>
      </c>
      <c r="BS246" s="44">
        <v>325190</v>
      </c>
      <c r="BT246" s="44" t="s">
        <v>37</v>
      </c>
      <c r="BU246" s="44">
        <v>125402</v>
      </c>
      <c r="BV246" s="44" t="s">
        <v>37</v>
      </c>
      <c r="BX246" s="44" t="s">
        <v>37</v>
      </c>
      <c r="BY246" s="44">
        <v>544383</v>
      </c>
      <c r="BZ246" s="44" t="s">
        <v>37</v>
      </c>
      <c r="CA246" s="44">
        <v>178953</v>
      </c>
      <c r="CB246" s="44" t="s">
        <v>37</v>
      </c>
      <c r="CD246" s="44" t="s">
        <v>37</v>
      </c>
      <c r="CE246" s="44">
        <v>125717</v>
      </c>
      <c r="CF246" s="44" t="s">
        <v>37</v>
      </c>
      <c r="CG246" s="44">
        <v>272910</v>
      </c>
      <c r="CH246" s="44" t="s">
        <v>37</v>
      </c>
      <c r="CI246" s="44">
        <v>828543</v>
      </c>
      <c r="CJ246" s="44" t="s">
        <v>37</v>
      </c>
      <c r="CK246" s="44">
        <v>76551</v>
      </c>
      <c r="CL246" s="44" t="s">
        <v>37</v>
      </c>
      <c r="CM246" s="44">
        <v>396790</v>
      </c>
      <c r="CN246" s="44" t="s">
        <v>37</v>
      </c>
      <c r="CO246" s="44">
        <v>90956</v>
      </c>
      <c r="CP246" s="44" t="s">
        <v>37</v>
      </c>
      <c r="CQ246" s="44">
        <v>80279</v>
      </c>
      <c r="CR246" s="44" t="s">
        <v>37</v>
      </c>
      <c r="CS246" s="44">
        <v>665557</v>
      </c>
      <c r="CT246" s="44" t="s">
        <v>37</v>
      </c>
      <c r="CU246" s="44">
        <v>2685119</v>
      </c>
      <c r="CV246" s="44" t="s">
        <v>37</v>
      </c>
      <c r="CW246" s="44">
        <v>471677</v>
      </c>
      <c r="CX246" s="44" t="s">
        <v>37</v>
      </c>
      <c r="CY246" s="44">
        <v>44677</v>
      </c>
      <c r="CZ246" s="44" t="s">
        <v>37</v>
      </c>
      <c r="DA246" s="44">
        <v>53008</v>
      </c>
      <c r="DB246" s="44" t="s">
        <v>37</v>
      </c>
      <c r="DD246" s="44" t="s">
        <v>37</v>
      </c>
      <c r="DE246" s="44">
        <v>174958</v>
      </c>
      <c r="DF246" s="44" t="s">
        <v>37</v>
      </c>
      <c r="DG246" s="44">
        <v>151468</v>
      </c>
      <c r="DH246" s="44" t="s">
        <v>37</v>
      </c>
      <c r="DI246" s="44">
        <v>1685153</v>
      </c>
      <c r="DJ246" s="44" t="s">
        <v>37</v>
      </c>
      <c r="DK246" s="44">
        <v>197413</v>
      </c>
      <c r="DL246" s="44" t="s">
        <v>37</v>
      </c>
      <c r="DM246" s="44">
        <v>303772</v>
      </c>
      <c r="DN246" s="44" t="s">
        <v>37</v>
      </c>
      <c r="DO246" s="44">
        <v>548330</v>
      </c>
      <c r="DP246" s="44" t="s">
        <v>37</v>
      </c>
      <c r="DQ246" s="44">
        <v>291737</v>
      </c>
      <c r="DR246" s="44" t="s">
        <v>37</v>
      </c>
      <c r="DS246" s="44">
        <v>325235</v>
      </c>
      <c r="DT246" s="44" t="s">
        <v>37</v>
      </c>
      <c r="DU246" s="44">
        <v>232431</v>
      </c>
      <c r="DV246" s="44" t="s">
        <v>37</v>
      </c>
      <c r="DW246" s="44">
        <v>508399</v>
      </c>
      <c r="DX246" s="44" t="s">
        <v>37</v>
      </c>
      <c r="DY246" s="44">
        <v>438259</v>
      </c>
      <c r="DZ246" s="44" t="s">
        <v>37</v>
      </c>
      <c r="EA246" s="44">
        <v>122451</v>
      </c>
      <c r="EB246" s="44" t="s">
        <v>37</v>
      </c>
      <c r="EC246" s="44">
        <v>128061</v>
      </c>
      <c r="ED246" s="44" t="s">
        <v>37</v>
      </c>
      <c r="EE246" s="44">
        <v>301533</v>
      </c>
      <c r="EF246" s="44" t="s">
        <v>37</v>
      </c>
      <c r="EG246" s="44">
        <v>89187</v>
      </c>
      <c r="EH246" s="44" t="s">
        <v>37</v>
      </c>
      <c r="EJ246" s="44" t="s">
        <v>37</v>
      </c>
      <c r="EK246" s="44">
        <v>269646</v>
      </c>
      <c r="EL246" s="44" t="s">
        <v>37</v>
      </c>
      <c r="EM246" s="44">
        <v>210696</v>
      </c>
      <c r="EN246" s="44" t="s">
        <v>37</v>
      </c>
      <c r="EO246" s="44">
        <v>95100</v>
      </c>
      <c r="EP246" s="44" t="s">
        <v>37</v>
      </c>
      <c r="ER246" s="44" t="s">
        <v>37</v>
      </c>
      <c r="ES246" s="44">
        <v>484691</v>
      </c>
      <c r="ET246" s="44" t="s">
        <v>37</v>
      </c>
      <c r="EU246" s="44">
        <v>291108</v>
      </c>
      <c r="EV246" s="44" t="s">
        <v>37</v>
      </c>
      <c r="EW246" s="44">
        <v>358668</v>
      </c>
      <c r="EX246" s="44" t="s">
        <v>37</v>
      </c>
      <c r="EZ246" s="44" t="s">
        <v>37</v>
      </c>
      <c r="FA246" s="44">
        <v>384956</v>
      </c>
      <c r="FB246" s="44" t="s">
        <v>37</v>
      </c>
      <c r="FC246" s="44">
        <v>241133</v>
      </c>
      <c r="FD246" s="44" t="s">
        <v>37</v>
      </c>
      <c r="FE246" s="44">
        <v>624861</v>
      </c>
      <c r="FF246" s="44" t="s">
        <v>37</v>
      </c>
      <c r="FH246" s="44" t="s">
        <v>37</v>
      </c>
      <c r="FI246" s="44">
        <v>598418</v>
      </c>
      <c r="FJ246" s="44" t="s">
        <v>37</v>
      </c>
      <c r="FK246" s="44">
        <v>2480402</v>
      </c>
      <c r="FL246" s="44" t="s">
        <v>37</v>
      </c>
      <c r="FM246" s="44">
        <v>527739</v>
      </c>
      <c r="FN246" s="44" t="s">
        <v>37</v>
      </c>
      <c r="FO246" s="44">
        <v>156234</v>
      </c>
      <c r="FP246" s="44" t="s">
        <v>37</v>
      </c>
      <c r="FQ246" s="44">
        <v>146873</v>
      </c>
      <c r="FR246" s="44" t="s">
        <v>37</v>
      </c>
      <c r="FS246" s="44">
        <v>240040</v>
      </c>
      <c r="FT246" s="44" t="s">
        <v>37</v>
      </c>
      <c r="FU246" s="44">
        <v>146016</v>
      </c>
      <c r="FV246" s="44" t="s">
        <v>37</v>
      </c>
      <c r="FW246" s="44">
        <v>136139</v>
      </c>
      <c r="FX246" s="44" t="s">
        <v>37</v>
      </c>
      <c r="FY246" s="44">
        <v>236778</v>
      </c>
      <c r="FZ246" s="44" t="s">
        <v>37</v>
      </c>
      <c r="GA246" s="44">
        <v>287697</v>
      </c>
      <c r="GB246" s="44" t="s">
        <v>37</v>
      </c>
      <c r="GC246" s="44">
        <v>640469</v>
      </c>
      <c r="GD246" s="44" t="s">
        <v>37</v>
      </c>
      <c r="GF246" s="44" t="s">
        <v>37</v>
      </c>
      <c r="GH246" s="44" t="s">
        <v>37</v>
      </c>
      <c r="GJ246" s="44" t="s">
        <v>37</v>
      </c>
      <c r="GK246" s="44">
        <v>565596</v>
      </c>
      <c r="GL246" s="44" t="s">
        <v>37</v>
      </c>
      <c r="GM246" s="44">
        <v>604768</v>
      </c>
      <c r="GN246" s="44" t="s">
        <v>37</v>
      </c>
      <c r="GP246" s="44" t="s">
        <v>37</v>
      </c>
      <c r="GQ246" s="44">
        <v>268554</v>
      </c>
      <c r="GR246" s="44" t="s">
        <v>37</v>
      </c>
      <c r="GS246" s="44">
        <v>834689</v>
      </c>
      <c r="GT246" s="44" t="s">
        <v>37</v>
      </c>
      <c r="GU246" s="44">
        <v>227418</v>
      </c>
      <c r="GV246" s="44" t="s">
        <v>37</v>
      </c>
      <c r="GW246" s="44">
        <v>130710</v>
      </c>
      <c r="GX246" s="44" t="s">
        <v>37</v>
      </c>
      <c r="GY246" s="44">
        <v>580168</v>
      </c>
      <c r="GZ246" s="44" t="s">
        <v>37</v>
      </c>
      <c r="HA246" s="44">
        <v>147182</v>
      </c>
      <c r="HB246" s="44" t="s">
        <v>37</v>
      </c>
      <c r="HC246" s="44">
        <v>24100</v>
      </c>
      <c r="HD246" s="44" t="s">
        <v>37</v>
      </c>
      <c r="HE246" s="44">
        <v>50068</v>
      </c>
      <c r="HF246" s="44" t="s">
        <v>37</v>
      </c>
      <c r="HG246" s="44">
        <v>36228814</v>
      </c>
      <c r="HH246" s="44" t="s">
        <v>37</v>
      </c>
      <c r="HI246" s="44">
        <v>74168</v>
      </c>
      <c r="HJ246" s="44" t="s">
        <v>37</v>
      </c>
      <c r="HK246" s="44">
        <v>36302982</v>
      </c>
      <c r="HL246" s="44" t="s">
        <v>37</v>
      </c>
    </row>
    <row r="247" spans="1:220">
      <c r="A247" s="150" t="s">
        <v>412</v>
      </c>
      <c r="B247" s="44">
        <v>4360</v>
      </c>
      <c r="C247" s="44" t="s">
        <v>256</v>
      </c>
      <c r="D247" s="44" t="s">
        <v>37</v>
      </c>
      <c r="F247" s="44" t="s">
        <v>37</v>
      </c>
      <c r="H247" s="44" t="s">
        <v>37</v>
      </c>
      <c r="I247" s="44">
        <v>81839</v>
      </c>
      <c r="J247" s="44" t="s">
        <v>37</v>
      </c>
      <c r="L247" s="48" t="s">
        <v>37</v>
      </c>
      <c r="M247" s="51">
        <v>34275</v>
      </c>
      <c r="N247" s="48" t="s">
        <v>37</v>
      </c>
      <c r="O247" s="50"/>
      <c r="P247" s="48" t="s">
        <v>37</v>
      </c>
      <c r="Q247" s="50"/>
      <c r="R247" s="48" t="s">
        <v>37</v>
      </c>
      <c r="S247" s="51">
        <v>94733</v>
      </c>
      <c r="T247" s="48" t="s">
        <v>37</v>
      </c>
      <c r="V247" s="44" t="s">
        <v>37</v>
      </c>
      <c r="X247" s="44" t="s">
        <v>37</v>
      </c>
      <c r="Z247" s="44" t="s">
        <v>37</v>
      </c>
      <c r="AB247" s="44" t="s">
        <v>37</v>
      </c>
      <c r="AD247" s="44" t="s">
        <v>37</v>
      </c>
      <c r="AF247" s="44" t="s">
        <v>37</v>
      </c>
      <c r="AH247" s="44" t="s">
        <v>37</v>
      </c>
      <c r="AJ247" s="44" t="s">
        <v>37</v>
      </c>
      <c r="AL247" s="44" t="s">
        <v>37</v>
      </c>
      <c r="AN247" s="44" t="s">
        <v>37</v>
      </c>
      <c r="AP247" s="44" t="s">
        <v>37</v>
      </c>
      <c r="AQ247" s="44">
        <v>85119</v>
      </c>
      <c r="AR247" s="44" t="s">
        <v>37</v>
      </c>
      <c r="AT247" s="44" t="s">
        <v>37</v>
      </c>
      <c r="AV247" s="44" t="s">
        <v>37</v>
      </c>
      <c r="AX247" s="44" t="s">
        <v>37</v>
      </c>
      <c r="AZ247" s="44" t="s">
        <v>37</v>
      </c>
      <c r="BB247" s="44" t="s">
        <v>37</v>
      </c>
      <c r="BD247" s="44" t="s">
        <v>37</v>
      </c>
      <c r="BF247" s="44" t="s">
        <v>37</v>
      </c>
      <c r="BH247" s="44" t="s">
        <v>37</v>
      </c>
      <c r="BJ247" s="44" t="s">
        <v>37</v>
      </c>
      <c r="BL247" s="44" t="s">
        <v>37</v>
      </c>
      <c r="BN247" s="44" t="s">
        <v>37</v>
      </c>
      <c r="BP247" s="44" t="s">
        <v>37</v>
      </c>
      <c r="BR247" s="44" t="s">
        <v>37</v>
      </c>
      <c r="BT247" s="44" t="s">
        <v>37</v>
      </c>
      <c r="BV247" s="44" t="s">
        <v>37</v>
      </c>
      <c r="BX247" s="44" t="s">
        <v>37</v>
      </c>
      <c r="BZ247" s="44" t="s">
        <v>37</v>
      </c>
      <c r="CB247" s="44" t="s">
        <v>37</v>
      </c>
      <c r="CD247" s="44" t="s">
        <v>37</v>
      </c>
      <c r="CE247" s="44">
        <v>82610</v>
      </c>
      <c r="CF247" s="44" t="s">
        <v>37</v>
      </c>
      <c r="CH247" s="44" t="s">
        <v>37</v>
      </c>
      <c r="CI247" s="44">
        <v>90000</v>
      </c>
      <c r="CJ247" s="44" t="s">
        <v>37</v>
      </c>
      <c r="CL247" s="44" t="s">
        <v>37</v>
      </c>
      <c r="CM247" s="44">
        <v>90000</v>
      </c>
      <c r="CN247" s="44" t="s">
        <v>37</v>
      </c>
      <c r="CP247" s="44" t="s">
        <v>37</v>
      </c>
      <c r="CR247" s="44" t="s">
        <v>37</v>
      </c>
      <c r="CS247" s="44">
        <v>90000</v>
      </c>
      <c r="CT247" s="44" t="s">
        <v>37</v>
      </c>
      <c r="CU247" s="44">
        <v>90000</v>
      </c>
      <c r="CV247" s="44" t="s">
        <v>37</v>
      </c>
      <c r="CW247" s="44">
        <v>90000</v>
      </c>
      <c r="CX247" s="44" t="s">
        <v>37</v>
      </c>
      <c r="CZ247" s="44" t="s">
        <v>37</v>
      </c>
      <c r="DB247" s="44" t="s">
        <v>37</v>
      </c>
      <c r="DD247" s="44" t="s">
        <v>37</v>
      </c>
      <c r="DF247" s="44" t="s">
        <v>37</v>
      </c>
      <c r="DH247" s="44" t="s">
        <v>37</v>
      </c>
      <c r="DJ247" s="44" t="s">
        <v>37</v>
      </c>
      <c r="DL247" s="44" t="s">
        <v>37</v>
      </c>
      <c r="DN247" s="44" t="s">
        <v>37</v>
      </c>
      <c r="DP247" s="44" t="s">
        <v>37</v>
      </c>
      <c r="DR247" s="44" t="s">
        <v>37</v>
      </c>
      <c r="DT247" s="44" t="s">
        <v>37</v>
      </c>
      <c r="DU247" s="44">
        <v>79591</v>
      </c>
      <c r="DV247" s="44" t="s">
        <v>37</v>
      </c>
      <c r="DX247" s="44" t="s">
        <v>37</v>
      </c>
      <c r="DZ247" s="44" t="s">
        <v>37</v>
      </c>
      <c r="EB247" s="44" t="s">
        <v>37</v>
      </c>
      <c r="ED247" s="44" t="s">
        <v>37</v>
      </c>
      <c r="EF247" s="44" t="s">
        <v>37</v>
      </c>
      <c r="EG247" s="44">
        <v>87912</v>
      </c>
      <c r="EH247" s="44" t="s">
        <v>37</v>
      </c>
      <c r="EJ247" s="44" t="s">
        <v>37</v>
      </c>
      <c r="EL247" s="44" t="s">
        <v>37</v>
      </c>
      <c r="EN247" s="44" t="s">
        <v>37</v>
      </c>
      <c r="EP247" s="44" t="s">
        <v>37</v>
      </c>
      <c r="ER247" s="44" t="s">
        <v>37</v>
      </c>
      <c r="ET247" s="44" t="s">
        <v>37</v>
      </c>
      <c r="EV247" s="44" t="s">
        <v>37</v>
      </c>
      <c r="EW247" s="44">
        <v>81682</v>
      </c>
      <c r="EX247" s="44" t="s">
        <v>37</v>
      </c>
      <c r="EZ247" s="44" t="s">
        <v>37</v>
      </c>
      <c r="FB247" s="44" t="s">
        <v>37</v>
      </c>
      <c r="FD247" s="44" t="s">
        <v>37</v>
      </c>
      <c r="FF247" s="44" t="s">
        <v>37</v>
      </c>
      <c r="FH247" s="44" t="s">
        <v>37</v>
      </c>
      <c r="FI247" s="44">
        <v>90000</v>
      </c>
      <c r="FJ247" s="44" t="s">
        <v>37</v>
      </c>
      <c r="FL247" s="44" t="s">
        <v>37</v>
      </c>
      <c r="FN247" s="44" t="s">
        <v>37</v>
      </c>
      <c r="FP247" s="44" t="s">
        <v>37</v>
      </c>
      <c r="FR247" s="44" t="s">
        <v>37</v>
      </c>
      <c r="FT247" s="44" t="s">
        <v>37</v>
      </c>
      <c r="FV247" s="44" t="s">
        <v>37</v>
      </c>
      <c r="FX247" s="44" t="s">
        <v>37</v>
      </c>
      <c r="FY247" s="44">
        <v>90000</v>
      </c>
      <c r="FZ247" s="44" t="s">
        <v>37</v>
      </c>
      <c r="GB247" s="44" t="s">
        <v>37</v>
      </c>
      <c r="GC247" s="44">
        <v>88250</v>
      </c>
      <c r="GD247" s="44" t="s">
        <v>37</v>
      </c>
      <c r="GF247" s="44" t="s">
        <v>37</v>
      </c>
      <c r="GH247" s="44" t="s">
        <v>37</v>
      </c>
      <c r="GJ247" s="44" t="s">
        <v>37</v>
      </c>
      <c r="GL247" s="44" t="s">
        <v>37</v>
      </c>
      <c r="GN247" s="44" t="s">
        <v>37</v>
      </c>
      <c r="GP247" s="44" t="s">
        <v>37</v>
      </c>
      <c r="GR247" s="44" t="s">
        <v>37</v>
      </c>
      <c r="GT247" s="44" t="s">
        <v>37</v>
      </c>
      <c r="GV247" s="44" t="s">
        <v>37</v>
      </c>
      <c r="GX247" s="44" t="s">
        <v>37</v>
      </c>
      <c r="GZ247" s="44" t="s">
        <v>37</v>
      </c>
      <c r="HB247" s="44" t="s">
        <v>37</v>
      </c>
      <c r="HD247" s="44" t="s">
        <v>37</v>
      </c>
      <c r="HF247" s="44" t="s">
        <v>37</v>
      </c>
      <c r="HG247" s="44">
        <v>1346011</v>
      </c>
      <c r="HH247" s="44" t="s">
        <v>37</v>
      </c>
      <c r="HJ247" s="44" t="s">
        <v>37</v>
      </c>
      <c r="HK247" s="44">
        <v>1346011</v>
      </c>
      <c r="HL247" s="44" t="s">
        <v>37</v>
      </c>
    </row>
    <row r="248" spans="1:220">
      <c r="A248" s="150" t="s">
        <v>412</v>
      </c>
      <c r="B248" s="44">
        <v>4370</v>
      </c>
      <c r="C248" s="44" t="s">
        <v>257</v>
      </c>
      <c r="D248" s="44" t="s">
        <v>37</v>
      </c>
      <c r="F248" s="44" t="s">
        <v>37</v>
      </c>
      <c r="G248" s="44">
        <v>64792</v>
      </c>
      <c r="H248" s="44" t="s">
        <v>37</v>
      </c>
      <c r="J248" s="44" t="s">
        <v>37</v>
      </c>
      <c r="L248" s="48" t="s">
        <v>37</v>
      </c>
      <c r="M248" s="50"/>
      <c r="N248" s="48" t="s">
        <v>37</v>
      </c>
      <c r="O248" s="50"/>
      <c r="P248" s="48" t="s">
        <v>37</v>
      </c>
      <c r="Q248" s="50"/>
      <c r="R248" s="48" t="s">
        <v>37</v>
      </c>
      <c r="S248" s="50"/>
      <c r="T248" s="48" t="s">
        <v>37</v>
      </c>
      <c r="V248" s="44" t="s">
        <v>37</v>
      </c>
      <c r="X248" s="44" t="s">
        <v>37</v>
      </c>
      <c r="Z248" s="44" t="s">
        <v>37</v>
      </c>
      <c r="AB248" s="44" t="s">
        <v>37</v>
      </c>
      <c r="AD248" s="44" t="s">
        <v>37</v>
      </c>
      <c r="AF248" s="44" t="s">
        <v>37</v>
      </c>
      <c r="AH248" s="44" t="s">
        <v>37</v>
      </c>
      <c r="AI248" s="44">
        <v>41336</v>
      </c>
      <c r="AJ248" s="44" t="s">
        <v>37</v>
      </c>
      <c r="AL248" s="44" t="s">
        <v>37</v>
      </c>
      <c r="AM248" s="44">
        <v>3961</v>
      </c>
      <c r="AN248" s="44" t="s">
        <v>37</v>
      </c>
      <c r="AP248" s="44" t="s">
        <v>37</v>
      </c>
      <c r="AR248" s="44" t="s">
        <v>37</v>
      </c>
      <c r="AT248" s="44" t="s">
        <v>37</v>
      </c>
      <c r="AU248" s="44">
        <v>656027</v>
      </c>
      <c r="AV248" s="44" t="s">
        <v>37</v>
      </c>
      <c r="AX248" s="44" t="s">
        <v>37</v>
      </c>
      <c r="AZ248" s="44" t="s">
        <v>37</v>
      </c>
      <c r="BB248" s="44" t="s">
        <v>37</v>
      </c>
      <c r="BC248" s="44">
        <v>1419</v>
      </c>
      <c r="BD248" s="44" t="s">
        <v>37</v>
      </c>
      <c r="BF248" s="44" t="s">
        <v>37</v>
      </c>
      <c r="BH248" s="44" t="s">
        <v>37</v>
      </c>
      <c r="BJ248" s="44" t="s">
        <v>37</v>
      </c>
      <c r="BK248" s="44">
        <v>12192</v>
      </c>
      <c r="BL248" s="44" t="s">
        <v>37</v>
      </c>
      <c r="BM248" s="44">
        <v>4106</v>
      </c>
      <c r="BN248" s="44" t="s">
        <v>37</v>
      </c>
      <c r="BP248" s="44" t="s">
        <v>37</v>
      </c>
      <c r="BR248" s="44" t="s">
        <v>37</v>
      </c>
      <c r="BT248" s="44" t="s">
        <v>37</v>
      </c>
      <c r="BV248" s="44" t="s">
        <v>37</v>
      </c>
      <c r="BX248" s="44" t="s">
        <v>37</v>
      </c>
      <c r="BZ248" s="44" t="s">
        <v>37</v>
      </c>
      <c r="CA248" s="44">
        <v>57857</v>
      </c>
      <c r="CB248" s="44" t="s">
        <v>37</v>
      </c>
      <c r="CD248" s="44" t="s">
        <v>37</v>
      </c>
      <c r="CF248" s="44" t="s">
        <v>37</v>
      </c>
      <c r="CH248" s="44" t="s">
        <v>37</v>
      </c>
      <c r="CJ248" s="44" t="s">
        <v>37</v>
      </c>
      <c r="CL248" s="44" t="s">
        <v>37</v>
      </c>
      <c r="CN248" s="44" t="s">
        <v>37</v>
      </c>
      <c r="CP248" s="44" t="s">
        <v>37</v>
      </c>
      <c r="CR248" s="44" t="s">
        <v>37</v>
      </c>
      <c r="CT248" s="44" t="s">
        <v>37</v>
      </c>
      <c r="CU248" s="44">
        <v>47484</v>
      </c>
      <c r="CV248" s="44" t="s">
        <v>37</v>
      </c>
      <c r="CX248" s="44" t="s">
        <v>37</v>
      </c>
      <c r="CZ248" s="44" t="s">
        <v>37</v>
      </c>
      <c r="DB248" s="44" t="s">
        <v>37</v>
      </c>
      <c r="DD248" s="44" t="s">
        <v>37</v>
      </c>
      <c r="DF248" s="44" t="s">
        <v>37</v>
      </c>
      <c r="DG248" s="44">
        <v>15527</v>
      </c>
      <c r="DH248" s="44" t="s">
        <v>37</v>
      </c>
      <c r="DJ248" s="44" t="s">
        <v>37</v>
      </c>
      <c r="DK248" s="44">
        <v>16829</v>
      </c>
      <c r="DL248" s="44" t="s">
        <v>37</v>
      </c>
      <c r="DN248" s="44" t="s">
        <v>37</v>
      </c>
      <c r="DP248" s="44" t="s">
        <v>37</v>
      </c>
      <c r="DR248" s="44" t="s">
        <v>37</v>
      </c>
      <c r="DT248" s="44" t="s">
        <v>37</v>
      </c>
      <c r="DV248" s="44" t="s">
        <v>37</v>
      </c>
      <c r="DX248" s="44" t="s">
        <v>37</v>
      </c>
      <c r="DZ248" s="44" t="s">
        <v>37</v>
      </c>
      <c r="EA248" s="44">
        <v>56272</v>
      </c>
      <c r="EB248" s="44" t="s">
        <v>37</v>
      </c>
      <c r="ED248" s="44" t="s">
        <v>37</v>
      </c>
      <c r="EF248" s="44" t="s">
        <v>37</v>
      </c>
      <c r="EH248" s="44" t="s">
        <v>37</v>
      </c>
      <c r="EJ248" s="44" t="s">
        <v>37</v>
      </c>
      <c r="EL248" s="44" t="s">
        <v>37</v>
      </c>
      <c r="EN248" s="44" t="s">
        <v>37</v>
      </c>
      <c r="EP248" s="44" t="s">
        <v>37</v>
      </c>
      <c r="ER248" s="44" t="s">
        <v>37</v>
      </c>
      <c r="ES248" s="44">
        <v>29519</v>
      </c>
      <c r="ET248" s="44" t="s">
        <v>37</v>
      </c>
      <c r="EV248" s="44" t="s">
        <v>37</v>
      </c>
      <c r="EW248" s="44">
        <v>24209</v>
      </c>
      <c r="EX248" s="44" t="s">
        <v>37</v>
      </c>
      <c r="EZ248" s="44" t="s">
        <v>37</v>
      </c>
      <c r="FB248" s="44" t="s">
        <v>37</v>
      </c>
      <c r="FD248" s="44" t="s">
        <v>37</v>
      </c>
      <c r="FE248" s="44">
        <v>19428</v>
      </c>
      <c r="FF248" s="44" t="s">
        <v>37</v>
      </c>
      <c r="FH248" s="44" t="s">
        <v>37</v>
      </c>
      <c r="FI248" s="44">
        <v>4894</v>
      </c>
      <c r="FJ248" s="44" t="s">
        <v>37</v>
      </c>
      <c r="FK248" s="44">
        <v>64283</v>
      </c>
      <c r="FL248" s="44" t="s">
        <v>37</v>
      </c>
      <c r="FN248" s="44" t="s">
        <v>37</v>
      </c>
      <c r="FP248" s="44" t="s">
        <v>37</v>
      </c>
      <c r="FR248" s="44" t="s">
        <v>37</v>
      </c>
      <c r="FT248" s="44" t="s">
        <v>37</v>
      </c>
      <c r="FV248" s="44" t="s">
        <v>37</v>
      </c>
      <c r="FX248" s="44" t="s">
        <v>37</v>
      </c>
      <c r="FZ248" s="44" t="s">
        <v>37</v>
      </c>
      <c r="GA248" s="44">
        <v>47798</v>
      </c>
      <c r="GB248" s="44" t="s">
        <v>37</v>
      </c>
      <c r="GD248" s="44" t="s">
        <v>37</v>
      </c>
      <c r="GF248" s="44" t="s">
        <v>37</v>
      </c>
      <c r="GH248" s="44" t="s">
        <v>37</v>
      </c>
      <c r="GJ248" s="44" t="s">
        <v>37</v>
      </c>
      <c r="GL248" s="44" t="s">
        <v>37</v>
      </c>
      <c r="GN248" s="44" t="s">
        <v>37</v>
      </c>
      <c r="GP248" s="44" t="s">
        <v>37</v>
      </c>
      <c r="GQ248" s="44">
        <v>14356</v>
      </c>
      <c r="GR248" s="44" t="s">
        <v>37</v>
      </c>
      <c r="GS248" s="44">
        <v>26375</v>
      </c>
      <c r="GT248" s="44" t="s">
        <v>37</v>
      </c>
      <c r="GV248" s="44" t="s">
        <v>37</v>
      </c>
      <c r="GX248" s="44" t="s">
        <v>37</v>
      </c>
      <c r="GZ248" s="44" t="s">
        <v>37</v>
      </c>
      <c r="HB248" s="44" t="s">
        <v>37</v>
      </c>
      <c r="HD248" s="44" t="s">
        <v>37</v>
      </c>
      <c r="HF248" s="44" t="s">
        <v>37</v>
      </c>
      <c r="HG248" s="44">
        <v>1208664</v>
      </c>
      <c r="HH248" s="44" t="s">
        <v>37</v>
      </c>
      <c r="HJ248" s="44" t="s">
        <v>37</v>
      </c>
      <c r="HK248" s="44">
        <v>1208664</v>
      </c>
      <c r="HL248" s="44" t="s">
        <v>37</v>
      </c>
    </row>
    <row r="249" spans="1:220">
      <c r="A249" s="150" t="s">
        <v>412</v>
      </c>
      <c r="B249" s="44">
        <v>4390</v>
      </c>
      <c r="C249" s="44" t="s">
        <v>258</v>
      </c>
      <c r="D249" s="44" t="s">
        <v>37</v>
      </c>
      <c r="F249" s="44" t="s">
        <v>37</v>
      </c>
      <c r="H249" s="44" t="s">
        <v>37</v>
      </c>
      <c r="J249" s="44" t="s">
        <v>37</v>
      </c>
      <c r="L249" s="48" t="s">
        <v>37</v>
      </c>
      <c r="M249" s="50"/>
      <c r="N249" s="48" t="s">
        <v>37</v>
      </c>
      <c r="O249" s="50"/>
      <c r="P249" s="48" t="s">
        <v>37</v>
      </c>
      <c r="Q249" s="50"/>
      <c r="R249" s="48" t="s">
        <v>37</v>
      </c>
      <c r="S249" s="50"/>
      <c r="T249" s="48" t="s">
        <v>37</v>
      </c>
      <c r="V249" s="44" t="s">
        <v>37</v>
      </c>
      <c r="X249" s="44" t="s">
        <v>37</v>
      </c>
      <c r="Z249" s="44" t="s">
        <v>37</v>
      </c>
      <c r="AB249" s="44" t="s">
        <v>37</v>
      </c>
      <c r="AD249" s="44" t="s">
        <v>37</v>
      </c>
      <c r="AF249" s="44" t="s">
        <v>37</v>
      </c>
      <c r="AH249" s="44" t="s">
        <v>37</v>
      </c>
      <c r="AJ249" s="44" t="s">
        <v>37</v>
      </c>
      <c r="AL249" s="44" t="s">
        <v>37</v>
      </c>
      <c r="AN249" s="44" t="s">
        <v>37</v>
      </c>
      <c r="AP249" s="44" t="s">
        <v>37</v>
      </c>
      <c r="AR249" s="44" t="s">
        <v>37</v>
      </c>
      <c r="AT249" s="44" t="s">
        <v>37</v>
      </c>
      <c r="AV249" s="44" t="s">
        <v>37</v>
      </c>
      <c r="AX249" s="44" t="s">
        <v>37</v>
      </c>
      <c r="AZ249" s="44" t="s">
        <v>37</v>
      </c>
      <c r="BB249" s="44" t="s">
        <v>37</v>
      </c>
      <c r="BD249" s="44" t="s">
        <v>37</v>
      </c>
      <c r="BF249" s="44" t="s">
        <v>37</v>
      </c>
      <c r="BH249" s="44" t="s">
        <v>37</v>
      </c>
      <c r="BJ249" s="44" t="s">
        <v>37</v>
      </c>
      <c r="BL249" s="44" t="s">
        <v>37</v>
      </c>
      <c r="BN249" s="44" t="s">
        <v>37</v>
      </c>
      <c r="BP249" s="44" t="s">
        <v>37</v>
      </c>
      <c r="BR249" s="44" t="s">
        <v>37</v>
      </c>
      <c r="BT249" s="44" t="s">
        <v>37</v>
      </c>
      <c r="BV249" s="44" t="s">
        <v>37</v>
      </c>
      <c r="BX249" s="44" t="s">
        <v>37</v>
      </c>
      <c r="BZ249" s="44" t="s">
        <v>37</v>
      </c>
      <c r="CB249" s="44" t="s">
        <v>37</v>
      </c>
      <c r="CD249" s="44" t="s">
        <v>37</v>
      </c>
      <c r="CF249" s="44" t="s">
        <v>37</v>
      </c>
      <c r="CH249" s="44" t="s">
        <v>37</v>
      </c>
      <c r="CJ249" s="44" t="s">
        <v>37</v>
      </c>
      <c r="CL249" s="44" t="s">
        <v>37</v>
      </c>
      <c r="CN249" s="44" t="s">
        <v>37</v>
      </c>
      <c r="CP249" s="44" t="s">
        <v>37</v>
      </c>
      <c r="CR249" s="44" t="s">
        <v>37</v>
      </c>
      <c r="CT249" s="44" t="s">
        <v>37</v>
      </c>
      <c r="CV249" s="44" t="s">
        <v>37</v>
      </c>
      <c r="CX249" s="44" t="s">
        <v>37</v>
      </c>
      <c r="CZ249" s="44" t="s">
        <v>37</v>
      </c>
      <c r="DB249" s="44" t="s">
        <v>37</v>
      </c>
      <c r="DD249" s="44" t="s">
        <v>37</v>
      </c>
      <c r="DF249" s="44" t="s">
        <v>37</v>
      </c>
      <c r="DH249" s="44" t="s">
        <v>37</v>
      </c>
      <c r="DJ249" s="44" t="s">
        <v>37</v>
      </c>
      <c r="DL249" s="44" t="s">
        <v>37</v>
      </c>
      <c r="DM249" s="44">
        <v>10687</v>
      </c>
      <c r="DN249" s="44" t="s">
        <v>37</v>
      </c>
      <c r="DP249" s="44" t="s">
        <v>37</v>
      </c>
      <c r="DR249" s="44" t="s">
        <v>37</v>
      </c>
      <c r="DT249" s="44" t="s">
        <v>37</v>
      </c>
      <c r="DV249" s="44" t="s">
        <v>37</v>
      </c>
      <c r="DX249" s="44" t="s">
        <v>37</v>
      </c>
      <c r="DZ249" s="44" t="s">
        <v>37</v>
      </c>
      <c r="EB249" s="44" t="s">
        <v>37</v>
      </c>
      <c r="ED249" s="44" t="s">
        <v>37</v>
      </c>
      <c r="EF249" s="44" t="s">
        <v>37</v>
      </c>
      <c r="EH249" s="44" t="s">
        <v>37</v>
      </c>
      <c r="EJ249" s="44" t="s">
        <v>37</v>
      </c>
      <c r="EL249" s="44" t="s">
        <v>37</v>
      </c>
      <c r="EN249" s="44" t="s">
        <v>37</v>
      </c>
      <c r="EP249" s="44" t="s">
        <v>37</v>
      </c>
      <c r="ER249" s="44" t="s">
        <v>37</v>
      </c>
      <c r="ET249" s="44" t="s">
        <v>37</v>
      </c>
      <c r="EV249" s="44" t="s">
        <v>37</v>
      </c>
      <c r="EX249" s="44" t="s">
        <v>37</v>
      </c>
      <c r="EZ249" s="44" t="s">
        <v>37</v>
      </c>
      <c r="FB249" s="44" t="s">
        <v>37</v>
      </c>
      <c r="FD249" s="44" t="s">
        <v>37</v>
      </c>
      <c r="FF249" s="44" t="s">
        <v>37</v>
      </c>
      <c r="FH249" s="44" t="s">
        <v>37</v>
      </c>
      <c r="FJ249" s="44" t="s">
        <v>37</v>
      </c>
      <c r="FL249" s="44" t="s">
        <v>37</v>
      </c>
      <c r="FN249" s="44" t="s">
        <v>37</v>
      </c>
      <c r="FP249" s="44" t="s">
        <v>37</v>
      </c>
      <c r="FR249" s="44" t="s">
        <v>37</v>
      </c>
      <c r="FT249" s="44" t="s">
        <v>37</v>
      </c>
      <c r="FV249" s="44" t="s">
        <v>37</v>
      </c>
      <c r="FX249" s="44" t="s">
        <v>37</v>
      </c>
      <c r="FZ249" s="44" t="s">
        <v>37</v>
      </c>
      <c r="GB249" s="44" t="s">
        <v>37</v>
      </c>
      <c r="GD249" s="44" t="s">
        <v>37</v>
      </c>
      <c r="GF249" s="44" t="s">
        <v>37</v>
      </c>
      <c r="GH249" s="44" t="s">
        <v>37</v>
      </c>
      <c r="GJ249" s="44" t="s">
        <v>37</v>
      </c>
      <c r="GL249" s="44" t="s">
        <v>37</v>
      </c>
      <c r="GM249" s="44">
        <v>10875</v>
      </c>
      <c r="GN249" s="44" t="s">
        <v>37</v>
      </c>
      <c r="GP249" s="44" t="s">
        <v>37</v>
      </c>
      <c r="GR249" s="44" t="s">
        <v>37</v>
      </c>
      <c r="GT249" s="44" t="s">
        <v>37</v>
      </c>
      <c r="GV249" s="44" t="s">
        <v>37</v>
      </c>
      <c r="GX249" s="44" t="s">
        <v>37</v>
      </c>
      <c r="GZ249" s="44" t="s">
        <v>37</v>
      </c>
      <c r="HB249" s="44" t="s">
        <v>37</v>
      </c>
      <c r="HD249" s="44" t="s">
        <v>37</v>
      </c>
      <c r="HF249" s="44" t="s">
        <v>37</v>
      </c>
      <c r="HG249" s="44">
        <v>21562</v>
      </c>
      <c r="HH249" s="44" t="s">
        <v>37</v>
      </c>
      <c r="HJ249" s="44" t="s">
        <v>37</v>
      </c>
      <c r="HK249" s="44">
        <v>21562</v>
      </c>
      <c r="HL249" s="44" t="s">
        <v>37</v>
      </c>
    </row>
    <row r="250" spans="1:220">
      <c r="A250" s="150" t="s">
        <v>408</v>
      </c>
      <c r="B250" s="54">
        <v>4400</v>
      </c>
      <c r="C250" s="44" t="s">
        <v>122</v>
      </c>
      <c r="D250" s="44" t="s">
        <v>37</v>
      </c>
      <c r="F250" s="44" t="s">
        <v>37</v>
      </c>
      <c r="H250" s="44" t="s">
        <v>37</v>
      </c>
      <c r="J250" s="44" t="s">
        <v>37</v>
      </c>
      <c r="L250" s="48" t="s">
        <v>37</v>
      </c>
      <c r="M250" s="50"/>
      <c r="N250" s="48" t="s">
        <v>37</v>
      </c>
      <c r="O250" s="50"/>
      <c r="P250" s="48" t="s">
        <v>37</v>
      </c>
      <c r="Q250" s="50"/>
      <c r="R250" s="48" t="s">
        <v>37</v>
      </c>
      <c r="S250" s="50"/>
      <c r="T250" s="48" t="s">
        <v>37</v>
      </c>
      <c r="V250" s="44" t="s">
        <v>37</v>
      </c>
      <c r="X250" s="44" t="s">
        <v>37</v>
      </c>
      <c r="Z250" s="44" t="s">
        <v>37</v>
      </c>
      <c r="AB250" s="44" t="s">
        <v>37</v>
      </c>
      <c r="AD250" s="44" t="s">
        <v>37</v>
      </c>
      <c r="AF250" s="44" t="s">
        <v>37</v>
      </c>
      <c r="AH250" s="44" t="s">
        <v>37</v>
      </c>
      <c r="AJ250" s="44" t="s">
        <v>37</v>
      </c>
      <c r="AL250" s="44" t="s">
        <v>37</v>
      </c>
      <c r="AN250" s="44" t="s">
        <v>37</v>
      </c>
      <c r="AP250" s="44" t="s">
        <v>37</v>
      </c>
      <c r="AR250" s="44" t="s">
        <v>37</v>
      </c>
      <c r="AT250" s="44" t="s">
        <v>37</v>
      </c>
      <c r="AV250" s="44" t="s">
        <v>37</v>
      </c>
      <c r="AX250" s="44" t="s">
        <v>37</v>
      </c>
      <c r="AZ250" s="44" t="s">
        <v>37</v>
      </c>
      <c r="BB250" s="44" t="s">
        <v>37</v>
      </c>
      <c r="BD250" s="44" t="s">
        <v>37</v>
      </c>
      <c r="BF250" s="44" t="s">
        <v>37</v>
      </c>
      <c r="BH250" s="44" t="s">
        <v>37</v>
      </c>
      <c r="BJ250" s="44" t="s">
        <v>37</v>
      </c>
      <c r="BL250" s="44" t="s">
        <v>37</v>
      </c>
      <c r="BN250" s="44" t="s">
        <v>37</v>
      </c>
      <c r="BP250" s="44" t="s">
        <v>37</v>
      </c>
      <c r="BR250" s="44" t="s">
        <v>37</v>
      </c>
      <c r="BT250" s="44" t="s">
        <v>37</v>
      </c>
      <c r="BV250" s="44" t="s">
        <v>37</v>
      </c>
      <c r="BX250" s="44" t="s">
        <v>37</v>
      </c>
      <c r="BZ250" s="44" t="s">
        <v>37</v>
      </c>
      <c r="CB250" s="44" t="s">
        <v>37</v>
      </c>
      <c r="CD250" s="44" t="s">
        <v>37</v>
      </c>
      <c r="CF250" s="44" t="s">
        <v>37</v>
      </c>
      <c r="CH250" s="44" t="s">
        <v>37</v>
      </c>
      <c r="CJ250" s="44" t="s">
        <v>37</v>
      </c>
      <c r="CL250" s="44" t="s">
        <v>37</v>
      </c>
      <c r="CN250" s="44" t="s">
        <v>37</v>
      </c>
      <c r="CP250" s="44" t="s">
        <v>37</v>
      </c>
      <c r="CR250" s="44" t="s">
        <v>37</v>
      </c>
      <c r="CT250" s="44" t="s">
        <v>37</v>
      </c>
      <c r="CV250" s="44" t="s">
        <v>37</v>
      </c>
      <c r="CX250" s="44" t="s">
        <v>37</v>
      </c>
      <c r="CZ250" s="44" t="s">
        <v>37</v>
      </c>
      <c r="DB250" s="44" t="s">
        <v>37</v>
      </c>
      <c r="DD250" s="44" t="s">
        <v>37</v>
      </c>
      <c r="DF250" s="44" t="s">
        <v>37</v>
      </c>
      <c r="DH250" s="44" t="s">
        <v>37</v>
      </c>
      <c r="DJ250" s="44" t="s">
        <v>37</v>
      </c>
      <c r="DL250" s="44" t="s">
        <v>37</v>
      </c>
      <c r="DN250" s="44" t="s">
        <v>37</v>
      </c>
      <c r="DP250" s="44" t="s">
        <v>37</v>
      </c>
      <c r="DR250" s="44" t="s">
        <v>37</v>
      </c>
      <c r="DT250" s="44" t="s">
        <v>37</v>
      </c>
      <c r="DV250" s="44" t="s">
        <v>37</v>
      </c>
      <c r="DX250" s="44" t="s">
        <v>37</v>
      </c>
      <c r="DZ250" s="44" t="s">
        <v>37</v>
      </c>
      <c r="EB250" s="44" t="s">
        <v>37</v>
      </c>
      <c r="ED250" s="44" t="s">
        <v>37</v>
      </c>
      <c r="EF250" s="44" t="s">
        <v>37</v>
      </c>
      <c r="EH250" s="44" t="s">
        <v>37</v>
      </c>
      <c r="EJ250" s="44" t="s">
        <v>37</v>
      </c>
      <c r="EL250" s="44" t="s">
        <v>37</v>
      </c>
      <c r="EN250" s="44" t="s">
        <v>37</v>
      </c>
      <c r="EP250" s="44" t="s">
        <v>37</v>
      </c>
      <c r="ER250" s="44" t="s">
        <v>37</v>
      </c>
      <c r="ET250" s="44" t="s">
        <v>37</v>
      </c>
      <c r="EV250" s="44" t="s">
        <v>37</v>
      </c>
      <c r="EX250" s="44" t="s">
        <v>37</v>
      </c>
      <c r="EZ250" s="44" t="s">
        <v>37</v>
      </c>
      <c r="FB250" s="44" t="s">
        <v>37</v>
      </c>
      <c r="FD250" s="44" t="s">
        <v>37</v>
      </c>
      <c r="FF250" s="44" t="s">
        <v>37</v>
      </c>
      <c r="FH250" s="44" t="s">
        <v>37</v>
      </c>
      <c r="FJ250" s="44" t="s">
        <v>37</v>
      </c>
      <c r="FL250" s="44" t="s">
        <v>37</v>
      </c>
      <c r="FN250" s="44" t="s">
        <v>37</v>
      </c>
      <c r="FP250" s="44" t="s">
        <v>37</v>
      </c>
      <c r="FR250" s="44" t="s">
        <v>37</v>
      </c>
      <c r="FT250" s="44" t="s">
        <v>37</v>
      </c>
      <c r="FV250" s="44" t="s">
        <v>37</v>
      </c>
      <c r="FX250" s="44" t="s">
        <v>37</v>
      </c>
      <c r="FZ250" s="44" t="s">
        <v>37</v>
      </c>
      <c r="GB250" s="44" t="s">
        <v>37</v>
      </c>
      <c r="GD250" s="44" t="s">
        <v>37</v>
      </c>
      <c r="GF250" s="44" t="s">
        <v>37</v>
      </c>
      <c r="GH250" s="44" t="s">
        <v>37</v>
      </c>
      <c r="GJ250" s="44" t="s">
        <v>37</v>
      </c>
      <c r="GL250" s="44" t="s">
        <v>37</v>
      </c>
      <c r="GN250" s="44" t="s">
        <v>37</v>
      </c>
      <c r="GP250" s="44" t="s">
        <v>37</v>
      </c>
      <c r="GR250" s="44" t="s">
        <v>37</v>
      </c>
      <c r="GT250" s="44" t="s">
        <v>37</v>
      </c>
      <c r="GV250" s="44" t="s">
        <v>37</v>
      </c>
      <c r="GX250" s="44" t="s">
        <v>37</v>
      </c>
      <c r="GZ250" s="44" t="s">
        <v>37</v>
      </c>
      <c r="HB250" s="44" t="s">
        <v>37</v>
      </c>
      <c r="HD250" s="44" t="s">
        <v>37</v>
      </c>
      <c r="HF250" s="44" t="s">
        <v>37</v>
      </c>
      <c r="HH250" s="44" t="s">
        <v>37</v>
      </c>
      <c r="HJ250" s="44" t="s">
        <v>37</v>
      </c>
      <c r="HL250" s="44" t="s">
        <v>37</v>
      </c>
    </row>
    <row r="251" spans="1:220">
      <c r="A251" s="150" t="s">
        <v>407</v>
      </c>
      <c r="B251" s="54">
        <v>4410</v>
      </c>
      <c r="C251" s="44" t="s">
        <v>123</v>
      </c>
      <c r="D251" s="44" t="s">
        <v>37</v>
      </c>
      <c r="E251" s="44">
        <v>54705</v>
      </c>
      <c r="F251" s="44" t="s">
        <v>37</v>
      </c>
      <c r="G251" s="44">
        <v>150431</v>
      </c>
      <c r="H251" s="44" t="s">
        <v>37</v>
      </c>
      <c r="I251" s="44">
        <v>85084</v>
      </c>
      <c r="J251" s="44" t="s">
        <v>37</v>
      </c>
      <c r="L251" s="48" t="s">
        <v>37</v>
      </c>
      <c r="M251" s="50"/>
      <c r="N251" s="48" t="s">
        <v>37</v>
      </c>
      <c r="O251" s="50"/>
      <c r="P251" s="48" t="s">
        <v>37</v>
      </c>
      <c r="Q251" s="50"/>
      <c r="R251" s="48" t="s">
        <v>37</v>
      </c>
      <c r="S251" s="50"/>
      <c r="T251" s="48" t="s">
        <v>37</v>
      </c>
      <c r="U251" s="44">
        <v>127321</v>
      </c>
      <c r="V251" s="44" t="s">
        <v>37</v>
      </c>
      <c r="X251" s="44" t="s">
        <v>37</v>
      </c>
      <c r="Y251" s="44">
        <v>39128</v>
      </c>
      <c r="Z251" s="44" t="s">
        <v>37</v>
      </c>
      <c r="AB251" s="44" t="s">
        <v>37</v>
      </c>
      <c r="AD251" s="44" t="s">
        <v>37</v>
      </c>
      <c r="AF251" s="44" t="s">
        <v>37</v>
      </c>
      <c r="AH251" s="44" t="s">
        <v>37</v>
      </c>
      <c r="AJ251" s="44" t="s">
        <v>37</v>
      </c>
      <c r="AL251" s="44" t="s">
        <v>37</v>
      </c>
      <c r="AM251" s="44">
        <v>128891</v>
      </c>
      <c r="AN251" s="44" t="s">
        <v>37</v>
      </c>
      <c r="AP251" s="44" t="s">
        <v>37</v>
      </c>
      <c r="AQ251" s="44">
        <v>180720</v>
      </c>
      <c r="AR251" s="44" t="s">
        <v>37</v>
      </c>
      <c r="AS251" s="44">
        <v>69250</v>
      </c>
      <c r="AT251" s="44" t="s">
        <v>37</v>
      </c>
      <c r="AU251" s="44">
        <v>242565</v>
      </c>
      <c r="AV251" s="44" t="s">
        <v>37</v>
      </c>
      <c r="AW251" s="44">
        <v>112013</v>
      </c>
      <c r="AX251" s="44" t="s">
        <v>37</v>
      </c>
      <c r="AY251" s="44">
        <v>49717</v>
      </c>
      <c r="AZ251" s="44" t="s">
        <v>37</v>
      </c>
      <c r="BA251" s="44">
        <v>57273</v>
      </c>
      <c r="BB251" s="44" t="s">
        <v>37</v>
      </c>
      <c r="BD251" s="44" t="s">
        <v>37</v>
      </c>
      <c r="BF251" s="44" t="s">
        <v>37</v>
      </c>
      <c r="BH251" s="44" t="s">
        <v>37</v>
      </c>
      <c r="BI251" s="44">
        <v>127268</v>
      </c>
      <c r="BJ251" s="44" t="s">
        <v>37</v>
      </c>
      <c r="BK251" s="44">
        <v>79788</v>
      </c>
      <c r="BL251" s="44" t="s">
        <v>37</v>
      </c>
      <c r="BM251" s="44">
        <v>92032</v>
      </c>
      <c r="BN251" s="44" t="s">
        <v>37</v>
      </c>
      <c r="BP251" s="44" t="s">
        <v>37</v>
      </c>
      <c r="BR251" s="44" t="s">
        <v>37</v>
      </c>
      <c r="BS251" s="44">
        <v>22902</v>
      </c>
      <c r="BT251" s="44" t="s">
        <v>37</v>
      </c>
      <c r="BV251" s="44" t="s">
        <v>37</v>
      </c>
      <c r="BX251" s="44" t="s">
        <v>37</v>
      </c>
      <c r="BY251" s="44">
        <v>322804</v>
      </c>
      <c r="BZ251" s="44" t="s">
        <v>37</v>
      </c>
      <c r="CB251" s="44" t="s">
        <v>37</v>
      </c>
      <c r="CD251" s="44" t="s">
        <v>37</v>
      </c>
      <c r="CE251" s="44">
        <v>49675</v>
      </c>
      <c r="CF251" s="44" t="s">
        <v>37</v>
      </c>
      <c r="CH251" s="44" t="s">
        <v>37</v>
      </c>
      <c r="CI251" s="44">
        <v>389715</v>
      </c>
      <c r="CJ251" s="44" t="s">
        <v>37</v>
      </c>
      <c r="CL251" s="44" t="s">
        <v>37</v>
      </c>
      <c r="CM251" s="44">
        <v>51798</v>
      </c>
      <c r="CN251" s="44" t="s">
        <v>37</v>
      </c>
      <c r="CP251" s="44" t="s">
        <v>37</v>
      </c>
      <c r="CR251" s="44" t="s">
        <v>37</v>
      </c>
      <c r="CS251" s="44">
        <v>97683</v>
      </c>
      <c r="CT251" s="44" t="s">
        <v>37</v>
      </c>
      <c r="CU251" s="44">
        <v>463192</v>
      </c>
      <c r="CV251" s="44" t="s">
        <v>37</v>
      </c>
      <c r="CW251" s="44">
        <v>61959</v>
      </c>
      <c r="CX251" s="44" t="s">
        <v>37</v>
      </c>
      <c r="CZ251" s="44" t="s">
        <v>37</v>
      </c>
      <c r="DB251" s="44" t="s">
        <v>37</v>
      </c>
      <c r="DD251" s="44" t="s">
        <v>37</v>
      </c>
      <c r="DE251" s="44">
        <v>52599</v>
      </c>
      <c r="DF251" s="44" t="s">
        <v>37</v>
      </c>
      <c r="DH251" s="44" t="s">
        <v>37</v>
      </c>
      <c r="DI251" s="44">
        <v>121069</v>
      </c>
      <c r="DJ251" s="44" t="s">
        <v>37</v>
      </c>
      <c r="DL251" s="44" t="s">
        <v>37</v>
      </c>
      <c r="DM251" s="44">
        <v>100573</v>
      </c>
      <c r="DN251" s="44" t="s">
        <v>37</v>
      </c>
      <c r="DO251" s="44">
        <v>88918</v>
      </c>
      <c r="DP251" s="44" t="s">
        <v>37</v>
      </c>
      <c r="DQ251" s="44">
        <v>103975</v>
      </c>
      <c r="DR251" s="44" t="s">
        <v>37</v>
      </c>
      <c r="DT251" s="44" t="s">
        <v>37</v>
      </c>
      <c r="DV251" s="44" t="s">
        <v>37</v>
      </c>
      <c r="DW251" s="44">
        <v>97251</v>
      </c>
      <c r="DX251" s="44" t="s">
        <v>37</v>
      </c>
      <c r="DY251" s="44">
        <v>117864</v>
      </c>
      <c r="DZ251" s="44" t="s">
        <v>37</v>
      </c>
      <c r="EA251" s="44">
        <v>47191</v>
      </c>
      <c r="EB251" s="44" t="s">
        <v>37</v>
      </c>
      <c r="ED251" s="44" t="s">
        <v>37</v>
      </c>
      <c r="EE251" s="44">
        <v>93780</v>
      </c>
      <c r="EF251" s="44" t="s">
        <v>37</v>
      </c>
      <c r="EG251" s="44">
        <v>68522</v>
      </c>
      <c r="EH251" s="44" t="s">
        <v>37</v>
      </c>
      <c r="EI251" s="44">
        <v>46376</v>
      </c>
      <c r="EJ251" s="44" t="s">
        <v>37</v>
      </c>
      <c r="EL251" s="44" t="s">
        <v>37</v>
      </c>
      <c r="EN251" s="44" t="s">
        <v>37</v>
      </c>
      <c r="EP251" s="44" t="s">
        <v>37</v>
      </c>
      <c r="ER251" s="44" t="s">
        <v>37</v>
      </c>
      <c r="ES251" s="44">
        <v>166354</v>
      </c>
      <c r="ET251" s="44" t="s">
        <v>37</v>
      </c>
      <c r="EU251" s="44">
        <v>89517</v>
      </c>
      <c r="EV251" s="44" t="s">
        <v>37</v>
      </c>
      <c r="EW251" s="44">
        <v>76960</v>
      </c>
      <c r="EX251" s="44" t="s">
        <v>37</v>
      </c>
      <c r="EZ251" s="44" t="s">
        <v>37</v>
      </c>
      <c r="FB251" s="44" t="s">
        <v>37</v>
      </c>
      <c r="FD251" s="44" t="s">
        <v>37</v>
      </c>
      <c r="FF251" s="44" t="s">
        <v>37</v>
      </c>
      <c r="FH251" s="44" t="s">
        <v>37</v>
      </c>
      <c r="FI251" s="44">
        <v>112389</v>
      </c>
      <c r="FJ251" s="44" t="s">
        <v>37</v>
      </c>
      <c r="FK251" s="44">
        <v>297666</v>
      </c>
      <c r="FL251" s="44" t="s">
        <v>37</v>
      </c>
      <c r="FM251" s="44">
        <v>92066</v>
      </c>
      <c r="FN251" s="44" t="s">
        <v>37</v>
      </c>
      <c r="FO251" s="44">
        <v>24334</v>
      </c>
      <c r="FP251" s="44" t="s">
        <v>37</v>
      </c>
      <c r="FR251" s="44" t="s">
        <v>37</v>
      </c>
      <c r="FT251" s="44" t="s">
        <v>37</v>
      </c>
      <c r="FV251" s="44" t="s">
        <v>37</v>
      </c>
      <c r="FX251" s="44" t="s">
        <v>37</v>
      </c>
      <c r="FZ251" s="44" t="s">
        <v>37</v>
      </c>
      <c r="GB251" s="44" t="s">
        <v>37</v>
      </c>
      <c r="GC251" s="44">
        <v>135558</v>
      </c>
      <c r="GD251" s="44" t="s">
        <v>37</v>
      </c>
      <c r="GF251" s="44" t="s">
        <v>37</v>
      </c>
      <c r="GH251" s="44" t="s">
        <v>37</v>
      </c>
      <c r="GJ251" s="44" t="s">
        <v>37</v>
      </c>
      <c r="GL251" s="44" t="s">
        <v>37</v>
      </c>
      <c r="GM251" s="44">
        <v>547873</v>
      </c>
      <c r="GN251" s="44" t="s">
        <v>37</v>
      </c>
      <c r="GP251" s="44" t="s">
        <v>37</v>
      </c>
      <c r="GQ251" s="44">
        <v>155265</v>
      </c>
      <c r="GR251" s="44" t="s">
        <v>37</v>
      </c>
      <c r="GS251" s="44">
        <v>51363</v>
      </c>
      <c r="GT251" s="44" t="s">
        <v>37</v>
      </c>
      <c r="GV251" s="44" t="s">
        <v>37</v>
      </c>
      <c r="GW251" s="44">
        <v>58403</v>
      </c>
      <c r="GX251" s="44" t="s">
        <v>37</v>
      </c>
      <c r="GY251" s="44">
        <v>111829</v>
      </c>
      <c r="GZ251" s="44" t="s">
        <v>37</v>
      </c>
      <c r="HB251" s="44" t="s">
        <v>37</v>
      </c>
      <c r="HD251" s="44" t="s">
        <v>37</v>
      </c>
      <c r="HE251" s="44">
        <v>117227</v>
      </c>
      <c r="HF251" s="44" t="s">
        <v>37</v>
      </c>
      <c r="HG251" s="44">
        <v>5913609</v>
      </c>
      <c r="HH251" s="44" t="s">
        <v>37</v>
      </c>
      <c r="HI251" s="44">
        <v>117227</v>
      </c>
      <c r="HJ251" s="44" t="s">
        <v>37</v>
      </c>
      <c r="HK251" s="44">
        <v>6030836</v>
      </c>
      <c r="HL251" s="44" t="s">
        <v>37</v>
      </c>
    </row>
    <row r="252" spans="1:220">
      <c r="A252" s="150" t="s">
        <v>407</v>
      </c>
      <c r="B252" s="54">
        <v>4490</v>
      </c>
      <c r="C252" s="44" t="s">
        <v>259</v>
      </c>
      <c r="D252" s="44" t="s">
        <v>37</v>
      </c>
      <c r="F252" s="44" t="s">
        <v>37</v>
      </c>
      <c r="H252" s="44" t="s">
        <v>37</v>
      </c>
      <c r="J252" s="44" t="s">
        <v>37</v>
      </c>
      <c r="L252" s="48" t="s">
        <v>37</v>
      </c>
      <c r="M252" s="50"/>
      <c r="N252" s="48" t="s">
        <v>37</v>
      </c>
      <c r="O252" s="50"/>
      <c r="P252" s="48" t="s">
        <v>37</v>
      </c>
      <c r="Q252" s="50"/>
      <c r="R252" s="48" t="s">
        <v>37</v>
      </c>
      <c r="S252" s="50"/>
      <c r="T252" s="48" t="s">
        <v>37</v>
      </c>
      <c r="V252" s="44" t="s">
        <v>37</v>
      </c>
      <c r="X252" s="44" t="s">
        <v>37</v>
      </c>
      <c r="Z252" s="44" t="s">
        <v>37</v>
      </c>
      <c r="AB252" s="44" t="s">
        <v>37</v>
      </c>
      <c r="AD252" s="44" t="s">
        <v>37</v>
      </c>
      <c r="AF252" s="44" t="s">
        <v>37</v>
      </c>
      <c r="AH252" s="44" t="s">
        <v>37</v>
      </c>
      <c r="AJ252" s="44" t="s">
        <v>37</v>
      </c>
      <c r="AL252" s="44" t="s">
        <v>37</v>
      </c>
      <c r="AN252" s="44" t="s">
        <v>37</v>
      </c>
      <c r="AP252" s="44" t="s">
        <v>37</v>
      </c>
      <c r="AR252" s="44" t="s">
        <v>37</v>
      </c>
      <c r="AT252" s="44" t="s">
        <v>37</v>
      </c>
      <c r="AV252" s="44" t="s">
        <v>37</v>
      </c>
      <c r="AX252" s="44" t="s">
        <v>37</v>
      </c>
      <c r="AZ252" s="44" t="s">
        <v>37</v>
      </c>
      <c r="BB252" s="44" t="s">
        <v>37</v>
      </c>
      <c r="BD252" s="44" t="s">
        <v>37</v>
      </c>
      <c r="BF252" s="44" t="s">
        <v>37</v>
      </c>
      <c r="BH252" s="44" t="s">
        <v>37</v>
      </c>
      <c r="BJ252" s="44" t="s">
        <v>37</v>
      </c>
      <c r="BL252" s="44" t="s">
        <v>37</v>
      </c>
      <c r="BN252" s="44" t="s">
        <v>37</v>
      </c>
      <c r="BP252" s="44" t="s">
        <v>37</v>
      </c>
      <c r="BR252" s="44" t="s">
        <v>37</v>
      </c>
      <c r="BT252" s="44" t="s">
        <v>37</v>
      </c>
      <c r="BV252" s="44" t="s">
        <v>37</v>
      </c>
      <c r="BX252" s="44" t="s">
        <v>37</v>
      </c>
      <c r="BZ252" s="44" t="s">
        <v>37</v>
      </c>
      <c r="CB252" s="44" t="s">
        <v>37</v>
      </c>
      <c r="CD252" s="44" t="s">
        <v>37</v>
      </c>
      <c r="CF252" s="44" t="s">
        <v>37</v>
      </c>
      <c r="CH252" s="44" t="s">
        <v>37</v>
      </c>
      <c r="CJ252" s="44" t="s">
        <v>37</v>
      </c>
      <c r="CL252" s="44" t="s">
        <v>37</v>
      </c>
      <c r="CN252" s="44" t="s">
        <v>37</v>
      </c>
      <c r="CP252" s="44" t="s">
        <v>37</v>
      </c>
      <c r="CR252" s="44" t="s">
        <v>37</v>
      </c>
      <c r="CT252" s="44" t="s">
        <v>37</v>
      </c>
      <c r="CV252" s="44" t="s">
        <v>37</v>
      </c>
      <c r="CX252" s="44" t="s">
        <v>37</v>
      </c>
      <c r="CZ252" s="44" t="s">
        <v>37</v>
      </c>
      <c r="DB252" s="44" t="s">
        <v>37</v>
      </c>
      <c r="DD252" s="44" t="s">
        <v>37</v>
      </c>
      <c r="DF252" s="44" t="s">
        <v>37</v>
      </c>
      <c r="DH252" s="44" t="s">
        <v>37</v>
      </c>
      <c r="DJ252" s="44" t="s">
        <v>37</v>
      </c>
      <c r="DL252" s="44" t="s">
        <v>37</v>
      </c>
      <c r="DN252" s="44" t="s">
        <v>37</v>
      </c>
      <c r="DP252" s="44" t="s">
        <v>37</v>
      </c>
      <c r="DR252" s="44" t="s">
        <v>37</v>
      </c>
      <c r="DT252" s="44" t="s">
        <v>37</v>
      </c>
      <c r="DV252" s="44" t="s">
        <v>37</v>
      </c>
      <c r="DX252" s="44" t="s">
        <v>37</v>
      </c>
      <c r="DZ252" s="44" t="s">
        <v>37</v>
      </c>
      <c r="EB252" s="44" t="s">
        <v>37</v>
      </c>
      <c r="ED252" s="44" t="s">
        <v>37</v>
      </c>
      <c r="EF252" s="44" t="s">
        <v>37</v>
      </c>
      <c r="EH252" s="44" t="s">
        <v>37</v>
      </c>
      <c r="EJ252" s="44" t="s">
        <v>37</v>
      </c>
      <c r="EL252" s="44" t="s">
        <v>37</v>
      </c>
      <c r="EN252" s="44" t="s">
        <v>37</v>
      </c>
      <c r="EP252" s="44" t="s">
        <v>37</v>
      </c>
      <c r="ER252" s="44" t="s">
        <v>37</v>
      </c>
      <c r="ET252" s="44" t="s">
        <v>37</v>
      </c>
      <c r="EV252" s="44" t="s">
        <v>37</v>
      </c>
      <c r="EX252" s="44" t="s">
        <v>37</v>
      </c>
      <c r="EZ252" s="44" t="s">
        <v>37</v>
      </c>
      <c r="FB252" s="44" t="s">
        <v>37</v>
      </c>
      <c r="FD252" s="44" t="s">
        <v>37</v>
      </c>
      <c r="FF252" s="44" t="s">
        <v>37</v>
      </c>
      <c r="FH252" s="44" t="s">
        <v>37</v>
      </c>
      <c r="FJ252" s="44" t="s">
        <v>37</v>
      </c>
      <c r="FL252" s="44" t="s">
        <v>37</v>
      </c>
      <c r="FN252" s="44" t="s">
        <v>37</v>
      </c>
      <c r="FP252" s="44" t="s">
        <v>37</v>
      </c>
      <c r="FR252" s="44" t="s">
        <v>37</v>
      </c>
      <c r="FT252" s="44" t="s">
        <v>37</v>
      </c>
      <c r="FV252" s="44" t="s">
        <v>37</v>
      </c>
      <c r="FX252" s="44" t="s">
        <v>37</v>
      </c>
      <c r="FZ252" s="44" t="s">
        <v>37</v>
      </c>
      <c r="GB252" s="44" t="s">
        <v>37</v>
      </c>
      <c r="GD252" s="44" t="s">
        <v>37</v>
      </c>
      <c r="GF252" s="44" t="s">
        <v>37</v>
      </c>
      <c r="GH252" s="44" t="s">
        <v>37</v>
      </c>
      <c r="GJ252" s="44" t="s">
        <v>37</v>
      </c>
      <c r="GL252" s="44" t="s">
        <v>37</v>
      </c>
      <c r="GN252" s="44" t="s">
        <v>37</v>
      </c>
      <c r="GP252" s="44" t="s">
        <v>37</v>
      </c>
      <c r="GR252" s="44" t="s">
        <v>37</v>
      </c>
      <c r="GT252" s="44" t="s">
        <v>37</v>
      </c>
      <c r="GV252" s="44" t="s">
        <v>37</v>
      </c>
      <c r="GX252" s="44" t="s">
        <v>37</v>
      </c>
      <c r="GZ252" s="44" t="s">
        <v>37</v>
      </c>
      <c r="HB252" s="44" t="s">
        <v>37</v>
      </c>
      <c r="HD252" s="44" t="s">
        <v>37</v>
      </c>
      <c r="HE252" s="44">
        <v>26304</v>
      </c>
      <c r="HF252" s="44" t="s">
        <v>37</v>
      </c>
      <c r="HH252" s="44" t="s">
        <v>37</v>
      </c>
      <c r="HI252" s="44">
        <v>26304</v>
      </c>
      <c r="HJ252" s="44" t="s">
        <v>37</v>
      </c>
      <c r="HK252" s="44">
        <v>26304</v>
      </c>
      <c r="HL252" s="44" t="s">
        <v>37</v>
      </c>
    </row>
    <row r="253" spans="1:220">
      <c r="A253" s="150" t="s">
        <v>408</v>
      </c>
      <c r="B253" s="54">
        <v>4500</v>
      </c>
      <c r="C253" s="44" t="s">
        <v>260</v>
      </c>
      <c r="D253" s="44" t="s">
        <v>37</v>
      </c>
      <c r="F253" s="44" t="s">
        <v>37</v>
      </c>
      <c r="H253" s="44" t="s">
        <v>37</v>
      </c>
      <c r="J253" s="44" t="s">
        <v>37</v>
      </c>
      <c r="L253" s="48" t="s">
        <v>37</v>
      </c>
      <c r="M253" s="50"/>
      <c r="N253" s="48" t="s">
        <v>37</v>
      </c>
      <c r="O253" s="50"/>
      <c r="P253" s="48" t="s">
        <v>37</v>
      </c>
      <c r="Q253" s="50"/>
      <c r="R253" s="48" t="s">
        <v>37</v>
      </c>
      <c r="S253" s="50"/>
      <c r="T253" s="48" t="s">
        <v>37</v>
      </c>
      <c r="V253" s="44" t="s">
        <v>37</v>
      </c>
      <c r="X253" s="44" t="s">
        <v>37</v>
      </c>
      <c r="Z253" s="44" t="s">
        <v>37</v>
      </c>
      <c r="AB253" s="44" t="s">
        <v>37</v>
      </c>
      <c r="AD253" s="44" t="s">
        <v>37</v>
      </c>
      <c r="AF253" s="44" t="s">
        <v>37</v>
      </c>
      <c r="AH253" s="44" t="s">
        <v>37</v>
      </c>
      <c r="AJ253" s="44" t="s">
        <v>37</v>
      </c>
      <c r="AL253" s="44" t="s">
        <v>37</v>
      </c>
      <c r="AN253" s="44" t="s">
        <v>37</v>
      </c>
      <c r="AP253" s="44" t="s">
        <v>37</v>
      </c>
      <c r="AR253" s="44" t="s">
        <v>37</v>
      </c>
      <c r="AT253" s="44" t="s">
        <v>37</v>
      </c>
      <c r="AV253" s="44" t="s">
        <v>37</v>
      </c>
      <c r="AX253" s="44" t="s">
        <v>37</v>
      </c>
      <c r="AZ253" s="44" t="s">
        <v>37</v>
      </c>
      <c r="BB253" s="44" t="s">
        <v>37</v>
      </c>
      <c r="BD253" s="44" t="s">
        <v>37</v>
      </c>
      <c r="BF253" s="44" t="s">
        <v>37</v>
      </c>
      <c r="BH253" s="44" t="s">
        <v>37</v>
      </c>
      <c r="BJ253" s="44" t="s">
        <v>37</v>
      </c>
      <c r="BL253" s="44" t="s">
        <v>37</v>
      </c>
      <c r="BN253" s="44" t="s">
        <v>37</v>
      </c>
      <c r="BP253" s="44" t="s">
        <v>37</v>
      </c>
      <c r="BR253" s="44" t="s">
        <v>37</v>
      </c>
      <c r="BT253" s="44" t="s">
        <v>37</v>
      </c>
      <c r="BV253" s="44" t="s">
        <v>37</v>
      </c>
      <c r="BX253" s="44" t="s">
        <v>37</v>
      </c>
      <c r="BZ253" s="44" t="s">
        <v>37</v>
      </c>
      <c r="CB253" s="44" t="s">
        <v>37</v>
      </c>
      <c r="CD253" s="44" t="s">
        <v>37</v>
      </c>
      <c r="CF253" s="44" t="s">
        <v>37</v>
      </c>
      <c r="CH253" s="44" t="s">
        <v>37</v>
      </c>
      <c r="CJ253" s="44" t="s">
        <v>37</v>
      </c>
      <c r="CL253" s="44" t="s">
        <v>37</v>
      </c>
      <c r="CN253" s="44" t="s">
        <v>37</v>
      </c>
      <c r="CP253" s="44" t="s">
        <v>37</v>
      </c>
      <c r="CR253" s="44" t="s">
        <v>37</v>
      </c>
      <c r="CT253" s="44" t="s">
        <v>37</v>
      </c>
      <c r="CV253" s="44" t="s">
        <v>37</v>
      </c>
      <c r="CX253" s="44" t="s">
        <v>37</v>
      </c>
      <c r="CZ253" s="44" t="s">
        <v>37</v>
      </c>
      <c r="DB253" s="44" t="s">
        <v>37</v>
      </c>
      <c r="DD253" s="44" t="s">
        <v>37</v>
      </c>
      <c r="DF253" s="44" t="s">
        <v>37</v>
      </c>
      <c r="DH253" s="44" t="s">
        <v>37</v>
      </c>
      <c r="DJ253" s="44" t="s">
        <v>37</v>
      </c>
      <c r="DL253" s="44" t="s">
        <v>37</v>
      </c>
      <c r="DN253" s="44" t="s">
        <v>37</v>
      </c>
      <c r="DP253" s="44" t="s">
        <v>37</v>
      </c>
      <c r="DR253" s="44" t="s">
        <v>37</v>
      </c>
      <c r="DT253" s="44" t="s">
        <v>37</v>
      </c>
      <c r="DV253" s="44" t="s">
        <v>37</v>
      </c>
      <c r="DX253" s="44" t="s">
        <v>37</v>
      </c>
      <c r="DZ253" s="44" t="s">
        <v>37</v>
      </c>
      <c r="EB253" s="44" t="s">
        <v>37</v>
      </c>
      <c r="ED253" s="44" t="s">
        <v>37</v>
      </c>
      <c r="EF253" s="44" t="s">
        <v>37</v>
      </c>
      <c r="EH253" s="44" t="s">
        <v>37</v>
      </c>
      <c r="EJ253" s="44" t="s">
        <v>37</v>
      </c>
      <c r="EL253" s="44" t="s">
        <v>37</v>
      </c>
      <c r="EN253" s="44" t="s">
        <v>37</v>
      </c>
      <c r="EP253" s="44" t="s">
        <v>37</v>
      </c>
      <c r="ER253" s="44" t="s">
        <v>37</v>
      </c>
      <c r="ET253" s="44" t="s">
        <v>37</v>
      </c>
      <c r="EV253" s="44" t="s">
        <v>37</v>
      </c>
      <c r="EX253" s="44" t="s">
        <v>37</v>
      </c>
      <c r="EZ253" s="44" t="s">
        <v>37</v>
      </c>
      <c r="FB253" s="44" t="s">
        <v>37</v>
      </c>
      <c r="FD253" s="44" t="s">
        <v>37</v>
      </c>
      <c r="FF253" s="44" t="s">
        <v>37</v>
      </c>
      <c r="FH253" s="44" t="s">
        <v>37</v>
      </c>
      <c r="FJ253" s="44" t="s">
        <v>37</v>
      </c>
      <c r="FL253" s="44" t="s">
        <v>37</v>
      </c>
      <c r="FN253" s="44" t="s">
        <v>37</v>
      </c>
      <c r="FP253" s="44" t="s">
        <v>37</v>
      </c>
      <c r="FR253" s="44" t="s">
        <v>37</v>
      </c>
      <c r="FT253" s="44" t="s">
        <v>37</v>
      </c>
      <c r="FV253" s="44" t="s">
        <v>37</v>
      </c>
      <c r="FX253" s="44" t="s">
        <v>37</v>
      </c>
      <c r="FZ253" s="44" t="s">
        <v>37</v>
      </c>
      <c r="GB253" s="44" t="s">
        <v>37</v>
      </c>
      <c r="GD253" s="44" t="s">
        <v>37</v>
      </c>
      <c r="GF253" s="44" t="s">
        <v>37</v>
      </c>
      <c r="GH253" s="44" t="s">
        <v>37</v>
      </c>
      <c r="GJ253" s="44" t="s">
        <v>37</v>
      </c>
      <c r="GL253" s="44" t="s">
        <v>37</v>
      </c>
      <c r="GN253" s="44" t="s">
        <v>37</v>
      </c>
      <c r="GP253" s="44" t="s">
        <v>37</v>
      </c>
      <c r="GR253" s="44" t="s">
        <v>37</v>
      </c>
      <c r="GT253" s="44" t="s">
        <v>37</v>
      </c>
      <c r="GV253" s="44" t="s">
        <v>37</v>
      </c>
      <c r="GX253" s="44" t="s">
        <v>37</v>
      </c>
      <c r="GZ253" s="44" t="s">
        <v>37</v>
      </c>
      <c r="HB253" s="44" t="s">
        <v>37</v>
      </c>
      <c r="HD253" s="44" t="s">
        <v>37</v>
      </c>
      <c r="HF253" s="44" t="s">
        <v>37</v>
      </c>
      <c r="HH253" s="44" t="s">
        <v>37</v>
      </c>
      <c r="HJ253" s="44" t="s">
        <v>37</v>
      </c>
      <c r="HL253" s="44" t="s">
        <v>37</v>
      </c>
    </row>
    <row r="254" spans="1:220">
      <c r="A254" s="150" t="s">
        <v>412</v>
      </c>
      <c r="B254" s="44">
        <v>4500</v>
      </c>
      <c r="C254" s="44" t="s">
        <v>261</v>
      </c>
      <c r="D254" s="44" t="s">
        <v>37</v>
      </c>
      <c r="F254" s="44" t="s">
        <v>37</v>
      </c>
      <c r="H254" s="44" t="s">
        <v>37</v>
      </c>
      <c r="J254" s="44" t="s">
        <v>37</v>
      </c>
      <c r="L254" s="48" t="s">
        <v>37</v>
      </c>
      <c r="M254" s="50"/>
      <c r="N254" s="48" t="s">
        <v>37</v>
      </c>
      <c r="O254" s="50"/>
      <c r="P254" s="48" t="s">
        <v>37</v>
      </c>
      <c r="Q254" s="50"/>
      <c r="R254" s="48" t="s">
        <v>37</v>
      </c>
      <c r="S254" s="50"/>
      <c r="T254" s="48" t="s">
        <v>37</v>
      </c>
      <c r="V254" s="44" t="s">
        <v>37</v>
      </c>
      <c r="X254" s="44" t="s">
        <v>37</v>
      </c>
      <c r="Z254" s="44" t="s">
        <v>37</v>
      </c>
      <c r="AB254" s="44" t="s">
        <v>37</v>
      </c>
      <c r="AD254" s="44" t="s">
        <v>37</v>
      </c>
      <c r="AF254" s="44" t="s">
        <v>37</v>
      </c>
      <c r="AH254" s="44" t="s">
        <v>37</v>
      </c>
      <c r="AJ254" s="44" t="s">
        <v>37</v>
      </c>
      <c r="AL254" s="44" t="s">
        <v>37</v>
      </c>
      <c r="AN254" s="44" t="s">
        <v>37</v>
      </c>
      <c r="AP254" s="44" t="s">
        <v>37</v>
      </c>
      <c r="AR254" s="44" t="s">
        <v>37</v>
      </c>
      <c r="AT254" s="44" t="s">
        <v>37</v>
      </c>
      <c r="AV254" s="44" t="s">
        <v>37</v>
      </c>
      <c r="AX254" s="44" t="s">
        <v>37</v>
      </c>
      <c r="AZ254" s="44" t="s">
        <v>37</v>
      </c>
      <c r="BB254" s="44" t="s">
        <v>37</v>
      </c>
      <c r="BD254" s="44" t="s">
        <v>37</v>
      </c>
      <c r="BF254" s="44" t="s">
        <v>37</v>
      </c>
      <c r="BH254" s="44" t="s">
        <v>37</v>
      </c>
      <c r="BJ254" s="44" t="s">
        <v>37</v>
      </c>
      <c r="BL254" s="44" t="s">
        <v>37</v>
      </c>
      <c r="BN254" s="44" t="s">
        <v>37</v>
      </c>
      <c r="BP254" s="44" t="s">
        <v>37</v>
      </c>
      <c r="BR254" s="44" t="s">
        <v>37</v>
      </c>
      <c r="BT254" s="44" t="s">
        <v>37</v>
      </c>
      <c r="BV254" s="44" t="s">
        <v>37</v>
      </c>
      <c r="BX254" s="44" t="s">
        <v>37</v>
      </c>
      <c r="BZ254" s="44" t="s">
        <v>37</v>
      </c>
      <c r="CB254" s="44" t="s">
        <v>37</v>
      </c>
      <c r="CD254" s="44" t="s">
        <v>37</v>
      </c>
      <c r="CF254" s="44" t="s">
        <v>37</v>
      </c>
      <c r="CH254" s="44" t="s">
        <v>37</v>
      </c>
      <c r="CJ254" s="44" t="s">
        <v>37</v>
      </c>
      <c r="CL254" s="44" t="s">
        <v>37</v>
      </c>
      <c r="CN254" s="44" t="s">
        <v>37</v>
      </c>
      <c r="CP254" s="44" t="s">
        <v>37</v>
      </c>
      <c r="CR254" s="44" t="s">
        <v>37</v>
      </c>
      <c r="CT254" s="44" t="s">
        <v>37</v>
      </c>
      <c r="CV254" s="44" t="s">
        <v>37</v>
      </c>
      <c r="CX254" s="44" t="s">
        <v>37</v>
      </c>
      <c r="CZ254" s="44" t="s">
        <v>37</v>
      </c>
      <c r="DB254" s="44" t="s">
        <v>37</v>
      </c>
      <c r="DD254" s="44" t="s">
        <v>37</v>
      </c>
      <c r="DF254" s="44" t="s">
        <v>37</v>
      </c>
      <c r="DH254" s="44" t="s">
        <v>37</v>
      </c>
      <c r="DJ254" s="44" t="s">
        <v>37</v>
      </c>
      <c r="DL254" s="44" t="s">
        <v>37</v>
      </c>
      <c r="DN254" s="44" t="s">
        <v>37</v>
      </c>
      <c r="DP254" s="44" t="s">
        <v>37</v>
      </c>
      <c r="DR254" s="44" t="s">
        <v>37</v>
      </c>
      <c r="DT254" s="44" t="s">
        <v>37</v>
      </c>
      <c r="DV254" s="44" t="s">
        <v>37</v>
      </c>
      <c r="DX254" s="44" t="s">
        <v>37</v>
      </c>
      <c r="DZ254" s="44" t="s">
        <v>37</v>
      </c>
      <c r="EB254" s="44" t="s">
        <v>37</v>
      </c>
      <c r="ED254" s="44" t="s">
        <v>37</v>
      </c>
      <c r="EF254" s="44" t="s">
        <v>37</v>
      </c>
      <c r="EH254" s="44" t="s">
        <v>37</v>
      </c>
      <c r="EJ254" s="44" t="s">
        <v>37</v>
      </c>
      <c r="EL254" s="44" t="s">
        <v>37</v>
      </c>
      <c r="EN254" s="44" t="s">
        <v>37</v>
      </c>
      <c r="EP254" s="44" t="s">
        <v>37</v>
      </c>
      <c r="ER254" s="44" t="s">
        <v>37</v>
      </c>
      <c r="ET254" s="44" t="s">
        <v>37</v>
      </c>
      <c r="EV254" s="44" t="s">
        <v>37</v>
      </c>
      <c r="EX254" s="44" t="s">
        <v>37</v>
      </c>
      <c r="EZ254" s="44" t="s">
        <v>37</v>
      </c>
      <c r="FB254" s="44" t="s">
        <v>37</v>
      </c>
      <c r="FD254" s="44" t="s">
        <v>37</v>
      </c>
      <c r="FF254" s="44" t="s">
        <v>37</v>
      </c>
      <c r="FH254" s="44" t="s">
        <v>37</v>
      </c>
      <c r="FJ254" s="44" t="s">
        <v>37</v>
      </c>
      <c r="FL254" s="44" t="s">
        <v>37</v>
      </c>
      <c r="FN254" s="44" t="s">
        <v>37</v>
      </c>
      <c r="FP254" s="44" t="s">
        <v>37</v>
      </c>
      <c r="FR254" s="44" t="s">
        <v>37</v>
      </c>
      <c r="FT254" s="44" t="s">
        <v>37</v>
      </c>
      <c r="FV254" s="44" t="s">
        <v>37</v>
      </c>
      <c r="FX254" s="44" t="s">
        <v>37</v>
      </c>
      <c r="FZ254" s="44" t="s">
        <v>37</v>
      </c>
      <c r="GB254" s="44" t="s">
        <v>37</v>
      </c>
      <c r="GD254" s="44" t="s">
        <v>37</v>
      </c>
      <c r="GF254" s="44" t="s">
        <v>37</v>
      </c>
      <c r="GH254" s="44" t="s">
        <v>37</v>
      </c>
      <c r="GJ254" s="44" t="s">
        <v>37</v>
      </c>
      <c r="GL254" s="44" t="s">
        <v>37</v>
      </c>
      <c r="GN254" s="44" t="s">
        <v>37</v>
      </c>
      <c r="GP254" s="44" t="s">
        <v>37</v>
      </c>
      <c r="GR254" s="44" t="s">
        <v>37</v>
      </c>
      <c r="GT254" s="44" t="s">
        <v>37</v>
      </c>
      <c r="GV254" s="44" t="s">
        <v>37</v>
      </c>
      <c r="GX254" s="44" t="s">
        <v>37</v>
      </c>
      <c r="GZ254" s="44" t="s">
        <v>37</v>
      </c>
      <c r="HB254" s="44" t="s">
        <v>37</v>
      </c>
      <c r="HD254" s="44" t="s">
        <v>37</v>
      </c>
      <c r="HF254" s="44" t="s">
        <v>37</v>
      </c>
      <c r="HH254" s="44" t="s">
        <v>37</v>
      </c>
      <c r="HJ254" s="44" t="s">
        <v>37</v>
      </c>
      <c r="HL254" s="44" t="s">
        <v>37</v>
      </c>
    </row>
    <row r="255" spans="1:220">
      <c r="A255" s="150" t="s">
        <v>412</v>
      </c>
      <c r="B255" s="44">
        <v>4510</v>
      </c>
      <c r="C255" s="44" t="s">
        <v>262</v>
      </c>
      <c r="D255" s="44" t="s">
        <v>37</v>
      </c>
      <c r="E255" s="44">
        <v>924492</v>
      </c>
      <c r="F255" s="44" t="s">
        <v>37</v>
      </c>
      <c r="G255" s="44">
        <v>6426686</v>
      </c>
      <c r="H255" s="44" t="s">
        <v>37</v>
      </c>
      <c r="I255" s="44">
        <v>365953</v>
      </c>
      <c r="J255" s="44" t="s">
        <v>37</v>
      </c>
      <c r="L255" s="48" t="s">
        <v>37</v>
      </c>
      <c r="M255" s="51">
        <v>1641725</v>
      </c>
      <c r="N255" s="48" t="s">
        <v>37</v>
      </c>
      <c r="O255" s="51">
        <v>877953</v>
      </c>
      <c r="P255" s="48" t="s">
        <v>37</v>
      </c>
      <c r="Q255" s="51">
        <v>638760</v>
      </c>
      <c r="R255" s="48" t="s">
        <v>37</v>
      </c>
      <c r="S255" s="51">
        <v>679168</v>
      </c>
      <c r="T255" s="48" t="s">
        <v>37</v>
      </c>
      <c r="U255" s="44">
        <v>3050265</v>
      </c>
      <c r="V255" s="44" t="s">
        <v>37</v>
      </c>
      <c r="X255" s="44" t="s">
        <v>37</v>
      </c>
      <c r="Z255" s="44" t="s">
        <v>37</v>
      </c>
      <c r="AA255" s="44">
        <v>409791</v>
      </c>
      <c r="AB255" s="44" t="s">
        <v>37</v>
      </c>
      <c r="AC255" s="44">
        <v>247597</v>
      </c>
      <c r="AD255" s="44" t="s">
        <v>37</v>
      </c>
      <c r="AE255" s="44">
        <v>327470</v>
      </c>
      <c r="AF255" s="44" t="s">
        <v>37</v>
      </c>
      <c r="AG255" s="44">
        <v>265301</v>
      </c>
      <c r="AH255" s="44" t="s">
        <v>37</v>
      </c>
      <c r="AI255" s="44">
        <v>593997</v>
      </c>
      <c r="AJ255" s="44" t="s">
        <v>37</v>
      </c>
      <c r="AL255" s="44" t="s">
        <v>37</v>
      </c>
      <c r="AM255" s="44">
        <v>4682256</v>
      </c>
      <c r="AN255" s="44" t="s">
        <v>37</v>
      </c>
      <c r="AP255" s="44" t="s">
        <v>37</v>
      </c>
      <c r="AQ255" s="44">
        <v>5476511</v>
      </c>
      <c r="AR255" s="44" t="s">
        <v>37</v>
      </c>
      <c r="AS255" s="44">
        <v>578918</v>
      </c>
      <c r="AT255" s="44" t="s">
        <v>37</v>
      </c>
      <c r="AU255" s="44">
        <v>12069416</v>
      </c>
      <c r="AV255" s="44" t="s">
        <v>37</v>
      </c>
      <c r="AW255" s="44">
        <v>2318052</v>
      </c>
      <c r="AX255" s="44" t="s">
        <v>37</v>
      </c>
      <c r="AY255" s="44">
        <v>1663745</v>
      </c>
      <c r="AZ255" s="44" t="s">
        <v>37</v>
      </c>
      <c r="BA255" s="44">
        <v>1725529</v>
      </c>
      <c r="BB255" s="44" t="s">
        <v>37</v>
      </c>
      <c r="BC255" s="44">
        <v>324964</v>
      </c>
      <c r="BD255" s="44" t="s">
        <v>37</v>
      </c>
      <c r="BE255" s="44">
        <v>964538</v>
      </c>
      <c r="BF255" s="44" t="s">
        <v>37</v>
      </c>
      <c r="BG255" s="44">
        <v>282677</v>
      </c>
      <c r="BH255" s="44" t="s">
        <v>37</v>
      </c>
      <c r="BJ255" s="44" t="s">
        <v>37</v>
      </c>
      <c r="BK255" s="44">
        <v>1527923</v>
      </c>
      <c r="BL255" s="44" t="s">
        <v>37</v>
      </c>
      <c r="BM255" s="44">
        <v>3089639</v>
      </c>
      <c r="BN255" s="44" t="s">
        <v>37</v>
      </c>
      <c r="BP255" s="44" t="s">
        <v>37</v>
      </c>
      <c r="BQ255" s="44">
        <v>176356</v>
      </c>
      <c r="BR255" s="44" t="s">
        <v>37</v>
      </c>
      <c r="BS255" s="44">
        <v>813231</v>
      </c>
      <c r="BT255" s="44" t="s">
        <v>37</v>
      </c>
      <c r="BU255" s="44">
        <v>330687</v>
      </c>
      <c r="BV255" s="44" t="s">
        <v>37</v>
      </c>
      <c r="BX255" s="44" t="s">
        <v>37</v>
      </c>
      <c r="BY255" s="44">
        <v>3231590</v>
      </c>
      <c r="BZ255" s="44" t="s">
        <v>37</v>
      </c>
      <c r="CA255" s="44">
        <v>462448</v>
      </c>
      <c r="CB255" s="44" t="s">
        <v>37</v>
      </c>
      <c r="CD255" s="44" t="s">
        <v>37</v>
      </c>
      <c r="CE255" s="44">
        <v>1092435</v>
      </c>
      <c r="CF255" s="44" t="s">
        <v>37</v>
      </c>
      <c r="CG255" s="44">
        <v>1074572</v>
      </c>
      <c r="CH255" s="44" t="s">
        <v>37</v>
      </c>
      <c r="CI255" s="44">
        <v>4025470</v>
      </c>
      <c r="CJ255" s="44" t="s">
        <v>37</v>
      </c>
      <c r="CK255" s="44">
        <v>305086</v>
      </c>
      <c r="CL255" s="44" t="s">
        <v>37</v>
      </c>
      <c r="CM255" s="44">
        <v>1002272</v>
      </c>
      <c r="CN255" s="44" t="s">
        <v>37</v>
      </c>
      <c r="CO255" s="44">
        <v>238913</v>
      </c>
      <c r="CP255" s="44" t="s">
        <v>37</v>
      </c>
      <c r="CQ255" s="44">
        <v>406360</v>
      </c>
      <c r="CR255" s="44" t="s">
        <v>37</v>
      </c>
      <c r="CS255" s="44">
        <v>2910638</v>
      </c>
      <c r="CT255" s="44" t="s">
        <v>37</v>
      </c>
      <c r="CU255" s="44">
        <v>15818021</v>
      </c>
      <c r="CV255" s="44" t="s">
        <v>37</v>
      </c>
      <c r="CW255" s="44">
        <v>2206199</v>
      </c>
      <c r="CX255" s="44" t="s">
        <v>37</v>
      </c>
      <c r="CY255" s="44">
        <v>294785</v>
      </c>
      <c r="CZ255" s="44" t="s">
        <v>37</v>
      </c>
      <c r="DA255" s="44">
        <v>410797</v>
      </c>
      <c r="DB255" s="44" t="s">
        <v>37</v>
      </c>
      <c r="DD255" s="44" t="s">
        <v>37</v>
      </c>
      <c r="DE255" s="44">
        <v>623806</v>
      </c>
      <c r="DF255" s="44" t="s">
        <v>37</v>
      </c>
      <c r="DG255" s="44">
        <v>351803</v>
      </c>
      <c r="DH255" s="44" t="s">
        <v>37</v>
      </c>
      <c r="DI255" s="44">
        <v>8745318</v>
      </c>
      <c r="DJ255" s="44" t="s">
        <v>37</v>
      </c>
      <c r="DK255" s="44">
        <v>814844</v>
      </c>
      <c r="DL255" s="44" t="s">
        <v>37</v>
      </c>
      <c r="DM255" s="44">
        <v>2398087</v>
      </c>
      <c r="DN255" s="44" t="s">
        <v>37</v>
      </c>
      <c r="DO255" s="44">
        <v>2315458</v>
      </c>
      <c r="DP255" s="44" t="s">
        <v>37</v>
      </c>
      <c r="DQ255" s="44">
        <v>1365097</v>
      </c>
      <c r="DR255" s="44" t="s">
        <v>37</v>
      </c>
      <c r="DS255" s="44">
        <v>894612</v>
      </c>
      <c r="DT255" s="44" t="s">
        <v>37</v>
      </c>
      <c r="DU255" s="44">
        <v>715015</v>
      </c>
      <c r="DV255" s="44" t="s">
        <v>37</v>
      </c>
      <c r="DW255" s="44">
        <v>4195793</v>
      </c>
      <c r="DX255" s="44" t="s">
        <v>37</v>
      </c>
      <c r="DY255" s="44">
        <v>2172747</v>
      </c>
      <c r="DZ255" s="44" t="s">
        <v>37</v>
      </c>
      <c r="EA255" s="44">
        <v>515371</v>
      </c>
      <c r="EB255" s="44" t="s">
        <v>37</v>
      </c>
      <c r="EC255" s="44">
        <v>860216</v>
      </c>
      <c r="ED255" s="44" t="s">
        <v>37</v>
      </c>
      <c r="EE255" s="44">
        <v>2975537</v>
      </c>
      <c r="EF255" s="44" t="s">
        <v>37</v>
      </c>
      <c r="EG255" s="44">
        <v>251253</v>
      </c>
      <c r="EH255" s="44" t="s">
        <v>37</v>
      </c>
      <c r="EJ255" s="44" t="s">
        <v>37</v>
      </c>
      <c r="EK255" s="44">
        <v>843583</v>
      </c>
      <c r="EL255" s="44" t="s">
        <v>37</v>
      </c>
      <c r="EM255" s="44">
        <v>547742</v>
      </c>
      <c r="EN255" s="44" t="s">
        <v>37</v>
      </c>
      <c r="EO255" s="44">
        <v>254075</v>
      </c>
      <c r="EP255" s="44" t="s">
        <v>37</v>
      </c>
      <c r="ER255" s="44" t="s">
        <v>37</v>
      </c>
      <c r="ES255" s="44">
        <v>1440073</v>
      </c>
      <c r="ET255" s="44" t="s">
        <v>37</v>
      </c>
      <c r="EU255" s="44">
        <v>1640306</v>
      </c>
      <c r="EV255" s="44" t="s">
        <v>37</v>
      </c>
      <c r="EW255" s="44">
        <v>2758223</v>
      </c>
      <c r="EX255" s="44" t="s">
        <v>37</v>
      </c>
      <c r="EZ255" s="44" t="s">
        <v>37</v>
      </c>
      <c r="FA255" s="44">
        <v>1109358</v>
      </c>
      <c r="FB255" s="44" t="s">
        <v>37</v>
      </c>
      <c r="FC255" s="44">
        <v>1015309</v>
      </c>
      <c r="FD255" s="44" t="s">
        <v>37</v>
      </c>
      <c r="FE255" s="44">
        <v>2017587</v>
      </c>
      <c r="FF255" s="44" t="s">
        <v>37</v>
      </c>
      <c r="FH255" s="44" t="s">
        <v>37</v>
      </c>
      <c r="FI255" s="44">
        <v>3694865</v>
      </c>
      <c r="FJ255" s="44" t="s">
        <v>37</v>
      </c>
      <c r="FK255" s="44">
        <v>6933056</v>
      </c>
      <c r="FL255" s="44" t="s">
        <v>37</v>
      </c>
      <c r="FM255" s="44">
        <v>3914728</v>
      </c>
      <c r="FN255" s="44" t="s">
        <v>37</v>
      </c>
      <c r="FO255" s="44">
        <v>590168</v>
      </c>
      <c r="FP255" s="44" t="s">
        <v>37</v>
      </c>
      <c r="FQ255" s="44">
        <v>1051506</v>
      </c>
      <c r="FR255" s="44" t="s">
        <v>37</v>
      </c>
      <c r="FS255" s="44">
        <v>2080885</v>
      </c>
      <c r="FT255" s="44" t="s">
        <v>37</v>
      </c>
      <c r="FU255" s="44">
        <v>632655</v>
      </c>
      <c r="FV255" s="44" t="s">
        <v>37</v>
      </c>
      <c r="FW255" s="44">
        <v>604746</v>
      </c>
      <c r="FX255" s="44" t="s">
        <v>37</v>
      </c>
      <c r="FY255" s="44">
        <v>1321824</v>
      </c>
      <c r="FZ255" s="44" t="s">
        <v>37</v>
      </c>
      <c r="GA255" s="44">
        <v>2019886</v>
      </c>
      <c r="GB255" s="44" t="s">
        <v>37</v>
      </c>
      <c r="GC255" s="44">
        <v>2550521</v>
      </c>
      <c r="GD255" s="44" t="s">
        <v>37</v>
      </c>
      <c r="GF255" s="44" t="s">
        <v>37</v>
      </c>
      <c r="GH255" s="44" t="s">
        <v>37</v>
      </c>
      <c r="GJ255" s="44" t="s">
        <v>37</v>
      </c>
      <c r="GK255" s="44">
        <v>2542739</v>
      </c>
      <c r="GL255" s="44" t="s">
        <v>37</v>
      </c>
      <c r="GM255" s="44">
        <v>2697264</v>
      </c>
      <c r="GN255" s="44" t="s">
        <v>37</v>
      </c>
      <c r="GP255" s="44" t="s">
        <v>37</v>
      </c>
      <c r="GQ255" s="44">
        <v>1042735</v>
      </c>
      <c r="GR255" s="44" t="s">
        <v>37</v>
      </c>
      <c r="GS255" s="44">
        <v>1908654</v>
      </c>
      <c r="GT255" s="44" t="s">
        <v>37</v>
      </c>
      <c r="GU255" s="44">
        <v>1082705</v>
      </c>
      <c r="GV255" s="44" t="s">
        <v>37</v>
      </c>
      <c r="GW255" s="44">
        <v>965380</v>
      </c>
      <c r="GX255" s="44" t="s">
        <v>37</v>
      </c>
      <c r="GY255" s="44">
        <v>3426320</v>
      </c>
      <c r="GZ255" s="44" t="s">
        <v>37</v>
      </c>
      <c r="HA255" s="44">
        <v>1182179</v>
      </c>
      <c r="HB255" s="44" t="s">
        <v>37</v>
      </c>
      <c r="HC255" s="44">
        <v>446328</v>
      </c>
      <c r="HD255" s="44" t="s">
        <v>37</v>
      </c>
      <c r="HE255" s="44">
        <v>147339</v>
      </c>
      <c r="HF255" s="44" t="s">
        <v>37</v>
      </c>
      <c r="HG255" s="44">
        <v>167017215</v>
      </c>
      <c r="HH255" s="44" t="s">
        <v>37</v>
      </c>
      <c r="HI255" s="44">
        <v>593667</v>
      </c>
      <c r="HJ255" s="44" t="s">
        <v>37</v>
      </c>
      <c r="HK255" s="44">
        <v>167610882</v>
      </c>
      <c r="HL255" s="44" t="s">
        <v>37</v>
      </c>
    </row>
    <row r="256" spans="1:220">
      <c r="A256" s="150" t="s">
        <v>412</v>
      </c>
      <c r="B256" s="135">
        <v>4520</v>
      </c>
      <c r="C256" s="44" t="s">
        <v>687</v>
      </c>
      <c r="D256" s="44" t="s">
        <v>37</v>
      </c>
      <c r="E256" s="44">
        <v>62401</v>
      </c>
      <c r="F256" s="44" t="s">
        <v>37</v>
      </c>
      <c r="G256" s="44">
        <v>206055</v>
      </c>
      <c r="H256" s="44" t="s">
        <v>37</v>
      </c>
      <c r="I256" s="44">
        <v>18079</v>
      </c>
      <c r="J256" s="44" t="s">
        <v>37</v>
      </c>
      <c r="L256" s="48" t="s">
        <v>37</v>
      </c>
      <c r="M256" s="51">
        <v>79406</v>
      </c>
      <c r="N256" s="48" t="s">
        <v>37</v>
      </c>
      <c r="O256" s="51">
        <v>58001</v>
      </c>
      <c r="P256" s="48" t="s">
        <v>37</v>
      </c>
      <c r="Q256" s="51">
        <v>61050</v>
      </c>
      <c r="R256" s="48" t="s">
        <v>37</v>
      </c>
      <c r="S256" s="51">
        <v>24181</v>
      </c>
      <c r="T256" s="48" t="s">
        <v>37</v>
      </c>
      <c r="U256" s="44">
        <v>72592</v>
      </c>
      <c r="V256" s="44" t="s">
        <v>37</v>
      </c>
      <c r="X256" s="44" t="s">
        <v>37</v>
      </c>
      <c r="Z256" s="44" t="s">
        <v>37</v>
      </c>
      <c r="AA256" s="44">
        <v>39157</v>
      </c>
      <c r="AB256" s="44" t="s">
        <v>37</v>
      </c>
      <c r="AC256" s="44">
        <v>15225</v>
      </c>
      <c r="AD256" s="44" t="s">
        <v>37</v>
      </c>
      <c r="AE256" s="44">
        <v>23883</v>
      </c>
      <c r="AF256" s="44" t="s">
        <v>37</v>
      </c>
      <c r="AG256" s="44">
        <v>29638</v>
      </c>
      <c r="AH256" s="44" t="s">
        <v>37</v>
      </c>
      <c r="AI256" s="44">
        <v>44165</v>
      </c>
      <c r="AJ256" s="44" t="s">
        <v>37</v>
      </c>
      <c r="AL256" s="44" t="s">
        <v>37</v>
      </c>
      <c r="AM256" s="44">
        <v>168682</v>
      </c>
      <c r="AN256" s="44" t="s">
        <v>37</v>
      </c>
      <c r="AP256" s="44" t="s">
        <v>37</v>
      </c>
      <c r="AQ256" s="44">
        <v>307552</v>
      </c>
      <c r="AR256" s="44" t="s">
        <v>37</v>
      </c>
      <c r="AS256" s="44">
        <v>86336</v>
      </c>
      <c r="AT256" s="44" t="s">
        <v>37</v>
      </c>
      <c r="AU256" s="44">
        <v>379451</v>
      </c>
      <c r="AV256" s="44" t="s">
        <v>37</v>
      </c>
      <c r="AW256" s="44">
        <v>70461</v>
      </c>
      <c r="AX256" s="44" t="s">
        <v>37</v>
      </c>
      <c r="AY256" s="44">
        <v>71779</v>
      </c>
      <c r="AZ256" s="44" t="s">
        <v>37</v>
      </c>
      <c r="BA256" s="44">
        <v>73528</v>
      </c>
      <c r="BB256" s="44" t="s">
        <v>37</v>
      </c>
      <c r="BC256" s="44">
        <v>15348</v>
      </c>
      <c r="BD256" s="44" t="s">
        <v>37</v>
      </c>
      <c r="BE256" s="44">
        <v>75852</v>
      </c>
      <c r="BF256" s="44" t="s">
        <v>37</v>
      </c>
      <c r="BG256" s="44">
        <v>5702</v>
      </c>
      <c r="BH256" s="44" t="s">
        <v>37</v>
      </c>
      <c r="BJ256" s="44" t="s">
        <v>37</v>
      </c>
      <c r="BK256" s="44">
        <v>58523</v>
      </c>
      <c r="BL256" s="44" t="s">
        <v>37</v>
      </c>
      <c r="BM256" s="44">
        <v>121614</v>
      </c>
      <c r="BN256" s="44" t="s">
        <v>37</v>
      </c>
      <c r="BP256" s="44" t="s">
        <v>37</v>
      </c>
      <c r="BQ256" s="44">
        <v>15505</v>
      </c>
      <c r="BR256" s="44" t="s">
        <v>37</v>
      </c>
      <c r="BS256" s="44">
        <v>67387</v>
      </c>
      <c r="BT256" s="44" t="s">
        <v>37</v>
      </c>
      <c r="BU256" s="44">
        <v>22880</v>
      </c>
      <c r="BV256" s="44" t="s">
        <v>37</v>
      </c>
      <c r="BX256" s="44" t="s">
        <v>37</v>
      </c>
      <c r="BY256" s="44">
        <v>112921</v>
      </c>
      <c r="BZ256" s="44" t="s">
        <v>37</v>
      </c>
      <c r="CA256" s="44">
        <v>24082</v>
      </c>
      <c r="CB256" s="44" t="s">
        <v>37</v>
      </c>
      <c r="CD256" s="44" t="s">
        <v>37</v>
      </c>
      <c r="CE256" s="44">
        <v>55125</v>
      </c>
      <c r="CF256" s="44" t="s">
        <v>37</v>
      </c>
      <c r="CG256" s="44">
        <v>88597</v>
      </c>
      <c r="CH256" s="44" t="s">
        <v>37</v>
      </c>
      <c r="CI256" s="44">
        <v>194660</v>
      </c>
      <c r="CJ256" s="44" t="s">
        <v>37</v>
      </c>
      <c r="CK256" s="44">
        <v>14816</v>
      </c>
      <c r="CL256" s="44" t="s">
        <v>37</v>
      </c>
      <c r="CM256" s="44">
        <v>61710</v>
      </c>
      <c r="CN256" s="44" t="s">
        <v>37</v>
      </c>
      <c r="CO256" s="44">
        <v>17957</v>
      </c>
      <c r="CP256" s="44" t="s">
        <v>37</v>
      </c>
      <c r="CQ256" s="44">
        <v>24875</v>
      </c>
      <c r="CR256" s="44" t="s">
        <v>37</v>
      </c>
      <c r="CS256" s="44">
        <v>132439</v>
      </c>
      <c r="CT256" s="44" t="s">
        <v>37</v>
      </c>
      <c r="CU256" s="44">
        <v>506386</v>
      </c>
      <c r="CV256" s="44" t="s">
        <v>37</v>
      </c>
      <c r="CW256" s="44">
        <v>149914</v>
      </c>
      <c r="CX256" s="44" t="s">
        <v>37</v>
      </c>
      <c r="CY256" s="44">
        <v>21207</v>
      </c>
      <c r="CZ256" s="44" t="s">
        <v>37</v>
      </c>
      <c r="DA256" s="44">
        <v>12848</v>
      </c>
      <c r="DB256" s="44" t="s">
        <v>37</v>
      </c>
      <c r="DD256" s="44" t="s">
        <v>37</v>
      </c>
      <c r="DE256" s="44">
        <v>11704</v>
      </c>
      <c r="DF256" s="44" t="s">
        <v>37</v>
      </c>
      <c r="DG256" s="44">
        <v>21386</v>
      </c>
      <c r="DH256" s="44" t="s">
        <v>37</v>
      </c>
      <c r="DI256" s="44">
        <v>205823</v>
      </c>
      <c r="DJ256" s="44" t="s">
        <v>37</v>
      </c>
      <c r="DK256" s="44">
        <v>36746</v>
      </c>
      <c r="DL256" s="44" t="s">
        <v>37</v>
      </c>
      <c r="DM256" s="44">
        <v>99070</v>
      </c>
      <c r="DN256" s="44" t="s">
        <v>37</v>
      </c>
      <c r="DO256" s="44">
        <v>117588</v>
      </c>
      <c r="DP256" s="44" t="s">
        <v>37</v>
      </c>
      <c r="DQ256" s="44">
        <v>116738</v>
      </c>
      <c r="DR256" s="44" t="s">
        <v>37</v>
      </c>
      <c r="DS256" s="44">
        <v>59603</v>
      </c>
      <c r="DT256" s="44" t="s">
        <v>37</v>
      </c>
      <c r="DU256" s="44">
        <v>106369</v>
      </c>
      <c r="DV256" s="44" t="s">
        <v>37</v>
      </c>
      <c r="DW256" s="44">
        <v>220507</v>
      </c>
      <c r="DX256" s="44" t="s">
        <v>37</v>
      </c>
      <c r="DY256" s="44">
        <v>119602</v>
      </c>
      <c r="DZ256" s="44" t="s">
        <v>37</v>
      </c>
      <c r="EA256" s="44">
        <v>39418</v>
      </c>
      <c r="EB256" s="44" t="s">
        <v>37</v>
      </c>
      <c r="EC256" s="44">
        <v>66448</v>
      </c>
      <c r="ED256" s="44" t="s">
        <v>37</v>
      </c>
      <c r="EE256" s="44">
        <v>144348</v>
      </c>
      <c r="EF256" s="44" t="s">
        <v>37</v>
      </c>
      <c r="EG256" s="44">
        <v>11888</v>
      </c>
      <c r="EH256" s="44" t="s">
        <v>37</v>
      </c>
      <c r="EJ256" s="44" t="s">
        <v>37</v>
      </c>
      <c r="EK256" s="44">
        <v>40057</v>
      </c>
      <c r="EL256" s="44" t="s">
        <v>37</v>
      </c>
      <c r="EM256" s="44">
        <v>30420</v>
      </c>
      <c r="EN256" s="44" t="s">
        <v>37</v>
      </c>
      <c r="EO256" s="44">
        <v>14166</v>
      </c>
      <c r="EP256" s="44" t="s">
        <v>37</v>
      </c>
      <c r="ER256" s="44" t="s">
        <v>37</v>
      </c>
      <c r="ES256" s="44">
        <v>39405</v>
      </c>
      <c r="ET256" s="44" t="s">
        <v>37</v>
      </c>
      <c r="EU256" s="44">
        <v>58292</v>
      </c>
      <c r="EV256" s="44" t="s">
        <v>37</v>
      </c>
      <c r="EW256" s="44">
        <v>95325</v>
      </c>
      <c r="EX256" s="44" t="s">
        <v>37</v>
      </c>
      <c r="EZ256" s="44" t="s">
        <v>37</v>
      </c>
      <c r="FA256" s="44">
        <v>101630</v>
      </c>
      <c r="FB256" s="44" t="s">
        <v>37</v>
      </c>
      <c r="FC256" s="44">
        <v>77545</v>
      </c>
      <c r="FD256" s="44" t="s">
        <v>37</v>
      </c>
      <c r="FE256" s="44">
        <v>154078</v>
      </c>
      <c r="FF256" s="44" t="s">
        <v>37</v>
      </c>
      <c r="FH256" s="44" t="s">
        <v>37</v>
      </c>
      <c r="FI256" s="44">
        <v>117212</v>
      </c>
      <c r="FJ256" s="44" t="s">
        <v>37</v>
      </c>
      <c r="FK256" s="44">
        <v>206184</v>
      </c>
      <c r="FL256" s="44" t="s">
        <v>37</v>
      </c>
      <c r="FM256" s="44">
        <v>206151</v>
      </c>
      <c r="FN256" s="44" t="s">
        <v>37</v>
      </c>
      <c r="FO256" s="44">
        <v>75462</v>
      </c>
      <c r="FP256" s="44" t="s">
        <v>37</v>
      </c>
      <c r="FQ256" s="44">
        <v>46603</v>
      </c>
      <c r="FR256" s="44" t="s">
        <v>37</v>
      </c>
      <c r="FS256" s="44">
        <v>83658</v>
      </c>
      <c r="FT256" s="44" t="s">
        <v>37</v>
      </c>
      <c r="FU256" s="44">
        <v>35795</v>
      </c>
      <c r="FV256" s="44" t="s">
        <v>37</v>
      </c>
      <c r="FW256" s="44">
        <v>52467</v>
      </c>
      <c r="FX256" s="44" t="s">
        <v>37</v>
      </c>
      <c r="FY256" s="44">
        <v>73398</v>
      </c>
      <c r="FZ256" s="44" t="s">
        <v>37</v>
      </c>
      <c r="GA256" s="44">
        <v>79875</v>
      </c>
      <c r="GB256" s="44" t="s">
        <v>37</v>
      </c>
      <c r="GC256" s="44">
        <v>113562</v>
      </c>
      <c r="GD256" s="44" t="s">
        <v>37</v>
      </c>
      <c r="GF256" s="44" t="s">
        <v>37</v>
      </c>
      <c r="GH256" s="44" t="s">
        <v>37</v>
      </c>
      <c r="GJ256" s="44" t="s">
        <v>37</v>
      </c>
      <c r="GK256" s="44">
        <v>65053</v>
      </c>
      <c r="GL256" s="44" t="s">
        <v>37</v>
      </c>
      <c r="GM256" s="44">
        <v>99479</v>
      </c>
      <c r="GN256" s="44" t="s">
        <v>37</v>
      </c>
      <c r="GP256" s="44" t="s">
        <v>37</v>
      </c>
      <c r="GQ256" s="44">
        <v>73053</v>
      </c>
      <c r="GR256" s="44" t="s">
        <v>37</v>
      </c>
      <c r="GS256" s="44">
        <v>58479</v>
      </c>
      <c r="GT256" s="44" t="s">
        <v>37</v>
      </c>
      <c r="GU256" s="44">
        <v>62731</v>
      </c>
      <c r="GV256" s="44" t="s">
        <v>37</v>
      </c>
      <c r="GW256" s="44">
        <v>52584</v>
      </c>
      <c r="GX256" s="44" t="s">
        <v>37</v>
      </c>
      <c r="GY256" s="44">
        <v>99662</v>
      </c>
      <c r="GZ256" s="44" t="s">
        <v>37</v>
      </c>
      <c r="HA256" s="44">
        <v>57662</v>
      </c>
      <c r="HB256" s="44" t="s">
        <v>37</v>
      </c>
      <c r="HD256" s="44" t="s">
        <v>37</v>
      </c>
      <c r="HF256" s="44" t="s">
        <v>37</v>
      </c>
      <c r="HG256" s="44">
        <v>7339196</v>
      </c>
      <c r="HH256" s="44" t="s">
        <v>37</v>
      </c>
      <c r="HJ256" s="44" t="s">
        <v>37</v>
      </c>
      <c r="HK256" s="44">
        <v>7339196</v>
      </c>
      <c r="HL256" s="44" t="s">
        <v>37</v>
      </c>
    </row>
    <row r="257" spans="1:220">
      <c r="A257" s="150" t="s">
        <v>408</v>
      </c>
      <c r="B257" s="54">
        <v>4800</v>
      </c>
      <c r="C257" s="44" t="s">
        <v>263</v>
      </c>
      <c r="D257" s="44" t="s">
        <v>37</v>
      </c>
      <c r="F257" s="44" t="s">
        <v>37</v>
      </c>
      <c r="H257" s="44" t="s">
        <v>37</v>
      </c>
      <c r="J257" s="44" t="s">
        <v>37</v>
      </c>
      <c r="L257" s="48" t="s">
        <v>37</v>
      </c>
      <c r="M257" s="50"/>
      <c r="N257" s="48" t="s">
        <v>37</v>
      </c>
      <c r="O257" s="50"/>
      <c r="P257" s="48" t="s">
        <v>37</v>
      </c>
      <c r="Q257" s="50"/>
      <c r="R257" s="48" t="s">
        <v>37</v>
      </c>
      <c r="S257" s="50"/>
      <c r="T257" s="48" t="s">
        <v>37</v>
      </c>
      <c r="V257" s="44" t="s">
        <v>37</v>
      </c>
      <c r="X257" s="44" t="s">
        <v>37</v>
      </c>
      <c r="Z257" s="44" t="s">
        <v>37</v>
      </c>
      <c r="AB257" s="44" t="s">
        <v>37</v>
      </c>
      <c r="AD257" s="44" t="s">
        <v>37</v>
      </c>
      <c r="AF257" s="44" t="s">
        <v>37</v>
      </c>
      <c r="AH257" s="44" t="s">
        <v>37</v>
      </c>
      <c r="AJ257" s="44" t="s">
        <v>37</v>
      </c>
      <c r="AL257" s="44" t="s">
        <v>37</v>
      </c>
      <c r="AN257" s="44" t="s">
        <v>37</v>
      </c>
      <c r="AP257" s="44" t="s">
        <v>37</v>
      </c>
      <c r="AR257" s="44" t="s">
        <v>37</v>
      </c>
      <c r="AT257" s="44" t="s">
        <v>37</v>
      </c>
      <c r="AV257" s="44" t="s">
        <v>37</v>
      </c>
      <c r="AX257" s="44" t="s">
        <v>37</v>
      </c>
      <c r="AZ257" s="44" t="s">
        <v>37</v>
      </c>
      <c r="BB257" s="44" t="s">
        <v>37</v>
      </c>
      <c r="BD257" s="44" t="s">
        <v>37</v>
      </c>
      <c r="BF257" s="44" t="s">
        <v>37</v>
      </c>
      <c r="BH257" s="44" t="s">
        <v>37</v>
      </c>
      <c r="BJ257" s="44" t="s">
        <v>37</v>
      </c>
      <c r="BL257" s="44" t="s">
        <v>37</v>
      </c>
      <c r="BN257" s="44" t="s">
        <v>37</v>
      </c>
      <c r="BP257" s="44" t="s">
        <v>37</v>
      </c>
      <c r="BR257" s="44" t="s">
        <v>37</v>
      </c>
      <c r="BT257" s="44" t="s">
        <v>37</v>
      </c>
      <c r="BV257" s="44" t="s">
        <v>37</v>
      </c>
      <c r="BX257" s="44" t="s">
        <v>37</v>
      </c>
      <c r="BZ257" s="44" t="s">
        <v>37</v>
      </c>
      <c r="CB257" s="44" t="s">
        <v>37</v>
      </c>
      <c r="CD257" s="44" t="s">
        <v>37</v>
      </c>
      <c r="CF257" s="44" t="s">
        <v>37</v>
      </c>
      <c r="CH257" s="44" t="s">
        <v>37</v>
      </c>
      <c r="CJ257" s="44" t="s">
        <v>37</v>
      </c>
      <c r="CL257" s="44" t="s">
        <v>37</v>
      </c>
      <c r="CN257" s="44" t="s">
        <v>37</v>
      </c>
      <c r="CP257" s="44" t="s">
        <v>37</v>
      </c>
      <c r="CR257" s="44" t="s">
        <v>37</v>
      </c>
      <c r="CT257" s="44" t="s">
        <v>37</v>
      </c>
      <c r="CV257" s="44" t="s">
        <v>37</v>
      </c>
      <c r="CX257" s="44" t="s">
        <v>37</v>
      </c>
      <c r="CZ257" s="44" t="s">
        <v>37</v>
      </c>
      <c r="DB257" s="44" t="s">
        <v>37</v>
      </c>
      <c r="DD257" s="44" t="s">
        <v>37</v>
      </c>
      <c r="DF257" s="44" t="s">
        <v>37</v>
      </c>
      <c r="DH257" s="44" t="s">
        <v>37</v>
      </c>
      <c r="DJ257" s="44" t="s">
        <v>37</v>
      </c>
      <c r="DL257" s="44" t="s">
        <v>37</v>
      </c>
      <c r="DN257" s="44" t="s">
        <v>37</v>
      </c>
      <c r="DP257" s="44" t="s">
        <v>37</v>
      </c>
      <c r="DR257" s="44" t="s">
        <v>37</v>
      </c>
      <c r="DT257" s="44" t="s">
        <v>37</v>
      </c>
      <c r="DV257" s="44" t="s">
        <v>37</v>
      </c>
      <c r="DX257" s="44" t="s">
        <v>37</v>
      </c>
      <c r="DZ257" s="44" t="s">
        <v>37</v>
      </c>
      <c r="EB257" s="44" t="s">
        <v>37</v>
      </c>
      <c r="ED257" s="44" t="s">
        <v>37</v>
      </c>
      <c r="EF257" s="44" t="s">
        <v>37</v>
      </c>
      <c r="EH257" s="44" t="s">
        <v>37</v>
      </c>
      <c r="EJ257" s="44" t="s">
        <v>37</v>
      </c>
      <c r="EL257" s="44" t="s">
        <v>37</v>
      </c>
      <c r="EN257" s="44" t="s">
        <v>37</v>
      </c>
      <c r="EP257" s="44" t="s">
        <v>37</v>
      </c>
      <c r="ER257" s="44" t="s">
        <v>37</v>
      </c>
      <c r="ET257" s="44" t="s">
        <v>37</v>
      </c>
      <c r="EV257" s="44" t="s">
        <v>37</v>
      </c>
      <c r="EX257" s="44" t="s">
        <v>37</v>
      </c>
      <c r="EZ257" s="44" t="s">
        <v>37</v>
      </c>
      <c r="FB257" s="44" t="s">
        <v>37</v>
      </c>
      <c r="FD257" s="44" t="s">
        <v>37</v>
      </c>
      <c r="FF257" s="44" t="s">
        <v>37</v>
      </c>
      <c r="FH257" s="44" t="s">
        <v>37</v>
      </c>
      <c r="FJ257" s="44" t="s">
        <v>37</v>
      </c>
      <c r="FL257" s="44" t="s">
        <v>37</v>
      </c>
      <c r="FN257" s="44" t="s">
        <v>37</v>
      </c>
      <c r="FP257" s="44" t="s">
        <v>37</v>
      </c>
      <c r="FR257" s="44" t="s">
        <v>37</v>
      </c>
      <c r="FT257" s="44" t="s">
        <v>37</v>
      </c>
      <c r="FV257" s="44" t="s">
        <v>37</v>
      </c>
      <c r="FX257" s="44" t="s">
        <v>37</v>
      </c>
      <c r="FZ257" s="44" t="s">
        <v>37</v>
      </c>
      <c r="GB257" s="44" t="s">
        <v>37</v>
      </c>
      <c r="GD257" s="44" t="s">
        <v>37</v>
      </c>
      <c r="GF257" s="44" t="s">
        <v>37</v>
      </c>
      <c r="GH257" s="44" t="s">
        <v>37</v>
      </c>
      <c r="GJ257" s="44" t="s">
        <v>37</v>
      </c>
      <c r="GL257" s="44" t="s">
        <v>37</v>
      </c>
      <c r="GN257" s="44" t="s">
        <v>37</v>
      </c>
      <c r="GP257" s="44" t="s">
        <v>37</v>
      </c>
      <c r="GR257" s="44" t="s">
        <v>37</v>
      </c>
      <c r="GT257" s="44" t="s">
        <v>37</v>
      </c>
      <c r="GV257" s="44" t="s">
        <v>37</v>
      </c>
      <c r="GX257" s="44" t="s">
        <v>37</v>
      </c>
      <c r="GZ257" s="44" t="s">
        <v>37</v>
      </c>
      <c r="HB257" s="44" t="s">
        <v>37</v>
      </c>
      <c r="HD257" s="44" t="s">
        <v>37</v>
      </c>
      <c r="HF257" s="44" t="s">
        <v>37</v>
      </c>
      <c r="HH257" s="44" t="s">
        <v>37</v>
      </c>
      <c r="HJ257" s="44" t="s">
        <v>37</v>
      </c>
      <c r="HL257" s="44" t="s">
        <v>37</v>
      </c>
    </row>
    <row r="258" spans="1:220">
      <c r="A258" s="150" t="s">
        <v>412</v>
      </c>
      <c r="B258" s="44">
        <v>4810</v>
      </c>
      <c r="C258" s="44" t="s">
        <v>264</v>
      </c>
      <c r="D258" s="44" t="s">
        <v>37</v>
      </c>
      <c r="E258" s="44">
        <v>831673</v>
      </c>
      <c r="F258" s="44" t="s">
        <v>37</v>
      </c>
      <c r="G258" s="44">
        <v>4472901</v>
      </c>
      <c r="H258" s="44" t="s">
        <v>37</v>
      </c>
      <c r="I258" s="44">
        <v>542136</v>
      </c>
      <c r="J258" s="44" t="s">
        <v>37</v>
      </c>
      <c r="L258" s="48" t="s">
        <v>37</v>
      </c>
      <c r="M258" s="51">
        <v>1113319</v>
      </c>
      <c r="N258" s="48" t="s">
        <v>37</v>
      </c>
      <c r="O258" s="51">
        <v>680156</v>
      </c>
      <c r="P258" s="48" t="s">
        <v>37</v>
      </c>
      <c r="Q258" s="51">
        <v>537684</v>
      </c>
      <c r="R258" s="48" t="s">
        <v>37</v>
      </c>
      <c r="S258" s="51">
        <v>469217</v>
      </c>
      <c r="T258" s="48" t="s">
        <v>37</v>
      </c>
      <c r="U258" s="44">
        <v>2192797</v>
      </c>
      <c r="V258" s="44" t="s">
        <v>37</v>
      </c>
      <c r="X258" s="44" t="s">
        <v>37</v>
      </c>
      <c r="Z258" s="44" t="s">
        <v>37</v>
      </c>
      <c r="AA258" s="44">
        <v>370391</v>
      </c>
      <c r="AB258" s="44" t="s">
        <v>37</v>
      </c>
      <c r="AC258" s="44">
        <v>339111</v>
      </c>
      <c r="AD258" s="44" t="s">
        <v>37</v>
      </c>
      <c r="AE258" s="44">
        <v>283299</v>
      </c>
      <c r="AF258" s="44" t="s">
        <v>37</v>
      </c>
      <c r="AG258" s="44">
        <v>238553</v>
      </c>
      <c r="AH258" s="44" t="s">
        <v>37</v>
      </c>
      <c r="AI258" s="44">
        <v>559050</v>
      </c>
      <c r="AJ258" s="44" t="s">
        <v>37</v>
      </c>
      <c r="AL258" s="44" t="s">
        <v>37</v>
      </c>
      <c r="AM258" s="44">
        <v>3444673</v>
      </c>
      <c r="AN258" s="44" t="s">
        <v>37</v>
      </c>
      <c r="AP258" s="44" t="s">
        <v>37</v>
      </c>
      <c r="AQ258" s="44">
        <v>5665378</v>
      </c>
      <c r="AR258" s="44" t="s">
        <v>37</v>
      </c>
      <c r="AS258" s="44">
        <v>511338</v>
      </c>
      <c r="AT258" s="44" t="s">
        <v>37</v>
      </c>
      <c r="AU258" s="44">
        <v>7669017</v>
      </c>
      <c r="AV258" s="44" t="s">
        <v>37</v>
      </c>
      <c r="AW258" s="44">
        <v>1945172</v>
      </c>
      <c r="AX258" s="44" t="s">
        <v>37</v>
      </c>
      <c r="AY258" s="44">
        <v>1102713</v>
      </c>
      <c r="AZ258" s="44" t="s">
        <v>37</v>
      </c>
      <c r="BA258" s="44">
        <v>1771903</v>
      </c>
      <c r="BB258" s="44" t="s">
        <v>37</v>
      </c>
      <c r="BC258" s="44">
        <v>408007</v>
      </c>
      <c r="BD258" s="44" t="s">
        <v>37</v>
      </c>
      <c r="BE258" s="44">
        <v>896840</v>
      </c>
      <c r="BF258" s="44" t="s">
        <v>37</v>
      </c>
      <c r="BG258" s="44">
        <v>227513</v>
      </c>
      <c r="BH258" s="44" t="s">
        <v>37</v>
      </c>
      <c r="BJ258" s="44" t="s">
        <v>37</v>
      </c>
      <c r="BK258" s="44">
        <v>1717052</v>
      </c>
      <c r="BL258" s="44" t="s">
        <v>37</v>
      </c>
      <c r="BM258" s="44">
        <v>2748919</v>
      </c>
      <c r="BN258" s="44" t="s">
        <v>37</v>
      </c>
      <c r="BP258" s="44" t="s">
        <v>37</v>
      </c>
      <c r="BQ258" s="44">
        <v>244172</v>
      </c>
      <c r="BR258" s="44" t="s">
        <v>37</v>
      </c>
      <c r="BS258" s="44">
        <v>1118669</v>
      </c>
      <c r="BT258" s="44" t="s">
        <v>37</v>
      </c>
      <c r="BU258" s="44">
        <v>382985</v>
      </c>
      <c r="BV258" s="44" t="s">
        <v>37</v>
      </c>
      <c r="BX258" s="44" t="s">
        <v>37</v>
      </c>
      <c r="BY258" s="44">
        <v>2226458</v>
      </c>
      <c r="BZ258" s="44" t="s">
        <v>37</v>
      </c>
      <c r="CA258" s="44">
        <v>645509</v>
      </c>
      <c r="CB258" s="44" t="s">
        <v>37</v>
      </c>
      <c r="CD258" s="44" t="s">
        <v>37</v>
      </c>
      <c r="CE258" s="44">
        <v>862676</v>
      </c>
      <c r="CF258" s="44" t="s">
        <v>37</v>
      </c>
      <c r="CG258" s="44">
        <v>1136573</v>
      </c>
      <c r="CH258" s="44" t="s">
        <v>37</v>
      </c>
      <c r="CI258" s="44">
        <v>3383311</v>
      </c>
      <c r="CJ258" s="44" t="s">
        <v>37</v>
      </c>
      <c r="CK258" s="44">
        <v>305177</v>
      </c>
      <c r="CL258" s="44" t="s">
        <v>37</v>
      </c>
      <c r="CM258" s="44">
        <v>1302156</v>
      </c>
      <c r="CN258" s="44" t="s">
        <v>37</v>
      </c>
      <c r="CO258" s="44">
        <v>377339</v>
      </c>
      <c r="CP258" s="44" t="s">
        <v>37</v>
      </c>
      <c r="CQ258" s="44">
        <v>353373</v>
      </c>
      <c r="CR258" s="44" t="s">
        <v>37</v>
      </c>
      <c r="CS258" s="44">
        <v>2378932</v>
      </c>
      <c r="CT258" s="44" t="s">
        <v>37</v>
      </c>
      <c r="CU258" s="44">
        <v>10113954</v>
      </c>
      <c r="CV258" s="44" t="s">
        <v>37</v>
      </c>
      <c r="CW258" s="44">
        <v>1810692</v>
      </c>
      <c r="CX258" s="44" t="s">
        <v>37</v>
      </c>
      <c r="CY258" s="44">
        <v>234404</v>
      </c>
      <c r="CZ258" s="44" t="s">
        <v>37</v>
      </c>
      <c r="DA258" s="44">
        <v>282522</v>
      </c>
      <c r="DB258" s="44" t="s">
        <v>37</v>
      </c>
      <c r="DD258" s="44" t="s">
        <v>37</v>
      </c>
      <c r="DE258" s="44">
        <v>626353</v>
      </c>
      <c r="DF258" s="44" t="s">
        <v>37</v>
      </c>
      <c r="DG258" s="44">
        <v>435975</v>
      </c>
      <c r="DH258" s="44" t="s">
        <v>37</v>
      </c>
      <c r="DI258" s="44">
        <v>6976831</v>
      </c>
      <c r="DJ258" s="44" t="s">
        <v>37</v>
      </c>
      <c r="DK258" s="44">
        <v>841700</v>
      </c>
      <c r="DL258" s="44" t="s">
        <v>37</v>
      </c>
      <c r="DM258" s="44">
        <v>1913070</v>
      </c>
      <c r="DN258" s="44" t="s">
        <v>37</v>
      </c>
      <c r="DO258" s="44">
        <v>2006239</v>
      </c>
      <c r="DP258" s="44" t="s">
        <v>37</v>
      </c>
      <c r="DQ258" s="44">
        <v>1373159</v>
      </c>
      <c r="DR258" s="44" t="s">
        <v>37</v>
      </c>
      <c r="DS258" s="44">
        <v>800058</v>
      </c>
      <c r="DT258" s="44" t="s">
        <v>37</v>
      </c>
      <c r="DU258" s="44">
        <v>885357</v>
      </c>
      <c r="DV258" s="44" t="s">
        <v>37</v>
      </c>
      <c r="DW258" s="44">
        <v>2103725</v>
      </c>
      <c r="DX258" s="44" t="s">
        <v>37</v>
      </c>
      <c r="DY258" s="44">
        <v>1531880</v>
      </c>
      <c r="DZ258" s="44" t="s">
        <v>37</v>
      </c>
      <c r="EA258" s="44">
        <v>517464</v>
      </c>
      <c r="EB258" s="44" t="s">
        <v>37</v>
      </c>
      <c r="EC258" s="44">
        <v>887444</v>
      </c>
      <c r="ED258" s="44" t="s">
        <v>37</v>
      </c>
      <c r="EE258" s="44">
        <v>1632757</v>
      </c>
      <c r="EF258" s="44" t="s">
        <v>37</v>
      </c>
      <c r="EG258" s="44">
        <v>294323</v>
      </c>
      <c r="EH258" s="44" t="s">
        <v>37</v>
      </c>
      <c r="EJ258" s="44" t="s">
        <v>37</v>
      </c>
      <c r="EK258" s="44">
        <v>923516</v>
      </c>
      <c r="EL258" s="44" t="s">
        <v>37</v>
      </c>
      <c r="EM258" s="44">
        <v>623350</v>
      </c>
      <c r="EN258" s="44" t="s">
        <v>37</v>
      </c>
      <c r="EO258" s="44">
        <v>290211</v>
      </c>
      <c r="EP258" s="44" t="s">
        <v>37</v>
      </c>
      <c r="ER258" s="44" t="s">
        <v>37</v>
      </c>
      <c r="ES258" s="44">
        <v>1364298</v>
      </c>
      <c r="ET258" s="44" t="s">
        <v>37</v>
      </c>
      <c r="EU258" s="44">
        <v>1389703</v>
      </c>
      <c r="EV258" s="44" t="s">
        <v>37</v>
      </c>
      <c r="EW258" s="44">
        <v>1979360</v>
      </c>
      <c r="EX258" s="44" t="s">
        <v>37</v>
      </c>
      <c r="EZ258" s="44" t="s">
        <v>37</v>
      </c>
      <c r="FA258" s="44">
        <v>955249</v>
      </c>
      <c r="FB258" s="44" t="s">
        <v>37</v>
      </c>
      <c r="FC258" s="44">
        <v>1085455</v>
      </c>
      <c r="FD258" s="44" t="s">
        <v>37</v>
      </c>
      <c r="FE258" s="44">
        <v>2092037</v>
      </c>
      <c r="FF258" s="44" t="s">
        <v>37</v>
      </c>
      <c r="FH258" s="44" t="s">
        <v>37</v>
      </c>
      <c r="FI258" s="44">
        <v>2486739</v>
      </c>
      <c r="FJ258" s="44" t="s">
        <v>37</v>
      </c>
      <c r="FK258" s="44">
        <v>5706344</v>
      </c>
      <c r="FL258" s="44" t="s">
        <v>37</v>
      </c>
      <c r="FM258" s="44">
        <v>2996264</v>
      </c>
      <c r="FN258" s="44" t="s">
        <v>37</v>
      </c>
      <c r="FO258" s="44">
        <v>497658</v>
      </c>
      <c r="FP258" s="44" t="s">
        <v>37</v>
      </c>
      <c r="FQ258" s="44">
        <v>802007</v>
      </c>
      <c r="FR258" s="44" t="s">
        <v>37</v>
      </c>
      <c r="FS258" s="44">
        <v>1513619</v>
      </c>
      <c r="FT258" s="44" t="s">
        <v>37</v>
      </c>
      <c r="FU258" s="44">
        <v>577320</v>
      </c>
      <c r="FV258" s="44" t="s">
        <v>37</v>
      </c>
      <c r="FW258" s="44">
        <v>609692</v>
      </c>
      <c r="FX258" s="44" t="s">
        <v>37</v>
      </c>
      <c r="FY258" s="44">
        <v>1032329</v>
      </c>
      <c r="FZ258" s="44" t="s">
        <v>37</v>
      </c>
      <c r="GA258" s="44">
        <v>1747317</v>
      </c>
      <c r="GB258" s="44" t="s">
        <v>37</v>
      </c>
      <c r="GC258" s="44">
        <v>1714788</v>
      </c>
      <c r="GD258" s="44" t="s">
        <v>37</v>
      </c>
      <c r="GF258" s="44" t="s">
        <v>37</v>
      </c>
      <c r="GH258" s="44" t="s">
        <v>37</v>
      </c>
      <c r="GJ258" s="44" t="s">
        <v>37</v>
      </c>
      <c r="GK258" s="44">
        <v>2271056</v>
      </c>
      <c r="GL258" s="44" t="s">
        <v>37</v>
      </c>
      <c r="GM258" s="44">
        <v>2162961</v>
      </c>
      <c r="GN258" s="44" t="s">
        <v>37</v>
      </c>
      <c r="GP258" s="44" t="s">
        <v>37</v>
      </c>
      <c r="GQ258" s="44">
        <v>1028311</v>
      </c>
      <c r="GR258" s="44" t="s">
        <v>37</v>
      </c>
      <c r="GS258" s="44">
        <v>1790024</v>
      </c>
      <c r="GT258" s="44" t="s">
        <v>37</v>
      </c>
      <c r="GU258" s="44">
        <v>989688</v>
      </c>
      <c r="GV258" s="44" t="s">
        <v>37</v>
      </c>
      <c r="GW258" s="44">
        <v>690021</v>
      </c>
      <c r="GX258" s="44" t="s">
        <v>37</v>
      </c>
      <c r="GY258" s="44">
        <v>2638919</v>
      </c>
      <c r="GZ258" s="44" t="s">
        <v>37</v>
      </c>
      <c r="HA258" s="44">
        <v>556010</v>
      </c>
      <c r="HB258" s="44" t="s">
        <v>37</v>
      </c>
      <c r="HC258" s="44">
        <v>786835</v>
      </c>
      <c r="HD258" s="44" t="s">
        <v>37</v>
      </c>
      <c r="HE258" s="44">
        <v>145934</v>
      </c>
      <c r="HF258" s="44" t="s">
        <v>37</v>
      </c>
      <c r="HG258" s="44">
        <v>133238295</v>
      </c>
      <c r="HH258" s="44" t="s">
        <v>37</v>
      </c>
      <c r="HI258" s="44">
        <v>932769</v>
      </c>
      <c r="HJ258" s="44" t="s">
        <v>37</v>
      </c>
      <c r="HK258" s="44">
        <v>134171064</v>
      </c>
      <c r="HL258" s="44" t="s">
        <v>37</v>
      </c>
    </row>
    <row r="259" spans="1:220">
      <c r="A259" s="150" t="s">
        <v>412</v>
      </c>
      <c r="B259" s="44">
        <v>4830</v>
      </c>
      <c r="C259" s="44" t="s">
        <v>265</v>
      </c>
      <c r="D259" s="44" t="s">
        <v>37</v>
      </c>
      <c r="E259" s="44">
        <v>412663</v>
      </c>
      <c r="F259" s="44" t="s">
        <v>37</v>
      </c>
      <c r="G259" s="44">
        <v>1356346</v>
      </c>
      <c r="H259" s="44" t="s">
        <v>37</v>
      </c>
      <c r="I259" s="44">
        <v>264429</v>
      </c>
      <c r="J259" s="44" t="s">
        <v>37</v>
      </c>
      <c r="L259" s="48" t="s">
        <v>37</v>
      </c>
      <c r="M259" s="51">
        <v>352391</v>
      </c>
      <c r="N259" s="48" t="s">
        <v>37</v>
      </c>
      <c r="O259" s="51">
        <v>186281</v>
      </c>
      <c r="P259" s="48" t="s">
        <v>37</v>
      </c>
      <c r="Q259" s="51">
        <v>379767</v>
      </c>
      <c r="R259" s="48" t="s">
        <v>37</v>
      </c>
      <c r="S259" s="51">
        <v>149558</v>
      </c>
      <c r="T259" s="48" t="s">
        <v>37</v>
      </c>
      <c r="U259" s="44">
        <v>1073541</v>
      </c>
      <c r="V259" s="44" t="s">
        <v>37</v>
      </c>
      <c r="X259" s="44" t="s">
        <v>37</v>
      </c>
      <c r="Z259" s="44" t="s">
        <v>37</v>
      </c>
      <c r="AA259" s="44">
        <v>196713</v>
      </c>
      <c r="AB259" s="44" t="s">
        <v>37</v>
      </c>
      <c r="AC259" s="44">
        <v>163740</v>
      </c>
      <c r="AD259" s="44" t="s">
        <v>37</v>
      </c>
      <c r="AE259" s="44">
        <v>131043</v>
      </c>
      <c r="AF259" s="44" t="s">
        <v>37</v>
      </c>
      <c r="AG259" s="44">
        <v>90714</v>
      </c>
      <c r="AH259" s="44" t="s">
        <v>37</v>
      </c>
      <c r="AI259" s="44">
        <v>195463</v>
      </c>
      <c r="AJ259" s="44" t="s">
        <v>37</v>
      </c>
      <c r="AL259" s="44" t="s">
        <v>37</v>
      </c>
      <c r="AM259" s="44">
        <v>980488</v>
      </c>
      <c r="AN259" s="44" t="s">
        <v>37</v>
      </c>
      <c r="AP259" s="44" t="s">
        <v>37</v>
      </c>
      <c r="AQ259" s="44">
        <v>1593212</v>
      </c>
      <c r="AR259" s="44" t="s">
        <v>37</v>
      </c>
      <c r="AS259" s="44">
        <v>192213</v>
      </c>
      <c r="AT259" s="44" t="s">
        <v>37</v>
      </c>
      <c r="AU259" s="44">
        <v>3434529</v>
      </c>
      <c r="AV259" s="44" t="s">
        <v>37</v>
      </c>
      <c r="AW259" s="44">
        <v>1013082</v>
      </c>
      <c r="AX259" s="44" t="s">
        <v>37</v>
      </c>
      <c r="AY259" s="44">
        <v>425216</v>
      </c>
      <c r="AZ259" s="44" t="s">
        <v>37</v>
      </c>
      <c r="BA259" s="44">
        <v>824547</v>
      </c>
      <c r="BB259" s="44" t="s">
        <v>37</v>
      </c>
      <c r="BC259" s="44">
        <v>259006</v>
      </c>
      <c r="BD259" s="44" t="s">
        <v>37</v>
      </c>
      <c r="BE259" s="44">
        <v>323040</v>
      </c>
      <c r="BF259" s="44" t="s">
        <v>37</v>
      </c>
      <c r="BG259" s="44">
        <v>80565</v>
      </c>
      <c r="BH259" s="44" t="s">
        <v>37</v>
      </c>
      <c r="BJ259" s="44" t="s">
        <v>37</v>
      </c>
      <c r="BK259" s="44">
        <v>810161</v>
      </c>
      <c r="BL259" s="44" t="s">
        <v>37</v>
      </c>
      <c r="BM259" s="44">
        <v>1032107</v>
      </c>
      <c r="BN259" s="44" t="s">
        <v>37</v>
      </c>
      <c r="BP259" s="44" t="s">
        <v>37</v>
      </c>
      <c r="BQ259" s="44">
        <v>112070</v>
      </c>
      <c r="BR259" s="44" t="s">
        <v>37</v>
      </c>
      <c r="BS259" s="44">
        <v>351008</v>
      </c>
      <c r="BT259" s="44" t="s">
        <v>37</v>
      </c>
      <c r="BU259" s="44">
        <v>126815</v>
      </c>
      <c r="BV259" s="44" t="s">
        <v>37</v>
      </c>
      <c r="BX259" s="44" t="s">
        <v>37</v>
      </c>
      <c r="BY259" s="44">
        <v>601518</v>
      </c>
      <c r="BZ259" s="44" t="s">
        <v>37</v>
      </c>
      <c r="CA259" s="44">
        <v>268018</v>
      </c>
      <c r="CB259" s="44" t="s">
        <v>37</v>
      </c>
      <c r="CD259" s="44" t="s">
        <v>37</v>
      </c>
      <c r="CE259" s="44">
        <v>266077</v>
      </c>
      <c r="CF259" s="44" t="s">
        <v>37</v>
      </c>
      <c r="CG259" s="44">
        <v>411523</v>
      </c>
      <c r="CH259" s="44" t="s">
        <v>37</v>
      </c>
      <c r="CI259" s="44">
        <v>1110645</v>
      </c>
      <c r="CJ259" s="44" t="s">
        <v>37</v>
      </c>
      <c r="CK259" s="44">
        <v>109532</v>
      </c>
      <c r="CL259" s="44" t="s">
        <v>37</v>
      </c>
      <c r="CM259" s="44">
        <v>761591</v>
      </c>
      <c r="CN259" s="44" t="s">
        <v>37</v>
      </c>
      <c r="CO259" s="44">
        <v>144087</v>
      </c>
      <c r="CP259" s="44" t="s">
        <v>37</v>
      </c>
      <c r="CQ259" s="44">
        <v>132500</v>
      </c>
      <c r="CR259" s="44" t="s">
        <v>37</v>
      </c>
      <c r="CS259" s="44">
        <v>916598</v>
      </c>
      <c r="CT259" s="44" t="s">
        <v>37</v>
      </c>
      <c r="CU259" s="44">
        <v>2766207</v>
      </c>
      <c r="CV259" s="44" t="s">
        <v>37</v>
      </c>
      <c r="CW259" s="44">
        <v>751527</v>
      </c>
      <c r="CX259" s="44" t="s">
        <v>37</v>
      </c>
      <c r="CY259" s="44">
        <v>95970</v>
      </c>
      <c r="CZ259" s="44" t="s">
        <v>37</v>
      </c>
      <c r="DA259" s="44">
        <v>73686</v>
      </c>
      <c r="DB259" s="44" t="s">
        <v>37</v>
      </c>
      <c r="DD259" s="44" t="s">
        <v>37</v>
      </c>
      <c r="DE259" s="44">
        <v>351890</v>
      </c>
      <c r="DF259" s="44" t="s">
        <v>37</v>
      </c>
      <c r="DG259" s="44">
        <v>202601</v>
      </c>
      <c r="DH259" s="44" t="s">
        <v>37</v>
      </c>
      <c r="DI259" s="44">
        <v>2416094</v>
      </c>
      <c r="DJ259" s="44" t="s">
        <v>37</v>
      </c>
      <c r="DK259" s="44">
        <v>544174</v>
      </c>
      <c r="DL259" s="44" t="s">
        <v>37</v>
      </c>
      <c r="DM259" s="44">
        <v>630037</v>
      </c>
      <c r="DN259" s="44" t="s">
        <v>37</v>
      </c>
      <c r="DO259" s="44">
        <v>534688</v>
      </c>
      <c r="DP259" s="44" t="s">
        <v>37</v>
      </c>
      <c r="DQ259" s="44">
        <v>676201</v>
      </c>
      <c r="DR259" s="44" t="s">
        <v>37</v>
      </c>
      <c r="DS259" s="44">
        <v>499614</v>
      </c>
      <c r="DT259" s="44" t="s">
        <v>37</v>
      </c>
      <c r="DU259" s="44">
        <v>417005</v>
      </c>
      <c r="DV259" s="44" t="s">
        <v>37</v>
      </c>
      <c r="DW259" s="44">
        <v>624471</v>
      </c>
      <c r="DX259" s="44" t="s">
        <v>37</v>
      </c>
      <c r="DY259" s="44">
        <v>539994</v>
      </c>
      <c r="DZ259" s="44" t="s">
        <v>37</v>
      </c>
      <c r="EA259" s="44">
        <v>196792</v>
      </c>
      <c r="EB259" s="44" t="s">
        <v>37</v>
      </c>
      <c r="EC259" s="44">
        <v>405761</v>
      </c>
      <c r="ED259" s="44" t="s">
        <v>37</v>
      </c>
      <c r="EE259" s="44">
        <v>357700</v>
      </c>
      <c r="EF259" s="44" t="s">
        <v>37</v>
      </c>
      <c r="EG259" s="44">
        <v>147968</v>
      </c>
      <c r="EH259" s="44" t="s">
        <v>37</v>
      </c>
      <c r="EJ259" s="44" t="s">
        <v>37</v>
      </c>
      <c r="EK259" s="44">
        <v>349499</v>
      </c>
      <c r="EL259" s="44" t="s">
        <v>37</v>
      </c>
      <c r="EM259" s="44">
        <v>227340</v>
      </c>
      <c r="EN259" s="44" t="s">
        <v>37</v>
      </c>
      <c r="EO259" s="44">
        <v>184004</v>
      </c>
      <c r="EP259" s="44" t="s">
        <v>37</v>
      </c>
      <c r="ER259" s="44" t="s">
        <v>37</v>
      </c>
      <c r="ES259" s="44">
        <v>669100</v>
      </c>
      <c r="ET259" s="44" t="s">
        <v>37</v>
      </c>
      <c r="EU259" s="44">
        <v>526254</v>
      </c>
      <c r="EV259" s="44" t="s">
        <v>37</v>
      </c>
      <c r="EW259" s="44">
        <v>594136</v>
      </c>
      <c r="EX259" s="44" t="s">
        <v>37</v>
      </c>
      <c r="EZ259" s="44" t="s">
        <v>37</v>
      </c>
      <c r="FA259" s="44">
        <v>422753</v>
      </c>
      <c r="FB259" s="44" t="s">
        <v>37</v>
      </c>
      <c r="FC259" s="44">
        <v>616766</v>
      </c>
      <c r="FD259" s="44" t="s">
        <v>37</v>
      </c>
      <c r="FE259" s="44">
        <v>665296</v>
      </c>
      <c r="FF259" s="44" t="s">
        <v>37</v>
      </c>
      <c r="FH259" s="44" t="s">
        <v>37</v>
      </c>
      <c r="FI259" s="44">
        <v>819404</v>
      </c>
      <c r="FJ259" s="44" t="s">
        <v>37</v>
      </c>
      <c r="FK259" s="44">
        <v>2022038</v>
      </c>
      <c r="FL259" s="44" t="s">
        <v>37</v>
      </c>
      <c r="FM259" s="44">
        <v>827696</v>
      </c>
      <c r="FN259" s="44" t="s">
        <v>37</v>
      </c>
      <c r="FO259" s="44">
        <v>177370</v>
      </c>
      <c r="FP259" s="44" t="s">
        <v>37</v>
      </c>
      <c r="FQ259" s="44">
        <v>291881</v>
      </c>
      <c r="FR259" s="44" t="s">
        <v>37</v>
      </c>
      <c r="FS259" s="44">
        <v>432160</v>
      </c>
      <c r="FT259" s="44" t="s">
        <v>37</v>
      </c>
      <c r="FU259" s="44">
        <v>180694</v>
      </c>
      <c r="FV259" s="44" t="s">
        <v>37</v>
      </c>
      <c r="FW259" s="44">
        <v>150491</v>
      </c>
      <c r="FX259" s="44" t="s">
        <v>37</v>
      </c>
      <c r="FY259" s="44">
        <v>307863</v>
      </c>
      <c r="FZ259" s="44" t="s">
        <v>37</v>
      </c>
      <c r="GA259" s="44">
        <v>575321</v>
      </c>
      <c r="GB259" s="44" t="s">
        <v>37</v>
      </c>
      <c r="GC259" s="44">
        <v>868738</v>
      </c>
      <c r="GD259" s="44" t="s">
        <v>37</v>
      </c>
      <c r="GF259" s="44" t="s">
        <v>37</v>
      </c>
      <c r="GH259" s="44" t="s">
        <v>37</v>
      </c>
      <c r="GJ259" s="44" t="s">
        <v>37</v>
      </c>
      <c r="GK259" s="44">
        <v>828440</v>
      </c>
      <c r="GL259" s="44" t="s">
        <v>37</v>
      </c>
      <c r="GM259" s="44">
        <v>667892</v>
      </c>
      <c r="GN259" s="44" t="s">
        <v>37</v>
      </c>
      <c r="GP259" s="44" t="s">
        <v>37</v>
      </c>
      <c r="GQ259" s="44">
        <v>512839</v>
      </c>
      <c r="GR259" s="44" t="s">
        <v>37</v>
      </c>
      <c r="GS259" s="44">
        <v>859654</v>
      </c>
      <c r="GT259" s="44" t="s">
        <v>37</v>
      </c>
      <c r="GU259" s="44">
        <v>277460</v>
      </c>
      <c r="GV259" s="44" t="s">
        <v>37</v>
      </c>
      <c r="GW259" s="44">
        <v>162523</v>
      </c>
      <c r="GX259" s="44" t="s">
        <v>37</v>
      </c>
      <c r="GY259" s="44">
        <v>706951</v>
      </c>
      <c r="GZ259" s="44" t="s">
        <v>37</v>
      </c>
      <c r="HA259" s="44">
        <v>111616</v>
      </c>
      <c r="HB259" s="44" t="s">
        <v>37</v>
      </c>
      <c r="HC259" s="44">
        <v>509311</v>
      </c>
      <c r="HD259" s="44" t="s">
        <v>37</v>
      </c>
      <c r="HE259" s="44">
        <v>145587</v>
      </c>
      <c r="HF259" s="44" t="s">
        <v>37</v>
      </c>
      <c r="HG259" s="44">
        <v>48501356</v>
      </c>
      <c r="HH259" s="44" t="s">
        <v>37</v>
      </c>
      <c r="HI259" s="44">
        <v>654898</v>
      </c>
      <c r="HJ259" s="44" t="s">
        <v>37</v>
      </c>
      <c r="HK259" s="44">
        <v>49156254</v>
      </c>
      <c r="HL259" s="44" t="s">
        <v>37</v>
      </c>
    </row>
    <row r="260" spans="1:220">
      <c r="A260" s="150" t="s">
        <v>412</v>
      </c>
      <c r="B260" s="44">
        <v>4850</v>
      </c>
      <c r="C260" s="44" t="s">
        <v>266</v>
      </c>
      <c r="D260" s="44" t="s">
        <v>37</v>
      </c>
      <c r="F260" s="44" t="s">
        <v>37</v>
      </c>
      <c r="H260" s="44" t="s">
        <v>37</v>
      </c>
      <c r="J260" s="44" t="s">
        <v>37</v>
      </c>
      <c r="L260" s="48" t="s">
        <v>37</v>
      </c>
      <c r="M260" s="50"/>
      <c r="N260" s="48" t="s">
        <v>37</v>
      </c>
      <c r="O260" s="50"/>
      <c r="P260" s="48" t="s">
        <v>37</v>
      </c>
      <c r="Q260" s="50"/>
      <c r="R260" s="48" t="s">
        <v>37</v>
      </c>
      <c r="S260" s="50"/>
      <c r="T260" s="48" t="s">
        <v>37</v>
      </c>
      <c r="V260" s="44" t="s">
        <v>37</v>
      </c>
      <c r="X260" s="44" t="s">
        <v>37</v>
      </c>
      <c r="Z260" s="44" t="s">
        <v>37</v>
      </c>
      <c r="AB260" s="44" t="s">
        <v>37</v>
      </c>
      <c r="AD260" s="44" t="s">
        <v>37</v>
      </c>
      <c r="AF260" s="44" t="s">
        <v>37</v>
      </c>
      <c r="AH260" s="44" t="s">
        <v>37</v>
      </c>
      <c r="AJ260" s="44" t="s">
        <v>37</v>
      </c>
      <c r="AL260" s="44" t="s">
        <v>37</v>
      </c>
      <c r="AN260" s="44" t="s">
        <v>37</v>
      </c>
      <c r="AP260" s="44" t="s">
        <v>37</v>
      </c>
      <c r="AR260" s="44" t="s">
        <v>37</v>
      </c>
      <c r="AT260" s="44" t="s">
        <v>37</v>
      </c>
      <c r="AV260" s="44" t="s">
        <v>37</v>
      </c>
      <c r="AX260" s="44" t="s">
        <v>37</v>
      </c>
      <c r="AZ260" s="44" t="s">
        <v>37</v>
      </c>
      <c r="BB260" s="44" t="s">
        <v>37</v>
      </c>
      <c r="BD260" s="44" t="s">
        <v>37</v>
      </c>
      <c r="BF260" s="44" t="s">
        <v>37</v>
      </c>
      <c r="BH260" s="44" t="s">
        <v>37</v>
      </c>
      <c r="BJ260" s="44" t="s">
        <v>37</v>
      </c>
      <c r="BL260" s="44" t="s">
        <v>37</v>
      </c>
      <c r="BN260" s="44" t="s">
        <v>37</v>
      </c>
      <c r="BP260" s="44" t="s">
        <v>37</v>
      </c>
      <c r="BR260" s="44" t="s">
        <v>37</v>
      </c>
      <c r="BT260" s="44" t="s">
        <v>37</v>
      </c>
      <c r="BV260" s="44" t="s">
        <v>37</v>
      </c>
      <c r="BX260" s="44" t="s">
        <v>37</v>
      </c>
      <c r="BZ260" s="44" t="s">
        <v>37</v>
      </c>
      <c r="CB260" s="44" t="s">
        <v>37</v>
      </c>
      <c r="CD260" s="44" t="s">
        <v>37</v>
      </c>
      <c r="CE260" s="44">
        <v>90701</v>
      </c>
      <c r="CF260" s="44" t="s">
        <v>37</v>
      </c>
      <c r="CH260" s="44" t="s">
        <v>37</v>
      </c>
      <c r="CI260" s="44">
        <v>306265</v>
      </c>
      <c r="CJ260" s="44" t="s">
        <v>37</v>
      </c>
      <c r="CL260" s="44" t="s">
        <v>37</v>
      </c>
      <c r="CN260" s="44" t="s">
        <v>37</v>
      </c>
      <c r="CP260" s="44" t="s">
        <v>37</v>
      </c>
      <c r="CR260" s="44" t="s">
        <v>37</v>
      </c>
      <c r="CT260" s="44" t="s">
        <v>37</v>
      </c>
      <c r="CV260" s="44" t="s">
        <v>37</v>
      </c>
      <c r="CX260" s="44" t="s">
        <v>37</v>
      </c>
      <c r="CZ260" s="44" t="s">
        <v>37</v>
      </c>
      <c r="DB260" s="44" t="s">
        <v>37</v>
      </c>
      <c r="DD260" s="44" t="s">
        <v>37</v>
      </c>
      <c r="DF260" s="44" t="s">
        <v>37</v>
      </c>
      <c r="DH260" s="44" t="s">
        <v>37</v>
      </c>
      <c r="DJ260" s="44" t="s">
        <v>37</v>
      </c>
      <c r="DL260" s="44" t="s">
        <v>37</v>
      </c>
      <c r="DN260" s="44" t="s">
        <v>37</v>
      </c>
      <c r="DP260" s="44" t="s">
        <v>37</v>
      </c>
      <c r="DR260" s="44" t="s">
        <v>37</v>
      </c>
      <c r="DT260" s="44" t="s">
        <v>37</v>
      </c>
      <c r="DV260" s="44" t="s">
        <v>37</v>
      </c>
      <c r="DX260" s="44" t="s">
        <v>37</v>
      </c>
      <c r="DZ260" s="44" t="s">
        <v>37</v>
      </c>
      <c r="EA260" s="44">
        <v>58782</v>
      </c>
      <c r="EB260" s="44" t="s">
        <v>37</v>
      </c>
      <c r="ED260" s="44" t="s">
        <v>37</v>
      </c>
      <c r="EF260" s="44" t="s">
        <v>37</v>
      </c>
      <c r="EH260" s="44" t="s">
        <v>37</v>
      </c>
      <c r="EJ260" s="44" t="s">
        <v>37</v>
      </c>
      <c r="EL260" s="44" t="s">
        <v>37</v>
      </c>
      <c r="EN260" s="44" t="s">
        <v>37</v>
      </c>
      <c r="EP260" s="44" t="s">
        <v>37</v>
      </c>
      <c r="ER260" s="44" t="s">
        <v>37</v>
      </c>
      <c r="ET260" s="44" t="s">
        <v>37</v>
      </c>
      <c r="EV260" s="44" t="s">
        <v>37</v>
      </c>
      <c r="EX260" s="44" t="s">
        <v>37</v>
      </c>
      <c r="EZ260" s="44" t="s">
        <v>37</v>
      </c>
      <c r="FB260" s="44" t="s">
        <v>37</v>
      </c>
      <c r="FD260" s="44" t="s">
        <v>37</v>
      </c>
      <c r="FF260" s="44" t="s">
        <v>37</v>
      </c>
      <c r="FH260" s="44" t="s">
        <v>37</v>
      </c>
      <c r="FJ260" s="44" t="s">
        <v>37</v>
      </c>
      <c r="FL260" s="44" t="s">
        <v>37</v>
      </c>
      <c r="FN260" s="44" t="s">
        <v>37</v>
      </c>
      <c r="FO260" s="44">
        <v>708</v>
      </c>
      <c r="FP260" s="44" t="s">
        <v>37</v>
      </c>
      <c r="FR260" s="44" t="s">
        <v>37</v>
      </c>
      <c r="FT260" s="44" t="s">
        <v>37</v>
      </c>
      <c r="FV260" s="44" t="s">
        <v>37</v>
      </c>
      <c r="FX260" s="44" t="s">
        <v>37</v>
      </c>
      <c r="FZ260" s="44" t="s">
        <v>37</v>
      </c>
      <c r="GB260" s="44" t="s">
        <v>37</v>
      </c>
      <c r="GD260" s="44" t="s">
        <v>37</v>
      </c>
      <c r="GF260" s="44" t="s">
        <v>37</v>
      </c>
      <c r="GH260" s="44" t="s">
        <v>37</v>
      </c>
      <c r="GJ260" s="44" t="s">
        <v>37</v>
      </c>
      <c r="GL260" s="44" t="s">
        <v>37</v>
      </c>
      <c r="GN260" s="44" t="s">
        <v>37</v>
      </c>
      <c r="GP260" s="44" t="s">
        <v>37</v>
      </c>
      <c r="GQ260" s="44">
        <v>18447</v>
      </c>
      <c r="GR260" s="44" t="s">
        <v>37</v>
      </c>
      <c r="GT260" s="44" t="s">
        <v>37</v>
      </c>
      <c r="GV260" s="44" t="s">
        <v>37</v>
      </c>
      <c r="GX260" s="44" t="s">
        <v>37</v>
      </c>
      <c r="GZ260" s="44" t="s">
        <v>37</v>
      </c>
      <c r="HB260" s="44" t="s">
        <v>37</v>
      </c>
      <c r="HC260" s="44">
        <v>1556</v>
      </c>
      <c r="HD260" s="44" t="s">
        <v>37</v>
      </c>
      <c r="HF260" s="44" t="s">
        <v>37</v>
      </c>
      <c r="HG260" s="44">
        <v>474903</v>
      </c>
      <c r="HH260" s="44" t="s">
        <v>37</v>
      </c>
      <c r="HI260" s="44">
        <v>1556</v>
      </c>
      <c r="HJ260" s="44" t="s">
        <v>37</v>
      </c>
      <c r="HK260" s="44">
        <v>476459</v>
      </c>
      <c r="HL260" s="44" t="s">
        <v>37</v>
      </c>
    </row>
    <row r="261" spans="1:220">
      <c r="A261" s="150" t="s">
        <v>408</v>
      </c>
      <c r="B261" s="54">
        <v>4900</v>
      </c>
      <c r="C261" s="44" t="s">
        <v>267</v>
      </c>
      <c r="D261" s="44" t="s">
        <v>37</v>
      </c>
      <c r="F261" s="44" t="s">
        <v>37</v>
      </c>
      <c r="H261" s="44" t="s">
        <v>37</v>
      </c>
      <c r="J261" s="44" t="s">
        <v>37</v>
      </c>
      <c r="L261" s="48" t="s">
        <v>37</v>
      </c>
      <c r="M261" s="50"/>
      <c r="N261" s="48" t="s">
        <v>37</v>
      </c>
      <c r="O261" s="50"/>
      <c r="P261" s="48" t="s">
        <v>37</v>
      </c>
      <c r="Q261" s="50"/>
      <c r="R261" s="48" t="s">
        <v>37</v>
      </c>
      <c r="S261" s="50"/>
      <c r="T261" s="48" t="s">
        <v>37</v>
      </c>
      <c r="V261" s="44" t="s">
        <v>37</v>
      </c>
      <c r="X261" s="44" t="s">
        <v>37</v>
      </c>
      <c r="Z261" s="44" t="s">
        <v>37</v>
      </c>
      <c r="AB261" s="44" t="s">
        <v>37</v>
      </c>
      <c r="AD261" s="44" t="s">
        <v>37</v>
      </c>
      <c r="AF261" s="44" t="s">
        <v>37</v>
      </c>
      <c r="AH261" s="44" t="s">
        <v>37</v>
      </c>
      <c r="AJ261" s="44" t="s">
        <v>37</v>
      </c>
      <c r="AL261" s="44" t="s">
        <v>37</v>
      </c>
      <c r="AN261" s="44" t="s">
        <v>37</v>
      </c>
      <c r="AP261" s="44" t="s">
        <v>37</v>
      </c>
      <c r="AR261" s="44" t="s">
        <v>37</v>
      </c>
      <c r="AT261" s="44" t="s">
        <v>37</v>
      </c>
      <c r="AV261" s="44" t="s">
        <v>37</v>
      </c>
      <c r="AX261" s="44" t="s">
        <v>37</v>
      </c>
      <c r="AZ261" s="44" t="s">
        <v>37</v>
      </c>
      <c r="BB261" s="44" t="s">
        <v>37</v>
      </c>
      <c r="BD261" s="44" t="s">
        <v>37</v>
      </c>
      <c r="BF261" s="44" t="s">
        <v>37</v>
      </c>
      <c r="BH261" s="44" t="s">
        <v>37</v>
      </c>
      <c r="BJ261" s="44" t="s">
        <v>37</v>
      </c>
      <c r="BL261" s="44" t="s">
        <v>37</v>
      </c>
      <c r="BN261" s="44" t="s">
        <v>37</v>
      </c>
      <c r="BP261" s="44" t="s">
        <v>37</v>
      </c>
      <c r="BR261" s="44" t="s">
        <v>37</v>
      </c>
      <c r="BT261" s="44" t="s">
        <v>37</v>
      </c>
      <c r="BV261" s="44" t="s">
        <v>37</v>
      </c>
      <c r="BX261" s="44" t="s">
        <v>37</v>
      </c>
      <c r="BZ261" s="44" t="s">
        <v>37</v>
      </c>
      <c r="CB261" s="44" t="s">
        <v>37</v>
      </c>
      <c r="CD261" s="44" t="s">
        <v>37</v>
      </c>
      <c r="CF261" s="44" t="s">
        <v>37</v>
      </c>
      <c r="CH261" s="44" t="s">
        <v>37</v>
      </c>
      <c r="CJ261" s="44" t="s">
        <v>37</v>
      </c>
      <c r="CL261" s="44" t="s">
        <v>37</v>
      </c>
      <c r="CN261" s="44" t="s">
        <v>37</v>
      </c>
      <c r="CP261" s="44" t="s">
        <v>37</v>
      </c>
      <c r="CR261" s="44" t="s">
        <v>37</v>
      </c>
      <c r="CT261" s="44" t="s">
        <v>37</v>
      </c>
      <c r="CV261" s="44" t="s">
        <v>37</v>
      </c>
      <c r="CX261" s="44" t="s">
        <v>37</v>
      </c>
      <c r="CZ261" s="44" t="s">
        <v>37</v>
      </c>
      <c r="DB261" s="44" t="s">
        <v>37</v>
      </c>
      <c r="DD261" s="44" t="s">
        <v>37</v>
      </c>
      <c r="DF261" s="44" t="s">
        <v>37</v>
      </c>
      <c r="DH261" s="44" t="s">
        <v>37</v>
      </c>
      <c r="DJ261" s="44" t="s">
        <v>37</v>
      </c>
      <c r="DL261" s="44" t="s">
        <v>37</v>
      </c>
      <c r="DN261" s="44" t="s">
        <v>37</v>
      </c>
      <c r="DP261" s="44" t="s">
        <v>37</v>
      </c>
      <c r="DR261" s="44" t="s">
        <v>37</v>
      </c>
      <c r="DT261" s="44" t="s">
        <v>37</v>
      </c>
      <c r="DV261" s="44" t="s">
        <v>37</v>
      </c>
      <c r="DX261" s="44" t="s">
        <v>37</v>
      </c>
      <c r="DZ261" s="44" t="s">
        <v>37</v>
      </c>
      <c r="EB261" s="44" t="s">
        <v>37</v>
      </c>
      <c r="ED261" s="44" t="s">
        <v>37</v>
      </c>
      <c r="EF261" s="44" t="s">
        <v>37</v>
      </c>
      <c r="EH261" s="44" t="s">
        <v>37</v>
      </c>
      <c r="EJ261" s="44" t="s">
        <v>37</v>
      </c>
      <c r="EL261" s="44" t="s">
        <v>37</v>
      </c>
      <c r="EN261" s="44" t="s">
        <v>37</v>
      </c>
      <c r="EP261" s="44" t="s">
        <v>37</v>
      </c>
      <c r="ER261" s="44" t="s">
        <v>37</v>
      </c>
      <c r="ET261" s="44" t="s">
        <v>37</v>
      </c>
      <c r="EV261" s="44" t="s">
        <v>37</v>
      </c>
      <c r="EX261" s="44" t="s">
        <v>37</v>
      </c>
      <c r="EZ261" s="44" t="s">
        <v>37</v>
      </c>
      <c r="FB261" s="44" t="s">
        <v>37</v>
      </c>
      <c r="FD261" s="44" t="s">
        <v>37</v>
      </c>
      <c r="FF261" s="44" t="s">
        <v>37</v>
      </c>
      <c r="FH261" s="44" t="s">
        <v>37</v>
      </c>
      <c r="FJ261" s="44" t="s">
        <v>37</v>
      </c>
      <c r="FL261" s="44" t="s">
        <v>37</v>
      </c>
      <c r="FN261" s="44" t="s">
        <v>37</v>
      </c>
      <c r="FP261" s="44" t="s">
        <v>37</v>
      </c>
      <c r="FR261" s="44" t="s">
        <v>37</v>
      </c>
      <c r="FT261" s="44" t="s">
        <v>37</v>
      </c>
      <c r="FV261" s="44" t="s">
        <v>37</v>
      </c>
      <c r="FX261" s="44" t="s">
        <v>37</v>
      </c>
      <c r="FZ261" s="44" t="s">
        <v>37</v>
      </c>
      <c r="GB261" s="44" t="s">
        <v>37</v>
      </c>
      <c r="GD261" s="44" t="s">
        <v>37</v>
      </c>
      <c r="GF261" s="44" t="s">
        <v>37</v>
      </c>
      <c r="GH261" s="44" t="s">
        <v>37</v>
      </c>
      <c r="GJ261" s="44" t="s">
        <v>37</v>
      </c>
      <c r="GL261" s="44" t="s">
        <v>37</v>
      </c>
      <c r="GN261" s="44" t="s">
        <v>37</v>
      </c>
      <c r="GP261" s="44" t="s">
        <v>37</v>
      </c>
      <c r="GR261" s="44" t="s">
        <v>37</v>
      </c>
      <c r="GT261" s="44" t="s">
        <v>37</v>
      </c>
      <c r="GV261" s="44" t="s">
        <v>37</v>
      </c>
      <c r="GX261" s="44" t="s">
        <v>37</v>
      </c>
      <c r="GZ261" s="44" t="s">
        <v>37</v>
      </c>
      <c r="HB261" s="44" t="s">
        <v>37</v>
      </c>
      <c r="HD261" s="44" t="s">
        <v>37</v>
      </c>
      <c r="HF261" s="44" t="s">
        <v>37</v>
      </c>
      <c r="HH261" s="44" t="s">
        <v>37</v>
      </c>
      <c r="HJ261" s="44" t="s">
        <v>37</v>
      </c>
      <c r="HL261" s="44" t="s">
        <v>37</v>
      </c>
    </row>
    <row r="262" spans="1:220">
      <c r="A262" s="150" t="s">
        <v>412</v>
      </c>
      <c r="B262" s="44">
        <v>4920</v>
      </c>
      <c r="C262" s="44" t="s">
        <v>268</v>
      </c>
      <c r="D262" s="44" t="s">
        <v>37</v>
      </c>
      <c r="E262" s="44">
        <v>20385</v>
      </c>
      <c r="F262" s="44" t="s">
        <v>37</v>
      </c>
      <c r="G262" s="44">
        <v>113117</v>
      </c>
      <c r="H262" s="44" t="s">
        <v>37</v>
      </c>
      <c r="I262" s="44">
        <v>16697</v>
      </c>
      <c r="J262" s="44" t="s">
        <v>37</v>
      </c>
      <c r="L262" s="48" t="s">
        <v>37</v>
      </c>
      <c r="M262" s="51">
        <v>21769</v>
      </c>
      <c r="N262" s="48" t="s">
        <v>37</v>
      </c>
      <c r="O262" s="51">
        <v>13529</v>
      </c>
      <c r="P262" s="48" t="s">
        <v>37</v>
      </c>
      <c r="Q262" s="51">
        <v>12058</v>
      </c>
      <c r="R262" s="48" t="s">
        <v>37</v>
      </c>
      <c r="S262" s="51">
        <v>9095</v>
      </c>
      <c r="T262" s="48" t="s">
        <v>37</v>
      </c>
      <c r="U262" s="44">
        <v>52163</v>
      </c>
      <c r="V262" s="44" t="s">
        <v>37</v>
      </c>
      <c r="X262" s="44" t="s">
        <v>37</v>
      </c>
      <c r="Z262" s="44" t="s">
        <v>37</v>
      </c>
      <c r="AA262" s="44">
        <v>9443</v>
      </c>
      <c r="AB262" s="44" t="s">
        <v>37</v>
      </c>
      <c r="AC262" s="44">
        <v>7064</v>
      </c>
      <c r="AD262" s="44" t="s">
        <v>37</v>
      </c>
      <c r="AE262" s="44">
        <v>8440</v>
      </c>
      <c r="AF262" s="44" t="s">
        <v>37</v>
      </c>
      <c r="AG262" s="44">
        <v>4728</v>
      </c>
      <c r="AH262" s="44" t="s">
        <v>37</v>
      </c>
      <c r="AI262" s="44">
        <v>12566</v>
      </c>
      <c r="AJ262" s="44" t="s">
        <v>37</v>
      </c>
      <c r="AL262" s="44" t="s">
        <v>37</v>
      </c>
      <c r="AM262" s="44">
        <v>105309</v>
      </c>
      <c r="AN262" s="44" t="s">
        <v>37</v>
      </c>
      <c r="AP262" s="44" t="s">
        <v>37</v>
      </c>
      <c r="AQ262" s="44">
        <v>149162</v>
      </c>
      <c r="AR262" s="44" t="s">
        <v>37</v>
      </c>
      <c r="AS262" s="44">
        <v>9319</v>
      </c>
      <c r="AT262" s="44" t="s">
        <v>37</v>
      </c>
      <c r="AU262" s="44">
        <v>275107</v>
      </c>
      <c r="AV262" s="44" t="s">
        <v>37</v>
      </c>
      <c r="AW262" s="44">
        <v>36196</v>
      </c>
      <c r="AX262" s="44" t="s">
        <v>37</v>
      </c>
      <c r="AY262" s="44">
        <v>34175</v>
      </c>
      <c r="AZ262" s="44" t="s">
        <v>37</v>
      </c>
      <c r="BA262" s="44">
        <v>42465</v>
      </c>
      <c r="BB262" s="44" t="s">
        <v>37</v>
      </c>
      <c r="BC262" s="44">
        <v>2274</v>
      </c>
      <c r="BD262" s="44" t="s">
        <v>37</v>
      </c>
      <c r="BE262" s="44">
        <v>23185</v>
      </c>
      <c r="BF262" s="44" t="s">
        <v>37</v>
      </c>
      <c r="BG262" s="44">
        <v>6045</v>
      </c>
      <c r="BH262" s="44" t="s">
        <v>37</v>
      </c>
      <c r="BJ262" s="44" t="s">
        <v>37</v>
      </c>
      <c r="BK262" s="44">
        <v>47864</v>
      </c>
      <c r="BL262" s="44" t="s">
        <v>37</v>
      </c>
      <c r="BM262" s="44">
        <v>80266</v>
      </c>
      <c r="BN262" s="44" t="s">
        <v>37</v>
      </c>
      <c r="BP262" s="44" t="s">
        <v>37</v>
      </c>
      <c r="BQ262" s="44">
        <v>3608</v>
      </c>
      <c r="BR262" s="44" t="s">
        <v>37</v>
      </c>
      <c r="BS262" s="44">
        <v>23727</v>
      </c>
      <c r="BT262" s="44" t="s">
        <v>37</v>
      </c>
      <c r="BU262" s="44">
        <v>9011</v>
      </c>
      <c r="BV262" s="44" t="s">
        <v>37</v>
      </c>
      <c r="BX262" s="44" t="s">
        <v>37</v>
      </c>
      <c r="BY262" s="44">
        <v>71703</v>
      </c>
      <c r="BZ262" s="44" t="s">
        <v>37</v>
      </c>
      <c r="CA262" s="44">
        <v>22929</v>
      </c>
      <c r="CB262" s="44" t="s">
        <v>37</v>
      </c>
      <c r="CD262" s="44" t="s">
        <v>37</v>
      </c>
      <c r="CE262" s="44">
        <v>17776</v>
      </c>
      <c r="CF262" s="44" t="s">
        <v>37</v>
      </c>
      <c r="CG262" s="44">
        <v>21847</v>
      </c>
      <c r="CH262" s="44" t="s">
        <v>37</v>
      </c>
      <c r="CI262" s="44">
        <v>77085</v>
      </c>
      <c r="CJ262" s="44" t="s">
        <v>37</v>
      </c>
      <c r="CK262" s="44">
        <v>6066</v>
      </c>
      <c r="CL262" s="44" t="s">
        <v>37</v>
      </c>
      <c r="CM262" s="44">
        <v>46815</v>
      </c>
      <c r="CN262" s="44" t="s">
        <v>37</v>
      </c>
      <c r="CO262" s="44">
        <v>9745</v>
      </c>
      <c r="CP262" s="44" t="s">
        <v>37</v>
      </c>
      <c r="CQ262" s="44">
        <v>6412</v>
      </c>
      <c r="CR262" s="44" t="s">
        <v>37</v>
      </c>
      <c r="CS262" s="44">
        <v>58865</v>
      </c>
      <c r="CT262" s="44" t="s">
        <v>37</v>
      </c>
      <c r="CU262" s="44">
        <v>296754</v>
      </c>
      <c r="CV262" s="44" t="s">
        <v>37</v>
      </c>
      <c r="CW262" s="44">
        <v>39974</v>
      </c>
      <c r="CX262" s="44" t="s">
        <v>37</v>
      </c>
      <c r="CY262" s="44">
        <v>5005</v>
      </c>
      <c r="CZ262" s="44" t="s">
        <v>37</v>
      </c>
      <c r="DA262" s="44">
        <v>6727</v>
      </c>
      <c r="DB262" s="44" t="s">
        <v>37</v>
      </c>
      <c r="DD262" s="44" t="s">
        <v>37</v>
      </c>
      <c r="DE262" s="44">
        <v>13313</v>
      </c>
      <c r="DF262" s="44" t="s">
        <v>37</v>
      </c>
      <c r="DG262" s="44">
        <v>12247</v>
      </c>
      <c r="DH262" s="44" t="s">
        <v>37</v>
      </c>
      <c r="DI262" s="44">
        <v>141829</v>
      </c>
      <c r="DJ262" s="44" t="s">
        <v>37</v>
      </c>
      <c r="DK262" s="44">
        <v>19998</v>
      </c>
      <c r="DL262" s="44" t="s">
        <v>37</v>
      </c>
      <c r="DM262" s="44">
        <v>37980</v>
      </c>
      <c r="DN262" s="44" t="s">
        <v>37</v>
      </c>
      <c r="DO262" s="44">
        <v>46748</v>
      </c>
      <c r="DP262" s="44" t="s">
        <v>37</v>
      </c>
      <c r="DQ262" s="44">
        <v>26474</v>
      </c>
      <c r="DR262" s="44" t="s">
        <v>37</v>
      </c>
      <c r="DS262" s="44">
        <v>17384</v>
      </c>
      <c r="DT262" s="44" t="s">
        <v>37</v>
      </c>
      <c r="DU262" s="44">
        <v>20234</v>
      </c>
      <c r="DV262" s="44" t="s">
        <v>37</v>
      </c>
      <c r="DW262" s="44">
        <v>56162</v>
      </c>
      <c r="DX262" s="44" t="s">
        <v>37</v>
      </c>
      <c r="DY262" s="44">
        <v>46308</v>
      </c>
      <c r="DZ262" s="44" t="s">
        <v>37</v>
      </c>
      <c r="EA262" s="44">
        <v>9805</v>
      </c>
      <c r="EB262" s="44" t="s">
        <v>37</v>
      </c>
      <c r="EC262" s="44">
        <v>13979</v>
      </c>
      <c r="ED262" s="44" t="s">
        <v>37</v>
      </c>
      <c r="EE262" s="44">
        <v>47364</v>
      </c>
      <c r="EF262" s="44" t="s">
        <v>37</v>
      </c>
      <c r="EG262" s="44">
        <v>15472</v>
      </c>
      <c r="EH262" s="44" t="s">
        <v>37</v>
      </c>
      <c r="EJ262" s="44" t="s">
        <v>37</v>
      </c>
      <c r="EK262" s="44">
        <v>25955</v>
      </c>
      <c r="EL262" s="44" t="s">
        <v>37</v>
      </c>
      <c r="EM262" s="44">
        <v>12548</v>
      </c>
      <c r="EN262" s="44" t="s">
        <v>37</v>
      </c>
      <c r="EO262" s="44">
        <v>6482</v>
      </c>
      <c r="EP262" s="44" t="s">
        <v>37</v>
      </c>
      <c r="ER262" s="44" t="s">
        <v>37</v>
      </c>
      <c r="ES262" s="44">
        <v>28219</v>
      </c>
      <c r="ET262" s="44" t="s">
        <v>37</v>
      </c>
      <c r="EU262" s="44">
        <v>30627</v>
      </c>
      <c r="EV262" s="44" t="s">
        <v>37</v>
      </c>
      <c r="EW262" s="44">
        <v>50061</v>
      </c>
      <c r="EX262" s="44" t="s">
        <v>37</v>
      </c>
      <c r="EZ262" s="44" t="s">
        <v>37</v>
      </c>
      <c r="FA262" s="44">
        <v>24886</v>
      </c>
      <c r="FB262" s="44" t="s">
        <v>37</v>
      </c>
      <c r="FC262" s="44">
        <v>18151</v>
      </c>
      <c r="FD262" s="44" t="s">
        <v>37</v>
      </c>
      <c r="FE262" s="44">
        <v>49759</v>
      </c>
      <c r="FF262" s="44" t="s">
        <v>37</v>
      </c>
      <c r="FH262" s="44" t="s">
        <v>37</v>
      </c>
      <c r="FI262" s="44">
        <v>62502</v>
      </c>
      <c r="FJ262" s="44" t="s">
        <v>37</v>
      </c>
      <c r="FK262" s="44">
        <v>128050</v>
      </c>
      <c r="FL262" s="44" t="s">
        <v>37</v>
      </c>
      <c r="FM262" s="44">
        <v>46787</v>
      </c>
      <c r="FN262" s="44" t="s">
        <v>37</v>
      </c>
      <c r="FO262" s="44">
        <v>10552</v>
      </c>
      <c r="FP262" s="44" t="s">
        <v>37</v>
      </c>
      <c r="FQ262" s="44">
        <v>17475</v>
      </c>
      <c r="FR262" s="44" t="s">
        <v>37</v>
      </c>
      <c r="FS262" s="44">
        <v>25110</v>
      </c>
      <c r="FT262" s="44" t="s">
        <v>37</v>
      </c>
      <c r="FU262" s="44">
        <v>11957</v>
      </c>
      <c r="FV262" s="44" t="s">
        <v>37</v>
      </c>
      <c r="FW262" s="44">
        <v>9131</v>
      </c>
      <c r="FX262" s="44" t="s">
        <v>37</v>
      </c>
      <c r="FY262" s="44">
        <v>23707</v>
      </c>
      <c r="FZ262" s="44" t="s">
        <v>37</v>
      </c>
      <c r="GA262" s="44">
        <v>26375</v>
      </c>
      <c r="GB262" s="44" t="s">
        <v>37</v>
      </c>
      <c r="GC262" s="44">
        <v>69322</v>
      </c>
      <c r="GD262" s="44" t="s">
        <v>37</v>
      </c>
      <c r="GF262" s="44" t="s">
        <v>37</v>
      </c>
      <c r="GH262" s="44" t="s">
        <v>37</v>
      </c>
      <c r="GJ262" s="44" t="s">
        <v>37</v>
      </c>
      <c r="GK262" s="44">
        <v>57798</v>
      </c>
      <c r="GL262" s="44" t="s">
        <v>37</v>
      </c>
      <c r="GM262" s="44">
        <v>49409</v>
      </c>
      <c r="GN262" s="44" t="s">
        <v>37</v>
      </c>
      <c r="GP262" s="44" t="s">
        <v>37</v>
      </c>
      <c r="GQ262" s="44">
        <v>24650</v>
      </c>
      <c r="GR262" s="44" t="s">
        <v>37</v>
      </c>
      <c r="GS262" s="44">
        <v>50907</v>
      </c>
      <c r="GT262" s="44" t="s">
        <v>37</v>
      </c>
      <c r="GU262" s="44">
        <v>20951</v>
      </c>
      <c r="GV262" s="44" t="s">
        <v>37</v>
      </c>
      <c r="GW262" s="44">
        <v>15043</v>
      </c>
      <c r="GX262" s="44" t="s">
        <v>37</v>
      </c>
      <c r="GY262" s="44">
        <v>66306</v>
      </c>
      <c r="GZ262" s="44" t="s">
        <v>37</v>
      </c>
      <c r="HA262" s="44">
        <v>14506</v>
      </c>
      <c r="HB262" s="44" t="s">
        <v>37</v>
      </c>
      <c r="HD262" s="44" t="s">
        <v>37</v>
      </c>
      <c r="HF262" s="44" t="s">
        <v>37</v>
      </c>
      <c r="HG262" s="44">
        <v>3338993</v>
      </c>
      <c r="HH262" s="44" t="s">
        <v>37</v>
      </c>
      <c r="HJ262" s="44" t="s">
        <v>37</v>
      </c>
      <c r="HK262" s="44">
        <v>3338993</v>
      </c>
      <c r="HL262" s="44" t="s">
        <v>37</v>
      </c>
    </row>
    <row r="263" spans="1:220">
      <c r="A263" s="150" t="s">
        <v>412</v>
      </c>
      <c r="B263" s="44">
        <v>4924</v>
      </c>
      <c r="C263" s="44" t="s">
        <v>269</v>
      </c>
      <c r="D263" s="44" t="s">
        <v>37</v>
      </c>
      <c r="F263" s="44" t="s">
        <v>37</v>
      </c>
      <c r="G263" s="44">
        <v>103332</v>
      </c>
      <c r="H263" s="44" t="s">
        <v>37</v>
      </c>
      <c r="I263" s="44">
        <v>141617</v>
      </c>
      <c r="J263" s="44" t="s">
        <v>37</v>
      </c>
      <c r="L263" s="48" t="s">
        <v>37</v>
      </c>
      <c r="M263" s="50"/>
      <c r="N263" s="48" t="s">
        <v>37</v>
      </c>
      <c r="O263" s="51">
        <v>370312</v>
      </c>
      <c r="P263" s="48" t="s">
        <v>37</v>
      </c>
      <c r="Q263" s="51">
        <v>169125</v>
      </c>
      <c r="R263" s="48" t="s">
        <v>37</v>
      </c>
      <c r="S263" s="51">
        <v>87500</v>
      </c>
      <c r="T263" s="48" t="s">
        <v>37</v>
      </c>
      <c r="U263" s="44">
        <v>240715</v>
      </c>
      <c r="V263" s="44" t="s">
        <v>37</v>
      </c>
      <c r="X263" s="44" t="s">
        <v>37</v>
      </c>
      <c r="Z263" s="44" t="s">
        <v>37</v>
      </c>
      <c r="AB263" s="44" t="s">
        <v>37</v>
      </c>
      <c r="AD263" s="44" t="s">
        <v>37</v>
      </c>
      <c r="AE263" s="44">
        <v>92047</v>
      </c>
      <c r="AF263" s="44" t="s">
        <v>37</v>
      </c>
      <c r="AH263" s="44" t="s">
        <v>37</v>
      </c>
      <c r="AJ263" s="44" t="s">
        <v>37</v>
      </c>
      <c r="AL263" s="44" t="s">
        <v>37</v>
      </c>
      <c r="AM263" s="44">
        <v>241879</v>
      </c>
      <c r="AN263" s="44" t="s">
        <v>37</v>
      </c>
      <c r="AP263" s="44" t="s">
        <v>37</v>
      </c>
      <c r="AQ263" s="44">
        <v>436645</v>
      </c>
      <c r="AR263" s="44" t="s">
        <v>37</v>
      </c>
      <c r="AT263" s="44" t="s">
        <v>37</v>
      </c>
      <c r="AU263" s="44">
        <v>436670</v>
      </c>
      <c r="AV263" s="44" t="s">
        <v>37</v>
      </c>
      <c r="AW263" s="44">
        <v>86777</v>
      </c>
      <c r="AX263" s="44" t="s">
        <v>37</v>
      </c>
      <c r="AY263" s="44">
        <v>112449</v>
      </c>
      <c r="AZ263" s="44" t="s">
        <v>37</v>
      </c>
      <c r="BB263" s="44" t="s">
        <v>37</v>
      </c>
      <c r="BD263" s="44" t="s">
        <v>37</v>
      </c>
      <c r="BF263" s="44" t="s">
        <v>37</v>
      </c>
      <c r="BG263" s="44">
        <v>108950</v>
      </c>
      <c r="BH263" s="44" t="s">
        <v>37</v>
      </c>
      <c r="BJ263" s="44" t="s">
        <v>37</v>
      </c>
      <c r="BK263" s="44">
        <v>197432</v>
      </c>
      <c r="BL263" s="44" t="s">
        <v>37</v>
      </c>
      <c r="BM263" s="44">
        <v>54317</v>
      </c>
      <c r="BN263" s="44" t="s">
        <v>37</v>
      </c>
      <c r="BP263" s="44" t="s">
        <v>37</v>
      </c>
      <c r="BR263" s="44" t="s">
        <v>37</v>
      </c>
      <c r="BT263" s="44" t="s">
        <v>37</v>
      </c>
      <c r="BU263" s="44">
        <v>361979</v>
      </c>
      <c r="BV263" s="44" t="s">
        <v>37</v>
      </c>
      <c r="BX263" s="44" t="s">
        <v>37</v>
      </c>
      <c r="BZ263" s="44" t="s">
        <v>37</v>
      </c>
      <c r="CA263" s="44">
        <v>158316</v>
      </c>
      <c r="CB263" s="44" t="s">
        <v>37</v>
      </c>
      <c r="CD263" s="44" t="s">
        <v>37</v>
      </c>
      <c r="CE263" s="44">
        <v>4404</v>
      </c>
      <c r="CF263" s="44" t="s">
        <v>37</v>
      </c>
      <c r="CG263" s="44">
        <v>6483</v>
      </c>
      <c r="CH263" s="44" t="s">
        <v>37</v>
      </c>
      <c r="CI263" s="44">
        <v>115165</v>
      </c>
      <c r="CJ263" s="44" t="s">
        <v>37</v>
      </c>
      <c r="CL263" s="44" t="s">
        <v>37</v>
      </c>
      <c r="CN263" s="44" t="s">
        <v>37</v>
      </c>
      <c r="CP263" s="44" t="s">
        <v>37</v>
      </c>
      <c r="CQ263" s="44">
        <v>111842</v>
      </c>
      <c r="CR263" s="44" t="s">
        <v>37</v>
      </c>
      <c r="CT263" s="44" t="s">
        <v>37</v>
      </c>
      <c r="CV263" s="44" t="s">
        <v>37</v>
      </c>
      <c r="CW263" s="44">
        <v>229088</v>
      </c>
      <c r="CX263" s="44" t="s">
        <v>37</v>
      </c>
      <c r="CY263" s="44">
        <v>87500</v>
      </c>
      <c r="CZ263" s="44" t="s">
        <v>37</v>
      </c>
      <c r="DB263" s="44" t="s">
        <v>37</v>
      </c>
      <c r="DD263" s="44" t="s">
        <v>37</v>
      </c>
      <c r="DE263" s="44">
        <v>172816</v>
      </c>
      <c r="DF263" s="44" t="s">
        <v>37</v>
      </c>
      <c r="DH263" s="44" t="s">
        <v>37</v>
      </c>
      <c r="DJ263" s="44" t="s">
        <v>37</v>
      </c>
      <c r="DL263" s="44" t="s">
        <v>37</v>
      </c>
      <c r="DM263" s="44">
        <v>187614</v>
      </c>
      <c r="DN263" s="44" t="s">
        <v>37</v>
      </c>
      <c r="DO263" s="44">
        <v>74896</v>
      </c>
      <c r="DP263" s="44" t="s">
        <v>37</v>
      </c>
      <c r="DR263" s="44" t="s">
        <v>37</v>
      </c>
      <c r="DS263" s="44">
        <v>181826</v>
      </c>
      <c r="DT263" s="44" t="s">
        <v>37</v>
      </c>
      <c r="DU263" s="44">
        <v>186180</v>
      </c>
      <c r="DV263" s="44" t="s">
        <v>37</v>
      </c>
      <c r="DW263" s="44">
        <v>294348</v>
      </c>
      <c r="DX263" s="44" t="s">
        <v>37</v>
      </c>
      <c r="DZ263" s="44" t="s">
        <v>37</v>
      </c>
      <c r="EA263" s="44">
        <v>282046</v>
      </c>
      <c r="EB263" s="44" t="s">
        <v>37</v>
      </c>
      <c r="ED263" s="44" t="s">
        <v>37</v>
      </c>
      <c r="EF263" s="44" t="s">
        <v>37</v>
      </c>
      <c r="EH263" s="44" t="s">
        <v>37</v>
      </c>
      <c r="EJ263" s="44" t="s">
        <v>37</v>
      </c>
      <c r="EK263" s="44">
        <v>96030</v>
      </c>
      <c r="EL263" s="44" t="s">
        <v>37</v>
      </c>
      <c r="EM263" s="44">
        <v>87500</v>
      </c>
      <c r="EN263" s="44" t="s">
        <v>37</v>
      </c>
      <c r="EP263" s="44" t="s">
        <v>37</v>
      </c>
      <c r="ER263" s="44" t="s">
        <v>37</v>
      </c>
      <c r="ES263" s="44">
        <v>62267</v>
      </c>
      <c r="ET263" s="44" t="s">
        <v>37</v>
      </c>
      <c r="EU263" s="44">
        <v>175000</v>
      </c>
      <c r="EV263" s="44" t="s">
        <v>37</v>
      </c>
      <c r="EW263" s="44">
        <v>122036</v>
      </c>
      <c r="EX263" s="44" t="s">
        <v>37</v>
      </c>
      <c r="EZ263" s="44" t="s">
        <v>37</v>
      </c>
      <c r="FB263" s="44" t="s">
        <v>37</v>
      </c>
      <c r="FD263" s="44" t="s">
        <v>37</v>
      </c>
      <c r="FE263" s="44">
        <v>102033</v>
      </c>
      <c r="FF263" s="44" t="s">
        <v>37</v>
      </c>
      <c r="FH263" s="44" t="s">
        <v>37</v>
      </c>
      <c r="FI263" s="44">
        <v>118899</v>
      </c>
      <c r="FJ263" s="44" t="s">
        <v>37</v>
      </c>
      <c r="FK263" s="44">
        <v>101963</v>
      </c>
      <c r="FL263" s="44" t="s">
        <v>37</v>
      </c>
      <c r="FM263" s="44">
        <v>428468</v>
      </c>
      <c r="FN263" s="44" t="s">
        <v>37</v>
      </c>
      <c r="FP263" s="44" t="s">
        <v>37</v>
      </c>
      <c r="FQ263" s="44">
        <v>84959</v>
      </c>
      <c r="FR263" s="44" t="s">
        <v>37</v>
      </c>
      <c r="FT263" s="44" t="s">
        <v>37</v>
      </c>
      <c r="FU263" s="44">
        <v>177922</v>
      </c>
      <c r="FV263" s="44" t="s">
        <v>37</v>
      </c>
      <c r="FW263" s="44">
        <v>13964</v>
      </c>
      <c r="FX263" s="44" t="s">
        <v>37</v>
      </c>
      <c r="FZ263" s="44" t="s">
        <v>37</v>
      </c>
      <c r="GB263" s="44" t="s">
        <v>37</v>
      </c>
      <c r="GD263" s="44" t="s">
        <v>37</v>
      </c>
      <c r="GF263" s="44" t="s">
        <v>37</v>
      </c>
      <c r="GH263" s="44" t="s">
        <v>37</v>
      </c>
      <c r="GJ263" s="44" t="s">
        <v>37</v>
      </c>
      <c r="GK263" s="44">
        <v>157737</v>
      </c>
      <c r="GL263" s="44" t="s">
        <v>37</v>
      </c>
      <c r="GM263" s="44">
        <v>172256</v>
      </c>
      <c r="GN263" s="44" t="s">
        <v>37</v>
      </c>
      <c r="GP263" s="44" t="s">
        <v>37</v>
      </c>
      <c r="GQ263" s="44">
        <v>234326</v>
      </c>
      <c r="GR263" s="44" t="s">
        <v>37</v>
      </c>
      <c r="GS263" s="44">
        <v>234495</v>
      </c>
      <c r="GT263" s="44" t="s">
        <v>37</v>
      </c>
      <c r="GU263" s="44">
        <v>169955</v>
      </c>
      <c r="GV263" s="44" t="s">
        <v>37</v>
      </c>
      <c r="GX263" s="44" t="s">
        <v>37</v>
      </c>
      <c r="GZ263" s="44" t="s">
        <v>37</v>
      </c>
      <c r="HB263" s="44" t="s">
        <v>37</v>
      </c>
      <c r="HC263" s="44">
        <v>47909</v>
      </c>
      <c r="HD263" s="44" t="s">
        <v>37</v>
      </c>
      <c r="HF263" s="44" t="s">
        <v>37</v>
      </c>
      <c r="HG263" s="44">
        <v>7874080</v>
      </c>
      <c r="HH263" s="44" t="s">
        <v>37</v>
      </c>
      <c r="HI263" s="44">
        <v>47909</v>
      </c>
      <c r="HJ263" s="44" t="s">
        <v>37</v>
      </c>
      <c r="HK263" s="44">
        <v>7921989</v>
      </c>
      <c r="HL263" s="44" t="s">
        <v>37</v>
      </c>
    </row>
    <row r="264" spans="1:220">
      <c r="A264" s="150" t="s">
        <v>412</v>
      </c>
      <c r="B264" s="44">
        <v>4930</v>
      </c>
      <c r="C264" s="44" t="s">
        <v>270</v>
      </c>
      <c r="D264" s="44" t="s">
        <v>37</v>
      </c>
      <c r="F264" s="44" t="s">
        <v>37</v>
      </c>
      <c r="H264" s="44" t="s">
        <v>37</v>
      </c>
      <c r="J264" s="44" t="s">
        <v>37</v>
      </c>
      <c r="L264" s="48" t="s">
        <v>37</v>
      </c>
      <c r="M264" s="50"/>
      <c r="N264" s="48" t="s">
        <v>37</v>
      </c>
      <c r="O264" s="50"/>
      <c r="P264" s="48" t="s">
        <v>37</v>
      </c>
      <c r="Q264" s="50"/>
      <c r="R264" s="48" t="s">
        <v>37</v>
      </c>
      <c r="S264" s="50"/>
      <c r="T264" s="48" t="s">
        <v>37</v>
      </c>
      <c r="V264" s="44" t="s">
        <v>37</v>
      </c>
      <c r="X264" s="44" t="s">
        <v>37</v>
      </c>
      <c r="Z264" s="44" t="s">
        <v>37</v>
      </c>
      <c r="AB264" s="44" t="s">
        <v>37</v>
      </c>
      <c r="AD264" s="44" t="s">
        <v>37</v>
      </c>
      <c r="AF264" s="44" t="s">
        <v>37</v>
      </c>
      <c r="AH264" s="44" t="s">
        <v>37</v>
      </c>
      <c r="AJ264" s="44" t="s">
        <v>37</v>
      </c>
      <c r="AL264" s="44" t="s">
        <v>37</v>
      </c>
      <c r="AN264" s="44" t="s">
        <v>37</v>
      </c>
      <c r="AP264" s="44" t="s">
        <v>37</v>
      </c>
      <c r="AR264" s="44" t="s">
        <v>37</v>
      </c>
      <c r="AT264" s="44" t="s">
        <v>37</v>
      </c>
      <c r="AV264" s="44" t="s">
        <v>37</v>
      </c>
      <c r="AX264" s="44" t="s">
        <v>37</v>
      </c>
      <c r="AZ264" s="44" t="s">
        <v>37</v>
      </c>
      <c r="BB264" s="44" t="s">
        <v>37</v>
      </c>
      <c r="BD264" s="44" t="s">
        <v>37</v>
      </c>
      <c r="BF264" s="44" t="s">
        <v>37</v>
      </c>
      <c r="BH264" s="44" t="s">
        <v>37</v>
      </c>
      <c r="BJ264" s="44" t="s">
        <v>37</v>
      </c>
      <c r="BL264" s="44" t="s">
        <v>37</v>
      </c>
      <c r="BN264" s="44" t="s">
        <v>37</v>
      </c>
      <c r="BP264" s="44" t="s">
        <v>37</v>
      </c>
      <c r="BR264" s="44" t="s">
        <v>37</v>
      </c>
      <c r="BT264" s="44" t="s">
        <v>37</v>
      </c>
      <c r="BV264" s="44" t="s">
        <v>37</v>
      </c>
      <c r="BX264" s="44" t="s">
        <v>37</v>
      </c>
      <c r="BZ264" s="44" t="s">
        <v>37</v>
      </c>
      <c r="CB264" s="44" t="s">
        <v>37</v>
      </c>
      <c r="CD264" s="44" t="s">
        <v>37</v>
      </c>
      <c r="CF264" s="44" t="s">
        <v>37</v>
      </c>
      <c r="CH264" s="44" t="s">
        <v>37</v>
      </c>
      <c r="CJ264" s="44" t="s">
        <v>37</v>
      </c>
      <c r="CL264" s="44" t="s">
        <v>37</v>
      </c>
      <c r="CN264" s="44" t="s">
        <v>37</v>
      </c>
      <c r="CP264" s="44" t="s">
        <v>37</v>
      </c>
      <c r="CR264" s="44" t="s">
        <v>37</v>
      </c>
      <c r="CT264" s="44" t="s">
        <v>37</v>
      </c>
      <c r="CV264" s="44" t="s">
        <v>37</v>
      </c>
      <c r="CX264" s="44" t="s">
        <v>37</v>
      </c>
      <c r="CZ264" s="44" t="s">
        <v>37</v>
      </c>
      <c r="DB264" s="44" t="s">
        <v>37</v>
      </c>
      <c r="DD264" s="44" t="s">
        <v>37</v>
      </c>
      <c r="DF264" s="44" t="s">
        <v>37</v>
      </c>
      <c r="DH264" s="44" t="s">
        <v>37</v>
      </c>
      <c r="DJ264" s="44" t="s">
        <v>37</v>
      </c>
      <c r="DL264" s="44" t="s">
        <v>37</v>
      </c>
      <c r="DN264" s="44" t="s">
        <v>37</v>
      </c>
      <c r="DP264" s="44" t="s">
        <v>37</v>
      </c>
      <c r="DR264" s="44" t="s">
        <v>37</v>
      </c>
      <c r="DT264" s="44" t="s">
        <v>37</v>
      </c>
      <c r="DV264" s="44" t="s">
        <v>37</v>
      </c>
      <c r="DX264" s="44" t="s">
        <v>37</v>
      </c>
      <c r="DZ264" s="44" t="s">
        <v>37</v>
      </c>
      <c r="EB264" s="44" t="s">
        <v>37</v>
      </c>
      <c r="ED264" s="44" t="s">
        <v>37</v>
      </c>
      <c r="EF264" s="44" t="s">
        <v>37</v>
      </c>
      <c r="EH264" s="44" t="s">
        <v>37</v>
      </c>
      <c r="EJ264" s="44" t="s">
        <v>37</v>
      </c>
      <c r="EL264" s="44" t="s">
        <v>37</v>
      </c>
      <c r="EN264" s="44" t="s">
        <v>37</v>
      </c>
      <c r="EP264" s="44" t="s">
        <v>37</v>
      </c>
      <c r="ER264" s="44" t="s">
        <v>37</v>
      </c>
      <c r="ET264" s="44" t="s">
        <v>37</v>
      </c>
      <c r="EV264" s="44" t="s">
        <v>37</v>
      </c>
      <c r="EW264" s="44">
        <v>10575</v>
      </c>
      <c r="EX264" s="44" t="s">
        <v>37</v>
      </c>
      <c r="EZ264" s="44" t="s">
        <v>37</v>
      </c>
      <c r="FB264" s="44" t="s">
        <v>37</v>
      </c>
      <c r="FD264" s="44" t="s">
        <v>37</v>
      </c>
      <c r="FF264" s="44" t="s">
        <v>37</v>
      </c>
      <c r="FH264" s="44" t="s">
        <v>37</v>
      </c>
      <c r="FJ264" s="44" t="s">
        <v>37</v>
      </c>
      <c r="FL264" s="44" t="s">
        <v>37</v>
      </c>
      <c r="FN264" s="44" t="s">
        <v>37</v>
      </c>
      <c r="FP264" s="44" t="s">
        <v>37</v>
      </c>
      <c r="FR264" s="44" t="s">
        <v>37</v>
      </c>
      <c r="FT264" s="44" t="s">
        <v>37</v>
      </c>
      <c r="FU264" s="44">
        <v>125289</v>
      </c>
      <c r="FV264" s="44" t="s">
        <v>37</v>
      </c>
      <c r="FX264" s="44" t="s">
        <v>37</v>
      </c>
      <c r="FZ264" s="44" t="s">
        <v>37</v>
      </c>
      <c r="GB264" s="44" t="s">
        <v>37</v>
      </c>
      <c r="GD264" s="44" t="s">
        <v>37</v>
      </c>
      <c r="GF264" s="44" t="s">
        <v>37</v>
      </c>
      <c r="GH264" s="44" t="s">
        <v>37</v>
      </c>
      <c r="GJ264" s="44" t="s">
        <v>37</v>
      </c>
      <c r="GL264" s="44" t="s">
        <v>37</v>
      </c>
      <c r="GN264" s="44" t="s">
        <v>37</v>
      </c>
      <c r="GP264" s="44" t="s">
        <v>37</v>
      </c>
      <c r="GR264" s="44" t="s">
        <v>37</v>
      </c>
      <c r="GT264" s="44" t="s">
        <v>37</v>
      </c>
      <c r="GV264" s="44" t="s">
        <v>37</v>
      </c>
      <c r="GX264" s="44" t="s">
        <v>37</v>
      </c>
      <c r="GZ264" s="44" t="s">
        <v>37</v>
      </c>
      <c r="HB264" s="44" t="s">
        <v>37</v>
      </c>
      <c r="HD264" s="44" t="s">
        <v>37</v>
      </c>
      <c r="HF264" s="44" t="s">
        <v>37</v>
      </c>
      <c r="HG264" s="44">
        <v>135864</v>
      </c>
      <c r="HH264" s="44" t="s">
        <v>37</v>
      </c>
      <c r="HJ264" s="44" t="s">
        <v>37</v>
      </c>
      <c r="HK264" s="44">
        <v>135864</v>
      </c>
      <c r="HL264" s="44" t="s">
        <v>37</v>
      </c>
    </row>
    <row r="265" spans="1:220">
      <c r="A265" s="150" t="s">
        <v>412</v>
      </c>
      <c r="B265" s="44">
        <v>4952</v>
      </c>
      <c r="C265" s="44" t="s">
        <v>271</v>
      </c>
      <c r="D265" s="44" t="s">
        <v>37</v>
      </c>
      <c r="F265" s="44" t="s">
        <v>37</v>
      </c>
      <c r="H265" s="44" t="s">
        <v>37</v>
      </c>
      <c r="J265" s="44" t="s">
        <v>37</v>
      </c>
      <c r="L265" s="48" t="s">
        <v>37</v>
      </c>
      <c r="M265" s="50"/>
      <c r="N265" s="48" t="s">
        <v>37</v>
      </c>
      <c r="O265" s="50"/>
      <c r="P265" s="48" t="s">
        <v>37</v>
      </c>
      <c r="Q265" s="50"/>
      <c r="R265" s="48" t="s">
        <v>37</v>
      </c>
      <c r="S265" s="50"/>
      <c r="T265" s="48" t="s">
        <v>37</v>
      </c>
      <c r="V265" s="44" t="s">
        <v>37</v>
      </c>
      <c r="X265" s="44" t="s">
        <v>37</v>
      </c>
      <c r="Z265" s="44" t="s">
        <v>37</v>
      </c>
      <c r="AB265" s="44" t="s">
        <v>37</v>
      </c>
      <c r="AD265" s="44" t="s">
        <v>37</v>
      </c>
      <c r="AF265" s="44" t="s">
        <v>37</v>
      </c>
      <c r="AH265" s="44" t="s">
        <v>37</v>
      </c>
      <c r="AJ265" s="44" t="s">
        <v>37</v>
      </c>
      <c r="AL265" s="44" t="s">
        <v>37</v>
      </c>
      <c r="AN265" s="44" t="s">
        <v>37</v>
      </c>
      <c r="AP265" s="44" t="s">
        <v>37</v>
      </c>
      <c r="AR265" s="44" t="s">
        <v>37</v>
      </c>
      <c r="AT265" s="44" t="s">
        <v>37</v>
      </c>
      <c r="AV265" s="44" t="s">
        <v>37</v>
      </c>
      <c r="AX265" s="44" t="s">
        <v>37</v>
      </c>
      <c r="AZ265" s="44" t="s">
        <v>37</v>
      </c>
      <c r="BB265" s="44" t="s">
        <v>37</v>
      </c>
      <c r="BD265" s="44" t="s">
        <v>37</v>
      </c>
      <c r="BF265" s="44" t="s">
        <v>37</v>
      </c>
      <c r="BH265" s="44" t="s">
        <v>37</v>
      </c>
      <c r="BJ265" s="44" t="s">
        <v>37</v>
      </c>
      <c r="BL265" s="44" t="s">
        <v>37</v>
      </c>
      <c r="BN265" s="44" t="s">
        <v>37</v>
      </c>
      <c r="BP265" s="44" t="s">
        <v>37</v>
      </c>
      <c r="BR265" s="44" t="s">
        <v>37</v>
      </c>
      <c r="BT265" s="44" t="s">
        <v>37</v>
      </c>
      <c r="BV265" s="44" t="s">
        <v>37</v>
      </c>
      <c r="BX265" s="44" t="s">
        <v>37</v>
      </c>
      <c r="BZ265" s="44" t="s">
        <v>37</v>
      </c>
      <c r="CB265" s="44" t="s">
        <v>37</v>
      </c>
      <c r="CD265" s="44" t="s">
        <v>37</v>
      </c>
      <c r="CF265" s="44" t="s">
        <v>37</v>
      </c>
      <c r="CH265" s="44" t="s">
        <v>37</v>
      </c>
      <c r="CJ265" s="44" t="s">
        <v>37</v>
      </c>
      <c r="CL265" s="44" t="s">
        <v>37</v>
      </c>
      <c r="CN265" s="44" t="s">
        <v>37</v>
      </c>
      <c r="CP265" s="44" t="s">
        <v>37</v>
      </c>
      <c r="CR265" s="44" t="s">
        <v>37</v>
      </c>
      <c r="CT265" s="44" t="s">
        <v>37</v>
      </c>
      <c r="CV265" s="44" t="s">
        <v>37</v>
      </c>
      <c r="CX265" s="44" t="s">
        <v>37</v>
      </c>
      <c r="CZ265" s="44" t="s">
        <v>37</v>
      </c>
      <c r="DB265" s="44" t="s">
        <v>37</v>
      </c>
      <c r="DD265" s="44" t="s">
        <v>37</v>
      </c>
      <c r="DF265" s="44" t="s">
        <v>37</v>
      </c>
      <c r="DH265" s="44" t="s">
        <v>37</v>
      </c>
      <c r="DJ265" s="44" t="s">
        <v>37</v>
      </c>
      <c r="DL265" s="44" t="s">
        <v>37</v>
      </c>
      <c r="DN265" s="44" t="s">
        <v>37</v>
      </c>
      <c r="DP265" s="44" t="s">
        <v>37</v>
      </c>
      <c r="DR265" s="44" t="s">
        <v>37</v>
      </c>
      <c r="DT265" s="44" t="s">
        <v>37</v>
      </c>
      <c r="DV265" s="44" t="s">
        <v>37</v>
      </c>
      <c r="DX265" s="44" t="s">
        <v>37</v>
      </c>
      <c r="DZ265" s="44" t="s">
        <v>37</v>
      </c>
      <c r="EB265" s="44" t="s">
        <v>37</v>
      </c>
      <c r="ED265" s="44" t="s">
        <v>37</v>
      </c>
      <c r="EF265" s="44" t="s">
        <v>37</v>
      </c>
      <c r="EH265" s="44" t="s">
        <v>37</v>
      </c>
      <c r="EJ265" s="44" t="s">
        <v>37</v>
      </c>
      <c r="EL265" s="44" t="s">
        <v>37</v>
      </c>
      <c r="EN265" s="44" t="s">
        <v>37</v>
      </c>
      <c r="EP265" s="44" t="s">
        <v>37</v>
      </c>
      <c r="ER265" s="44" t="s">
        <v>37</v>
      </c>
      <c r="ET265" s="44" t="s">
        <v>37</v>
      </c>
      <c r="EV265" s="44" t="s">
        <v>37</v>
      </c>
      <c r="EX265" s="44" t="s">
        <v>37</v>
      </c>
      <c r="EZ265" s="44" t="s">
        <v>37</v>
      </c>
      <c r="FB265" s="44" t="s">
        <v>37</v>
      </c>
      <c r="FD265" s="44" t="s">
        <v>37</v>
      </c>
      <c r="FF265" s="44" t="s">
        <v>37</v>
      </c>
      <c r="FH265" s="44" t="s">
        <v>37</v>
      </c>
      <c r="FJ265" s="44" t="s">
        <v>37</v>
      </c>
      <c r="FL265" s="44" t="s">
        <v>37</v>
      </c>
      <c r="FN265" s="44" t="s">
        <v>37</v>
      </c>
      <c r="FP265" s="44" t="s">
        <v>37</v>
      </c>
      <c r="FR265" s="44" t="s">
        <v>37</v>
      </c>
      <c r="FT265" s="44" t="s">
        <v>37</v>
      </c>
      <c r="FV265" s="44" t="s">
        <v>37</v>
      </c>
      <c r="FX265" s="44" t="s">
        <v>37</v>
      </c>
      <c r="FZ265" s="44" t="s">
        <v>37</v>
      </c>
      <c r="GB265" s="44" t="s">
        <v>37</v>
      </c>
      <c r="GD265" s="44" t="s">
        <v>37</v>
      </c>
      <c r="GF265" s="44" t="s">
        <v>37</v>
      </c>
      <c r="GH265" s="44" t="s">
        <v>37</v>
      </c>
      <c r="GJ265" s="44" t="s">
        <v>37</v>
      </c>
      <c r="GL265" s="44" t="s">
        <v>37</v>
      </c>
      <c r="GN265" s="44" t="s">
        <v>37</v>
      </c>
      <c r="GP265" s="44" t="s">
        <v>37</v>
      </c>
      <c r="GR265" s="44" t="s">
        <v>37</v>
      </c>
      <c r="GT265" s="44" t="s">
        <v>37</v>
      </c>
      <c r="GV265" s="44" t="s">
        <v>37</v>
      </c>
      <c r="GX265" s="44" t="s">
        <v>37</v>
      </c>
      <c r="GZ265" s="44" t="s">
        <v>37</v>
      </c>
      <c r="HB265" s="44" t="s">
        <v>37</v>
      </c>
      <c r="HD265" s="44" t="s">
        <v>37</v>
      </c>
      <c r="HF265" s="44" t="s">
        <v>37</v>
      </c>
      <c r="HH265" s="44" t="s">
        <v>37</v>
      </c>
      <c r="HJ265" s="44" t="s">
        <v>37</v>
      </c>
      <c r="HL265" s="44" t="s">
        <v>37</v>
      </c>
    </row>
    <row r="266" spans="1:220">
      <c r="A266" s="150" t="s">
        <v>412</v>
      </c>
      <c r="B266" s="44">
        <v>4991</v>
      </c>
      <c r="C266" s="44" t="s">
        <v>272</v>
      </c>
      <c r="D266" s="44" t="s">
        <v>37</v>
      </c>
      <c r="E266" s="44">
        <v>98779</v>
      </c>
      <c r="F266" s="44" t="s">
        <v>37</v>
      </c>
      <c r="G266" s="44">
        <v>427835</v>
      </c>
      <c r="H266" s="44" t="s">
        <v>37</v>
      </c>
      <c r="I266" s="44">
        <v>45848</v>
      </c>
      <c r="J266" s="44" t="s">
        <v>37</v>
      </c>
      <c r="L266" s="48" t="s">
        <v>37</v>
      </c>
      <c r="M266" s="51">
        <v>170393</v>
      </c>
      <c r="N266" s="48" t="s">
        <v>37</v>
      </c>
      <c r="O266" s="51">
        <v>90738</v>
      </c>
      <c r="P266" s="48" t="s">
        <v>37</v>
      </c>
      <c r="Q266" s="50"/>
      <c r="R266" s="48" t="s">
        <v>37</v>
      </c>
      <c r="S266" s="50"/>
      <c r="T266" s="48" t="s">
        <v>37</v>
      </c>
      <c r="U266" s="44">
        <v>255736</v>
      </c>
      <c r="V266" s="44" t="s">
        <v>37</v>
      </c>
      <c r="X266" s="44" t="s">
        <v>37</v>
      </c>
      <c r="Z266" s="44" t="s">
        <v>37</v>
      </c>
      <c r="AA266" s="44">
        <v>38471</v>
      </c>
      <c r="AB266" s="44" t="s">
        <v>37</v>
      </c>
      <c r="AC266" s="44">
        <v>30630</v>
      </c>
      <c r="AD266" s="44" t="s">
        <v>37</v>
      </c>
      <c r="AE266" s="44">
        <v>24228</v>
      </c>
      <c r="AF266" s="44" t="s">
        <v>37</v>
      </c>
      <c r="AG266" s="44">
        <v>22830</v>
      </c>
      <c r="AH266" s="44" t="s">
        <v>37</v>
      </c>
      <c r="AI266" s="44">
        <v>60897</v>
      </c>
      <c r="AJ266" s="44" t="s">
        <v>37</v>
      </c>
      <c r="AL266" s="44" t="s">
        <v>37</v>
      </c>
      <c r="AM266" s="44">
        <v>420319</v>
      </c>
      <c r="AN266" s="44" t="s">
        <v>37</v>
      </c>
      <c r="AP266" s="44" t="s">
        <v>37</v>
      </c>
      <c r="AQ266" s="44">
        <v>645086</v>
      </c>
      <c r="AR266" s="44" t="s">
        <v>37</v>
      </c>
      <c r="AS266" s="44">
        <v>39478</v>
      </c>
      <c r="AT266" s="44" t="s">
        <v>37</v>
      </c>
      <c r="AU266" s="44">
        <v>766812</v>
      </c>
      <c r="AV266" s="44" t="s">
        <v>37</v>
      </c>
      <c r="AW266" s="44">
        <v>208755</v>
      </c>
      <c r="AX266" s="44" t="s">
        <v>37</v>
      </c>
      <c r="AY266" s="44">
        <v>123477</v>
      </c>
      <c r="AZ266" s="44" t="s">
        <v>37</v>
      </c>
      <c r="BA266" s="44">
        <v>194258</v>
      </c>
      <c r="BB266" s="44" t="s">
        <v>37</v>
      </c>
      <c r="BC266" s="44">
        <v>25335</v>
      </c>
      <c r="BD266" s="44" t="s">
        <v>37</v>
      </c>
      <c r="BE266" s="44">
        <v>80765</v>
      </c>
      <c r="BF266" s="44" t="s">
        <v>37</v>
      </c>
      <c r="BG266" s="44">
        <v>23406</v>
      </c>
      <c r="BH266" s="44" t="s">
        <v>37</v>
      </c>
      <c r="BJ266" s="44" t="s">
        <v>37</v>
      </c>
      <c r="BK266" s="44">
        <v>168789</v>
      </c>
      <c r="BL266" s="44" t="s">
        <v>37</v>
      </c>
      <c r="BM266" s="44">
        <v>264486</v>
      </c>
      <c r="BN266" s="44" t="s">
        <v>37</v>
      </c>
      <c r="BP266" s="44" t="s">
        <v>37</v>
      </c>
      <c r="BR266" s="44" t="s">
        <v>37</v>
      </c>
      <c r="BT266" s="44" t="s">
        <v>37</v>
      </c>
      <c r="BU266" s="44">
        <v>37307</v>
      </c>
      <c r="BV266" s="44" t="s">
        <v>37</v>
      </c>
      <c r="BX266" s="44" t="s">
        <v>37</v>
      </c>
      <c r="BY266" s="44">
        <v>235286</v>
      </c>
      <c r="BZ266" s="44" t="s">
        <v>37</v>
      </c>
      <c r="CA266" s="44">
        <v>62530</v>
      </c>
      <c r="CB266" s="44" t="s">
        <v>37</v>
      </c>
      <c r="CD266" s="44" t="s">
        <v>37</v>
      </c>
      <c r="CF266" s="44" t="s">
        <v>37</v>
      </c>
      <c r="CG266" s="44">
        <v>74435</v>
      </c>
      <c r="CH266" s="44" t="s">
        <v>37</v>
      </c>
      <c r="CJ266" s="44" t="s">
        <v>37</v>
      </c>
      <c r="CK266" s="44">
        <v>31112</v>
      </c>
      <c r="CL266" s="44" t="s">
        <v>37</v>
      </c>
      <c r="CM266" s="44">
        <v>111058</v>
      </c>
      <c r="CN266" s="44" t="s">
        <v>37</v>
      </c>
      <c r="CO266" s="44">
        <v>26840</v>
      </c>
      <c r="CP266" s="44" t="s">
        <v>37</v>
      </c>
      <c r="CQ266" s="44">
        <v>39815</v>
      </c>
      <c r="CR266" s="44" t="s">
        <v>37</v>
      </c>
      <c r="CS266" s="44">
        <v>220232</v>
      </c>
      <c r="CT266" s="44" t="s">
        <v>37</v>
      </c>
      <c r="CU266" s="44">
        <v>1032075</v>
      </c>
      <c r="CV266" s="44" t="s">
        <v>37</v>
      </c>
      <c r="CW266" s="44">
        <v>138964</v>
      </c>
      <c r="CX266" s="44" t="s">
        <v>37</v>
      </c>
      <c r="CZ266" s="44" t="s">
        <v>37</v>
      </c>
      <c r="DA266" s="44">
        <v>41600</v>
      </c>
      <c r="DB266" s="44" t="s">
        <v>37</v>
      </c>
      <c r="DD266" s="44" t="s">
        <v>37</v>
      </c>
      <c r="DE266" s="44">
        <v>70869</v>
      </c>
      <c r="DF266" s="44" t="s">
        <v>37</v>
      </c>
      <c r="DG266" s="44">
        <v>28806</v>
      </c>
      <c r="DH266" s="44" t="s">
        <v>37</v>
      </c>
      <c r="DI266" s="44">
        <v>711444</v>
      </c>
      <c r="DJ266" s="44" t="s">
        <v>37</v>
      </c>
      <c r="DK266" s="44">
        <v>72833</v>
      </c>
      <c r="DL266" s="44" t="s">
        <v>37</v>
      </c>
      <c r="DM266" s="44">
        <v>245919</v>
      </c>
      <c r="DN266" s="44" t="s">
        <v>37</v>
      </c>
      <c r="DO266" s="44">
        <v>244531</v>
      </c>
      <c r="DP266" s="44" t="s">
        <v>37</v>
      </c>
      <c r="DQ266" s="44">
        <v>286204</v>
      </c>
      <c r="DR266" s="44" t="s">
        <v>37</v>
      </c>
      <c r="DT266" s="44" t="s">
        <v>37</v>
      </c>
      <c r="DU266" s="44">
        <v>74752</v>
      </c>
      <c r="DV266" s="44" t="s">
        <v>37</v>
      </c>
      <c r="DW266" s="44">
        <v>362541</v>
      </c>
      <c r="DX266" s="44" t="s">
        <v>37</v>
      </c>
      <c r="DY266" s="44">
        <v>182042</v>
      </c>
      <c r="DZ266" s="44" t="s">
        <v>37</v>
      </c>
      <c r="EB266" s="44" t="s">
        <v>37</v>
      </c>
      <c r="EC266" s="44">
        <v>70284</v>
      </c>
      <c r="ED266" s="44" t="s">
        <v>37</v>
      </c>
      <c r="EE266" s="44">
        <v>344807</v>
      </c>
      <c r="EF266" s="44" t="s">
        <v>37</v>
      </c>
      <c r="EH266" s="44" t="s">
        <v>37</v>
      </c>
      <c r="EJ266" s="44" t="s">
        <v>37</v>
      </c>
      <c r="EK266" s="44">
        <v>78945</v>
      </c>
      <c r="EL266" s="44" t="s">
        <v>37</v>
      </c>
      <c r="EM266" s="44">
        <v>49923</v>
      </c>
      <c r="EN266" s="44" t="s">
        <v>37</v>
      </c>
      <c r="EO266" s="44">
        <v>22853</v>
      </c>
      <c r="EP266" s="44" t="s">
        <v>37</v>
      </c>
      <c r="ER266" s="44" t="s">
        <v>37</v>
      </c>
      <c r="ES266" s="44">
        <v>125840</v>
      </c>
      <c r="ET266" s="44" t="s">
        <v>37</v>
      </c>
      <c r="EU266" s="44">
        <v>150179</v>
      </c>
      <c r="EV266" s="44" t="s">
        <v>37</v>
      </c>
      <c r="EW266" s="44">
        <v>219610</v>
      </c>
      <c r="EX266" s="44" t="s">
        <v>37</v>
      </c>
      <c r="EZ266" s="44" t="s">
        <v>37</v>
      </c>
      <c r="FA266" s="44">
        <v>64887</v>
      </c>
      <c r="FB266" s="44" t="s">
        <v>37</v>
      </c>
      <c r="FC266" s="44">
        <v>124929</v>
      </c>
      <c r="FD266" s="44" t="s">
        <v>37</v>
      </c>
      <c r="FE266" s="44">
        <v>215865</v>
      </c>
      <c r="FF266" s="44" t="s">
        <v>37</v>
      </c>
      <c r="FH266" s="44" t="s">
        <v>37</v>
      </c>
      <c r="FI266" s="44">
        <v>222554</v>
      </c>
      <c r="FJ266" s="44" t="s">
        <v>37</v>
      </c>
      <c r="FK266" s="44">
        <v>499554</v>
      </c>
      <c r="FL266" s="44" t="s">
        <v>37</v>
      </c>
      <c r="FM266" s="44">
        <v>348833</v>
      </c>
      <c r="FN266" s="44" t="s">
        <v>37</v>
      </c>
      <c r="FO266" s="44">
        <v>56721</v>
      </c>
      <c r="FP266" s="44" t="s">
        <v>37</v>
      </c>
      <c r="FQ266" s="44">
        <v>94024</v>
      </c>
      <c r="FR266" s="44" t="s">
        <v>37</v>
      </c>
      <c r="FS266" s="44">
        <v>176341</v>
      </c>
      <c r="FT266" s="44" t="s">
        <v>37</v>
      </c>
      <c r="FU266" s="44">
        <v>62389</v>
      </c>
      <c r="FV266" s="44" t="s">
        <v>37</v>
      </c>
      <c r="FX266" s="44" t="s">
        <v>37</v>
      </c>
      <c r="FY266" s="44">
        <v>117247</v>
      </c>
      <c r="FZ266" s="44" t="s">
        <v>37</v>
      </c>
      <c r="GA266" s="44">
        <v>162936</v>
      </c>
      <c r="GB266" s="44" t="s">
        <v>37</v>
      </c>
      <c r="GC266" s="44">
        <v>159220</v>
      </c>
      <c r="GD266" s="44" t="s">
        <v>37</v>
      </c>
      <c r="GF266" s="44" t="s">
        <v>37</v>
      </c>
      <c r="GH266" s="44" t="s">
        <v>37</v>
      </c>
      <c r="GJ266" s="44" t="s">
        <v>37</v>
      </c>
      <c r="GK266" s="44">
        <v>200782</v>
      </c>
      <c r="GL266" s="44" t="s">
        <v>37</v>
      </c>
      <c r="GM266" s="44">
        <v>215753</v>
      </c>
      <c r="GN266" s="44" t="s">
        <v>37</v>
      </c>
      <c r="GP266" s="44" t="s">
        <v>37</v>
      </c>
      <c r="GQ266" s="44">
        <v>115909</v>
      </c>
      <c r="GR266" s="44" t="s">
        <v>37</v>
      </c>
      <c r="GS266" s="44">
        <v>142901</v>
      </c>
      <c r="GT266" s="44" t="s">
        <v>37</v>
      </c>
      <c r="GU266" s="44">
        <v>100977</v>
      </c>
      <c r="GV266" s="44" t="s">
        <v>37</v>
      </c>
      <c r="GW266" s="44">
        <v>108047</v>
      </c>
      <c r="GX266" s="44" t="s">
        <v>37</v>
      </c>
      <c r="GY266" s="44">
        <v>283786</v>
      </c>
      <c r="GZ266" s="44" t="s">
        <v>37</v>
      </c>
      <c r="HA266" s="44">
        <v>107117</v>
      </c>
      <c r="HB266" s="44" t="s">
        <v>37</v>
      </c>
      <c r="HD266" s="44" t="s">
        <v>37</v>
      </c>
      <c r="HE266" s="44">
        <v>30893</v>
      </c>
      <c r="HF266" s="44" t="s">
        <v>37</v>
      </c>
      <c r="HG266" s="44">
        <v>13201759</v>
      </c>
      <c r="HH266" s="44" t="s">
        <v>37</v>
      </c>
      <c r="HI266" s="44">
        <v>30893</v>
      </c>
      <c r="HJ266" s="44" t="s">
        <v>37</v>
      </c>
      <c r="HK266" s="44">
        <v>13232652</v>
      </c>
      <c r="HL266" s="44" t="s">
        <v>37</v>
      </c>
    </row>
    <row r="267" spans="1:220">
      <c r="A267" s="150" t="s">
        <v>412</v>
      </c>
      <c r="B267" s="44">
        <v>4992</v>
      </c>
      <c r="C267" s="44" t="s">
        <v>273</v>
      </c>
      <c r="D267" s="44" t="s">
        <v>37</v>
      </c>
      <c r="E267" s="44">
        <v>86296</v>
      </c>
      <c r="F267" s="44" t="s">
        <v>37</v>
      </c>
      <c r="H267" s="44" t="s">
        <v>37</v>
      </c>
      <c r="J267" s="44" t="s">
        <v>37</v>
      </c>
      <c r="L267" s="48" t="s">
        <v>37</v>
      </c>
      <c r="M267" s="50"/>
      <c r="N267" s="48" t="s">
        <v>37</v>
      </c>
      <c r="O267" s="50"/>
      <c r="P267" s="48" t="s">
        <v>37</v>
      </c>
      <c r="Q267" s="50"/>
      <c r="R267" s="48" t="s">
        <v>37</v>
      </c>
      <c r="S267" s="50"/>
      <c r="T267" s="48" t="s">
        <v>37</v>
      </c>
      <c r="V267" s="44" t="s">
        <v>37</v>
      </c>
      <c r="X267" s="44" t="s">
        <v>37</v>
      </c>
      <c r="Z267" s="44" t="s">
        <v>37</v>
      </c>
      <c r="AB267" s="44" t="s">
        <v>37</v>
      </c>
      <c r="AD267" s="44" t="s">
        <v>37</v>
      </c>
      <c r="AF267" s="44" t="s">
        <v>37</v>
      </c>
      <c r="AH267" s="44" t="s">
        <v>37</v>
      </c>
      <c r="AJ267" s="44" t="s">
        <v>37</v>
      </c>
      <c r="AL267" s="44" t="s">
        <v>37</v>
      </c>
      <c r="AN267" s="44" t="s">
        <v>37</v>
      </c>
      <c r="AP267" s="44" t="s">
        <v>37</v>
      </c>
      <c r="AR267" s="44" t="s">
        <v>37</v>
      </c>
      <c r="AT267" s="44" t="s">
        <v>37</v>
      </c>
      <c r="AU267" s="44">
        <v>182570</v>
      </c>
      <c r="AV267" s="44" t="s">
        <v>37</v>
      </c>
      <c r="AX267" s="44" t="s">
        <v>37</v>
      </c>
      <c r="AZ267" s="44" t="s">
        <v>37</v>
      </c>
      <c r="BA267" s="44">
        <v>189096</v>
      </c>
      <c r="BB267" s="44" t="s">
        <v>37</v>
      </c>
      <c r="BD267" s="44" t="s">
        <v>37</v>
      </c>
      <c r="BF267" s="44" t="s">
        <v>37</v>
      </c>
      <c r="BH267" s="44" t="s">
        <v>37</v>
      </c>
      <c r="BJ267" s="44" t="s">
        <v>37</v>
      </c>
      <c r="BL267" s="44" t="s">
        <v>37</v>
      </c>
      <c r="BN267" s="44" t="s">
        <v>37</v>
      </c>
      <c r="BP267" s="44" t="s">
        <v>37</v>
      </c>
      <c r="BR267" s="44" t="s">
        <v>37</v>
      </c>
      <c r="BT267" s="44" t="s">
        <v>37</v>
      </c>
      <c r="BV267" s="44" t="s">
        <v>37</v>
      </c>
      <c r="BX267" s="44" t="s">
        <v>37</v>
      </c>
      <c r="BZ267" s="44" t="s">
        <v>37</v>
      </c>
      <c r="CB267" s="44" t="s">
        <v>37</v>
      </c>
      <c r="CD267" s="44" t="s">
        <v>37</v>
      </c>
      <c r="CE267" s="44">
        <v>80945</v>
      </c>
      <c r="CF267" s="44" t="s">
        <v>37</v>
      </c>
      <c r="CG267" s="44">
        <v>36179</v>
      </c>
      <c r="CH267" s="44" t="s">
        <v>37</v>
      </c>
      <c r="CJ267" s="44" t="s">
        <v>37</v>
      </c>
      <c r="CL267" s="44" t="s">
        <v>37</v>
      </c>
      <c r="CN267" s="44" t="s">
        <v>37</v>
      </c>
      <c r="CP267" s="44" t="s">
        <v>37</v>
      </c>
      <c r="CR267" s="44" t="s">
        <v>37</v>
      </c>
      <c r="CT267" s="44" t="s">
        <v>37</v>
      </c>
      <c r="CV267" s="44" t="s">
        <v>37</v>
      </c>
      <c r="CX267" s="44" t="s">
        <v>37</v>
      </c>
      <c r="CZ267" s="44" t="s">
        <v>37</v>
      </c>
      <c r="DB267" s="44" t="s">
        <v>37</v>
      </c>
      <c r="DD267" s="44" t="s">
        <v>37</v>
      </c>
      <c r="DF267" s="44" t="s">
        <v>37</v>
      </c>
      <c r="DH267" s="44" t="s">
        <v>37</v>
      </c>
      <c r="DJ267" s="44" t="s">
        <v>37</v>
      </c>
      <c r="DL267" s="44" t="s">
        <v>37</v>
      </c>
      <c r="DN267" s="44" t="s">
        <v>37</v>
      </c>
      <c r="DP267" s="44" t="s">
        <v>37</v>
      </c>
      <c r="DQ267" s="44">
        <v>49068</v>
      </c>
      <c r="DR267" s="44" t="s">
        <v>37</v>
      </c>
      <c r="DS267" s="44">
        <v>28130</v>
      </c>
      <c r="DT267" s="44" t="s">
        <v>37</v>
      </c>
      <c r="DV267" s="44" t="s">
        <v>37</v>
      </c>
      <c r="DX267" s="44" t="s">
        <v>37</v>
      </c>
      <c r="DZ267" s="44" t="s">
        <v>37</v>
      </c>
      <c r="EB267" s="44" t="s">
        <v>37</v>
      </c>
      <c r="ED267" s="44" t="s">
        <v>37</v>
      </c>
      <c r="EF267" s="44" t="s">
        <v>37</v>
      </c>
      <c r="EH267" s="44" t="s">
        <v>37</v>
      </c>
      <c r="EJ267" s="44" t="s">
        <v>37</v>
      </c>
      <c r="EL267" s="44" t="s">
        <v>37</v>
      </c>
      <c r="EN267" s="44" t="s">
        <v>37</v>
      </c>
      <c r="EP267" s="44" t="s">
        <v>37</v>
      </c>
      <c r="ER267" s="44" t="s">
        <v>37</v>
      </c>
      <c r="ET267" s="44" t="s">
        <v>37</v>
      </c>
      <c r="EU267" s="44">
        <v>80940</v>
      </c>
      <c r="EV267" s="44" t="s">
        <v>37</v>
      </c>
      <c r="EW267" s="44">
        <v>63000</v>
      </c>
      <c r="EX267" s="44" t="s">
        <v>37</v>
      </c>
      <c r="EZ267" s="44" t="s">
        <v>37</v>
      </c>
      <c r="FB267" s="44" t="s">
        <v>37</v>
      </c>
      <c r="FD267" s="44" t="s">
        <v>37</v>
      </c>
      <c r="FF267" s="44" t="s">
        <v>37</v>
      </c>
      <c r="FH267" s="44" t="s">
        <v>37</v>
      </c>
      <c r="FJ267" s="44" t="s">
        <v>37</v>
      </c>
      <c r="FL267" s="44" t="s">
        <v>37</v>
      </c>
      <c r="FN267" s="44" t="s">
        <v>37</v>
      </c>
      <c r="FP267" s="44" t="s">
        <v>37</v>
      </c>
      <c r="FR267" s="44" t="s">
        <v>37</v>
      </c>
      <c r="FT267" s="44" t="s">
        <v>37</v>
      </c>
      <c r="FV267" s="44" t="s">
        <v>37</v>
      </c>
      <c r="FX267" s="44" t="s">
        <v>37</v>
      </c>
      <c r="FZ267" s="44" t="s">
        <v>37</v>
      </c>
      <c r="GB267" s="44" t="s">
        <v>37</v>
      </c>
      <c r="GD267" s="44" t="s">
        <v>37</v>
      </c>
      <c r="GF267" s="44" t="s">
        <v>37</v>
      </c>
      <c r="GH267" s="44" t="s">
        <v>37</v>
      </c>
      <c r="GJ267" s="44" t="s">
        <v>37</v>
      </c>
      <c r="GL267" s="44" t="s">
        <v>37</v>
      </c>
      <c r="GN267" s="44" t="s">
        <v>37</v>
      </c>
      <c r="GP267" s="44" t="s">
        <v>37</v>
      </c>
      <c r="GQ267" s="44">
        <v>164832</v>
      </c>
      <c r="GR267" s="44" t="s">
        <v>37</v>
      </c>
      <c r="GT267" s="44" t="s">
        <v>37</v>
      </c>
      <c r="GV267" s="44" t="s">
        <v>37</v>
      </c>
      <c r="GX267" s="44" t="s">
        <v>37</v>
      </c>
      <c r="GZ267" s="44" t="s">
        <v>37</v>
      </c>
      <c r="HB267" s="44" t="s">
        <v>37</v>
      </c>
      <c r="HD267" s="44" t="s">
        <v>37</v>
      </c>
      <c r="HF267" s="44" t="s">
        <v>37</v>
      </c>
      <c r="HG267" s="44">
        <v>961056</v>
      </c>
      <c r="HH267" s="44" t="s">
        <v>37</v>
      </c>
      <c r="HJ267" s="44" t="s">
        <v>37</v>
      </c>
      <c r="HK267" s="44">
        <v>961056</v>
      </c>
      <c r="HL267" s="44" t="s">
        <v>37</v>
      </c>
    </row>
    <row r="268" spans="1:220">
      <c r="A268" s="150" t="s">
        <v>412</v>
      </c>
      <c r="B268" s="44">
        <v>4993</v>
      </c>
      <c r="C268" s="44" t="s">
        <v>274</v>
      </c>
      <c r="D268" s="44" t="s">
        <v>37</v>
      </c>
      <c r="F268" s="44" t="s">
        <v>37</v>
      </c>
      <c r="H268" s="44" t="s">
        <v>37</v>
      </c>
      <c r="J268" s="44" t="s">
        <v>37</v>
      </c>
      <c r="L268" s="48" t="s">
        <v>37</v>
      </c>
      <c r="M268" s="50"/>
      <c r="N268" s="48" t="s">
        <v>37</v>
      </c>
      <c r="O268" s="50"/>
      <c r="P268" s="48" t="s">
        <v>37</v>
      </c>
      <c r="Q268" s="50"/>
      <c r="R268" s="48" t="s">
        <v>37</v>
      </c>
      <c r="S268" s="50"/>
      <c r="T268" s="48" t="s">
        <v>37</v>
      </c>
      <c r="V268" s="44" t="s">
        <v>37</v>
      </c>
      <c r="X268" s="44" t="s">
        <v>37</v>
      </c>
      <c r="Z268" s="44" t="s">
        <v>37</v>
      </c>
      <c r="AB268" s="44" t="s">
        <v>37</v>
      </c>
      <c r="AD268" s="44" t="s">
        <v>37</v>
      </c>
      <c r="AF268" s="44" t="s">
        <v>37</v>
      </c>
      <c r="AH268" s="44" t="s">
        <v>37</v>
      </c>
      <c r="AI268" s="44">
        <v>1620</v>
      </c>
      <c r="AJ268" s="44" t="s">
        <v>37</v>
      </c>
      <c r="AL268" s="44" t="s">
        <v>37</v>
      </c>
      <c r="AN268" s="44" t="s">
        <v>37</v>
      </c>
      <c r="AP268" s="44" t="s">
        <v>37</v>
      </c>
      <c r="AR268" s="44" t="s">
        <v>37</v>
      </c>
      <c r="AT268" s="44" t="s">
        <v>37</v>
      </c>
      <c r="AV268" s="44" t="s">
        <v>37</v>
      </c>
      <c r="AX268" s="44" t="s">
        <v>37</v>
      </c>
      <c r="AZ268" s="44" t="s">
        <v>37</v>
      </c>
      <c r="BB268" s="44" t="s">
        <v>37</v>
      </c>
      <c r="BD268" s="44" t="s">
        <v>37</v>
      </c>
      <c r="BF268" s="44" t="s">
        <v>37</v>
      </c>
      <c r="BH268" s="44" t="s">
        <v>37</v>
      </c>
      <c r="BJ268" s="44" t="s">
        <v>37</v>
      </c>
      <c r="BL268" s="44" t="s">
        <v>37</v>
      </c>
      <c r="BN268" s="44" t="s">
        <v>37</v>
      </c>
      <c r="BP268" s="44" t="s">
        <v>37</v>
      </c>
      <c r="BR268" s="44" t="s">
        <v>37</v>
      </c>
      <c r="BT268" s="44" t="s">
        <v>37</v>
      </c>
      <c r="BV268" s="44" t="s">
        <v>37</v>
      </c>
      <c r="BX268" s="44" t="s">
        <v>37</v>
      </c>
      <c r="BZ268" s="44" t="s">
        <v>37</v>
      </c>
      <c r="CB268" s="44" t="s">
        <v>37</v>
      </c>
      <c r="CD268" s="44" t="s">
        <v>37</v>
      </c>
      <c r="CF268" s="44" t="s">
        <v>37</v>
      </c>
      <c r="CH268" s="44" t="s">
        <v>37</v>
      </c>
      <c r="CJ268" s="44" t="s">
        <v>37</v>
      </c>
      <c r="CL268" s="44" t="s">
        <v>37</v>
      </c>
      <c r="CN268" s="44" t="s">
        <v>37</v>
      </c>
      <c r="CP268" s="44" t="s">
        <v>37</v>
      </c>
      <c r="CR268" s="44" t="s">
        <v>37</v>
      </c>
      <c r="CT268" s="44" t="s">
        <v>37</v>
      </c>
      <c r="CV268" s="44" t="s">
        <v>37</v>
      </c>
      <c r="CX268" s="44" t="s">
        <v>37</v>
      </c>
      <c r="CZ268" s="44" t="s">
        <v>37</v>
      </c>
      <c r="DB268" s="44" t="s">
        <v>37</v>
      </c>
      <c r="DD268" s="44" t="s">
        <v>37</v>
      </c>
      <c r="DF268" s="44" t="s">
        <v>37</v>
      </c>
      <c r="DH268" s="44" t="s">
        <v>37</v>
      </c>
      <c r="DJ268" s="44" t="s">
        <v>37</v>
      </c>
      <c r="DL268" s="44" t="s">
        <v>37</v>
      </c>
      <c r="DN268" s="44" t="s">
        <v>37</v>
      </c>
      <c r="DP268" s="44" t="s">
        <v>37</v>
      </c>
      <c r="DR268" s="44" t="s">
        <v>37</v>
      </c>
      <c r="DT268" s="44" t="s">
        <v>37</v>
      </c>
      <c r="DV268" s="44" t="s">
        <v>37</v>
      </c>
      <c r="DX268" s="44" t="s">
        <v>37</v>
      </c>
      <c r="DZ268" s="44" t="s">
        <v>37</v>
      </c>
      <c r="EB268" s="44" t="s">
        <v>37</v>
      </c>
      <c r="ED268" s="44" t="s">
        <v>37</v>
      </c>
      <c r="EF268" s="44" t="s">
        <v>37</v>
      </c>
      <c r="EH268" s="44" t="s">
        <v>37</v>
      </c>
      <c r="EJ268" s="44" t="s">
        <v>37</v>
      </c>
      <c r="EL268" s="44" t="s">
        <v>37</v>
      </c>
      <c r="EN268" s="44" t="s">
        <v>37</v>
      </c>
      <c r="EP268" s="44" t="s">
        <v>37</v>
      </c>
      <c r="ER268" s="44" t="s">
        <v>37</v>
      </c>
      <c r="ET268" s="44" t="s">
        <v>37</v>
      </c>
      <c r="EV268" s="44" t="s">
        <v>37</v>
      </c>
      <c r="EX268" s="44" t="s">
        <v>37</v>
      </c>
      <c r="EZ268" s="44" t="s">
        <v>37</v>
      </c>
      <c r="FB268" s="44" t="s">
        <v>37</v>
      </c>
      <c r="FD268" s="44" t="s">
        <v>37</v>
      </c>
      <c r="FF268" s="44" t="s">
        <v>37</v>
      </c>
      <c r="FH268" s="44" t="s">
        <v>37</v>
      </c>
      <c r="FJ268" s="44" t="s">
        <v>37</v>
      </c>
      <c r="FL268" s="44" t="s">
        <v>37</v>
      </c>
      <c r="FN268" s="44" t="s">
        <v>37</v>
      </c>
      <c r="FP268" s="44" t="s">
        <v>37</v>
      </c>
      <c r="FR268" s="44" t="s">
        <v>37</v>
      </c>
      <c r="FT268" s="44" t="s">
        <v>37</v>
      </c>
      <c r="FV268" s="44" t="s">
        <v>37</v>
      </c>
      <c r="FX268" s="44" t="s">
        <v>37</v>
      </c>
      <c r="FZ268" s="44" t="s">
        <v>37</v>
      </c>
      <c r="GB268" s="44" t="s">
        <v>37</v>
      </c>
      <c r="GD268" s="44" t="s">
        <v>37</v>
      </c>
      <c r="GF268" s="44" t="s">
        <v>37</v>
      </c>
      <c r="GH268" s="44" t="s">
        <v>37</v>
      </c>
      <c r="GJ268" s="44" t="s">
        <v>37</v>
      </c>
      <c r="GL268" s="44" t="s">
        <v>37</v>
      </c>
      <c r="GN268" s="44" t="s">
        <v>37</v>
      </c>
      <c r="GP268" s="44" t="s">
        <v>37</v>
      </c>
      <c r="GR268" s="44" t="s">
        <v>37</v>
      </c>
      <c r="GT268" s="44" t="s">
        <v>37</v>
      </c>
      <c r="GV268" s="44" t="s">
        <v>37</v>
      </c>
      <c r="GX268" s="44" t="s">
        <v>37</v>
      </c>
      <c r="GZ268" s="44" t="s">
        <v>37</v>
      </c>
      <c r="HB268" s="44" t="s">
        <v>37</v>
      </c>
      <c r="HD268" s="44" t="s">
        <v>37</v>
      </c>
      <c r="HF268" s="44" t="s">
        <v>37</v>
      </c>
      <c r="HG268" s="44">
        <v>1620</v>
      </c>
      <c r="HH268" s="44" t="s">
        <v>37</v>
      </c>
      <c r="HJ268" s="44" t="s">
        <v>37</v>
      </c>
      <c r="HK268" s="44">
        <v>1620</v>
      </c>
      <c r="HL268" s="44" t="s">
        <v>37</v>
      </c>
    </row>
    <row r="269" spans="1:220">
      <c r="A269" s="150" t="s">
        <v>412</v>
      </c>
      <c r="B269" s="44">
        <v>4994</v>
      </c>
      <c r="C269" s="44" t="s">
        <v>275</v>
      </c>
      <c r="D269" s="44" t="s">
        <v>37</v>
      </c>
      <c r="F269" s="44" t="s">
        <v>37</v>
      </c>
      <c r="G269" s="44">
        <v>18528</v>
      </c>
      <c r="H269" s="44" t="s">
        <v>37</v>
      </c>
      <c r="J269" s="44" t="s">
        <v>37</v>
      </c>
      <c r="L269" s="48" t="s">
        <v>37</v>
      </c>
      <c r="M269" s="50"/>
      <c r="N269" s="48" t="s">
        <v>37</v>
      </c>
      <c r="O269" s="50"/>
      <c r="P269" s="48" t="s">
        <v>37</v>
      </c>
      <c r="Q269" s="50"/>
      <c r="R269" s="48" t="s">
        <v>37</v>
      </c>
      <c r="S269" s="50"/>
      <c r="T269" s="48" t="s">
        <v>37</v>
      </c>
      <c r="V269" s="44" t="s">
        <v>37</v>
      </c>
      <c r="X269" s="44" t="s">
        <v>37</v>
      </c>
      <c r="Z269" s="44" t="s">
        <v>37</v>
      </c>
      <c r="AA269" s="44">
        <v>4860</v>
      </c>
      <c r="AB269" s="44" t="s">
        <v>37</v>
      </c>
      <c r="AC269" s="44">
        <v>4860</v>
      </c>
      <c r="AD269" s="44" t="s">
        <v>37</v>
      </c>
      <c r="AF269" s="44" t="s">
        <v>37</v>
      </c>
      <c r="AH269" s="44" t="s">
        <v>37</v>
      </c>
      <c r="AJ269" s="44" t="s">
        <v>37</v>
      </c>
      <c r="AL269" s="44" t="s">
        <v>37</v>
      </c>
      <c r="AM269" s="44">
        <v>286526</v>
      </c>
      <c r="AN269" s="44" t="s">
        <v>37</v>
      </c>
      <c r="AP269" s="44" t="s">
        <v>37</v>
      </c>
      <c r="AQ269" s="44">
        <v>56698</v>
      </c>
      <c r="AR269" s="44" t="s">
        <v>37</v>
      </c>
      <c r="AT269" s="44" t="s">
        <v>37</v>
      </c>
      <c r="AU269" s="44">
        <v>436500</v>
      </c>
      <c r="AV269" s="44" t="s">
        <v>37</v>
      </c>
      <c r="AW269" s="44">
        <v>6885</v>
      </c>
      <c r="AX269" s="44" t="s">
        <v>37</v>
      </c>
      <c r="AY269" s="44">
        <v>4050</v>
      </c>
      <c r="AZ269" s="44" t="s">
        <v>37</v>
      </c>
      <c r="BB269" s="44" t="s">
        <v>37</v>
      </c>
      <c r="BD269" s="44" t="s">
        <v>37</v>
      </c>
      <c r="BF269" s="44" t="s">
        <v>37</v>
      </c>
      <c r="BH269" s="44" t="s">
        <v>37</v>
      </c>
      <c r="BJ269" s="44" t="s">
        <v>37</v>
      </c>
      <c r="BL269" s="44" t="s">
        <v>37</v>
      </c>
      <c r="BM269" s="44">
        <v>9112</v>
      </c>
      <c r="BN269" s="44" t="s">
        <v>37</v>
      </c>
      <c r="BP269" s="44" t="s">
        <v>37</v>
      </c>
      <c r="BR269" s="44" t="s">
        <v>37</v>
      </c>
      <c r="BT269" s="44" t="s">
        <v>37</v>
      </c>
      <c r="BV269" s="44" t="s">
        <v>37</v>
      </c>
      <c r="BX269" s="44" t="s">
        <v>37</v>
      </c>
      <c r="BY269" s="44">
        <v>31182</v>
      </c>
      <c r="BZ269" s="44" t="s">
        <v>37</v>
      </c>
      <c r="CB269" s="44" t="s">
        <v>37</v>
      </c>
      <c r="CD269" s="44" t="s">
        <v>37</v>
      </c>
      <c r="CE269" s="44">
        <v>2632</v>
      </c>
      <c r="CF269" s="44" t="s">
        <v>37</v>
      </c>
      <c r="CH269" s="44" t="s">
        <v>37</v>
      </c>
      <c r="CI269" s="44">
        <v>14477</v>
      </c>
      <c r="CJ269" s="44" t="s">
        <v>37</v>
      </c>
      <c r="CL269" s="44" t="s">
        <v>37</v>
      </c>
      <c r="CN269" s="44" t="s">
        <v>37</v>
      </c>
      <c r="CO269" s="44">
        <v>2814</v>
      </c>
      <c r="CP269" s="44" t="s">
        <v>37</v>
      </c>
      <c r="CR269" s="44" t="s">
        <v>37</v>
      </c>
      <c r="CS269" s="44">
        <v>6885</v>
      </c>
      <c r="CT269" s="44" t="s">
        <v>37</v>
      </c>
      <c r="CU269" s="44">
        <v>79477</v>
      </c>
      <c r="CV269" s="44" t="s">
        <v>37</v>
      </c>
      <c r="CW269" s="44">
        <v>4860</v>
      </c>
      <c r="CX269" s="44" t="s">
        <v>37</v>
      </c>
      <c r="CZ269" s="44" t="s">
        <v>37</v>
      </c>
      <c r="DB269" s="44" t="s">
        <v>37</v>
      </c>
      <c r="DD269" s="44" t="s">
        <v>37</v>
      </c>
      <c r="DF269" s="44" t="s">
        <v>37</v>
      </c>
      <c r="DG269" s="44">
        <v>2500</v>
      </c>
      <c r="DH269" s="44" t="s">
        <v>37</v>
      </c>
      <c r="DJ269" s="44" t="s">
        <v>37</v>
      </c>
      <c r="DL269" s="44" t="s">
        <v>37</v>
      </c>
      <c r="DN269" s="44" t="s">
        <v>37</v>
      </c>
      <c r="DP269" s="44" t="s">
        <v>37</v>
      </c>
      <c r="DR269" s="44" t="s">
        <v>37</v>
      </c>
      <c r="DT269" s="44" t="s">
        <v>37</v>
      </c>
      <c r="DU269" s="44">
        <v>10528</v>
      </c>
      <c r="DV269" s="44" t="s">
        <v>37</v>
      </c>
      <c r="DX269" s="44" t="s">
        <v>37</v>
      </c>
      <c r="DZ269" s="44" t="s">
        <v>37</v>
      </c>
      <c r="EB269" s="44" t="s">
        <v>37</v>
      </c>
      <c r="ED269" s="44" t="s">
        <v>37</v>
      </c>
      <c r="EF269" s="44" t="s">
        <v>37</v>
      </c>
      <c r="EG269" s="44">
        <v>4860</v>
      </c>
      <c r="EH269" s="44" t="s">
        <v>37</v>
      </c>
      <c r="EJ269" s="44" t="s">
        <v>37</v>
      </c>
      <c r="EL269" s="44" t="s">
        <v>37</v>
      </c>
      <c r="EN269" s="44" t="s">
        <v>37</v>
      </c>
      <c r="EP269" s="44" t="s">
        <v>37</v>
      </c>
      <c r="ER269" s="44" t="s">
        <v>37</v>
      </c>
      <c r="ET269" s="44" t="s">
        <v>37</v>
      </c>
      <c r="EV269" s="44" t="s">
        <v>37</v>
      </c>
      <c r="EW269" s="44">
        <v>59937</v>
      </c>
      <c r="EX269" s="44" t="s">
        <v>37</v>
      </c>
      <c r="EZ269" s="44" t="s">
        <v>37</v>
      </c>
      <c r="FA269" s="44">
        <v>3240</v>
      </c>
      <c r="FB269" s="44" t="s">
        <v>37</v>
      </c>
      <c r="FC269" s="44">
        <v>4050</v>
      </c>
      <c r="FD269" s="44" t="s">
        <v>37</v>
      </c>
      <c r="FF269" s="44" t="s">
        <v>37</v>
      </c>
      <c r="FH269" s="44" t="s">
        <v>37</v>
      </c>
      <c r="FJ269" s="44" t="s">
        <v>37</v>
      </c>
      <c r="FK269" s="44">
        <v>115798</v>
      </c>
      <c r="FL269" s="44" t="s">
        <v>37</v>
      </c>
      <c r="FN269" s="44" t="s">
        <v>37</v>
      </c>
      <c r="FP269" s="44" t="s">
        <v>37</v>
      </c>
      <c r="FQ269" s="44">
        <v>16200</v>
      </c>
      <c r="FR269" s="44" t="s">
        <v>37</v>
      </c>
      <c r="FT269" s="44" t="s">
        <v>37</v>
      </c>
      <c r="FU269" s="44">
        <v>5265</v>
      </c>
      <c r="FV269" s="44" t="s">
        <v>37</v>
      </c>
      <c r="FX269" s="44" t="s">
        <v>37</v>
      </c>
      <c r="FZ269" s="44" t="s">
        <v>37</v>
      </c>
      <c r="GA269" s="44">
        <v>2025</v>
      </c>
      <c r="GB269" s="44" t="s">
        <v>37</v>
      </c>
      <c r="GC269" s="44">
        <v>36056</v>
      </c>
      <c r="GD269" s="44" t="s">
        <v>37</v>
      </c>
      <c r="GF269" s="44" t="s">
        <v>37</v>
      </c>
      <c r="GH269" s="44" t="s">
        <v>37</v>
      </c>
      <c r="GJ269" s="44" t="s">
        <v>37</v>
      </c>
      <c r="GL269" s="44" t="s">
        <v>37</v>
      </c>
      <c r="GM269" s="44">
        <v>3606</v>
      </c>
      <c r="GN269" s="44" t="s">
        <v>37</v>
      </c>
      <c r="GP269" s="44" t="s">
        <v>37</v>
      </c>
      <c r="GR269" s="44" t="s">
        <v>37</v>
      </c>
      <c r="GT269" s="44" t="s">
        <v>37</v>
      </c>
      <c r="GV269" s="44" t="s">
        <v>37</v>
      </c>
      <c r="GX269" s="44" t="s">
        <v>37</v>
      </c>
      <c r="GY269" s="44">
        <v>26830</v>
      </c>
      <c r="GZ269" s="44" t="s">
        <v>37</v>
      </c>
      <c r="HB269" s="44" t="s">
        <v>37</v>
      </c>
      <c r="HD269" s="44" t="s">
        <v>37</v>
      </c>
      <c r="HF269" s="44" t="s">
        <v>37</v>
      </c>
      <c r="HG269" s="44">
        <v>1261241</v>
      </c>
      <c r="HH269" s="44" t="s">
        <v>37</v>
      </c>
      <c r="HJ269" s="44" t="s">
        <v>37</v>
      </c>
      <c r="HK269" s="44">
        <v>1261241</v>
      </c>
      <c r="HL269" s="44" t="s">
        <v>37</v>
      </c>
    </row>
    <row r="270" spans="1:220">
      <c r="A270" s="150" t="s">
        <v>412</v>
      </c>
      <c r="B270" s="44">
        <v>4995</v>
      </c>
      <c r="C270" s="44" t="s">
        <v>276</v>
      </c>
      <c r="D270" s="44" t="s">
        <v>37</v>
      </c>
      <c r="F270" s="44" t="s">
        <v>37</v>
      </c>
      <c r="H270" s="44" t="s">
        <v>37</v>
      </c>
      <c r="I270" s="44">
        <v>8000</v>
      </c>
      <c r="J270" s="44" t="s">
        <v>37</v>
      </c>
      <c r="L270" s="48" t="s">
        <v>37</v>
      </c>
      <c r="M270" s="51">
        <v>4970</v>
      </c>
      <c r="N270" s="48" t="s">
        <v>37</v>
      </c>
      <c r="O270" s="50"/>
      <c r="P270" s="48" t="s">
        <v>37</v>
      </c>
      <c r="Q270" s="50"/>
      <c r="R270" s="48" t="s">
        <v>37</v>
      </c>
      <c r="S270" s="50"/>
      <c r="T270" s="48" t="s">
        <v>37</v>
      </c>
      <c r="V270" s="44" t="s">
        <v>37</v>
      </c>
      <c r="X270" s="44" t="s">
        <v>37</v>
      </c>
      <c r="Z270" s="44" t="s">
        <v>37</v>
      </c>
      <c r="AB270" s="44" t="s">
        <v>37</v>
      </c>
      <c r="AD270" s="44" t="s">
        <v>37</v>
      </c>
      <c r="AF270" s="44" t="s">
        <v>37</v>
      </c>
      <c r="AH270" s="44" t="s">
        <v>37</v>
      </c>
      <c r="AJ270" s="44" t="s">
        <v>37</v>
      </c>
      <c r="AL270" s="44" t="s">
        <v>37</v>
      </c>
      <c r="AN270" s="44" t="s">
        <v>37</v>
      </c>
      <c r="AP270" s="44" t="s">
        <v>37</v>
      </c>
      <c r="AQ270" s="44">
        <v>4000</v>
      </c>
      <c r="AR270" s="44" t="s">
        <v>37</v>
      </c>
      <c r="AT270" s="44" t="s">
        <v>37</v>
      </c>
      <c r="AV270" s="44" t="s">
        <v>37</v>
      </c>
      <c r="AX270" s="44" t="s">
        <v>37</v>
      </c>
      <c r="AZ270" s="44" t="s">
        <v>37</v>
      </c>
      <c r="BB270" s="44" t="s">
        <v>37</v>
      </c>
      <c r="BD270" s="44" t="s">
        <v>37</v>
      </c>
      <c r="BF270" s="44" t="s">
        <v>37</v>
      </c>
      <c r="BH270" s="44" t="s">
        <v>37</v>
      </c>
      <c r="BJ270" s="44" t="s">
        <v>37</v>
      </c>
      <c r="BL270" s="44" t="s">
        <v>37</v>
      </c>
      <c r="BN270" s="44" t="s">
        <v>37</v>
      </c>
      <c r="BP270" s="44" t="s">
        <v>37</v>
      </c>
      <c r="BR270" s="44" t="s">
        <v>37</v>
      </c>
      <c r="BT270" s="44" t="s">
        <v>37</v>
      </c>
      <c r="BV270" s="44" t="s">
        <v>37</v>
      </c>
      <c r="BX270" s="44" t="s">
        <v>37</v>
      </c>
      <c r="BZ270" s="44" t="s">
        <v>37</v>
      </c>
      <c r="CB270" s="44" t="s">
        <v>37</v>
      </c>
      <c r="CD270" s="44" t="s">
        <v>37</v>
      </c>
      <c r="CF270" s="44" t="s">
        <v>37</v>
      </c>
      <c r="CG270" s="44">
        <v>3410</v>
      </c>
      <c r="CH270" s="44" t="s">
        <v>37</v>
      </c>
      <c r="CJ270" s="44" t="s">
        <v>37</v>
      </c>
      <c r="CL270" s="44" t="s">
        <v>37</v>
      </c>
      <c r="CN270" s="44" t="s">
        <v>37</v>
      </c>
      <c r="CP270" s="44" t="s">
        <v>37</v>
      </c>
      <c r="CR270" s="44" t="s">
        <v>37</v>
      </c>
      <c r="CT270" s="44" t="s">
        <v>37</v>
      </c>
      <c r="CV270" s="44" t="s">
        <v>37</v>
      </c>
      <c r="CX270" s="44" t="s">
        <v>37</v>
      </c>
      <c r="CZ270" s="44" t="s">
        <v>37</v>
      </c>
      <c r="DB270" s="44" t="s">
        <v>37</v>
      </c>
      <c r="DD270" s="44" t="s">
        <v>37</v>
      </c>
      <c r="DF270" s="44" t="s">
        <v>37</v>
      </c>
      <c r="DH270" s="44" t="s">
        <v>37</v>
      </c>
      <c r="DJ270" s="44" t="s">
        <v>37</v>
      </c>
      <c r="DK270" s="44">
        <v>4375</v>
      </c>
      <c r="DL270" s="44" t="s">
        <v>37</v>
      </c>
      <c r="DN270" s="44" t="s">
        <v>37</v>
      </c>
      <c r="DP270" s="44" t="s">
        <v>37</v>
      </c>
      <c r="DQ270" s="44">
        <v>2790</v>
      </c>
      <c r="DR270" s="44" t="s">
        <v>37</v>
      </c>
      <c r="DT270" s="44" t="s">
        <v>37</v>
      </c>
      <c r="DV270" s="44" t="s">
        <v>37</v>
      </c>
      <c r="DX270" s="44" t="s">
        <v>37</v>
      </c>
      <c r="DZ270" s="44" t="s">
        <v>37</v>
      </c>
      <c r="EB270" s="44" t="s">
        <v>37</v>
      </c>
      <c r="ED270" s="44" t="s">
        <v>37</v>
      </c>
      <c r="EF270" s="44" t="s">
        <v>37</v>
      </c>
      <c r="EH270" s="44" t="s">
        <v>37</v>
      </c>
      <c r="EJ270" s="44" t="s">
        <v>37</v>
      </c>
      <c r="EL270" s="44" t="s">
        <v>37</v>
      </c>
      <c r="EN270" s="44" t="s">
        <v>37</v>
      </c>
      <c r="EP270" s="44" t="s">
        <v>37</v>
      </c>
      <c r="ER270" s="44" t="s">
        <v>37</v>
      </c>
      <c r="ET270" s="44" t="s">
        <v>37</v>
      </c>
      <c r="EV270" s="44" t="s">
        <v>37</v>
      </c>
      <c r="EX270" s="44" t="s">
        <v>37</v>
      </c>
      <c r="EZ270" s="44" t="s">
        <v>37</v>
      </c>
      <c r="FB270" s="44" t="s">
        <v>37</v>
      </c>
      <c r="FD270" s="44" t="s">
        <v>37</v>
      </c>
      <c r="FF270" s="44" t="s">
        <v>37</v>
      </c>
      <c r="FH270" s="44" t="s">
        <v>37</v>
      </c>
      <c r="FJ270" s="44" t="s">
        <v>37</v>
      </c>
      <c r="FK270" s="44">
        <v>2891</v>
      </c>
      <c r="FL270" s="44" t="s">
        <v>37</v>
      </c>
      <c r="FN270" s="44" t="s">
        <v>37</v>
      </c>
      <c r="FP270" s="44" t="s">
        <v>37</v>
      </c>
      <c r="FR270" s="44" t="s">
        <v>37</v>
      </c>
      <c r="FT270" s="44" t="s">
        <v>37</v>
      </c>
      <c r="FV270" s="44" t="s">
        <v>37</v>
      </c>
      <c r="FX270" s="44" t="s">
        <v>37</v>
      </c>
      <c r="FZ270" s="44" t="s">
        <v>37</v>
      </c>
      <c r="GB270" s="44" t="s">
        <v>37</v>
      </c>
      <c r="GD270" s="44" t="s">
        <v>37</v>
      </c>
      <c r="GF270" s="44" t="s">
        <v>37</v>
      </c>
      <c r="GH270" s="44" t="s">
        <v>37</v>
      </c>
      <c r="GJ270" s="44" t="s">
        <v>37</v>
      </c>
      <c r="GL270" s="44" t="s">
        <v>37</v>
      </c>
      <c r="GN270" s="44" t="s">
        <v>37</v>
      </c>
      <c r="GP270" s="44" t="s">
        <v>37</v>
      </c>
      <c r="GR270" s="44" t="s">
        <v>37</v>
      </c>
      <c r="GT270" s="44" t="s">
        <v>37</v>
      </c>
      <c r="GV270" s="44" t="s">
        <v>37</v>
      </c>
      <c r="GX270" s="44" t="s">
        <v>37</v>
      </c>
      <c r="GZ270" s="44" t="s">
        <v>37</v>
      </c>
      <c r="HB270" s="44" t="s">
        <v>37</v>
      </c>
      <c r="HD270" s="44" t="s">
        <v>37</v>
      </c>
      <c r="HF270" s="44" t="s">
        <v>37</v>
      </c>
      <c r="HG270" s="44">
        <v>30436</v>
      </c>
      <c r="HH270" s="44" t="s">
        <v>37</v>
      </c>
      <c r="HJ270" s="44" t="s">
        <v>37</v>
      </c>
      <c r="HK270" s="44">
        <v>30436</v>
      </c>
      <c r="HL270" s="44" t="s">
        <v>37</v>
      </c>
    </row>
    <row r="271" spans="1:220">
      <c r="A271" s="150" t="s">
        <v>408</v>
      </c>
      <c r="B271" s="54"/>
      <c r="D271" s="44" t="s">
        <v>37</v>
      </c>
      <c r="E271" s="44" t="s">
        <v>38</v>
      </c>
      <c r="F271" s="44" t="s">
        <v>37</v>
      </c>
      <c r="G271" s="44" t="s">
        <v>39</v>
      </c>
      <c r="H271" s="44" t="s">
        <v>37</v>
      </c>
      <c r="I271" s="44" t="s">
        <v>40</v>
      </c>
      <c r="J271" s="44" t="s">
        <v>37</v>
      </c>
      <c r="K271" s="44" t="s">
        <v>41</v>
      </c>
      <c r="L271" s="48" t="s">
        <v>37</v>
      </c>
      <c r="M271" s="49" t="s">
        <v>303</v>
      </c>
      <c r="N271" s="48" t="s">
        <v>37</v>
      </c>
      <c r="O271" s="49" t="s">
        <v>304</v>
      </c>
      <c r="P271" s="48" t="s">
        <v>37</v>
      </c>
      <c r="Q271" s="49" t="s">
        <v>305</v>
      </c>
      <c r="R271" s="48" t="s">
        <v>37</v>
      </c>
      <c r="S271" s="49" t="s">
        <v>306</v>
      </c>
      <c r="T271" s="48" t="s">
        <v>37</v>
      </c>
      <c r="U271" s="44" t="s">
        <v>307</v>
      </c>
      <c r="V271" s="44" t="s">
        <v>37</v>
      </c>
      <c r="W271" s="44" t="s">
        <v>308</v>
      </c>
      <c r="X271" s="44" t="s">
        <v>37</v>
      </c>
      <c r="Y271" s="44" t="s">
        <v>309</v>
      </c>
      <c r="Z271" s="44" t="s">
        <v>37</v>
      </c>
      <c r="AA271" s="44" t="s">
        <v>310</v>
      </c>
      <c r="AB271" s="44" t="s">
        <v>37</v>
      </c>
      <c r="AC271" s="44" t="s">
        <v>311</v>
      </c>
      <c r="AD271" s="44" t="s">
        <v>37</v>
      </c>
      <c r="AE271" s="44" t="s">
        <v>312</v>
      </c>
      <c r="AF271" s="44" t="s">
        <v>37</v>
      </c>
      <c r="AG271" s="44" t="s">
        <v>313</v>
      </c>
      <c r="AH271" s="44" t="s">
        <v>37</v>
      </c>
      <c r="AI271" s="44" t="s">
        <v>314</v>
      </c>
      <c r="AJ271" s="44" t="s">
        <v>37</v>
      </c>
      <c r="AK271" s="44" t="s">
        <v>315</v>
      </c>
      <c r="AL271" s="44" t="s">
        <v>37</v>
      </c>
      <c r="AM271" s="44" t="s">
        <v>316</v>
      </c>
      <c r="AN271" s="44" t="s">
        <v>37</v>
      </c>
      <c r="AO271" s="44" t="s">
        <v>317</v>
      </c>
      <c r="AP271" s="44" t="s">
        <v>37</v>
      </c>
      <c r="AQ271" s="44" t="s">
        <v>318</v>
      </c>
      <c r="AR271" s="44" t="s">
        <v>37</v>
      </c>
      <c r="AS271" s="44" t="s">
        <v>319</v>
      </c>
      <c r="AT271" s="44" t="s">
        <v>37</v>
      </c>
      <c r="AU271" s="44" t="s">
        <v>320</v>
      </c>
      <c r="AV271" s="44" t="s">
        <v>37</v>
      </c>
      <c r="AW271" s="44" t="s">
        <v>321</v>
      </c>
      <c r="AX271" s="44" t="s">
        <v>37</v>
      </c>
      <c r="AY271" s="44" t="s">
        <v>322</v>
      </c>
      <c r="AZ271" s="44" t="s">
        <v>37</v>
      </c>
      <c r="BA271" s="44" t="s">
        <v>323</v>
      </c>
      <c r="BB271" s="44" t="s">
        <v>37</v>
      </c>
      <c r="BC271" s="44" t="s">
        <v>324</v>
      </c>
      <c r="BD271" s="44" t="s">
        <v>37</v>
      </c>
      <c r="BE271" s="44" t="s">
        <v>325</v>
      </c>
      <c r="BF271" s="44" t="s">
        <v>37</v>
      </c>
      <c r="BG271" s="44" t="s">
        <v>326</v>
      </c>
      <c r="BH271" s="44" t="s">
        <v>37</v>
      </c>
      <c r="BI271" s="44" t="s">
        <v>327</v>
      </c>
      <c r="BJ271" s="44" t="s">
        <v>37</v>
      </c>
      <c r="BK271" s="44" t="s">
        <v>328</v>
      </c>
      <c r="BL271" s="44" t="s">
        <v>37</v>
      </c>
      <c r="BM271" s="44" t="s">
        <v>329</v>
      </c>
      <c r="BN271" s="44" t="s">
        <v>37</v>
      </c>
      <c r="BO271" s="44" t="s">
        <v>330</v>
      </c>
      <c r="BP271" s="44" t="s">
        <v>37</v>
      </c>
      <c r="BQ271" s="44" t="s">
        <v>331</v>
      </c>
      <c r="BR271" s="44" t="s">
        <v>37</v>
      </c>
      <c r="BS271" s="44" t="s">
        <v>332</v>
      </c>
      <c r="BT271" s="44" t="s">
        <v>37</v>
      </c>
      <c r="BU271" s="44" t="s">
        <v>333</v>
      </c>
      <c r="BV271" s="44" t="s">
        <v>37</v>
      </c>
      <c r="BW271" s="44" t="s">
        <v>334</v>
      </c>
      <c r="BX271" s="44" t="s">
        <v>37</v>
      </c>
      <c r="BY271" s="44" t="s">
        <v>335</v>
      </c>
      <c r="BZ271" s="44" t="s">
        <v>37</v>
      </c>
      <c r="CA271" s="44" t="s">
        <v>336</v>
      </c>
      <c r="CB271" s="44" t="s">
        <v>37</v>
      </c>
      <c r="CC271" s="44" t="s">
        <v>337</v>
      </c>
      <c r="CD271" s="44" t="s">
        <v>37</v>
      </c>
      <c r="CE271" s="44" t="s">
        <v>338</v>
      </c>
      <c r="CF271" s="44" t="s">
        <v>37</v>
      </c>
      <c r="CG271" s="44" t="s">
        <v>339</v>
      </c>
      <c r="CH271" s="44" t="s">
        <v>37</v>
      </c>
      <c r="CI271" s="44" t="s">
        <v>340</v>
      </c>
      <c r="CJ271" s="44" t="s">
        <v>37</v>
      </c>
      <c r="CK271" s="44" t="s">
        <v>341</v>
      </c>
      <c r="CL271" s="44" t="s">
        <v>37</v>
      </c>
      <c r="CM271" s="44" t="s">
        <v>342</v>
      </c>
      <c r="CN271" s="44" t="s">
        <v>37</v>
      </c>
      <c r="CO271" s="44" t="s">
        <v>343</v>
      </c>
      <c r="CP271" s="44" t="s">
        <v>37</v>
      </c>
      <c r="CQ271" s="44" t="s">
        <v>344</v>
      </c>
      <c r="CR271" s="44" t="s">
        <v>37</v>
      </c>
      <c r="CS271" s="44" t="s">
        <v>345</v>
      </c>
      <c r="CT271" s="44" t="s">
        <v>37</v>
      </c>
      <c r="CU271" s="44" t="s">
        <v>346</v>
      </c>
      <c r="CV271" s="44" t="s">
        <v>37</v>
      </c>
      <c r="CW271" s="44" t="s">
        <v>347</v>
      </c>
      <c r="CX271" s="44" t="s">
        <v>37</v>
      </c>
      <c r="CY271" s="44" t="s">
        <v>348</v>
      </c>
      <c r="CZ271" s="44" t="s">
        <v>37</v>
      </c>
      <c r="DA271" s="44" t="s">
        <v>349</v>
      </c>
      <c r="DB271" s="44" t="s">
        <v>37</v>
      </c>
      <c r="DC271" s="44" t="s">
        <v>350</v>
      </c>
      <c r="DD271" s="44" t="s">
        <v>37</v>
      </c>
      <c r="DE271" s="44" t="s">
        <v>351</v>
      </c>
      <c r="DF271" s="44" t="s">
        <v>37</v>
      </c>
      <c r="DG271" s="44" t="s">
        <v>352</v>
      </c>
      <c r="DH271" s="44" t="s">
        <v>37</v>
      </c>
      <c r="DI271" s="44" t="s">
        <v>353</v>
      </c>
      <c r="DJ271" s="44" t="s">
        <v>37</v>
      </c>
      <c r="DK271" s="44" t="s">
        <v>354</v>
      </c>
      <c r="DL271" s="44" t="s">
        <v>37</v>
      </c>
      <c r="DM271" s="44" t="s">
        <v>355</v>
      </c>
      <c r="DN271" s="44" t="s">
        <v>37</v>
      </c>
      <c r="DO271" s="44" t="s">
        <v>356</v>
      </c>
      <c r="DP271" s="44" t="s">
        <v>37</v>
      </c>
      <c r="DQ271" s="44" t="s">
        <v>357</v>
      </c>
      <c r="DR271" s="44" t="s">
        <v>37</v>
      </c>
      <c r="DS271" s="44" t="s">
        <v>358</v>
      </c>
      <c r="DT271" s="44" t="s">
        <v>37</v>
      </c>
      <c r="DU271" s="44" t="s">
        <v>359</v>
      </c>
      <c r="DV271" s="44" t="s">
        <v>37</v>
      </c>
      <c r="DW271" s="44" t="s">
        <v>360</v>
      </c>
      <c r="DX271" s="44" t="s">
        <v>37</v>
      </c>
      <c r="DY271" s="44" t="s">
        <v>361</v>
      </c>
      <c r="DZ271" s="44" t="s">
        <v>37</v>
      </c>
      <c r="EA271" s="44" t="s">
        <v>362</v>
      </c>
      <c r="EB271" s="44" t="s">
        <v>37</v>
      </c>
      <c r="EC271" s="44" t="s">
        <v>363</v>
      </c>
      <c r="ED271" s="44" t="s">
        <v>37</v>
      </c>
      <c r="EE271" s="44" t="s">
        <v>364</v>
      </c>
      <c r="EF271" s="44" t="s">
        <v>37</v>
      </c>
      <c r="EG271" s="44" t="s">
        <v>365</v>
      </c>
      <c r="EH271" s="44" t="s">
        <v>37</v>
      </c>
      <c r="EI271" s="44" t="s">
        <v>366</v>
      </c>
      <c r="EJ271" s="44" t="s">
        <v>37</v>
      </c>
      <c r="EK271" s="44" t="s">
        <v>367</v>
      </c>
      <c r="EL271" s="44" t="s">
        <v>37</v>
      </c>
      <c r="EM271" s="44" t="s">
        <v>368</v>
      </c>
      <c r="EN271" s="44" t="s">
        <v>37</v>
      </c>
      <c r="EO271" s="44" t="s">
        <v>369</v>
      </c>
      <c r="EP271" s="44" t="s">
        <v>37</v>
      </c>
      <c r="EQ271" s="44" t="s">
        <v>370</v>
      </c>
      <c r="ER271" s="44" t="s">
        <v>37</v>
      </c>
      <c r="ES271" s="44" t="s">
        <v>371</v>
      </c>
      <c r="ET271" s="44" t="s">
        <v>37</v>
      </c>
      <c r="EU271" s="44" t="s">
        <v>372</v>
      </c>
      <c r="EV271" s="44" t="s">
        <v>37</v>
      </c>
      <c r="EW271" s="44" t="s">
        <v>373</v>
      </c>
      <c r="EX271" s="44" t="s">
        <v>37</v>
      </c>
      <c r="EY271" s="44" t="s">
        <v>374</v>
      </c>
      <c r="EZ271" s="44" t="s">
        <v>37</v>
      </c>
      <c r="FA271" s="44" t="s">
        <v>375</v>
      </c>
      <c r="FB271" s="44" t="s">
        <v>37</v>
      </c>
      <c r="FC271" s="44" t="s">
        <v>376</v>
      </c>
      <c r="FD271" s="44" t="s">
        <v>37</v>
      </c>
      <c r="FE271" s="44" t="s">
        <v>377</v>
      </c>
      <c r="FF271" s="44" t="s">
        <v>37</v>
      </c>
      <c r="FG271" s="44" t="s">
        <v>378</v>
      </c>
      <c r="FH271" s="44" t="s">
        <v>37</v>
      </c>
      <c r="FI271" s="44" t="s">
        <v>379</v>
      </c>
      <c r="FJ271" s="44" t="s">
        <v>37</v>
      </c>
      <c r="FK271" s="44" t="s">
        <v>380</v>
      </c>
      <c r="FL271" s="44" t="s">
        <v>37</v>
      </c>
      <c r="FM271" s="44" t="s">
        <v>381</v>
      </c>
      <c r="FN271" s="44" t="s">
        <v>37</v>
      </c>
      <c r="FO271" s="44" t="s">
        <v>382</v>
      </c>
      <c r="FP271" s="44" t="s">
        <v>37</v>
      </c>
      <c r="FQ271" s="44" t="s">
        <v>383</v>
      </c>
      <c r="FR271" s="44" t="s">
        <v>37</v>
      </c>
      <c r="FS271" s="44" t="s">
        <v>384</v>
      </c>
      <c r="FT271" s="44" t="s">
        <v>37</v>
      </c>
      <c r="FU271" s="44" t="s">
        <v>385</v>
      </c>
      <c r="FV271" s="44" t="s">
        <v>37</v>
      </c>
      <c r="FW271" s="44" t="s">
        <v>386</v>
      </c>
      <c r="FX271" s="44" t="s">
        <v>37</v>
      </c>
      <c r="FY271" s="44" t="s">
        <v>387</v>
      </c>
      <c r="FZ271" s="44" t="s">
        <v>37</v>
      </c>
      <c r="GA271" s="44" t="s">
        <v>388</v>
      </c>
      <c r="GB271" s="44" t="s">
        <v>37</v>
      </c>
      <c r="GC271" s="44" t="s">
        <v>389</v>
      </c>
      <c r="GD271" s="44" t="s">
        <v>37</v>
      </c>
      <c r="GE271" s="44" t="s">
        <v>390</v>
      </c>
      <c r="GF271" s="44" t="s">
        <v>37</v>
      </c>
      <c r="GG271" s="44" t="s">
        <v>391</v>
      </c>
      <c r="GH271" s="44" t="s">
        <v>37</v>
      </c>
      <c r="GI271" s="44" t="s">
        <v>392</v>
      </c>
      <c r="GJ271" s="44" t="s">
        <v>37</v>
      </c>
      <c r="GK271" s="44" t="s">
        <v>393</v>
      </c>
      <c r="GL271" s="44" t="s">
        <v>37</v>
      </c>
      <c r="GM271" s="44" t="s">
        <v>394</v>
      </c>
      <c r="GN271" s="44" t="s">
        <v>37</v>
      </c>
      <c r="GO271" s="44" t="s">
        <v>395</v>
      </c>
      <c r="GP271" s="44" t="s">
        <v>37</v>
      </c>
      <c r="GQ271" s="44" t="s">
        <v>396</v>
      </c>
      <c r="GR271" s="44" t="s">
        <v>37</v>
      </c>
      <c r="GS271" s="44" t="s">
        <v>397</v>
      </c>
      <c r="GT271" s="44" t="s">
        <v>37</v>
      </c>
      <c r="GU271" s="44" t="s">
        <v>398</v>
      </c>
      <c r="GV271" s="44" t="s">
        <v>37</v>
      </c>
      <c r="GW271" s="44" t="s">
        <v>399</v>
      </c>
      <c r="GX271" s="44" t="s">
        <v>37</v>
      </c>
      <c r="GY271" s="44" t="s">
        <v>400</v>
      </c>
      <c r="GZ271" s="44" t="s">
        <v>37</v>
      </c>
      <c r="HA271" s="44" t="s">
        <v>401</v>
      </c>
      <c r="HB271" s="44" t="s">
        <v>37</v>
      </c>
      <c r="HC271" s="44" t="s">
        <v>29</v>
      </c>
      <c r="HD271" s="44" t="s">
        <v>37</v>
      </c>
      <c r="HE271" s="44" t="s">
        <v>402</v>
      </c>
      <c r="HF271" s="44" t="s">
        <v>37</v>
      </c>
      <c r="HG271" s="44" t="s">
        <v>403</v>
      </c>
      <c r="HH271" s="44" t="s">
        <v>37</v>
      </c>
      <c r="HI271" s="44" t="s">
        <v>404</v>
      </c>
      <c r="HJ271" s="44" t="s">
        <v>37</v>
      </c>
      <c r="HK271" s="44" t="s">
        <v>405</v>
      </c>
      <c r="HL271" s="44" t="s">
        <v>37</v>
      </c>
    </row>
    <row r="272" spans="1:220">
      <c r="A272" s="150" t="s">
        <v>408</v>
      </c>
      <c r="B272" s="54"/>
      <c r="D272" s="44" t="s">
        <v>37</v>
      </c>
      <c r="F272" s="44" t="s">
        <v>37</v>
      </c>
      <c r="H272" s="44" t="s">
        <v>37</v>
      </c>
      <c r="J272" s="44" t="s">
        <v>37</v>
      </c>
      <c r="L272" s="48" t="s">
        <v>37</v>
      </c>
      <c r="M272" s="51"/>
      <c r="N272" s="48" t="s">
        <v>37</v>
      </c>
      <c r="O272" s="50"/>
      <c r="P272" s="48" t="s">
        <v>37</v>
      </c>
      <c r="Q272" s="50"/>
      <c r="R272" s="48" t="s">
        <v>37</v>
      </c>
      <c r="S272" s="50"/>
      <c r="T272" s="48" t="s">
        <v>37</v>
      </c>
      <c r="V272" s="44" t="s">
        <v>37</v>
      </c>
      <c r="X272" s="44" t="s">
        <v>37</v>
      </c>
      <c r="Z272" s="44" t="s">
        <v>37</v>
      </c>
      <c r="AB272" s="44" t="s">
        <v>37</v>
      </c>
      <c r="AD272" s="44" t="s">
        <v>37</v>
      </c>
      <c r="AF272" s="44" t="s">
        <v>37</v>
      </c>
      <c r="AH272" s="44" t="s">
        <v>37</v>
      </c>
      <c r="AJ272" s="44" t="s">
        <v>37</v>
      </c>
      <c r="AL272" s="44" t="s">
        <v>37</v>
      </c>
      <c r="AN272" s="44" t="s">
        <v>37</v>
      </c>
      <c r="AP272" s="44" t="s">
        <v>37</v>
      </c>
      <c r="AR272" s="44" t="s">
        <v>37</v>
      </c>
      <c r="AT272" s="44" t="s">
        <v>37</v>
      </c>
      <c r="AV272" s="44" t="s">
        <v>37</v>
      </c>
      <c r="AX272" s="44" t="s">
        <v>37</v>
      </c>
      <c r="AZ272" s="44" t="s">
        <v>37</v>
      </c>
      <c r="BB272" s="44" t="s">
        <v>37</v>
      </c>
      <c r="BD272" s="44" t="s">
        <v>37</v>
      </c>
      <c r="BF272" s="44" t="s">
        <v>37</v>
      </c>
      <c r="BH272" s="44" t="s">
        <v>37</v>
      </c>
      <c r="BJ272" s="44" t="s">
        <v>37</v>
      </c>
      <c r="BL272" s="44" t="s">
        <v>37</v>
      </c>
      <c r="BN272" s="44" t="s">
        <v>37</v>
      </c>
      <c r="BP272" s="44" t="s">
        <v>37</v>
      </c>
      <c r="BR272" s="44" t="s">
        <v>37</v>
      </c>
      <c r="BT272" s="44" t="s">
        <v>37</v>
      </c>
      <c r="BV272" s="44" t="s">
        <v>37</v>
      </c>
      <c r="BX272" s="44" t="s">
        <v>37</v>
      </c>
      <c r="BZ272" s="44" t="s">
        <v>37</v>
      </c>
      <c r="CB272" s="44" t="s">
        <v>37</v>
      </c>
      <c r="CD272" s="44" t="s">
        <v>37</v>
      </c>
      <c r="CF272" s="44" t="s">
        <v>37</v>
      </c>
      <c r="CH272" s="44" t="s">
        <v>37</v>
      </c>
      <c r="CJ272" s="44" t="s">
        <v>37</v>
      </c>
      <c r="CL272" s="44" t="s">
        <v>37</v>
      </c>
      <c r="CN272" s="44" t="s">
        <v>37</v>
      </c>
      <c r="CP272" s="44" t="s">
        <v>37</v>
      </c>
      <c r="CR272" s="44" t="s">
        <v>37</v>
      </c>
      <c r="CT272" s="44" t="s">
        <v>37</v>
      </c>
      <c r="CV272" s="44" t="s">
        <v>37</v>
      </c>
      <c r="CX272" s="44" t="s">
        <v>37</v>
      </c>
      <c r="CZ272" s="44" t="s">
        <v>37</v>
      </c>
      <c r="DB272" s="44" t="s">
        <v>37</v>
      </c>
      <c r="DD272" s="44" t="s">
        <v>37</v>
      </c>
      <c r="DF272" s="44" t="s">
        <v>37</v>
      </c>
      <c r="DH272" s="44" t="s">
        <v>37</v>
      </c>
      <c r="DJ272" s="44" t="s">
        <v>37</v>
      </c>
      <c r="DL272" s="44" t="s">
        <v>37</v>
      </c>
      <c r="DN272" s="44" t="s">
        <v>37</v>
      </c>
      <c r="DP272" s="44" t="s">
        <v>37</v>
      </c>
      <c r="DR272" s="44" t="s">
        <v>37</v>
      </c>
      <c r="DT272" s="44" t="s">
        <v>37</v>
      </c>
      <c r="DV272" s="44" t="s">
        <v>37</v>
      </c>
      <c r="DX272" s="44" t="s">
        <v>37</v>
      </c>
      <c r="DZ272" s="44" t="s">
        <v>37</v>
      </c>
      <c r="EB272" s="44" t="s">
        <v>37</v>
      </c>
      <c r="ED272" s="44" t="s">
        <v>37</v>
      </c>
      <c r="EF272" s="44" t="s">
        <v>37</v>
      </c>
      <c r="EH272" s="44" t="s">
        <v>37</v>
      </c>
      <c r="EJ272" s="44" t="s">
        <v>37</v>
      </c>
      <c r="EL272" s="44" t="s">
        <v>37</v>
      </c>
      <c r="EN272" s="44" t="s">
        <v>37</v>
      </c>
      <c r="EP272" s="44" t="s">
        <v>37</v>
      </c>
      <c r="ER272" s="44" t="s">
        <v>37</v>
      </c>
      <c r="ET272" s="44" t="s">
        <v>37</v>
      </c>
      <c r="EV272" s="44" t="s">
        <v>37</v>
      </c>
      <c r="EX272" s="44" t="s">
        <v>37</v>
      </c>
      <c r="EZ272" s="44" t="s">
        <v>37</v>
      </c>
      <c r="FB272" s="44" t="s">
        <v>37</v>
      </c>
      <c r="FD272" s="44" t="s">
        <v>37</v>
      </c>
      <c r="FF272" s="44" t="s">
        <v>37</v>
      </c>
      <c r="FH272" s="44" t="s">
        <v>37</v>
      </c>
      <c r="FJ272" s="44" t="s">
        <v>37</v>
      </c>
      <c r="FL272" s="44" t="s">
        <v>37</v>
      </c>
      <c r="FN272" s="44" t="s">
        <v>37</v>
      </c>
      <c r="FP272" s="44" t="s">
        <v>37</v>
      </c>
      <c r="FR272" s="44" t="s">
        <v>37</v>
      </c>
      <c r="FT272" s="44" t="s">
        <v>37</v>
      </c>
      <c r="FV272" s="44" t="s">
        <v>37</v>
      </c>
      <c r="FX272" s="44" t="s">
        <v>37</v>
      </c>
      <c r="FZ272" s="44" t="s">
        <v>37</v>
      </c>
      <c r="GB272" s="44" t="s">
        <v>37</v>
      </c>
      <c r="GD272" s="44" t="s">
        <v>37</v>
      </c>
      <c r="GF272" s="44" t="s">
        <v>37</v>
      </c>
      <c r="GH272" s="44" t="s">
        <v>37</v>
      </c>
      <c r="GJ272" s="44" t="s">
        <v>37</v>
      </c>
      <c r="GL272" s="44" t="s">
        <v>37</v>
      </c>
      <c r="GN272" s="44" t="s">
        <v>37</v>
      </c>
      <c r="GP272" s="44" t="s">
        <v>37</v>
      </c>
      <c r="GR272" s="44" t="s">
        <v>37</v>
      </c>
      <c r="GT272" s="44" t="s">
        <v>37</v>
      </c>
      <c r="GV272" s="44" t="s">
        <v>37</v>
      </c>
      <c r="GX272" s="44" t="s">
        <v>37</v>
      </c>
      <c r="GZ272" s="44" t="s">
        <v>37</v>
      </c>
      <c r="HB272" s="44" t="s">
        <v>37</v>
      </c>
      <c r="HD272" s="44" t="s">
        <v>37</v>
      </c>
      <c r="HF272" s="44" t="s">
        <v>37</v>
      </c>
      <c r="HH272" s="44" t="s">
        <v>37</v>
      </c>
      <c r="HJ272" s="44" t="s">
        <v>37</v>
      </c>
      <c r="HL272" s="44" t="s">
        <v>37</v>
      </c>
    </row>
    <row r="273" spans="1:220">
      <c r="A273" s="150" t="s">
        <v>412</v>
      </c>
      <c r="B273" s="44">
        <v>4996</v>
      </c>
      <c r="C273" s="44" t="s">
        <v>277</v>
      </c>
      <c r="D273" s="44" t="s">
        <v>37</v>
      </c>
      <c r="F273" s="44" t="s">
        <v>37</v>
      </c>
      <c r="G273" s="44">
        <v>4294</v>
      </c>
      <c r="H273" s="44" t="s">
        <v>37</v>
      </c>
      <c r="J273" s="44" t="s">
        <v>37</v>
      </c>
      <c r="L273" s="48" t="s">
        <v>37</v>
      </c>
      <c r="M273" s="51">
        <v>15000</v>
      </c>
      <c r="N273" s="48" t="s">
        <v>37</v>
      </c>
      <c r="O273" s="51">
        <v>4500</v>
      </c>
      <c r="P273" s="48" t="s">
        <v>37</v>
      </c>
      <c r="Q273" s="50"/>
      <c r="R273" s="48" t="s">
        <v>37</v>
      </c>
      <c r="S273" s="50"/>
      <c r="T273" s="48" t="s">
        <v>37</v>
      </c>
      <c r="U273" s="44">
        <v>4500</v>
      </c>
      <c r="V273" s="44" t="s">
        <v>37</v>
      </c>
      <c r="X273" s="44" t="s">
        <v>37</v>
      </c>
      <c r="Z273" s="44" t="s">
        <v>37</v>
      </c>
      <c r="AA273" s="44">
        <v>4500</v>
      </c>
      <c r="AB273" s="44" t="s">
        <v>37</v>
      </c>
      <c r="AD273" s="44" t="s">
        <v>37</v>
      </c>
      <c r="AF273" s="44" t="s">
        <v>37</v>
      </c>
      <c r="AH273" s="44" t="s">
        <v>37</v>
      </c>
      <c r="AJ273" s="44" t="s">
        <v>37</v>
      </c>
      <c r="AL273" s="44" t="s">
        <v>37</v>
      </c>
      <c r="AN273" s="44" t="s">
        <v>37</v>
      </c>
      <c r="AP273" s="44" t="s">
        <v>37</v>
      </c>
      <c r="AR273" s="44" t="s">
        <v>37</v>
      </c>
      <c r="AS273" s="44">
        <v>3545</v>
      </c>
      <c r="AT273" s="44" t="s">
        <v>37</v>
      </c>
      <c r="AU273" s="44">
        <v>4462</v>
      </c>
      <c r="AV273" s="44" t="s">
        <v>37</v>
      </c>
      <c r="AX273" s="44" t="s">
        <v>37</v>
      </c>
      <c r="AZ273" s="44" t="s">
        <v>37</v>
      </c>
      <c r="BB273" s="44" t="s">
        <v>37</v>
      </c>
      <c r="BC273" s="44">
        <v>2094</v>
      </c>
      <c r="BD273" s="44" t="s">
        <v>37</v>
      </c>
      <c r="BE273" s="44">
        <v>1729</v>
      </c>
      <c r="BF273" s="44" t="s">
        <v>37</v>
      </c>
      <c r="BH273" s="44" t="s">
        <v>37</v>
      </c>
      <c r="BJ273" s="44" t="s">
        <v>37</v>
      </c>
      <c r="BK273" s="44">
        <v>6432</v>
      </c>
      <c r="BL273" s="44" t="s">
        <v>37</v>
      </c>
      <c r="BN273" s="44" t="s">
        <v>37</v>
      </c>
      <c r="BP273" s="44" t="s">
        <v>37</v>
      </c>
      <c r="BR273" s="44" t="s">
        <v>37</v>
      </c>
      <c r="BS273" s="44">
        <v>2147</v>
      </c>
      <c r="BT273" s="44" t="s">
        <v>37</v>
      </c>
      <c r="BV273" s="44" t="s">
        <v>37</v>
      </c>
      <c r="BX273" s="44" t="s">
        <v>37</v>
      </c>
      <c r="BZ273" s="44" t="s">
        <v>37</v>
      </c>
      <c r="CB273" s="44" t="s">
        <v>37</v>
      </c>
      <c r="CD273" s="44" t="s">
        <v>37</v>
      </c>
      <c r="CF273" s="44" t="s">
        <v>37</v>
      </c>
      <c r="CH273" s="44" t="s">
        <v>37</v>
      </c>
      <c r="CJ273" s="44" t="s">
        <v>37</v>
      </c>
      <c r="CL273" s="44" t="s">
        <v>37</v>
      </c>
      <c r="CN273" s="44" t="s">
        <v>37</v>
      </c>
      <c r="CP273" s="44" t="s">
        <v>37</v>
      </c>
      <c r="CR273" s="44" t="s">
        <v>37</v>
      </c>
      <c r="CT273" s="44" t="s">
        <v>37</v>
      </c>
      <c r="CV273" s="44" t="s">
        <v>37</v>
      </c>
      <c r="CX273" s="44" t="s">
        <v>37</v>
      </c>
      <c r="CZ273" s="44" t="s">
        <v>37</v>
      </c>
      <c r="DB273" s="44" t="s">
        <v>37</v>
      </c>
      <c r="DD273" s="44" t="s">
        <v>37</v>
      </c>
      <c r="DF273" s="44" t="s">
        <v>37</v>
      </c>
      <c r="DG273" s="44">
        <v>4469</v>
      </c>
      <c r="DH273" s="44" t="s">
        <v>37</v>
      </c>
      <c r="DJ273" s="44" t="s">
        <v>37</v>
      </c>
      <c r="DK273" s="44">
        <v>3008</v>
      </c>
      <c r="DL273" s="44" t="s">
        <v>37</v>
      </c>
      <c r="DN273" s="44" t="s">
        <v>37</v>
      </c>
      <c r="DP273" s="44" t="s">
        <v>37</v>
      </c>
      <c r="DR273" s="44" t="s">
        <v>37</v>
      </c>
      <c r="DT273" s="44" t="s">
        <v>37</v>
      </c>
      <c r="DV273" s="44" t="s">
        <v>37</v>
      </c>
      <c r="DX273" s="44" t="s">
        <v>37</v>
      </c>
      <c r="DZ273" s="44" t="s">
        <v>37</v>
      </c>
      <c r="EB273" s="44" t="s">
        <v>37</v>
      </c>
      <c r="ED273" s="44" t="s">
        <v>37</v>
      </c>
      <c r="EF273" s="44" t="s">
        <v>37</v>
      </c>
      <c r="EG273" s="44">
        <v>3740</v>
      </c>
      <c r="EH273" s="44" t="s">
        <v>37</v>
      </c>
      <c r="EJ273" s="44" t="s">
        <v>37</v>
      </c>
      <c r="EK273" s="44">
        <v>4500</v>
      </c>
      <c r="EL273" s="44" t="s">
        <v>37</v>
      </c>
      <c r="EN273" s="44" t="s">
        <v>37</v>
      </c>
      <c r="EO273" s="44">
        <v>23235</v>
      </c>
      <c r="EP273" s="44" t="s">
        <v>37</v>
      </c>
      <c r="ER273" s="44" t="s">
        <v>37</v>
      </c>
      <c r="ET273" s="44" t="s">
        <v>37</v>
      </c>
      <c r="EV273" s="44" t="s">
        <v>37</v>
      </c>
      <c r="EX273" s="44" t="s">
        <v>37</v>
      </c>
      <c r="EZ273" s="44" t="s">
        <v>37</v>
      </c>
      <c r="FB273" s="44" t="s">
        <v>37</v>
      </c>
      <c r="FC273" s="44">
        <v>4500</v>
      </c>
      <c r="FD273" s="44" t="s">
        <v>37</v>
      </c>
      <c r="FF273" s="44" t="s">
        <v>37</v>
      </c>
      <c r="FH273" s="44" t="s">
        <v>37</v>
      </c>
      <c r="FI273" s="44">
        <v>15000</v>
      </c>
      <c r="FJ273" s="44" t="s">
        <v>37</v>
      </c>
      <c r="FL273" s="44" t="s">
        <v>37</v>
      </c>
      <c r="FM273" s="44">
        <v>80000</v>
      </c>
      <c r="FN273" s="44" t="s">
        <v>37</v>
      </c>
      <c r="FP273" s="44" t="s">
        <v>37</v>
      </c>
      <c r="FQ273" s="44">
        <v>4500</v>
      </c>
      <c r="FR273" s="44" t="s">
        <v>37</v>
      </c>
      <c r="FT273" s="44" t="s">
        <v>37</v>
      </c>
      <c r="FV273" s="44" t="s">
        <v>37</v>
      </c>
      <c r="FX273" s="44" t="s">
        <v>37</v>
      </c>
      <c r="FY273" s="44">
        <v>3779</v>
      </c>
      <c r="FZ273" s="44" t="s">
        <v>37</v>
      </c>
      <c r="GB273" s="44" t="s">
        <v>37</v>
      </c>
      <c r="GD273" s="44" t="s">
        <v>37</v>
      </c>
      <c r="GF273" s="44" t="s">
        <v>37</v>
      </c>
      <c r="GH273" s="44" t="s">
        <v>37</v>
      </c>
      <c r="GJ273" s="44" t="s">
        <v>37</v>
      </c>
      <c r="GL273" s="44" t="s">
        <v>37</v>
      </c>
      <c r="GN273" s="44" t="s">
        <v>37</v>
      </c>
      <c r="GP273" s="44" t="s">
        <v>37</v>
      </c>
      <c r="GR273" s="44" t="s">
        <v>37</v>
      </c>
      <c r="GT273" s="44" t="s">
        <v>37</v>
      </c>
      <c r="GV273" s="44" t="s">
        <v>37</v>
      </c>
      <c r="GX273" s="44" t="s">
        <v>37</v>
      </c>
      <c r="GZ273" s="44" t="s">
        <v>37</v>
      </c>
      <c r="HB273" s="44" t="s">
        <v>37</v>
      </c>
      <c r="HD273" s="44" t="s">
        <v>37</v>
      </c>
      <c r="HF273" s="44" t="s">
        <v>37</v>
      </c>
      <c r="HG273" s="44">
        <v>199934</v>
      </c>
      <c r="HH273" s="44" t="s">
        <v>37</v>
      </c>
      <c r="HJ273" s="44" t="s">
        <v>37</v>
      </c>
      <c r="HK273" s="44">
        <v>199934</v>
      </c>
      <c r="HL273" s="44" t="s">
        <v>37</v>
      </c>
    </row>
    <row r="274" spans="1:220">
      <c r="A274" s="150" t="s">
        <v>412</v>
      </c>
      <c r="B274" s="44">
        <v>4998</v>
      </c>
      <c r="C274" s="44" t="s">
        <v>278</v>
      </c>
      <c r="D274" s="44" t="s">
        <v>37</v>
      </c>
      <c r="F274" s="44" t="s">
        <v>37</v>
      </c>
      <c r="H274" s="44" t="s">
        <v>37</v>
      </c>
      <c r="J274" s="44" t="s">
        <v>37</v>
      </c>
      <c r="L274" s="48" t="s">
        <v>37</v>
      </c>
      <c r="M274" s="51">
        <v>18026</v>
      </c>
      <c r="N274" s="48" t="s">
        <v>37</v>
      </c>
      <c r="O274" s="50"/>
      <c r="P274" s="48" t="s">
        <v>37</v>
      </c>
      <c r="Q274" s="50"/>
      <c r="R274" s="48" t="s">
        <v>37</v>
      </c>
      <c r="S274" s="50"/>
      <c r="T274" s="48" t="s">
        <v>37</v>
      </c>
      <c r="U274" s="44">
        <v>27956</v>
      </c>
      <c r="V274" s="44" t="s">
        <v>37</v>
      </c>
      <c r="X274" s="44" t="s">
        <v>37</v>
      </c>
      <c r="Z274" s="44" t="s">
        <v>37</v>
      </c>
      <c r="AB274" s="44" t="s">
        <v>37</v>
      </c>
      <c r="AD274" s="44" t="s">
        <v>37</v>
      </c>
      <c r="AF274" s="44" t="s">
        <v>37</v>
      </c>
      <c r="AH274" s="44" t="s">
        <v>37</v>
      </c>
      <c r="AJ274" s="44" t="s">
        <v>37</v>
      </c>
      <c r="AL274" s="44" t="s">
        <v>37</v>
      </c>
      <c r="AN274" s="44" t="s">
        <v>37</v>
      </c>
      <c r="AP274" s="44" t="s">
        <v>37</v>
      </c>
      <c r="AR274" s="44" t="s">
        <v>37</v>
      </c>
      <c r="AS274" s="44">
        <v>27236</v>
      </c>
      <c r="AT274" s="44" t="s">
        <v>37</v>
      </c>
      <c r="AV274" s="44" t="s">
        <v>37</v>
      </c>
      <c r="AX274" s="44" t="s">
        <v>37</v>
      </c>
      <c r="AZ274" s="44" t="s">
        <v>37</v>
      </c>
      <c r="BB274" s="44" t="s">
        <v>37</v>
      </c>
      <c r="BC274" s="44">
        <v>21053</v>
      </c>
      <c r="BD274" s="44" t="s">
        <v>37</v>
      </c>
      <c r="BF274" s="44" t="s">
        <v>37</v>
      </c>
      <c r="BH274" s="44" t="s">
        <v>37</v>
      </c>
      <c r="BJ274" s="44" t="s">
        <v>37</v>
      </c>
      <c r="BL274" s="44" t="s">
        <v>37</v>
      </c>
      <c r="BN274" s="44" t="s">
        <v>37</v>
      </c>
      <c r="BP274" s="44" t="s">
        <v>37</v>
      </c>
      <c r="BR274" s="44" t="s">
        <v>37</v>
      </c>
      <c r="BT274" s="44" t="s">
        <v>37</v>
      </c>
      <c r="BV274" s="44" t="s">
        <v>37</v>
      </c>
      <c r="BX274" s="44" t="s">
        <v>37</v>
      </c>
      <c r="BZ274" s="44" t="s">
        <v>37</v>
      </c>
      <c r="CB274" s="44" t="s">
        <v>37</v>
      </c>
      <c r="CD274" s="44" t="s">
        <v>37</v>
      </c>
      <c r="CF274" s="44" t="s">
        <v>37</v>
      </c>
      <c r="CH274" s="44" t="s">
        <v>37</v>
      </c>
      <c r="CJ274" s="44" t="s">
        <v>37</v>
      </c>
      <c r="CL274" s="44" t="s">
        <v>37</v>
      </c>
      <c r="CN274" s="44" t="s">
        <v>37</v>
      </c>
      <c r="CP274" s="44" t="s">
        <v>37</v>
      </c>
      <c r="CR274" s="44" t="s">
        <v>37</v>
      </c>
      <c r="CT274" s="44" t="s">
        <v>37</v>
      </c>
      <c r="CV274" s="44" t="s">
        <v>37</v>
      </c>
      <c r="CX274" s="44" t="s">
        <v>37</v>
      </c>
      <c r="CZ274" s="44" t="s">
        <v>37</v>
      </c>
      <c r="DB274" s="44" t="s">
        <v>37</v>
      </c>
      <c r="DD274" s="44" t="s">
        <v>37</v>
      </c>
      <c r="DF274" s="44" t="s">
        <v>37</v>
      </c>
      <c r="DH274" s="44" t="s">
        <v>37</v>
      </c>
      <c r="DJ274" s="44" t="s">
        <v>37</v>
      </c>
      <c r="DK274" s="44">
        <v>48122</v>
      </c>
      <c r="DL274" s="44" t="s">
        <v>37</v>
      </c>
      <c r="DN274" s="44" t="s">
        <v>37</v>
      </c>
      <c r="DP274" s="44" t="s">
        <v>37</v>
      </c>
      <c r="DR274" s="44" t="s">
        <v>37</v>
      </c>
      <c r="DT274" s="44" t="s">
        <v>37</v>
      </c>
      <c r="DV274" s="44" t="s">
        <v>37</v>
      </c>
      <c r="DX274" s="44" t="s">
        <v>37</v>
      </c>
      <c r="DZ274" s="44" t="s">
        <v>37</v>
      </c>
      <c r="EB274" s="44" t="s">
        <v>37</v>
      </c>
      <c r="ED274" s="44" t="s">
        <v>37</v>
      </c>
      <c r="EF274" s="44" t="s">
        <v>37</v>
      </c>
      <c r="EH274" s="44" t="s">
        <v>37</v>
      </c>
      <c r="EJ274" s="44" t="s">
        <v>37</v>
      </c>
      <c r="EL274" s="44" t="s">
        <v>37</v>
      </c>
      <c r="EN274" s="44" t="s">
        <v>37</v>
      </c>
      <c r="EP274" s="44" t="s">
        <v>37</v>
      </c>
      <c r="ER274" s="44" t="s">
        <v>37</v>
      </c>
      <c r="ET274" s="44" t="s">
        <v>37</v>
      </c>
      <c r="EV274" s="44" t="s">
        <v>37</v>
      </c>
      <c r="EX274" s="44" t="s">
        <v>37</v>
      </c>
      <c r="EZ274" s="44" t="s">
        <v>37</v>
      </c>
      <c r="FB274" s="44" t="s">
        <v>37</v>
      </c>
      <c r="FD274" s="44" t="s">
        <v>37</v>
      </c>
      <c r="FE274" s="44">
        <v>79446</v>
      </c>
      <c r="FF274" s="44" t="s">
        <v>37</v>
      </c>
      <c r="FH274" s="44" t="s">
        <v>37</v>
      </c>
      <c r="FJ274" s="44" t="s">
        <v>37</v>
      </c>
      <c r="FL274" s="44" t="s">
        <v>37</v>
      </c>
      <c r="FN274" s="44" t="s">
        <v>37</v>
      </c>
      <c r="FP274" s="44" t="s">
        <v>37</v>
      </c>
      <c r="FR274" s="44" t="s">
        <v>37</v>
      </c>
      <c r="FT274" s="44" t="s">
        <v>37</v>
      </c>
      <c r="FU274" s="44">
        <v>58894</v>
      </c>
      <c r="FV274" s="44" t="s">
        <v>37</v>
      </c>
      <c r="FX274" s="44" t="s">
        <v>37</v>
      </c>
      <c r="FZ274" s="44" t="s">
        <v>37</v>
      </c>
      <c r="GB274" s="44" t="s">
        <v>37</v>
      </c>
      <c r="GD274" s="44" t="s">
        <v>37</v>
      </c>
      <c r="GF274" s="44" t="s">
        <v>37</v>
      </c>
      <c r="GH274" s="44" t="s">
        <v>37</v>
      </c>
      <c r="GJ274" s="44" t="s">
        <v>37</v>
      </c>
      <c r="GL274" s="44" t="s">
        <v>37</v>
      </c>
      <c r="GM274" s="44">
        <v>279553</v>
      </c>
      <c r="GN274" s="44" t="s">
        <v>37</v>
      </c>
      <c r="GP274" s="44" t="s">
        <v>37</v>
      </c>
      <c r="GR274" s="44" t="s">
        <v>37</v>
      </c>
      <c r="GS274" s="44">
        <v>154088</v>
      </c>
      <c r="GT274" s="44" t="s">
        <v>37</v>
      </c>
      <c r="GV274" s="44" t="s">
        <v>37</v>
      </c>
      <c r="GX274" s="44" t="s">
        <v>37</v>
      </c>
      <c r="GZ274" s="44" t="s">
        <v>37</v>
      </c>
      <c r="HB274" s="44" t="s">
        <v>37</v>
      </c>
      <c r="HD274" s="44" t="s">
        <v>37</v>
      </c>
      <c r="HF274" s="44" t="s">
        <v>37</v>
      </c>
      <c r="HG274" s="44">
        <v>714374</v>
      </c>
      <c r="HH274" s="44" t="s">
        <v>37</v>
      </c>
      <c r="HJ274" s="44" t="s">
        <v>37</v>
      </c>
      <c r="HK274" s="44">
        <v>714374</v>
      </c>
      <c r="HL274" s="44" t="s">
        <v>37</v>
      </c>
    </row>
    <row r="275" spans="1:220">
      <c r="A275" s="150" t="s">
        <v>412</v>
      </c>
      <c r="B275" s="44">
        <v>4999</v>
      </c>
      <c r="C275" s="44" t="s">
        <v>279</v>
      </c>
      <c r="D275" s="44" t="s">
        <v>37</v>
      </c>
      <c r="E275" s="44">
        <v>16958</v>
      </c>
      <c r="F275" s="44" t="s">
        <v>37</v>
      </c>
      <c r="G275" s="44">
        <v>413880</v>
      </c>
      <c r="H275" s="44" t="s">
        <v>37</v>
      </c>
      <c r="I275" s="44">
        <v>63132</v>
      </c>
      <c r="J275" s="44" t="s">
        <v>37</v>
      </c>
      <c r="L275" s="48" t="s">
        <v>37</v>
      </c>
      <c r="M275" s="51">
        <v>293157</v>
      </c>
      <c r="N275" s="48" t="s">
        <v>37</v>
      </c>
      <c r="O275" s="51">
        <v>64146</v>
      </c>
      <c r="P275" s="48" t="s">
        <v>37</v>
      </c>
      <c r="Q275" s="50">
        <v>50</v>
      </c>
      <c r="R275" s="48" t="s">
        <v>37</v>
      </c>
      <c r="S275" s="51">
        <v>170031</v>
      </c>
      <c r="T275" s="48" t="s">
        <v>37</v>
      </c>
      <c r="U275" s="44">
        <v>1257276</v>
      </c>
      <c r="V275" s="44" t="s">
        <v>37</v>
      </c>
      <c r="X275" s="44" t="s">
        <v>37</v>
      </c>
      <c r="Z275" s="44" t="s">
        <v>37</v>
      </c>
      <c r="AA275" s="44">
        <v>50490</v>
      </c>
      <c r="AB275" s="44" t="s">
        <v>37</v>
      </c>
      <c r="AC275" s="44">
        <v>161149</v>
      </c>
      <c r="AD275" s="44" t="s">
        <v>37</v>
      </c>
      <c r="AF275" s="44" t="s">
        <v>37</v>
      </c>
      <c r="AG275" s="44">
        <v>2000</v>
      </c>
      <c r="AH275" s="44" t="s">
        <v>37</v>
      </c>
      <c r="AI275" s="44">
        <v>224193</v>
      </c>
      <c r="AJ275" s="44" t="s">
        <v>37</v>
      </c>
      <c r="AL275" s="44" t="s">
        <v>37</v>
      </c>
      <c r="AM275" s="44">
        <v>2225082</v>
      </c>
      <c r="AN275" s="44" t="s">
        <v>37</v>
      </c>
      <c r="AP275" s="44" t="s">
        <v>37</v>
      </c>
      <c r="AQ275" s="44">
        <v>1534346</v>
      </c>
      <c r="AR275" s="44" t="s">
        <v>37</v>
      </c>
      <c r="AS275" s="44">
        <v>54374</v>
      </c>
      <c r="AT275" s="44" t="s">
        <v>37</v>
      </c>
      <c r="AU275" s="44">
        <v>4000204</v>
      </c>
      <c r="AV275" s="44" t="s">
        <v>37</v>
      </c>
      <c r="AW275" s="44">
        <v>340613</v>
      </c>
      <c r="AX275" s="44" t="s">
        <v>37</v>
      </c>
      <c r="AY275" s="44">
        <v>1432500</v>
      </c>
      <c r="AZ275" s="44" t="s">
        <v>37</v>
      </c>
      <c r="BA275" s="44">
        <v>137645</v>
      </c>
      <c r="BB275" s="44" t="s">
        <v>37</v>
      </c>
      <c r="BC275" s="44">
        <v>50167</v>
      </c>
      <c r="BD275" s="44" t="s">
        <v>37</v>
      </c>
      <c r="BE275" s="44">
        <v>976563</v>
      </c>
      <c r="BF275" s="44" t="s">
        <v>37</v>
      </c>
      <c r="BG275" s="44">
        <v>8052</v>
      </c>
      <c r="BH275" s="44" t="s">
        <v>37</v>
      </c>
      <c r="BI275" s="44">
        <v>10360</v>
      </c>
      <c r="BJ275" s="44" t="s">
        <v>37</v>
      </c>
      <c r="BK275" s="44">
        <v>392330</v>
      </c>
      <c r="BL275" s="44" t="s">
        <v>37</v>
      </c>
      <c r="BM275" s="44">
        <v>520346</v>
      </c>
      <c r="BN275" s="44" t="s">
        <v>37</v>
      </c>
      <c r="BP275" s="44" t="s">
        <v>37</v>
      </c>
      <c r="BQ275" s="44">
        <v>7979</v>
      </c>
      <c r="BR275" s="44" t="s">
        <v>37</v>
      </c>
      <c r="BS275" s="44">
        <v>283165</v>
      </c>
      <c r="BT275" s="44" t="s">
        <v>37</v>
      </c>
      <c r="BU275" s="44">
        <v>13500</v>
      </c>
      <c r="BV275" s="44" t="s">
        <v>37</v>
      </c>
      <c r="BX275" s="44" t="s">
        <v>37</v>
      </c>
      <c r="BY275" s="44">
        <v>503964</v>
      </c>
      <c r="BZ275" s="44" t="s">
        <v>37</v>
      </c>
      <c r="CB275" s="44" t="s">
        <v>37</v>
      </c>
      <c r="CD275" s="44" t="s">
        <v>37</v>
      </c>
      <c r="CE275" s="44">
        <v>111337</v>
      </c>
      <c r="CF275" s="44" t="s">
        <v>37</v>
      </c>
      <c r="CG275" s="44">
        <v>96518</v>
      </c>
      <c r="CH275" s="44" t="s">
        <v>37</v>
      </c>
      <c r="CI275" s="44">
        <v>1066437</v>
      </c>
      <c r="CJ275" s="44" t="s">
        <v>37</v>
      </c>
      <c r="CL275" s="44" t="s">
        <v>37</v>
      </c>
      <c r="CM275" s="44">
        <v>1204604</v>
      </c>
      <c r="CN275" s="44" t="s">
        <v>37</v>
      </c>
      <c r="CO275" s="44">
        <v>108948</v>
      </c>
      <c r="CP275" s="44" t="s">
        <v>37</v>
      </c>
      <c r="CR275" s="44" t="s">
        <v>37</v>
      </c>
      <c r="CS275" s="44">
        <v>594443</v>
      </c>
      <c r="CT275" s="44" t="s">
        <v>37</v>
      </c>
      <c r="CU275" s="44">
        <v>2357115</v>
      </c>
      <c r="CV275" s="44" t="s">
        <v>37</v>
      </c>
      <c r="CW275" s="44">
        <v>187104</v>
      </c>
      <c r="CX275" s="44" t="s">
        <v>37</v>
      </c>
      <c r="CY275" s="44">
        <v>76494</v>
      </c>
      <c r="CZ275" s="44" t="s">
        <v>37</v>
      </c>
      <c r="DA275" s="44">
        <v>11046</v>
      </c>
      <c r="DB275" s="44" t="s">
        <v>37</v>
      </c>
      <c r="DD275" s="44" t="s">
        <v>37</v>
      </c>
      <c r="DE275" s="44">
        <v>147333</v>
      </c>
      <c r="DF275" s="44" t="s">
        <v>37</v>
      </c>
      <c r="DG275" s="44">
        <v>125526</v>
      </c>
      <c r="DH275" s="44" t="s">
        <v>37</v>
      </c>
      <c r="DI275" s="44">
        <v>1431939</v>
      </c>
      <c r="DJ275" s="44" t="s">
        <v>37</v>
      </c>
      <c r="DK275" s="44">
        <v>110459</v>
      </c>
      <c r="DL275" s="44" t="s">
        <v>37</v>
      </c>
      <c r="DM275" s="44">
        <v>940041</v>
      </c>
      <c r="DN275" s="44" t="s">
        <v>37</v>
      </c>
      <c r="DO275" s="44">
        <v>3842527</v>
      </c>
      <c r="DP275" s="44" t="s">
        <v>37</v>
      </c>
      <c r="DQ275" s="44">
        <v>111155</v>
      </c>
      <c r="DR275" s="44" t="s">
        <v>37</v>
      </c>
      <c r="DS275" s="44">
        <v>53333</v>
      </c>
      <c r="DT275" s="44" t="s">
        <v>37</v>
      </c>
      <c r="DU275" s="44">
        <v>52111</v>
      </c>
      <c r="DV275" s="44" t="s">
        <v>37</v>
      </c>
      <c r="DW275" s="44">
        <v>613243</v>
      </c>
      <c r="DX275" s="44" t="s">
        <v>37</v>
      </c>
      <c r="DY275" s="44">
        <v>140312</v>
      </c>
      <c r="DZ275" s="44" t="s">
        <v>37</v>
      </c>
      <c r="EA275" s="44">
        <v>99063</v>
      </c>
      <c r="EB275" s="44" t="s">
        <v>37</v>
      </c>
      <c r="EC275" s="44">
        <v>81748</v>
      </c>
      <c r="ED275" s="44" t="s">
        <v>37</v>
      </c>
      <c r="EE275" s="44">
        <v>1426570</v>
      </c>
      <c r="EF275" s="44" t="s">
        <v>37</v>
      </c>
      <c r="EG275" s="44">
        <v>236873</v>
      </c>
      <c r="EH275" s="44" t="s">
        <v>37</v>
      </c>
      <c r="EJ275" s="44" t="s">
        <v>37</v>
      </c>
      <c r="EK275" s="44">
        <v>382654</v>
      </c>
      <c r="EL275" s="44" t="s">
        <v>37</v>
      </c>
      <c r="EM275" s="44">
        <v>930680</v>
      </c>
      <c r="EN275" s="44" t="s">
        <v>37</v>
      </c>
      <c r="EO275" s="44">
        <v>9447</v>
      </c>
      <c r="EP275" s="44" t="s">
        <v>37</v>
      </c>
      <c r="EQ275" s="44">
        <v>500</v>
      </c>
      <c r="ER275" s="44" t="s">
        <v>37</v>
      </c>
      <c r="ES275" s="44">
        <v>115751</v>
      </c>
      <c r="ET275" s="44" t="s">
        <v>37</v>
      </c>
      <c r="EU275" s="44">
        <v>134170</v>
      </c>
      <c r="EV275" s="44" t="s">
        <v>37</v>
      </c>
      <c r="EW275" s="44">
        <v>289635</v>
      </c>
      <c r="EX275" s="44" t="s">
        <v>37</v>
      </c>
      <c r="EZ275" s="44" t="s">
        <v>37</v>
      </c>
      <c r="FA275" s="44">
        <v>133860</v>
      </c>
      <c r="FB275" s="44" t="s">
        <v>37</v>
      </c>
      <c r="FC275" s="44">
        <v>91605</v>
      </c>
      <c r="FD275" s="44" t="s">
        <v>37</v>
      </c>
      <c r="FE275" s="44">
        <v>596731</v>
      </c>
      <c r="FF275" s="44" t="s">
        <v>37</v>
      </c>
      <c r="FH275" s="44" t="s">
        <v>37</v>
      </c>
      <c r="FI275" s="44">
        <v>785495</v>
      </c>
      <c r="FJ275" s="44" t="s">
        <v>37</v>
      </c>
      <c r="FK275" s="44">
        <v>2223658</v>
      </c>
      <c r="FL275" s="44" t="s">
        <v>37</v>
      </c>
      <c r="FM275" s="44">
        <v>2734594</v>
      </c>
      <c r="FN275" s="44" t="s">
        <v>37</v>
      </c>
      <c r="FO275" s="44">
        <v>57432</v>
      </c>
      <c r="FP275" s="44" t="s">
        <v>37</v>
      </c>
      <c r="FQ275" s="44">
        <v>248447</v>
      </c>
      <c r="FR275" s="44" t="s">
        <v>37</v>
      </c>
      <c r="FS275" s="44">
        <v>53220</v>
      </c>
      <c r="FT275" s="44" t="s">
        <v>37</v>
      </c>
      <c r="FU275" s="44">
        <v>35500</v>
      </c>
      <c r="FV275" s="44" t="s">
        <v>37</v>
      </c>
      <c r="FX275" s="44" t="s">
        <v>37</v>
      </c>
      <c r="FY275" s="44">
        <v>82409</v>
      </c>
      <c r="FZ275" s="44" t="s">
        <v>37</v>
      </c>
      <c r="GA275" s="44">
        <v>92436</v>
      </c>
      <c r="GB275" s="44" t="s">
        <v>37</v>
      </c>
      <c r="GC275" s="44">
        <v>162713</v>
      </c>
      <c r="GD275" s="44" t="s">
        <v>37</v>
      </c>
      <c r="GF275" s="44" t="s">
        <v>37</v>
      </c>
      <c r="GH275" s="44" t="s">
        <v>37</v>
      </c>
      <c r="GJ275" s="44" t="s">
        <v>37</v>
      </c>
      <c r="GK275" s="44">
        <v>1204565</v>
      </c>
      <c r="GL275" s="44" t="s">
        <v>37</v>
      </c>
      <c r="GM275" s="44">
        <v>1355151</v>
      </c>
      <c r="GN275" s="44" t="s">
        <v>37</v>
      </c>
      <c r="GP275" s="44" t="s">
        <v>37</v>
      </c>
      <c r="GQ275" s="44">
        <v>74814</v>
      </c>
      <c r="GR275" s="44" t="s">
        <v>37</v>
      </c>
      <c r="GS275" s="44">
        <v>555312</v>
      </c>
      <c r="GT275" s="44" t="s">
        <v>37</v>
      </c>
      <c r="GU275" s="44">
        <v>58517</v>
      </c>
      <c r="GV275" s="44" t="s">
        <v>37</v>
      </c>
      <c r="GW275" s="44">
        <v>56448</v>
      </c>
      <c r="GX275" s="44" t="s">
        <v>37</v>
      </c>
      <c r="GY275" s="44">
        <v>299335</v>
      </c>
      <c r="GZ275" s="44" t="s">
        <v>37</v>
      </c>
      <c r="HA275" s="44">
        <v>145578</v>
      </c>
      <c r="HB275" s="44" t="s">
        <v>37</v>
      </c>
      <c r="HC275" s="44">
        <v>64309</v>
      </c>
      <c r="HD275" s="44" t="s">
        <v>37</v>
      </c>
      <c r="HF275" s="44" t="s">
        <v>37</v>
      </c>
      <c r="HG275" s="44">
        <v>43344588</v>
      </c>
      <c r="HH275" s="44" t="s">
        <v>37</v>
      </c>
      <c r="HI275" s="44">
        <v>64309</v>
      </c>
      <c r="HJ275" s="44" t="s">
        <v>37</v>
      </c>
      <c r="HK275" s="44">
        <v>43408897</v>
      </c>
      <c r="HL275" s="44" t="s">
        <v>37</v>
      </c>
    </row>
    <row r="276" spans="1:220">
      <c r="A276" s="150" t="s">
        <v>408</v>
      </c>
      <c r="B276" s="54"/>
      <c r="D276" s="44" t="s">
        <v>37</v>
      </c>
      <c r="F276" s="44" t="s">
        <v>37</v>
      </c>
      <c r="H276" s="44" t="s">
        <v>37</v>
      </c>
      <c r="J276" s="44" t="s">
        <v>37</v>
      </c>
      <c r="L276" s="48" t="s">
        <v>37</v>
      </c>
      <c r="M276" s="51"/>
      <c r="N276" s="48" t="s">
        <v>37</v>
      </c>
      <c r="O276" s="51"/>
      <c r="P276" s="48" t="s">
        <v>37</v>
      </c>
      <c r="Q276" s="50"/>
      <c r="R276" s="48" t="s">
        <v>37</v>
      </c>
      <c r="S276" s="51"/>
      <c r="T276" s="48" t="s">
        <v>37</v>
      </c>
      <c r="V276" s="44" t="s">
        <v>37</v>
      </c>
      <c r="X276" s="44" t="s">
        <v>37</v>
      </c>
      <c r="Z276" s="44" t="s">
        <v>37</v>
      </c>
      <c r="AB276" s="44" t="s">
        <v>37</v>
      </c>
      <c r="AD276" s="44" t="s">
        <v>37</v>
      </c>
      <c r="AF276" s="44" t="s">
        <v>37</v>
      </c>
      <c r="AH276" s="44" t="s">
        <v>37</v>
      </c>
      <c r="AJ276" s="44" t="s">
        <v>37</v>
      </c>
      <c r="AL276" s="44" t="s">
        <v>37</v>
      </c>
      <c r="AN276" s="44" t="s">
        <v>37</v>
      </c>
      <c r="AP276" s="44" t="s">
        <v>37</v>
      </c>
      <c r="AR276" s="44" t="s">
        <v>37</v>
      </c>
      <c r="AT276" s="44" t="s">
        <v>37</v>
      </c>
      <c r="AV276" s="44" t="s">
        <v>37</v>
      </c>
      <c r="AX276" s="44" t="s">
        <v>37</v>
      </c>
      <c r="AZ276" s="44" t="s">
        <v>37</v>
      </c>
      <c r="BB276" s="44" t="s">
        <v>37</v>
      </c>
      <c r="BD276" s="44" t="s">
        <v>37</v>
      </c>
      <c r="BF276" s="44" t="s">
        <v>37</v>
      </c>
      <c r="BH276" s="44" t="s">
        <v>37</v>
      </c>
      <c r="BJ276" s="44" t="s">
        <v>37</v>
      </c>
      <c r="BL276" s="44" t="s">
        <v>37</v>
      </c>
      <c r="BN276" s="44" t="s">
        <v>37</v>
      </c>
      <c r="BP276" s="44" t="s">
        <v>37</v>
      </c>
      <c r="BR276" s="44" t="s">
        <v>37</v>
      </c>
      <c r="BT276" s="44" t="s">
        <v>37</v>
      </c>
      <c r="BV276" s="44" t="s">
        <v>37</v>
      </c>
      <c r="BX276" s="44" t="s">
        <v>37</v>
      </c>
      <c r="BZ276" s="44" t="s">
        <v>37</v>
      </c>
      <c r="CB276" s="44" t="s">
        <v>37</v>
      </c>
      <c r="CD276" s="44" t="s">
        <v>37</v>
      </c>
      <c r="CF276" s="44" t="s">
        <v>37</v>
      </c>
      <c r="CH276" s="44" t="s">
        <v>37</v>
      </c>
      <c r="CJ276" s="44" t="s">
        <v>37</v>
      </c>
      <c r="CL276" s="44" t="s">
        <v>37</v>
      </c>
      <c r="CN276" s="44" t="s">
        <v>37</v>
      </c>
      <c r="CP276" s="44" t="s">
        <v>37</v>
      </c>
      <c r="CR276" s="44" t="s">
        <v>37</v>
      </c>
      <c r="CT276" s="44" t="s">
        <v>37</v>
      </c>
      <c r="CV276" s="44" t="s">
        <v>37</v>
      </c>
      <c r="CX276" s="44" t="s">
        <v>37</v>
      </c>
      <c r="CZ276" s="44" t="s">
        <v>37</v>
      </c>
      <c r="DB276" s="44" t="s">
        <v>37</v>
      </c>
      <c r="DD276" s="44" t="s">
        <v>37</v>
      </c>
      <c r="DF276" s="44" t="s">
        <v>37</v>
      </c>
      <c r="DH276" s="44" t="s">
        <v>37</v>
      </c>
      <c r="DJ276" s="44" t="s">
        <v>37</v>
      </c>
      <c r="DL276" s="44" t="s">
        <v>37</v>
      </c>
      <c r="DN276" s="44" t="s">
        <v>37</v>
      </c>
      <c r="DP276" s="44" t="s">
        <v>37</v>
      </c>
      <c r="DR276" s="44" t="s">
        <v>37</v>
      </c>
      <c r="DT276" s="44" t="s">
        <v>37</v>
      </c>
      <c r="DV276" s="44" t="s">
        <v>37</v>
      </c>
      <c r="DX276" s="44" t="s">
        <v>37</v>
      </c>
      <c r="DZ276" s="44" t="s">
        <v>37</v>
      </c>
      <c r="EB276" s="44" t="s">
        <v>37</v>
      </c>
      <c r="ED276" s="44" t="s">
        <v>37</v>
      </c>
      <c r="EF276" s="44" t="s">
        <v>37</v>
      </c>
      <c r="EH276" s="44" t="s">
        <v>37</v>
      </c>
      <c r="EJ276" s="44" t="s">
        <v>37</v>
      </c>
      <c r="EL276" s="44" t="s">
        <v>37</v>
      </c>
      <c r="EN276" s="44" t="s">
        <v>37</v>
      </c>
      <c r="EP276" s="44" t="s">
        <v>37</v>
      </c>
      <c r="ER276" s="44" t="s">
        <v>37</v>
      </c>
      <c r="ET276" s="44" t="s">
        <v>37</v>
      </c>
      <c r="EV276" s="44" t="s">
        <v>37</v>
      </c>
      <c r="EX276" s="44" t="s">
        <v>37</v>
      </c>
      <c r="EZ276" s="44" t="s">
        <v>37</v>
      </c>
      <c r="FB276" s="44" t="s">
        <v>37</v>
      </c>
      <c r="FD276" s="44" t="s">
        <v>37</v>
      </c>
      <c r="FF276" s="44" t="s">
        <v>37</v>
      </c>
      <c r="FH276" s="44" t="s">
        <v>37</v>
      </c>
      <c r="FJ276" s="44" t="s">
        <v>37</v>
      </c>
      <c r="FL276" s="44" t="s">
        <v>37</v>
      </c>
      <c r="FN276" s="44" t="s">
        <v>37</v>
      </c>
      <c r="FP276" s="44" t="s">
        <v>37</v>
      </c>
      <c r="FR276" s="44" t="s">
        <v>37</v>
      </c>
      <c r="FT276" s="44" t="s">
        <v>37</v>
      </c>
      <c r="FV276" s="44" t="s">
        <v>37</v>
      </c>
      <c r="FX276" s="44" t="s">
        <v>37</v>
      </c>
      <c r="FZ276" s="44" t="s">
        <v>37</v>
      </c>
      <c r="GB276" s="44" t="s">
        <v>37</v>
      </c>
      <c r="GD276" s="44" t="s">
        <v>37</v>
      </c>
      <c r="GF276" s="44" t="s">
        <v>37</v>
      </c>
      <c r="GH276" s="44" t="s">
        <v>37</v>
      </c>
      <c r="GJ276" s="44" t="s">
        <v>37</v>
      </c>
      <c r="GL276" s="44" t="s">
        <v>37</v>
      </c>
      <c r="GN276" s="44" t="s">
        <v>37</v>
      </c>
      <c r="GP276" s="44" t="s">
        <v>37</v>
      </c>
      <c r="GR276" s="44" t="s">
        <v>37</v>
      </c>
      <c r="GT276" s="44" t="s">
        <v>37</v>
      </c>
      <c r="GV276" s="44" t="s">
        <v>37</v>
      </c>
      <c r="GX276" s="44" t="s">
        <v>37</v>
      </c>
      <c r="GZ276" s="44" t="s">
        <v>37</v>
      </c>
      <c r="HB276" s="44" t="s">
        <v>37</v>
      </c>
      <c r="HD276" s="44" t="s">
        <v>37</v>
      </c>
      <c r="HF276" s="44" t="s">
        <v>37</v>
      </c>
      <c r="HH276" s="44" t="s">
        <v>37</v>
      </c>
      <c r="HJ276" s="44" t="s">
        <v>37</v>
      </c>
      <c r="HL276" s="44" t="s">
        <v>37</v>
      </c>
    </row>
    <row r="277" spans="1:220">
      <c r="A277" s="150" t="s">
        <v>408</v>
      </c>
      <c r="B277" s="54" t="s">
        <v>90</v>
      </c>
      <c r="C277" s="44" t="s">
        <v>280</v>
      </c>
      <c r="D277" s="44" t="s">
        <v>37</v>
      </c>
      <c r="E277" s="44">
        <v>3682976</v>
      </c>
      <c r="F277" s="44" t="s">
        <v>37</v>
      </c>
      <c r="G277" s="44">
        <v>22741478</v>
      </c>
      <c r="H277" s="44" t="s">
        <v>37</v>
      </c>
      <c r="I277" s="44">
        <v>3089402</v>
      </c>
      <c r="J277" s="44" t="s">
        <v>37</v>
      </c>
      <c r="L277" s="48" t="s">
        <v>37</v>
      </c>
      <c r="M277" s="51">
        <v>4875036</v>
      </c>
      <c r="N277" s="48" t="s">
        <v>37</v>
      </c>
      <c r="O277" s="51">
        <v>3074753</v>
      </c>
      <c r="P277" s="48" t="s">
        <v>37</v>
      </c>
      <c r="Q277" s="51">
        <v>2542156</v>
      </c>
      <c r="R277" s="48" t="s">
        <v>37</v>
      </c>
      <c r="S277" s="51">
        <v>2598938</v>
      </c>
      <c r="T277" s="48" t="s">
        <v>37</v>
      </c>
      <c r="U277" s="44">
        <v>12101614</v>
      </c>
      <c r="V277" s="44" t="s">
        <v>37</v>
      </c>
      <c r="X277" s="44" t="s">
        <v>37</v>
      </c>
      <c r="Y277" s="44">
        <v>125508</v>
      </c>
      <c r="Z277" s="44" t="s">
        <v>37</v>
      </c>
      <c r="AA277" s="44">
        <v>2392397</v>
      </c>
      <c r="AB277" s="44" t="s">
        <v>37</v>
      </c>
      <c r="AC277" s="44">
        <v>1951283</v>
      </c>
      <c r="AD277" s="44" t="s">
        <v>37</v>
      </c>
      <c r="AE277" s="44">
        <v>1657631</v>
      </c>
      <c r="AF277" s="44" t="s">
        <v>37</v>
      </c>
      <c r="AG277" s="44">
        <v>1162577</v>
      </c>
      <c r="AH277" s="44" t="s">
        <v>37</v>
      </c>
      <c r="AI277" s="44">
        <v>2514099</v>
      </c>
      <c r="AJ277" s="44" t="s">
        <v>37</v>
      </c>
      <c r="AK277" s="44">
        <v>12912</v>
      </c>
      <c r="AL277" s="44" t="s">
        <v>37</v>
      </c>
      <c r="AM277" s="44">
        <v>20641146</v>
      </c>
      <c r="AN277" s="44" t="s">
        <v>37</v>
      </c>
      <c r="AO277" s="44">
        <v>182481</v>
      </c>
      <c r="AP277" s="44" t="s">
        <v>37</v>
      </c>
      <c r="AQ277" s="44">
        <v>25047152</v>
      </c>
      <c r="AR277" s="44" t="s">
        <v>37</v>
      </c>
      <c r="AS277" s="44">
        <v>2232822</v>
      </c>
      <c r="AT277" s="44" t="s">
        <v>37</v>
      </c>
      <c r="AU277" s="44">
        <v>52757514</v>
      </c>
      <c r="AV277" s="44" t="s">
        <v>37</v>
      </c>
      <c r="AW277" s="44">
        <v>9688812</v>
      </c>
      <c r="AX277" s="44" t="s">
        <v>37</v>
      </c>
      <c r="AY277" s="44">
        <v>7648343</v>
      </c>
      <c r="AZ277" s="44" t="s">
        <v>37</v>
      </c>
      <c r="BA277" s="44">
        <v>8418108</v>
      </c>
      <c r="BB277" s="44" t="s">
        <v>37</v>
      </c>
      <c r="BC277" s="44">
        <v>1853363</v>
      </c>
      <c r="BD277" s="44" t="s">
        <v>37</v>
      </c>
      <c r="BE277" s="44">
        <v>5339019</v>
      </c>
      <c r="BF277" s="44" t="s">
        <v>37</v>
      </c>
      <c r="BG277" s="44">
        <v>1176265</v>
      </c>
      <c r="BH277" s="44" t="s">
        <v>37</v>
      </c>
      <c r="BI277" s="44">
        <v>137628</v>
      </c>
      <c r="BJ277" s="44" t="s">
        <v>37</v>
      </c>
      <c r="BK277" s="44">
        <v>9528799</v>
      </c>
      <c r="BL277" s="44" t="s">
        <v>37</v>
      </c>
      <c r="BM277" s="44">
        <v>14069234</v>
      </c>
      <c r="BN277" s="44" t="s">
        <v>37</v>
      </c>
      <c r="BP277" s="44" t="s">
        <v>37</v>
      </c>
      <c r="BQ277" s="44">
        <v>1100460</v>
      </c>
      <c r="BR277" s="44" t="s">
        <v>37</v>
      </c>
      <c r="BS277" s="44">
        <v>5308915</v>
      </c>
      <c r="BT277" s="44" t="s">
        <v>37</v>
      </c>
      <c r="BU277" s="44">
        <v>1924563</v>
      </c>
      <c r="BV277" s="44" t="s">
        <v>37</v>
      </c>
      <c r="BW277" s="44">
        <v>139914</v>
      </c>
      <c r="BX277" s="44" t="s">
        <v>37</v>
      </c>
      <c r="BY277" s="44">
        <v>10635863</v>
      </c>
      <c r="BZ277" s="44" t="s">
        <v>37</v>
      </c>
      <c r="CA277" s="44">
        <v>3430635</v>
      </c>
      <c r="CB277" s="44" t="s">
        <v>37</v>
      </c>
      <c r="CD277" s="44" t="s">
        <v>37</v>
      </c>
      <c r="CE277" s="44">
        <v>3763177</v>
      </c>
      <c r="CF277" s="44" t="s">
        <v>37</v>
      </c>
      <c r="CG277" s="44">
        <v>5073637</v>
      </c>
      <c r="CH277" s="44" t="s">
        <v>37</v>
      </c>
      <c r="CI277" s="44">
        <v>16245407</v>
      </c>
      <c r="CJ277" s="44" t="s">
        <v>37</v>
      </c>
      <c r="CK277" s="44">
        <v>1249002</v>
      </c>
      <c r="CL277" s="44" t="s">
        <v>37</v>
      </c>
      <c r="CM277" s="44">
        <v>8143064</v>
      </c>
      <c r="CN277" s="44" t="s">
        <v>37</v>
      </c>
      <c r="CO277" s="44">
        <v>1564610</v>
      </c>
      <c r="CP277" s="44" t="s">
        <v>37</v>
      </c>
      <c r="CQ277" s="44">
        <v>1508866</v>
      </c>
      <c r="CR277" s="44" t="s">
        <v>37</v>
      </c>
      <c r="CS277" s="44">
        <v>11444257</v>
      </c>
      <c r="CT277" s="44" t="s">
        <v>37</v>
      </c>
      <c r="CU277" s="44">
        <v>53363867</v>
      </c>
      <c r="CV277" s="44" t="s">
        <v>37</v>
      </c>
      <c r="CW277" s="44">
        <v>8674949</v>
      </c>
      <c r="CX277" s="44" t="s">
        <v>37</v>
      </c>
      <c r="CY277" s="44">
        <v>1134998</v>
      </c>
      <c r="CZ277" s="44" t="s">
        <v>37</v>
      </c>
      <c r="DA277" s="44">
        <v>1071956</v>
      </c>
      <c r="DB277" s="44" t="s">
        <v>37</v>
      </c>
      <c r="DD277" s="44" t="s">
        <v>37</v>
      </c>
      <c r="DE277" s="44">
        <v>3376368</v>
      </c>
      <c r="DF277" s="44" t="s">
        <v>37</v>
      </c>
      <c r="DG277" s="44">
        <v>2340572</v>
      </c>
      <c r="DH277" s="44" t="s">
        <v>37</v>
      </c>
      <c r="DI277" s="44">
        <v>32429350</v>
      </c>
      <c r="DJ277" s="44" t="s">
        <v>37</v>
      </c>
      <c r="DK277" s="44">
        <v>4897127</v>
      </c>
      <c r="DL277" s="44" t="s">
        <v>37</v>
      </c>
      <c r="DM277" s="44">
        <v>9162342</v>
      </c>
      <c r="DN277" s="44" t="s">
        <v>37</v>
      </c>
      <c r="DO277" s="44">
        <v>12883294</v>
      </c>
      <c r="DP277" s="44" t="s">
        <v>37</v>
      </c>
      <c r="DQ277" s="44">
        <v>6055048</v>
      </c>
      <c r="DR277" s="44" t="s">
        <v>37</v>
      </c>
      <c r="DS277" s="44">
        <v>4724125</v>
      </c>
      <c r="DT277" s="44" t="s">
        <v>37</v>
      </c>
      <c r="DU277" s="44">
        <v>4579687</v>
      </c>
      <c r="DV277" s="44" t="s">
        <v>37</v>
      </c>
      <c r="DW277" s="44">
        <v>11280560</v>
      </c>
      <c r="DX277" s="44" t="s">
        <v>37</v>
      </c>
      <c r="DY277" s="44">
        <v>8083158</v>
      </c>
      <c r="DZ277" s="44" t="s">
        <v>37</v>
      </c>
      <c r="EA277" s="44">
        <v>2649385</v>
      </c>
      <c r="EB277" s="44" t="s">
        <v>37</v>
      </c>
      <c r="EC277" s="44">
        <v>4854189</v>
      </c>
      <c r="ED277" s="44" t="s">
        <v>37</v>
      </c>
      <c r="EE277" s="44">
        <v>8686155</v>
      </c>
      <c r="EF277" s="44" t="s">
        <v>37</v>
      </c>
      <c r="EG277" s="44">
        <v>1612072</v>
      </c>
      <c r="EH277" s="44" t="s">
        <v>37</v>
      </c>
      <c r="EI277" s="44">
        <v>46376</v>
      </c>
      <c r="EJ277" s="44" t="s">
        <v>37</v>
      </c>
      <c r="EK277" s="44">
        <v>4526664</v>
      </c>
      <c r="EL277" s="44" t="s">
        <v>37</v>
      </c>
      <c r="EM277" s="44">
        <v>4119091</v>
      </c>
      <c r="EN277" s="44" t="s">
        <v>37</v>
      </c>
      <c r="EO277" s="44">
        <v>1940989</v>
      </c>
      <c r="EP277" s="44" t="s">
        <v>37</v>
      </c>
      <c r="EQ277" s="44">
        <v>500</v>
      </c>
      <c r="ER277" s="44" t="s">
        <v>37</v>
      </c>
      <c r="ES277" s="44">
        <v>7654127</v>
      </c>
      <c r="ET277" s="44" t="s">
        <v>37</v>
      </c>
      <c r="EU277" s="44">
        <v>7108791</v>
      </c>
      <c r="EV277" s="44" t="s">
        <v>37</v>
      </c>
      <c r="EW277" s="44">
        <v>9682245</v>
      </c>
      <c r="EX277" s="44" t="s">
        <v>37</v>
      </c>
      <c r="EZ277" s="44" t="s">
        <v>37</v>
      </c>
      <c r="FA277" s="44">
        <v>5076482</v>
      </c>
      <c r="FB277" s="44" t="s">
        <v>37</v>
      </c>
      <c r="FC277" s="44">
        <v>4672184</v>
      </c>
      <c r="FD277" s="44" t="s">
        <v>37</v>
      </c>
      <c r="FE277" s="44">
        <v>10022467</v>
      </c>
      <c r="FF277" s="44" t="s">
        <v>37</v>
      </c>
      <c r="FH277" s="44" t="s">
        <v>37</v>
      </c>
      <c r="FI277" s="44">
        <v>12359722</v>
      </c>
      <c r="FJ277" s="44" t="s">
        <v>37</v>
      </c>
      <c r="FK277" s="44">
        <v>34551873</v>
      </c>
      <c r="FL277" s="44" t="s">
        <v>37</v>
      </c>
      <c r="FM277" s="44">
        <v>14579917</v>
      </c>
      <c r="FN277" s="44" t="s">
        <v>37</v>
      </c>
      <c r="FO277" s="44">
        <v>2258720</v>
      </c>
      <c r="FP277" s="44" t="s">
        <v>37</v>
      </c>
      <c r="FQ277" s="44">
        <v>3565798</v>
      </c>
      <c r="FR277" s="44" t="s">
        <v>37</v>
      </c>
      <c r="FS277" s="44">
        <v>5936673</v>
      </c>
      <c r="FT277" s="44" t="s">
        <v>37</v>
      </c>
      <c r="FU277" s="44">
        <v>2572299</v>
      </c>
      <c r="FV277" s="44" t="s">
        <v>37</v>
      </c>
      <c r="FW277" s="44">
        <v>2009981</v>
      </c>
      <c r="FX277" s="44" t="s">
        <v>37</v>
      </c>
      <c r="FY277" s="44">
        <v>4613850</v>
      </c>
      <c r="FZ277" s="44" t="s">
        <v>37</v>
      </c>
      <c r="GA277" s="44">
        <v>6417352</v>
      </c>
      <c r="GB277" s="44" t="s">
        <v>37</v>
      </c>
      <c r="GC277" s="44">
        <v>10855782</v>
      </c>
      <c r="GD277" s="44" t="s">
        <v>37</v>
      </c>
      <c r="GE277" s="44">
        <v>866</v>
      </c>
      <c r="GF277" s="44" t="s">
        <v>37</v>
      </c>
      <c r="GG277" s="44">
        <v>840</v>
      </c>
      <c r="GH277" s="44" t="s">
        <v>37</v>
      </c>
      <c r="GJ277" s="44" t="s">
        <v>37</v>
      </c>
      <c r="GK277" s="44">
        <v>12357905</v>
      </c>
      <c r="GL277" s="44" t="s">
        <v>37</v>
      </c>
      <c r="GM277" s="44">
        <v>12300554</v>
      </c>
      <c r="GN277" s="44" t="s">
        <v>37</v>
      </c>
      <c r="GP277" s="44" t="s">
        <v>37</v>
      </c>
      <c r="GQ277" s="44">
        <v>5143393</v>
      </c>
      <c r="GR277" s="44" t="s">
        <v>37</v>
      </c>
      <c r="GS277" s="44">
        <v>11124120</v>
      </c>
      <c r="GT277" s="44" t="s">
        <v>37</v>
      </c>
      <c r="GU277" s="44">
        <v>4815866</v>
      </c>
      <c r="GV277" s="44" t="s">
        <v>37</v>
      </c>
      <c r="GW277" s="44">
        <v>2844980</v>
      </c>
      <c r="GX277" s="44" t="s">
        <v>37</v>
      </c>
      <c r="GY277" s="44">
        <v>11279750</v>
      </c>
      <c r="GZ277" s="44" t="s">
        <v>37</v>
      </c>
      <c r="HA277" s="44">
        <v>3025378</v>
      </c>
      <c r="HB277" s="44" t="s">
        <v>37</v>
      </c>
      <c r="HC277" s="44">
        <v>2385970</v>
      </c>
      <c r="HD277" s="44" t="s">
        <v>37</v>
      </c>
      <c r="HE277" s="44">
        <v>1355712</v>
      </c>
      <c r="HF277" s="44" t="s">
        <v>37</v>
      </c>
      <c r="HG277" s="44">
        <v>694100553</v>
      </c>
      <c r="HH277" s="44" t="s">
        <v>37</v>
      </c>
      <c r="HI277" s="44">
        <v>3741682</v>
      </c>
      <c r="HJ277" s="44" t="s">
        <v>37</v>
      </c>
      <c r="HK277" s="44">
        <v>697842235</v>
      </c>
      <c r="HL277" s="44" t="s">
        <v>37</v>
      </c>
    </row>
    <row r="278" spans="1:220">
      <c r="A278" s="150" t="s">
        <v>408</v>
      </c>
      <c r="B278" s="54"/>
      <c r="D278" s="44" t="s">
        <v>37</v>
      </c>
      <c r="F278" s="44" t="s">
        <v>37</v>
      </c>
      <c r="H278" s="44" t="s">
        <v>37</v>
      </c>
      <c r="J278" s="44" t="s">
        <v>37</v>
      </c>
      <c r="L278" s="48" t="s">
        <v>37</v>
      </c>
      <c r="M278" s="51"/>
      <c r="N278" s="48" t="s">
        <v>37</v>
      </c>
      <c r="O278" s="51"/>
      <c r="P278" s="48" t="s">
        <v>37</v>
      </c>
      <c r="Q278" s="51"/>
      <c r="R278" s="48" t="s">
        <v>37</v>
      </c>
      <c r="S278" s="51"/>
      <c r="T278" s="48" t="s">
        <v>37</v>
      </c>
      <c r="V278" s="44" t="s">
        <v>37</v>
      </c>
      <c r="X278" s="44" t="s">
        <v>37</v>
      </c>
      <c r="Z278" s="44" t="s">
        <v>37</v>
      </c>
      <c r="AB278" s="44" t="s">
        <v>37</v>
      </c>
      <c r="AD278" s="44" t="s">
        <v>37</v>
      </c>
      <c r="AF278" s="44" t="s">
        <v>37</v>
      </c>
      <c r="AH278" s="44" t="s">
        <v>37</v>
      </c>
      <c r="AJ278" s="44" t="s">
        <v>37</v>
      </c>
      <c r="AL278" s="44" t="s">
        <v>37</v>
      </c>
      <c r="AN278" s="44" t="s">
        <v>37</v>
      </c>
      <c r="AP278" s="44" t="s">
        <v>37</v>
      </c>
      <c r="AR278" s="44" t="s">
        <v>37</v>
      </c>
      <c r="AT278" s="44" t="s">
        <v>37</v>
      </c>
      <c r="AV278" s="44" t="s">
        <v>37</v>
      </c>
      <c r="AX278" s="44" t="s">
        <v>37</v>
      </c>
      <c r="AZ278" s="44" t="s">
        <v>37</v>
      </c>
      <c r="BB278" s="44" t="s">
        <v>37</v>
      </c>
      <c r="BD278" s="44" t="s">
        <v>37</v>
      </c>
      <c r="BF278" s="44" t="s">
        <v>37</v>
      </c>
      <c r="BH278" s="44" t="s">
        <v>37</v>
      </c>
      <c r="BJ278" s="44" t="s">
        <v>37</v>
      </c>
      <c r="BL278" s="44" t="s">
        <v>37</v>
      </c>
      <c r="BN278" s="44" t="s">
        <v>37</v>
      </c>
      <c r="BP278" s="44" t="s">
        <v>37</v>
      </c>
      <c r="BR278" s="44" t="s">
        <v>37</v>
      </c>
      <c r="BT278" s="44" t="s">
        <v>37</v>
      </c>
      <c r="BV278" s="44" t="s">
        <v>37</v>
      </c>
      <c r="BX278" s="44" t="s">
        <v>37</v>
      </c>
      <c r="BZ278" s="44" t="s">
        <v>37</v>
      </c>
      <c r="CB278" s="44" t="s">
        <v>37</v>
      </c>
      <c r="CD278" s="44" t="s">
        <v>37</v>
      </c>
      <c r="CF278" s="44" t="s">
        <v>37</v>
      </c>
      <c r="CH278" s="44" t="s">
        <v>37</v>
      </c>
      <c r="CJ278" s="44" t="s">
        <v>37</v>
      </c>
      <c r="CL278" s="44" t="s">
        <v>37</v>
      </c>
      <c r="CN278" s="44" t="s">
        <v>37</v>
      </c>
      <c r="CP278" s="44" t="s">
        <v>37</v>
      </c>
      <c r="CR278" s="44" t="s">
        <v>37</v>
      </c>
      <c r="CT278" s="44" t="s">
        <v>37</v>
      </c>
      <c r="CV278" s="44" t="s">
        <v>37</v>
      </c>
      <c r="CX278" s="44" t="s">
        <v>37</v>
      </c>
      <c r="CZ278" s="44" t="s">
        <v>37</v>
      </c>
      <c r="DB278" s="44" t="s">
        <v>37</v>
      </c>
      <c r="DD278" s="44" t="s">
        <v>37</v>
      </c>
      <c r="DF278" s="44" t="s">
        <v>37</v>
      </c>
      <c r="DH278" s="44" t="s">
        <v>37</v>
      </c>
      <c r="DJ278" s="44" t="s">
        <v>37</v>
      </c>
      <c r="DL278" s="44" t="s">
        <v>37</v>
      </c>
      <c r="DN278" s="44" t="s">
        <v>37</v>
      </c>
      <c r="DP278" s="44" t="s">
        <v>37</v>
      </c>
      <c r="DR278" s="44" t="s">
        <v>37</v>
      </c>
      <c r="DT278" s="44" t="s">
        <v>37</v>
      </c>
      <c r="DV278" s="44" t="s">
        <v>37</v>
      </c>
      <c r="DX278" s="44" t="s">
        <v>37</v>
      </c>
      <c r="DZ278" s="44" t="s">
        <v>37</v>
      </c>
      <c r="EB278" s="44" t="s">
        <v>37</v>
      </c>
      <c r="ED278" s="44" t="s">
        <v>37</v>
      </c>
      <c r="EF278" s="44" t="s">
        <v>37</v>
      </c>
      <c r="EH278" s="44" t="s">
        <v>37</v>
      </c>
      <c r="EJ278" s="44" t="s">
        <v>37</v>
      </c>
      <c r="EL278" s="44" t="s">
        <v>37</v>
      </c>
      <c r="EN278" s="44" t="s">
        <v>37</v>
      </c>
      <c r="EP278" s="44" t="s">
        <v>37</v>
      </c>
      <c r="ER278" s="44" t="s">
        <v>37</v>
      </c>
      <c r="ET278" s="44" t="s">
        <v>37</v>
      </c>
      <c r="EV278" s="44" t="s">
        <v>37</v>
      </c>
      <c r="EX278" s="44" t="s">
        <v>37</v>
      </c>
      <c r="EZ278" s="44" t="s">
        <v>37</v>
      </c>
      <c r="FB278" s="44" t="s">
        <v>37</v>
      </c>
      <c r="FD278" s="44" t="s">
        <v>37</v>
      </c>
      <c r="FF278" s="44" t="s">
        <v>37</v>
      </c>
      <c r="FH278" s="44" t="s">
        <v>37</v>
      </c>
      <c r="FJ278" s="44" t="s">
        <v>37</v>
      </c>
      <c r="FL278" s="44" t="s">
        <v>37</v>
      </c>
      <c r="FN278" s="44" t="s">
        <v>37</v>
      </c>
      <c r="FP278" s="44" t="s">
        <v>37</v>
      </c>
      <c r="FR278" s="44" t="s">
        <v>37</v>
      </c>
      <c r="FT278" s="44" t="s">
        <v>37</v>
      </c>
      <c r="FV278" s="44" t="s">
        <v>37</v>
      </c>
      <c r="FX278" s="44" t="s">
        <v>37</v>
      </c>
      <c r="FZ278" s="44" t="s">
        <v>37</v>
      </c>
      <c r="GB278" s="44" t="s">
        <v>37</v>
      </c>
      <c r="GD278" s="44" t="s">
        <v>37</v>
      </c>
      <c r="GF278" s="44" t="s">
        <v>37</v>
      </c>
      <c r="GH278" s="44" t="s">
        <v>37</v>
      </c>
      <c r="GJ278" s="44" t="s">
        <v>37</v>
      </c>
      <c r="GL278" s="44" t="s">
        <v>37</v>
      </c>
      <c r="GN278" s="44" t="s">
        <v>37</v>
      </c>
      <c r="GP278" s="44" t="s">
        <v>37</v>
      </c>
      <c r="GR278" s="44" t="s">
        <v>37</v>
      </c>
      <c r="GT278" s="44" t="s">
        <v>37</v>
      </c>
      <c r="GV278" s="44" t="s">
        <v>37</v>
      </c>
      <c r="GX278" s="44" t="s">
        <v>37</v>
      </c>
      <c r="GZ278" s="44" t="s">
        <v>37</v>
      </c>
      <c r="HB278" s="44" t="s">
        <v>37</v>
      </c>
      <c r="HD278" s="44" t="s">
        <v>37</v>
      </c>
      <c r="HF278" s="44" t="s">
        <v>37</v>
      </c>
      <c r="HH278" s="44" t="s">
        <v>37</v>
      </c>
      <c r="HJ278" s="44" t="s">
        <v>37</v>
      </c>
      <c r="HL278" s="44" t="s">
        <v>37</v>
      </c>
    </row>
    <row r="279" spans="1:220">
      <c r="A279" s="150" t="s">
        <v>408</v>
      </c>
      <c r="B279" s="54">
        <v>5000</v>
      </c>
      <c r="C279" s="44" t="s">
        <v>281</v>
      </c>
      <c r="D279" s="44" t="s">
        <v>37</v>
      </c>
      <c r="F279" s="44" t="s">
        <v>37</v>
      </c>
      <c r="H279" s="44" t="s">
        <v>37</v>
      </c>
      <c r="J279" s="44" t="s">
        <v>37</v>
      </c>
      <c r="L279" s="48" t="s">
        <v>37</v>
      </c>
      <c r="M279" s="50"/>
      <c r="N279" s="48" t="s">
        <v>37</v>
      </c>
      <c r="O279" s="50"/>
      <c r="P279" s="48" t="s">
        <v>37</v>
      </c>
      <c r="Q279" s="50"/>
      <c r="R279" s="48" t="s">
        <v>37</v>
      </c>
      <c r="S279" s="50"/>
      <c r="T279" s="48" t="s">
        <v>37</v>
      </c>
      <c r="V279" s="44" t="s">
        <v>37</v>
      </c>
      <c r="X279" s="44" t="s">
        <v>37</v>
      </c>
      <c r="Z279" s="44" t="s">
        <v>37</v>
      </c>
      <c r="AB279" s="44" t="s">
        <v>37</v>
      </c>
      <c r="AD279" s="44" t="s">
        <v>37</v>
      </c>
      <c r="AF279" s="44" t="s">
        <v>37</v>
      </c>
      <c r="AH279" s="44" t="s">
        <v>37</v>
      </c>
      <c r="AJ279" s="44" t="s">
        <v>37</v>
      </c>
      <c r="AL279" s="44" t="s">
        <v>37</v>
      </c>
      <c r="AN279" s="44" t="s">
        <v>37</v>
      </c>
      <c r="AP279" s="44" t="s">
        <v>37</v>
      </c>
      <c r="AR279" s="44" t="s">
        <v>37</v>
      </c>
      <c r="AT279" s="44" t="s">
        <v>37</v>
      </c>
      <c r="AV279" s="44" t="s">
        <v>37</v>
      </c>
      <c r="AX279" s="44" t="s">
        <v>37</v>
      </c>
      <c r="AZ279" s="44" t="s">
        <v>37</v>
      </c>
      <c r="BB279" s="44" t="s">
        <v>37</v>
      </c>
      <c r="BD279" s="44" t="s">
        <v>37</v>
      </c>
      <c r="BF279" s="44" t="s">
        <v>37</v>
      </c>
      <c r="BH279" s="44" t="s">
        <v>37</v>
      </c>
      <c r="BJ279" s="44" t="s">
        <v>37</v>
      </c>
      <c r="BL279" s="44" t="s">
        <v>37</v>
      </c>
      <c r="BN279" s="44" t="s">
        <v>37</v>
      </c>
      <c r="BP279" s="44" t="s">
        <v>37</v>
      </c>
      <c r="BR279" s="44" t="s">
        <v>37</v>
      </c>
      <c r="BT279" s="44" t="s">
        <v>37</v>
      </c>
      <c r="BV279" s="44" t="s">
        <v>37</v>
      </c>
      <c r="BX279" s="44" t="s">
        <v>37</v>
      </c>
      <c r="BZ279" s="44" t="s">
        <v>37</v>
      </c>
      <c r="CB279" s="44" t="s">
        <v>37</v>
      </c>
      <c r="CD279" s="44" t="s">
        <v>37</v>
      </c>
      <c r="CF279" s="44" t="s">
        <v>37</v>
      </c>
      <c r="CH279" s="44" t="s">
        <v>37</v>
      </c>
      <c r="CJ279" s="44" t="s">
        <v>37</v>
      </c>
      <c r="CL279" s="44" t="s">
        <v>37</v>
      </c>
      <c r="CN279" s="44" t="s">
        <v>37</v>
      </c>
      <c r="CP279" s="44" t="s">
        <v>37</v>
      </c>
      <c r="CR279" s="44" t="s">
        <v>37</v>
      </c>
      <c r="CT279" s="44" t="s">
        <v>37</v>
      </c>
      <c r="CV279" s="44" t="s">
        <v>37</v>
      </c>
      <c r="CX279" s="44" t="s">
        <v>37</v>
      </c>
      <c r="CZ279" s="44" t="s">
        <v>37</v>
      </c>
      <c r="DB279" s="44" t="s">
        <v>37</v>
      </c>
      <c r="DD279" s="44" t="s">
        <v>37</v>
      </c>
      <c r="DF279" s="44" t="s">
        <v>37</v>
      </c>
      <c r="DH279" s="44" t="s">
        <v>37</v>
      </c>
      <c r="DJ279" s="44" t="s">
        <v>37</v>
      </c>
      <c r="DL279" s="44" t="s">
        <v>37</v>
      </c>
      <c r="DN279" s="44" t="s">
        <v>37</v>
      </c>
      <c r="DP279" s="44" t="s">
        <v>37</v>
      </c>
      <c r="DR279" s="44" t="s">
        <v>37</v>
      </c>
      <c r="DT279" s="44" t="s">
        <v>37</v>
      </c>
      <c r="DV279" s="44" t="s">
        <v>37</v>
      </c>
      <c r="DX279" s="44" t="s">
        <v>37</v>
      </c>
      <c r="DZ279" s="44" t="s">
        <v>37</v>
      </c>
      <c r="EB279" s="44" t="s">
        <v>37</v>
      </c>
      <c r="ED279" s="44" t="s">
        <v>37</v>
      </c>
      <c r="EF279" s="44" t="s">
        <v>37</v>
      </c>
      <c r="EH279" s="44" t="s">
        <v>37</v>
      </c>
      <c r="EJ279" s="44" t="s">
        <v>37</v>
      </c>
      <c r="EL279" s="44" t="s">
        <v>37</v>
      </c>
      <c r="EN279" s="44" t="s">
        <v>37</v>
      </c>
      <c r="EP279" s="44" t="s">
        <v>37</v>
      </c>
      <c r="ER279" s="44" t="s">
        <v>37</v>
      </c>
      <c r="ET279" s="44" t="s">
        <v>37</v>
      </c>
      <c r="EV279" s="44" t="s">
        <v>37</v>
      </c>
      <c r="EX279" s="44" t="s">
        <v>37</v>
      </c>
      <c r="EZ279" s="44" t="s">
        <v>37</v>
      </c>
      <c r="FB279" s="44" t="s">
        <v>37</v>
      </c>
      <c r="FD279" s="44" t="s">
        <v>37</v>
      </c>
      <c r="FF279" s="44" t="s">
        <v>37</v>
      </c>
      <c r="FH279" s="44" t="s">
        <v>37</v>
      </c>
      <c r="FJ279" s="44" t="s">
        <v>37</v>
      </c>
      <c r="FL279" s="44" t="s">
        <v>37</v>
      </c>
      <c r="FN279" s="44" t="s">
        <v>37</v>
      </c>
      <c r="FP279" s="44" t="s">
        <v>37</v>
      </c>
      <c r="FR279" s="44" t="s">
        <v>37</v>
      </c>
      <c r="FT279" s="44" t="s">
        <v>37</v>
      </c>
      <c r="FV279" s="44" t="s">
        <v>37</v>
      </c>
      <c r="FX279" s="44" t="s">
        <v>37</v>
      </c>
      <c r="FZ279" s="44" t="s">
        <v>37</v>
      </c>
      <c r="GB279" s="44" t="s">
        <v>37</v>
      </c>
      <c r="GD279" s="44" t="s">
        <v>37</v>
      </c>
      <c r="GF279" s="44" t="s">
        <v>37</v>
      </c>
      <c r="GH279" s="44" t="s">
        <v>37</v>
      </c>
      <c r="GJ279" s="44" t="s">
        <v>37</v>
      </c>
      <c r="GL279" s="44" t="s">
        <v>37</v>
      </c>
      <c r="GN279" s="44" t="s">
        <v>37</v>
      </c>
      <c r="GP279" s="44" t="s">
        <v>37</v>
      </c>
      <c r="GR279" s="44" t="s">
        <v>37</v>
      </c>
      <c r="GT279" s="44" t="s">
        <v>37</v>
      </c>
      <c r="GV279" s="44" t="s">
        <v>37</v>
      </c>
      <c r="GX279" s="44" t="s">
        <v>37</v>
      </c>
      <c r="GZ279" s="44" t="s">
        <v>37</v>
      </c>
      <c r="HB279" s="44" t="s">
        <v>37</v>
      </c>
      <c r="HD279" s="44" t="s">
        <v>37</v>
      </c>
      <c r="HF279" s="44" t="s">
        <v>37</v>
      </c>
      <c r="HH279" s="44" t="s">
        <v>37</v>
      </c>
      <c r="HJ279" s="44" t="s">
        <v>37</v>
      </c>
      <c r="HL279" s="44" t="s">
        <v>37</v>
      </c>
    </row>
    <row r="280" spans="1:220">
      <c r="A280" s="150" t="s">
        <v>407</v>
      </c>
      <c r="B280" s="54">
        <v>5110</v>
      </c>
      <c r="C280" s="44" t="s">
        <v>282</v>
      </c>
      <c r="D280" s="44" t="s">
        <v>37</v>
      </c>
      <c r="F280" s="44" t="s">
        <v>37</v>
      </c>
      <c r="G280" s="44">
        <v>521976</v>
      </c>
      <c r="H280" s="44" t="s">
        <v>37</v>
      </c>
      <c r="J280" s="44" t="s">
        <v>37</v>
      </c>
      <c r="L280" s="48" t="s">
        <v>37</v>
      </c>
      <c r="M280" s="50"/>
      <c r="N280" s="48" t="s">
        <v>37</v>
      </c>
      <c r="O280" s="51">
        <v>194939</v>
      </c>
      <c r="P280" s="48" t="s">
        <v>37</v>
      </c>
      <c r="Q280" s="50"/>
      <c r="R280" s="48" t="s">
        <v>37</v>
      </c>
      <c r="S280" s="50"/>
      <c r="T280" s="48" t="s">
        <v>37</v>
      </c>
      <c r="V280" s="44" t="s">
        <v>37</v>
      </c>
      <c r="X280" s="44" t="s">
        <v>37</v>
      </c>
      <c r="Z280" s="44" t="s">
        <v>37</v>
      </c>
      <c r="AA280" s="44">
        <v>10386</v>
      </c>
      <c r="AB280" s="44" t="s">
        <v>37</v>
      </c>
      <c r="AD280" s="44" t="s">
        <v>37</v>
      </c>
      <c r="AF280" s="44" t="s">
        <v>37</v>
      </c>
      <c r="AH280" s="44" t="s">
        <v>37</v>
      </c>
      <c r="AJ280" s="44" t="s">
        <v>37</v>
      </c>
      <c r="AL280" s="44" t="s">
        <v>37</v>
      </c>
      <c r="AM280" s="44">
        <v>3780735</v>
      </c>
      <c r="AN280" s="44" t="s">
        <v>37</v>
      </c>
      <c r="AP280" s="44" t="s">
        <v>37</v>
      </c>
      <c r="AQ280" s="44">
        <v>4838201</v>
      </c>
      <c r="AR280" s="44" t="s">
        <v>37</v>
      </c>
      <c r="AS280" s="44">
        <v>817413</v>
      </c>
      <c r="AT280" s="44" t="s">
        <v>37</v>
      </c>
      <c r="AU280" s="44">
        <v>107167</v>
      </c>
      <c r="AV280" s="44" t="s">
        <v>37</v>
      </c>
      <c r="AX280" s="44" t="s">
        <v>37</v>
      </c>
      <c r="AZ280" s="44" t="s">
        <v>37</v>
      </c>
      <c r="BA280" s="44">
        <v>1139042</v>
      </c>
      <c r="BB280" s="44" t="s">
        <v>37</v>
      </c>
      <c r="BD280" s="44" t="s">
        <v>37</v>
      </c>
      <c r="BF280" s="44" t="s">
        <v>37</v>
      </c>
      <c r="BH280" s="44" t="s">
        <v>37</v>
      </c>
      <c r="BJ280" s="44" t="s">
        <v>37</v>
      </c>
      <c r="BK280" s="44">
        <v>2725025</v>
      </c>
      <c r="BL280" s="44" t="s">
        <v>37</v>
      </c>
      <c r="BN280" s="44" t="s">
        <v>37</v>
      </c>
      <c r="BP280" s="44" t="s">
        <v>37</v>
      </c>
      <c r="BR280" s="44" t="s">
        <v>37</v>
      </c>
      <c r="BT280" s="44" t="s">
        <v>37</v>
      </c>
      <c r="BV280" s="44" t="s">
        <v>37</v>
      </c>
      <c r="BX280" s="44" t="s">
        <v>37</v>
      </c>
      <c r="BY280" s="44">
        <v>7872</v>
      </c>
      <c r="BZ280" s="44" t="s">
        <v>37</v>
      </c>
      <c r="CB280" s="44" t="s">
        <v>37</v>
      </c>
      <c r="CD280" s="44" t="s">
        <v>37</v>
      </c>
      <c r="CF280" s="44" t="s">
        <v>37</v>
      </c>
      <c r="CH280" s="44" t="s">
        <v>37</v>
      </c>
      <c r="CJ280" s="44" t="s">
        <v>37</v>
      </c>
      <c r="CL280" s="44" t="s">
        <v>37</v>
      </c>
      <c r="CN280" s="44" t="s">
        <v>37</v>
      </c>
      <c r="CP280" s="44" t="s">
        <v>37</v>
      </c>
      <c r="CR280" s="44" t="s">
        <v>37</v>
      </c>
      <c r="CS280" s="44">
        <v>354454</v>
      </c>
      <c r="CT280" s="44" t="s">
        <v>37</v>
      </c>
      <c r="CV280" s="44" t="s">
        <v>37</v>
      </c>
      <c r="CW280" s="44">
        <v>3698178</v>
      </c>
      <c r="CX280" s="44" t="s">
        <v>37</v>
      </c>
      <c r="CZ280" s="44" t="s">
        <v>37</v>
      </c>
      <c r="DB280" s="44" t="s">
        <v>37</v>
      </c>
      <c r="DD280" s="44" t="s">
        <v>37</v>
      </c>
      <c r="DF280" s="44" t="s">
        <v>37</v>
      </c>
      <c r="DH280" s="44" t="s">
        <v>37</v>
      </c>
      <c r="DI280" s="44">
        <v>3393526</v>
      </c>
      <c r="DJ280" s="44" t="s">
        <v>37</v>
      </c>
      <c r="DK280" s="44">
        <v>91586</v>
      </c>
      <c r="DL280" s="44" t="s">
        <v>37</v>
      </c>
      <c r="DN280" s="44" t="s">
        <v>37</v>
      </c>
      <c r="DP280" s="44" t="s">
        <v>37</v>
      </c>
      <c r="DQ280" s="44">
        <v>7235</v>
      </c>
      <c r="DR280" s="44" t="s">
        <v>37</v>
      </c>
      <c r="DT280" s="44" t="s">
        <v>37</v>
      </c>
      <c r="DV280" s="44" t="s">
        <v>37</v>
      </c>
      <c r="DX280" s="44" t="s">
        <v>37</v>
      </c>
      <c r="DY280" s="44">
        <v>1834</v>
      </c>
      <c r="DZ280" s="44" t="s">
        <v>37</v>
      </c>
      <c r="EB280" s="44" t="s">
        <v>37</v>
      </c>
      <c r="ED280" s="44" t="s">
        <v>37</v>
      </c>
      <c r="EF280" s="44" t="s">
        <v>37</v>
      </c>
      <c r="EH280" s="44" t="s">
        <v>37</v>
      </c>
      <c r="EJ280" s="44" t="s">
        <v>37</v>
      </c>
      <c r="EL280" s="44" t="s">
        <v>37</v>
      </c>
      <c r="EN280" s="44" t="s">
        <v>37</v>
      </c>
      <c r="EP280" s="44" t="s">
        <v>37</v>
      </c>
      <c r="ER280" s="44" t="s">
        <v>37</v>
      </c>
      <c r="ES280" s="44">
        <v>422760</v>
      </c>
      <c r="ET280" s="44" t="s">
        <v>37</v>
      </c>
      <c r="EV280" s="44" t="s">
        <v>37</v>
      </c>
      <c r="EW280" s="44">
        <v>610873</v>
      </c>
      <c r="EX280" s="44" t="s">
        <v>37</v>
      </c>
      <c r="EZ280" s="44" t="s">
        <v>37</v>
      </c>
      <c r="FB280" s="44" t="s">
        <v>37</v>
      </c>
      <c r="FC280" s="44">
        <v>319181</v>
      </c>
      <c r="FD280" s="44" t="s">
        <v>37</v>
      </c>
      <c r="FE280" s="44">
        <v>156682</v>
      </c>
      <c r="FF280" s="44" t="s">
        <v>37</v>
      </c>
      <c r="FH280" s="44" t="s">
        <v>37</v>
      </c>
      <c r="FI280" s="44">
        <v>18772977</v>
      </c>
      <c r="FJ280" s="44" t="s">
        <v>37</v>
      </c>
      <c r="FK280" s="44">
        <v>1962828</v>
      </c>
      <c r="FL280" s="44" t="s">
        <v>37</v>
      </c>
      <c r="FM280" s="44">
        <v>1348330</v>
      </c>
      <c r="FN280" s="44" t="s">
        <v>37</v>
      </c>
      <c r="FP280" s="44" t="s">
        <v>37</v>
      </c>
      <c r="FR280" s="44" t="s">
        <v>37</v>
      </c>
      <c r="FS280" s="44">
        <v>18120</v>
      </c>
      <c r="FT280" s="44" t="s">
        <v>37</v>
      </c>
      <c r="FU280" s="44">
        <v>79610</v>
      </c>
      <c r="FV280" s="44" t="s">
        <v>37</v>
      </c>
      <c r="FX280" s="44" t="s">
        <v>37</v>
      </c>
      <c r="FZ280" s="44" t="s">
        <v>37</v>
      </c>
      <c r="GA280" s="44">
        <v>5</v>
      </c>
      <c r="GB280" s="44" t="s">
        <v>37</v>
      </c>
      <c r="GD280" s="44" t="s">
        <v>37</v>
      </c>
      <c r="GF280" s="44" t="s">
        <v>37</v>
      </c>
      <c r="GH280" s="44" t="s">
        <v>37</v>
      </c>
      <c r="GJ280" s="44" t="s">
        <v>37</v>
      </c>
      <c r="GK280" s="44">
        <v>1162398</v>
      </c>
      <c r="GL280" s="44" t="s">
        <v>37</v>
      </c>
      <c r="GM280" s="44">
        <v>1402904</v>
      </c>
      <c r="GN280" s="44" t="s">
        <v>37</v>
      </c>
      <c r="GP280" s="44" t="s">
        <v>37</v>
      </c>
      <c r="GQ280" s="44">
        <v>653929</v>
      </c>
      <c r="GR280" s="44" t="s">
        <v>37</v>
      </c>
      <c r="GS280" s="44">
        <v>794070</v>
      </c>
      <c r="GT280" s="44" t="s">
        <v>37</v>
      </c>
      <c r="GV280" s="44" t="s">
        <v>37</v>
      </c>
      <c r="GX280" s="44" t="s">
        <v>37</v>
      </c>
      <c r="GY280" s="44">
        <v>1401390</v>
      </c>
      <c r="GZ280" s="44" t="s">
        <v>37</v>
      </c>
      <c r="HA280" s="44">
        <v>5006644</v>
      </c>
      <c r="HB280" s="44" t="s">
        <v>37</v>
      </c>
      <c r="HD280" s="44" t="s">
        <v>37</v>
      </c>
      <c r="HF280" s="44" t="s">
        <v>37</v>
      </c>
      <c r="HG280" s="44">
        <v>55802270</v>
      </c>
      <c r="HH280" s="44" t="s">
        <v>37</v>
      </c>
      <c r="HJ280" s="44" t="s">
        <v>37</v>
      </c>
      <c r="HK280" s="44">
        <v>55802270</v>
      </c>
      <c r="HL280" s="44" t="s">
        <v>37</v>
      </c>
    </row>
    <row r="281" spans="1:220">
      <c r="A281" s="150" t="s">
        <v>407</v>
      </c>
      <c r="B281" s="54">
        <v>5120</v>
      </c>
      <c r="C281" s="44" t="s">
        <v>283</v>
      </c>
      <c r="D281" s="44" t="s">
        <v>37</v>
      </c>
      <c r="F281" s="44" t="s">
        <v>37</v>
      </c>
      <c r="G281" s="44">
        <v>21740000</v>
      </c>
      <c r="H281" s="44" t="s">
        <v>37</v>
      </c>
      <c r="J281" s="44" t="s">
        <v>37</v>
      </c>
      <c r="L281" s="48" t="s">
        <v>37</v>
      </c>
      <c r="M281" s="50"/>
      <c r="N281" s="48" t="s">
        <v>37</v>
      </c>
      <c r="O281" s="50"/>
      <c r="P281" s="48" t="s">
        <v>37</v>
      </c>
      <c r="Q281" s="50"/>
      <c r="R281" s="48" t="s">
        <v>37</v>
      </c>
      <c r="S281" s="50"/>
      <c r="T281" s="48" t="s">
        <v>37</v>
      </c>
      <c r="U281" s="44">
        <v>7600000</v>
      </c>
      <c r="V281" s="44" t="s">
        <v>37</v>
      </c>
      <c r="X281" s="44" t="s">
        <v>37</v>
      </c>
      <c r="Z281" s="44" t="s">
        <v>37</v>
      </c>
      <c r="AA281" s="44">
        <v>1300000</v>
      </c>
      <c r="AB281" s="44" t="s">
        <v>37</v>
      </c>
      <c r="AD281" s="44" t="s">
        <v>37</v>
      </c>
      <c r="AF281" s="44" t="s">
        <v>37</v>
      </c>
      <c r="AG281" s="44">
        <v>570000</v>
      </c>
      <c r="AH281" s="44" t="s">
        <v>37</v>
      </c>
      <c r="AJ281" s="44" t="s">
        <v>37</v>
      </c>
      <c r="AL281" s="44" t="s">
        <v>37</v>
      </c>
      <c r="AM281" s="44">
        <v>68710000</v>
      </c>
      <c r="AN281" s="44" t="s">
        <v>37</v>
      </c>
      <c r="AP281" s="44" t="s">
        <v>37</v>
      </c>
      <c r="AQ281" s="44">
        <v>83656750</v>
      </c>
      <c r="AR281" s="44" t="s">
        <v>37</v>
      </c>
      <c r="AS281" s="44">
        <v>32985000</v>
      </c>
      <c r="AT281" s="44" t="s">
        <v>37</v>
      </c>
      <c r="AV281" s="44" t="s">
        <v>37</v>
      </c>
      <c r="AX281" s="44" t="s">
        <v>37</v>
      </c>
      <c r="AZ281" s="44" t="s">
        <v>37</v>
      </c>
      <c r="BA281" s="44">
        <v>175000</v>
      </c>
      <c r="BB281" s="44" t="s">
        <v>37</v>
      </c>
      <c r="BC281" s="44">
        <v>9630000</v>
      </c>
      <c r="BD281" s="44" t="s">
        <v>37</v>
      </c>
      <c r="BE281" s="44">
        <v>425000</v>
      </c>
      <c r="BF281" s="44" t="s">
        <v>37</v>
      </c>
      <c r="BH281" s="44" t="s">
        <v>37</v>
      </c>
      <c r="BJ281" s="44" t="s">
        <v>37</v>
      </c>
      <c r="BL281" s="44" t="s">
        <v>37</v>
      </c>
      <c r="BM281" s="44">
        <v>3000000</v>
      </c>
      <c r="BN281" s="44" t="s">
        <v>37</v>
      </c>
      <c r="BP281" s="44" t="s">
        <v>37</v>
      </c>
      <c r="BR281" s="44" t="s">
        <v>37</v>
      </c>
      <c r="BT281" s="44" t="s">
        <v>37</v>
      </c>
      <c r="BV281" s="44" t="s">
        <v>37</v>
      </c>
      <c r="BX281" s="44" t="s">
        <v>37</v>
      </c>
      <c r="BY281" s="44">
        <v>7277390</v>
      </c>
      <c r="BZ281" s="44" t="s">
        <v>37</v>
      </c>
      <c r="CB281" s="44" t="s">
        <v>37</v>
      </c>
      <c r="CD281" s="44" t="s">
        <v>37</v>
      </c>
      <c r="CF281" s="44" t="s">
        <v>37</v>
      </c>
      <c r="CG281" s="44">
        <v>2011213</v>
      </c>
      <c r="CH281" s="44" t="s">
        <v>37</v>
      </c>
      <c r="CJ281" s="44" t="s">
        <v>37</v>
      </c>
      <c r="CL281" s="44" t="s">
        <v>37</v>
      </c>
      <c r="CM281" s="44">
        <v>1200000</v>
      </c>
      <c r="CN281" s="44" t="s">
        <v>37</v>
      </c>
      <c r="CP281" s="44" t="s">
        <v>37</v>
      </c>
      <c r="CR281" s="44" t="s">
        <v>37</v>
      </c>
      <c r="CS281" s="44">
        <v>16957208</v>
      </c>
      <c r="CT281" s="44" t="s">
        <v>37</v>
      </c>
      <c r="CV281" s="44" t="s">
        <v>37</v>
      </c>
      <c r="CW281" s="44">
        <v>5200000</v>
      </c>
      <c r="CX281" s="44" t="s">
        <v>37</v>
      </c>
      <c r="CZ281" s="44" t="s">
        <v>37</v>
      </c>
      <c r="DA281" s="44">
        <v>760000</v>
      </c>
      <c r="DB281" s="44" t="s">
        <v>37</v>
      </c>
      <c r="DD281" s="44" t="s">
        <v>37</v>
      </c>
      <c r="DE281" s="44">
        <v>1644400</v>
      </c>
      <c r="DF281" s="44" t="s">
        <v>37</v>
      </c>
      <c r="DG281" s="44">
        <v>200000</v>
      </c>
      <c r="DH281" s="44" t="s">
        <v>37</v>
      </c>
      <c r="DI281" s="44">
        <v>128710000</v>
      </c>
      <c r="DJ281" s="44" t="s">
        <v>37</v>
      </c>
      <c r="DK281" s="44">
        <v>14965000</v>
      </c>
      <c r="DL281" s="44" t="s">
        <v>37</v>
      </c>
      <c r="DN281" s="44" t="s">
        <v>37</v>
      </c>
      <c r="DO281" s="44">
        <v>5500000</v>
      </c>
      <c r="DP281" s="44" t="s">
        <v>37</v>
      </c>
      <c r="DQ281" s="44">
        <v>1405000</v>
      </c>
      <c r="DR281" s="44" t="s">
        <v>37</v>
      </c>
      <c r="DS281" s="44">
        <v>20000000</v>
      </c>
      <c r="DT281" s="44" t="s">
        <v>37</v>
      </c>
      <c r="DU281" s="44">
        <v>5000000</v>
      </c>
      <c r="DV281" s="44" t="s">
        <v>37</v>
      </c>
      <c r="DW281" s="44">
        <v>1910000</v>
      </c>
      <c r="DX281" s="44" t="s">
        <v>37</v>
      </c>
      <c r="DY281" s="44">
        <v>3015000</v>
      </c>
      <c r="DZ281" s="44" t="s">
        <v>37</v>
      </c>
      <c r="EB281" s="44" t="s">
        <v>37</v>
      </c>
      <c r="ED281" s="44" t="s">
        <v>37</v>
      </c>
      <c r="EE281" s="44">
        <v>33725000</v>
      </c>
      <c r="EF281" s="44" t="s">
        <v>37</v>
      </c>
      <c r="EH281" s="44" t="s">
        <v>37</v>
      </c>
      <c r="EJ281" s="44" t="s">
        <v>37</v>
      </c>
      <c r="EL281" s="44" t="s">
        <v>37</v>
      </c>
      <c r="EN281" s="44" t="s">
        <v>37</v>
      </c>
      <c r="EP281" s="44" t="s">
        <v>37</v>
      </c>
      <c r="ER281" s="44" t="s">
        <v>37</v>
      </c>
      <c r="ES281" s="44">
        <v>524946</v>
      </c>
      <c r="ET281" s="44" t="s">
        <v>37</v>
      </c>
      <c r="EV281" s="44" t="s">
        <v>37</v>
      </c>
      <c r="EW281" s="44">
        <v>24500000</v>
      </c>
      <c r="EX281" s="44" t="s">
        <v>37</v>
      </c>
      <c r="EZ281" s="44" t="s">
        <v>37</v>
      </c>
      <c r="FB281" s="44" t="s">
        <v>37</v>
      </c>
      <c r="FD281" s="44" t="s">
        <v>37</v>
      </c>
      <c r="FE281" s="44">
        <v>4204370</v>
      </c>
      <c r="FF281" s="44" t="s">
        <v>37</v>
      </c>
      <c r="FH281" s="44" t="s">
        <v>37</v>
      </c>
      <c r="FI281" s="44">
        <v>336165000</v>
      </c>
      <c r="FJ281" s="44" t="s">
        <v>37</v>
      </c>
      <c r="FK281" s="44">
        <v>79000000</v>
      </c>
      <c r="FL281" s="44" t="s">
        <v>37</v>
      </c>
      <c r="FM281" s="44">
        <v>43500000</v>
      </c>
      <c r="FN281" s="44" t="s">
        <v>37</v>
      </c>
      <c r="FP281" s="44" t="s">
        <v>37</v>
      </c>
      <c r="FR281" s="44" t="s">
        <v>37</v>
      </c>
      <c r="FS281" s="44">
        <v>5700000</v>
      </c>
      <c r="FT281" s="44" t="s">
        <v>37</v>
      </c>
      <c r="FU281" s="44">
        <v>18185000</v>
      </c>
      <c r="FV281" s="44" t="s">
        <v>37</v>
      </c>
      <c r="FW281" s="44">
        <v>2000000</v>
      </c>
      <c r="FX281" s="44" t="s">
        <v>37</v>
      </c>
      <c r="FZ281" s="44" t="s">
        <v>37</v>
      </c>
      <c r="GA281" s="44">
        <v>12000000</v>
      </c>
      <c r="GB281" s="44" t="s">
        <v>37</v>
      </c>
      <c r="GD281" s="44" t="s">
        <v>37</v>
      </c>
      <c r="GF281" s="44" t="s">
        <v>37</v>
      </c>
      <c r="GH281" s="44" t="s">
        <v>37</v>
      </c>
      <c r="GJ281" s="44" t="s">
        <v>37</v>
      </c>
      <c r="GK281" s="44">
        <v>2000000</v>
      </c>
      <c r="GL281" s="44" t="s">
        <v>37</v>
      </c>
      <c r="GN281" s="44" t="s">
        <v>37</v>
      </c>
      <c r="GP281" s="44" t="s">
        <v>37</v>
      </c>
      <c r="GQ281" s="44">
        <v>44215000</v>
      </c>
      <c r="GR281" s="44" t="s">
        <v>37</v>
      </c>
      <c r="GS281" s="44">
        <v>22870000</v>
      </c>
      <c r="GT281" s="44" t="s">
        <v>37</v>
      </c>
      <c r="GV281" s="44" t="s">
        <v>37</v>
      </c>
      <c r="GX281" s="44" t="s">
        <v>37</v>
      </c>
      <c r="GY281" s="44">
        <v>63000000</v>
      </c>
      <c r="GZ281" s="44" t="s">
        <v>37</v>
      </c>
      <c r="HB281" s="44" t="s">
        <v>37</v>
      </c>
      <c r="HD281" s="44" t="s">
        <v>37</v>
      </c>
      <c r="HF281" s="44" t="s">
        <v>37</v>
      </c>
      <c r="HG281" s="44">
        <v>1137136277</v>
      </c>
      <c r="HH281" s="44" t="s">
        <v>37</v>
      </c>
      <c r="HJ281" s="44" t="s">
        <v>37</v>
      </c>
      <c r="HK281" s="44">
        <v>1137136277</v>
      </c>
      <c r="HL281" s="44" t="s">
        <v>37</v>
      </c>
    </row>
    <row r="282" spans="1:220">
      <c r="A282" s="150" t="s">
        <v>407</v>
      </c>
      <c r="B282" s="54">
        <v>5121</v>
      </c>
      <c r="C282" s="44" t="s">
        <v>284</v>
      </c>
      <c r="D282" s="44" t="s">
        <v>37</v>
      </c>
      <c r="F282" s="44" t="s">
        <v>37</v>
      </c>
      <c r="H282" s="44" t="s">
        <v>37</v>
      </c>
      <c r="J282" s="44" t="s">
        <v>37</v>
      </c>
      <c r="L282" s="48" t="s">
        <v>37</v>
      </c>
      <c r="M282" s="50"/>
      <c r="N282" s="48" t="s">
        <v>37</v>
      </c>
      <c r="O282" s="50"/>
      <c r="P282" s="48" t="s">
        <v>37</v>
      </c>
      <c r="Q282" s="50"/>
      <c r="R282" s="48" t="s">
        <v>37</v>
      </c>
      <c r="S282" s="50"/>
      <c r="T282" s="48" t="s">
        <v>37</v>
      </c>
      <c r="V282" s="44" t="s">
        <v>37</v>
      </c>
      <c r="X282" s="44" t="s">
        <v>37</v>
      </c>
      <c r="Z282" s="44" t="s">
        <v>37</v>
      </c>
      <c r="AB282" s="44" t="s">
        <v>37</v>
      </c>
      <c r="AD282" s="44" t="s">
        <v>37</v>
      </c>
      <c r="AF282" s="44" t="s">
        <v>37</v>
      </c>
      <c r="AH282" s="44" t="s">
        <v>37</v>
      </c>
      <c r="AJ282" s="44" t="s">
        <v>37</v>
      </c>
      <c r="AL282" s="44" t="s">
        <v>37</v>
      </c>
      <c r="AN282" s="44" t="s">
        <v>37</v>
      </c>
      <c r="AP282" s="44" t="s">
        <v>37</v>
      </c>
      <c r="AR282" s="44" t="s">
        <v>37</v>
      </c>
      <c r="AT282" s="44" t="s">
        <v>37</v>
      </c>
      <c r="AV282" s="44" t="s">
        <v>37</v>
      </c>
      <c r="AX282" s="44" t="s">
        <v>37</v>
      </c>
      <c r="AZ282" s="44" t="s">
        <v>37</v>
      </c>
      <c r="BB282" s="44" t="s">
        <v>37</v>
      </c>
      <c r="BD282" s="44" t="s">
        <v>37</v>
      </c>
      <c r="BF282" s="44" t="s">
        <v>37</v>
      </c>
      <c r="BH282" s="44" t="s">
        <v>37</v>
      </c>
      <c r="BJ282" s="44" t="s">
        <v>37</v>
      </c>
      <c r="BL282" s="44" t="s">
        <v>37</v>
      </c>
      <c r="BN282" s="44" t="s">
        <v>37</v>
      </c>
      <c r="BP282" s="44" t="s">
        <v>37</v>
      </c>
      <c r="BR282" s="44" t="s">
        <v>37</v>
      </c>
      <c r="BT282" s="44" t="s">
        <v>37</v>
      </c>
      <c r="BV282" s="44" t="s">
        <v>37</v>
      </c>
      <c r="BX282" s="44" t="s">
        <v>37</v>
      </c>
      <c r="BZ282" s="44" t="s">
        <v>37</v>
      </c>
      <c r="CB282" s="44" t="s">
        <v>37</v>
      </c>
      <c r="CD282" s="44" t="s">
        <v>37</v>
      </c>
      <c r="CF282" s="44" t="s">
        <v>37</v>
      </c>
      <c r="CH282" s="44" t="s">
        <v>37</v>
      </c>
      <c r="CJ282" s="44" t="s">
        <v>37</v>
      </c>
      <c r="CL282" s="44" t="s">
        <v>37</v>
      </c>
      <c r="CN282" s="44" t="s">
        <v>37</v>
      </c>
      <c r="CP282" s="44" t="s">
        <v>37</v>
      </c>
      <c r="CR282" s="44" t="s">
        <v>37</v>
      </c>
      <c r="CT282" s="44" t="s">
        <v>37</v>
      </c>
      <c r="CV282" s="44" t="s">
        <v>37</v>
      </c>
      <c r="CX282" s="44" t="s">
        <v>37</v>
      </c>
      <c r="CZ282" s="44" t="s">
        <v>37</v>
      </c>
      <c r="DB282" s="44" t="s">
        <v>37</v>
      </c>
      <c r="DD282" s="44" t="s">
        <v>37</v>
      </c>
      <c r="DF282" s="44" t="s">
        <v>37</v>
      </c>
      <c r="DH282" s="44" t="s">
        <v>37</v>
      </c>
      <c r="DJ282" s="44" t="s">
        <v>37</v>
      </c>
      <c r="DL282" s="44" t="s">
        <v>37</v>
      </c>
      <c r="DN282" s="44" t="s">
        <v>37</v>
      </c>
      <c r="DP282" s="44" t="s">
        <v>37</v>
      </c>
      <c r="DR282" s="44" t="s">
        <v>37</v>
      </c>
      <c r="DT282" s="44" t="s">
        <v>37</v>
      </c>
      <c r="DV282" s="44" t="s">
        <v>37</v>
      </c>
      <c r="DX282" s="44" t="s">
        <v>37</v>
      </c>
      <c r="DY282" s="44">
        <v>32615000</v>
      </c>
      <c r="DZ282" s="44" t="s">
        <v>37</v>
      </c>
      <c r="EB282" s="44" t="s">
        <v>37</v>
      </c>
      <c r="ED282" s="44" t="s">
        <v>37</v>
      </c>
      <c r="EF282" s="44" t="s">
        <v>37</v>
      </c>
      <c r="EH282" s="44" t="s">
        <v>37</v>
      </c>
      <c r="EJ282" s="44" t="s">
        <v>37</v>
      </c>
      <c r="EL282" s="44" t="s">
        <v>37</v>
      </c>
      <c r="EN282" s="44" t="s">
        <v>37</v>
      </c>
      <c r="EP282" s="44" t="s">
        <v>37</v>
      </c>
      <c r="ER282" s="44" t="s">
        <v>37</v>
      </c>
      <c r="ES282" s="44">
        <v>9280000</v>
      </c>
      <c r="ET282" s="44" t="s">
        <v>37</v>
      </c>
      <c r="EV282" s="44" t="s">
        <v>37</v>
      </c>
      <c r="EX282" s="44" t="s">
        <v>37</v>
      </c>
      <c r="EZ282" s="44" t="s">
        <v>37</v>
      </c>
      <c r="FB282" s="44" t="s">
        <v>37</v>
      </c>
      <c r="FD282" s="44" t="s">
        <v>37</v>
      </c>
      <c r="FF282" s="44" t="s">
        <v>37</v>
      </c>
      <c r="FH282" s="44" t="s">
        <v>37</v>
      </c>
      <c r="FJ282" s="44" t="s">
        <v>37</v>
      </c>
      <c r="FL282" s="44" t="s">
        <v>37</v>
      </c>
      <c r="FN282" s="44" t="s">
        <v>37</v>
      </c>
      <c r="FP282" s="44" t="s">
        <v>37</v>
      </c>
      <c r="FR282" s="44" t="s">
        <v>37</v>
      </c>
      <c r="FT282" s="44" t="s">
        <v>37</v>
      </c>
      <c r="FV282" s="44" t="s">
        <v>37</v>
      </c>
      <c r="FX282" s="44" t="s">
        <v>37</v>
      </c>
      <c r="FZ282" s="44" t="s">
        <v>37</v>
      </c>
      <c r="GB282" s="44" t="s">
        <v>37</v>
      </c>
      <c r="GD282" s="44" t="s">
        <v>37</v>
      </c>
      <c r="GF282" s="44" t="s">
        <v>37</v>
      </c>
      <c r="GH282" s="44" t="s">
        <v>37</v>
      </c>
      <c r="GJ282" s="44" t="s">
        <v>37</v>
      </c>
      <c r="GL282" s="44" t="s">
        <v>37</v>
      </c>
      <c r="GM282" s="44">
        <v>36580000</v>
      </c>
      <c r="GN282" s="44" t="s">
        <v>37</v>
      </c>
      <c r="GP282" s="44" t="s">
        <v>37</v>
      </c>
      <c r="GR282" s="44" t="s">
        <v>37</v>
      </c>
      <c r="GT282" s="44" t="s">
        <v>37</v>
      </c>
      <c r="GV282" s="44" t="s">
        <v>37</v>
      </c>
      <c r="GX282" s="44" t="s">
        <v>37</v>
      </c>
      <c r="GZ282" s="44" t="s">
        <v>37</v>
      </c>
      <c r="HB282" s="44" t="s">
        <v>37</v>
      </c>
      <c r="HD282" s="44" t="s">
        <v>37</v>
      </c>
      <c r="HF282" s="44" t="s">
        <v>37</v>
      </c>
      <c r="HG282" s="44">
        <v>78475000</v>
      </c>
      <c r="HH282" s="44" t="s">
        <v>37</v>
      </c>
      <c r="HJ282" s="44" t="s">
        <v>37</v>
      </c>
      <c r="HK282" s="44">
        <v>78475000</v>
      </c>
      <c r="HL282" s="44" t="s">
        <v>37</v>
      </c>
    </row>
    <row r="283" spans="1:220">
      <c r="A283" s="150" t="s">
        <v>407</v>
      </c>
      <c r="B283" s="54">
        <v>5130</v>
      </c>
      <c r="C283" s="44" t="s">
        <v>285</v>
      </c>
      <c r="D283" s="44" t="s">
        <v>37</v>
      </c>
      <c r="F283" s="44" t="s">
        <v>37</v>
      </c>
      <c r="H283" s="44" t="s">
        <v>37</v>
      </c>
      <c r="J283" s="44" t="s">
        <v>37</v>
      </c>
      <c r="L283" s="48" t="s">
        <v>37</v>
      </c>
      <c r="M283" s="50"/>
      <c r="N283" s="48" t="s">
        <v>37</v>
      </c>
      <c r="O283" s="51">
        <v>24000000</v>
      </c>
      <c r="P283" s="48" t="s">
        <v>37</v>
      </c>
      <c r="Q283" s="50"/>
      <c r="R283" s="48" t="s">
        <v>37</v>
      </c>
      <c r="S283" s="50"/>
      <c r="T283" s="48" t="s">
        <v>37</v>
      </c>
      <c r="V283" s="44" t="s">
        <v>37</v>
      </c>
      <c r="X283" s="44" t="s">
        <v>37</v>
      </c>
      <c r="Z283" s="44" t="s">
        <v>37</v>
      </c>
      <c r="AB283" s="44" t="s">
        <v>37</v>
      </c>
      <c r="AD283" s="44" t="s">
        <v>37</v>
      </c>
      <c r="AF283" s="44" t="s">
        <v>37</v>
      </c>
      <c r="AH283" s="44" t="s">
        <v>37</v>
      </c>
      <c r="AJ283" s="44" t="s">
        <v>37</v>
      </c>
      <c r="AL283" s="44" t="s">
        <v>37</v>
      </c>
      <c r="AM283" s="44">
        <v>39095000</v>
      </c>
      <c r="AN283" s="44" t="s">
        <v>37</v>
      </c>
      <c r="AP283" s="44" t="s">
        <v>37</v>
      </c>
      <c r="AQ283" s="44">
        <v>61673250</v>
      </c>
      <c r="AR283" s="44" t="s">
        <v>37</v>
      </c>
      <c r="AT283" s="44" t="s">
        <v>37</v>
      </c>
      <c r="AV283" s="44" t="s">
        <v>37</v>
      </c>
      <c r="AX283" s="44" t="s">
        <v>37</v>
      </c>
      <c r="AZ283" s="44" t="s">
        <v>37</v>
      </c>
      <c r="BA283" s="44">
        <v>546037</v>
      </c>
      <c r="BB283" s="44" t="s">
        <v>37</v>
      </c>
      <c r="BC283" s="44">
        <v>445000</v>
      </c>
      <c r="BD283" s="44" t="s">
        <v>37</v>
      </c>
      <c r="BF283" s="44" t="s">
        <v>37</v>
      </c>
      <c r="BH283" s="44" t="s">
        <v>37</v>
      </c>
      <c r="BJ283" s="44" t="s">
        <v>37</v>
      </c>
      <c r="BK283" s="44">
        <v>97865000</v>
      </c>
      <c r="BL283" s="44" t="s">
        <v>37</v>
      </c>
      <c r="BN283" s="44" t="s">
        <v>37</v>
      </c>
      <c r="BP283" s="44" t="s">
        <v>37</v>
      </c>
      <c r="BR283" s="44" t="s">
        <v>37</v>
      </c>
      <c r="BT283" s="44" t="s">
        <v>37</v>
      </c>
      <c r="BV283" s="44" t="s">
        <v>37</v>
      </c>
      <c r="BX283" s="44" t="s">
        <v>37</v>
      </c>
      <c r="BZ283" s="44" t="s">
        <v>37</v>
      </c>
      <c r="CB283" s="44" t="s">
        <v>37</v>
      </c>
      <c r="CD283" s="44" t="s">
        <v>37</v>
      </c>
      <c r="CF283" s="44" t="s">
        <v>37</v>
      </c>
      <c r="CH283" s="44" t="s">
        <v>37</v>
      </c>
      <c r="CJ283" s="44" t="s">
        <v>37</v>
      </c>
      <c r="CL283" s="44" t="s">
        <v>37</v>
      </c>
      <c r="CN283" s="44" t="s">
        <v>37</v>
      </c>
      <c r="CP283" s="44" t="s">
        <v>37</v>
      </c>
      <c r="CR283" s="44" t="s">
        <v>37</v>
      </c>
      <c r="CT283" s="44" t="s">
        <v>37</v>
      </c>
      <c r="CV283" s="44" t="s">
        <v>37</v>
      </c>
      <c r="CW283" s="44">
        <v>148880000</v>
      </c>
      <c r="CX283" s="44" t="s">
        <v>37</v>
      </c>
      <c r="CZ283" s="44" t="s">
        <v>37</v>
      </c>
      <c r="DB283" s="44" t="s">
        <v>37</v>
      </c>
      <c r="DD283" s="44" t="s">
        <v>37</v>
      </c>
      <c r="DF283" s="44" t="s">
        <v>37</v>
      </c>
      <c r="DH283" s="44" t="s">
        <v>37</v>
      </c>
      <c r="DJ283" s="44" t="s">
        <v>37</v>
      </c>
      <c r="DL283" s="44" t="s">
        <v>37</v>
      </c>
      <c r="DN283" s="44" t="s">
        <v>37</v>
      </c>
      <c r="DP283" s="44" t="s">
        <v>37</v>
      </c>
      <c r="DQ283" s="44">
        <v>9445000</v>
      </c>
      <c r="DR283" s="44" t="s">
        <v>37</v>
      </c>
      <c r="DT283" s="44" t="s">
        <v>37</v>
      </c>
      <c r="DV283" s="44" t="s">
        <v>37</v>
      </c>
      <c r="DX283" s="44" t="s">
        <v>37</v>
      </c>
      <c r="DZ283" s="44" t="s">
        <v>37</v>
      </c>
      <c r="EB283" s="44" t="s">
        <v>37</v>
      </c>
      <c r="ED283" s="44" t="s">
        <v>37</v>
      </c>
      <c r="EF283" s="44" t="s">
        <v>37</v>
      </c>
      <c r="EH283" s="44" t="s">
        <v>37</v>
      </c>
      <c r="EJ283" s="44" t="s">
        <v>37</v>
      </c>
      <c r="EL283" s="44" t="s">
        <v>37</v>
      </c>
      <c r="EN283" s="44" t="s">
        <v>37</v>
      </c>
      <c r="EP283" s="44" t="s">
        <v>37</v>
      </c>
      <c r="ER283" s="44" t="s">
        <v>37</v>
      </c>
      <c r="ES283" s="44">
        <v>720000</v>
      </c>
      <c r="ET283" s="44" t="s">
        <v>37</v>
      </c>
      <c r="EV283" s="44" t="s">
        <v>37</v>
      </c>
      <c r="EX283" s="44" t="s">
        <v>37</v>
      </c>
      <c r="EZ283" s="44" t="s">
        <v>37</v>
      </c>
      <c r="FB283" s="44" t="s">
        <v>37</v>
      </c>
      <c r="FC283" s="44">
        <v>7645000</v>
      </c>
      <c r="FD283" s="44" t="s">
        <v>37</v>
      </c>
      <c r="FE283" s="44">
        <v>15315000</v>
      </c>
      <c r="FF283" s="44" t="s">
        <v>37</v>
      </c>
      <c r="FH283" s="44" t="s">
        <v>37</v>
      </c>
      <c r="FJ283" s="44" t="s">
        <v>37</v>
      </c>
      <c r="FL283" s="44" t="s">
        <v>37</v>
      </c>
      <c r="FN283" s="44" t="s">
        <v>37</v>
      </c>
      <c r="FP283" s="44" t="s">
        <v>37</v>
      </c>
      <c r="FR283" s="44" t="s">
        <v>37</v>
      </c>
      <c r="FT283" s="44" t="s">
        <v>37</v>
      </c>
      <c r="FV283" s="44" t="s">
        <v>37</v>
      </c>
      <c r="FX283" s="44" t="s">
        <v>37</v>
      </c>
      <c r="FZ283" s="44" t="s">
        <v>37</v>
      </c>
      <c r="GB283" s="44" t="s">
        <v>37</v>
      </c>
      <c r="GD283" s="44" t="s">
        <v>37</v>
      </c>
      <c r="GF283" s="44" t="s">
        <v>37</v>
      </c>
      <c r="GH283" s="44" t="s">
        <v>37</v>
      </c>
      <c r="GJ283" s="44" t="s">
        <v>37</v>
      </c>
      <c r="GK283" s="44">
        <v>130000000</v>
      </c>
      <c r="GL283" s="44" t="s">
        <v>37</v>
      </c>
      <c r="GN283" s="44" t="s">
        <v>37</v>
      </c>
      <c r="GP283" s="44" t="s">
        <v>37</v>
      </c>
      <c r="GR283" s="44" t="s">
        <v>37</v>
      </c>
      <c r="GT283" s="44" t="s">
        <v>37</v>
      </c>
      <c r="GV283" s="44" t="s">
        <v>37</v>
      </c>
      <c r="GX283" s="44" t="s">
        <v>37</v>
      </c>
      <c r="GZ283" s="44" t="s">
        <v>37</v>
      </c>
      <c r="HA283" s="44">
        <v>19490000</v>
      </c>
      <c r="HB283" s="44" t="s">
        <v>37</v>
      </c>
      <c r="HD283" s="44" t="s">
        <v>37</v>
      </c>
      <c r="HF283" s="44" t="s">
        <v>37</v>
      </c>
      <c r="HG283" s="44">
        <v>555119287</v>
      </c>
      <c r="HH283" s="44" t="s">
        <v>37</v>
      </c>
      <c r="HJ283" s="44" t="s">
        <v>37</v>
      </c>
      <c r="HK283" s="44">
        <v>555119287</v>
      </c>
      <c r="HL283" s="44" t="s">
        <v>37</v>
      </c>
    </row>
    <row r="284" spans="1:220">
      <c r="A284" s="150" t="s">
        <v>408</v>
      </c>
      <c r="B284" s="54">
        <v>5200</v>
      </c>
      <c r="C284" s="44" t="s">
        <v>286</v>
      </c>
      <c r="D284" s="44" t="s">
        <v>37</v>
      </c>
      <c r="F284" s="44" t="s">
        <v>37</v>
      </c>
      <c r="H284" s="44" t="s">
        <v>37</v>
      </c>
      <c r="J284" s="44" t="s">
        <v>37</v>
      </c>
      <c r="L284" s="48" t="s">
        <v>37</v>
      </c>
      <c r="M284" s="50"/>
      <c r="N284" s="48" t="s">
        <v>37</v>
      </c>
      <c r="O284" s="50"/>
      <c r="P284" s="48" t="s">
        <v>37</v>
      </c>
      <c r="Q284" s="50"/>
      <c r="R284" s="48" t="s">
        <v>37</v>
      </c>
      <c r="S284" s="50"/>
      <c r="T284" s="48" t="s">
        <v>37</v>
      </c>
      <c r="V284" s="44" t="s">
        <v>37</v>
      </c>
      <c r="X284" s="44" t="s">
        <v>37</v>
      </c>
      <c r="Z284" s="44" t="s">
        <v>37</v>
      </c>
      <c r="AB284" s="44" t="s">
        <v>37</v>
      </c>
      <c r="AD284" s="44" t="s">
        <v>37</v>
      </c>
      <c r="AF284" s="44" t="s">
        <v>37</v>
      </c>
      <c r="AH284" s="44" t="s">
        <v>37</v>
      </c>
      <c r="AJ284" s="44" t="s">
        <v>37</v>
      </c>
      <c r="AL284" s="44" t="s">
        <v>37</v>
      </c>
      <c r="AN284" s="44" t="s">
        <v>37</v>
      </c>
      <c r="AP284" s="44" t="s">
        <v>37</v>
      </c>
      <c r="AR284" s="44" t="s">
        <v>37</v>
      </c>
      <c r="AT284" s="44" t="s">
        <v>37</v>
      </c>
      <c r="AV284" s="44" t="s">
        <v>37</v>
      </c>
      <c r="AX284" s="44" t="s">
        <v>37</v>
      </c>
      <c r="AZ284" s="44" t="s">
        <v>37</v>
      </c>
      <c r="BB284" s="44" t="s">
        <v>37</v>
      </c>
      <c r="BD284" s="44" t="s">
        <v>37</v>
      </c>
      <c r="BF284" s="44" t="s">
        <v>37</v>
      </c>
      <c r="BH284" s="44" t="s">
        <v>37</v>
      </c>
      <c r="BJ284" s="44" t="s">
        <v>37</v>
      </c>
      <c r="BL284" s="44" t="s">
        <v>37</v>
      </c>
      <c r="BN284" s="44" t="s">
        <v>37</v>
      </c>
      <c r="BP284" s="44" t="s">
        <v>37</v>
      </c>
      <c r="BR284" s="44" t="s">
        <v>37</v>
      </c>
      <c r="BT284" s="44" t="s">
        <v>37</v>
      </c>
      <c r="BV284" s="44" t="s">
        <v>37</v>
      </c>
      <c r="BX284" s="44" t="s">
        <v>37</v>
      </c>
      <c r="BZ284" s="44" t="s">
        <v>37</v>
      </c>
      <c r="CB284" s="44" t="s">
        <v>37</v>
      </c>
      <c r="CD284" s="44" t="s">
        <v>37</v>
      </c>
      <c r="CF284" s="44" t="s">
        <v>37</v>
      </c>
      <c r="CH284" s="44" t="s">
        <v>37</v>
      </c>
      <c r="CJ284" s="44" t="s">
        <v>37</v>
      </c>
      <c r="CL284" s="44" t="s">
        <v>37</v>
      </c>
      <c r="CN284" s="44" t="s">
        <v>37</v>
      </c>
      <c r="CP284" s="44" t="s">
        <v>37</v>
      </c>
      <c r="CR284" s="44" t="s">
        <v>37</v>
      </c>
      <c r="CT284" s="44" t="s">
        <v>37</v>
      </c>
      <c r="CV284" s="44" t="s">
        <v>37</v>
      </c>
      <c r="CX284" s="44" t="s">
        <v>37</v>
      </c>
      <c r="CZ284" s="44" t="s">
        <v>37</v>
      </c>
      <c r="DB284" s="44" t="s">
        <v>37</v>
      </c>
      <c r="DD284" s="44" t="s">
        <v>37</v>
      </c>
      <c r="DF284" s="44" t="s">
        <v>37</v>
      </c>
      <c r="DH284" s="44" t="s">
        <v>37</v>
      </c>
      <c r="DJ284" s="44" t="s">
        <v>37</v>
      </c>
      <c r="DL284" s="44" t="s">
        <v>37</v>
      </c>
      <c r="DN284" s="44" t="s">
        <v>37</v>
      </c>
      <c r="DP284" s="44" t="s">
        <v>37</v>
      </c>
      <c r="DR284" s="44" t="s">
        <v>37</v>
      </c>
      <c r="DT284" s="44" t="s">
        <v>37</v>
      </c>
      <c r="DV284" s="44" t="s">
        <v>37</v>
      </c>
      <c r="DX284" s="44" t="s">
        <v>37</v>
      </c>
      <c r="DZ284" s="44" t="s">
        <v>37</v>
      </c>
      <c r="EB284" s="44" t="s">
        <v>37</v>
      </c>
      <c r="ED284" s="44" t="s">
        <v>37</v>
      </c>
      <c r="EF284" s="44" t="s">
        <v>37</v>
      </c>
      <c r="EH284" s="44" t="s">
        <v>37</v>
      </c>
      <c r="EJ284" s="44" t="s">
        <v>37</v>
      </c>
      <c r="EL284" s="44" t="s">
        <v>37</v>
      </c>
      <c r="EN284" s="44" t="s">
        <v>37</v>
      </c>
      <c r="EP284" s="44" t="s">
        <v>37</v>
      </c>
      <c r="ER284" s="44" t="s">
        <v>37</v>
      </c>
      <c r="ET284" s="44" t="s">
        <v>37</v>
      </c>
      <c r="EV284" s="44" t="s">
        <v>37</v>
      </c>
      <c r="EX284" s="44" t="s">
        <v>37</v>
      </c>
      <c r="EZ284" s="44" t="s">
        <v>37</v>
      </c>
      <c r="FB284" s="44" t="s">
        <v>37</v>
      </c>
      <c r="FD284" s="44" t="s">
        <v>37</v>
      </c>
      <c r="FF284" s="44" t="s">
        <v>37</v>
      </c>
      <c r="FH284" s="44" t="s">
        <v>37</v>
      </c>
      <c r="FJ284" s="44" t="s">
        <v>37</v>
      </c>
      <c r="FL284" s="44" t="s">
        <v>37</v>
      </c>
      <c r="FN284" s="44" t="s">
        <v>37</v>
      </c>
      <c r="FP284" s="44" t="s">
        <v>37</v>
      </c>
      <c r="FR284" s="44" t="s">
        <v>37</v>
      </c>
      <c r="FT284" s="44" t="s">
        <v>37</v>
      </c>
      <c r="FV284" s="44" t="s">
        <v>37</v>
      </c>
      <c r="FX284" s="44" t="s">
        <v>37</v>
      </c>
      <c r="FZ284" s="44" t="s">
        <v>37</v>
      </c>
      <c r="GB284" s="44" t="s">
        <v>37</v>
      </c>
      <c r="GD284" s="44" t="s">
        <v>37</v>
      </c>
      <c r="GF284" s="44" t="s">
        <v>37</v>
      </c>
      <c r="GH284" s="44" t="s">
        <v>37</v>
      </c>
      <c r="GJ284" s="44" t="s">
        <v>37</v>
      </c>
      <c r="GL284" s="44" t="s">
        <v>37</v>
      </c>
      <c r="GN284" s="44" t="s">
        <v>37</v>
      </c>
      <c r="GP284" s="44" t="s">
        <v>37</v>
      </c>
      <c r="GR284" s="44" t="s">
        <v>37</v>
      </c>
      <c r="GT284" s="44" t="s">
        <v>37</v>
      </c>
      <c r="GV284" s="44" t="s">
        <v>37</v>
      </c>
      <c r="GX284" s="44" t="s">
        <v>37</v>
      </c>
      <c r="GZ284" s="44" t="s">
        <v>37</v>
      </c>
      <c r="HB284" s="44" t="s">
        <v>37</v>
      </c>
      <c r="HD284" s="44" t="s">
        <v>37</v>
      </c>
      <c r="HF284" s="44" t="s">
        <v>37</v>
      </c>
      <c r="HH284" s="44" t="s">
        <v>37</v>
      </c>
      <c r="HJ284" s="44" t="s">
        <v>37</v>
      </c>
      <c r="HL284" s="44" t="s">
        <v>37</v>
      </c>
    </row>
    <row r="285" spans="1:220">
      <c r="A285" s="150" t="s">
        <v>407</v>
      </c>
      <c r="B285" s="54">
        <v>5210</v>
      </c>
      <c r="C285" s="44" t="s">
        <v>287</v>
      </c>
      <c r="D285" s="44" t="s">
        <v>37</v>
      </c>
      <c r="E285" s="44">
        <v>52456</v>
      </c>
      <c r="F285" s="44" t="s">
        <v>37</v>
      </c>
      <c r="G285" s="44">
        <v>1078935</v>
      </c>
      <c r="H285" s="44" t="s">
        <v>37</v>
      </c>
      <c r="J285" s="44" t="s">
        <v>37</v>
      </c>
      <c r="K285" s="44">
        <v>38537</v>
      </c>
      <c r="L285" s="48" t="s">
        <v>37</v>
      </c>
      <c r="M285" s="51">
        <v>254665</v>
      </c>
      <c r="N285" s="48" t="s">
        <v>37</v>
      </c>
      <c r="O285" s="51">
        <v>2706184</v>
      </c>
      <c r="P285" s="48" t="s">
        <v>37</v>
      </c>
      <c r="Q285" s="51">
        <v>81201</v>
      </c>
      <c r="R285" s="48" t="s">
        <v>37</v>
      </c>
      <c r="S285" s="51">
        <v>82168</v>
      </c>
      <c r="T285" s="48" t="s">
        <v>37</v>
      </c>
      <c r="U285" s="44">
        <v>413261</v>
      </c>
      <c r="V285" s="44" t="s">
        <v>37</v>
      </c>
      <c r="W285" s="44">
        <v>31527</v>
      </c>
      <c r="X285" s="44" t="s">
        <v>37</v>
      </c>
      <c r="Z285" s="44" t="s">
        <v>37</v>
      </c>
      <c r="AB285" s="44" t="s">
        <v>37</v>
      </c>
      <c r="AC285" s="44">
        <v>294221</v>
      </c>
      <c r="AD285" s="44" t="s">
        <v>37</v>
      </c>
      <c r="AF285" s="44" t="s">
        <v>37</v>
      </c>
      <c r="AG285" s="44">
        <v>238104</v>
      </c>
      <c r="AH285" s="44" t="s">
        <v>37</v>
      </c>
      <c r="AJ285" s="44" t="s">
        <v>37</v>
      </c>
      <c r="AL285" s="44" t="s">
        <v>37</v>
      </c>
      <c r="AM285" s="44">
        <v>396749</v>
      </c>
      <c r="AN285" s="44" t="s">
        <v>37</v>
      </c>
      <c r="AP285" s="44" t="s">
        <v>37</v>
      </c>
      <c r="AQ285" s="44">
        <v>4172713</v>
      </c>
      <c r="AR285" s="44" t="s">
        <v>37</v>
      </c>
      <c r="AS285" s="44">
        <v>430162</v>
      </c>
      <c r="AT285" s="44" t="s">
        <v>37</v>
      </c>
      <c r="AU285" s="44">
        <v>6510703</v>
      </c>
      <c r="AV285" s="44" t="s">
        <v>37</v>
      </c>
      <c r="AW285" s="44">
        <v>643608</v>
      </c>
      <c r="AX285" s="44" t="s">
        <v>37</v>
      </c>
      <c r="AY285" s="44">
        <v>10438</v>
      </c>
      <c r="AZ285" s="44" t="s">
        <v>37</v>
      </c>
      <c r="BA285" s="44">
        <v>170263</v>
      </c>
      <c r="BB285" s="44" t="s">
        <v>37</v>
      </c>
      <c r="BC285" s="44">
        <v>45000</v>
      </c>
      <c r="BD285" s="44" t="s">
        <v>37</v>
      </c>
      <c r="BE285" s="44">
        <v>316550</v>
      </c>
      <c r="BF285" s="44" t="s">
        <v>37</v>
      </c>
      <c r="BG285" s="44">
        <v>93658</v>
      </c>
      <c r="BH285" s="44" t="s">
        <v>37</v>
      </c>
      <c r="BJ285" s="44" t="s">
        <v>37</v>
      </c>
      <c r="BL285" s="44" t="s">
        <v>37</v>
      </c>
      <c r="BM285" s="44">
        <v>1584240</v>
      </c>
      <c r="BN285" s="44" t="s">
        <v>37</v>
      </c>
      <c r="BP285" s="44" t="s">
        <v>37</v>
      </c>
      <c r="BQ285" s="44">
        <v>31250</v>
      </c>
      <c r="BR285" s="44" t="s">
        <v>37</v>
      </c>
      <c r="BS285" s="44">
        <v>461297</v>
      </c>
      <c r="BT285" s="44" t="s">
        <v>37</v>
      </c>
      <c r="BU285" s="44">
        <v>11505</v>
      </c>
      <c r="BV285" s="44" t="s">
        <v>37</v>
      </c>
      <c r="BW285" s="44">
        <v>-559</v>
      </c>
      <c r="BX285" s="44" t="s">
        <v>37</v>
      </c>
      <c r="BY285" s="44">
        <v>4531797</v>
      </c>
      <c r="BZ285" s="44" t="s">
        <v>37</v>
      </c>
      <c r="CA285" s="44">
        <v>195270</v>
      </c>
      <c r="CB285" s="44" t="s">
        <v>37</v>
      </c>
      <c r="CD285" s="44" t="s">
        <v>37</v>
      </c>
      <c r="CE285" s="44">
        <v>369383</v>
      </c>
      <c r="CF285" s="44" t="s">
        <v>37</v>
      </c>
      <c r="CG285" s="44">
        <v>1317737</v>
      </c>
      <c r="CH285" s="44" t="s">
        <v>37</v>
      </c>
      <c r="CI285" s="44">
        <v>3986015</v>
      </c>
      <c r="CJ285" s="44" t="s">
        <v>37</v>
      </c>
      <c r="CL285" s="44" t="s">
        <v>37</v>
      </c>
      <c r="CM285" s="44">
        <v>768828</v>
      </c>
      <c r="CN285" s="44" t="s">
        <v>37</v>
      </c>
      <c r="CO285" s="44">
        <v>241270</v>
      </c>
      <c r="CP285" s="44" t="s">
        <v>37</v>
      </c>
      <c r="CQ285" s="44">
        <v>224800</v>
      </c>
      <c r="CR285" s="44" t="s">
        <v>37</v>
      </c>
      <c r="CS285" s="44">
        <v>1069780</v>
      </c>
      <c r="CT285" s="44" t="s">
        <v>37</v>
      </c>
      <c r="CU285" s="44">
        <v>1762092</v>
      </c>
      <c r="CV285" s="44" t="s">
        <v>37</v>
      </c>
      <c r="CX285" s="44" t="s">
        <v>37</v>
      </c>
      <c r="CY285" s="44">
        <v>5011</v>
      </c>
      <c r="CZ285" s="44" t="s">
        <v>37</v>
      </c>
      <c r="DA285" s="44">
        <v>41000</v>
      </c>
      <c r="DB285" s="44" t="s">
        <v>37</v>
      </c>
      <c r="DC285" s="44">
        <v>573110</v>
      </c>
      <c r="DD285" s="44" t="s">
        <v>37</v>
      </c>
      <c r="DE285" s="44">
        <v>629983</v>
      </c>
      <c r="DF285" s="44" t="s">
        <v>37</v>
      </c>
      <c r="DG285" s="44">
        <v>265474</v>
      </c>
      <c r="DH285" s="44" t="s">
        <v>37</v>
      </c>
      <c r="DI285" s="44">
        <v>1293223</v>
      </c>
      <c r="DJ285" s="44" t="s">
        <v>37</v>
      </c>
      <c r="DK285" s="44">
        <v>198319</v>
      </c>
      <c r="DL285" s="44" t="s">
        <v>37</v>
      </c>
      <c r="DM285" s="44">
        <v>338572</v>
      </c>
      <c r="DN285" s="44" t="s">
        <v>37</v>
      </c>
      <c r="DO285" s="44">
        <v>229490</v>
      </c>
      <c r="DP285" s="44" t="s">
        <v>37</v>
      </c>
      <c r="DR285" s="44" t="s">
        <v>37</v>
      </c>
      <c r="DS285" s="44">
        <v>138483</v>
      </c>
      <c r="DT285" s="44" t="s">
        <v>37</v>
      </c>
      <c r="DU285" s="44">
        <v>191593</v>
      </c>
      <c r="DV285" s="44" t="s">
        <v>37</v>
      </c>
      <c r="DW285" s="44">
        <v>5379633</v>
      </c>
      <c r="DX285" s="44" t="s">
        <v>37</v>
      </c>
      <c r="DY285" s="44">
        <v>838440</v>
      </c>
      <c r="DZ285" s="44" t="s">
        <v>37</v>
      </c>
      <c r="EA285" s="44">
        <v>162469</v>
      </c>
      <c r="EB285" s="44" t="s">
        <v>37</v>
      </c>
      <c r="EC285" s="44">
        <v>1360267</v>
      </c>
      <c r="ED285" s="44" t="s">
        <v>37</v>
      </c>
      <c r="EE285" s="44">
        <v>4030889</v>
      </c>
      <c r="EF285" s="44" t="s">
        <v>37</v>
      </c>
      <c r="EG285" s="44">
        <v>1520742</v>
      </c>
      <c r="EH285" s="44" t="s">
        <v>37</v>
      </c>
      <c r="EI285" s="44">
        <v>120355</v>
      </c>
      <c r="EJ285" s="44" t="s">
        <v>37</v>
      </c>
      <c r="EK285" s="44">
        <v>871475</v>
      </c>
      <c r="EL285" s="44" t="s">
        <v>37</v>
      </c>
      <c r="EM285" s="44">
        <v>310767</v>
      </c>
      <c r="EN285" s="44" t="s">
        <v>37</v>
      </c>
      <c r="EO285" s="44">
        <v>199088</v>
      </c>
      <c r="EP285" s="44" t="s">
        <v>37</v>
      </c>
      <c r="ER285" s="44" t="s">
        <v>37</v>
      </c>
      <c r="ES285" s="44">
        <v>296153</v>
      </c>
      <c r="ET285" s="44" t="s">
        <v>37</v>
      </c>
      <c r="EV285" s="44" t="s">
        <v>37</v>
      </c>
      <c r="EW285" s="44">
        <v>2109876</v>
      </c>
      <c r="EX285" s="44" t="s">
        <v>37</v>
      </c>
      <c r="EZ285" s="44" t="s">
        <v>37</v>
      </c>
      <c r="FA285" s="44">
        <v>422447</v>
      </c>
      <c r="FB285" s="44" t="s">
        <v>37</v>
      </c>
      <c r="FC285" s="44">
        <v>211312</v>
      </c>
      <c r="FD285" s="44" t="s">
        <v>37</v>
      </c>
      <c r="FE285" s="44">
        <v>5772061</v>
      </c>
      <c r="FF285" s="44" t="s">
        <v>37</v>
      </c>
      <c r="FH285" s="44" t="s">
        <v>37</v>
      </c>
      <c r="FJ285" s="44" t="s">
        <v>37</v>
      </c>
      <c r="FK285" s="44">
        <v>6528440</v>
      </c>
      <c r="FL285" s="44" t="s">
        <v>37</v>
      </c>
      <c r="FM285" s="44">
        <v>835154</v>
      </c>
      <c r="FN285" s="44" t="s">
        <v>37</v>
      </c>
      <c r="FO285" s="44">
        <v>1202551</v>
      </c>
      <c r="FP285" s="44" t="s">
        <v>37</v>
      </c>
      <c r="FQ285" s="44">
        <v>3710780</v>
      </c>
      <c r="FR285" s="44" t="s">
        <v>37</v>
      </c>
      <c r="FS285" s="44">
        <v>4777093</v>
      </c>
      <c r="FT285" s="44" t="s">
        <v>37</v>
      </c>
      <c r="FU285" s="44">
        <v>606142</v>
      </c>
      <c r="FV285" s="44" t="s">
        <v>37</v>
      </c>
      <c r="FW285" s="44">
        <v>1630040</v>
      </c>
      <c r="FX285" s="44" t="s">
        <v>37</v>
      </c>
      <c r="FY285" s="44">
        <v>8852434</v>
      </c>
      <c r="FZ285" s="44" t="s">
        <v>37</v>
      </c>
      <c r="GA285" s="44">
        <v>5221485</v>
      </c>
      <c r="GB285" s="44" t="s">
        <v>37</v>
      </c>
      <c r="GC285" s="44">
        <v>5666966</v>
      </c>
      <c r="GD285" s="44" t="s">
        <v>37</v>
      </c>
      <c r="GE285" s="44">
        <v>73473</v>
      </c>
      <c r="GF285" s="44" t="s">
        <v>37</v>
      </c>
      <c r="GG285" s="44">
        <v>144229</v>
      </c>
      <c r="GH285" s="44" t="s">
        <v>37</v>
      </c>
      <c r="GJ285" s="44" t="s">
        <v>37</v>
      </c>
      <c r="GK285" s="44">
        <v>1768155</v>
      </c>
      <c r="GL285" s="44" t="s">
        <v>37</v>
      </c>
      <c r="GM285" s="44">
        <v>784250</v>
      </c>
      <c r="GN285" s="44" t="s">
        <v>37</v>
      </c>
      <c r="GP285" s="44" t="s">
        <v>37</v>
      </c>
      <c r="GQ285" s="44">
        <v>762664</v>
      </c>
      <c r="GR285" s="44" t="s">
        <v>37</v>
      </c>
      <c r="GT285" s="44" t="s">
        <v>37</v>
      </c>
      <c r="GU285" s="44">
        <v>783985</v>
      </c>
      <c r="GV285" s="44" t="s">
        <v>37</v>
      </c>
      <c r="GW285" s="44">
        <v>930189</v>
      </c>
      <c r="GX285" s="44" t="s">
        <v>37</v>
      </c>
      <c r="GY285" s="44">
        <v>3738716</v>
      </c>
      <c r="GZ285" s="44" t="s">
        <v>37</v>
      </c>
      <c r="HA285" s="44">
        <v>76735554</v>
      </c>
      <c r="HB285" s="44" t="s">
        <v>37</v>
      </c>
      <c r="HD285" s="44" t="s">
        <v>37</v>
      </c>
      <c r="HF285" s="44" t="s">
        <v>37</v>
      </c>
      <c r="HG285" s="44">
        <v>186878340</v>
      </c>
      <c r="HH285" s="44" t="s">
        <v>37</v>
      </c>
      <c r="HJ285" s="44" t="s">
        <v>37</v>
      </c>
      <c r="HK285" s="44">
        <v>186878340</v>
      </c>
      <c r="HL285" s="44" t="s">
        <v>37</v>
      </c>
    </row>
    <row r="286" spans="1:220">
      <c r="A286" s="150" t="s">
        <v>407</v>
      </c>
      <c r="B286" s="54">
        <v>5220</v>
      </c>
      <c r="C286" s="44" t="s">
        <v>288</v>
      </c>
      <c r="D286" s="44" t="s">
        <v>37</v>
      </c>
      <c r="E286" s="44">
        <v>62974</v>
      </c>
      <c r="F286" s="44" t="s">
        <v>37</v>
      </c>
      <c r="H286" s="44" t="s">
        <v>37</v>
      </c>
      <c r="J286" s="44" t="s">
        <v>37</v>
      </c>
      <c r="L286" s="48" t="s">
        <v>37</v>
      </c>
      <c r="M286" s="50"/>
      <c r="N286" s="48" t="s">
        <v>37</v>
      </c>
      <c r="O286" s="50"/>
      <c r="P286" s="48" t="s">
        <v>37</v>
      </c>
      <c r="Q286" s="50"/>
      <c r="R286" s="48" t="s">
        <v>37</v>
      </c>
      <c r="S286" s="50"/>
      <c r="T286" s="48" t="s">
        <v>37</v>
      </c>
      <c r="V286" s="44" t="s">
        <v>37</v>
      </c>
      <c r="X286" s="44" t="s">
        <v>37</v>
      </c>
      <c r="Z286" s="44" t="s">
        <v>37</v>
      </c>
      <c r="AB286" s="44" t="s">
        <v>37</v>
      </c>
      <c r="AC286" s="44">
        <v>23803</v>
      </c>
      <c r="AD286" s="44" t="s">
        <v>37</v>
      </c>
      <c r="AF286" s="44" t="s">
        <v>37</v>
      </c>
      <c r="AH286" s="44" t="s">
        <v>37</v>
      </c>
      <c r="AI286" s="44">
        <v>1641</v>
      </c>
      <c r="AJ286" s="44" t="s">
        <v>37</v>
      </c>
      <c r="AL286" s="44" t="s">
        <v>37</v>
      </c>
      <c r="AM286" s="44">
        <v>831382</v>
      </c>
      <c r="AN286" s="44" t="s">
        <v>37</v>
      </c>
      <c r="AP286" s="44" t="s">
        <v>37</v>
      </c>
      <c r="AR286" s="44" t="s">
        <v>37</v>
      </c>
      <c r="AT286" s="44" t="s">
        <v>37</v>
      </c>
      <c r="AV286" s="44" t="s">
        <v>37</v>
      </c>
      <c r="AW286" s="44">
        <v>17317</v>
      </c>
      <c r="AX286" s="44" t="s">
        <v>37</v>
      </c>
      <c r="AY286" s="44">
        <v>339792</v>
      </c>
      <c r="AZ286" s="44" t="s">
        <v>37</v>
      </c>
      <c r="BA286" s="44">
        <v>134559</v>
      </c>
      <c r="BB286" s="44" t="s">
        <v>37</v>
      </c>
      <c r="BD286" s="44" t="s">
        <v>37</v>
      </c>
      <c r="BE286" s="44">
        <v>258732</v>
      </c>
      <c r="BF286" s="44" t="s">
        <v>37</v>
      </c>
      <c r="BH286" s="44" t="s">
        <v>37</v>
      </c>
      <c r="BJ286" s="44" t="s">
        <v>37</v>
      </c>
      <c r="BK286" s="44">
        <v>90262</v>
      </c>
      <c r="BL286" s="44" t="s">
        <v>37</v>
      </c>
      <c r="BM286" s="44">
        <v>274364</v>
      </c>
      <c r="BN286" s="44" t="s">
        <v>37</v>
      </c>
      <c r="BP286" s="44" t="s">
        <v>37</v>
      </c>
      <c r="BR286" s="44" t="s">
        <v>37</v>
      </c>
      <c r="BS286" s="44">
        <v>110021</v>
      </c>
      <c r="BT286" s="44" t="s">
        <v>37</v>
      </c>
      <c r="BV286" s="44" t="s">
        <v>37</v>
      </c>
      <c r="BX286" s="44" t="s">
        <v>37</v>
      </c>
      <c r="BY286" s="44">
        <v>31180</v>
      </c>
      <c r="BZ286" s="44" t="s">
        <v>37</v>
      </c>
      <c r="CB286" s="44" t="s">
        <v>37</v>
      </c>
      <c r="CD286" s="44" t="s">
        <v>37</v>
      </c>
      <c r="CF286" s="44" t="s">
        <v>37</v>
      </c>
      <c r="CG286" s="44">
        <v>126326</v>
      </c>
      <c r="CH286" s="44" t="s">
        <v>37</v>
      </c>
      <c r="CI286" s="44">
        <v>19126</v>
      </c>
      <c r="CJ286" s="44" t="s">
        <v>37</v>
      </c>
      <c r="CL286" s="44" t="s">
        <v>37</v>
      </c>
      <c r="CN286" s="44" t="s">
        <v>37</v>
      </c>
      <c r="CP286" s="44" t="s">
        <v>37</v>
      </c>
      <c r="CQ286" s="44">
        <v>150634</v>
      </c>
      <c r="CR286" s="44" t="s">
        <v>37</v>
      </c>
      <c r="CT286" s="44" t="s">
        <v>37</v>
      </c>
      <c r="CU286" s="44">
        <v>786366</v>
      </c>
      <c r="CV286" s="44" t="s">
        <v>37</v>
      </c>
      <c r="CX286" s="44" t="s">
        <v>37</v>
      </c>
      <c r="CZ286" s="44" t="s">
        <v>37</v>
      </c>
      <c r="DB286" s="44" t="s">
        <v>37</v>
      </c>
      <c r="DD286" s="44" t="s">
        <v>37</v>
      </c>
      <c r="DF286" s="44" t="s">
        <v>37</v>
      </c>
      <c r="DH286" s="44" t="s">
        <v>37</v>
      </c>
      <c r="DI286" s="44">
        <v>224773</v>
      </c>
      <c r="DJ286" s="44" t="s">
        <v>37</v>
      </c>
      <c r="DL286" s="44" t="s">
        <v>37</v>
      </c>
      <c r="DN286" s="44" t="s">
        <v>37</v>
      </c>
      <c r="DP286" s="44" t="s">
        <v>37</v>
      </c>
      <c r="DQ286" s="44">
        <v>-118325</v>
      </c>
      <c r="DR286" s="44" t="s">
        <v>37</v>
      </c>
      <c r="DT286" s="44" t="s">
        <v>37</v>
      </c>
      <c r="DV286" s="44" t="s">
        <v>37</v>
      </c>
      <c r="DX286" s="44" t="s">
        <v>37</v>
      </c>
      <c r="DY286" s="44">
        <v>85000</v>
      </c>
      <c r="DZ286" s="44" t="s">
        <v>37</v>
      </c>
      <c r="EB286" s="44" t="s">
        <v>37</v>
      </c>
      <c r="ED286" s="44" t="s">
        <v>37</v>
      </c>
      <c r="EF286" s="44" t="s">
        <v>37</v>
      </c>
      <c r="EH286" s="44" t="s">
        <v>37</v>
      </c>
      <c r="EJ286" s="44" t="s">
        <v>37</v>
      </c>
      <c r="EK286" s="44">
        <v>19417</v>
      </c>
      <c r="EL286" s="44" t="s">
        <v>37</v>
      </c>
      <c r="EM286" s="44">
        <v>61530</v>
      </c>
      <c r="EN286" s="44" t="s">
        <v>37</v>
      </c>
      <c r="EO286" s="44">
        <v>6444</v>
      </c>
      <c r="EP286" s="44" t="s">
        <v>37</v>
      </c>
      <c r="ER286" s="44" t="s">
        <v>37</v>
      </c>
      <c r="ES286" s="44">
        <v>73649</v>
      </c>
      <c r="ET286" s="44" t="s">
        <v>37</v>
      </c>
      <c r="EV286" s="44" t="s">
        <v>37</v>
      </c>
      <c r="EW286" s="44">
        <v>147494</v>
      </c>
      <c r="EX286" s="44" t="s">
        <v>37</v>
      </c>
      <c r="EZ286" s="44" t="s">
        <v>37</v>
      </c>
      <c r="FA286" s="44">
        <v>103085</v>
      </c>
      <c r="FB286" s="44" t="s">
        <v>37</v>
      </c>
      <c r="FC286" s="44">
        <v>2645</v>
      </c>
      <c r="FD286" s="44" t="s">
        <v>37</v>
      </c>
      <c r="FF286" s="44" t="s">
        <v>37</v>
      </c>
      <c r="FH286" s="44" t="s">
        <v>37</v>
      </c>
      <c r="FJ286" s="44" t="s">
        <v>37</v>
      </c>
      <c r="FK286" s="44">
        <v>274212</v>
      </c>
      <c r="FL286" s="44" t="s">
        <v>37</v>
      </c>
      <c r="FN286" s="44" t="s">
        <v>37</v>
      </c>
      <c r="FP286" s="44" t="s">
        <v>37</v>
      </c>
      <c r="FR286" s="44" t="s">
        <v>37</v>
      </c>
      <c r="FT286" s="44" t="s">
        <v>37</v>
      </c>
      <c r="FV286" s="44" t="s">
        <v>37</v>
      </c>
      <c r="FX286" s="44" t="s">
        <v>37</v>
      </c>
      <c r="FY286" s="44">
        <v>242560</v>
      </c>
      <c r="FZ286" s="44" t="s">
        <v>37</v>
      </c>
      <c r="GA286" s="44">
        <v>394240</v>
      </c>
      <c r="GB286" s="44" t="s">
        <v>37</v>
      </c>
      <c r="GC286" s="44">
        <v>212218</v>
      </c>
      <c r="GD286" s="44" t="s">
        <v>37</v>
      </c>
      <c r="GF286" s="44" t="s">
        <v>37</v>
      </c>
      <c r="GH286" s="44" t="s">
        <v>37</v>
      </c>
      <c r="GJ286" s="44" t="s">
        <v>37</v>
      </c>
      <c r="GK286" s="44">
        <v>222977</v>
      </c>
      <c r="GL286" s="44" t="s">
        <v>37</v>
      </c>
      <c r="GM286" s="44">
        <v>1070190</v>
      </c>
      <c r="GN286" s="44" t="s">
        <v>37</v>
      </c>
      <c r="GP286" s="44" t="s">
        <v>37</v>
      </c>
      <c r="GR286" s="44" t="s">
        <v>37</v>
      </c>
      <c r="GT286" s="44" t="s">
        <v>37</v>
      </c>
      <c r="GV286" s="44" t="s">
        <v>37</v>
      </c>
      <c r="GX286" s="44" t="s">
        <v>37</v>
      </c>
      <c r="GZ286" s="44" t="s">
        <v>37</v>
      </c>
      <c r="HB286" s="44" t="s">
        <v>37</v>
      </c>
      <c r="HD286" s="44" t="s">
        <v>37</v>
      </c>
      <c r="HF286" s="44" t="s">
        <v>37</v>
      </c>
      <c r="HG286" s="44">
        <v>6280588</v>
      </c>
      <c r="HH286" s="44" t="s">
        <v>37</v>
      </c>
      <c r="HJ286" s="44" t="s">
        <v>37</v>
      </c>
      <c r="HK286" s="44">
        <v>6280588</v>
      </c>
      <c r="HL286" s="44" t="s">
        <v>37</v>
      </c>
    </row>
    <row r="287" spans="1:220">
      <c r="A287" s="150" t="s">
        <v>407</v>
      </c>
      <c r="B287" s="54">
        <v>5230</v>
      </c>
      <c r="C287" s="44" t="s">
        <v>289</v>
      </c>
      <c r="D287" s="44" t="s">
        <v>37</v>
      </c>
      <c r="E287" s="44">
        <v>654377</v>
      </c>
      <c r="F287" s="44" t="s">
        <v>37</v>
      </c>
      <c r="G287" s="44">
        <v>3696039</v>
      </c>
      <c r="H287" s="44" t="s">
        <v>37</v>
      </c>
      <c r="I287" s="44">
        <v>287750</v>
      </c>
      <c r="J287" s="44" t="s">
        <v>37</v>
      </c>
      <c r="L287" s="48" t="s">
        <v>37</v>
      </c>
      <c r="M287" s="51">
        <v>1225271</v>
      </c>
      <c r="N287" s="48" t="s">
        <v>37</v>
      </c>
      <c r="O287" s="51">
        <v>161355</v>
      </c>
      <c r="P287" s="48" t="s">
        <v>37</v>
      </c>
      <c r="Q287" s="51">
        <v>501399</v>
      </c>
      <c r="R287" s="48" t="s">
        <v>37</v>
      </c>
      <c r="S287" s="51">
        <v>474362</v>
      </c>
      <c r="T287" s="48" t="s">
        <v>37</v>
      </c>
      <c r="U287" s="44">
        <v>2313349</v>
      </c>
      <c r="V287" s="44" t="s">
        <v>37</v>
      </c>
      <c r="X287" s="44" t="s">
        <v>37</v>
      </c>
      <c r="Z287" s="44" t="s">
        <v>37</v>
      </c>
      <c r="AA287" s="44">
        <v>282329</v>
      </c>
      <c r="AB287" s="44" t="s">
        <v>37</v>
      </c>
      <c r="AC287" s="44">
        <v>788484</v>
      </c>
      <c r="AD287" s="44" t="s">
        <v>37</v>
      </c>
      <c r="AE287" s="44">
        <v>139034</v>
      </c>
      <c r="AF287" s="44" t="s">
        <v>37</v>
      </c>
      <c r="AG287" s="44">
        <v>153392</v>
      </c>
      <c r="AH287" s="44" t="s">
        <v>37</v>
      </c>
      <c r="AI287" s="44">
        <v>594940</v>
      </c>
      <c r="AJ287" s="44" t="s">
        <v>37</v>
      </c>
      <c r="AK287" s="44">
        <v>30348</v>
      </c>
      <c r="AL287" s="44" t="s">
        <v>37</v>
      </c>
      <c r="AM287" s="44">
        <v>3212593</v>
      </c>
      <c r="AN287" s="44" t="s">
        <v>37</v>
      </c>
      <c r="AO287" s="44">
        <v>68782</v>
      </c>
      <c r="AP287" s="44" t="s">
        <v>37</v>
      </c>
      <c r="AQ287" s="44">
        <v>4229168</v>
      </c>
      <c r="AR287" s="44" t="s">
        <v>37</v>
      </c>
      <c r="AS287" s="44">
        <v>328160</v>
      </c>
      <c r="AT287" s="44" t="s">
        <v>37</v>
      </c>
      <c r="AU287" s="44">
        <v>6966489</v>
      </c>
      <c r="AV287" s="44" t="s">
        <v>37</v>
      </c>
      <c r="AW287" s="44">
        <v>2997222</v>
      </c>
      <c r="AX287" s="44" t="s">
        <v>37</v>
      </c>
      <c r="AY287" s="44">
        <v>1395247</v>
      </c>
      <c r="AZ287" s="44" t="s">
        <v>37</v>
      </c>
      <c r="BA287" s="44">
        <v>1310477</v>
      </c>
      <c r="BB287" s="44" t="s">
        <v>37</v>
      </c>
      <c r="BC287" s="44">
        <v>561051</v>
      </c>
      <c r="BD287" s="44" t="s">
        <v>37</v>
      </c>
      <c r="BE287" s="44">
        <v>422223</v>
      </c>
      <c r="BF287" s="44" t="s">
        <v>37</v>
      </c>
      <c r="BG287" s="44">
        <v>179434</v>
      </c>
      <c r="BH287" s="44" t="s">
        <v>37</v>
      </c>
      <c r="BJ287" s="44" t="s">
        <v>37</v>
      </c>
      <c r="BK287" s="44">
        <v>985944</v>
      </c>
      <c r="BL287" s="44" t="s">
        <v>37</v>
      </c>
      <c r="BM287" s="44">
        <v>1967754</v>
      </c>
      <c r="BN287" s="44" t="s">
        <v>37</v>
      </c>
      <c r="BP287" s="44" t="s">
        <v>37</v>
      </c>
      <c r="BQ287" s="44">
        <v>232535</v>
      </c>
      <c r="BR287" s="44" t="s">
        <v>37</v>
      </c>
      <c r="BS287" s="44">
        <v>557061</v>
      </c>
      <c r="BT287" s="44" t="s">
        <v>37</v>
      </c>
      <c r="BU287" s="44">
        <v>211838</v>
      </c>
      <c r="BV287" s="44" t="s">
        <v>37</v>
      </c>
      <c r="BW287" s="44">
        <v>-28111</v>
      </c>
      <c r="BX287" s="44" t="s">
        <v>37</v>
      </c>
      <c r="BY287" s="44">
        <v>3766192</v>
      </c>
      <c r="BZ287" s="44" t="s">
        <v>37</v>
      </c>
      <c r="CA287" s="44">
        <v>403424</v>
      </c>
      <c r="CB287" s="44" t="s">
        <v>37</v>
      </c>
      <c r="CD287" s="44" t="s">
        <v>37</v>
      </c>
      <c r="CE287" s="44">
        <v>715225</v>
      </c>
      <c r="CF287" s="44" t="s">
        <v>37</v>
      </c>
      <c r="CG287" s="44">
        <v>680503</v>
      </c>
      <c r="CH287" s="44" t="s">
        <v>37</v>
      </c>
      <c r="CI287" s="44">
        <v>2547434</v>
      </c>
      <c r="CJ287" s="44" t="s">
        <v>37</v>
      </c>
      <c r="CK287" s="44">
        <v>200624</v>
      </c>
      <c r="CL287" s="44" t="s">
        <v>37</v>
      </c>
      <c r="CM287" s="44">
        <v>536920</v>
      </c>
      <c r="CN287" s="44" t="s">
        <v>37</v>
      </c>
      <c r="CO287" s="44">
        <v>558864</v>
      </c>
      <c r="CP287" s="44" t="s">
        <v>37</v>
      </c>
      <c r="CQ287" s="44">
        <v>253262</v>
      </c>
      <c r="CR287" s="44" t="s">
        <v>37</v>
      </c>
      <c r="CS287" s="44">
        <v>1789612</v>
      </c>
      <c r="CT287" s="44" t="s">
        <v>37</v>
      </c>
      <c r="CU287" s="44">
        <v>10046666</v>
      </c>
      <c r="CV287" s="44" t="s">
        <v>37</v>
      </c>
      <c r="CW287" s="44">
        <v>1733746</v>
      </c>
      <c r="CX287" s="44" t="s">
        <v>37</v>
      </c>
      <c r="CY287" s="44">
        <v>299265</v>
      </c>
      <c r="CZ287" s="44" t="s">
        <v>37</v>
      </c>
      <c r="DA287" s="44">
        <v>358729</v>
      </c>
      <c r="DB287" s="44" t="s">
        <v>37</v>
      </c>
      <c r="DC287" s="44">
        <v>46658</v>
      </c>
      <c r="DD287" s="44" t="s">
        <v>37</v>
      </c>
      <c r="DE287" s="44">
        <v>486339</v>
      </c>
      <c r="DF287" s="44" t="s">
        <v>37</v>
      </c>
      <c r="DG287" s="44">
        <v>212419</v>
      </c>
      <c r="DH287" s="44" t="s">
        <v>37</v>
      </c>
      <c r="DI287" s="44">
        <v>5048041</v>
      </c>
      <c r="DJ287" s="44" t="s">
        <v>37</v>
      </c>
      <c r="DK287" s="44">
        <v>456472</v>
      </c>
      <c r="DL287" s="44" t="s">
        <v>37</v>
      </c>
      <c r="DM287" s="44">
        <v>2224263</v>
      </c>
      <c r="DN287" s="44" t="s">
        <v>37</v>
      </c>
      <c r="DO287" s="44">
        <v>3303706</v>
      </c>
      <c r="DP287" s="44" t="s">
        <v>37</v>
      </c>
      <c r="DQ287" s="44">
        <v>832431</v>
      </c>
      <c r="DR287" s="44" t="s">
        <v>37</v>
      </c>
      <c r="DS287" s="44">
        <v>524204</v>
      </c>
      <c r="DT287" s="44" t="s">
        <v>37</v>
      </c>
      <c r="DU287" s="44">
        <v>1540030</v>
      </c>
      <c r="DV287" s="44" t="s">
        <v>37</v>
      </c>
      <c r="DW287" s="44">
        <v>4004971</v>
      </c>
      <c r="DX287" s="44" t="s">
        <v>37</v>
      </c>
      <c r="DY287" s="44">
        <v>1582390</v>
      </c>
      <c r="DZ287" s="44" t="s">
        <v>37</v>
      </c>
      <c r="EB287" s="44" t="s">
        <v>37</v>
      </c>
      <c r="EC287" s="44">
        <v>695558</v>
      </c>
      <c r="ED287" s="44" t="s">
        <v>37</v>
      </c>
      <c r="EE287" s="44">
        <v>2988644</v>
      </c>
      <c r="EF287" s="44" t="s">
        <v>37</v>
      </c>
      <c r="EG287" s="44">
        <v>226295</v>
      </c>
      <c r="EH287" s="44" t="s">
        <v>37</v>
      </c>
      <c r="EJ287" s="44" t="s">
        <v>37</v>
      </c>
      <c r="EK287" s="44">
        <v>797561</v>
      </c>
      <c r="EL287" s="44" t="s">
        <v>37</v>
      </c>
      <c r="EM287" s="44">
        <v>420454</v>
      </c>
      <c r="EN287" s="44" t="s">
        <v>37</v>
      </c>
      <c r="EO287" s="44">
        <v>145590</v>
      </c>
      <c r="EP287" s="44" t="s">
        <v>37</v>
      </c>
      <c r="ER287" s="44" t="s">
        <v>37</v>
      </c>
      <c r="ES287" s="44">
        <v>741650</v>
      </c>
      <c r="ET287" s="44" t="s">
        <v>37</v>
      </c>
      <c r="EU287" s="44">
        <v>1010215</v>
      </c>
      <c r="EV287" s="44" t="s">
        <v>37</v>
      </c>
      <c r="EW287" s="44">
        <v>2176575</v>
      </c>
      <c r="EX287" s="44" t="s">
        <v>37</v>
      </c>
      <c r="EZ287" s="44" t="s">
        <v>37</v>
      </c>
      <c r="FA287" s="44">
        <v>717691</v>
      </c>
      <c r="FB287" s="44" t="s">
        <v>37</v>
      </c>
      <c r="FC287" s="44">
        <v>649963</v>
      </c>
      <c r="FD287" s="44" t="s">
        <v>37</v>
      </c>
      <c r="FE287" s="44">
        <v>1305515</v>
      </c>
      <c r="FF287" s="44" t="s">
        <v>37</v>
      </c>
      <c r="FG287" s="44">
        <v>16961</v>
      </c>
      <c r="FH287" s="44" t="s">
        <v>37</v>
      </c>
      <c r="FI287" s="44">
        <v>2555008</v>
      </c>
      <c r="FJ287" s="44" t="s">
        <v>37</v>
      </c>
      <c r="FK287" s="44">
        <v>4686968</v>
      </c>
      <c r="FL287" s="44" t="s">
        <v>37</v>
      </c>
      <c r="FM287" s="44">
        <v>2265267</v>
      </c>
      <c r="FN287" s="44" t="s">
        <v>37</v>
      </c>
      <c r="FO287" s="44">
        <v>550808</v>
      </c>
      <c r="FP287" s="44" t="s">
        <v>37</v>
      </c>
      <c r="FQ287" s="44">
        <v>839340</v>
      </c>
      <c r="FR287" s="44" t="s">
        <v>37</v>
      </c>
      <c r="FS287" s="44">
        <v>2019895</v>
      </c>
      <c r="FT287" s="44" t="s">
        <v>37</v>
      </c>
      <c r="FU287" s="44">
        <v>796340</v>
      </c>
      <c r="FV287" s="44" t="s">
        <v>37</v>
      </c>
      <c r="FW287" s="44">
        <v>550103</v>
      </c>
      <c r="FX287" s="44" t="s">
        <v>37</v>
      </c>
      <c r="FY287" s="44">
        <v>1528421</v>
      </c>
      <c r="FZ287" s="44" t="s">
        <v>37</v>
      </c>
      <c r="GA287" s="44">
        <v>2208302</v>
      </c>
      <c r="GB287" s="44" t="s">
        <v>37</v>
      </c>
      <c r="GD287" s="44" t="s">
        <v>37</v>
      </c>
      <c r="GF287" s="44" t="s">
        <v>37</v>
      </c>
      <c r="GG287" s="44">
        <v>57466</v>
      </c>
      <c r="GH287" s="44" t="s">
        <v>37</v>
      </c>
      <c r="GI287" s="44">
        <v>47511</v>
      </c>
      <c r="GJ287" s="44" t="s">
        <v>37</v>
      </c>
      <c r="GK287" s="44">
        <v>2377475</v>
      </c>
      <c r="GL287" s="44" t="s">
        <v>37</v>
      </c>
      <c r="GM287" s="44">
        <v>1488604</v>
      </c>
      <c r="GN287" s="44" t="s">
        <v>37</v>
      </c>
      <c r="GP287" s="44" t="s">
        <v>37</v>
      </c>
      <c r="GQ287" s="44">
        <v>844154</v>
      </c>
      <c r="GR287" s="44" t="s">
        <v>37</v>
      </c>
      <c r="GS287" s="44">
        <v>816106</v>
      </c>
      <c r="GT287" s="44" t="s">
        <v>37</v>
      </c>
      <c r="GU287" s="44">
        <v>868660</v>
      </c>
      <c r="GV287" s="44" t="s">
        <v>37</v>
      </c>
      <c r="GX287" s="44" t="s">
        <v>37</v>
      </c>
      <c r="GY287" s="44">
        <v>3390531</v>
      </c>
      <c r="GZ287" s="44" t="s">
        <v>37</v>
      </c>
      <c r="HA287" s="44">
        <v>1416823</v>
      </c>
      <c r="HB287" s="44" t="s">
        <v>37</v>
      </c>
      <c r="HD287" s="44" t="s">
        <v>37</v>
      </c>
      <c r="HF287" s="44" t="s">
        <v>37</v>
      </c>
      <c r="HG287" s="44">
        <v>122253140</v>
      </c>
      <c r="HH287" s="44" t="s">
        <v>37</v>
      </c>
      <c r="HJ287" s="44" t="s">
        <v>37</v>
      </c>
      <c r="HK287" s="44">
        <v>122253140</v>
      </c>
      <c r="HL287" s="44" t="s">
        <v>37</v>
      </c>
    </row>
    <row r="288" spans="1:220">
      <c r="A288" s="150" t="s">
        <v>407</v>
      </c>
      <c r="B288" s="54">
        <v>5240</v>
      </c>
      <c r="C288" s="44" t="s">
        <v>290</v>
      </c>
      <c r="D288" s="44" t="s">
        <v>37</v>
      </c>
      <c r="F288" s="44" t="s">
        <v>37</v>
      </c>
      <c r="H288" s="44" t="s">
        <v>37</v>
      </c>
      <c r="J288" s="44" t="s">
        <v>37</v>
      </c>
      <c r="L288" s="48" t="s">
        <v>37</v>
      </c>
      <c r="M288" s="50"/>
      <c r="N288" s="48" t="s">
        <v>37</v>
      </c>
      <c r="O288" s="50"/>
      <c r="P288" s="48" t="s">
        <v>37</v>
      </c>
      <c r="Q288" s="50"/>
      <c r="R288" s="48" t="s">
        <v>37</v>
      </c>
      <c r="S288" s="50"/>
      <c r="T288" s="48" t="s">
        <v>37</v>
      </c>
      <c r="V288" s="44" t="s">
        <v>37</v>
      </c>
      <c r="X288" s="44" t="s">
        <v>37</v>
      </c>
      <c r="Z288" s="44" t="s">
        <v>37</v>
      </c>
      <c r="AB288" s="44" t="s">
        <v>37</v>
      </c>
      <c r="AD288" s="44" t="s">
        <v>37</v>
      </c>
      <c r="AF288" s="44" t="s">
        <v>37</v>
      </c>
      <c r="AH288" s="44" t="s">
        <v>37</v>
      </c>
      <c r="AJ288" s="44" t="s">
        <v>37</v>
      </c>
      <c r="AL288" s="44" t="s">
        <v>37</v>
      </c>
      <c r="AM288" s="44">
        <v>830873</v>
      </c>
      <c r="AN288" s="44" t="s">
        <v>37</v>
      </c>
      <c r="AP288" s="44" t="s">
        <v>37</v>
      </c>
      <c r="AR288" s="44" t="s">
        <v>37</v>
      </c>
      <c r="AT288" s="44" t="s">
        <v>37</v>
      </c>
      <c r="AU288" s="44">
        <v>24626514</v>
      </c>
      <c r="AV288" s="44" t="s">
        <v>37</v>
      </c>
      <c r="AX288" s="44" t="s">
        <v>37</v>
      </c>
      <c r="AZ288" s="44" t="s">
        <v>37</v>
      </c>
      <c r="BA288" s="44">
        <v>169422</v>
      </c>
      <c r="BB288" s="44" t="s">
        <v>37</v>
      </c>
      <c r="BD288" s="44" t="s">
        <v>37</v>
      </c>
      <c r="BE288" s="44">
        <v>207878</v>
      </c>
      <c r="BF288" s="44" t="s">
        <v>37</v>
      </c>
      <c r="BG288" s="44">
        <v>84900</v>
      </c>
      <c r="BH288" s="44" t="s">
        <v>37</v>
      </c>
      <c r="BJ288" s="44" t="s">
        <v>37</v>
      </c>
      <c r="BK288" s="44">
        <v>3145674</v>
      </c>
      <c r="BL288" s="44" t="s">
        <v>37</v>
      </c>
      <c r="BN288" s="44" t="s">
        <v>37</v>
      </c>
      <c r="BP288" s="44" t="s">
        <v>37</v>
      </c>
      <c r="BR288" s="44" t="s">
        <v>37</v>
      </c>
      <c r="BT288" s="44" t="s">
        <v>37</v>
      </c>
      <c r="BV288" s="44" t="s">
        <v>37</v>
      </c>
      <c r="BX288" s="44" t="s">
        <v>37</v>
      </c>
      <c r="BY288" s="44">
        <v>4204415</v>
      </c>
      <c r="BZ288" s="44" t="s">
        <v>37</v>
      </c>
      <c r="CB288" s="44" t="s">
        <v>37</v>
      </c>
      <c r="CD288" s="44" t="s">
        <v>37</v>
      </c>
      <c r="CF288" s="44" t="s">
        <v>37</v>
      </c>
      <c r="CG288" s="44">
        <v>782741</v>
      </c>
      <c r="CH288" s="44" t="s">
        <v>37</v>
      </c>
      <c r="CJ288" s="44" t="s">
        <v>37</v>
      </c>
      <c r="CL288" s="44" t="s">
        <v>37</v>
      </c>
      <c r="CN288" s="44" t="s">
        <v>37</v>
      </c>
      <c r="CP288" s="44" t="s">
        <v>37</v>
      </c>
      <c r="CR288" s="44" t="s">
        <v>37</v>
      </c>
      <c r="CT288" s="44" t="s">
        <v>37</v>
      </c>
      <c r="CU288" s="44">
        <v>73626110</v>
      </c>
      <c r="CV288" s="44" t="s">
        <v>37</v>
      </c>
      <c r="CX288" s="44" t="s">
        <v>37</v>
      </c>
      <c r="CZ288" s="44" t="s">
        <v>37</v>
      </c>
      <c r="DB288" s="44" t="s">
        <v>37</v>
      </c>
      <c r="DD288" s="44" t="s">
        <v>37</v>
      </c>
      <c r="DE288" s="44">
        <v>658682</v>
      </c>
      <c r="DF288" s="44" t="s">
        <v>37</v>
      </c>
      <c r="DG288" s="44">
        <v>191000</v>
      </c>
      <c r="DH288" s="44" t="s">
        <v>37</v>
      </c>
      <c r="DJ288" s="44" t="s">
        <v>37</v>
      </c>
      <c r="DL288" s="44" t="s">
        <v>37</v>
      </c>
      <c r="DM288" s="44">
        <v>4634635</v>
      </c>
      <c r="DN288" s="44" t="s">
        <v>37</v>
      </c>
      <c r="DP288" s="44" t="s">
        <v>37</v>
      </c>
      <c r="DQ288" s="44">
        <v>74778</v>
      </c>
      <c r="DR288" s="44" t="s">
        <v>37</v>
      </c>
      <c r="DT288" s="44" t="s">
        <v>37</v>
      </c>
      <c r="DU288" s="44">
        <v>529192</v>
      </c>
      <c r="DV288" s="44" t="s">
        <v>37</v>
      </c>
      <c r="DW288" s="44">
        <v>1862828</v>
      </c>
      <c r="DX288" s="44" t="s">
        <v>37</v>
      </c>
      <c r="DZ288" s="44" t="s">
        <v>37</v>
      </c>
      <c r="EB288" s="44" t="s">
        <v>37</v>
      </c>
      <c r="ED288" s="44" t="s">
        <v>37</v>
      </c>
      <c r="EF288" s="44" t="s">
        <v>37</v>
      </c>
      <c r="EG288" s="44">
        <v>211245</v>
      </c>
      <c r="EH288" s="44" t="s">
        <v>37</v>
      </c>
      <c r="EJ288" s="44" t="s">
        <v>37</v>
      </c>
      <c r="EL288" s="44" t="s">
        <v>37</v>
      </c>
      <c r="EN288" s="44" t="s">
        <v>37</v>
      </c>
      <c r="EP288" s="44" t="s">
        <v>37</v>
      </c>
      <c r="ER288" s="44" t="s">
        <v>37</v>
      </c>
      <c r="ES288" s="44">
        <v>162000</v>
      </c>
      <c r="ET288" s="44" t="s">
        <v>37</v>
      </c>
      <c r="EU288" s="44">
        <v>4545000</v>
      </c>
      <c r="EV288" s="44" t="s">
        <v>37</v>
      </c>
      <c r="EX288" s="44" t="s">
        <v>37</v>
      </c>
      <c r="EZ288" s="44" t="s">
        <v>37</v>
      </c>
      <c r="FA288" s="44">
        <v>276745</v>
      </c>
      <c r="FB288" s="44" t="s">
        <v>37</v>
      </c>
      <c r="FD288" s="44" t="s">
        <v>37</v>
      </c>
      <c r="FF288" s="44" t="s">
        <v>37</v>
      </c>
      <c r="FH288" s="44" t="s">
        <v>37</v>
      </c>
      <c r="FI288" s="44">
        <v>900000</v>
      </c>
      <c r="FJ288" s="44" t="s">
        <v>37</v>
      </c>
      <c r="FK288" s="44">
        <v>2239605</v>
      </c>
      <c r="FL288" s="44" t="s">
        <v>37</v>
      </c>
      <c r="FN288" s="44" t="s">
        <v>37</v>
      </c>
      <c r="FP288" s="44" t="s">
        <v>37</v>
      </c>
      <c r="FQ288" s="44">
        <v>16312</v>
      </c>
      <c r="FR288" s="44" t="s">
        <v>37</v>
      </c>
      <c r="FT288" s="44" t="s">
        <v>37</v>
      </c>
      <c r="FU288" s="44">
        <v>435371</v>
      </c>
      <c r="FV288" s="44" t="s">
        <v>37</v>
      </c>
      <c r="FX288" s="44" t="s">
        <v>37</v>
      </c>
      <c r="FZ288" s="44" t="s">
        <v>37</v>
      </c>
      <c r="GB288" s="44" t="s">
        <v>37</v>
      </c>
      <c r="GD288" s="44" t="s">
        <v>37</v>
      </c>
      <c r="GF288" s="44" t="s">
        <v>37</v>
      </c>
      <c r="GH288" s="44" t="s">
        <v>37</v>
      </c>
      <c r="GJ288" s="44" t="s">
        <v>37</v>
      </c>
      <c r="GL288" s="44" t="s">
        <v>37</v>
      </c>
      <c r="GN288" s="44" t="s">
        <v>37</v>
      </c>
      <c r="GP288" s="44" t="s">
        <v>37</v>
      </c>
      <c r="GQ288" s="44">
        <v>37000</v>
      </c>
      <c r="GR288" s="44" t="s">
        <v>37</v>
      </c>
      <c r="GS288" s="44">
        <v>369034</v>
      </c>
      <c r="GT288" s="44" t="s">
        <v>37</v>
      </c>
      <c r="GU288" s="44">
        <v>1350000</v>
      </c>
      <c r="GV288" s="44" t="s">
        <v>37</v>
      </c>
      <c r="GX288" s="44" t="s">
        <v>37</v>
      </c>
      <c r="GZ288" s="44" t="s">
        <v>37</v>
      </c>
      <c r="HB288" s="44" t="s">
        <v>37</v>
      </c>
      <c r="HD288" s="44" t="s">
        <v>37</v>
      </c>
      <c r="HF288" s="44" t="s">
        <v>37</v>
      </c>
      <c r="HG288" s="44">
        <v>126171954</v>
      </c>
      <c r="HH288" s="44" t="s">
        <v>37</v>
      </c>
      <c r="HJ288" s="44" t="s">
        <v>37</v>
      </c>
      <c r="HK288" s="44">
        <v>126171954</v>
      </c>
      <c r="HL288" s="44" t="s">
        <v>37</v>
      </c>
    </row>
    <row r="289" spans="1:220">
      <c r="A289" s="150" t="s">
        <v>407</v>
      </c>
      <c r="B289" s="54">
        <v>5250</v>
      </c>
      <c r="C289" s="44" t="s">
        <v>291</v>
      </c>
      <c r="D289" s="44" t="s">
        <v>37</v>
      </c>
      <c r="F289" s="44" t="s">
        <v>37</v>
      </c>
      <c r="H289" s="44" t="s">
        <v>37</v>
      </c>
      <c r="J289" s="44" t="s">
        <v>37</v>
      </c>
      <c r="L289" s="48" t="s">
        <v>37</v>
      </c>
      <c r="M289" s="50"/>
      <c r="N289" s="48" t="s">
        <v>37</v>
      </c>
      <c r="O289" s="50"/>
      <c r="P289" s="48" t="s">
        <v>37</v>
      </c>
      <c r="Q289" s="50"/>
      <c r="R289" s="48" t="s">
        <v>37</v>
      </c>
      <c r="S289" s="50"/>
      <c r="T289" s="48" t="s">
        <v>37</v>
      </c>
      <c r="V289" s="44" t="s">
        <v>37</v>
      </c>
      <c r="X289" s="44" t="s">
        <v>37</v>
      </c>
      <c r="Z289" s="44" t="s">
        <v>37</v>
      </c>
      <c r="AB289" s="44" t="s">
        <v>37</v>
      </c>
      <c r="AD289" s="44" t="s">
        <v>37</v>
      </c>
      <c r="AE289" s="44">
        <v>11890</v>
      </c>
      <c r="AF289" s="44" t="s">
        <v>37</v>
      </c>
      <c r="AH289" s="44" t="s">
        <v>37</v>
      </c>
      <c r="AI289" s="44">
        <v>38759</v>
      </c>
      <c r="AJ289" s="44" t="s">
        <v>37</v>
      </c>
      <c r="AL289" s="44" t="s">
        <v>37</v>
      </c>
      <c r="AM289" s="44">
        <v>733732</v>
      </c>
      <c r="AN289" s="44" t="s">
        <v>37</v>
      </c>
      <c r="AP289" s="44" t="s">
        <v>37</v>
      </c>
      <c r="AQ289" s="44">
        <v>31268199</v>
      </c>
      <c r="AR289" s="44" t="s">
        <v>37</v>
      </c>
      <c r="AS289" s="44">
        <v>2939822</v>
      </c>
      <c r="AT289" s="44" t="s">
        <v>37</v>
      </c>
      <c r="AU289" s="44">
        <v>19176784</v>
      </c>
      <c r="AV289" s="44" t="s">
        <v>37</v>
      </c>
      <c r="AW289" s="44">
        <v>2788314</v>
      </c>
      <c r="AX289" s="44" t="s">
        <v>37</v>
      </c>
      <c r="AY289" s="44">
        <v>34203</v>
      </c>
      <c r="AZ289" s="44" t="s">
        <v>37</v>
      </c>
      <c r="BA289" s="44">
        <v>8897149</v>
      </c>
      <c r="BB289" s="44" t="s">
        <v>37</v>
      </c>
      <c r="BC289" s="44">
        <v>431005</v>
      </c>
      <c r="BD289" s="44" t="s">
        <v>37</v>
      </c>
      <c r="BF289" s="44" t="s">
        <v>37</v>
      </c>
      <c r="BH289" s="44" t="s">
        <v>37</v>
      </c>
      <c r="BJ289" s="44" t="s">
        <v>37</v>
      </c>
      <c r="BK289" s="44">
        <v>9837088</v>
      </c>
      <c r="BL289" s="44" t="s">
        <v>37</v>
      </c>
      <c r="BN289" s="44" t="s">
        <v>37</v>
      </c>
      <c r="BP289" s="44" t="s">
        <v>37</v>
      </c>
      <c r="BR289" s="44" t="s">
        <v>37</v>
      </c>
      <c r="BT289" s="44" t="s">
        <v>37</v>
      </c>
      <c r="BU289" s="44">
        <v>126045</v>
      </c>
      <c r="BV289" s="44" t="s">
        <v>37</v>
      </c>
      <c r="BX289" s="44" t="s">
        <v>37</v>
      </c>
      <c r="BY289" s="44">
        <v>48398185</v>
      </c>
      <c r="BZ289" s="44" t="s">
        <v>37</v>
      </c>
      <c r="CB289" s="44" t="s">
        <v>37</v>
      </c>
      <c r="CD289" s="44" t="s">
        <v>37</v>
      </c>
      <c r="CF289" s="44" t="s">
        <v>37</v>
      </c>
      <c r="CH289" s="44" t="s">
        <v>37</v>
      </c>
      <c r="CJ289" s="44" t="s">
        <v>37</v>
      </c>
      <c r="CL289" s="44" t="s">
        <v>37</v>
      </c>
      <c r="CN289" s="44" t="s">
        <v>37</v>
      </c>
      <c r="CP289" s="44" t="s">
        <v>37</v>
      </c>
      <c r="CQ289" s="44">
        <v>165000</v>
      </c>
      <c r="CR289" s="44" t="s">
        <v>37</v>
      </c>
      <c r="CS289" s="44">
        <v>1361147</v>
      </c>
      <c r="CT289" s="44" t="s">
        <v>37</v>
      </c>
      <c r="CU289" s="44">
        <v>8485000</v>
      </c>
      <c r="CV289" s="44" t="s">
        <v>37</v>
      </c>
      <c r="CW289" s="44">
        <v>10828275</v>
      </c>
      <c r="CX289" s="44" t="s">
        <v>37</v>
      </c>
      <c r="CZ289" s="44" t="s">
        <v>37</v>
      </c>
      <c r="DB289" s="44" t="s">
        <v>37</v>
      </c>
      <c r="DD289" s="44" t="s">
        <v>37</v>
      </c>
      <c r="DF289" s="44" t="s">
        <v>37</v>
      </c>
      <c r="DH289" s="44" t="s">
        <v>37</v>
      </c>
      <c r="DJ289" s="44" t="s">
        <v>37</v>
      </c>
      <c r="DK289" s="44">
        <v>1106245</v>
      </c>
      <c r="DL289" s="44" t="s">
        <v>37</v>
      </c>
      <c r="DN289" s="44" t="s">
        <v>37</v>
      </c>
      <c r="DP289" s="44" t="s">
        <v>37</v>
      </c>
      <c r="DQ289" s="44">
        <v>9674582</v>
      </c>
      <c r="DR289" s="44" t="s">
        <v>37</v>
      </c>
      <c r="DS289" s="44">
        <v>2713076</v>
      </c>
      <c r="DT289" s="44" t="s">
        <v>37</v>
      </c>
      <c r="DU289" s="44">
        <v>20604</v>
      </c>
      <c r="DV289" s="44" t="s">
        <v>37</v>
      </c>
      <c r="DX289" s="44" t="s">
        <v>37</v>
      </c>
      <c r="DZ289" s="44" t="s">
        <v>37</v>
      </c>
      <c r="EB289" s="44" t="s">
        <v>37</v>
      </c>
      <c r="ED289" s="44" t="s">
        <v>37</v>
      </c>
      <c r="EE289" s="44">
        <v>1297178</v>
      </c>
      <c r="EF289" s="44" t="s">
        <v>37</v>
      </c>
      <c r="EH289" s="44" t="s">
        <v>37</v>
      </c>
      <c r="EJ289" s="44" t="s">
        <v>37</v>
      </c>
      <c r="EK289" s="44">
        <v>38956</v>
      </c>
      <c r="EL289" s="44" t="s">
        <v>37</v>
      </c>
      <c r="EM289" s="44">
        <v>25072</v>
      </c>
      <c r="EN289" s="44" t="s">
        <v>37</v>
      </c>
      <c r="EP289" s="44" t="s">
        <v>37</v>
      </c>
      <c r="ER289" s="44" t="s">
        <v>37</v>
      </c>
      <c r="ET289" s="44" t="s">
        <v>37</v>
      </c>
      <c r="EV289" s="44" t="s">
        <v>37</v>
      </c>
      <c r="EW289" s="44">
        <v>1045651</v>
      </c>
      <c r="EX289" s="44" t="s">
        <v>37</v>
      </c>
      <c r="EZ289" s="44" t="s">
        <v>37</v>
      </c>
      <c r="FB289" s="44" t="s">
        <v>37</v>
      </c>
      <c r="FD289" s="44" t="s">
        <v>37</v>
      </c>
      <c r="FE289" s="44">
        <v>152878</v>
      </c>
      <c r="FF289" s="44" t="s">
        <v>37</v>
      </c>
      <c r="FH289" s="44" t="s">
        <v>37</v>
      </c>
      <c r="FI289" s="44">
        <v>32810808</v>
      </c>
      <c r="FJ289" s="44" t="s">
        <v>37</v>
      </c>
      <c r="FL289" s="44" t="s">
        <v>37</v>
      </c>
      <c r="FM289" s="44">
        <v>88446</v>
      </c>
      <c r="FN289" s="44" t="s">
        <v>37</v>
      </c>
      <c r="FP289" s="44" t="s">
        <v>37</v>
      </c>
      <c r="FQ289" s="44">
        <v>66469</v>
      </c>
      <c r="FR289" s="44" t="s">
        <v>37</v>
      </c>
      <c r="FS289" s="44">
        <v>8233</v>
      </c>
      <c r="FT289" s="44" t="s">
        <v>37</v>
      </c>
      <c r="FU289" s="44">
        <v>2834268</v>
      </c>
      <c r="FV289" s="44" t="s">
        <v>37</v>
      </c>
      <c r="FW289" s="44">
        <v>100000</v>
      </c>
      <c r="FX289" s="44" t="s">
        <v>37</v>
      </c>
      <c r="FY289" s="44">
        <v>1636454</v>
      </c>
      <c r="FZ289" s="44" t="s">
        <v>37</v>
      </c>
      <c r="GB289" s="44" t="s">
        <v>37</v>
      </c>
      <c r="GD289" s="44" t="s">
        <v>37</v>
      </c>
      <c r="GF289" s="44" t="s">
        <v>37</v>
      </c>
      <c r="GH289" s="44" t="s">
        <v>37</v>
      </c>
      <c r="GJ289" s="44" t="s">
        <v>37</v>
      </c>
      <c r="GK289" s="44">
        <v>6218788</v>
      </c>
      <c r="GL289" s="44" t="s">
        <v>37</v>
      </c>
      <c r="GM289" s="44">
        <v>4098751</v>
      </c>
      <c r="GN289" s="44" t="s">
        <v>37</v>
      </c>
      <c r="GP289" s="44" t="s">
        <v>37</v>
      </c>
      <c r="GQ289" s="44">
        <v>3915596</v>
      </c>
      <c r="GR289" s="44" t="s">
        <v>37</v>
      </c>
      <c r="GS289" s="44">
        <v>3375587</v>
      </c>
      <c r="GT289" s="44" t="s">
        <v>37</v>
      </c>
      <c r="GU289" s="44">
        <v>263985</v>
      </c>
      <c r="GV289" s="44" t="s">
        <v>37</v>
      </c>
      <c r="GX289" s="44" t="s">
        <v>37</v>
      </c>
      <c r="GZ289" s="44" t="s">
        <v>37</v>
      </c>
      <c r="HA289" s="44">
        <v>10283280</v>
      </c>
      <c r="HB289" s="44" t="s">
        <v>37</v>
      </c>
      <c r="HD289" s="44" t="s">
        <v>37</v>
      </c>
      <c r="HF289" s="44" t="s">
        <v>37</v>
      </c>
      <c r="HG289" s="44">
        <v>227295504</v>
      </c>
      <c r="HH289" s="44" t="s">
        <v>37</v>
      </c>
      <c r="HJ289" s="44" t="s">
        <v>37</v>
      </c>
      <c r="HK289" s="44">
        <v>227295504</v>
      </c>
      <c r="HL289" s="44" t="s">
        <v>37</v>
      </c>
    </row>
    <row r="290" spans="1:220">
      <c r="A290" s="150" t="s">
        <v>407</v>
      </c>
      <c r="B290" s="54">
        <v>5260</v>
      </c>
      <c r="C290" s="44" t="s">
        <v>292</v>
      </c>
      <c r="D290" s="44" t="s">
        <v>37</v>
      </c>
      <c r="F290" s="44" t="s">
        <v>37</v>
      </c>
      <c r="H290" s="44" t="s">
        <v>37</v>
      </c>
      <c r="J290" s="44" t="s">
        <v>37</v>
      </c>
      <c r="L290" s="48" t="s">
        <v>37</v>
      </c>
      <c r="M290" s="50"/>
      <c r="N290" s="48" t="s">
        <v>37</v>
      </c>
      <c r="O290" s="50"/>
      <c r="P290" s="48" t="s">
        <v>37</v>
      </c>
      <c r="Q290" s="50"/>
      <c r="R290" s="48" t="s">
        <v>37</v>
      </c>
      <c r="S290" s="51">
        <v>40000</v>
      </c>
      <c r="T290" s="48" t="s">
        <v>37</v>
      </c>
      <c r="V290" s="44" t="s">
        <v>37</v>
      </c>
      <c r="X290" s="44" t="s">
        <v>37</v>
      </c>
      <c r="Z290" s="44" t="s">
        <v>37</v>
      </c>
      <c r="AA290" s="44">
        <v>23515</v>
      </c>
      <c r="AB290" s="44" t="s">
        <v>37</v>
      </c>
      <c r="AD290" s="44" t="s">
        <v>37</v>
      </c>
      <c r="AF290" s="44" t="s">
        <v>37</v>
      </c>
      <c r="AH290" s="44" t="s">
        <v>37</v>
      </c>
      <c r="AJ290" s="44" t="s">
        <v>37</v>
      </c>
      <c r="AL290" s="44" t="s">
        <v>37</v>
      </c>
      <c r="AN290" s="44" t="s">
        <v>37</v>
      </c>
      <c r="AP290" s="44" t="s">
        <v>37</v>
      </c>
      <c r="AR290" s="44" t="s">
        <v>37</v>
      </c>
      <c r="AT290" s="44" t="s">
        <v>37</v>
      </c>
      <c r="AV290" s="44" t="s">
        <v>37</v>
      </c>
      <c r="AX290" s="44" t="s">
        <v>37</v>
      </c>
      <c r="AZ290" s="44" t="s">
        <v>37</v>
      </c>
      <c r="BB290" s="44" t="s">
        <v>37</v>
      </c>
      <c r="BD290" s="44" t="s">
        <v>37</v>
      </c>
      <c r="BF290" s="44" t="s">
        <v>37</v>
      </c>
      <c r="BG290" s="44">
        <v>6214</v>
      </c>
      <c r="BH290" s="44" t="s">
        <v>37</v>
      </c>
      <c r="BJ290" s="44" t="s">
        <v>37</v>
      </c>
      <c r="BL290" s="44" t="s">
        <v>37</v>
      </c>
      <c r="BN290" s="44" t="s">
        <v>37</v>
      </c>
      <c r="BP290" s="44" t="s">
        <v>37</v>
      </c>
      <c r="BR290" s="44" t="s">
        <v>37</v>
      </c>
      <c r="BT290" s="44" t="s">
        <v>37</v>
      </c>
      <c r="BV290" s="44" t="s">
        <v>37</v>
      </c>
      <c r="BX290" s="44" t="s">
        <v>37</v>
      </c>
      <c r="BY290" s="44">
        <v>380843</v>
      </c>
      <c r="BZ290" s="44" t="s">
        <v>37</v>
      </c>
      <c r="CB290" s="44" t="s">
        <v>37</v>
      </c>
      <c r="CD290" s="44" t="s">
        <v>37</v>
      </c>
      <c r="CF290" s="44" t="s">
        <v>37</v>
      </c>
      <c r="CH290" s="44" t="s">
        <v>37</v>
      </c>
      <c r="CJ290" s="44" t="s">
        <v>37</v>
      </c>
      <c r="CL290" s="44" t="s">
        <v>37</v>
      </c>
      <c r="CN290" s="44" t="s">
        <v>37</v>
      </c>
      <c r="CP290" s="44" t="s">
        <v>37</v>
      </c>
      <c r="CR290" s="44" t="s">
        <v>37</v>
      </c>
      <c r="CT290" s="44" t="s">
        <v>37</v>
      </c>
      <c r="CU290" s="44">
        <v>1232000</v>
      </c>
      <c r="CV290" s="44" t="s">
        <v>37</v>
      </c>
      <c r="CX290" s="44" t="s">
        <v>37</v>
      </c>
      <c r="CZ290" s="44" t="s">
        <v>37</v>
      </c>
      <c r="DB290" s="44" t="s">
        <v>37</v>
      </c>
      <c r="DD290" s="44" t="s">
        <v>37</v>
      </c>
      <c r="DF290" s="44" t="s">
        <v>37</v>
      </c>
      <c r="DH290" s="44" t="s">
        <v>37</v>
      </c>
      <c r="DJ290" s="44" t="s">
        <v>37</v>
      </c>
      <c r="DL290" s="44" t="s">
        <v>37</v>
      </c>
      <c r="DN290" s="44" t="s">
        <v>37</v>
      </c>
      <c r="DP290" s="44" t="s">
        <v>37</v>
      </c>
      <c r="DR290" s="44" t="s">
        <v>37</v>
      </c>
      <c r="DT290" s="44" t="s">
        <v>37</v>
      </c>
      <c r="DV290" s="44" t="s">
        <v>37</v>
      </c>
      <c r="DX290" s="44" t="s">
        <v>37</v>
      </c>
      <c r="DZ290" s="44" t="s">
        <v>37</v>
      </c>
      <c r="EB290" s="44" t="s">
        <v>37</v>
      </c>
      <c r="ED290" s="44" t="s">
        <v>37</v>
      </c>
      <c r="EF290" s="44" t="s">
        <v>37</v>
      </c>
      <c r="EH290" s="44" t="s">
        <v>37</v>
      </c>
      <c r="EJ290" s="44" t="s">
        <v>37</v>
      </c>
      <c r="EL290" s="44" t="s">
        <v>37</v>
      </c>
      <c r="EM290" s="44">
        <v>118</v>
      </c>
      <c r="EN290" s="44" t="s">
        <v>37</v>
      </c>
      <c r="EP290" s="44" t="s">
        <v>37</v>
      </c>
      <c r="ER290" s="44" t="s">
        <v>37</v>
      </c>
      <c r="ET290" s="44" t="s">
        <v>37</v>
      </c>
      <c r="EU290" s="44">
        <v>162098</v>
      </c>
      <c r="EV290" s="44" t="s">
        <v>37</v>
      </c>
      <c r="EX290" s="44" t="s">
        <v>37</v>
      </c>
      <c r="EZ290" s="44" t="s">
        <v>37</v>
      </c>
      <c r="FB290" s="44" t="s">
        <v>37</v>
      </c>
      <c r="FD290" s="44" t="s">
        <v>37</v>
      </c>
      <c r="FF290" s="44" t="s">
        <v>37</v>
      </c>
      <c r="FH290" s="44" t="s">
        <v>37</v>
      </c>
      <c r="FJ290" s="44" t="s">
        <v>37</v>
      </c>
      <c r="FL290" s="44" t="s">
        <v>37</v>
      </c>
      <c r="FN290" s="44" t="s">
        <v>37</v>
      </c>
      <c r="FP290" s="44" t="s">
        <v>37</v>
      </c>
      <c r="FR290" s="44" t="s">
        <v>37</v>
      </c>
      <c r="FT290" s="44" t="s">
        <v>37</v>
      </c>
      <c r="FV290" s="44" t="s">
        <v>37</v>
      </c>
      <c r="FX290" s="44" t="s">
        <v>37</v>
      </c>
      <c r="FZ290" s="44" t="s">
        <v>37</v>
      </c>
      <c r="GB290" s="44" t="s">
        <v>37</v>
      </c>
      <c r="GD290" s="44" t="s">
        <v>37</v>
      </c>
      <c r="GF290" s="44" t="s">
        <v>37</v>
      </c>
      <c r="GH290" s="44" t="s">
        <v>37</v>
      </c>
      <c r="GJ290" s="44" t="s">
        <v>37</v>
      </c>
      <c r="GL290" s="44" t="s">
        <v>37</v>
      </c>
      <c r="GN290" s="44" t="s">
        <v>37</v>
      </c>
      <c r="GP290" s="44" t="s">
        <v>37</v>
      </c>
      <c r="GR290" s="44" t="s">
        <v>37</v>
      </c>
      <c r="GT290" s="44" t="s">
        <v>37</v>
      </c>
      <c r="GV290" s="44" t="s">
        <v>37</v>
      </c>
      <c r="GX290" s="44" t="s">
        <v>37</v>
      </c>
      <c r="GZ290" s="44" t="s">
        <v>37</v>
      </c>
      <c r="HB290" s="44" t="s">
        <v>37</v>
      </c>
      <c r="HD290" s="44" t="s">
        <v>37</v>
      </c>
      <c r="HF290" s="44" t="s">
        <v>37</v>
      </c>
      <c r="HG290" s="44">
        <v>1844788</v>
      </c>
      <c r="HH290" s="44" t="s">
        <v>37</v>
      </c>
      <c r="HJ290" s="44" t="s">
        <v>37</v>
      </c>
      <c r="HK290" s="44">
        <v>1844788</v>
      </c>
      <c r="HL290" s="44" t="s">
        <v>37</v>
      </c>
    </row>
    <row r="291" spans="1:220">
      <c r="A291" s="150" t="s">
        <v>407</v>
      </c>
      <c r="B291" s="54">
        <v>5270</v>
      </c>
      <c r="C291" s="44" t="s">
        <v>293</v>
      </c>
      <c r="D291" s="44" t="s">
        <v>37</v>
      </c>
      <c r="F291" s="44" t="s">
        <v>37</v>
      </c>
      <c r="H291" s="44" t="s">
        <v>37</v>
      </c>
      <c r="J291" s="44" t="s">
        <v>37</v>
      </c>
      <c r="L291" s="48" t="s">
        <v>37</v>
      </c>
      <c r="M291" s="50"/>
      <c r="N291" s="48" t="s">
        <v>37</v>
      </c>
      <c r="O291" s="50"/>
      <c r="P291" s="48" t="s">
        <v>37</v>
      </c>
      <c r="Q291" s="50"/>
      <c r="R291" s="48" t="s">
        <v>37</v>
      </c>
      <c r="S291" s="50"/>
      <c r="T291" s="48" t="s">
        <v>37</v>
      </c>
      <c r="V291" s="44" t="s">
        <v>37</v>
      </c>
      <c r="W291" s="44">
        <v>6915</v>
      </c>
      <c r="X291" s="44" t="s">
        <v>37</v>
      </c>
      <c r="Z291" s="44" t="s">
        <v>37</v>
      </c>
      <c r="AB291" s="44" t="s">
        <v>37</v>
      </c>
      <c r="AD291" s="44" t="s">
        <v>37</v>
      </c>
      <c r="AF291" s="44" t="s">
        <v>37</v>
      </c>
      <c r="AH291" s="44" t="s">
        <v>37</v>
      </c>
      <c r="AI291" s="44">
        <v>2812</v>
      </c>
      <c r="AJ291" s="44" t="s">
        <v>37</v>
      </c>
      <c r="AL291" s="44" t="s">
        <v>37</v>
      </c>
      <c r="AN291" s="44" t="s">
        <v>37</v>
      </c>
      <c r="AP291" s="44" t="s">
        <v>37</v>
      </c>
      <c r="AR291" s="44" t="s">
        <v>37</v>
      </c>
      <c r="AT291" s="44" t="s">
        <v>37</v>
      </c>
      <c r="AV291" s="44" t="s">
        <v>37</v>
      </c>
      <c r="AX291" s="44" t="s">
        <v>37</v>
      </c>
      <c r="AY291" s="44">
        <v>48717</v>
      </c>
      <c r="AZ291" s="44" t="s">
        <v>37</v>
      </c>
      <c r="BB291" s="44" t="s">
        <v>37</v>
      </c>
      <c r="BD291" s="44" t="s">
        <v>37</v>
      </c>
      <c r="BF291" s="44" t="s">
        <v>37</v>
      </c>
      <c r="BH291" s="44" t="s">
        <v>37</v>
      </c>
      <c r="BJ291" s="44" t="s">
        <v>37</v>
      </c>
      <c r="BL291" s="44" t="s">
        <v>37</v>
      </c>
      <c r="BN291" s="44" t="s">
        <v>37</v>
      </c>
      <c r="BP291" s="44" t="s">
        <v>37</v>
      </c>
      <c r="BQ291" s="44">
        <v>324</v>
      </c>
      <c r="BR291" s="44" t="s">
        <v>37</v>
      </c>
      <c r="BS291" s="44">
        <v>2404</v>
      </c>
      <c r="BT291" s="44" t="s">
        <v>37</v>
      </c>
      <c r="BV291" s="44" t="s">
        <v>37</v>
      </c>
      <c r="BX291" s="44" t="s">
        <v>37</v>
      </c>
      <c r="BY291" s="44">
        <v>54258</v>
      </c>
      <c r="BZ291" s="44" t="s">
        <v>37</v>
      </c>
      <c r="CB291" s="44" t="s">
        <v>37</v>
      </c>
      <c r="CD291" s="44" t="s">
        <v>37</v>
      </c>
      <c r="CF291" s="44" t="s">
        <v>37</v>
      </c>
      <c r="CH291" s="44" t="s">
        <v>37</v>
      </c>
      <c r="CJ291" s="44" t="s">
        <v>37</v>
      </c>
      <c r="CL291" s="44" t="s">
        <v>37</v>
      </c>
      <c r="CN291" s="44" t="s">
        <v>37</v>
      </c>
      <c r="CO291" s="44">
        <v>2280</v>
      </c>
      <c r="CP291" s="44" t="s">
        <v>37</v>
      </c>
      <c r="CR291" s="44" t="s">
        <v>37</v>
      </c>
      <c r="CT291" s="44" t="s">
        <v>37</v>
      </c>
      <c r="CV291" s="44" t="s">
        <v>37</v>
      </c>
      <c r="CX291" s="44" t="s">
        <v>37</v>
      </c>
      <c r="CZ291" s="44" t="s">
        <v>37</v>
      </c>
      <c r="DB291" s="44" t="s">
        <v>37</v>
      </c>
      <c r="DD291" s="44" t="s">
        <v>37</v>
      </c>
      <c r="DE291" s="44">
        <v>7080</v>
      </c>
      <c r="DF291" s="44" t="s">
        <v>37</v>
      </c>
      <c r="DH291" s="44" t="s">
        <v>37</v>
      </c>
      <c r="DI291" s="44">
        <v>4723</v>
      </c>
      <c r="DJ291" s="44" t="s">
        <v>37</v>
      </c>
      <c r="DL291" s="44" t="s">
        <v>37</v>
      </c>
      <c r="DM291" s="44">
        <v>25</v>
      </c>
      <c r="DN291" s="44" t="s">
        <v>37</v>
      </c>
      <c r="DP291" s="44" t="s">
        <v>37</v>
      </c>
      <c r="DR291" s="44" t="s">
        <v>37</v>
      </c>
      <c r="DT291" s="44" t="s">
        <v>37</v>
      </c>
      <c r="DU291" s="44">
        <v>4346</v>
      </c>
      <c r="DV291" s="44" t="s">
        <v>37</v>
      </c>
      <c r="DX291" s="44" t="s">
        <v>37</v>
      </c>
      <c r="DZ291" s="44" t="s">
        <v>37</v>
      </c>
      <c r="EB291" s="44" t="s">
        <v>37</v>
      </c>
      <c r="EC291" s="44">
        <v>134484</v>
      </c>
      <c r="ED291" s="44" t="s">
        <v>37</v>
      </c>
      <c r="EF291" s="44" t="s">
        <v>37</v>
      </c>
      <c r="EG291" s="44">
        <v>15439</v>
      </c>
      <c r="EH291" s="44" t="s">
        <v>37</v>
      </c>
      <c r="EJ291" s="44" t="s">
        <v>37</v>
      </c>
      <c r="EK291" s="44">
        <v>4392</v>
      </c>
      <c r="EL291" s="44" t="s">
        <v>37</v>
      </c>
      <c r="EM291" s="44">
        <v>32121</v>
      </c>
      <c r="EN291" s="44" t="s">
        <v>37</v>
      </c>
      <c r="EP291" s="44" t="s">
        <v>37</v>
      </c>
      <c r="ER291" s="44" t="s">
        <v>37</v>
      </c>
      <c r="ES291" s="44">
        <v>53429</v>
      </c>
      <c r="ET291" s="44" t="s">
        <v>37</v>
      </c>
      <c r="EV291" s="44" t="s">
        <v>37</v>
      </c>
      <c r="EX291" s="44" t="s">
        <v>37</v>
      </c>
      <c r="EZ291" s="44" t="s">
        <v>37</v>
      </c>
      <c r="FB291" s="44" t="s">
        <v>37</v>
      </c>
      <c r="FD291" s="44" t="s">
        <v>37</v>
      </c>
      <c r="FF291" s="44" t="s">
        <v>37</v>
      </c>
      <c r="FH291" s="44" t="s">
        <v>37</v>
      </c>
      <c r="FJ291" s="44" t="s">
        <v>37</v>
      </c>
      <c r="FL291" s="44" t="s">
        <v>37</v>
      </c>
      <c r="FN291" s="44" t="s">
        <v>37</v>
      </c>
      <c r="FP291" s="44" t="s">
        <v>37</v>
      </c>
      <c r="FQ291" s="44">
        <v>395</v>
      </c>
      <c r="FR291" s="44" t="s">
        <v>37</v>
      </c>
      <c r="FS291" s="44">
        <v>132719</v>
      </c>
      <c r="FT291" s="44" t="s">
        <v>37</v>
      </c>
      <c r="FV291" s="44" t="s">
        <v>37</v>
      </c>
      <c r="FW291" s="44">
        <v>9567</v>
      </c>
      <c r="FX291" s="44" t="s">
        <v>37</v>
      </c>
      <c r="FY291" s="44">
        <v>18481</v>
      </c>
      <c r="FZ291" s="44" t="s">
        <v>37</v>
      </c>
      <c r="GB291" s="44" t="s">
        <v>37</v>
      </c>
      <c r="GD291" s="44" t="s">
        <v>37</v>
      </c>
      <c r="GF291" s="44" t="s">
        <v>37</v>
      </c>
      <c r="GH291" s="44" t="s">
        <v>37</v>
      </c>
      <c r="GJ291" s="44" t="s">
        <v>37</v>
      </c>
      <c r="GK291" s="44">
        <v>7986</v>
      </c>
      <c r="GL291" s="44" t="s">
        <v>37</v>
      </c>
      <c r="GM291" s="44">
        <v>37441</v>
      </c>
      <c r="GN291" s="44" t="s">
        <v>37</v>
      </c>
      <c r="GP291" s="44" t="s">
        <v>37</v>
      </c>
      <c r="GR291" s="44" t="s">
        <v>37</v>
      </c>
      <c r="GS291" s="44">
        <v>33196</v>
      </c>
      <c r="GT291" s="44" t="s">
        <v>37</v>
      </c>
      <c r="GV291" s="44" t="s">
        <v>37</v>
      </c>
      <c r="GX291" s="44" t="s">
        <v>37</v>
      </c>
      <c r="GZ291" s="44" t="s">
        <v>37</v>
      </c>
      <c r="HB291" s="44" t="s">
        <v>37</v>
      </c>
      <c r="HD291" s="44" t="s">
        <v>37</v>
      </c>
      <c r="HF291" s="44" t="s">
        <v>37</v>
      </c>
      <c r="HG291" s="44">
        <v>613534</v>
      </c>
      <c r="HH291" s="44" t="s">
        <v>37</v>
      </c>
      <c r="HJ291" s="44" t="s">
        <v>37</v>
      </c>
      <c r="HK291" s="44">
        <v>613534</v>
      </c>
      <c r="HL291" s="44" t="s">
        <v>37</v>
      </c>
    </row>
    <row r="292" spans="1:220">
      <c r="A292" s="150" t="s">
        <v>407</v>
      </c>
      <c r="B292" s="54">
        <v>5280</v>
      </c>
      <c r="C292" s="44" t="s">
        <v>294</v>
      </c>
      <c r="D292" s="44" t="s">
        <v>37</v>
      </c>
      <c r="E292" s="44">
        <v>37627</v>
      </c>
      <c r="F292" s="44" t="s">
        <v>37</v>
      </c>
      <c r="G292" s="44">
        <v>643615</v>
      </c>
      <c r="H292" s="44" t="s">
        <v>37</v>
      </c>
      <c r="I292" s="44">
        <v>36655</v>
      </c>
      <c r="J292" s="44" t="s">
        <v>37</v>
      </c>
      <c r="L292" s="48" t="s">
        <v>37</v>
      </c>
      <c r="M292" s="51">
        <v>156568</v>
      </c>
      <c r="N292" s="48" t="s">
        <v>37</v>
      </c>
      <c r="O292" s="51">
        <v>78845</v>
      </c>
      <c r="P292" s="48" t="s">
        <v>37</v>
      </c>
      <c r="Q292" s="51">
        <v>63814</v>
      </c>
      <c r="R292" s="48" t="s">
        <v>37</v>
      </c>
      <c r="S292" s="51">
        <v>6270</v>
      </c>
      <c r="T292" s="48" t="s">
        <v>37</v>
      </c>
      <c r="U292" s="44">
        <v>220647</v>
      </c>
      <c r="V292" s="44" t="s">
        <v>37</v>
      </c>
      <c r="X292" s="44" t="s">
        <v>37</v>
      </c>
      <c r="Z292" s="44" t="s">
        <v>37</v>
      </c>
      <c r="AA292" s="44">
        <v>47840</v>
      </c>
      <c r="AB292" s="44" t="s">
        <v>37</v>
      </c>
      <c r="AC292" s="44">
        <v>33736</v>
      </c>
      <c r="AD292" s="44" t="s">
        <v>37</v>
      </c>
      <c r="AE292" s="44">
        <v>45021</v>
      </c>
      <c r="AF292" s="44" t="s">
        <v>37</v>
      </c>
      <c r="AH292" s="44" t="s">
        <v>37</v>
      </c>
      <c r="AI292" s="44">
        <v>53428</v>
      </c>
      <c r="AJ292" s="44" t="s">
        <v>37</v>
      </c>
      <c r="AL292" s="44" t="s">
        <v>37</v>
      </c>
      <c r="AM292" s="44">
        <v>379882</v>
      </c>
      <c r="AN292" s="44" t="s">
        <v>37</v>
      </c>
      <c r="AP292" s="44" t="s">
        <v>37</v>
      </c>
      <c r="AQ292" s="44">
        <v>1097955</v>
      </c>
      <c r="AR292" s="44" t="s">
        <v>37</v>
      </c>
      <c r="AS292" s="44">
        <v>65034</v>
      </c>
      <c r="AT292" s="44" t="s">
        <v>37</v>
      </c>
      <c r="AU292" s="44">
        <v>2111040</v>
      </c>
      <c r="AV292" s="44" t="s">
        <v>37</v>
      </c>
      <c r="AW292" s="44">
        <v>186023</v>
      </c>
      <c r="AX292" s="44" t="s">
        <v>37</v>
      </c>
      <c r="AY292" s="44">
        <v>344799</v>
      </c>
      <c r="AZ292" s="44" t="s">
        <v>37</v>
      </c>
      <c r="BA292" s="44">
        <v>205200</v>
      </c>
      <c r="BB292" s="44" t="s">
        <v>37</v>
      </c>
      <c r="BC292" s="44">
        <v>950</v>
      </c>
      <c r="BD292" s="44" t="s">
        <v>37</v>
      </c>
      <c r="BE292" s="44">
        <v>215534</v>
      </c>
      <c r="BF292" s="44" t="s">
        <v>37</v>
      </c>
      <c r="BG292" s="44">
        <v>35050</v>
      </c>
      <c r="BH292" s="44" t="s">
        <v>37</v>
      </c>
      <c r="BJ292" s="44" t="s">
        <v>37</v>
      </c>
      <c r="BK292" s="44">
        <v>322221</v>
      </c>
      <c r="BL292" s="44" t="s">
        <v>37</v>
      </c>
      <c r="BM292" s="44">
        <v>92662</v>
      </c>
      <c r="BN292" s="44" t="s">
        <v>37</v>
      </c>
      <c r="BP292" s="44" t="s">
        <v>37</v>
      </c>
      <c r="BQ292" s="44">
        <v>52460</v>
      </c>
      <c r="BR292" s="44" t="s">
        <v>37</v>
      </c>
      <c r="BS292" s="44">
        <v>189666</v>
      </c>
      <c r="BT292" s="44" t="s">
        <v>37</v>
      </c>
      <c r="BU292" s="44">
        <v>40911</v>
      </c>
      <c r="BV292" s="44" t="s">
        <v>37</v>
      </c>
      <c r="BX292" s="44" t="s">
        <v>37</v>
      </c>
      <c r="BY292" s="44">
        <v>688</v>
      </c>
      <c r="BZ292" s="44" t="s">
        <v>37</v>
      </c>
      <c r="CA292" s="44">
        <v>73997</v>
      </c>
      <c r="CB292" s="44" t="s">
        <v>37</v>
      </c>
      <c r="CD292" s="44" t="s">
        <v>37</v>
      </c>
      <c r="CF292" s="44" t="s">
        <v>37</v>
      </c>
      <c r="CG292" s="44">
        <v>128059</v>
      </c>
      <c r="CH292" s="44" t="s">
        <v>37</v>
      </c>
      <c r="CI292" s="44">
        <v>526264</v>
      </c>
      <c r="CJ292" s="44" t="s">
        <v>37</v>
      </c>
      <c r="CL292" s="44" t="s">
        <v>37</v>
      </c>
      <c r="CM292" s="44">
        <v>202894</v>
      </c>
      <c r="CN292" s="44" t="s">
        <v>37</v>
      </c>
      <c r="CO292" s="44">
        <v>50151</v>
      </c>
      <c r="CP292" s="44" t="s">
        <v>37</v>
      </c>
      <c r="CQ292" s="44">
        <v>36422</v>
      </c>
      <c r="CR292" s="44" t="s">
        <v>37</v>
      </c>
      <c r="CS292" s="44">
        <v>548150</v>
      </c>
      <c r="CT292" s="44" t="s">
        <v>37</v>
      </c>
      <c r="CU292" s="44">
        <v>1011046</v>
      </c>
      <c r="CV292" s="44" t="s">
        <v>37</v>
      </c>
      <c r="CW292" s="44">
        <v>269270</v>
      </c>
      <c r="CX292" s="44" t="s">
        <v>37</v>
      </c>
      <c r="CZ292" s="44" t="s">
        <v>37</v>
      </c>
      <c r="DB292" s="44" t="s">
        <v>37</v>
      </c>
      <c r="DD292" s="44" t="s">
        <v>37</v>
      </c>
      <c r="DE292" s="44">
        <v>59675</v>
      </c>
      <c r="DF292" s="44" t="s">
        <v>37</v>
      </c>
      <c r="DG292" s="44">
        <v>113259</v>
      </c>
      <c r="DH292" s="44" t="s">
        <v>37</v>
      </c>
      <c r="DI292" s="44">
        <v>1603226</v>
      </c>
      <c r="DJ292" s="44" t="s">
        <v>37</v>
      </c>
      <c r="DK292" s="44">
        <v>126127</v>
      </c>
      <c r="DL292" s="44" t="s">
        <v>37</v>
      </c>
      <c r="DM292" s="44">
        <v>383724</v>
      </c>
      <c r="DN292" s="44" t="s">
        <v>37</v>
      </c>
      <c r="DO292" s="44">
        <v>472586</v>
      </c>
      <c r="DP292" s="44" t="s">
        <v>37</v>
      </c>
      <c r="DQ292" s="44">
        <v>242545</v>
      </c>
      <c r="DR292" s="44" t="s">
        <v>37</v>
      </c>
      <c r="DS292" s="44">
        <v>76091</v>
      </c>
      <c r="DT292" s="44" t="s">
        <v>37</v>
      </c>
      <c r="DU292" s="44">
        <v>108332</v>
      </c>
      <c r="DV292" s="44" t="s">
        <v>37</v>
      </c>
      <c r="DW292" s="44">
        <v>668815</v>
      </c>
      <c r="DX292" s="44" t="s">
        <v>37</v>
      </c>
      <c r="DY292" s="44">
        <v>248711</v>
      </c>
      <c r="DZ292" s="44" t="s">
        <v>37</v>
      </c>
      <c r="EA292" s="44">
        <v>71532</v>
      </c>
      <c r="EB292" s="44" t="s">
        <v>37</v>
      </c>
      <c r="EC292" s="44">
        <v>134713</v>
      </c>
      <c r="ED292" s="44" t="s">
        <v>37</v>
      </c>
      <c r="EE292" s="44">
        <v>630104</v>
      </c>
      <c r="EF292" s="44" t="s">
        <v>37</v>
      </c>
      <c r="EG292" s="44">
        <v>20728</v>
      </c>
      <c r="EH292" s="44" t="s">
        <v>37</v>
      </c>
      <c r="EJ292" s="44" t="s">
        <v>37</v>
      </c>
      <c r="EK292" s="44">
        <v>157815</v>
      </c>
      <c r="EL292" s="44" t="s">
        <v>37</v>
      </c>
      <c r="EM292" s="44">
        <v>84527</v>
      </c>
      <c r="EN292" s="44" t="s">
        <v>37</v>
      </c>
      <c r="EP292" s="44" t="s">
        <v>37</v>
      </c>
      <c r="ER292" s="44" t="s">
        <v>37</v>
      </c>
      <c r="ES292" s="44">
        <v>198820</v>
      </c>
      <c r="ET292" s="44" t="s">
        <v>37</v>
      </c>
      <c r="EU292" s="44">
        <v>135588</v>
      </c>
      <c r="EV292" s="44" t="s">
        <v>37</v>
      </c>
      <c r="EW292" s="44">
        <v>171631</v>
      </c>
      <c r="EX292" s="44" t="s">
        <v>37</v>
      </c>
      <c r="EZ292" s="44" t="s">
        <v>37</v>
      </c>
      <c r="FA292" s="44">
        <v>204067</v>
      </c>
      <c r="FB292" s="44" t="s">
        <v>37</v>
      </c>
      <c r="FC292" s="44">
        <v>56200</v>
      </c>
      <c r="FD292" s="44" t="s">
        <v>37</v>
      </c>
      <c r="FE292" s="44">
        <v>566200</v>
      </c>
      <c r="FF292" s="44" t="s">
        <v>37</v>
      </c>
      <c r="FH292" s="44" t="s">
        <v>37</v>
      </c>
      <c r="FI292" s="44">
        <v>209572</v>
      </c>
      <c r="FJ292" s="44" t="s">
        <v>37</v>
      </c>
      <c r="FK292" s="44">
        <v>1506070</v>
      </c>
      <c r="FL292" s="44" t="s">
        <v>37</v>
      </c>
      <c r="FM292" s="44">
        <v>875023</v>
      </c>
      <c r="FN292" s="44" t="s">
        <v>37</v>
      </c>
      <c r="FO292" s="44">
        <v>37725</v>
      </c>
      <c r="FP292" s="44" t="s">
        <v>37</v>
      </c>
      <c r="FR292" s="44" t="s">
        <v>37</v>
      </c>
      <c r="FS292" s="44">
        <v>350141</v>
      </c>
      <c r="FT292" s="44" t="s">
        <v>37</v>
      </c>
      <c r="FU292" s="44">
        <v>33752</v>
      </c>
      <c r="FV292" s="44" t="s">
        <v>37</v>
      </c>
      <c r="FW292" s="44">
        <v>53570</v>
      </c>
      <c r="FX292" s="44" t="s">
        <v>37</v>
      </c>
      <c r="FY292" s="44">
        <v>15230</v>
      </c>
      <c r="FZ292" s="44" t="s">
        <v>37</v>
      </c>
      <c r="GA292" s="44">
        <v>155913</v>
      </c>
      <c r="GB292" s="44" t="s">
        <v>37</v>
      </c>
      <c r="GC292" s="44">
        <v>156261</v>
      </c>
      <c r="GD292" s="44" t="s">
        <v>37</v>
      </c>
      <c r="GF292" s="44" t="s">
        <v>37</v>
      </c>
      <c r="GH292" s="44" t="s">
        <v>37</v>
      </c>
      <c r="GJ292" s="44" t="s">
        <v>37</v>
      </c>
      <c r="GK292" s="44">
        <v>355937</v>
      </c>
      <c r="GL292" s="44" t="s">
        <v>37</v>
      </c>
      <c r="GM292" s="44">
        <v>255496</v>
      </c>
      <c r="GN292" s="44" t="s">
        <v>37</v>
      </c>
      <c r="GP292" s="44" t="s">
        <v>37</v>
      </c>
      <c r="GQ292" s="44">
        <v>212481</v>
      </c>
      <c r="GR292" s="44" t="s">
        <v>37</v>
      </c>
      <c r="GS292" s="44">
        <v>282487</v>
      </c>
      <c r="GT292" s="44" t="s">
        <v>37</v>
      </c>
      <c r="GU292" s="44">
        <v>167086</v>
      </c>
      <c r="GV292" s="44" t="s">
        <v>37</v>
      </c>
      <c r="GX292" s="44" t="s">
        <v>37</v>
      </c>
      <c r="GY292" s="44">
        <v>194406</v>
      </c>
      <c r="GZ292" s="44" t="s">
        <v>37</v>
      </c>
      <c r="HA292" s="44">
        <v>49361</v>
      </c>
      <c r="HB292" s="44" t="s">
        <v>37</v>
      </c>
      <c r="HD292" s="44" t="s">
        <v>37</v>
      </c>
      <c r="HF292" s="44" t="s">
        <v>37</v>
      </c>
      <c r="HG292" s="44">
        <v>21055921</v>
      </c>
      <c r="HH292" s="44" t="s">
        <v>37</v>
      </c>
      <c r="HJ292" s="44" t="s">
        <v>37</v>
      </c>
      <c r="HK292" s="44">
        <v>21055921</v>
      </c>
      <c r="HL292" s="44" t="s">
        <v>37</v>
      </c>
    </row>
    <row r="293" spans="1:220">
      <c r="A293" s="150" t="s">
        <v>407</v>
      </c>
      <c r="B293" s="54">
        <v>5300</v>
      </c>
      <c r="C293" s="44" t="s">
        <v>295</v>
      </c>
      <c r="D293" s="44" t="s">
        <v>37</v>
      </c>
      <c r="F293" s="44" t="s">
        <v>37</v>
      </c>
      <c r="H293" s="44" t="s">
        <v>37</v>
      </c>
      <c r="J293" s="44" t="s">
        <v>37</v>
      </c>
      <c r="L293" s="48" t="s">
        <v>37</v>
      </c>
      <c r="M293" s="51">
        <v>6526</v>
      </c>
      <c r="N293" s="48" t="s">
        <v>37</v>
      </c>
      <c r="O293" s="50"/>
      <c r="P293" s="48" t="s">
        <v>37</v>
      </c>
      <c r="Q293" s="50"/>
      <c r="R293" s="48" t="s">
        <v>37</v>
      </c>
      <c r="S293" s="50"/>
      <c r="T293" s="48" t="s">
        <v>37</v>
      </c>
      <c r="U293" s="44">
        <v>4747</v>
      </c>
      <c r="V293" s="44" t="s">
        <v>37</v>
      </c>
      <c r="X293" s="44" t="s">
        <v>37</v>
      </c>
      <c r="Z293" s="44" t="s">
        <v>37</v>
      </c>
      <c r="AB293" s="44" t="s">
        <v>37</v>
      </c>
      <c r="AD293" s="44" t="s">
        <v>37</v>
      </c>
      <c r="AF293" s="44" t="s">
        <v>37</v>
      </c>
      <c r="AG293" s="44">
        <v>12291</v>
      </c>
      <c r="AH293" s="44" t="s">
        <v>37</v>
      </c>
      <c r="AJ293" s="44" t="s">
        <v>37</v>
      </c>
      <c r="AL293" s="44" t="s">
        <v>37</v>
      </c>
      <c r="AM293" s="44">
        <v>1075</v>
      </c>
      <c r="AN293" s="44" t="s">
        <v>37</v>
      </c>
      <c r="AP293" s="44" t="s">
        <v>37</v>
      </c>
      <c r="AQ293" s="44">
        <v>40990</v>
      </c>
      <c r="AR293" s="44" t="s">
        <v>37</v>
      </c>
      <c r="AT293" s="44" t="s">
        <v>37</v>
      </c>
      <c r="AU293" s="44">
        <v>39850</v>
      </c>
      <c r="AV293" s="44" t="s">
        <v>37</v>
      </c>
      <c r="AW293" s="44">
        <v>3500</v>
      </c>
      <c r="AX293" s="44" t="s">
        <v>37</v>
      </c>
      <c r="AZ293" s="44" t="s">
        <v>37</v>
      </c>
      <c r="BA293" s="44">
        <v>-1334</v>
      </c>
      <c r="BB293" s="44" t="s">
        <v>37</v>
      </c>
      <c r="BD293" s="44" t="s">
        <v>37</v>
      </c>
      <c r="BF293" s="44" t="s">
        <v>37</v>
      </c>
      <c r="BH293" s="44" t="s">
        <v>37</v>
      </c>
      <c r="BJ293" s="44" t="s">
        <v>37</v>
      </c>
      <c r="BK293" s="44">
        <v>10000</v>
      </c>
      <c r="BL293" s="44" t="s">
        <v>37</v>
      </c>
      <c r="BN293" s="44" t="s">
        <v>37</v>
      </c>
      <c r="BP293" s="44" t="s">
        <v>37</v>
      </c>
      <c r="BR293" s="44" t="s">
        <v>37</v>
      </c>
      <c r="BT293" s="44" t="s">
        <v>37</v>
      </c>
      <c r="BV293" s="44" t="s">
        <v>37</v>
      </c>
      <c r="BX293" s="44" t="s">
        <v>37</v>
      </c>
      <c r="BY293" s="44">
        <v>2638710</v>
      </c>
      <c r="BZ293" s="44" t="s">
        <v>37</v>
      </c>
      <c r="CA293" s="44">
        <v>2321</v>
      </c>
      <c r="CB293" s="44" t="s">
        <v>37</v>
      </c>
      <c r="CD293" s="44" t="s">
        <v>37</v>
      </c>
      <c r="CF293" s="44" t="s">
        <v>37</v>
      </c>
      <c r="CH293" s="44" t="s">
        <v>37</v>
      </c>
      <c r="CJ293" s="44" t="s">
        <v>37</v>
      </c>
      <c r="CL293" s="44" t="s">
        <v>37</v>
      </c>
      <c r="CN293" s="44" t="s">
        <v>37</v>
      </c>
      <c r="CP293" s="44" t="s">
        <v>37</v>
      </c>
      <c r="CR293" s="44" t="s">
        <v>37</v>
      </c>
      <c r="CS293" s="44">
        <v>140855</v>
      </c>
      <c r="CT293" s="44" t="s">
        <v>37</v>
      </c>
      <c r="CU293" s="44">
        <v>596186</v>
      </c>
      <c r="CV293" s="44" t="s">
        <v>37</v>
      </c>
      <c r="CX293" s="44" t="s">
        <v>37</v>
      </c>
      <c r="CZ293" s="44" t="s">
        <v>37</v>
      </c>
      <c r="DB293" s="44" t="s">
        <v>37</v>
      </c>
      <c r="DD293" s="44" t="s">
        <v>37</v>
      </c>
      <c r="DE293" s="44">
        <v>1843</v>
      </c>
      <c r="DF293" s="44" t="s">
        <v>37</v>
      </c>
      <c r="DH293" s="44" t="s">
        <v>37</v>
      </c>
      <c r="DI293" s="44">
        <v>180836</v>
      </c>
      <c r="DJ293" s="44" t="s">
        <v>37</v>
      </c>
      <c r="DL293" s="44" t="s">
        <v>37</v>
      </c>
      <c r="DM293" s="44">
        <v>83000</v>
      </c>
      <c r="DN293" s="44" t="s">
        <v>37</v>
      </c>
      <c r="DO293" s="44">
        <v>4757000</v>
      </c>
      <c r="DP293" s="44" t="s">
        <v>37</v>
      </c>
      <c r="DR293" s="44" t="s">
        <v>37</v>
      </c>
      <c r="DT293" s="44" t="s">
        <v>37</v>
      </c>
      <c r="DV293" s="44" t="s">
        <v>37</v>
      </c>
      <c r="DW293" s="44">
        <v>4360</v>
      </c>
      <c r="DX293" s="44" t="s">
        <v>37</v>
      </c>
      <c r="DY293" s="44">
        <v>19197</v>
      </c>
      <c r="DZ293" s="44" t="s">
        <v>37</v>
      </c>
      <c r="EB293" s="44" t="s">
        <v>37</v>
      </c>
      <c r="EC293" s="44">
        <v>7985</v>
      </c>
      <c r="ED293" s="44" t="s">
        <v>37</v>
      </c>
      <c r="EE293" s="44">
        <v>1222</v>
      </c>
      <c r="EF293" s="44" t="s">
        <v>37</v>
      </c>
      <c r="EG293" s="44">
        <v>442</v>
      </c>
      <c r="EH293" s="44" t="s">
        <v>37</v>
      </c>
      <c r="EJ293" s="44" t="s">
        <v>37</v>
      </c>
      <c r="EL293" s="44" t="s">
        <v>37</v>
      </c>
      <c r="EN293" s="44" t="s">
        <v>37</v>
      </c>
      <c r="EO293" s="44">
        <v>6798</v>
      </c>
      <c r="EP293" s="44" t="s">
        <v>37</v>
      </c>
      <c r="EQ293" s="44">
        <v>200256</v>
      </c>
      <c r="ER293" s="44" t="s">
        <v>37</v>
      </c>
      <c r="ET293" s="44" t="s">
        <v>37</v>
      </c>
      <c r="EV293" s="44" t="s">
        <v>37</v>
      </c>
      <c r="EW293" s="44">
        <v>7787</v>
      </c>
      <c r="EX293" s="44" t="s">
        <v>37</v>
      </c>
      <c r="EZ293" s="44" t="s">
        <v>37</v>
      </c>
      <c r="FB293" s="44" t="s">
        <v>37</v>
      </c>
      <c r="FD293" s="44" t="s">
        <v>37</v>
      </c>
      <c r="FE293" s="44">
        <v>134801</v>
      </c>
      <c r="FF293" s="44" t="s">
        <v>37</v>
      </c>
      <c r="FH293" s="44" t="s">
        <v>37</v>
      </c>
      <c r="FI293" s="44">
        <v>9458</v>
      </c>
      <c r="FJ293" s="44" t="s">
        <v>37</v>
      </c>
      <c r="FK293" s="44">
        <v>25777</v>
      </c>
      <c r="FL293" s="44" t="s">
        <v>37</v>
      </c>
      <c r="FN293" s="44" t="s">
        <v>37</v>
      </c>
      <c r="FP293" s="44" t="s">
        <v>37</v>
      </c>
      <c r="FQ293" s="44">
        <v>79</v>
      </c>
      <c r="FR293" s="44" t="s">
        <v>37</v>
      </c>
      <c r="FS293" s="44">
        <v>1001475</v>
      </c>
      <c r="FT293" s="44" t="s">
        <v>37</v>
      </c>
      <c r="FU293" s="44">
        <v>22800</v>
      </c>
      <c r="FV293" s="44" t="s">
        <v>37</v>
      </c>
      <c r="FX293" s="44" t="s">
        <v>37</v>
      </c>
      <c r="FY293" s="44">
        <v>1827</v>
      </c>
      <c r="FZ293" s="44" t="s">
        <v>37</v>
      </c>
      <c r="GA293" s="44">
        <v>14704</v>
      </c>
      <c r="GB293" s="44" t="s">
        <v>37</v>
      </c>
      <c r="GC293" s="44">
        <v>3769</v>
      </c>
      <c r="GD293" s="44" t="s">
        <v>37</v>
      </c>
      <c r="GF293" s="44" t="s">
        <v>37</v>
      </c>
      <c r="GH293" s="44" t="s">
        <v>37</v>
      </c>
      <c r="GJ293" s="44" t="s">
        <v>37</v>
      </c>
      <c r="GK293" s="44">
        <v>4765</v>
      </c>
      <c r="GL293" s="44" t="s">
        <v>37</v>
      </c>
      <c r="GN293" s="44" t="s">
        <v>37</v>
      </c>
      <c r="GP293" s="44" t="s">
        <v>37</v>
      </c>
      <c r="GR293" s="44" t="s">
        <v>37</v>
      </c>
      <c r="GS293" s="44">
        <v>3488</v>
      </c>
      <c r="GT293" s="44" t="s">
        <v>37</v>
      </c>
      <c r="GV293" s="44" t="s">
        <v>37</v>
      </c>
      <c r="GX293" s="44" t="s">
        <v>37</v>
      </c>
      <c r="GZ293" s="44" t="s">
        <v>37</v>
      </c>
      <c r="HA293" s="44">
        <v>49770</v>
      </c>
      <c r="HB293" s="44" t="s">
        <v>37</v>
      </c>
      <c r="HD293" s="44" t="s">
        <v>37</v>
      </c>
      <c r="HF293" s="44" t="s">
        <v>37</v>
      </c>
      <c r="HG293" s="44">
        <v>10039156</v>
      </c>
      <c r="HH293" s="44" t="s">
        <v>37</v>
      </c>
      <c r="HJ293" s="44" t="s">
        <v>37</v>
      </c>
      <c r="HK293" s="44">
        <v>10039156</v>
      </c>
      <c r="HL293" s="44" t="s">
        <v>37</v>
      </c>
    </row>
    <row r="294" spans="1:220">
      <c r="A294" s="150" t="s">
        <v>407</v>
      </c>
      <c r="B294" s="54">
        <v>5400</v>
      </c>
      <c r="C294" s="44" t="s">
        <v>296</v>
      </c>
      <c r="D294" s="44" t="s">
        <v>37</v>
      </c>
      <c r="F294" s="44" t="s">
        <v>37</v>
      </c>
      <c r="H294" s="44" t="s">
        <v>37</v>
      </c>
      <c r="J294" s="44" t="s">
        <v>37</v>
      </c>
      <c r="L294" s="48" t="s">
        <v>37</v>
      </c>
      <c r="M294" s="50"/>
      <c r="N294" s="48" t="s">
        <v>37</v>
      </c>
      <c r="O294" s="50"/>
      <c r="P294" s="48" t="s">
        <v>37</v>
      </c>
      <c r="Q294" s="50"/>
      <c r="R294" s="48" t="s">
        <v>37</v>
      </c>
      <c r="S294" s="50"/>
      <c r="T294" s="48" t="s">
        <v>37</v>
      </c>
      <c r="V294" s="44" t="s">
        <v>37</v>
      </c>
      <c r="X294" s="44" t="s">
        <v>37</v>
      </c>
      <c r="Z294" s="44" t="s">
        <v>37</v>
      </c>
      <c r="AB294" s="44" t="s">
        <v>37</v>
      </c>
      <c r="AD294" s="44" t="s">
        <v>37</v>
      </c>
      <c r="AF294" s="44" t="s">
        <v>37</v>
      </c>
      <c r="AH294" s="44" t="s">
        <v>37</v>
      </c>
      <c r="AJ294" s="44" t="s">
        <v>37</v>
      </c>
      <c r="AL294" s="44" t="s">
        <v>37</v>
      </c>
      <c r="AN294" s="44" t="s">
        <v>37</v>
      </c>
      <c r="AP294" s="44" t="s">
        <v>37</v>
      </c>
      <c r="AR294" s="44" t="s">
        <v>37</v>
      </c>
      <c r="AT294" s="44" t="s">
        <v>37</v>
      </c>
      <c r="AV294" s="44" t="s">
        <v>37</v>
      </c>
      <c r="AX294" s="44" t="s">
        <v>37</v>
      </c>
      <c r="AY294" s="44">
        <v>3000000</v>
      </c>
      <c r="AZ294" s="44" t="s">
        <v>37</v>
      </c>
      <c r="BB294" s="44" t="s">
        <v>37</v>
      </c>
      <c r="BD294" s="44" t="s">
        <v>37</v>
      </c>
      <c r="BF294" s="44" t="s">
        <v>37</v>
      </c>
      <c r="BH294" s="44" t="s">
        <v>37</v>
      </c>
      <c r="BJ294" s="44" t="s">
        <v>37</v>
      </c>
      <c r="BL294" s="44" t="s">
        <v>37</v>
      </c>
      <c r="BN294" s="44" t="s">
        <v>37</v>
      </c>
      <c r="BP294" s="44" t="s">
        <v>37</v>
      </c>
      <c r="BR294" s="44" t="s">
        <v>37</v>
      </c>
      <c r="BT294" s="44" t="s">
        <v>37</v>
      </c>
      <c r="BV294" s="44" t="s">
        <v>37</v>
      </c>
      <c r="BX294" s="44" t="s">
        <v>37</v>
      </c>
      <c r="BZ294" s="44" t="s">
        <v>37</v>
      </c>
      <c r="CB294" s="44" t="s">
        <v>37</v>
      </c>
      <c r="CD294" s="44" t="s">
        <v>37</v>
      </c>
      <c r="CF294" s="44" t="s">
        <v>37</v>
      </c>
      <c r="CH294" s="44" t="s">
        <v>37</v>
      </c>
      <c r="CJ294" s="44" t="s">
        <v>37</v>
      </c>
      <c r="CL294" s="44" t="s">
        <v>37</v>
      </c>
      <c r="CN294" s="44" t="s">
        <v>37</v>
      </c>
      <c r="CP294" s="44" t="s">
        <v>37</v>
      </c>
      <c r="CR294" s="44" t="s">
        <v>37</v>
      </c>
      <c r="CT294" s="44" t="s">
        <v>37</v>
      </c>
      <c r="CV294" s="44" t="s">
        <v>37</v>
      </c>
      <c r="CX294" s="44" t="s">
        <v>37</v>
      </c>
      <c r="CZ294" s="44" t="s">
        <v>37</v>
      </c>
      <c r="DB294" s="44" t="s">
        <v>37</v>
      </c>
      <c r="DD294" s="44" t="s">
        <v>37</v>
      </c>
      <c r="DF294" s="44" t="s">
        <v>37</v>
      </c>
      <c r="DH294" s="44" t="s">
        <v>37</v>
      </c>
      <c r="DJ294" s="44" t="s">
        <v>37</v>
      </c>
      <c r="DL294" s="44" t="s">
        <v>37</v>
      </c>
      <c r="DN294" s="44" t="s">
        <v>37</v>
      </c>
      <c r="DP294" s="44" t="s">
        <v>37</v>
      </c>
      <c r="DR294" s="44" t="s">
        <v>37</v>
      </c>
      <c r="DT294" s="44" t="s">
        <v>37</v>
      </c>
      <c r="DV294" s="44" t="s">
        <v>37</v>
      </c>
      <c r="DX294" s="44" t="s">
        <v>37</v>
      </c>
      <c r="DZ294" s="44" t="s">
        <v>37</v>
      </c>
      <c r="EB294" s="44" t="s">
        <v>37</v>
      </c>
      <c r="ED294" s="44" t="s">
        <v>37</v>
      </c>
      <c r="EF294" s="44" t="s">
        <v>37</v>
      </c>
      <c r="EH294" s="44" t="s">
        <v>37</v>
      </c>
      <c r="EJ294" s="44" t="s">
        <v>37</v>
      </c>
      <c r="EL294" s="44" t="s">
        <v>37</v>
      </c>
      <c r="EN294" s="44" t="s">
        <v>37</v>
      </c>
      <c r="EP294" s="44" t="s">
        <v>37</v>
      </c>
      <c r="ER294" s="44" t="s">
        <v>37</v>
      </c>
      <c r="ET294" s="44" t="s">
        <v>37</v>
      </c>
      <c r="EV294" s="44" t="s">
        <v>37</v>
      </c>
      <c r="EX294" s="44" t="s">
        <v>37</v>
      </c>
      <c r="EZ294" s="44" t="s">
        <v>37</v>
      </c>
      <c r="FB294" s="44" t="s">
        <v>37</v>
      </c>
      <c r="FD294" s="44" t="s">
        <v>37</v>
      </c>
      <c r="FF294" s="44" t="s">
        <v>37</v>
      </c>
      <c r="FH294" s="44" t="s">
        <v>37</v>
      </c>
      <c r="FJ294" s="44" t="s">
        <v>37</v>
      </c>
      <c r="FL294" s="44" t="s">
        <v>37</v>
      </c>
      <c r="FN294" s="44" t="s">
        <v>37</v>
      </c>
      <c r="FP294" s="44" t="s">
        <v>37</v>
      </c>
      <c r="FR294" s="44" t="s">
        <v>37</v>
      </c>
      <c r="FT294" s="44" t="s">
        <v>37</v>
      </c>
      <c r="FV294" s="44" t="s">
        <v>37</v>
      </c>
      <c r="FX294" s="44" t="s">
        <v>37</v>
      </c>
      <c r="FZ294" s="44" t="s">
        <v>37</v>
      </c>
      <c r="GB294" s="44" t="s">
        <v>37</v>
      </c>
      <c r="GD294" s="44" t="s">
        <v>37</v>
      </c>
      <c r="GF294" s="44" t="s">
        <v>37</v>
      </c>
      <c r="GH294" s="44" t="s">
        <v>37</v>
      </c>
      <c r="GJ294" s="44" t="s">
        <v>37</v>
      </c>
      <c r="GL294" s="44" t="s">
        <v>37</v>
      </c>
      <c r="GN294" s="44" t="s">
        <v>37</v>
      </c>
      <c r="GP294" s="44" t="s">
        <v>37</v>
      </c>
      <c r="GR294" s="44" t="s">
        <v>37</v>
      </c>
      <c r="GT294" s="44" t="s">
        <v>37</v>
      </c>
      <c r="GV294" s="44" t="s">
        <v>37</v>
      </c>
      <c r="GX294" s="44" t="s">
        <v>37</v>
      </c>
      <c r="GY294" s="44">
        <v>11844843</v>
      </c>
      <c r="GZ294" s="44" t="s">
        <v>37</v>
      </c>
      <c r="HB294" s="44" t="s">
        <v>37</v>
      </c>
      <c r="HD294" s="44" t="s">
        <v>37</v>
      </c>
      <c r="HF294" s="44" t="s">
        <v>37</v>
      </c>
      <c r="HG294" s="44">
        <v>14844843</v>
      </c>
      <c r="HH294" s="44" t="s">
        <v>37</v>
      </c>
      <c r="HJ294" s="44" t="s">
        <v>37</v>
      </c>
      <c r="HK294" s="44">
        <v>14844843</v>
      </c>
      <c r="HL294" s="44" t="s">
        <v>37</v>
      </c>
    </row>
    <row r="295" spans="1:220">
      <c r="A295" s="150" t="s">
        <v>407</v>
      </c>
      <c r="B295" s="54">
        <v>5500</v>
      </c>
      <c r="C295" s="44" t="s">
        <v>297</v>
      </c>
      <c r="D295" s="44" t="s">
        <v>37</v>
      </c>
      <c r="F295" s="44" t="s">
        <v>37</v>
      </c>
      <c r="H295" s="44" t="s">
        <v>37</v>
      </c>
      <c r="J295" s="44" t="s">
        <v>37</v>
      </c>
      <c r="L295" s="48" t="s">
        <v>37</v>
      </c>
      <c r="M295" s="51">
        <v>616680</v>
      </c>
      <c r="N295" s="48" t="s">
        <v>37</v>
      </c>
      <c r="O295" s="50"/>
      <c r="P295" s="48" t="s">
        <v>37</v>
      </c>
      <c r="Q295" s="50"/>
      <c r="R295" s="48" t="s">
        <v>37</v>
      </c>
      <c r="S295" s="50"/>
      <c r="T295" s="48" t="s">
        <v>37</v>
      </c>
      <c r="V295" s="44" t="s">
        <v>37</v>
      </c>
      <c r="X295" s="44" t="s">
        <v>37</v>
      </c>
      <c r="Z295" s="44" t="s">
        <v>37</v>
      </c>
      <c r="AB295" s="44" t="s">
        <v>37</v>
      </c>
      <c r="AD295" s="44" t="s">
        <v>37</v>
      </c>
      <c r="AF295" s="44" t="s">
        <v>37</v>
      </c>
      <c r="AH295" s="44" t="s">
        <v>37</v>
      </c>
      <c r="AJ295" s="44" t="s">
        <v>37</v>
      </c>
      <c r="AL295" s="44" t="s">
        <v>37</v>
      </c>
      <c r="AM295" s="44">
        <v>507312</v>
      </c>
      <c r="AN295" s="44" t="s">
        <v>37</v>
      </c>
      <c r="AO295" s="44">
        <v>45890</v>
      </c>
      <c r="AP295" s="44" t="s">
        <v>37</v>
      </c>
      <c r="AR295" s="44" t="s">
        <v>37</v>
      </c>
      <c r="AT295" s="44" t="s">
        <v>37</v>
      </c>
      <c r="AV295" s="44" t="s">
        <v>37</v>
      </c>
      <c r="AX295" s="44" t="s">
        <v>37</v>
      </c>
      <c r="AZ295" s="44" t="s">
        <v>37</v>
      </c>
      <c r="BB295" s="44" t="s">
        <v>37</v>
      </c>
      <c r="BD295" s="44" t="s">
        <v>37</v>
      </c>
      <c r="BF295" s="44" t="s">
        <v>37</v>
      </c>
      <c r="BH295" s="44" t="s">
        <v>37</v>
      </c>
      <c r="BJ295" s="44" t="s">
        <v>37</v>
      </c>
      <c r="BL295" s="44" t="s">
        <v>37</v>
      </c>
      <c r="BN295" s="44" t="s">
        <v>37</v>
      </c>
      <c r="BP295" s="44" t="s">
        <v>37</v>
      </c>
      <c r="BR295" s="44" t="s">
        <v>37</v>
      </c>
      <c r="BT295" s="44" t="s">
        <v>37</v>
      </c>
      <c r="BV295" s="44" t="s">
        <v>37</v>
      </c>
      <c r="BX295" s="44" t="s">
        <v>37</v>
      </c>
      <c r="BZ295" s="44" t="s">
        <v>37</v>
      </c>
      <c r="CB295" s="44" t="s">
        <v>37</v>
      </c>
      <c r="CD295" s="44" t="s">
        <v>37</v>
      </c>
      <c r="CF295" s="44" t="s">
        <v>37</v>
      </c>
      <c r="CH295" s="44" t="s">
        <v>37</v>
      </c>
      <c r="CJ295" s="44" t="s">
        <v>37</v>
      </c>
      <c r="CL295" s="44" t="s">
        <v>37</v>
      </c>
      <c r="CN295" s="44" t="s">
        <v>37</v>
      </c>
      <c r="CP295" s="44" t="s">
        <v>37</v>
      </c>
      <c r="CR295" s="44" t="s">
        <v>37</v>
      </c>
      <c r="CT295" s="44" t="s">
        <v>37</v>
      </c>
      <c r="CU295" s="44">
        <v>668000</v>
      </c>
      <c r="CV295" s="44" t="s">
        <v>37</v>
      </c>
      <c r="CX295" s="44" t="s">
        <v>37</v>
      </c>
      <c r="CZ295" s="44" t="s">
        <v>37</v>
      </c>
      <c r="DB295" s="44" t="s">
        <v>37</v>
      </c>
      <c r="DD295" s="44" t="s">
        <v>37</v>
      </c>
      <c r="DF295" s="44" t="s">
        <v>37</v>
      </c>
      <c r="DH295" s="44" t="s">
        <v>37</v>
      </c>
      <c r="DJ295" s="44" t="s">
        <v>37</v>
      </c>
      <c r="DK295" s="44">
        <v>445000</v>
      </c>
      <c r="DL295" s="44" t="s">
        <v>37</v>
      </c>
      <c r="DN295" s="44" t="s">
        <v>37</v>
      </c>
      <c r="DP295" s="44" t="s">
        <v>37</v>
      </c>
      <c r="DR295" s="44" t="s">
        <v>37</v>
      </c>
      <c r="DT295" s="44" t="s">
        <v>37</v>
      </c>
      <c r="DV295" s="44" t="s">
        <v>37</v>
      </c>
      <c r="DX295" s="44" t="s">
        <v>37</v>
      </c>
      <c r="DZ295" s="44" t="s">
        <v>37</v>
      </c>
      <c r="EB295" s="44" t="s">
        <v>37</v>
      </c>
      <c r="ED295" s="44" t="s">
        <v>37</v>
      </c>
      <c r="EF295" s="44" t="s">
        <v>37</v>
      </c>
      <c r="EH295" s="44" t="s">
        <v>37</v>
      </c>
      <c r="EJ295" s="44" t="s">
        <v>37</v>
      </c>
      <c r="EL295" s="44" t="s">
        <v>37</v>
      </c>
      <c r="EN295" s="44" t="s">
        <v>37</v>
      </c>
      <c r="EP295" s="44" t="s">
        <v>37</v>
      </c>
      <c r="ER295" s="44" t="s">
        <v>37</v>
      </c>
      <c r="ET295" s="44" t="s">
        <v>37</v>
      </c>
      <c r="EV295" s="44" t="s">
        <v>37</v>
      </c>
      <c r="EX295" s="44" t="s">
        <v>37</v>
      </c>
      <c r="EZ295" s="44" t="s">
        <v>37</v>
      </c>
      <c r="FB295" s="44" t="s">
        <v>37</v>
      </c>
      <c r="FC295" s="44">
        <v>400000</v>
      </c>
      <c r="FD295" s="44" t="s">
        <v>37</v>
      </c>
      <c r="FF295" s="44" t="s">
        <v>37</v>
      </c>
      <c r="FH295" s="44" t="s">
        <v>37</v>
      </c>
      <c r="FJ295" s="44" t="s">
        <v>37</v>
      </c>
      <c r="FL295" s="44" t="s">
        <v>37</v>
      </c>
      <c r="FN295" s="44" t="s">
        <v>37</v>
      </c>
      <c r="FP295" s="44" t="s">
        <v>37</v>
      </c>
      <c r="FQ295" s="44">
        <v>674199</v>
      </c>
      <c r="FR295" s="44" t="s">
        <v>37</v>
      </c>
      <c r="FT295" s="44" t="s">
        <v>37</v>
      </c>
      <c r="FU295" s="44">
        <v>360000</v>
      </c>
      <c r="FV295" s="44" t="s">
        <v>37</v>
      </c>
      <c r="FX295" s="44" t="s">
        <v>37</v>
      </c>
      <c r="FZ295" s="44" t="s">
        <v>37</v>
      </c>
      <c r="GA295" s="44">
        <v>402000</v>
      </c>
      <c r="GB295" s="44" t="s">
        <v>37</v>
      </c>
      <c r="GD295" s="44" t="s">
        <v>37</v>
      </c>
      <c r="GF295" s="44" t="s">
        <v>37</v>
      </c>
      <c r="GH295" s="44" t="s">
        <v>37</v>
      </c>
      <c r="GJ295" s="44" t="s">
        <v>37</v>
      </c>
      <c r="GL295" s="44" t="s">
        <v>37</v>
      </c>
      <c r="GN295" s="44" t="s">
        <v>37</v>
      </c>
      <c r="GP295" s="44" t="s">
        <v>37</v>
      </c>
      <c r="GR295" s="44" t="s">
        <v>37</v>
      </c>
      <c r="GT295" s="44" t="s">
        <v>37</v>
      </c>
      <c r="GV295" s="44" t="s">
        <v>37</v>
      </c>
      <c r="GX295" s="44" t="s">
        <v>37</v>
      </c>
      <c r="GZ295" s="44" t="s">
        <v>37</v>
      </c>
      <c r="HA295" s="44">
        <v>2309888</v>
      </c>
      <c r="HB295" s="44" t="s">
        <v>37</v>
      </c>
      <c r="HD295" s="44" t="s">
        <v>37</v>
      </c>
      <c r="HF295" s="44" t="s">
        <v>37</v>
      </c>
      <c r="HG295" s="44">
        <v>6428969</v>
      </c>
      <c r="HH295" s="44" t="s">
        <v>37</v>
      </c>
      <c r="HJ295" s="44" t="s">
        <v>37</v>
      </c>
      <c r="HK295" s="44">
        <v>6428969</v>
      </c>
      <c r="HL295" s="44" t="s">
        <v>37</v>
      </c>
    </row>
    <row r="296" spans="1:220">
      <c r="A296" s="150" t="s">
        <v>407</v>
      </c>
      <c r="B296" s="54">
        <v>5600</v>
      </c>
      <c r="C296" s="44" t="s">
        <v>298</v>
      </c>
      <c r="D296" s="44" t="s">
        <v>37</v>
      </c>
      <c r="F296" s="44" t="s">
        <v>37</v>
      </c>
      <c r="H296" s="44" t="s">
        <v>37</v>
      </c>
      <c r="J296" s="44" t="s">
        <v>37</v>
      </c>
      <c r="L296" s="48" t="s">
        <v>37</v>
      </c>
      <c r="M296" s="50"/>
      <c r="N296" s="48" t="s">
        <v>37</v>
      </c>
      <c r="O296" s="51">
        <v>1021059</v>
      </c>
      <c r="P296" s="48" t="s">
        <v>37</v>
      </c>
      <c r="Q296" s="50"/>
      <c r="R296" s="48" t="s">
        <v>37</v>
      </c>
      <c r="S296" s="50"/>
      <c r="T296" s="48" t="s">
        <v>37</v>
      </c>
      <c r="U296" s="44">
        <v>410582</v>
      </c>
      <c r="V296" s="44" t="s">
        <v>37</v>
      </c>
      <c r="X296" s="44" t="s">
        <v>37</v>
      </c>
      <c r="Z296" s="44" t="s">
        <v>37</v>
      </c>
      <c r="AB296" s="44" t="s">
        <v>37</v>
      </c>
      <c r="AD296" s="44" t="s">
        <v>37</v>
      </c>
      <c r="AF296" s="44" t="s">
        <v>37</v>
      </c>
      <c r="AH296" s="44" t="s">
        <v>37</v>
      </c>
      <c r="AJ296" s="44" t="s">
        <v>37</v>
      </c>
      <c r="AL296" s="44" t="s">
        <v>37</v>
      </c>
      <c r="AN296" s="44" t="s">
        <v>37</v>
      </c>
      <c r="AP296" s="44" t="s">
        <v>37</v>
      </c>
      <c r="AR296" s="44" t="s">
        <v>37</v>
      </c>
      <c r="AT296" s="44" t="s">
        <v>37</v>
      </c>
      <c r="AV296" s="44" t="s">
        <v>37</v>
      </c>
      <c r="AX296" s="44" t="s">
        <v>37</v>
      </c>
      <c r="AZ296" s="44" t="s">
        <v>37</v>
      </c>
      <c r="BA296" s="44">
        <v>23615000</v>
      </c>
      <c r="BB296" s="44" t="s">
        <v>37</v>
      </c>
      <c r="BD296" s="44" t="s">
        <v>37</v>
      </c>
      <c r="BF296" s="44" t="s">
        <v>37</v>
      </c>
      <c r="BH296" s="44" t="s">
        <v>37</v>
      </c>
      <c r="BJ296" s="44" t="s">
        <v>37</v>
      </c>
      <c r="BL296" s="44" t="s">
        <v>37</v>
      </c>
      <c r="BN296" s="44" t="s">
        <v>37</v>
      </c>
      <c r="BP296" s="44" t="s">
        <v>37</v>
      </c>
      <c r="BR296" s="44" t="s">
        <v>37</v>
      </c>
      <c r="BT296" s="44" t="s">
        <v>37</v>
      </c>
      <c r="BV296" s="44" t="s">
        <v>37</v>
      </c>
      <c r="BX296" s="44" t="s">
        <v>37</v>
      </c>
      <c r="BY296" s="44">
        <v>179888</v>
      </c>
      <c r="BZ296" s="44" t="s">
        <v>37</v>
      </c>
      <c r="CB296" s="44" t="s">
        <v>37</v>
      </c>
      <c r="CD296" s="44" t="s">
        <v>37</v>
      </c>
      <c r="CF296" s="44" t="s">
        <v>37</v>
      </c>
      <c r="CH296" s="44" t="s">
        <v>37</v>
      </c>
      <c r="CJ296" s="44" t="s">
        <v>37</v>
      </c>
      <c r="CL296" s="44" t="s">
        <v>37</v>
      </c>
      <c r="CN296" s="44" t="s">
        <v>37</v>
      </c>
      <c r="CP296" s="44" t="s">
        <v>37</v>
      </c>
      <c r="CR296" s="44" t="s">
        <v>37</v>
      </c>
      <c r="CT296" s="44" t="s">
        <v>37</v>
      </c>
      <c r="CV296" s="44" t="s">
        <v>37</v>
      </c>
      <c r="CX296" s="44" t="s">
        <v>37</v>
      </c>
      <c r="CZ296" s="44" t="s">
        <v>37</v>
      </c>
      <c r="DB296" s="44" t="s">
        <v>37</v>
      </c>
      <c r="DD296" s="44" t="s">
        <v>37</v>
      </c>
      <c r="DF296" s="44" t="s">
        <v>37</v>
      </c>
      <c r="DH296" s="44" t="s">
        <v>37</v>
      </c>
      <c r="DJ296" s="44" t="s">
        <v>37</v>
      </c>
      <c r="DL296" s="44" t="s">
        <v>37</v>
      </c>
      <c r="DN296" s="44" t="s">
        <v>37</v>
      </c>
      <c r="DP296" s="44" t="s">
        <v>37</v>
      </c>
      <c r="DR296" s="44" t="s">
        <v>37</v>
      </c>
      <c r="DT296" s="44" t="s">
        <v>37</v>
      </c>
      <c r="DV296" s="44" t="s">
        <v>37</v>
      </c>
      <c r="DX296" s="44" t="s">
        <v>37</v>
      </c>
      <c r="DY296" s="44">
        <v>66777</v>
      </c>
      <c r="DZ296" s="44" t="s">
        <v>37</v>
      </c>
      <c r="EB296" s="44" t="s">
        <v>37</v>
      </c>
      <c r="ED296" s="44" t="s">
        <v>37</v>
      </c>
      <c r="EF296" s="44" t="s">
        <v>37</v>
      </c>
      <c r="EH296" s="44" t="s">
        <v>37</v>
      </c>
      <c r="EJ296" s="44" t="s">
        <v>37</v>
      </c>
      <c r="EL296" s="44" t="s">
        <v>37</v>
      </c>
      <c r="EN296" s="44" t="s">
        <v>37</v>
      </c>
      <c r="EO296" s="44">
        <v>176000</v>
      </c>
      <c r="EP296" s="44" t="s">
        <v>37</v>
      </c>
      <c r="ER296" s="44" t="s">
        <v>37</v>
      </c>
      <c r="ET296" s="44" t="s">
        <v>37</v>
      </c>
      <c r="EV296" s="44" t="s">
        <v>37</v>
      </c>
      <c r="EX296" s="44" t="s">
        <v>37</v>
      </c>
      <c r="EZ296" s="44" t="s">
        <v>37</v>
      </c>
      <c r="FB296" s="44" t="s">
        <v>37</v>
      </c>
      <c r="FD296" s="44" t="s">
        <v>37</v>
      </c>
      <c r="FF296" s="44" t="s">
        <v>37</v>
      </c>
      <c r="FH296" s="44" t="s">
        <v>37</v>
      </c>
      <c r="FJ296" s="44" t="s">
        <v>37</v>
      </c>
      <c r="FL296" s="44" t="s">
        <v>37</v>
      </c>
      <c r="FN296" s="44" t="s">
        <v>37</v>
      </c>
      <c r="FP296" s="44" t="s">
        <v>37</v>
      </c>
      <c r="FR296" s="44" t="s">
        <v>37</v>
      </c>
      <c r="FT296" s="44" t="s">
        <v>37</v>
      </c>
      <c r="FV296" s="44" t="s">
        <v>37</v>
      </c>
      <c r="FX296" s="44" t="s">
        <v>37</v>
      </c>
      <c r="FZ296" s="44" t="s">
        <v>37</v>
      </c>
      <c r="GB296" s="44" t="s">
        <v>37</v>
      </c>
      <c r="GD296" s="44" t="s">
        <v>37</v>
      </c>
      <c r="GF296" s="44" t="s">
        <v>37</v>
      </c>
      <c r="GH296" s="44" t="s">
        <v>37</v>
      </c>
      <c r="GJ296" s="44" t="s">
        <v>37</v>
      </c>
      <c r="GL296" s="44" t="s">
        <v>37</v>
      </c>
      <c r="GN296" s="44" t="s">
        <v>37</v>
      </c>
      <c r="GP296" s="44" t="s">
        <v>37</v>
      </c>
      <c r="GR296" s="44" t="s">
        <v>37</v>
      </c>
      <c r="GT296" s="44" t="s">
        <v>37</v>
      </c>
      <c r="GV296" s="44" t="s">
        <v>37</v>
      </c>
      <c r="GX296" s="44" t="s">
        <v>37</v>
      </c>
      <c r="GZ296" s="44" t="s">
        <v>37</v>
      </c>
      <c r="HB296" s="44" t="s">
        <v>37</v>
      </c>
      <c r="HD296" s="44" t="s">
        <v>37</v>
      </c>
      <c r="HF296" s="44" t="s">
        <v>37</v>
      </c>
      <c r="HG296" s="44">
        <v>25469306</v>
      </c>
      <c r="HH296" s="44" t="s">
        <v>37</v>
      </c>
      <c r="HJ296" s="44" t="s">
        <v>37</v>
      </c>
      <c r="HK296" s="44">
        <v>25469306</v>
      </c>
      <c r="HL296" s="44" t="s">
        <v>37</v>
      </c>
    </row>
    <row r="297" spans="1:220">
      <c r="A297" s="150" t="s">
        <v>408</v>
      </c>
      <c r="B297" s="54">
        <v>5900</v>
      </c>
      <c r="C297" s="44" t="s">
        <v>299</v>
      </c>
      <c r="D297" s="44" t="s">
        <v>37</v>
      </c>
      <c r="F297" s="44" t="s">
        <v>37</v>
      </c>
      <c r="H297" s="44" t="s">
        <v>37</v>
      </c>
      <c r="J297" s="44" t="s">
        <v>37</v>
      </c>
      <c r="L297" s="48" t="s">
        <v>37</v>
      </c>
      <c r="M297" s="50"/>
      <c r="N297" s="48" t="s">
        <v>37</v>
      </c>
      <c r="O297" s="50"/>
      <c r="P297" s="48" t="s">
        <v>37</v>
      </c>
      <c r="Q297" s="50"/>
      <c r="R297" s="48" t="s">
        <v>37</v>
      </c>
      <c r="S297" s="50"/>
      <c r="T297" s="48" t="s">
        <v>37</v>
      </c>
      <c r="V297" s="44" t="s">
        <v>37</v>
      </c>
      <c r="X297" s="44" t="s">
        <v>37</v>
      </c>
      <c r="Z297" s="44" t="s">
        <v>37</v>
      </c>
      <c r="AB297" s="44" t="s">
        <v>37</v>
      </c>
      <c r="AD297" s="44" t="s">
        <v>37</v>
      </c>
      <c r="AF297" s="44" t="s">
        <v>37</v>
      </c>
      <c r="AH297" s="44" t="s">
        <v>37</v>
      </c>
      <c r="AJ297" s="44" t="s">
        <v>37</v>
      </c>
      <c r="AL297" s="44" t="s">
        <v>37</v>
      </c>
      <c r="AN297" s="44" t="s">
        <v>37</v>
      </c>
      <c r="AP297" s="44" t="s">
        <v>37</v>
      </c>
      <c r="AR297" s="44" t="s">
        <v>37</v>
      </c>
      <c r="AT297" s="44" t="s">
        <v>37</v>
      </c>
      <c r="AV297" s="44" t="s">
        <v>37</v>
      </c>
      <c r="AX297" s="44" t="s">
        <v>37</v>
      </c>
      <c r="AZ297" s="44" t="s">
        <v>37</v>
      </c>
      <c r="BB297" s="44" t="s">
        <v>37</v>
      </c>
      <c r="BD297" s="44" t="s">
        <v>37</v>
      </c>
      <c r="BF297" s="44" t="s">
        <v>37</v>
      </c>
      <c r="BH297" s="44" t="s">
        <v>37</v>
      </c>
      <c r="BJ297" s="44" t="s">
        <v>37</v>
      </c>
      <c r="BL297" s="44" t="s">
        <v>37</v>
      </c>
      <c r="BN297" s="44" t="s">
        <v>37</v>
      </c>
      <c r="BP297" s="44" t="s">
        <v>37</v>
      </c>
      <c r="BR297" s="44" t="s">
        <v>37</v>
      </c>
      <c r="BT297" s="44" t="s">
        <v>37</v>
      </c>
      <c r="BV297" s="44" t="s">
        <v>37</v>
      </c>
      <c r="BX297" s="44" t="s">
        <v>37</v>
      </c>
      <c r="BZ297" s="44" t="s">
        <v>37</v>
      </c>
      <c r="CB297" s="44" t="s">
        <v>37</v>
      </c>
      <c r="CD297" s="44" t="s">
        <v>37</v>
      </c>
      <c r="CF297" s="44" t="s">
        <v>37</v>
      </c>
      <c r="CH297" s="44" t="s">
        <v>37</v>
      </c>
      <c r="CJ297" s="44" t="s">
        <v>37</v>
      </c>
      <c r="CL297" s="44" t="s">
        <v>37</v>
      </c>
      <c r="CN297" s="44" t="s">
        <v>37</v>
      </c>
      <c r="CP297" s="44" t="s">
        <v>37</v>
      </c>
      <c r="CR297" s="44" t="s">
        <v>37</v>
      </c>
      <c r="CT297" s="44" t="s">
        <v>37</v>
      </c>
      <c r="CV297" s="44" t="s">
        <v>37</v>
      </c>
      <c r="CX297" s="44" t="s">
        <v>37</v>
      </c>
      <c r="CZ297" s="44" t="s">
        <v>37</v>
      </c>
      <c r="DB297" s="44" t="s">
        <v>37</v>
      </c>
      <c r="DD297" s="44" t="s">
        <v>37</v>
      </c>
      <c r="DF297" s="44" t="s">
        <v>37</v>
      </c>
      <c r="DH297" s="44" t="s">
        <v>37</v>
      </c>
      <c r="DJ297" s="44" t="s">
        <v>37</v>
      </c>
      <c r="DL297" s="44" t="s">
        <v>37</v>
      </c>
      <c r="DN297" s="44" t="s">
        <v>37</v>
      </c>
      <c r="DP297" s="44" t="s">
        <v>37</v>
      </c>
      <c r="DR297" s="44" t="s">
        <v>37</v>
      </c>
      <c r="DT297" s="44" t="s">
        <v>37</v>
      </c>
      <c r="DV297" s="44" t="s">
        <v>37</v>
      </c>
      <c r="DX297" s="44" t="s">
        <v>37</v>
      </c>
      <c r="DZ297" s="44" t="s">
        <v>37</v>
      </c>
      <c r="EB297" s="44" t="s">
        <v>37</v>
      </c>
      <c r="ED297" s="44" t="s">
        <v>37</v>
      </c>
      <c r="EF297" s="44" t="s">
        <v>37</v>
      </c>
      <c r="EH297" s="44" t="s">
        <v>37</v>
      </c>
      <c r="EJ297" s="44" t="s">
        <v>37</v>
      </c>
      <c r="EL297" s="44" t="s">
        <v>37</v>
      </c>
      <c r="EN297" s="44" t="s">
        <v>37</v>
      </c>
      <c r="EP297" s="44" t="s">
        <v>37</v>
      </c>
      <c r="ER297" s="44" t="s">
        <v>37</v>
      </c>
      <c r="ET297" s="44" t="s">
        <v>37</v>
      </c>
      <c r="EV297" s="44" t="s">
        <v>37</v>
      </c>
      <c r="EX297" s="44" t="s">
        <v>37</v>
      </c>
      <c r="EZ297" s="44" t="s">
        <v>37</v>
      </c>
      <c r="FB297" s="44" t="s">
        <v>37</v>
      </c>
      <c r="FD297" s="44" t="s">
        <v>37</v>
      </c>
      <c r="FF297" s="44" t="s">
        <v>37</v>
      </c>
      <c r="FH297" s="44" t="s">
        <v>37</v>
      </c>
      <c r="FJ297" s="44" t="s">
        <v>37</v>
      </c>
      <c r="FL297" s="44" t="s">
        <v>37</v>
      </c>
      <c r="FN297" s="44" t="s">
        <v>37</v>
      </c>
      <c r="FP297" s="44" t="s">
        <v>37</v>
      </c>
      <c r="FR297" s="44" t="s">
        <v>37</v>
      </c>
      <c r="FT297" s="44" t="s">
        <v>37</v>
      </c>
      <c r="FV297" s="44" t="s">
        <v>37</v>
      </c>
      <c r="FX297" s="44" t="s">
        <v>37</v>
      </c>
      <c r="FZ297" s="44" t="s">
        <v>37</v>
      </c>
      <c r="GB297" s="44" t="s">
        <v>37</v>
      </c>
      <c r="GD297" s="44" t="s">
        <v>37</v>
      </c>
      <c r="GF297" s="44" t="s">
        <v>37</v>
      </c>
      <c r="GH297" s="44" t="s">
        <v>37</v>
      </c>
      <c r="GJ297" s="44" t="s">
        <v>37</v>
      </c>
      <c r="GL297" s="44" t="s">
        <v>37</v>
      </c>
      <c r="GN297" s="44" t="s">
        <v>37</v>
      </c>
      <c r="GP297" s="44" t="s">
        <v>37</v>
      </c>
      <c r="GR297" s="44" t="s">
        <v>37</v>
      </c>
      <c r="GT297" s="44" t="s">
        <v>37</v>
      </c>
      <c r="GV297" s="44" t="s">
        <v>37</v>
      </c>
      <c r="GX297" s="44" t="s">
        <v>37</v>
      </c>
      <c r="GZ297" s="44" t="s">
        <v>37</v>
      </c>
      <c r="HB297" s="44" t="s">
        <v>37</v>
      </c>
      <c r="HD297" s="44" t="s">
        <v>37</v>
      </c>
      <c r="HF297" s="44" t="s">
        <v>37</v>
      </c>
      <c r="HH297" s="44" t="s">
        <v>37</v>
      </c>
      <c r="HJ297" s="44" t="s">
        <v>37</v>
      </c>
      <c r="HL297" s="44" t="s">
        <v>37</v>
      </c>
    </row>
    <row r="298" spans="1:220">
      <c r="A298" s="150" t="s">
        <v>407</v>
      </c>
      <c r="B298" s="54">
        <v>5999</v>
      </c>
      <c r="C298" s="44" t="s">
        <v>28</v>
      </c>
      <c r="D298" s="44" t="s">
        <v>37</v>
      </c>
      <c r="F298" s="44" t="s">
        <v>37</v>
      </c>
      <c r="H298" s="44" t="s">
        <v>37</v>
      </c>
      <c r="J298" s="44" t="s">
        <v>37</v>
      </c>
      <c r="L298" s="48" t="s">
        <v>37</v>
      </c>
      <c r="M298" s="50"/>
      <c r="N298" s="48" t="s">
        <v>37</v>
      </c>
      <c r="O298" s="50"/>
      <c r="P298" s="48" t="s">
        <v>37</v>
      </c>
      <c r="Q298" s="50"/>
      <c r="R298" s="48" t="s">
        <v>37</v>
      </c>
      <c r="S298" s="50"/>
      <c r="T298" s="48" t="s">
        <v>37</v>
      </c>
      <c r="V298" s="44" t="s">
        <v>37</v>
      </c>
      <c r="X298" s="44" t="s">
        <v>37</v>
      </c>
      <c r="Z298" s="44" t="s">
        <v>37</v>
      </c>
      <c r="AB298" s="44" t="s">
        <v>37</v>
      </c>
      <c r="AD298" s="44" t="s">
        <v>37</v>
      </c>
      <c r="AF298" s="44" t="s">
        <v>37</v>
      </c>
      <c r="AH298" s="44" t="s">
        <v>37</v>
      </c>
      <c r="AJ298" s="44" t="s">
        <v>37</v>
      </c>
      <c r="AL298" s="44" t="s">
        <v>37</v>
      </c>
      <c r="AN298" s="44" t="s">
        <v>37</v>
      </c>
      <c r="AP298" s="44" t="s">
        <v>37</v>
      </c>
      <c r="AR298" s="44" t="s">
        <v>37</v>
      </c>
      <c r="AT298" s="44" t="s">
        <v>37</v>
      </c>
      <c r="AV298" s="44" t="s">
        <v>37</v>
      </c>
      <c r="AX298" s="44" t="s">
        <v>37</v>
      </c>
      <c r="AZ298" s="44" t="s">
        <v>37</v>
      </c>
      <c r="BB298" s="44" t="s">
        <v>37</v>
      </c>
      <c r="BD298" s="44" t="s">
        <v>37</v>
      </c>
      <c r="BF298" s="44" t="s">
        <v>37</v>
      </c>
      <c r="BH298" s="44" t="s">
        <v>37</v>
      </c>
      <c r="BJ298" s="44" t="s">
        <v>37</v>
      </c>
      <c r="BL298" s="44" t="s">
        <v>37</v>
      </c>
      <c r="BN298" s="44" t="s">
        <v>37</v>
      </c>
      <c r="BP298" s="44" t="s">
        <v>37</v>
      </c>
      <c r="BR298" s="44" t="s">
        <v>37</v>
      </c>
      <c r="BT298" s="44" t="s">
        <v>37</v>
      </c>
      <c r="BV298" s="44" t="s">
        <v>37</v>
      </c>
      <c r="BX298" s="44" t="s">
        <v>37</v>
      </c>
      <c r="BZ298" s="44" t="s">
        <v>37</v>
      </c>
      <c r="CB298" s="44" t="s">
        <v>37</v>
      </c>
      <c r="CD298" s="44" t="s">
        <v>37</v>
      </c>
      <c r="CF298" s="44" t="s">
        <v>37</v>
      </c>
      <c r="CG298" s="44">
        <v>11555</v>
      </c>
      <c r="CH298" s="44" t="s">
        <v>37</v>
      </c>
      <c r="CJ298" s="44" t="s">
        <v>37</v>
      </c>
      <c r="CL298" s="44" t="s">
        <v>37</v>
      </c>
      <c r="CN298" s="44" t="s">
        <v>37</v>
      </c>
      <c r="CP298" s="44" t="s">
        <v>37</v>
      </c>
      <c r="CR298" s="44" t="s">
        <v>37</v>
      </c>
      <c r="CT298" s="44" t="s">
        <v>37</v>
      </c>
      <c r="CU298" s="44">
        <v>140138</v>
      </c>
      <c r="CV298" s="44" t="s">
        <v>37</v>
      </c>
      <c r="CW298" s="44">
        <v>115595</v>
      </c>
      <c r="CX298" s="44" t="s">
        <v>37</v>
      </c>
      <c r="CZ298" s="44" t="s">
        <v>37</v>
      </c>
      <c r="DB298" s="44" t="s">
        <v>37</v>
      </c>
      <c r="DD298" s="44" t="s">
        <v>37</v>
      </c>
      <c r="DF298" s="44" t="s">
        <v>37</v>
      </c>
      <c r="DH298" s="44" t="s">
        <v>37</v>
      </c>
      <c r="DJ298" s="44" t="s">
        <v>37</v>
      </c>
      <c r="DK298" s="44">
        <v>3835137</v>
      </c>
      <c r="DL298" s="44" t="s">
        <v>37</v>
      </c>
      <c r="DM298" s="44">
        <v>24533</v>
      </c>
      <c r="DN298" s="44" t="s">
        <v>37</v>
      </c>
      <c r="DP298" s="44" t="s">
        <v>37</v>
      </c>
      <c r="DQ298" s="44">
        <v>90549</v>
      </c>
      <c r="DR298" s="44" t="s">
        <v>37</v>
      </c>
      <c r="DT298" s="44" t="s">
        <v>37</v>
      </c>
      <c r="DV298" s="44" t="s">
        <v>37</v>
      </c>
      <c r="DX298" s="44" t="s">
        <v>37</v>
      </c>
      <c r="DZ298" s="44" t="s">
        <v>37</v>
      </c>
      <c r="EB298" s="44" t="s">
        <v>37</v>
      </c>
      <c r="ED298" s="44" t="s">
        <v>37</v>
      </c>
      <c r="EE298" s="44">
        <v>1989948</v>
      </c>
      <c r="EF298" s="44" t="s">
        <v>37</v>
      </c>
      <c r="EH298" s="44" t="s">
        <v>37</v>
      </c>
      <c r="EJ298" s="44" t="s">
        <v>37</v>
      </c>
      <c r="EL298" s="44" t="s">
        <v>37</v>
      </c>
      <c r="EN298" s="44" t="s">
        <v>37</v>
      </c>
      <c r="EP298" s="44" t="s">
        <v>37</v>
      </c>
      <c r="ER298" s="44" t="s">
        <v>37</v>
      </c>
      <c r="ET298" s="44" t="s">
        <v>37</v>
      </c>
      <c r="EV298" s="44" t="s">
        <v>37</v>
      </c>
      <c r="EW298" s="44">
        <v>2795</v>
      </c>
      <c r="EX298" s="44" t="s">
        <v>37</v>
      </c>
      <c r="EZ298" s="44" t="s">
        <v>37</v>
      </c>
      <c r="FB298" s="44" t="s">
        <v>37</v>
      </c>
      <c r="FD298" s="44" t="s">
        <v>37</v>
      </c>
      <c r="FF298" s="44" t="s">
        <v>37</v>
      </c>
      <c r="FH298" s="44" t="s">
        <v>37</v>
      </c>
      <c r="FJ298" s="44" t="s">
        <v>37</v>
      </c>
      <c r="FL298" s="44" t="s">
        <v>37</v>
      </c>
      <c r="FN298" s="44" t="s">
        <v>37</v>
      </c>
      <c r="FP298" s="44" t="s">
        <v>37</v>
      </c>
      <c r="FR298" s="44" t="s">
        <v>37</v>
      </c>
      <c r="FT298" s="44" t="s">
        <v>37</v>
      </c>
      <c r="FV298" s="44" t="s">
        <v>37</v>
      </c>
      <c r="FX298" s="44" t="s">
        <v>37</v>
      </c>
      <c r="FZ298" s="44" t="s">
        <v>37</v>
      </c>
      <c r="GB298" s="44" t="s">
        <v>37</v>
      </c>
      <c r="GD298" s="44" t="s">
        <v>37</v>
      </c>
      <c r="GF298" s="44" t="s">
        <v>37</v>
      </c>
      <c r="GH298" s="44" t="s">
        <v>37</v>
      </c>
      <c r="GJ298" s="44" t="s">
        <v>37</v>
      </c>
      <c r="GK298" s="44">
        <v>39447</v>
      </c>
      <c r="GL298" s="44" t="s">
        <v>37</v>
      </c>
      <c r="GN298" s="44" t="s">
        <v>37</v>
      </c>
      <c r="GP298" s="44" t="s">
        <v>37</v>
      </c>
      <c r="GR298" s="44" t="s">
        <v>37</v>
      </c>
      <c r="GT298" s="44" t="s">
        <v>37</v>
      </c>
      <c r="GV298" s="44" t="s">
        <v>37</v>
      </c>
      <c r="GX298" s="44" t="s">
        <v>37</v>
      </c>
      <c r="GZ298" s="44" t="s">
        <v>37</v>
      </c>
      <c r="HB298" s="44" t="s">
        <v>37</v>
      </c>
      <c r="HD298" s="44" t="s">
        <v>37</v>
      </c>
      <c r="HF298" s="44" t="s">
        <v>37</v>
      </c>
      <c r="HG298" s="44">
        <v>6249697</v>
      </c>
      <c r="HH298" s="44" t="s">
        <v>37</v>
      </c>
      <c r="HJ298" s="44" t="s">
        <v>37</v>
      </c>
      <c r="HK298" s="44">
        <v>6249697</v>
      </c>
      <c r="HL298" s="44" t="s">
        <v>37</v>
      </c>
    </row>
    <row r="299" spans="1:220">
      <c r="A299" s="150"/>
      <c r="D299" s="44" t="s">
        <v>37</v>
      </c>
      <c r="F299" s="44" t="s">
        <v>37</v>
      </c>
      <c r="H299" s="44" t="s">
        <v>37</v>
      </c>
      <c r="J299" s="44" t="s">
        <v>37</v>
      </c>
      <c r="L299" s="48" t="s">
        <v>37</v>
      </c>
      <c r="M299" s="50"/>
      <c r="N299" s="48" t="s">
        <v>37</v>
      </c>
      <c r="O299" s="50"/>
      <c r="P299" s="48" t="s">
        <v>37</v>
      </c>
      <c r="Q299" s="50"/>
      <c r="R299" s="48" t="s">
        <v>37</v>
      </c>
      <c r="S299" s="50"/>
      <c r="T299" s="48" t="s">
        <v>37</v>
      </c>
      <c r="V299" s="44" t="s">
        <v>37</v>
      </c>
      <c r="X299" s="44" t="s">
        <v>37</v>
      </c>
      <c r="Z299" s="44" t="s">
        <v>37</v>
      </c>
      <c r="AB299" s="44" t="s">
        <v>37</v>
      </c>
      <c r="AD299" s="44" t="s">
        <v>37</v>
      </c>
      <c r="AF299" s="44" t="s">
        <v>37</v>
      </c>
      <c r="AH299" s="44" t="s">
        <v>37</v>
      </c>
      <c r="AJ299" s="44" t="s">
        <v>37</v>
      </c>
      <c r="AL299" s="44" t="s">
        <v>37</v>
      </c>
      <c r="AN299" s="44" t="s">
        <v>37</v>
      </c>
      <c r="AP299" s="44" t="s">
        <v>37</v>
      </c>
      <c r="AR299" s="44" t="s">
        <v>37</v>
      </c>
      <c r="AT299" s="44" t="s">
        <v>37</v>
      </c>
      <c r="AV299" s="44" t="s">
        <v>37</v>
      </c>
      <c r="AX299" s="44" t="s">
        <v>37</v>
      </c>
      <c r="AZ299" s="44" t="s">
        <v>37</v>
      </c>
      <c r="BB299" s="44" t="s">
        <v>37</v>
      </c>
      <c r="BD299" s="44" t="s">
        <v>37</v>
      </c>
      <c r="BF299" s="44" t="s">
        <v>37</v>
      </c>
      <c r="BH299" s="44" t="s">
        <v>37</v>
      </c>
      <c r="BJ299" s="44" t="s">
        <v>37</v>
      </c>
      <c r="BL299" s="44" t="s">
        <v>37</v>
      </c>
      <c r="BN299" s="44" t="s">
        <v>37</v>
      </c>
      <c r="BP299" s="44" t="s">
        <v>37</v>
      </c>
      <c r="BR299" s="44" t="s">
        <v>37</v>
      </c>
      <c r="BT299" s="44" t="s">
        <v>37</v>
      </c>
      <c r="BV299" s="44" t="s">
        <v>37</v>
      </c>
      <c r="BX299" s="44" t="s">
        <v>37</v>
      </c>
      <c r="BZ299" s="44" t="s">
        <v>37</v>
      </c>
      <c r="CB299" s="44" t="s">
        <v>37</v>
      </c>
      <c r="CD299" s="44" t="s">
        <v>37</v>
      </c>
      <c r="CF299" s="44" t="s">
        <v>37</v>
      </c>
      <c r="CH299" s="44" t="s">
        <v>37</v>
      </c>
      <c r="CJ299" s="44" t="s">
        <v>37</v>
      </c>
      <c r="CL299" s="44" t="s">
        <v>37</v>
      </c>
      <c r="CN299" s="44" t="s">
        <v>37</v>
      </c>
      <c r="CP299" s="44" t="s">
        <v>37</v>
      </c>
      <c r="CR299" s="44" t="s">
        <v>37</v>
      </c>
      <c r="CT299" s="44" t="s">
        <v>37</v>
      </c>
      <c r="CV299" s="44" t="s">
        <v>37</v>
      </c>
      <c r="CX299" s="44" t="s">
        <v>37</v>
      </c>
      <c r="CZ299" s="44" t="s">
        <v>37</v>
      </c>
      <c r="DB299" s="44" t="s">
        <v>37</v>
      </c>
      <c r="DD299" s="44" t="s">
        <v>37</v>
      </c>
      <c r="DF299" s="44" t="s">
        <v>37</v>
      </c>
      <c r="DH299" s="44" t="s">
        <v>37</v>
      </c>
      <c r="DJ299" s="44" t="s">
        <v>37</v>
      </c>
      <c r="DL299" s="44" t="s">
        <v>37</v>
      </c>
      <c r="DN299" s="44" t="s">
        <v>37</v>
      </c>
      <c r="DP299" s="44" t="s">
        <v>37</v>
      </c>
      <c r="DR299" s="44" t="s">
        <v>37</v>
      </c>
      <c r="DT299" s="44" t="s">
        <v>37</v>
      </c>
      <c r="DV299" s="44" t="s">
        <v>37</v>
      </c>
      <c r="DX299" s="44" t="s">
        <v>37</v>
      </c>
      <c r="DZ299" s="44" t="s">
        <v>37</v>
      </c>
      <c r="EB299" s="44" t="s">
        <v>37</v>
      </c>
      <c r="ED299" s="44" t="s">
        <v>37</v>
      </c>
      <c r="EF299" s="44" t="s">
        <v>37</v>
      </c>
      <c r="EH299" s="44" t="s">
        <v>37</v>
      </c>
      <c r="EJ299" s="44" t="s">
        <v>37</v>
      </c>
      <c r="EL299" s="44" t="s">
        <v>37</v>
      </c>
      <c r="EN299" s="44" t="s">
        <v>37</v>
      </c>
      <c r="EP299" s="44" t="s">
        <v>37</v>
      </c>
      <c r="ER299" s="44" t="s">
        <v>37</v>
      </c>
      <c r="ET299" s="44" t="s">
        <v>37</v>
      </c>
      <c r="EV299" s="44" t="s">
        <v>37</v>
      </c>
      <c r="EX299" s="44" t="s">
        <v>37</v>
      </c>
      <c r="EZ299" s="44" t="s">
        <v>37</v>
      </c>
      <c r="FB299" s="44" t="s">
        <v>37</v>
      </c>
      <c r="FD299" s="44" t="s">
        <v>37</v>
      </c>
      <c r="FF299" s="44" t="s">
        <v>37</v>
      </c>
      <c r="FH299" s="44" t="s">
        <v>37</v>
      </c>
      <c r="FJ299" s="44" t="s">
        <v>37</v>
      </c>
      <c r="FL299" s="44" t="s">
        <v>37</v>
      </c>
      <c r="FN299" s="44" t="s">
        <v>37</v>
      </c>
      <c r="FP299" s="44" t="s">
        <v>37</v>
      </c>
      <c r="FR299" s="44" t="s">
        <v>37</v>
      </c>
      <c r="FT299" s="44" t="s">
        <v>37</v>
      </c>
      <c r="FV299" s="44" t="s">
        <v>37</v>
      </c>
      <c r="FX299" s="44" t="s">
        <v>37</v>
      </c>
      <c r="FZ299" s="44" t="s">
        <v>37</v>
      </c>
      <c r="GB299" s="44" t="s">
        <v>37</v>
      </c>
      <c r="GD299" s="44" t="s">
        <v>37</v>
      </c>
      <c r="GF299" s="44" t="s">
        <v>37</v>
      </c>
      <c r="GH299" s="44" t="s">
        <v>37</v>
      </c>
      <c r="GJ299" s="44" t="s">
        <v>37</v>
      </c>
      <c r="GL299" s="44" t="s">
        <v>37</v>
      </c>
      <c r="GN299" s="44" t="s">
        <v>37</v>
      </c>
      <c r="GP299" s="44" t="s">
        <v>37</v>
      </c>
      <c r="GR299" s="44" t="s">
        <v>37</v>
      </c>
      <c r="GT299" s="44" t="s">
        <v>37</v>
      </c>
      <c r="GV299" s="44" t="s">
        <v>37</v>
      </c>
      <c r="GX299" s="44" t="s">
        <v>37</v>
      </c>
      <c r="GZ299" s="44" t="s">
        <v>37</v>
      </c>
      <c r="HB299" s="44" t="s">
        <v>37</v>
      </c>
      <c r="HD299" s="44" t="s">
        <v>37</v>
      </c>
      <c r="HF299" s="44" t="s">
        <v>37</v>
      </c>
      <c r="HH299" s="44" t="s">
        <v>37</v>
      </c>
      <c r="HJ299" s="44" t="s">
        <v>37</v>
      </c>
      <c r="HL299" s="44" t="s">
        <v>37</v>
      </c>
    </row>
    <row r="300" spans="1:220">
      <c r="A300" s="150"/>
      <c r="B300" s="44" t="s">
        <v>90</v>
      </c>
      <c r="C300" s="44" t="s">
        <v>300</v>
      </c>
      <c r="D300" s="44" t="s">
        <v>37</v>
      </c>
      <c r="E300" s="44">
        <v>807434</v>
      </c>
      <c r="F300" s="44" t="s">
        <v>37</v>
      </c>
      <c r="G300" s="44">
        <v>27680565</v>
      </c>
      <c r="H300" s="44" t="s">
        <v>37</v>
      </c>
      <c r="I300" s="44">
        <v>324405</v>
      </c>
      <c r="J300" s="44" t="s">
        <v>37</v>
      </c>
      <c r="K300" s="44">
        <v>38537</v>
      </c>
      <c r="L300" s="48" t="s">
        <v>37</v>
      </c>
      <c r="M300" s="51">
        <v>2259710</v>
      </c>
      <c r="N300" s="48" t="s">
        <v>37</v>
      </c>
      <c r="O300" s="51">
        <v>28162382</v>
      </c>
      <c r="P300" s="48" t="s">
        <v>37</v>
      </c>
      <c r="Q300" s="51">
        <v>646414</v>
      </c>
      <c r="R300" s="48" t="s">
        <v>37</v>
      </c>
      <c r="S300" s="51">
        <v>602800</v>
      </c>
      <c r="T300" s="48" t="s">
        <v>37</v>
      </c>
      <c r="U300" s="44">
        <v>10962586</v>
      </c>
      <c r="V300" s="44" t="s">
        <v>37</v>
      </c>
      <c r="W300" s="44">
        <v>38442</v>
      </c>
      <c r="X300" s="44" t="s">
        <v>37</v>
      </c>
      <c r="Z300" s="44" t="s">
        <v>37</v>
      </c>
      <c r="AA300" s="44">
        <v>1664070</v>
      </c>
      <c r="AB300" s="44" t="s">
        <v>37</v>
      </c>
      <c r="AC300" s="44">
        <v>1140244</v>
      </c>
      <c r="AD300" s="44" t="s">
        <v>37</v>
      </c>
      <c r="AE300" s="44">
        <v>195945</v>
      </c>
      <c r="AF300" s="44" t="s">
        <v>37</v>
      </c>
      <c r="AG300" s="44">
        <v>973787</v>
      </c>
      <c r="AH300" s="44" t="s">
        <v>37</v>
      </c>
      <c r="AI300" s="44">
        <v>691580</v>
      </c>
      <c r="AJ300" s="44" t="s">
        <v>37</v>
      </c>
      <c r="AK300" s="44">
        <v>30348</v>
      </c>
      <c r="AL300" s="44" t="s">
        <v>37</v>
      </c>
      <c r="AM300" s="44">
        <v>118479333</v>
      </c>
      <c r="AN300" s="44" t="s">
        <v>37</v>
      </c>
      <c r="AO300" s="44">
        <v>114672</v>
      </c>
      <c r="AP300" s="44" t="s">
        <v>37</v>
      </c>
      <c r="AQ300" s="44">
        <v>190977226</v>
      </c>
      <c r="AR300" s="44" t="s">
        <v>37</v>
      </c>
      <c r="AS300" s="44">
        <v>37565591</v>
      </c>
      <c r="AT300" s="44" t="s">
        <v>37</v>
      </c>
      <c r="AU300" s="44">
        <v>59538547</v>
      </c>
      <c r="AV300" s="44" t="s">
        <v>37</v>
      </c>
      <c r="AW300" s="44">
        <v>6635984</v>
      </c>
      <c r="AX300" s="44" t="s">
        <v>37</v>
      </c>
      <c r="AY300" s="44">
        <v>5173196</v>
      </c>
      <c r="AZ300" s="44" t="s">
        <v>37</v>
      </c>
      <c r="BA300" s="44">
        <v>36360815</v>
      </c>
      <c r="BB300" s="44" t="s">
        <v>37</v>
      </c>
      <c r="BC300" s="44">
        <v>11113006</v>
      </c>
      <c r="BD300" s="44" t="s">
        <v>37</v>
      </c>
      <c r="BE300" s="44">
        <v>1845917</v>
      </c>
      <c r="BF300" s="44" t="s">
        <v>37</v>
      </c>
      <c r="BG300" s="44">
        <v>399256</v>
      </c>
      <c r="BH300" s="44" t="s">
        <v>37</v>
      </c>
      <c r="BJ300" s="44" t="s">
        <v>37</v>
      </c>
      <c r="BK300" s="44">
        <v>114981214</v>
      </c>
      <c r="BL300" s="44" t="s">
        <v>37</v>
      </c>
      <c r="BM300" s="44">
        <v>6919020</v>
      </c>
      <c r="BN300" s="44" t="s">
        <v>37</v>
      </c>
      <c r="BP300" s="44" t="s">
        <v>37</v>
      </c>
      <c r="BQ300" s="44">
        <v>316569</v>
      </c>
      <c r="BR300" s="44" t="s">
        <v>37</v>
      </c>
      <c r="BS300" s="44">
        <v>1320449</v>
      </c>
      <c r="BT300" s="44" t="s">
        <v>37</v>
      </c>
      <c r="BU300" s="44">
        <v>390299</v>
      </c>
      <c r="BV300" s="44" t="s">
        <v>37</v>
      </c>
      <c r="BW300" s="44">
        <v>-28670</v>
      </c>
      <c r="BX300" s="44" t="s">
        <v>37</v>
      </c>
      <c r="BY300" s="44">
        <v>71471418</v>
      </c>
      <c r="BZ300" s="44" t="s">
        <v>37</v>
      </c>
      <c r="CA300" s="44">
        <v>675012</v>
      </c>
      <c r="CB300" s="44" t="s">
        <v>37</v>
      </c>
      <c r="CD300" s="44" t="s">
        <v>37</v>
      </c>
      <c r="CE300" s="44">
        <v>1084608</v>
      </c>
      <c r="CF300" s="44" t="s">
        <v>37</v>
      </c>
      <c r="CG300" s="44">
        <v>5058134</v>
      </c>
      <c r="CH300" s="44" t="s">
        <v>37</v>
      </c>
      <c r="CI300" s="44">
        <v>7078839</v>
      </c>
      <c r="CJ300" s="44" t="s">
        <v>37</v>
      </c>
      <c r="CK300" s="44">
        <v>200624</v>
      </c>
      <c r="CL300" s="44" t="s">
        <v>37</v>
      </c>
      <c r="CM300" s="44">
        <v>2708642</v>
      </c>
      <c r="CN300" s="44" t="s">
        <v>37</v>
      </c>
      <c r="CO300" s="44">
        <v>852565</v>
      </c>
      <c r="CP300" s="44" t="s">
        <v>37</v>
      </c>
      <c r="CQ300" s="44">
        <v>830118</v>
      </c>
      <c r="CR300" s="44" t="s">
        <v>37</v>
      </c>
      <c r="CS300" s="44">
        <v>22221206</v>
      </c>
      <c r="CT300" s="44" t="s">
        <v>37</v>
      </c>
      <c r="CU300" s="44">
        <v>98353604</v>
      </c>
      <c r="CV300" s="44" t="s">
        <v>37</v>
      </c>
      <c r="CW300" s="44">
        <v>170725064</v>
      </c>
      <c r="CX300" s="44" t="s">
        <v>37</v>
      </c>
      <c r="CY300" s="44">
        <v>304276</v>
      </c>
      <c r="CZ300" s="44" t="s">
        <v>37</v>
      </c>
      <c r="DA300" s="44">
        <v>1159729</v>
      </c>
      <c r="DB300" s="44" t="s">
        <v>37</v>
      </c>
      <c r="DC300" s="44">
        <v>619768</v>
      </c>
      <c r="DD300" s="44" t="s">
        <v>37</v>
      </c>
      <c r="DE300" s="44">
        <v>3488002</v>
      </c>
      <c r="DF300" s="44" t="s">
        <v>37</v>
      </c>
      <c r="DG300" s="44">
        <v>982152</v>
      </c>
      <c r="DH300" s="44" t="s">
        <v>37</v>
      </c>
      <c r="DI300" s="44">
        <v>140458348</v>
      </c>
      <c r="DJ300" s="44" t="s">
        <v>37</v>
      </c>
      <c r="DK300" s="44">
        <v>21223886</v>
      </c>
      <c r="DL300" s="44" t="s">
        <v>37</v>
      </c>
      <c r="DM300" s="44">
        <v>7688752</v>
      </c>
      <c r="DN300" s="44" t="s">
        <v>37</v>
      </c>
      <c r="DO300" s="44">
        <v>14262782</v>
      </c>
      <c r="DP300" s="44" t="s">
        <v>37</v>
      </c>
      <c r="DQ300" s="44">
        <v>21653795</v>
      </c>
      <c r="DR300" s="44" t="s">
        <v>37</v>
      </c>
      <c r="DS300" s="44">
        <v>23451854</v>
      </c>
      <c r="DT300" s="44" t="s">
        <v>37</v>
      </c>
      <c r="DU300" s="44">
        <v>7394097</v>
      </c>
      <c r="DV300" s="44" t="s">
        <v>37</v>
      </c>
      <c r="DW300" s="44">
        <v>13830607</v>
      </c>
      <c r="DX300" s="44" t="s">
        <v>37</v>
      </c>
      <c r="DY300" s="44">
        <v>38472349</v>
      </c>
      <c r="DZ300" s="44" t="s">
        <v>37</v>
      </c>
      <c r="EA300" s="44">
        <v>234001</v>
      </c>
      <c r="EB300" s="44" t="s">
        <v>37</v>
      </c>
      <c r="EC300" s="44">
        <v>2333007</v>
      </c>
      <c r="ED300" s="44" t="s">
        <v>37</v>
      </c>
      <c r="EE300" s="44">
        <v>44662985</v>
      </c>
      <c r="EF300" s="44" t="s">
        <v>37</v>
      </c>
      <c r="EG300" s="44">
        <v>1994891</v>
      </c>
      <c r="EH300" s="44" t="s">
        <v>37</v>
      </c>
      <c r="EI300" s="44">
        <v>120355</v>
      </c>
      <c r="EJ300" s="44" t="s">
        <v>37</v>
      </c>
      <c r="EK300" s="44">
        <v>1889616</v>
      </c>
      <c r="EL300" s="44" t="s">
        <v>37</v>
      </c>
      <c r="EM300" s="44">
        <v>934589</v>
      </c>
      <c r="EN300" s="44" t="s">
        <v>37</v>
      </c>
      <c r="EO300" s="44">
        <v>533920</v>
      </c>
      <c r="EP300" s="44" t="s">
        <v>37</v>
      </c>
      <c r="EQ300" s="44">
        <v>200256</v>
      </c>
      <c r="ER300" s="44" t="s">
        <v>37</v>
      </c>
      <c r="ES300" s="44">
        <v>12473407</v>
      </c>
      <c r="ET300" s="44" t="s">
        <v>37</v>
      </c>
      <c r="EU300" s="44">
        <v>5852901</v>
      </c>
      <c r="EV300" s="44" t="s">
        <v>37</v>
      </c>
      <c r="EW300" s="44">
        <v>30772682</v>
      </c>
      <c r="EX300" s="44" t="s">
        <v>37</v>
      </c>
      <c r="EZ300" s="44" t="s">
        <v>37</v>
      </c>
      <c r="FA300" s="44">
        <v>1724035</v>
      </c>
      <c r="FB300" s="44" t="s">
        <v>37</v>
      </c>
      <c r="FC300" s="44">
        <v>9284301</v>
      </c>
      <c r="FD300" s="44" t="s">
        <v>37</v>
      </c>
      <c r="FE300" s="44">
        <v>27607507</v>
      </c>
      <c r="FF300" s="44" t="s">
        <v>37</v>
      </c>
      <c r="FG300" s="44">
        <v>16961</v>
      </c>
      <c r="FH300" s="44" t="s">
        <v>37</v>
      </c>
      <c r="FI300" s="44">
        <v>391422823</v>
      </c>
      <c r="FJ300" s="44" t="s">
        <v>37</v>
      </c>
      <c r="FK300" s="44">
        <v>96223900</v>
      </c>
      <c r="FL300" s="44" t="s">
        <v>37</v>
      </c>
      <c r="FM300" s="44">
        <v>48912220</v>
      </c>
      <c r="FN300" s="44" t="s">
        <v>37</v>
      </c>
      <c r="FO300" s="44">
        <v>1791084</v>
      </c>
      <c r="FP300" s="44" t="s">
        <v>37</v>
      </c>
      <c r="FQ300" s="44">
        <v>5307574</v>
      </c>
      <c r="FR300" s="44" t="s">
        <v>37</v>
      </c>
      <c r="FS300" s="44">
        <v>14007676</v>
      </c>
      <c r="FT300" s="44" t="s">
        <v>37</v>
      </c>
      <c r="FU300" s="44">
        <v>23353283</v>
      </c>
      <c r="FV300" s="44" t="s">
        <v>37</v>
      </c>
      <c r="FW300" s="44">
        <v>4343280</v>
      </c>
      <c r="FX300" s="44" t="s">
        <v>37</v>
      </c>
      <c r="FY300" s="44">
        <v>12295407</v>
      </c>
      <c r="FZ300" s="44" t="s">
        <v>37</v>
      </c>
      <c r="GA300" s="44">
        <v>20396649</v>
      </c>
      <c r="GB300" s="44" t="s">
        <v>37</v>
      </c>
      <c r="GC300" s="44">
        <v>6039214</v>
      </c>
      <c r="GD300" s="44" t="s">
        <v>37</v>
      </c>
      <c r="GE300" s="44">
        <v>73473</v>
      </c>
      <c r="GF300" s="44" t="s">
        <v>37</v>
      </c>
      <c r="GG300" s="44">
        <v>201695</v>
      </c>
      <c r="GH300" s="44" t="s">
        <v>37</v>
      </c>
      <c r="GI300" s="44">
        <v>47511</v>
      </c>
      <c r="GJ300" s="44" t="s">
        <v>37</v>
      </c>
      <c r="GK300" s="44">
        <v>144157928</v>
      </c>
      <c r="GL300" s="44" t="s">
        <v>37</v>
      </c>
      <c r="GM300" s="44">
        <v>45717636</v>
      </c>
      <c r="GN300" s="44" t="s">
        <v>37</v>
      </c>
      <c r="GP300" s="44" t="s">
        <v>37</v>
      </c>
      <c r="GQ300" s="44">
        <v>50640824</v>
      </c>
      <c r="GR300" s="44" t="s">
        <v>37</v>
      </c>
      <c r="GS300" s="44">
        <v>28543968</v>
      </c>
      <c r="GT300" s="44" t="s">
        <v>37</v>
      </c>
      <c r="GU300" s="44">
        <v>3433716</v>
      </c>
      <c r="GV300" s="44" t="s">
        <v>37</v>
      </c>
      <c r="GW300" s="44">
        <v>930189</v>
      </c>
      <c r="GX300" s="44" t="s">
        <v>37</v>
      </c>
      <c r="GY300" s="44">
        <v>83569886</v>
      </c>
      <c r="GZ300" s="44" t="s">
        <v>37</v>
      </c>
      <c r="HA300" s="44">
        <v>115341320</v>
      </c>
      <c r="HB300" s="44" t="s">
        <v>37</v>
      </c>
      <c r="HD300" s="44" t="s">
        <v>37</v>
      </c>
      <c r="HF300" s="44" t="s">
        <v>37</v>
      </c>
      <c r="HG300" s="44">
        <v>2581958574</v>
      </c>
      <c r="HH300" s="44" t="s">
        <v>37</v>
      </c>
      <c r="HJ300" s="44" t="s">
        <v>37</v>
      </c>
      <c r="HK300" s="44">
        <v>2581958574</v>
      </c>
      <c r="HL300" s="44" t="s">
        <v>37</v>
      </c>
    </row>
    <row r="301" spans="1:220">
      <c r="A301" s="150"/>
      <c r="D301" s="44" t="s">
        <v>37</v>
      </c>
      <c r="F301" s="44" t="s">
        <v>37</v>
      </c>
      <c r="H301" s="44" t="s">
        <v>37</v>
      </c>
      <c r="J301" s="44" t="s">
        <v>37</v>
      </c>
      <c r="L301" s="48" t="s">
        <v>37</v>
      </c>
      <c r="M301" s="51"/>
      <c r="N301" s="48" t="s">
        <v>37</v>
      </c>
      <c r="O301" s="51"/>
      <c r="P301" s="48" t="s">
        <v>37</v>
      </c>
      <c r="Q301" s="51"/>
      <c r="R301" s="48" t="s">
        <v>37</v>
      </c>
      <c r="S301" s="51"/>
      <c r="T301" s="48" t="s">
        <v>37</v>
      </c>
      <c r="V301" s="44" t="s">
        <v>37</v>
      </c>
      <c r="X301" s="44" t="s">
        <v>37</v>
      </c>
      <c r="Z301" s="44" t="s">
        <v>37</v>
      </c>
      <c r="AB301" s="44" t="s">
        <v>37</v>
      </c>
      <c r="AD301" s="44" t="s">
        <v>37</v>
      </c>
      <c r="AF301" s="44" t="s">
        <v>37</v>
      </c>
      <c r="AH301" s="44" t="s">
        <v>37</v>
      </c>
      <c r="AJ301" s="44" t="s">
        <v>37</v>
      </c>
      <c r="AL301" s="44" t="s">
        <v>37</v>
      </c>
      <c r="AN301" s="44" t="s">
        <v>37</v>
      </c>
      <c r="AP301" s="44" t="s">
        <v>37</v>
      </c>
      <c r="AR301" s="44" t="s">
        <v>37</v>
      </c>
      <c r="AT301" s="44" t="s">
        <v>37</v>
      </c>
      <c r="AV301" s="44" t="s">
        <v>37</v>
      </c>
      <c r="AX301" s="44" t="s">
        <v>37</v>
      </c>
      <c r="AZ301" s="44" t="s">
        <v>37</v>
      </c>
      <c r="BB301" s="44" t="s">
        <v>37</v>
      </c>
      <c r="BD301" s="44" t="s">
        <v>37</v>
      </c>
      <c r="BF301" s="44" t="s">
        <v>37</v>
      </c>
      <c r="BH301" s="44" t="s">
        <v>37</v>
      </c>
      <c r="BJ301" s="44" t="s">
        <v>37</v>
      </c>
      <c r="BL301" s="44" t="s">
        <v>37</v>
      </c>
      <c r="BN301" s="44" t="s">
        <v>37</v>
      </c>
      <c r="BP301" s="44" t="s">
        <v>37</v>
      </c>
      <c r="BR301" s="44" t="s">
        <v>37</v>
      </c>
      <c r="BT301" s="44" t="s">
        <v>37</v>
      </c>
      <c r="BV301" s="44" t="s">
        <v>37</v>
      </c>
      <c r="BX301" s="44" t="s">
        <v>37</v>
      </c>
      <c r="BZ301" s="44" t="s">
        <v>37</v>
      </c>
      <c r="CB301" s="44" t="s">
        <v>37</v>
      </c>
      <c r="CD301" s="44" t="s">
        <v>37</v>
      </c>
      <c r="CF301" s="44" t="s">
        <v>37</v>
      </c>
      <c r="CH301" s="44" t="s">
        <v>37</v>
      </c>
      <c r="CJ301" s="44" t="s">
        <v>37</v>
      </c>
      <c r="CL301" s="44" t="s">
        <v>37</v>
      </c>
      <c r="CN301" s="44" t="s">
        <v>37</v>
      </c>
      <c r="CP301" s="44" t="s">
        <v>37</v>
      </c>
      <c r="CR301" s="44" t="s">
        <v>37</v>
      </c>
      <c r="CT301" s="44" t="s">
        <v>37</v>
      </c>
      <c r="CV301" s="44" t="s">
        <v>37</v>
      </c>
      <c r="CX301" s="44" t="s">
        <v>37</v>
      </c>
      <c r="CZ301" s="44" t="s">
        <v>37</v>
      </c>
      <c r="DB301" s="44" t="s">
        <v>37</v>
      </c>
      <c r="DD301" s="44" t="s">
        <v>37</v>
      </c>
      <c r="DF301" s="44" t="s">
        <v>37</v>
      </c>
      <c r="DH301" s="44" t="s">
        <v>37</v>
      </c>
      <c r="DJ301" s="44" t="s">
        <v>37</v>
      </c>
      <c r="DL301" s="44" t="s">
        <v>37</v>
      </c>
      <c r="DN301" s="44" t="s">
        <v>37</v>
      </c>
      <c r="DP301" s="44" t="s">
        <v>37</v>
      </c>
      <c r="DR301" s="44" t="s">
        <v>37</v>
      </c>
      <c r="DT301" s="44" t="s">
        <v>37</v>
      </c>
      <c r="DV301" s="44" t="s">
        <v>37</v>
      </c>
      <c r="DX301" s="44" t="s">
        <v>37</v>
      </c>
      <c r="DZ301" s="44" t="s">
        <v>37</v>
      </c>
      <c r="EB301" s="44" t="s">
        <v>37</v>
      </c>
      <c r="ED301" s="44" t="s">
        <v>37</v>
      </c>
      <c r="EF301" s="44" t="s">
        <v>37</v>
      </c>
      <c r="EH301" s="44" t="s">
        <v>37</v>
      </c>
      <c r="EJ301" s="44" t="s">
        <v>37</v>
      </c>
      <c r="EL301" s="44" t="s">
        <v>37</v>
      </c>
      <c r="EN301" s="44" t="s">
        <v>37</v>
      </c>
      <c r="EP301" s="44" t="s">
        <v>37</v>
      </c>
      <c r="ER301" s="44" t="s">
        <v>37</v>
      </c>
      <c r="ET301" s="44" t="s">
        <v>37</v>
      </c>
      <c r="EV301" s="44" t="s">
        <v>37</v>
      </c>
      <c r="EX301" s="44" t="s">
        <v>37</v>
      </c>
      <c r="EZ301" s="44" t="s">
        <v>37</v>
      </c>
      <c r="FB301" s="44" t="s">
        <v>37</v>
      </c>
      <c r="FD301" s="44" t="s">
        <v>37</v>
      </c>
      <c r="FF301" s="44" t="s">
        <v>37</v>
      </c>
      <c r="FH301" s="44" t="s">
        <v>37</v>
      </c>
      <c r="FJ301" s="44" t="s">
        <v>37</v>
      </c>
      <c r="FL301" s="44" t="s">
        <v>37</v>
      </c>
      <c r="FN301" s="44" t="s">
        <v>37</v>
      </c>
      <c r="FP301" s="44" t="s">
        <v>37</v>
      </c>
      <c r="FR301" s="44" t="s">
        <v>37</v>
      </c>
      <c r="FT301" s="44" t="s">
        <v>37</v>
      </c>
      <c r="FV301" s="44" t="s">
        <v>37</v>
      </c>
      <c r="FX301" s="44" t="s">
        <v>37</v>
      </c>
      <c r="FZ301" s="44" t="s">
        <v>37</v>
      </c>
      <c r="GB301" s="44" t="s">
        <v>37</v>
      </c>
      <c r="GD301" s="44" t="s">
        <v>37</v>
      </c>
      <c r="GF301" s="44" t="s">
        <v>37</v>
      </c>
      <c r="GH301" s="44" t="s">
        <v>37</v>
      </c>
      <c r="GJ301" s="44" t="s">
        <v>37</v>
      </c>
      <c r="GL301" s="44" t="s">
        <v>37</v>
      </c>
      <c r="GN301" s="44" t="s">
        <v>37</v>
      </c>
      <c r="GP301" s="44" t="s">
        <v>37</v>
      </c>
      <c r="GR301" s="44" t="s">
        <v>37</v>
      </c>
      <c r="GT301" s="44" t="s">
        <v>37</v>
      </c>
      <c r="GV301" s="44" t="s">
        <v>37</v>
      </c>
      <c r="GX301" s="44" t="s">
        <v>37</v>
      </c>
      <c r="GZ301" s="44" t="s">
        <v>37</v>
      </c>
      <c r="HB301" s="44" t="s">
        <v>37</v>
      </c>
      <c r="HD301" s="44" t="s">
        <v>37</v>
      </c>
      <c r="HF301" s="44" t="s">
        <v>37</v>
      </c>
      <c r="HH301" s="44" t="s">
        <v>37</v>
      </c>
      <c r="HJ301" s="44" t="s">
        <v>37</v>
      </c>
      <c r="HL301" s="44" t="s">
        <v>37</v>
      </c>
    </row>
    <row r="302" spans="1:220">
      <c r="A302" s="150"/>
      <c r="B302" s="44" t="s">
        <v>90</v>
      </c>
      <c r="C302" s="44" t="s">
        <v>301</v>
      </c>
      <c r="D302" s="44" t="s">
        <v>37</v>
      </c>
      <c r="E302" s="44">
        <v>33801152</v>
      </c>
      <c r="F302" s="44" t="s">
        <v>37</v>
      </c>
      <c r="G302" s="44">
        <v>231975950</v>
      </c>
      <c r="H302" s="44" t="s">
        <v>37</v>
      </c>
      <c r="I302" s="44">
        <v>20158946</v>
      </c>
      <c r="J302" s="44" t="s">
        <v>37</v>
      </c>
      <c r="K302" s="44">
        <v>1347805</v>
      </c>
      <c r="L302" s="48" t="s">
        <v>37</v>
      </c>
      <c r="M302" s="51">
        <v>70163556</v>
      </c>
      <c r="N302" s="48" t="s">
        <v>37</v>
      </c>
      <c r="O302" s="51">
        <v>60360008</v>
      </c>
      <c r="P302" s="48" t="s">
        <v>37</v>
      </c>
      <c r="Q302" s="51">
        <v>23827299</v>
      </c>
      <c r="R302" s="48" t="s">
        <v>37</v>
      </c>
      <c r="S302" s="51">
        <v>31196349</v>
      </c>
      <c r="T302" s="48" t="s">
        <v>37</v>
      </c>
      <c r="U302" s="44">
        <v>123496845</v>
      </c>
      <c r="V302" s="44" t="s">
        <v>37</v>
      </c>
      <c r="W302" s="44">
        <v>1763905</v>
      </c>
      <c r="X302" s="44" t="s">
        <v>37</v>
      </c>
      <c r="Y302" s="44">
        <v>5280761</v>
      </c>
      <c r="Z302" s="44" t="s">
        <v>37</v>
      </c>
      <c r="AA302" s="44">
        <v>17104998</v>
      </c>
      <c r="AB302" s="44" t="s">
        <v>37</v>
      </c>
      <c r="AC302" s="44">
        <v>12555806</v>
      </c>
      <c r="AD302" s="44" t="s">
        <v>37</v>
      </c>
      <c r="AE302" s="44">
        <v>9527923</v>
      </c>
      <c r="AF302" s="44" t="s">
        <v>37</v>
      </c>
      <c r="AG302" s="44">
        <v>10188702</v>
      </c>
      <c r="AH302" s="44" t="s">
        <v>37</v>
      </c>
      <c r="AI302" s="44">
        <v>24261010</v>
      </c>
      <c r="AJ302" s="44" t="s">
        <v>37</v>
      </c>
      <c r="AK302" s="44">
        <v>1651460</v>
      </c>
      <c r="AL302" s="44" t="s">
        <v>37</v>
      </c>
      <c r="AM302" s="44">
        <v>334833942</v>
      </c>
      <c r="AN302" s="44" t="s">
        <v>37</v>
      </c>
      <c r="AO302" s="44">
        <v>4310459</v>
      </c>
      <c r="AP302" s="44" t="s">
        <v>37</v>
      </c>
      <c r="AQ302" s="44">
        <v>455482180</v>
      </c>
      <c r="AR302" s="44" t="s">
        <v>37</v>
      </c>
      <c r="AS302" s="44">
        <v>58812917</v>
      </c>
      <c r="AT302" s="44" t="s">
        <v>37</v>
      </c>
      <c r="AU302" s="44">
        <v>545161536</v>
      </c>
      <c r="AV302" s="44" t="s">
        <v>37</v>
      </c>
      <c r="AW302" s="44">
        <v>95987963</v>
      </c>
      <c r="AX302" s="44" t="s">
        <v>37</v>
      </c>
      <c r="AY302" s="44">
        <v>65524391</v>
      </c>
      <c r="AZ302" s="44" t="s">
        <v>37</v>
      </c>
      <c r="BA302" s="44">
        <v>106427896</v>
      </c>
      <c r="BB302" s="44" t="s">
        <v>37</v>
      </c>
      <c r="BC302" s="44">
        <v>23399445</v>
      </c>
      <c r="BD302" s="44" t="s">
        <v>37</v>
      </c>
      <c r="BE302" s="44">
        <v>30674352</v>
      </c>
      <c r="BF302" s="44" t="s">
        <v>37</v>
      </c>
      <c r="BG302" s="44">
        <v>11203353</v>
      </c>
      <c r="BH302" s="44" t="s">
        <v>37</v>
      </c>
      <c r="BI302" s="44">
        <v>1686476</v>
      </c>
      <c r="BJ302" s="44" t="s">
        <v>37</v>
      </c>
      <c r="BK302" s="44">
        <v>178576432</v>
      </c>
      <c r="BL302" s="44" t="s">
        <v>37</v>
      </c>
      <c r="BM302" s="44">
        <v>122089652</v>
      </c>
      <c r="BN302" s="44" t="s">
        <v>37</v>
      </c>
      <c r="BO302" s="44">
        <v>4250554</v>
      </c>
      <c r="BP302" s="44" t="s">
        <v>37</v>
      </c>
      <c r="BQ302" s="44">
        <v>8295739</v>
      </c>
      <c r="BR302" s="44" t="s">
        <v>37</v>
      </c>
      <c r="BS302" s="44">
        <v>30924650</v>
      </c>
      <c r="BT302" s="44" t="s">
        <v>37</v>
      </c>
      <c r="BU302" s="44">
        <v>13351793</v>
      </c>
      <c r="BV302" s="44" t="s">
        <v>37</v>
      </c>
      <c r="BW302" s="44">
        <v>1703847</v>
      </c>
      <c r="BX302" s="44" t="s">
        <v>37</v>
      </c>
      <c r="BY302" s="44">
        <v>235340947</v>
      </c>
      <c r="BZ302" s="44" t="s">
        <v>37</v>
      </c>
      <c r="CA302" s="44">
        <v>27549085</v>
      </c>
      <c r="CB302" s="44" t="s">
        <v>37</v>
      </c>
      <c r="CC302" s="44">
        <v>3250600</v>
      </c>
      <c r="CD302" s="44" t="s">
        <v>37</v>
      </c>
      <c r="CE302" s="44">
        <v>38843082</v>
      </c>
      <c r="CF302" s="44" t="s">
        <v>37</v>
      </c>
      <c r="CG302" s="44">
        <v>50056643</v>
      </c>
      <c r="CH302" s="44" t="s">
        <v>37</v>
      </c>
      <c r="CI302" s="44">
        <v>150351038</v>
      </c>
      <c r="CJ302" s="44" t="s">
        <v>37</v>
      </c>
      <c r="CK302" s="44">
        <v>11627203</v>
      </c>
      <c r="CL302" s="44" t="s">
        <v>37</v>
      </c>
      <c r="CM302" s="44">
        <v>39289041</v>
      </c>
      <c r="CN302" s="44" t="s">
        <v>37</v>
      </c>
      <c r="CO302" s="44">
        <v>12440744</v>
      </c>
      <c r="CP302" s="44" t="s">
        <v>37</v>
      </c>
      <c r="CQ302" s="44">
        <v>16230074</v>
      </c>
      <c r="CR302" s="44" t="s">
        <v>37</v>
      </c>
      <c r="CS302" s="44">
        <v>132801232</v>
      </c>
      <c r="CT302" s="44" t="s">
        <v>37</v>
      </c>
      <c r="CU302" s="44">
        <v>728119499</v>
      </c>
      <c r="CV302" s="44" t="s">
        <v>37</v>
      </c>
      <c r="CW302" s="44">
        <v>263390429</v>
      </c>
      <c r="CX302" s="44" t="s">
        <v>37</v>
      </c>
      <c r="CY302" s="44">
        <v>11208974</v>
      </c>
      <c r="CZ302" s="44" t="s">
        <v>37</v>
      </c>
      <c r="DA302" s="44">
        <v>16097265</v>
      </c>
      <c r="DB302" s="44" t="s">
        <v>37</v>
      </c>
      <c r="DC302" s="44">
        <v>3092588</v>
      </c>
      <c r="DD302" s="44" t="s">
        <v>37</v>
      </c>
      <c r="DE302" s="44">
        <v>28107157</v>
      </c>
      <c r="DF302" s="44" t="s">
        <v>37</v>
      </c>
      <c r="DG302" s="44">
        <v>15643857</v>
      </c>
      <c r="DH302" s="44" t="s">
        <v>37</v>
      </c>
      <c r="DI302" s="44">
        <v>526016873</v>
      </c>
      <c r="DJ302" s="44" t="s">
        <v>37</v>
      </c>
      <c r="DK302" s="44">
        <v>56170168</v>
      </c>
      <c r="DL302" s="44" t="s">
        <v>37</v>
      </c>
      <c r="DM302" s="44">
        <v>104582051</v>
      </c>
      <c r="DN302" s="44" t="s">
        <v>37</v>
      </c>
      <c r="DO302" s="44">
        <v>118669015</v>
      </c>
      <c r="DP302" s="44" t="s">
        <v>37</v>
      </c>
      <c r="DQ302" s="44">
        <v>72322522</v>
      </c>
      <c r="DR302" s="44" t="s">
        <v>37</v>
      </c>
      <c r="DS302" s="44">
        <v>54817247</v>
      </c>
      <c r="DT302" s="44" t="s">
        <v>37</v>
      </c>
      <c r="DU302" s="44">
        <v>35948103</v>
      </c>
      <c r="DV302" s="44" t="s">
        <v>37</v>
      </c>
      <c r="DW302" s="44">
        <v>223643001</v>
      </c>
      <c r="DX302" s="44" t="s">
        <v>37</v>
      </c>
      <c r="DY302" s="44">
        <v>125174381</v>
      </c>
      <c r="DZ302" s="44" t="s">
        <v>37</v>
      </c>
      <c r="EA302" s="44">
        <v>24944660</v>
      </c>
      <c r="EB302" s="44" t="s">
        <v>37</v>
      </c>
      <c r="EC302" s="44">
        <v>35097960</v>
      </c>
      <c r="ED302" s="44" t="s">
        <v>37</v>
      </c>
      <c r="EE302" s="44">
        <v>220171578</v>
      </c>
      <c r="EF302" s="44" t="s">
        <v>37</v>
      </c>
      <c r="EG302" s="44">
        <v>14020192</v>
      </c>
      <c r="EH302" s="44" t="s">
        <v>37</v>
      </c>
      <c r="EI302" s="44">
        <v>2498179</v>
      </c>
      <c r="EJ302" s="44" t="s">
        <v>37</v>
      </c>
      <c r="EK302" s="44">
        <v>27645822</v>
      </c>
      <c r="EL302" s="44" t="s">
        <v>37</v>
      </c>
      <c r="EM302" s="44">
        <v>20179279</v>
      </c>
      <c r="EN302" s="44" t="s">
        <v>37</v>
      </c>
      <c r="EO302" s="44">
        <v>10750935</v>
      </c>
      <c r="EP302" s="44" t="s">
        <v>37</v>
      </c>
      <c r="EQ302" s="44">
        <v>2253648</v>
      </c>
      <c r="ER302" s="44" t="s">
        <v>37</v>
      </c>
      <c r="ES302" s="44">
        <v>58346599</v>
      </c>
      <c r="ET302" s="44" t="s">
        <v>37</v>
      </c>
      <c r="EU302" s="44">
        <v>73342827</v>
      </c>
      <c r="EV302" s="44" t="s">
        <v>37</v>
      </c>
      <c r="EW302" s="44">
        <v>146841691</v>
      </c>
      <c r="EX302" s="44" t="s">
        <v>37</v>
      </c>
      <c r="EZ302" s="44" t="s">
        <v>37</v>
      </c>
      <c r="FA302" s="44">
        <v>40398932</v>
      </c>
      <c r="FB302" s="44" t="s">
        <v>37</v>
      </c>
      <c r="FC302" s="44">
        <v>49754186</v>
      </c>
      <c r="FD302" s="44" t="s">
        <v>37</v>
      </c>
      <c r="FE302" s="44">
        <v>107273649</v>
      </c>
      <c r="FF302" s="44" t="s">
        <v>37</v>
      </c>
      <c r="FG302" s="44">
        <v>827670</v>
      </c>
      <c r="FH302" s="44" t="s">
        <v>37</v>
      </c>
      <c r="FI302" s="44">
        <v>534591288</v>
      </c>
      <c r="FJ302" s="44" t="s">
        <v>37</v>
      </c>
      <c r="FK302" s="44">
        <v>426580844</v>
      </c>
      <c r="FL302" s="44" t="s">
        <v>37</v>
      </c>
      <c r="FM302" s="44">
        <v>279609412</v>
      </c>
      <c r="FN302" s="44" t="s">
        <v>37</v>
      </c>
      <c r="FO302" s="44">
        <v>21834345</v>
      </c>
      <c r="FP302" s="44" t="s">
        <v>37</v>
      </c>
      <c r="FQ302" s="44">
        <v>51751958</v>
      </c>
      <c r="FR302" s="44" t="s">
        <v>37</v>
      </c>
      <c r="FS302" s="44">
        <v>88925915</v>
      </c>
      <c r="FT302" s="44" t="s">
        <v>37</v>
      </c>
      <c r="FU302" s="44">
        <v>55201422</v>
      </c>
      <c r="FV302" s="44" t="s">
        <v>37</v>
      </c>
      <c r="FW302" s="44">
        <v>30474124</v>
      </c>
      <c r="FX302" s="44" t="s">
        <v>37</v>
      </c>
      <c r="FY302" s="44">
        <v>87193453</v>
      </c>
      <c r="FZ302" s="44" t="s">
        <v>37</v>
      </c>
      <c r="GA302" s="44">
        <v>112347978</v>
      </c>
      <c r="GB302" s="44" t="s">
        <v>37</v>
      </c>
      <c r="GC302" s="44">
        <v>102366007</v>
      </c>
      <c r="GD302" s="44" t="s">
        <v>37</v>
      </c>
      <c r="GE302" s="44">
        <v>2310316</v>
      </c>
      <c r="GF302" s="44" t="s">
        <v>37</v>
      </c>
      <c r="GG302" s="44">
        <v>3245476</v>
      </c>
      <c r="GH302" s="44" t="s">
        <v>37</v>
      </c>
      <c r="GI302" s="44">
        <v>2896100</v>
      </c>
      <c r="GJ302" s="44" t="s">
        <v>37</v>
      </c>
      <c r="GK302" s="44">
        <v>224227907</v>
      </c>
      <c r="GL302" s="44" t="s">
        <v>37</v>
      </c>
      <c r="GM302" s="44">
        <v>123657851</v>
      </c>
      <c r="GN302" s="44" t="s">
        <v>37</v>
      </c>
      <c r="GP302" s="44" t="s">
        <v>37</v>
      </c>
      <c r="GQ302" s="44">
        <v>92569454</v>
      </c>
      <c r="GR302" s="44" t="s">
        <v>37</v>
      </c>
      <c r="GS302" s="44">
        <v>82960153</v>
      </c>
      <c r="GT302" s="44" t="s">
        <v>37</v>
      </c>
      <c r="GU302" s="44">
        <v>50349909</v>
      </c>
      <c r="GV302" s="44" t="s">
        <v>37</v>
      </c>
      <c r="GW302" s="44">
        <v>67797772</v>
      </c>
      <c r="GX302" s="44" t="s">
        <v>37</v>
      </c>
      <c r="GY302" s="44">
        <v>245095855</v>
      </c>
      <c r="GZ302" s="44" t="s">
        <v>37</v>
      </c>
      <c r="HA302" s="44">
        <v>198825268</v>
      </c>
      <c r="HB302" s="44" t="s">
        <v>37</v>
      </c>
      <c r="HC302" s="44">
        <v>10727298</v>
      </c>
      <c r="HD302" s="44" t="s">
        <v>37</v>
      </c>
      <c r="HE302" s="44">
        <v>9221367</v>
      </c>
      <c r="HF302" s="44" t="s">
        <v>37</v>
      </c>
      <c r="HG302" s="44">
        <v>9591303485</v>
      </c>
      <c r="HH302" s="44" t="s">
        <v>37</v>
      </c>
      <c r="HI302" s="44">
        <v>19948665</v>
      </c>
      <c r="HJ302" s="44" t="s">
        <v>37</v>
      </c>
      <c r="HK302" s="44">
        <v>9611252150</v>
      </c>
      <c r="HL302" s="44" t="s">
        <v>37</v>
      </c>
    </row>
    <row r="303" spans="1:220">
      <c r="A303" s="150"/>
      <c r="D303" s="44" t="s">
        <v>37</v>
      </c>
      <c r="F303" s="44" t="s">
        <v>37</v>
      </c>
      <c r="H303" s="44" t="s">
        <v>37</v>
      </c>
      <c r="J303" s="44" t="s">
        <v>37</v>
      </c>
      <c r="L303" s="48" t="s">
        <v>37</v>
      </c>
      <c r="M303" s="51"/>
      <c r="N303" s="48" t="s">
        <v>37</v>
      </c>
      <c r="O303" s="51"/>
      <c r="P303" s="48" t="s">
        <v>37</v>
      </c>
      <c r="Q303" s="51"/>
      <c r="R303" s="48" t="s">
        <v>37</v>
      </c>
      <c r="S303" s="51"/>
      <c r="T303" s="48" t="s">
        <v>37</v>
      </c>
      <c r="V303" s="44" t="s">
        <v>37</v>
      </c>
      <c r="X303" s="44" t="s">
        <v>37</v>
      </c>
      <c r="Z303" s="44" t="s">
        <v>37</v>
      </c>
      <c r="AB303" s="44" t="s">
        <v>37</v>
      </c>
      <c r="AD303" s="44" t="s">
        <v>37</v>
      </c>
      <c r="AF303" s="44" t="s">
        <v>37</v>
      </c>
      <c r="AH303" s="44" t="s">
        <v>37</v>
      </c>
      <c r="AJ303" s="44" t="s">
        <v>37</v>
      </c>
      <c r="AL303" s="44" t="s">
        <v>37</v>
      </c>
      <c r="AN303" s="44" t="s">
        <v>37</v>
      </c>
      <c r="AP303" s="44" t="s">
        <v>37</v>
      </c>
      <c r="AR303" s="44" t="s">
        <v>37</v>
      </c>
      <c r="AT303" s="44" t="s">
        <v>37</v>
      </c>
      <c r="AV303" s="44" t="s">
        <v>37</v>
      </c>
      <c r="AX303" s="44" t="s">
        <v>37</v>
      </c>
      <c r="AZ303" s="44" t="s">
        <v>37</v>
      </c>
      <c r="BB303" s="44" t="s">
        <v>37</v>
      </c>
      <c r="BD303" s="44" t="s">
        <v>37</v>
      </c>
      <c r="BF303" s="44" t="s">
        <v>37</v>
      </c>
      <c r="BH303" s="44" t="s">
        <v>37</v>
      </c>
      <c r="BJ303" s="44" t="s">
        <v>37</v>
      </c>
      <c r="BL303" s="44" t="s">
        <v>37</v>
      </c>
      <c r="BN303" s="44" t="s">
        <v>37</v>
      </c>
      <c r="BP303" s="44" t="s">
        <v>37</v>
      </c>
      <c r="BR303" s="44" t="s">
        <v>37</v>
      </c>
      <c r="BT303" s="44" t="s">
        <v>37</v>
      </c>
      <c r="BV303" s="44" t="s">
        <v>37</v>
      </c>
      <c r="BX303" s="44" t="s">
        <v>37</v>
      </c>
      <c r="BZ303" s="44" t="s">
        <v>37</v>
      </c>
      <c r="CB303" s="44" t="s">
        <v>37</v>
      </c>
      <c r="CD303" s="44" t="s">
        <v>37</v>
      </c>
      <c r="CF303" s="44" t="s">
        <v>37</v>
      </c>
      <c r="CH303" s="44" t="s">
        <v>37</v>
      </c>
      <c r="CJ303" s="44" t="s">
        <v>37</v>
      </c>
      <c r="CL303" s="44" t="s">
        <v>37</v>
      </c>
      <c r="CN303" s="44" t="s">
        <v>37</v>
      </c>
      <c r="CP303" s="44" t="s">
        <v>37</v>
      </c>
      <c r="CR303" s="44" t="s">
        <v>37</v>
      </c>
      <c r="CT303" s="44" t="s">
        <v>37</v>
      </c>
      <c r="CV303" s="44" t="s">
        <v>37</v>
      </c>
      <c r="CX303" s="44" t="s">
        <v>37</v>
      </c>
      <c r="CZ303" s="44" t="s">
        <v>37</v>
      </c>
      <c r="DB303" s="44" t="s">
        <v>37</v>
      </c>
      <c r="DD303" s="44" t="s">
        <v>37</v>
      </c>
      <c r="DF303" s="44" t="s">
        <v>37</v>
      </c>
      <c r="DH303" s="44" t="s">
        <v>37</v>
      </c>
      <c r="DJ303" s="44" t="s">
        <v>37</v>
      </c>
      <c r="DL303" s="44" t="s">
        <v>37</v>
      </c>
      <c r="DN303" s="44" t="s">
        <v>37</v>
      </c>
      <c r="DP303" s="44" t="s">
        <v>37</v>
      </c>
      <c r="DR303" s="44" t="s">
        <v>37</v>
      </c>
      <c r="DT303" s="44" t="s">
        <v>37</v>
      </c>
      <c r="DV303" s="44" t="s">
        <v>37</v>
      </c>
      <c r="DX303" s="44" t="s">
        <v>37</v>
      </c>
      <c r="DZ303" s="44" t="s">
        <v>37</v>
      </c>
      <c r="EB303" s="44" t="s">
        <v>37</v>
      </c>
      <c r="ED303" s="44" t="s">
        <v>37</v>
      </c>
      <c r="EF303" s="44" t="s">
        <v>37</v>
      </c>
      <c r="EH303" s="44" t="s">
        <v>37</v>
      </c>
      <c r="EJ303" s="44" t="s">
        <v>37</v>
      </c>
      <c r="EL303" s="44" t="s">
        <v>37</v>
      </c>
      <c r="EN303" s="44" t="s">
        <v>37</v>
      </c>
      <c r="EP303" s="44" t="s">
        <v>37</v>
      </c>
      <c r="ER303" s="44" t="s">
        <v>37</v>
      </c>
      <c r="ET303" s="44" t="s">
        <v>37</v>
      </c>
      <c r="EV303" s="44" t="s">
        <v>37</v>
      </c>
      <c r="EX303" s="44" t="s">
        <v>37</v>
      </c>
      <c r="EZ303" s="44" t="s">
        <v>37</v>
      </c>
      <c r="FB303" s="44" t="s">
        <v>37</v>
      </c>
      <c r="FD303" s="44" t="s">
        <v>37</v>
      </c>
      <c r="FF303" s="44" t="s">
        <v>37</v>
      </c>
      <c r="FH303" s="44" t="s">
        <v>37</v>
      </c>
      <c r="FJ303" s="44" t="s">
        <v>37</v>
      </c>
      <c r="FL303" s="44" t="s">
        <v>37</v>
      </c>
      <c r="FN303" s="44" t="s">
        <v>37</v>
      </c>
      <c r="FP303" s="44" t="s">
        <v>37</v>
      </c>
      <c r="FR303" s="44" t="s">
        <v>37</v>
      </c>
      <c r="FT303" s="44" t="s">
        <v>37</v>
      </c>
      <c r="FV303" s="44" t="s">
        <v>37</v>
      </c>
      <c r="FX303" s="44" t="s">
        <v>37</v>
      </c>
      <c r="FZ303" s="44" t="s">
        <v>37</v>
      </c>
      <c r="GB303" s="44" t="s">
        <v>37</v>
      </c>
      <c r="GD303" s="44" t="s">
        <v>37</v>
      </c>
      <c r="GF303" s="44" t="s">
        <v>37</v>
      </c>
      <c r="GH303" s="44" t="s">
        <v>37</v>
      </c>
      <c r="GJ303" s="44" t="s">
        <v>37</v>
      </c>
      <c r="GL303" s="44" t="s">
        <v>37</v>
      </c>
      <c r="GN303" s="44" t="s">
        <v>37</v>
      </c>
      <c r="GP303" s="44" t="s">
        <v>37</v>
      </c>
      <c r="GR303" s="44" t="s">
        <v>37</v>
      </c>
      <c r="GT303" s="44" t="s">
        <v>37</v>
      </c>
      <c r="GV303" s="44" t="s">
        <v>37</v>
      </c>
      <c r="GX303" s="44" t="s">
        <v>37</v>
      </c>
      <c r="GZ303" s="44" t="s">
        <v>37</v>
      </c>
      <c r="HB303" s="44" t="s">
        <v>37</v>
      </c>
      <c r="HD303" s="44" t="s">
        <v>37</v>
      </c>
      <c r="HF303" s="44" t="s">
        <v>37</v>
      </c>
      <c r="HH303" s="44" t="s">
        <v>37</v>
      </c>
      <c r="HJ303" s="44" t="s">
        <v>37</v>
      </c>
      <c r="HL303" s="44" t="s">
        <v>37</v>
      </c>
    </row>
    <row r="304" spans="1:220">
      <c r="A304" s="150"/>
      <c r="B304" s="44" t="s">
        <v>90</v>
      </c>
      <c r="C304" s="44" t="s">
        <v>302</v>
      </c>
      <c r="D304" s="44" t="s">
        <v>37</v>
      </c>
      <c r="E304" s="44">
        <v>32993718</v>
      </c>
      <c r="F304" s="44" t="s">
        <v>37</v>
      </c>
      <c r="G304" s="44">
        <v>204295385</v>
      </c>
      <c r="H304" s="44" t="s">
        <v>37</v>
      </c>
      <c r="I304" s="44">
        <v>19834541</v>
      </c>
      <c r="J304" s="44" t="s">
        <v>37</v>
      </c>
      <c r="K304" s="44">
        <v>1309268</v>
      </c>
      <c r="L304" s="48" t="s">
        <v>37</v>
      </c>
      <c r="M304" s="51">
        <v>67903846</v>
      </c>
      <c r="N304" s="48" t="s">
        <v>37</v>
      </c>
      <c r="O304" s="51">
        <v>32197626</v>
      </c>
      <c r="P304" s="48" t="s">
        <v>37</v>
      </c>
      <c r="Q304" s="51">
        <v>23180885</v>
      </c>
      <c r="R304" s="48" t="s">
        <v>37</v>
      </c>
      <c r="S304" s="51">
        <v>30593549</v>
      </c>
      <c r="T304" s="48" t="s">
        <v>37</v>
      </c>
      <c r="U304" s="44">
        <v>112534259</v>
      </c>
      <c r="V304" s="44" t="s">
        <v>37</v>
      </c>
      <c r="W304" s="44">
        <v>1725463</v>
      </c>
      <c r="X304" s="44" t="s">
        <v>37</v>
      </c>
      <c r="Y304" s="44">
        <v>5280761</v>
      </c>
      <c r="Z304" s="44" t="s">
        <v>37</v>
      </c>
      <c r="AA304" s="44">
        <v>15440928</v>
      </c>
      <c r="AB304" s="44" t="s">
        <v>37</v>
      </c>
      <c r="AC304" s="44">
        <v>11415562</v>
      </c>
      <c r="AD304" s="44" t="s">
        <v>37</v>
      </c>
      <c r="AE304" s="44">
        <v>9331978</v>
      </c>
      <c r="AF304" s="44" t="s">
        <v>37</v>
      </c>
      <c r="AG304" s="44">
        <v>9214915</v>
      </c>
      <c r="AH304" s="44" t="s">
        <v>37</v>
      </c>
      <c r="AI304" s="44">
        <v>23569430</v>
      </c>
      <c r="AJ304" s="44" t="s">
        <v>37</v>
      </c>
      <c r="AK304" s="44">
        <v>1621112</v>
      </c>
      <c r="AL304" s="44" t="s">
        <v>37</v>
      </c>
      <c r="AM304" s="44">
        <v>216354609</v>
      </c>
      <c r="AN304" s="44" t="s">
        <v>37</v>
      </c>
      <c r="AO304" s="44">
        <v>4195787</v>
      </c>
      <c r="AP304" s="44" t="s">
        <v>37</v>
      </c>
      <c r="AQ304" s="44">
        <v>264504954</v>
      </c>
      <c r="AR304" s="44" t="s">
        <v>37</v>
      </c>
      <c r="AS304" s="44">
        <v>21247326</v>
      </c>
      <c r="AT304" s="44" t="s">
        <v>37</v>
      </c>
      <c r="AU304" s="44">
        <v>485622989</v>
      </c>
      <c r="AV304" s="44" t="s">
        <v>37</v>
      </c>
      <c r="AW304" s="44">
        <v>89351979</v>
      </c>
      <c r="AX304" s="44" t="s">
        <v>37</v>
      </c>
      <c r="AY304" s="44">
        <v>60351195</v>
      </c>
      <c r="AZ304" s="44" t="s">
        <v>37</v>
      </c>
      <c r="BA304" s="44">
        <v>70067081</v>
      </c>
      <c r="BB304" s="44" t="s">
        <v>37</v>
      </c>
      <c r="BC304" s="44">
        <v>12286439</v>
      </c>
      <c r="BD304" s="44" t="s">
        <v>37</v>
      </c>
      <c r="BE304" s="44">
        <v>28828435</v>
      </c>
      <c r="BF304" s="44" t="s">
        <v>37</v>
      </c>
      <c r="BG304" s="44">
        <v>10804097</v>
      </c>
      <c r="BH304" s="44" t="s">
        <v>37</v>
      </c>
      <c r="BI304" s="44">
        <v>1686476</v>
      </c>
      <c r="BJ304" s="44" t="s">
        <v>37</v>
      </c>
      <c r="BK304" s="44">
        <v>63595218</v>
      </c>
      <c r="BL304" s="44" t="s">
        <v>37</v>
      </c>
      <c r="BM304" s="44">
        <v>115170632</v>
      </c>
      <c r="BN304" s="44" t="s">
        <v>37</v>
      </c>
      <c r="BO304" s="44">
        <v>4250554</v>
      </c>
      <c r="BP304" s="44" t="s">
        <v>37</v>
      </c>
      <c r="BQ304" s="44">
        <v>7979170</v>
      </c>
      <c r="BR304" s="44" t="s">
        <v>37</v>
      </c>
      <c r="BS304" s="44">
        <v>29604201</v>
      </c>
      <c r="BT304" s="44" t="s">
        <v>37</v>
      </c>
      <c r="BU304" s="44">
        <v>12961494</v>
      </c>
      <c r="BV304" s="44" t="s">
        <v>37</v>
      </c>
      <c r="BW304" s="44">
        <v>1732517</v>
      </c>
      <c r="BX304" s="44" t="s">
        <v>37</v>
      </c>
      <c r="BY304" s="44">
        <v>163869529</v>
      </c>
      <c r="BZ304" s="44" t="s">
        <v>37</v>
      </c>
      <c r="CA304" s="44">
        <v>26874073</v>
      </c>
      <c r="CB304" s="44" t="s">
        <v>37</v>
      </c>
      <c r="CC304" s="44">
        <v>3250600</v>
      </c>
      <c r="CD304" s="44" t="s">
        <v>37</v>
      </c>
      <c r="CE304" s="44">
        <v>37758474</v>
      </c>
      <c r="CF304" s="44" t="s">
        <v>37</v>
      </c>
      <c r="CG304" s="44">
        <v>44998509</v>
      </c>
      <c r="CH304" s="44" t="s">
        <v>37</v>
      </c>
      <c r="CI304" s="44">
        <v>143272199</v>
      </c>
      <c r="CJ304" s="44" t="s">
        <v>37</v>
      </c>
      <c r="CK304" s="44">
        <v>11426579</v>
      </c>
      <c r="CL304" s="44" t="s">
        <v>37</v>
      </c>
      <c r="CM304" s="44">
        <v>36580399</v>
      </c>
      <c r="CN304" s="44" t="s">
        <v>37</v>
      </c>
      <c r="CO304" s="44">
        <v>11588179</v>
      </c>
      <c r="CP304" s="44" t="s">
        <v>37</v>
      </c>
      <c r="CQ304" s="44">
        <v>15399956</v>
      </c>
      <c r="CR304" s="44" t="s">
        <v>37</v>
      </c>
      <c r="CS304" s="44">
        <v>110580026</v>
      </c>
      <c r="CT304" s="44" t="s">
        <v>37</v>
      </c>
      <c r="CU304" s="44">
        <v>629765895</v>
      </c>
      <c r="CV304" s="44" t="s">
        <v>37</v>
      </c>
      <c r="CW304" s="44">
        <v>92665365</v>
      </c>
      <c r="CX304" s="44" t="s">
        <v>37</v>
      </c>
      <c r="CY304" s="44">
        <v>10904698</v>
      </c>
      <c r="CZ304" s="44" t="s">
        <v>37</v>
      </c>
      <c r="DA304" s="44">
        <v>14937536</v>
      </c>
      <c r="DB304" s="44" t="s">
        <v>37</v>
      </c>
      <c r="DC304" s="44">
        <v>2472820</v>
      </c>
      <c r="DD304" s="44" t="s">
        <v>37</v>
      </c>
      <c r="DE304" s="44">
        <v>24619155</v>
      </c>
      <c r="DF304" s="44" t="s">
        <v>37</v>
      </c>
      <c r="DG304" s="44">
        <v>14661705</v>
      </c>
      <c r="DH304" s="44" t="s">
        <v>37</v>
      </c>
      <c r="DI304" s="44">
        <v>385558525</v>
      </c>
      <c r="DJ304" s="44" t="s">
        <v>37</v>
      </c>
      <c r="DK304" s="44">
        <v>34946282</v>
      </c>
      <c r="DL304" s="44" t="s">
        <v>37</v>
      </c>
      <c r="DM304" s="44">
        <v>96893299</v>
      </c>
      <c r="DN304" s="44" t="s">
        <v>37</v>
      </c>
      <c r="DO304" s="44">
        <v>104406233</v>
      </c>
      <c r="DP304" s="44" t="s">
        <v>37</v>
      </c>
      <c r="DQ304" s="44">
        <v>50668727</v>
      </c>
      <c r="DR304" s="44" t="s">
        <v>37</v>
      </c>
      <c r="DS304" s="44">
        <v>31365393</v>
      </c>
      <c r="DT304" s="44" t="s">
        <v>37</v>
      </c>
      <c r="DU304" s="44">
        <v>28554006</v>
      </c>
      <c r="DV304" s="44" t="s">
        <v>37</v>
      </c>
      <c r="DW304" s="44">
        <v>209812394</v>
      </c>
      <c r="DX304" s="44" t="s">
        <v>37</v>
      </c>
      <c r="DY304" s="44">
        <v>86702032</v>
      </c>
      <c r="DZ304" s="44" t="s">
        <v>37</v>
      </c>
      <c r="EA304" s="44">
        <v>24710659</v>
      </c>
      <c r="EB304" s="44" t="s">
        <v>37</v>
      </c>
      <c r="EC304" s="44">
        <v>32764953</v>
      </c>
      <c r="ED304" s="44" t="s">
        <v>37</v>
      </c>
      <c r="EE304" s="44">
        <v>175508593</v>
      </c>
      <c r="EF304" s="44" t="s">
        <v>37</v>
      </c>
      <c r="EG304" s="44">
        <v>12025301</v>
      </c>
      <c r="EH304" s="44" t="s">
        <v>37</v>
      </c>
      <c r="EI304" s="44">
        <v>2377824</v>
      </c>
      <c r="EJ304" s="44" t="s">
        <v>37</v>
      </c>
      <c r="EK304" s="44">
        <v>25756206</v>
      </c>
      <c r="EL304" s="44" t="s">
        <v>37</v>
      </c>
      <c r="EM304" s="44">
        <v>19244690</v>
      </c>
      <c r="EN304" s="44" t="s">
        <v>37</v>
      </c>
      <c r="EO304" s="44">
        <v>10217015</v>
      </c>
      <c r="EP304" s="44" t="s">
        <v>37</v>
      </c>
      <c r="EQ304" s="44">
        <v>2053392</v>
      </c>
      <c r="ER304" s="44" t="s">
        <v>37</v>
      </c>
      <c r="ES304" s="44">
        <v>45873192</v>
      </c>
      <c r="ET304" s="44" t="s">
        <v>37</v>
      </c>
      <c r="EU304" s="44">
        <v>67489926</v>
      </c>
      <c r="EV304" s="44" t="s">
        <v>37</v>
      </c>
      <c r="EW304" s="44">
        <v>116069009</v>
      </c>
      <c r="EX304" s="44" t="s">
        <v>37</v>
      </c>
      <c r="EZ304" s="44" t="s">
        <v>37</v>
      </c>
      <c r="FA304" s="44">
        <v>38674897</v>
      </c>
      <c r="FB304" s="44" t="s">
        <v>37</v>
      </c>
      <c r="FC304" s="44">
        <v>40469885</v>
      </c>
      <c r="FD304" s="44" t="s">
        <v>37</v>
      </c>
      <c r="FE304" s="44">
        <v>79666142</v>
      </c>
      <c r="FF304" s="44" t="s">
        <v>37</v>
      </c>
      <c r="FG304" s="44">
        <v>810709</v>
      </c>
      <c r="FH304" s="44" t="s">
        <v>37</v>
      </c>
      <c r="FI304" s="44">
        <v>143168465</v>
      </c>
      <c r="FJ304" s="44" t="s">
        <v>37</v>
      </c>
      <c r="FK304" s="44">
        <v>330356944</v>
      </c>
      <c r="FL304" s="44" t="s">
        <v>37</v>
      </c>
      <c r="FM304" s="44">
        <v>230697192</v>
      </c>
      <c r="FN304" s="44" t="s">
        <v>37</v>
      </c>
      <c r="FO304" s="44">
        <v>20043261</v>
      </c>
      <c r="FP304" s="44" t="s">
        <v>37</v>
      </c>
      <c r="FQ304" s="44">
        <v>46444384</v>
      </c>
      <c r="FR304" s="44" t="s">
        <v>37</v>
      </c>
      <c r="FS304" s="44">
        <v>74918239</v>
      </c>
      <c r="FT304" s="44" t="s">
        <v>37</v>
      </c>
      <c r="FU304" s="44">
        <v>31848139</v>
      </c>
      <c r="FV304" s="44" t="s">
        <v>37</v>
      </c>
      <c r="FW304" s="44">
        <v>26130844</v>
      </c>
      <c r="FX304" s="44" t="s">
        <v>37</v>
      </c>
      <c r="FY304" s="44">
        <v>74898046</v>
      </c>
      <c r="FZ304" s="44" t="s">
        <v>37</v>
      </c>
      <c r="GA304" s="44">
        <v>91951329</v>
      </c>
      <c r="GB304" s="44" t="s">
        <v>37</v>
      </c>
      <c r="GC304" s="44">
        <v>96326793</v>
      </c>
      <c r="GD304" s="44" t="s">
        <v>37</v>
      </c>
      <c r="GE304" s="44">
        <v>2236843</v>
      </c>
      <c r="GF304" s="44" t="s">
        <v>37</v>
      </c>
      <c r="GG304" s="44">
        <v>3043781</v>
      </c>
      <c r="GH304" s="44" t="s">
        <v>37</v>
      </c>
      <c r="GI304" s="44">
        <v>2848589</v>
      </c>
      <c r="GJ304" s="44" t="s">
        <v>37</v>
      </c>
      <c r="GK304" s="44">
        <v>80069979</v>
      </c>
      <c r="GL304" s="44" t="s">
        <v>37</v>
      </c>
      <c r="GM304" s="44">
        <v>77940215</v>
      </c>
      <c r="GN304" s="44" t="s">
        <v>37</v>
      </c>
      <c r="GP304" s="44" t="s">
        <v>37</v>
      </c>
      <c r="GQ304" s="44">
        <v>41928630</v>
      </c>
      <c r="GR304" s="44" t="s">
        <v>37</v>
      </c>
      <c r="GS304" s="44">
        <v>54416185</v>
      </c>
      <c r="GT304" s="44" t="s">
        <v>37</v>
      </c>
      <c r="GU304" s="44">
        <v>46916193</v>
      </c>
      <c r="GV304" s="44" t="s">
        <v>37</v>
      </c>
      <c r="GW304" s="44">
        <v>66867583</v>
      </c>
      <c r="GX304" s="44" t="s">
        <v>37</v>
      </c>
      <c r="GY304" s="44">
        <v>161525969</v>
      </c>
      <c r="GZ304" s="44" t="s">
        <v>37</v>
      </c>
      <c r="HA304" s="44">
        <v>83483948</v>
      </c>
      <c r="HB304" s="44" t="s">
        <v>37</v>
      </c>
      <c r="HC304" s="44">
        <v>10727298</v>
      </c>
      <c r="HD304" s="44" t="s">
        <v>37</v>
      </c>
      <c r="HE304" s="44">
        <v>9221367</v>
      </c>
      <c r="HF304" s="44" t="s">
        <v>37</v>
      </c>
      <c r="HG304" s="44">
        <v>7009344911</v>
      </c>
      <c r="HH304" s="44" t="s">
        <v>37</v>
      </c>
      <c r="HI304" s="44">
        <v>19948665</v>
      </c>
      <c r="HJ304" s="44" t="s">
        <v>37</v>
      </c>
      <c r="HK304" s="44">
        <v>7029293576</v>
      </c>
      <c r="HL304" s="44" t="s">
        <v>37</v>
      </c>
    </row>
    <row r="305" spans="1:3">
      <c r="A305" s="150"/>
    </row>
    <row r="306" spans="1:3">
      <c r="A306" s="150"/>
    </row>
    <row r="307" spans="1:3">
      <c r="A307" s="150"/>
    </row>
    <row r="308" spans="1:3">
      <c r="A308" s="150"/>
    </row>
    <row r="309" spans="1:3">
      <c r="A309" s="150"/>
    </row>
    <row r="310" spans="1:3">
      <c r="A310" s="150"/>
    </row>
    <row r="311" spans="1:3">
      <c r="A311" s="150"/>
    </row>
    <row r="312" spans="1:3" ht="15" customHeight="1">
      <c r="A312" s="150"/>
      <c r="B312" s="53" t="s">
        <v>406</v>
      </c>
      <c r="C312" s="54"/>
    </row>
    <row r="313" spans="1:3">
      <c r="A313" s="150"/>
    </row>
    <row r="314" spans="1:3">
      <c r="A314" s="150"/>
      <c r="B314" s="44" t="s">
        <v>684</v>
      </c>
    </row>
    <row r="315" spans="1:3">
      <c r="A315" s="150"/>
    </row>
    <row r="316" spans="1:3">
      <c r="A316" s="150"/>
    </row>
    <row r="317" spans="1:3">
      <c r="A317" s="150"/>
    </row>
    <row r="318" spans="1:3">
      <c r="A318" s="150"/>
    </row>
    <row r="319" spans="1:3">
      <c r="A319" s="150"/>
    </row>
    <row r="320" spans="1:3">
      <c r="A320" s="150"/>
    </row>
    <row r="321" spans="1:1">
      <c r="A321" s="150"/>
    </row>
    <row r="322" spans="1:1">
      <c r="A322" s="150"/>
    </row>
    <row r="323" spans="1:1">
      <c r="A323" s="150"/>
    </row>
    <row r="324" spans="1:1">
      <c r="A324" s="150"/>
    </row>
    <row r="325" spans="1:1">
      <c r="A325" s="150"/>
    </row>
    <row r="326" spans="1:1">
      <c r="A326" s="150"/>
    </row>
    <row r="327" spans="1:1">
      <c r="A327" s="150"/>
    </row>
    <row r="328" spans="1:1">
      <c r="A328" s="150"/>
    </row>
    <row r="329" spans="1:1">
      <c r="A329" s="150"/>
    </row>
    <row r="330" spans="1:1">
      <c r="A330" s="150"/>
    </row>
    <row r="331" spans="1:1">
      <c r="A331" s="150"/>
    </row>
    <row r="332" spans="1:1">
      <c r="A332" s="150"/>
    </row>
    <row r="333" spans="1:1">
      <c r="A333" s="150"/>
    </row>
    <row r="334" spans="1:1">
      <c r="A334" s="150"/>
    </row>
    <row r="335" spans="1:1">
      <c r="A335" s="150"/>
    </row>
    <row r="336" spans="1:1">
      <c r="A336" s="150"/>
    </row>
    <row r="337" spans="1:1">
      <c r="A337" s="150"/>
    </row>
    <row r="338" spans="1:1">
      <c r="A338" s="150"/>
    </row>
    <row r="339" spans="1:1">
      <c r="A339" s="150"/>
    </row>
    <row r="340" spans="1:1">
      <c r="A340" s="150"/>
    </row>
    <row r="341" spans="1:1">
      <c r="A341" s="150"/>
    </row>
    <row r="342" spans="1:1">
      <c r="A342" s="150"/>
    </row>
    <row r="343" spans="1:1">
      <c r="A343" s="150"/>
    </row>
    <row r="344" spans="1:1">
      <c r="A344" s="150"/>
    </row>
    <row r="345" spans="1:1">
      <c r="A345" s="150"/>
    </row>
    <row r="346" spans="1:1">
      <c r="A346" s="150"/>
    </row>
    <row r="347" spans="1:1">
      <c r="A347" s="150"/>
    </row>
    <row r="348" spans="1:1">
      <c r="A348" s="150"/>
    </row>
    <row r="349" spans="1:1">
      <c r="A349" s="150"/>
    </row>
    <row r="350" spans="1:1">
      <c r="A350" s="150"/>
    </row>
    <row r="351" spans="1:1">
      <c r="A351" s="150"/>
    </row>
    <row r="352" spans="1:1">
      <c r="A352" s="150"/>
    </row>
    <row r="353" spans="1:1">
      <c r="A353" s="150"/>
    </row>
    <row r="354" spans="1:1">
      <c r="A354" s="150"/>
    </row>
    <row r="355" spans="1:1">
      <c r="A355" s="150"/>
    </row>
    <row r="356" spans="1:1">
      <c r="A356" s="150"/>
    </row>
    <row r="357" spans="1:1">
      <c r="A357" s="150"/>
    </row>
    <row r="358" spans="1:1">
      <c r="A358" s="150"/>
    </row>
    <row r="359" spans="1:1">
      <c r="A359" s="150"/>
    </row>
    <row r="360" spans="1:1">
      <c r="A360" s="150"/>
    </row>
    <row r="361" spans="1:1">
      <c r="A361" s="150"/>
    </row>
    <row r="362" spans="1:1">
      <c r="A362" s="150"/>
    </row>
    <row r="363" spans="1:1">
      <c r="A363" s="150"/>
    </row>
    <row r="364" spans="1:1">
      <c r="A364" s="150"/>
    </row>
    <row r="365" spans="1:1">
      <c r="A365" s="150"/>
    </row>
    <row r="366" spans="1:1">
      <c r="A366" s="150"/>
    </row>
    <row r="367" spans="1:1">
      <c r="A367" s="150"/>
    </row>
    <row r="368" spans="1:1">
      <c r="A368" s="150"/>
    </row>
    <row r="369" spans="1:1">
      <c r="A369" s="1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K344"/>
  <sheetViews>
    <sheetView workbookViewId="0">
      <pane xSplit="3" ySplit="6" topLeftCell="D7" activePane="bottomRight" state="frozen"/>
      <selection pane="topRight" activeCell="D1" sqref="D1"/>
      <selection pane="bottomLeft" activeCell="A7" sqref="A7"/>
      <selection pane="bottomRight"/>
    </sheetView>
  </sheetViews>
  <sheetFormatPr defaultRowHeight="11.25"/>
  <cols>
    <col min="1" max="1" width="9.33203125" style="46"/>
    <col min="2" max="2" width="9.33203125" style="44"/>
    <col min="3" max="3" width="45.33203125" style="44" customWidth="1"/>
    <col min="4" max="111" width="20.83203125" style="44" customWidth="1"/>
    <col min="112" max="112" width="9.33203125" style="44"/>
    <col min="113" max="113" width="21" style="44" customWidth="1"/>
    <col min="114" max="16384" width="9.33203125" style="44"/>
  </cols>
  <sheetData>
    <row r="1" spans="1:112" ht="15.95" customHeight="1">
      <c r="A1" s="155" t="s">
        <v>692</v>
      </c>
      <c r="B1" s="152"/>
      <c r="C1" s="152"/>
      <c r="D1" s="152"/>
      <c r="E1" s="152"/>
      <c r="F1" s="152"/>
      <c r="G1" s="152"/>
      <c r="H1" s="152"/>
      <c r="I1" s="152"/>
      <c r="J1" s="152"/>
      <c r="K1" s="152"/>
    </row>
    <row r="2" spans="1:112" ht="15.95" customHeight="1">
      <c r="A2" s="156" t="s">
        <v>693</v>
      </c>
      <c r="B2" s="152"/>
      <c r="C2" s="152"/>
      <c r="D2" s="152"/>
      <c r="E2" s="152"/>
      <c r="F2" s="152"/>
      <c r="G2" s="152"/>
      <c r="H2" s="152"/>
      <c r="I2" s="152"/>
      <c r="J2" s="152"/>
      <c r="K2" s="152"/>
      <c r="L2" s="208" t="s">
        <v>711</v>
      </c>
      <c r="M2" s="208"/>
      <c r="N2" s="208"/>
      <c r="O2" s="208"/>
    </row>
    <row r="3" spans="1:112" ht="15.95" customHeight="1">
      <c r="A3" s="157" t="s">
        <v>691</v>
      </c>
      <c r="B3" s="152"/>
      <c r="C3" s="152"/>
      <c r="D3" s="152"/>
      <c r="E3" s="152"/>
      <c r="F3" s="152"/>
      <c r="G3" s="152"/>
      <c r="H3" s="152"/>
      <c r="I3" s="152"/>
      <c r="J3" s="152"/>
      <c r="K3" s="152"/>
    </row>
    <row r="4" spans="1:112" ht="15.95" customHeight="1">
      <c r="D4" s="48"/>
    </row>
    <row r="5" spans="1:112">
      <c r="A5" s="154" t="s">
        <v>685</v>
      </c>
    </row>
    <row r="6" spans="1:112" s="58" customFormat="1">
      <c r="A6" s="154" t="s">
        <v>686</v>
      </c>
      <c r="D6" s="58" t="s">
        <v>38</v>
      </c>
      <c r="E6" s="58" t="s">
        <v>39</v>
      </c>
      <c r="F6" s="58" t="s">
        <v>40</v>
      </c>
      <c r="G6" s="58" t="s">
        <v>41</v>
      </c>
      <c r="H6" s="59" t="s">
        <v>303</v>
      </c>
      <c r="I6" s="59" t="s">
        <v>304</v>
      </c>
      <c r="J6" s="59" t="s">
        <v>305</v>
      </c>
      <c r="K6" s="59" t="s">
        <v>306</v>
      </c>
      <c r="L6" s="58" t="s">
        <v>307</v>
      </c>
      <c r="M6" s="58" t="s">
        <v>308</v>
      </c>
      <c r="N6" s="58" t="s">
        <v>309</v>
      </c>
      <c r="O6" s="58" t="s">
        <v>310</v>
      </c>
      <c r="P6" s="58" t="s">
        <v>311</v>
      </c>
      <c r="Q6" s="58" t="s">
        <v>312</v>
      </c>
      <c r="R6" s="58" t="s">
        <v>313</v>
      </c>
      <c r="S6" s="58" t="s">
        <v>314</v>
      </c>
      <c r="T6" s="58" t="s">
        <v>315</v>
      </c>
      <c r="U6" s="58" t="s">
        <v>316</v>
      </c>
      <c r="V6" s="58" t="s">
        <v>317</v>
      </c>
      <c r="W6" s="58" t="s">
        <v>318</v>
      </c>
      <c r="X6" s="58" t="s">
        <v>319</v>
      </c>
      <c r="Y6" s="58" t="s">
        <v>320</v>
      </c>
      <c r="Z6" s="58" t="s">
        <v>321</v>
      </c>
      <c r="AA6" s="58" t="s">
        <v>322</v>
      </c>
      <c r="AB6" s="58" t="s">
        <v>323</v>
      </c>
      <c r="AC6" s="58" t="s">
        <v>324</v>
      </c>
      <c r="AD6" s="58" t="s">
        <v>325</v>
      </c>
      <c r="AE6" s="58" t="s">
        <v>326</v>
      </c>
      <c r="AF6" s="58" t="s">
        <v>327</v>
      </c>
      <c r="AG6" s="58" t="s">
        <v>328</v>
      </c>
      <c r="AH6" s="58" t="s">
        <v>329</v>
      </c>
      <c r="AI6" s="58" t="s">
        <v>330</v>
      </c>
      <c r="AJ6" s="58" t="s">
        <v>331</v>
      </c>
      <c r="AK6" s="58" t="s">
        <v>332</v>
      </c>
      <c r="AL6" s="58" t="s">
        <v>333</v>
      </c>
      <c r="AM6" s="58" t="s">
        <v>334</v>
      </c>
      <c r="AN6" s="58" t="s">
        <v>335</v>
      </c>
      <c r="AO6" s="58" t="s">
        <v>336</v>
      </c>
      <c r="AP6" s="58" t="s">
        <v>337</v>
      </c>
      <c r="AQ6" s="58" t="s">
        <v>338</v>
      </c>
      <c r="AR6" s="58" t="s">
        <v>339</v>
      </c>
      <c r="AS6" s="58" t="s">
        <v>340</v>
      </c>
      <c r="AT6" s="58" t="s">
        <v>341</v>
      </c>
      <c r="AU6" s="58" t="s">
        <v>342</v>
      </c>
      <c r="AV6" s="58" t="s">
        <v>343</v>
      </c>
      <c r="AW6" s="58" t="s">
        <v>344</v>
      </c>
      <c r="AX6" s="58" t="s">
        <v>345</v>
      </c>
      <c r="AY6" s="58" t="s">
        <v>346</v>
      </c>
      <c r="AZ6" s="58" t="s">
        <v>347</v>
      </c>
      <c r="BA6" s="58" t="s">
        <v>348</v>
      </c>
      <c r="BB6" s="58" t="s">
        <v>349</v>
      </c>
      <c r="BC6" s="58" t="s">
        <v>350</v>
      </c>
      <c r="BD6" s="58" t="s">
        <v>351</v>
      </c>
      <c r="BE6" s="58" t="s">
        <v>352</v>
      </c>
      <c r="BF6" s="58" t="s">
        <v>353</v>
      </c>
      <c r="BG6" s="58" t="s">
        <v>354</v>
      </c>
      <c r="BH6" s="58" t="s">
        <v>355</v>
      </c>
      <c r="BI6" s="58" t="s">
        <v>356</v>
      </c>
      <c r="BJ6" s="58" t="s">
        <v>357</v>
      </c>
      <c r="BK6" s="58" t="s">
        <v>358</v>
      </c>
      <c r="BL6" s="58" t="s">
        <v>359</v>
      </c>
      <c r="BM6" s="58" t="s">
        <v>360</v>
      </c>
      <c r="BN6" s="58" t="s">
        <v>361</v>
      </c>
      <c r="BO6" s="58" t="s">
        <v>362</v>
      </c>
      <c r="BP6" s="58" t="s">
        <v>363</v>
      </c>
      <c r="BQ6" s="58" t="s">
        <v>364</v>
      </c>
      <c r="BR6" s="58" t="s">
        <v>365</v>
      </c>
      <c r="BS6" s="58" t="s">
        <v>366</v>
      </c>
      <c r="BT6" s="58" t="s">
        <v>367</v>
      </c>
      <c r="BU6" s="58" t="s">
        <v>368</v>
      </c>
      <c r="BV6" s="58" t="s">
        <v>369</v>
      </c>
      <c r="BW6" s="58" t="s">
        <v>370</v>
      </c>
      <c r="BX6" s="58" t="s">
        <v>371</v>
      </c>
      <c r="BY6" s="58" t="s">
        <v>372</v>
      </c>
      <c r="BZ6" s="58" t="s">
        <v>373</v>
      </c>
      <c r="CA6" s="58" t="s">
        <v>374</v>
      </c>
      <c r="CB6" s="58" t="s">
        <v>375</v>
      </c>
      <c r="CC6" s="58" t="s">
        <v>376</v>
      </c>
      <c r="CD6" s="58" t="s">
        <v>377</v>
      </c>
      <c r="CE6" s="58" t="s">
        <v>378</v>
      </c>
      <c r="CF6" s="58" t="s">
        <v>379</v>
      </c>
      <c r="CG6" s="58" t="s">
        <v>380</v>
      </c>
      <c r="CH6" s="58" t="s">
        <v>381</v>
      </c>
      <c r="CI6" s="58" t="s">
        <v>382</v>
      </c>
      <c r="CJ6" s="58" t="s">
        <v>383</v>
      </c>
      <c r="CK6" s="58" t="s">
        <v>384</v>
      </c>
      <c r="CL6" s="58" t="s">
        <v>385</v>
      </c>
      <c r="CM6" s="58" t="s">
        <v>386</v>
      </c>
      <c r="CN6" s="58" t="s">
        <v>387</v>
      </c>
      <c r="CO6" s="58" t="s">
        <v>388</v>
      </c>
      <c r="CP6" s="58" t="s">
        <v>389</v>
      </c>
      <c r="CQ6" s="58" t="s">
        <v>390</v>
      </c>
      <c r="CR6" s="58" t="s">
        <v>391</v>
      </c>
      <c r="CS6" s="58" t="s">
        <v>392</v>
      </c>
      <c r="CT6" s="58" t="s">
        <v>393</v>
      </c>
      <c r="CU6" s="58" t="s">
        <v>394</v>
      </c>
      <c r="CV6" s="58" t="s">
        <v>395</v>
      </c>
      <c r="CW6" s="58" t="s">
        <v>396</v>
      </c>
      <c r="CX6" s="58" t="s">
        <v>397</v>
      </c>
      <c r="CY6" s="58" t="s">
        <v>398</v>
      </c>
      <c r="CZ6" s="58" t="s">
        <v>399</v>
      </c>
      <c r="DA6" s="58" t="s">
        <v>400</v>
      </c>
      <c r="DB6" s="58" t="s">
        <v>401</v>
      </c>
      <c r="DC6" s="58" t="s">
        <v>29</v>
      </c>
      <c r="DD6" s="58" t="s">
        <v>402</v>
      </c>
      <c r="DE6" s="58" t="s">
        <v>403</v>
      </c>
      <c r="DF6" s="58" t="s">
        <v>404</v>
      </c>
      <c r="DG6" s="58" t="s">
        <v>405</v>
      </c>
    </row>
    <row r="7" spans="1:112">
      <c r="D7" s="52"/>
      <c r="E7" s="52"/>
      <c r="F7" s="52"/>
      <c r="G7" s="52"/>
      <c r="H7" s="56"/>
      <c r="I7" s="56"/>
      <c r="J7" s="56"/>
      <c r="K7" s="56"/>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row>
    <row r="8" spans="1:112">
      <c r="A8" s="150" t="s">
        <v>409</v>
      </c>
      <c r="B8" s="44">
        <v>1110</v>
      </c>
      <c r="C8" s="44" t="s">
        <v>44</v>
      </c>
      <c r="D8" s="52">
        <v>1520764</v>
      </c>
      <c r="E8" s="52">
        <v>60312472</v>
      </c>
      <c r="F8" s="52">
        <v>4709102</v>
      </c>
      <c r="G8" s="52"/>
      <c r="H8" s="56"/>
      <c r="I8" s="56"/>
      <c r="J8" s="56"/>
      <c r="K8" s="56"/>
      <c r="L8" s="52"/>
      <c r="M8" s="52"/>
      <c r="N8" s="52"/>
      <c r="O8" s="52">
        <v>3518785</v>
      </c>
      <c r="P8" s="52"/>
      <c r="Q8" s="52">
        <v>1608309</v>
      </c>
      <c r="R8" s="52">
        <v>1694415</v>
      </c>
      <c r="S8" s="52">
        <v>4983807</v>
      </c>
      <c r="T8" s="52"/>
      <c r="U8" s="52"/>
      <c r="V8" s="52"/>
      <c r="W8" s="52">
        <v>81057233</v>
      </c>
      <c r="X8" s="52"/>
      <c r="Y8" s="52">
        <v>237617163</v>
      </c>
      <c r="Z8" s="52">
        <v>20857424</v>
      </c>
      <c r="AA8" s="52">
        <v>15774043</v>
      </c>
      <c r="AB8" s="52">
        <v>13611432</v>
      </c>
      <c r="AC8" s="52"/>
      <c r="AD8" s="52"/>
      <c r="AE8" s="52"/>
      <c r="AF8" s="52"/>
      <c r="AG8" s="52">
        <v>3633589</v>
      </c>
      <c r="AH8" s="52">
        <v>31643785</v>
      </c>
      <c r="AI8" s="52">
        <v>1164045</v>
      </c>
      <c r="AJ8" s="52"/>
      <c r="AK8" s="52"/>
      <c r="AL8" s="52">
        <v>1669444</v>
      </c>
      <c r="AM8" s="52">
        <v>773207</v>
      </c>
      <c r="AN8" s="52">
        <v>47974404</v>
      </c>
      <c r="AO8" s="52">
        <v>9991137</v>
      </c>
      <c r="AP8" s="52"/>
      <c r="AQ8" s="52">
        <v>9211573</v>
      </c>
      <c r="AR8" s="52"/>
      <c r="AS8" s="52"/>
      <c r="AT8" s="52"/>
      <c r="AU8" s="52">
        <v>6118718</v>
      </c>
      <c r="AV8" s="52">
        <v>2340676</v>
      </c>
      <c r="AW8" s="52"/>
      <c r="AX8" s="52">
        <v>53912753</v>
      </c>
      <c r="AY8" s="52">
        <v>209875704</v>
      </c>
      <c r="AZ8" s="52"/>
      <c r="BA8" s="52"/>
      <c r="BB8" s="52"/>
      <c r="BC8" s="52"/>
      <c r="BD8" s="52"/>
      <c r="BE8" s="52"/>
      <c r="BF8" s="52">
        <v>189882593</v>
      </c>
      <c r="BG8" s="52"/>
      <c r="BH8" s="52"/>
      <c r="BI8" s="52">
        <v>27833046</v>
      </c>
      <c r="BJ8" s="52">
        <v>12598542</v>
      </c>
      <c r="BK8" s="52">
        <v>4931133</v>
      </c>
      <c r="BL8" s="52"/>
      <c r="BM8" s="52">
        <v>54022433</v>
      </c>
      <c r="BN8" s="52">
        <v>28570445</v>
      </c>
      <c r="BO8" s="52">
        <v>8785696</v>
      </c>
      <c r="BP8" s="52">
        <v>6370433</v>
      </c>
      <c r="BQ8" s="52">
        <v>75156901</v>
      </c>
      <c r="BR8" s="52"/>
      <c r="BS8" s="52">
        <v>1031638</v>
      </c>
      <c r="BT8" s="52"/>
      <c r="BU8" s="52"/>
      <c r="BV8" s="52"/>
      <c r="BW8" s="52">
        <v>829221</v>
      </c>
      <c r="BX8" s="52">
        <v>7589855</v>
      </c>
      <c r="BY8" s="52">
        <v>21368223</v>
      </c>
      <c r="BZ8" s="52"/>
      <c r="CA8" s="52"/>
      <c r="CB8" s="52">
        <v>8411421</v>
      </c>
      <c r="CC8" s="52">
        <v>9864404</v>
      </c>
      <c r="CD8" s="52">
        <v>22697920</v>
      </c>
      <c r="CE8" s="52"/>
      <c r="CF8" s="52">
        <v>41771782</v>
      </c>
      <c r="CG8" s="52"/>
      <c r="CH8" s="52"/>
      <c r="CI8" s="52"/>
      <c r="CJ8" s="52">
        <v>15002986</v>
      </c>
      <c r="CK8" s="52">
        <v>19399837</v>
      </c>
      <c r="CL8" s="52">
        <v>10606763</v>
      </c>
      <c r="CM8" s="52">
        <v>6064849</v>
      </c>
      <c r="CN8" s="52">
        <v>27007132</v>
      </c>
      <c r="CO8" s="52">
        <v>34914489</v>
      </c>
      <c r="CP8" s="52">
        <v>35418636</v>
      </c>
      <c r="CQ8" s="52">
        <v>1220480</v>
      </c>
      <c r="CR8" s="52">
        <v>1790126</v>
      </c>
      <c r="CS8" s="52"/>
      <c r="CT8" s="52"/>
      <c r="CU8" s="52"/>
      <c r="CV8" s="52"/>
      <c r="CW8" s="52">
        <v>7548390</v>
      </c>
      <c r="CX8" s="52">
        <v>6863244</v>
      </c>
      <c r="CY8" s="52">
        <v>8885582</v>
      </c>
      <c r="CZ8" s="52">
        <v>37156040</v>
      </c>
      <c r="DA8" s="52">
        <v>51613941</v>
      </c>
      <c r="DB8" s="52">
        <v>34135864</v>
      </c>
      <c r="DC8" s="52"/>
      <c r="DD8" s="52"/>
      <c r="DE8" s="52">
        <v>1644918029</v>
      </c>
      <c r="DF8" s="52"/>
      <c r="DG8" s="52">
        <v>1644918029</v>
      </c>
      <c r="DH8" s="52"/>
    </row>
    <row r="9" spans="1:112">
      <c r="A9" s="150" t="s">
        <v>409</v>
      </c>
      <c r="B9" s="44">
        <v>1140</v>
      </c>
      <c r="C9" s="44" t="s">
        <v>45</v>
      </c>
      <c r="D9" s="52">
        <v>132769</v>
      </c>
      <c r="E9" s="52">
        <v>2319640</v>
      </c>
      <c r="F9" s="52">
        <v>10538</v>
      </c>
      <c r="G9" s="52"/>
      <c r="H9" s="56"/>
      <c r="I9" s="56"/>
      <c r="J9" s="56"/>
      <c r="K9" s="56"/>
      <c r="L9" s="52"/>
      <c r="M9" s="52"/>
      <c r="N9" s="52"/>
      <c r="O9" s="52"/>
      <c r="P9" s="52"/>
      <c r="Q9" s="52">
        <v>22174</v>
      </c>
      <c r="R9" s="52">
        <v>315835</v>
      </c>
      <c r="S9" s="52"/>
      <c r="T9" s="52"/>
      <c r="U9" s="52"/>
      <c r="V9" s="52"/>
      <c r="W9" s="52">
        <v>283069</v>
      </c>
      <c r="X9" s="52"/>
      <c r="Y9" s="52">
        <v>7206803</v>
      </c>
      <c r="Z9" s="52"/>
      <c r="AA9" s="52"/>
      <c r="AB9" s="52">
        <v>69856</v>
      </c>
      <c r="AC9" s="52"/>
      <c r="AD9" s="52"/>
      <c r="AE9" s="52"/>
      <c r="AF9" s="52"/>
      <c r="AG9" s="52"/>
      <c r="AH9" s="52">
        <v>149802</v>
      </c>
      <c r="AI9" s="52"/>
      <c r="AJ9" s="52"/>
      <c r="AK9" s="52"/>
      <c r="AL9" s="52">
        <v>16783</v>
      </c>
      <c r="AM9" s="52">
        <v>7569</v>
      </c>
      <c r="AN9" s="52"/>
      <c r="AO9" s="52"/>
      <c r="AP9" s="52"/>
      <c r="AQ9" s="52">
        <v>63329</v>
      </c>
      <c r="AR9" s="52"/>
      <c r="AS9" s="52"/>
      <c r="AT9" s="52"/>
      <c r="AU9" s="52">
        <v>24835</v>
      </c>
      <c r="AV9" s="52">
        <v>7929</v>
      </c>
      <c r="AW9" s="52"/>
      <c r="AX9" s="52">
        <v>338274</v>
      </c>
      <c r="AY9" s="52"/>
      <c r="AZ9" s="52"/>
      <c r="BA9" s="52"/>
      <c r="BB9" s="52"/>
      <c r="BC9" s="52"/>
      <c r="BD9" s="52"/>
      <c r="BE9" s="52"/>
      <c r="BF9" s="52">
        <v>1847104</v>
      </c>
      <c r="BG9" s="52"/>
      <c r="BH9" s="52"/>
      <c r="BI9" s="52">
        <v>306014</v>
      </c>
      <c r="BJ9" s="52">
        <v>39250</v>
      </c>
      <c r="BK9" s="52">
        <v>352047</v>
      </c>
      <c r="BL9" s="52"/>
      <c r="BM9" s="52">
        <v>2948414</v>
      </c>
      <c r="BN9" s="52">
        <v>168908</v>
      </c>
      <c r="BO9" s="52">
        <v>123038</v>
      </c>
      <c r="BP9" s="52">
        <v>60715</v>
      </c>
      <c r="BQ9" s="52">
        <v>401443</v>
      </c>
      <c r="BR9" s="52"/>
      <c r="BS9" s="52">
        <v>13774</v>
      </c>
      <c r="BT9" s="52"/>
      <c r="BU9" s="52"/>
      <c r="BV9" s="52"/>
      <c r="BW9" s="52">
        <v>11472</v>
      </c>
      <c r="BX9" s="52">
        <v>98476</v>
      </c>
      <c r="BY9" s="52">
        <v>382847</v>
      </c>
      <c r="BZ9" s="52"/>
      <c r="CA9" s="52"/>
      <c r="CB9" s="52">
        <v>158859</v>
      </c>
      <c r="CC9" s="52">
        <v>92320</v>
      </c>
      <c r="CD9" s="52">
        <v>302645</v>
      </c>
      <c r="CE9" s="52"/>
      <c r="CF9" s="52">
        <v>356908</v>
      </c>
      <c r="CG9" s="52"/>
      <c r="CH9" s="52"/>
      <c r="CI9" s="52"/>
      <c r="CJ9" s="52"/>
      <c r="CK9" s="52"/>
      <c r="CL9" s="52"/>
      <c r="CM9" s="52"/>
      <c r="CN9" s="52"/>
      <c r="CO9" s="52">
        <v>53219</v>
      </c>
      <c r="CP9" s="52"/>
      <c r="CQ9" s="52"/>
      <c r="CR9" s="52">
        <v>118918</v>
      </c>
      <c r="CS9" s="52"/>
      <c r="CT9" s="52"/>
      <c r="CU9" s="52"/>
      <c r="CV9" s="52"/>
      <c r="CW9" s="52">
        <v>623388</v>
      </c>
      <c r="CX9" s="52"/>
      <c r="CY9" s="52">
        <v>436515</v>
      </c>
      <c r="CZ9" s="52">
        <v>765865</v>
      </c>
      <c r="DA9" s="52">
        <v>436456</v>
      </c>
      <c r="DB9" s="52">
        <v>117338</v>
      </c>
      <c r="DC9" s="52"/>
      <c r="DD9" s="52"/>
      <c r="DE9" s="52">
        <v>21185138</v>
      </c>
      <c r="DF9" s="52"/>
      <c r="DG9" s="52">
        <v>21185138</v>
      </c>
      <c r="DH9" s="52"/>
    </row>
    <row r="10" spans="1:112">
      <c r="A10" s="150" t="s">
        <v>409</v>
      </c>
      <c r="B10" s="44">
        <v>1190</v>
      </c>
      <c r="C10" s="44" t="s">
        <v>46</v>
      </c>
      <c r="D10" s="52"/>
      <c r="E10" s="52"/>
      <c r="F10" s="52"/>
      <c r="G10" s="52"/>
      <c r="H10" s="56"/>
      <c r="I10" s="56"/>
      <c r="J10" s="56"/>
      <c r="K10" s="56"/>
      <c r="L10" s="52"/>
      <c r="M10" s="52"/>
      <c r="N10" s="52"/>
      <c r="O10" s="52"/>
      <c r="P10" s="52"/>
      <c r="Q10" s="52"/>
      <c r="R10" s="52"/>
      <c r="S10" s="52"/>
      <c r="T10" s="52"/>
      <c r="U10" s="52"/>
      <c r="V10" s="52"/>
      <c r="W10" s="52"/>
      <c r="X10" s="52"/>
      <c r="Y10" s="52"/>
      <c r="Z10" s="52">
        <v>5051631</v>
      </c>
      <c r="AA10" s="52"/>
      <c r="AB10" s="52"/>
      <c r="AC10" s="52"/>
      <c r="AD10" s="52"/>
      <c r="AE10" s="52"/>
      <c r="AF10" s="52"/>
      <c r="AG10" s="52"/>
      <c r="AH10" s="52"/>
      <c r="AI10" s="52">
        <v>62076</v>
      </c>
      <c r="AJ10" s="52"/>
      <c r="AK10" s="52"/>
      <c r="AL10" s="52">
        <v>347531</v>
      </c>
      <c r="AM10" s="52">
        <v>162535</v>
      </c>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v>25525556</v>
      </c>
      <c r="BN10" s="52"/>
      <c r="BO10" s="52"/>
      <c r="BP10" s="52"/>
      <c r="BQ10" s="52"/>
      <c r="BR10" s="52"/>
      <c r="BS10" s="52"/>
      <c r="BT10" s="52"/>
      <c r="BU10" s="52"/>
      <c r="BV10" s="52"/>
      <c r="BW10" s="52"/>
      <c r="BX10" s="52">
        <v>8497</v>
      </c>
      <c r="BY10" s="52"/>
      <c r="BZ10" s="52"/>
      <c r="CA10" s="52"/>
      <c r="CB10" s="52"/>
      <c r="CC10" s="52"/>
      <c r="CD10" s="52"/>
      <c r="CE10" s="52"/>
      <c r="CF10" s="52">
        <v>5595</v>
      </c>
      <c r="CG10" s="52"/>
      <c r="CH10" s="52"/>
      <c r="CI10" s="52"/>
      <c r="CJ10" s="52"/>
      <c r="CK10" s="52"/>
      <c r="CL10" s="52"/>
      <c r="CM10" s="52"/>
      <c r="CN10" s="52">
        <v>1781081</v>
      </c>
      <c r="CO10" s="52"/>
      <c r="CP10" s="52"/>
      <c r="CQ10" s="52"/>
      <c r="CR10" s="52"/>
      <c r="CS10" s="52"/>
      <c r="CT10" s="52"/>
      <c r="CU10" s="52"/>
      <c r="CV10" s="52"/>
      <c r="CW10" s="52"/>
      <c r="CX10" s="52"/>
      <c r="CY10" s="52"/>
      <c r="CZ10" s="52"/>
      <c r="DA10" s="52"/>
      <c r="DB10" s="52"/>
      <c r="DC10" s="52"/>
      <c r="DD10" s="52"/>
      <c r="DE10" s="52">
        <v>32944502</v>
      </c>
      <c r="DF10" s="52"/>
      <c r="DG10" s="52">
        <v>32944502</v>
      </c>
      <c r="DH10" s="52"/>
    </row>
    <row r="11" spans="1:112">
      <c r="A11" s="150" t="s">
        <v>409</v>
      </c>
      <c r="B11" s="44">
        <v>1210</v>
      </c>
      <c r="C11" s="44" t="s">
        <v>48</v>
      </c>
      <c r="D11" s="52">
        <v>6245819</v>
      </c>
      <c r="E11" s="52"/>
      <c r="F11" s="52"/>
      <c r="G11" s="52">
        <v>433216</v>
      </c>
      <c r="H11" s="56">
        <v>16421598</v>
      </c>
      <c r="I11" s="56">
        <v>7017799</v>
      </c>
      <c r="J11" s="56">
        <v>5213455</v>
      </c>
      <c r="K11" s="56">
        <v>12347769</v>
      </c>
      <c r="L11" s="52">
        <v>33664427</v>
      </c>
      <c r="M11" s="52">
        <v>868614</v>
      </c>
      <c r="N11" s="52">
        <v>2138478</v>
      </c>
      <c r="O11" s="52"/>
      <c r="P11" s="52">
        <v>2593235</v>
      </c>
      <c r="Q11" s="52"/>
      <c r="R11" s="52"/>
      <c r="S11" s="52"/>
      <c r="T11" s="52">
        <v>1111614</v>
      </c>
      <c r="U11" s="52">
        <v>153402920</v>
      </c>
      <c r="V11" s="52"/>
      <c r="W11" s="52"/>
      <c r="X11" s="52">
        <v>5828627</v>
      </c>
      <c r="Y11" s="52"/>
      <c r="Z11" s="52"/>
      <c r="AA11" s="52"/>
      <c r="AB11" s="52"/>
      <c r="AC11" s="52">
        <v>3254202</v>
      </c>
      <c r="AD11" s="52">
        <v>3919418</v>
      </c>
      <c r="AE11" s="52">
        <v>1414172</v>
      </c>
      <c r="AF11" s="52">
        <v>195242</v>
      </c>
      <c r="AG11" s="52">
        <v>13693942</v>
      </c>
      <c r="AH11" s="52"/>
      <c r="AI11" s="52"/>
      <c r="AJ11" s="52">
        <v>797062</v>
      </c>
      <c r="AK11" s="52">
        <v>3812551</v>
      </c>
      <c r="AL11" s="52"/>
      <c r="AM11" s="52"/>
      <c r="AN11" s="52"/>
      <c r="AO11" s="52"/>
      <c r="AP11" s="52">
        <v>2977217</v>
      </c>
      <c r="AQ11" s="52">
        <v>1735984</v>
      </c>
      <c r="AR11" s="52">
        <v>21351124</v>
      </c>
      <c r="AS11" s="52">
        <v>46691201</v>
      </c>
      <c r="AT11" s="52">
        <v>2458856</v>
      </c>
      <c r="AU11" s="52"/>
      <c r="AV11" s="52"/>
      <c r="AW11" s="52">
        <v>2852068</v>
      </c>
      <c r="AX11" s="52"/>
      <c r="AY11" s="52"/>
      <c r="AZ11" s="52">
        <v>30220203</v>
      </c>
      <c r="BA11" s="52">
        <v>2691050</v>
      </c>
      <c r="BB11" s="52">
        <v>7425961</v>
      </c>
      <c r="BC11" s="52">
        <v>1147565</v>
      </c>
      <c r="BD11" s="52">
        <v>5106272</v>
      </c>
      <c r="BE11" s="52">
        <v>3216142</v>
      </c>
      <c r="BF11" s="52"/>
      <c r="BG11" s="52">
        <v>9192444</v>
      </c>
      <c r="BH11" s="52">
        <v>24813543</v>
      </c>
      <c r="BI11" s="52"/>
      <c r="BJ11" s="52"/>
      <c r="BK11" s="52">
        <v>976985</v>
      </c>
      <c r="BL11" s="52">
        <v>4809755</v>
      </c>
      <c r="BM11" s="52"/>
      <c r="BN11" s="52"/>
      <c r="BO11" s="52"/>
      <c r="BP11" s="52"/>
      <c r="BQ11" s="52"/>
      <c r="BR11" s="52">
        <v>4962701</v>
      </c>
      <c r="BS11" s="52"/>
      <c r="BT11" s="52">
        <v>3857014</v>
      </c>
      <c r="BU11" s="52">
        <v>2488097</v>
      </c>
      <c r="BV11" s="52">
        <v>1333045</v>
      </c>
      <c r="BW11" s="52"/>
      <c r="BX11" s="52"/>
      <c r="BY11" s="52"/>
      <c r="BZ11" s="52">
        <v>54253011</v>
      </c>
      <c r="CA11" s="52"/>
      <c r="CB11" s="52">
        <v>1874414</v>
      </c>
      <c r="CC11" s="52">
        <v>604807</v>
      </c>
      <c r="CD11" s="52">
        <v>3222083</v>
      </c>
      <c r="CE11" s="52"/>
      <c r="CF11" s="52"/>
      <c r="CG11" s="52">
        <v>158166933</v>
      </c>
      <c r="CH11" s="52">
        <v>97862726</v>
      </c>
      <c r="CI11" s="52">
        <v>5417651</v>
      </c>
      <c r="CJ11" s="52"/>
      <c r="CK11" s="52"/>
      <c r="CL11" s="52"/>
      <c r="CM11" s="52"/>
      <c r="CN11" s="52"/>
      <c r="CO11" s="52"/>
      <c r="CP11" s="52"/>
      <c r="CQ11" s="52"/>
      <c r="CR11" s="52"/>
      <c r="CS11" s="52">
        <v>1742817</v>
      </c>
      <c r="CT11" s="52">
        <v>18310585</v>
      </c>
      <c r="CU11" s="52">
        <v>18715981</v>
      </c>
      <c r="CV11" s="52"/>
      <c r="CW11" s="52"/>
      <c r="CX11" s="52"/>
      <c r="CY11" s="52">
        <v>5888294</v>
      </c>
      <c r="CZ11" s="52">
        <v>3131088</v>
      </c>
      <c r="DA11" s="52">
        <v>9576458</v>
      </c>
      <c r="DB11" s="52"/>
      <c r="DC11" s="52"/>
      <c r="DD11" s="52"/>
      <c r="DE11" s="52">
        <v>833448235</v>
      </c>
      <c r="DF11" s="52"/>
      <c r="DG11" s="52">
        <v>833448235</v>
      </c>
      <c r="DH11" s="52"/>
    </row>
    <row r="12" spans="1:112">
      <c r="A12" s="150" t="s">
        <v>409</v>
      </c>
      <c r="B12" s="44">
        <v>1240</v>
      </c>
      <c r="C12" s="44" t="s">
        <v>49</v>
      </c>
      <c r="D12" s="52">
        <v>597511</v>
      </c>
      <c r="E12" s="52"/>
      <c r="F12" s="52"/>
      <c r="G12" s="52"/>
      <c r="H12" s="56">
        <v>880175</v>
      </c>
      <c r="I12" s="56">
        <v>621538</v>
      </c>
      <c r="J12" s="56"/>
      <c r="K12" s="56"/>
      <c r="L12" s="52">
        <v>1894677</v>
      </c>
      <c r="M12" s="52"/>
      <c r="N12" s="52">
        <v>154664</v>
      </c>
      <c r="O12" s="52"/>
      <c r="P12" s="52">
        <v>263749</v>
      </c>
      <c r="Q12" s="52"/>
      <c r="R12" s="52"/>
      <c r="S12" s="52"/>
      <c r="T12" s="52">
        <v>7827</v>
      </c>
      <c r="U12" s="52">
        <v>1108823</v>
      </c>
      <c r="V12" s="52"/>
      <c r="W12" s="52"/>
      <c r="X12" s="52">
        <v>314398</v>
      </c>
      <c r="Y12" s="52"/>
      <c r="Z12" s="52"/>
      <c r="AA12" s="52"/>
      <c r="AB12" s="52"/>
      <c r="AC12" s="52">
        <v>20715</v>
      </c>
      <c r="AD12" s="52">
        <v>58335</v>
      </c>
      <c r="AE12" s="52">
        <v>14132</v>
      </c>
      <c r="AF12" s="52"/>
      <c r="AG12" s="52"/>
      <c r="AH12" s="52"/>
      <c r="AI12" s="52"/>
      <c r="AJ12" s="52">
        <v>10867</v>
      </c>
      <c r="AK12" s="52">
        <v>45178</v>
      </c>
      <c r="AL12" s="52"/>
      <c r="AM12" s="52"/>
      <c r="AN12" s="52"/>
      <c r="AO12" s="52"/>
      <c r="AP12" s="52"/>
      <c r="AQ12" s="52"/>
      <c r="AR12" s="52">
        <v>128917</v>
      </c>
      <c r="AS12" s="52">
        <v>94545</v>
      </c>
      <c r="AT12" s="52">
        <v>8145</v>
      </c>
      <c r="AU12" s="52"/>
      <c r="AV12" s="52"/>
      <c r="AW12" s="52">
        <v>8204</v>
      </c>
      <c r="AX12" s="52"/>
      <c r="AY12" s="52"/>
      <c r="AZ12" s="52">
        <v>3144240</v>
      </c>
      <c r="BA12" s="52">
        <v>28733</v>
      </c>
      <c r="BB12" s="52">
        <v>20006</v>
      </c>
      <c r="BC12" s="52">
        <v>101865</v>
      </c>
      <c r="BD12" s="52">
        <v>36588</v>
      </c>
      <c r="BE12" s="52">
        <v>44176</v>
      </c>
      <c r="BF12" s="52"/>
      <c r="BG12" s="52">
        <v>147877</v>
      </c>
      <c r="BH12" s="52">
        <v>381137</v>
      </c>
      <c r="BI12" s="52"/>
      <c r="BJ12" s="52"/>
      <c r="BK12" s="52"/>
      <c r="BL12" s="52">
        <v>41064</v>
      </c>
      <c r="BM12" s="52"/>
      <c r="BN12" s="52"/>
      <c r="BO12" s="52"/>
      <c r="BP12" s="52"/>
      <c r="BQ12" s="52"/>
      <c r="BR12" s="52"/>
      <c r="BS12" s="52"/>
      <c r="BT12" s="52">
        <v>56050</v>
      </c>
      <c r="BU12" s="52">
        <v>36677</v>
      </c>
      <c r="BV12" s="52">
        <v>121914</v>
      </c>
      <c r="BW12" s="52"/>
      <c r="BX12" s="52"/>
      <c r="BY12" s="52"/>
      <c r="BZ12" s="52">
        <v>172869</v>
      </c>
      <c r="CA12" s="52"/>
      <c r="CB12" s="52"/>
      <c r="CC12" s="52"/>
      <c r="CD12" s="52"/>
      <c r="CE12" s="52"/>
      <c r="CF12" s="52"/>
      <c r="CG12" s="52">
        <v>1748</v>
      </c>
      <c r="CH12" s="52">
        <v>1202011</v>
      </c>
      <c r="CI12" s="52"/>
      <c r="CJ12" s="52"/>
      <c r="CK12" s="52"/>
      <c r="CL12" s="52"/>
      <c r="CM12" s="52"/>
      <c r="CN12" s="52"/>
      <c r="CO12" s="52"/>
      <c r="CP12" s="52"/>
      <c r="CQ12" s="52"/>
      <c r="CR12" s="52"/>
      <c r="CS12" s="52"/>
      <c r="CT12" s="52"/>
      <c r="CU12" s="52"/>
      <c r="CV12" s="52"/>
      <c r="CW12" s="52"/>
      <c r="CX12" s="52"/>
      <c r="CY12" s="52">
        <v>233092</v>
      </c>
      <c r="CZ12" s="52">
        <v>89758</v>
      </c>
      <c r="DA12" s="52"/>
      <c r="DB12" s="52"/>
      <c r="DC12" s="52"/>
      <c r="DD12" s="52"/>
      <c r="DE12" s="52">
        <v>12092205</v>
      </c>
      <c r="DF12" s="52"/>
      <c r="DG12" s="52">
        <v>12092205</v>
      </c>
      <c r="DH12" s="52"/>
    </row>
    <row r="13" spans="1:112">
      <c r="A13" s="150" t="s">
        <v>409</v>
      </c>
      <c r="B13" s="44">
        <v>1280</v>
      </c>
      <c r="C13" s="44" t="s">
        <v>50</v>
      </c>
      <c r="D13" s="52">
        <v>248250</v>
      </c>
      <c r="E13" s="52">
        <v>3228180</v>
      </c>
      <c r="F13" s="52">
        <v>30934</v>
      </c>
      <c r="G13" s="52">
        <v>16195</v>
      </c>
      <c r="H13" s="56">
        <v>281920</v>
      </c>
      <c r="I13" s="56">
        <v>110149</v>
      </c>
      <c r="J13" s="56">
        <v>663826</v>
      </c>
      <c r="K13" s="56">
        <v>987719</v>
      </c>
      <c r="L13" s="52">
        <v>705878</v>
      </c>
      <c r="M13" s="52">
        <v>32380</v>
      </c>
      <c r="N13" s="52">
        <v>37121</v>
      </c>
      <c r="O13" s="52"/>
      <c r="P13" s="52">
        <v>58802</v>
      </c>
      <c r="Q13" s="52">
        <v>337725</v>
      </c>
      <c r="R13" s="52"/>
      <c r="S13" s="52"/>
      <c r="T13" s="52"/>
      <c r="U13" s="52">
        <v>72555</v>
      </c>
      <c r="V13" s="52"/>
      <c r="W13" s="52">
        <v>11717128</v>
      </c>
      <c r="X13" s="52">
        <v>1501169</v>
      </c>
      <c r="Y13" s="52"/>
      <c r="Z13" s="52">
        <v>3487340</v>
      </c>
      <c r="AA13" s="52">
        <v>1808893</v>
      </c>
      <c r="AB13" s="52">
        <v>1012904</v>
      </c>
      <c r="AC13" s="52"/>
      <c r="AD13" s="52"/>
      <c r="AE13" s="52"/>
      <c r="AF13" s="52"/>
      <c r="AG13" s="52"/>
      <c r="AH13" s="52">
        <v>2270051</v>
      </c>
      <c r="AI13" s="52"/>
      <c r="AJ13" s="52"/>
      <c r="AK13" s="52"/>
      <c r="AL13" s="52"/>
      <c r="AM13" s="52"/>
      <c r="AN13" s="52">
        <v>2558555</v>
      </c>
      <c r="AO13" s="52">
        <v>136438</v>
      </c>
      <c r="AP13" s="52"/>
      <c r="AQ13" s="52"/>
      <c r="AR13" s="52">
        <v>81935</v>
      </c>
      <c r="AS13" s="52">
        <v>1352744</v>
      </c>
      <c r="AT13" s="52">
        <v>18213</v>
      </c>
      <c r="AU13" s="52">
        <v>512915</v>
      </c>
      <c r="AV13" s="52">
        <v>778498</v>
      </c>
      <c r="AW13" s="52">
        <v>75913</v>
      </c>
      <c r="AX13" s="52">
        <v>260827</v>
      </c>
      <c r="AY13" s="52">
        <v>14519384</v>
      </c>
      <c r="AZ13" s="52"/>
      <c r="BA13" s="52">
        <v>239598</v>
      </c>
      <c r="BB13" s="52"/>
      <c r="BC13" s="52"/>
      <c r="BD13" s="52">
        <v>175</v>
      </c>
      <c r="BE13" s="52"/>
      <c r="BF13" s="52">
        <v>3339957</v>
      </c>
      <c r="BG13" s="52">
        <v>424974</v>
      </c>
      <c r="BH13" s="52">
        <v>2160178</v>
      </c>
      <c r="BI13" s="52">
        <v>1429643</v>
      </c>
      <c r="BJ13" s="52">
        <v>262951</v>
      </c>
      <c r="BK13" s="52">
        <v>635032</v>
      </c>
      <c r="BL13" s="52">
        <v>151497</v>
      </c>
      <c r="BM13" s="52">
        <v>3660322</v>
      </c>
      <c r="BN13" s="52">
        <v>1228103</v>
      </c>
      <c r="BO13" s="52">
        <v>9708</v>
      </c>
      <c r="BP13" s="52">
        <v>449301</v>
      </c>
      <c r="BQ13" s="52">
        <v>78278</v>
      </c>
      <c r="BR13" s="52">
        <v>138537</v>
      </c>
      <c r="BS13" s="52"/>
      <c r="BT13" s="52">
        <v>107735</v>
      </c>
      <c r="BU13" s="52">
        <v>66565</v>
      </c>
      <c r="BV13" s="52"/>
      <c r="BW13" s="52"/>
      <c r="BX13" s="52">
        <v>2473128</v>
      </c>
      <c r="BY13" s="52">
        <v>1173323</v>
      </c>
      <c r="BZ13" s="52">
        <v>1913859</v>
      </c>
      <c r="CA13" s="52"/>
      <c r="CB13" s="52">
        <v>983273</v>
      </c>
      <c r="CC13" s="52">
        <v>164336</v>
      </c>
      <c r="CD13" s="52">
        <v>1488642</v>
      </c>
      <c r="CE13" s="52"/>
      <c r="CF13" s="52">
        <v>57293</v>
      </c>
      <c r="CG13" s="52">
        <v>6147665</v>
      </c>
      <c r="CH13" s="52">
        <v>955039</v>
      </c>
      <c r="CI13" s="52"/>
      <c r="CJ13" s="52"/>
      <c r="CK13" s="52">
        <v>66554</v>
      </c>
      <c r="CL13" s="52">
        <v>1296281</v>
      </c>
      <c r="CM13" s="52">
        <v>126483</v>
      </c>
      <c r="CN13" s="52">
        <v>4902610</v>
      </c>
      <c r="CO13" s="52">
        <v>1833006</v>
      </c>
      <c r="CP13" s="52">
        <v>42550</v>
      </c>
      <c r="CQ13" s="52">
        <v>2821</v>
      </c>
      <c r="CR13" s="52">
        <v>11374</v>
      </c>
      <c r="CS13" s="52"/>
      <c r="CT13" s="52">
        <v>286707</v>
      </c>
      <c r="CU13" s="52"/>
      <c r="CV13" s="52"/>
      <c r="CW13" s="52"/>
      <c r="CX13" s="52">
        <v>3398472</v>
      </c>
      <c r="CY13" s="52"/>
      <c r="CZ13" s="52">
        <v>194008</v>
      </c>
      <c r="DA13" s="52"/>
      <c r="DB13" s="52">
        <v>2423424</v>
      </c>
      <c r="DC13" s="52"/>
      <c r="DD13" s="52"/>
      <c r="DE13" s="52">
        <v>93227943</v>
      </c>
      <c r="DF13" s="52"/>
      <c r="DG13" s="52">
        <v>93227943</v>
      </c>
      <c r="DH13" s="52"/>
    </row>
    <row r="14" spans="1:112">
      <c r="A14" s="150" t="s">
        <v>409</v>
      </c>
      <c r="B14" s="44">
        <v>1290</v>
      </c>
      <c r="C14" s="44" t="s">
        <v>51</v>
      </c>
      <c r="D14" s="52">
        <v>-185981</v>
      </c>
      <c r="E14" s="52"/>
      <c r="F14" s="52"/>
      <c r="G14" s="52"/>
      <c r="H14" s="56">
        <v>2529411</v>
      </c>
      <c r="I14" s="56">
        <v>1058039</v>
      </c>
      <c r="J14" s="56"/>
      <c r="K14" s="56"/>
      <c r="L14" s="52">
        <v>3578859</v>
      </c>
      <c r="M14" s="52"/>
      <c r="N14" s="52"/>
      <c r="O14" s="52"/>
      <c r="P14" s="52"/>
      <c r="Q14" s="52"/>
      <c r="R14" s="52"/>
      <c r="S14" s="52"/>
      <c r="T14" s="52"/>
      <c r="U14" s="52"/>
      <c r="V14" s="52"/>
      <c r="W14" s="52"/>
      <c r="X14" s="52"/>
      <c r="Y14" s="52"/>
      <c r="Z14" s="52"/>
      <c r="AA14" s="52"/>
      <c r="AB14" s="52">
        <v>2678003</v>
      </c>
      <c r="AC14" s="52">
        <v>498106</v>
      </c>
      <c r="AD14" s="52"/>
      <c r="AE14" s="52">
        <v>592984</v>
      </c>
      <c r="AF14" s="52"/>
      <c r="AG14" s="52"/>
      <c r="AH14" s="52"/>
      <c r="AI14" s="52"/>
      <c r="AJ14" s="52">
        <v>191741</v>
      </c>
      <c r="AK14" s="52">
        <v>693689</v>
      </c>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v>162622</v>
      </c>
      <c r="BM14" s="52"/>
      <c r="BN14" s="52"/>
      <c r="BO14" s="52"/>
      <c r="BP14" s="52"/>
      <c r="BQ14" s="52"/>
      <c r="BR14" s="52"/>
      <c r="BS14" s="52"/>
      <c r="BT14" s="52"/>
      <c r="BU14" s="52"/>
      <c r="BV14" s="52"/>
      <c r="BW14" s="52"/>
      <c r="BX14" s="52"/>
      <c r="BY14" s="52"/>
      <c r="BZ14" s="52"/>
      <c r="CA14" s="52"/>
      <c r="CB14" s="52"/>
      <c r="CC14" s="52">
        <v>2395955</v>
      </c>
      <c r="CD14" s="52"/>
      <c r="CE14" s="52"/>
      <c r="CF14" s="52"/>
      <c r="CG14" s="52"/>
      <c r="CH14" s="52"/>
      <c r="CI14" s="52"/>
      <c r="CJ14" s="52"/>
      <c r="CK14" s="52">
        <v>2896709</v>
      </c>
      <c r="CL14" s="52"/>
      <c r="CM14" s="52"/>
      <c r="CN14" s="52"/>
      <c r="CO14" s="52"/>
      <c r="CP14" s="52"/>
      <c r="CQ14" s="52"/>
      <c r="CR14" s="52"/>
      <c r="CS14" s="52"/>
      <c r="CT14" s="52"/>
      <c r="CU14" s="52"/>
      <c r="CV14" s="52"/>
      <c r="CW14" s="52"/>
      <c r="CX14" s="52"/>
      <c r="CY14" s="52"/>
      <c r="CZ14" s="52"/>
      <c r="DA14" s="52"/>
      <c r="DB14" s="52"/>
      <c r="DC14" s="52"/>
      <c r="DD14" s="52"/>
      <c r="DE14" s="52">
        <v>17090137</v>
      </c>
      <c r="DF14" s="52"/>
      <c r="DG14" s="52">
        <v>17090137</v>
      </c>
      <c r="DH14" s="52"/>
    </row>
    <row r="15" spans="1:112" ht="15.95" customHeight="1">
      <c r="A15" s="150"/>
      <c r="C15" s="60" t="s">
        <v>413</v>
      </c>
      <c r="D15" s="61">
        <f>SUM(D8:D14)</f>
        <v>8559132</v>
      </c>
      <c r="E15" s="61">
        <f t="shared" ref="E15:BP15" si="0">SUM(E8:E14)</f>
        <v>65860292</v>
      </c>
      <c r="F15" s="61">
        <f t="shared" si="0"/>
        <v>4750574</v>
      </c>
      <c r="G15" s="61">
        <f t="shared" si="0"/>
        <v>449411</v>
      </c>
      <c r="H15" s="61">
        <f t="shared" si="0"/>
        <v>20113104</v>
      </c>
      <c r="I15" s="61">
        <f t="shared" si="0"/>
        <v>8807525</v>
      </c>
      <c r="J15" s="61">
        <f t="shared" si="0"/>
        <v>5877281</v>
      </c>
      <c r="K15" s="61">
        <f t="shared" si="0"/>
        <v>13335488</v>
      </c>
      <c r="L15" s="61">
        <f t="shared" si="0"/>
        <v>39843841</v>
      </c>
      <c r="M15" s="61">
        <f t="shared" si="0"/>
        <v>900994</v>
      </c>
      <c r="N15" s="61">
        <f t="shared" si="0"/>
        <v>2330263</v>
      </c>
      <c r="O15" s="61">
        <f t="shared" si="0"/>
        <v>3518785</v>
      </c>
      <c r="P15" s="61">
        <f t="shared" si="0"/>
        <v>2915786</v>
      </c>
      <c r="Q15" s="61">
        <f t="shared" si="0"/>
        <v>1968208</v>
      </c>
      <c r="R15" s="61">
        <f t="shared" si="0"/>
        <v>2010250</v>
      </c>
      <c r="S15" s="61">
        <f t="shared" si="0"/>
        <v>4983807</v>
      </c>
      <c r="T15" s="61">
        <f t="shared" si="0"/>
        <v>1119441</v>
      </c>
      <c r="U15" s="61">
        <f t="shared" si="0"/>
        <v>154584298</v>
      </c>
      <c r="V15" s="61">
        <f t="shared" si="0"/>
        <v>0</v>
      </c>
      <c r="W15" s="61">
        <f t="shared" si="0"/>
        <v>93057430</v>
      </c>
      <c r="X15" s="61">
        <f t="shared" si="0"/>
        <v>7644194</v>
      </c>
      <c r="Y15" s="61">
        <f t="shared" si="0"/>
        <v>244823966</v>
      </c>
      <c r="Z15" s="61">
        <f t="shared" si="0"/>
        <v>29396395</v>
      </c>
      <c r="AA15" s="61">
        <f t="shared" si="0"/>
        <v>17582936</v>
      </c>
      <c r="AB15" s="61">
        <f t="shared" si="0"/>
        <v>17372195</v>
      </c>
      <c r="AC15" s="61">
        <f t="shared" si="0"/>
        <v>3773023</v>
      </c>
      <c r="AD15" s="61">
        <f t="shared" si="0"/>
        <v>3977753</v>
      </c>
      <c r="AE15" s="61">
        <f t="shared" si="0"/>
        <v>2021288</v>
      </c>
      <c r="AF15" s="61">
        <f t="shared" si="0"/>
        <v>195242</v>
      </c>
      <c r="AG15" s="61">
        <f t="shared" si="0"/>
        <v>17327531</v>
      </c>
      <c r="AH15" s="61">
        <f t="shared" si="0"/>
        <v>34063638</v>
      </c>
      <c r="AI15" s="61">
        <f t="shared" si="0"/>
        <v>1226121</v>
      </c>
      <c r="AJ15" s="61">
        <f t="shared" si="0"/>
        <v>999670</v>
      </c>
      <c r="AK15" s="61">
        <f t="shared" si="0"/>
        <v>4551418</v>
      </c>
      <c r="AL15" s="61">
        <f t="shared" si="0"/>
        <v>2033758</v>
      </c>
      <c r="AM15" s="61">
        <f t="shared" si="0"/>
        <v>943311</v>
      </c>
      <c r="AN15" s="61">
        <f t="shared" si="0"/>
        <v>50532959</v>
      </c>
      <c r="AO15" s="61">
        <f t="shared" si="0"/>
        <v>10127575</v>
      </c>
      <c r="AP15" s="61">
        <f t="shared" si="0"/>
        <v>2977217</v>
      </c>
      <c r="AQ15" s="61">
        <f t="shared" si="0"/>
        <v>11010886</v>
      </c>
      <c r="AR15" s="61">
        <f t="shared" si="0"/>
        <v>21561976</v>
      </c>
      <c r="AS15" s="61">
        <f t="shared" si="0"/>
        <v>48138490</v>
      </c>
      <c r="AT15" s="61">
        <f t="shared" si="0"/>
        <v>2485214</v>
      </c>
      <c r="AU15" s="61">
        <f t="shared" si="0"/>
        <v>6656468</v>
      </c>
      <c r="AV15" s="61">
        <f t="shared" si="0"/>
        <v>3127103</v>
      </c>
      <c r="AW15" s="61">
        <f t="shared" si="0"/>
        <v>2936185</v>
      </c>
      <c r="AX15" s="61">
        <f t="shared" si="0"/>
        <v>54511854</v>
      </c>
      <c r="AY15" s="61">
        <f t="shared" si="0"/>
        <v>224395088</v>
      </c>
      <c r="AZ15" s="61">
        <f t="shared" si="0"/>
        <v>33364443</v>
      </c>
      <c r="BA15" s="61">
        <f t="shared" si="0"/>
        <v>2959381</v>
      </c>
      <c r="BB15" s="61">
        <f t="shared" si="0"/>
        <v>7445967</v>
      </c>
      <c r="BC15" s="61">
        <f t="shared" si="0"/>
        <v>1249430</v>
      </c>
      <c r="BD15" s="61">
        <f t="shared" si="0"/>
        <v>5143035</v>
      </c>
      <c r="BE15" s="61">
        <f t="shared" si="0"/>
        <v>3260318</v>
      </c>
      <c r="BF15" s="61">
        <f t="shared" si="0"/>
        <v>195069654</v>
      </c>
      <c r="BG15" s="61">
        <f t="shared" si="0"/>
        <v>9765295</v>
      </c>
      <c r="BH15" s="61">
        <f t="shared" si="0"/>
        <v>27354858</v>
      </c>
      <c r="BI15" s="61">
        <f t="shared" si="0"/>
        <v>29568703</v>
      </c>
      <c r="BJ15" s="61">
        <f t="shared" si="0"/>
        <v>12900743</v>
      </c>
      <c r="BK15" s="61">
        <f t="shared" si="0"/>
        <v>6895197</v>
      </c>
      <c r="BL15" s="61">
        <f t="shared" si="0"/>
        <v>5164938</v>
      </c>
      <c r="BM15" s="61">
        <f t="shared" si="0"/>
        <v>86156725</v>
      </c>
      <c r="BN15" s="61">
        <f t="shared" si="0"/>
        <v>29967456</v>
      </c>
      <c r="BO15" s="61">
        <f t="shared" si="0"/>
        <v>8918442</v>
      </c>
      <c r="BP15" s="61">
        <f t="shared" si="0"/>
        <v>6880449</v>
      </c>
      <c r="BQ15" s="61">
        <f t="shared" ref="BQ15:DG15" si="1">SUM(BQ8:BQ14)</f>
        <v>75636622</v>
      </c>
      <c r="BR15" s="61">
        <f t="shared" si="1"/>
        <v>5101238</v>
      </c>
      <c r="BS15" s="61">
        <f t="shared" si="1"/>
        <v>1045412</v>
      </c>
      <c r="BT15" s="61">
        <f t="shared" si="1"/>
        <v>4020799</v>
      </c>
      <c r="BU15" s="61">
        <f t="shared" si="1"/>
        <v>2591339</v>
      </c>
      <c r="BV15" s="61">
        <f t="shared" si="1"/>
        <v>1454959</v>
      </c>
      <c r="BW15" s="61">
        <f t="shared" si="1"/>
        <v>840693</v>
      </c>
      <c r="BX15" s="61">
        <f t="shared" si="1"/>
        <v>10169956</v>
      </c>
      <c r="BY15" s="61">
        <f t="shared" si="1"/>
        <v>22924393</v>
      </c>
      <c r="BZ15" s="61">
        <f t="shared" si="1"/>
        <v>56339739</v>
      </c>
      <c r="CA15" s="61">
        <f t="shared" si="1"/>
        <v>0</v>
      </c>
      <c r="CB15" s="61">
        <f t="shared" si="1"/>
        <v>11427967</v>
      </c>
      <c r="CC15" s="61">
        <f t="shared" si="1"/>
        <v>13121822</v>
      </c>
      <c r="CD15" s="61">
        <f t="shared" si="1"/>
        <v>27711290</v>
      </c>
      <c r="CE15" s="61">
        <f t="shared" si="1"/>
        <v>0</v>
      </c>
      <c r="CF15" s="61">
        <f t="shared" si="1"/>
        <v>42191578</v>
      </c>
      <c r="CG15" s="61">
        <f t="shared" si="1"/>
        <v>164316346</v>
      </c>
      <c r="CH15" s="61">
        <f t="shared" si="1"/>
        <v>100019776</v>
      </c>
      <c r="CI15" s="61">
        <f t="shared" si="1"/>
        <v>5417651</v>
      </c>
      <c r="CJ15" s="61">
        <f t="shared" si="1"/>
        <v>15002986</v>
      </c>
      <c r="CK15" s="61">
        <f t="shared" si="1"/>
        <v>22363100</v>
      </c>
      <c r="CL15" s="61">
        <f t="shared" si="1"/>
        <v>11903044</v>
      </c>
      <c r="CM15" s="61">
        <f t="shared" si="1"/>
        <v>6191332</v>
      </c>
      <c r="CN15" s="61">
        <f t="shared" si="1"/>
        <v>33690823</v>
      </c>
      <c r="CO15" s="61">
        <f t="shared" si="1"/>
        <v>36800714</v>
      </c>
      <c r="CP15" s="61">
        <f t="shared" si="1"/>
        <v>35461186</v>
      </c>
      <c r="CQ15" s="61">
        <f t="shared" si="1"/>
        <v>1223301</v>
      </c>
      <c r="CR15" s="61">
        <f t="shared" si="1"/>
        <v>1920418</v>
      </c>
      <c r="CS15" s="61">
        <f t="shared" si="1"/>
        <v>1742817</v>
      </c>
      <c r="CT15" s="61">
        <f t="shared" si="1"/>
        <v>18597292</v>
      </c>
      <c r="CU15" s="61">
        <f t="shared" si="1"/>
        <v>18715981</v>
      </c>
      <c r="CV15" s="61">
        <f t="shared" si="1"/>
        <v>0</v>
      </c>
      <c r="CW15" s="61">
        <f t="shared" si="1"/>
        <v>8171778</v>
      </c>
      <c r="CX15" s="61">
        <f t="shared" si="1"/>
        <v>10261716</v>
      </c>
      <c r="CY15" s="61">
        <f t="shared" si="1"/>
        <v>15443483</v>
      </c>
      <c r="CZ15" s="61">
        <f t="shared" si="1"/>
        <v>41336759</v>
      </c>
      <c r="DA15" s="61">
        <f t="shared" si="1"/>
        <v>61626855</v>
      </c>
      <c r="DB15" s="61">
        <f t="shared" si="1"/>
        <v>36676626</v>
      </c>
      <c r="DC15" s="61">
        <f t="shared" si="1"/>
        <v>0</v>
      </c>
      <c r="DD15" s="61">
        <f t="shared" si="1"/>
        <v>0</v>
      </c>
      <c r="DE15" s="61">
        <f t="shared" si="1"/>
        <v>2654906189</v>
      </c>
      <c r="DF15" s="61">
        <f t="shared" si="1"/>
        <v>0</v>
      </c>
      <c r="DG15" s="61">
        <f t="shared" si="1"/>
        <v>2654906189</v>
      </c>
      <c r="DH15" s="52"/>
    </row>
    <row r="16" spans="1:112">
      <c r="A16" s="150"/>
      <c r="D16" s="52"/>
      <c r="E16" s="52"/>
      <c r="F16" s="52"/>
      <c r="G16" s="52"/>
      <c r="H16" s="56"/>
      <c r="I16" s="56"/>
      <c r="J16" s="56"/>
      <c r="K16" s="56"/>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row>
    <row r="17" spans="1:112">
      <c r="A17" s="150"/>
      <c r="D17" s="52"/>
      <c r="E17" s="52"/>
      <c r="F17" s="52"/>
      <c r="G17" s="52"/>
      <c r="H17" s="56"/>
      <c r="I17" s="56"/>
      <c r="J17" s="56"/>
      <c r="K17" s="56"/>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row>
    <row r="18" spans="1:112">
      <c r="A18" s="150" t="s">
        <v>410</v>
      </c>
      <c r="B18" s="44">
        <v>1310</v>
      </c>
      <c r="C18" s="44" t="s">
        <v>53</v>
      </c>
      <c r="D18" s="52">
        <v>4600</v>
      </c>
      <c r="E18" s="52">
        <v>19069</v>
      </c>
      <c r="F18" s="52"/>
      <c r="G18" s="52"/>
      <c r="H18" s="56">
        <v>29796</v>
      </c>
      <c r="I18" s="56">
        <v>13270</v>
      </c>
      <c r="J18" s="56">
        <v>6586</v>
      </c>
      <c r="K18" s="56">
        <v>9507</v>
      </c>
      <c r="L18" s="52"/>
      <c r="M18" s="52"/>
      <c r="N18" s="52"/>
      <c r="O18" s="52">
        <v>44039</v>
      </c>
      <c r="P18" s="52"/>
      <c r="Q18" s="52"/>
      <c r="R18" s="52"/>
      <c r="S18" s="52"/>
      <c r="T18" s="52"/>
      <c r="U18" s="52">
        <v>40379</v>
      </c>
      <c r="V18" s="52"/>
      <c r="W18" s="52">
        <v>2424119</v>
      </c>
      <c r="X18" s="52"/>
      <c r="Y18" s="52">
        <v>29275</v>
      </c>
      <c r="Z18" s="52"/>
      <c r="AA18" s="52">
        <v>1517</v>
      </c>
      <c r="AB18" s="52">
        <v>61794</v>
      </c>
      <c r="AC18" s="52"/>
      <c r="AD18" s="52">
        <v>6214</v>
      </c>
      <c r="AE18" s="52">
        <v>100565</v>
      </c>
      <c r="AF18" s="52">
        <v>4201</v>
      </c>
      <c r="AG18" s="52"/>
      <c r="AH18" s="52"/>
      <c r="AI18" s="52"/>
      <c r="AJ18" s="52"/>
      <c r="AK18" s="52"/>
      <c r="AL18" s="52"/>
      <c r="AM18" s="52"/>
      <c r="AN18" s="52"/>
      <c r="AO18" s="52"/>
      <c r="AP18" s="52">
        <v>7752</v>
      </c>
      <c r="AQ18" s="52">
        <v>11617</v>
      </c>
      <c r="AR18" s="52">
        <v>1068</v>
      </c>
      <c r="AS18" s="52">
        <v>102253</v>
      </c>
      <c r="AT18" s="52"/>
      <c r="AU18" s="52">
        <v>7970</v>
      </c>
      <c r="AV18" s="52"/>
      <c r="AW18" s="52">
        <v>55215</v>
      </c>
      <c r="AX18" s="52">
        <v>25358</v>
      </c>
      <c r="AY18" s="52">
        <v>495128</v>
      </c>
      <c r="AZ18" s="52">
        <v>5400</v>
      </c>
      <c r="BA18" s="52">
        <v>7750</v>
      </c>
      <c r="BB18" s="52">
        <v>9080</v>
      </c>
      <c r="BC18" s="52"/>
      <c r="BD18" s="52">
        <v>28003</v>
      </c>
      <c r="BE18" s="52"/>
      <c r="BF18" s="52">
        <v>59417</v>
      </c>
      <c r="BG18" s="52"/>
      <c r="BH18" s="52"/>
      <c r="BI18" s="52">
        <v>37589</v>
      </c>
      <c r="BJ18" s="52"/>
      <c r="BK18" s="52">
        <v>4776</v>
      </c>
      <c r="BL18" s="52"/>
      <c r="BM18" s="52">
        <v>33968</v>
      </c>
      <c r="BN18" s="52">
        <v>33500</v>
      </c>
      <c r="BO18" s="52">
        <v>83297</v>
      </c>
      <c r="BP18" s="52">
        <v>36675</v>
      </c>
      <c r="BQ18" s="52">
        <v>287505</v>
      </c>
      <c r="BR18" s="52"/>
      <c r="BS18" s="52"/>
      <c r="BT18" s="52"/>
      <c r="BU18" s="52">
        <v>16296</v>
      </c>
      <c r="BV18" s="52"/>
      <c r="BW18" s="52">
        <v>35090</v>
      </c>
      <c r="BX18" s="52"/>
      <c r="BY18" s="52">
        <v>1700</v>
      </c>
      <c r="BZ18" s="52">
        <v>103074</v>
      </c>
      <c r="CA18" s="52"/>
      <c r="CB18" s="52"/>
      <c r="CC18" s="52">
        <v>25225</v>
      </c>
      <c r="CD18" s="52">
        <v>77335</v>
      </c>
      <c r="CE18" s="52"/>
      <c r="CF18" s="52">
        <v>240398</v>
      </c>
      <c r="CG18" s="52">
        <v>72550</v>
      </c>
      <c r="CH18" s="52">
        <v>90318</v>
      </c>
      <c r="CI18" s="52"/>
      <c r="CJ18" s="52">
        <v>5112</v>
      </c>
      <c r="CK18" s="52">
        <v>6335</v>
      </c>
      <c r="CL18" s="52">
        <v>42214</v>
      </c>
      <c r="CM18" s="52">
        <v>3550</v>
      </c>
      <c r="CN18" s="52">
        <v>3815</v>
      </c>
      <c r="CO18" s="52">
        <v>29962</v>
      </c>
      <c r="CP18" s="52">
        <v>47447</v>
      </c>
      <c r="CQ18" s="52"/>
      <c r="CR18" s="52"/>
      <c r="CS18" s="52"/>
      <c r="CT18" s="52">
        <v>1139</v>
      </c>
      <c r="CU18" s="52">
        <v>551267</v>
      </c>
      <c r="CV18" s="52"/>
      <c r="CW18" s="52"/>
      <c r="CX18" s="52"/>
      <c r="CY18" s="52"/>
      <c r="CZ18" s="52">
        <v>6218</v>
      </c>
      <c r="DA18" s="52">
        <v>280631</v>
      </c>
      <c r="DB18" s="52">
        <v>139833</v>
      </c>
      <c r="DC18" s="52"/>
      <c r="DD18" s="52"/>
      <c r="DE18" s="52">
        <v>5907761</v>
      </c>
      <c r="DF18" s="52"/>
      <c r="DG18" s="52">
        <v>5907761</v>
      </c>
      <c r="DH18" s="52"/>
    </row>
    <row r="19" spans="1:112">
      <c r="A19" s="150" t="s">
        <v>410</v>
      </c>
      <c r="B19" s="44">
        <v>1320</v>
      </c>
      <c r="C19" s="44" t="s">
        <v>54</v>
      </c>
      <c r="D19" s="52"/>
      <c r="E19" s="52">
        <v>12820</v>
      </c>
      <c r="F19" s="52">
        <v>47341</v>
      </c>
      <c r="G19" s="52"/>
      <c r="H19" s="56">
        <v>17317</v>
      </c>
      <c r="I19" s="56"/>
      <c r="J19" s="56"/>
      <c r="K19" s="56"/>
      <c r="L19" s="52">
        <v>76940</v>
      </c>
      <c r="M19" s="52"/>
      <c r="N19" s="52">
        <v>1221292</v>
      </c>
      <c r="O19" s="52"/>
      <c r="P19" s="52"/>
      <c r="Q19" s="52"/>
      <c r="R19" s="52"/>
      <c r="S19" s="52">
        <v>90802</v>
      </c>
      <c r="T19" s="52">
        <v>181167</v>
      </c>
      <c r="U19" s="52"/>
      <c r="V19" s="52">
        <v>2431388</v>
      </c>
      <c r="W19" s="52">
        <v>56192</v>
      </c>
      <c r="X19" s="52"/>
      <c r="Y19" s="52"/>
      <c r="Z19" s="52"/>
      <c r="AA19" s="52">
        <v>50000</v>
      </c>
      <c r="AB19" s="52">
        <v>16318</v>
      </c>
      <c r="AC19" s="52"/>
      <c r="AD19" s="52"/>
      <c r="AE19" s="52"/>
      <c r="AF19" s="52">
        <v>750617</v>
      </c>
      <c r="AG19" s="52">
        <v>11183</v>
      </c>
      <c r="AH19" s="52"/>
      <c r="AI19" s="52"/>
      <c r="AJ19" s="52"/>
      <c r="AK19" s="52"/>
      <c r="AL19" s="52"/>
      <c r="AM19" s="52"/>
      <c r="AN19" s="52"/>
      <c r="AO19" s="52">
        <v>14134</v>
      </c>
      <c r="AP19" s="52"/>
      <c r="AQ19" s="52"/>
      <c r="AR19" s="52"/>
      <c r="AS19" s="52">
        <v>78083</v>
      </c>
      <c r="AT19" s="52"/>
      <c r="AU19" s="52">
        <v>11617</v>
      </c>
      <c r="AV19" s="52">
        <v>3122</v>
      </c>
      <c r="AW19" s="52"/>
      <c r="AX19" s="52"/>
      <c r="AY19" s="52"/>
      <c r="AZ19" s="52"/>
      <c r="BA19" s="52"/>
      <c r="BB19" s="52"/>
      <c r="BC19" s="52"/>
      <c r="BD19" s="52"/>
      <c r="BE19" s="52"/>
      <c r="BF19" s="52"/>
      <c r="BG19" s="52"/>
      <c r="BH19" s="52">
        <v>24318</v>
      </c>
      <c r="BI19" s="52">
        <v>21353</v>
      </c>
      <c r="BJ19" s="52"/>
      <c r="BK19" s="52">
        <v>5787</v>
      </c>
      <c r="BL19" s="52"/>
      <c r="BM19" s="52">
        <v>197914</v>
      </c>
      <c r="BN19" s="52">
        <v>668225</v>
      </c>
      <c r="BO19" s="52"/>
      <c r="BP19" s="52"/>
      <c r="BQ19" s="52"/>
      <c r="BR19" s="52"/>
      <c r="BS19" s="52">
        <v>375077</v>
      </c>
      <c r="BT19" s="52"/>
      <c r="BU19" s="52"/>
      <c r="BV19" s="52"/>
      <c r="BW19" s="52">
        <v>329502</v>
      </c>
      <c r="BX19" s="52"/>
      <c r="BY19" s="52">
        <v>13989</v>
      </c>
      <c r="BZ19" s="52">
        <v>21750</v>
      </c>
      <c r="CA19" s="52"/>
      <c r="CB19" s="52"/>
      <c r="CC19" s="52">
        <v>6195</v>
      </c>
      <c r="CD19" s="52">
        <v>24622</v>
      </c>
      <c r="CE19" s="52">
        <v>759620</v>
      </c>
      <c r="CF19" s="52">
        <v>63211</v>
      </c>
      <c r="CG19" s="52">
        <v>396184</v>
      </c>
      <c r="CH19" s="52">
        <v>882</v>
      </c>
      <c r="CI19" s="52"/>
      <c r="CJ19" s="52"/>
      <c r="CK19" s="52">
        <v>81313</v>
      </c>
      <c r="CL19" s="52"/>
      <c r="CM19" s="52"/>
      <c r="CN19" s="52"/>
      <c r="CO19" s="52">
        <v>31574</v>
      </c>
      <c r="CP19" s="52">
        <v>663166</v>
      </c>
      <c r="CQ19" s="52">
        <v>407619</v>
      </c>
      <c r="CR19" s="52">
        <v>619986</v>
      </c>
      <c r="CS19" s="52">
        <v>544539</v>
      </c>
      <c r="CT19" s="52">
        <v>995368</v>
      </c>
      <c r="CU19" s="52"/>
      <c r="CV19" s="52"/>
      <c r="CW19" s="52"/>
      <c r="CX19" s="52">
        <v>22786</v>
      </c>
      <c r="CY19" s="52"/>
      <c r="CZ19" s="52"/>
      <c r="DA19" s="52">
        <v>15962</v>
      </c>
      <c r="DB19" s="52"/>
      <c r="DC19" s="52"/>
      <c r="DD19" s="52"/>
      <c r="DE19" s="52">
        <v>11361275</v>
      </c>
      <c r="DF19" s="52"/>
      <c r="DG19" s="52">
        <v>11361275</v>
      </c>
      <c r="DH19" s="52"/>
    </row>
    <row r="20" spans="1:112">
      <c r="A20" s="150" t="s">
        <v>410</v>
      </c>
      <c r="B20" s="44">
        <v>1350</v>
      </c>
      <c r="C20" s="44" t="s">
        <v>57</v>
      </c>
      <c r="D20" s="52">
        <v>2400</v>
      </c>
      <c r="E20" s="52"/>
      <c r="F20" s="52"/>
      <c r="G20" s="52"/>
      <c r="H20" s="56">
        <v>52183</v>
      </c>
      <c r="I20" s="56">
        <v>16242</v>
      </c>
      <c r="J20" s="56">
        <v>7992</v>
      </c>
      <c r="K20" s="56"/>
      <c r="L20" s="52"/>
      <c r="M20" s="52"/>
      <c r="N20" s="52"/>
      <c r="O20" s="52"/>
      <c r="P20" s="52">
        <v>250</v>
      </c>
      <c r="Q20" s="52"/>
      <c r="R20" s="52"/>
      <c r="S20" s="52">
        <v>29544</v>
      </c>
      <c r="T20" s="52"/>
      <c r="U20" s="52"/>
      <c r="V20" s="52">
        <v>780636</v>
      </c>
      <c r="W20" s="52"/>
      <c r="X20" s="52"/>
      <c r="Y20" s="52"/>
      <c r="Z20" s="52">
        <v>22803</v>
      </c>
      <c r="AA20" s="52"/>
      <c r="AB20" s="52">
        <v>18050</v>
      </c>
      <c r="AC20" s="52"/>
      <c r="AD20" s="52"/>
      <c r="AE20" s="52"/>
      <c r="AF20" s="52"/>
      <c r="AG20" s="52"/>
      <c r="AH20" s="52"/>
      <c r="AI20" s="52"/>
      <c r="AJ20" s="52">
        <v>900</v>
      </c>
      <c r="AK20" s="52">
        <v>5150</v>
      </c>
      <c r="AL20" s="52"/>
      <c r="AM20" s="52"/>
      <c r="AN20" s="52">
        <v>184486</v>
      </c>
      <c r="AO20" s="52">
        <v>12995</v>
      </c>
      <c r="AP20" s="52">
        <v>2925</v>
      </c>
      <c r="AQ20" s="52"/>
      <c r="AR20" s="52"/>
      <c r="AS20" s="52"/>
      <c r="AT20" s="52"/>
      <c r="AU20" s="52"/>
      <c r="AV20" s="52">
        <v>460</v>
      </c>
      <c r="AW20" s="52"/>
      <c r="AX20" s="52">
        <v>20638</v>
      </c>
      <c r="AY20" s="52">
        <v>278417</v>
      </c>
      <c r="AZ20" s="52"/>
      <c r="BA20" s="52">
        <v>7390</v>
      </c>
      <c r="BB20" s="52">
        <v>200</v>
      </c>
      <c r="BC20" s="52"/>
      <c r="BD20" s="52"/>
      <c r="BE20" s="52"/>
      <c r="BF20" s="52">
        <v>147814</v>
      </c>
      <c r="BG20" s="52">
        <v>8294</v>
      </c>
      <c r="BH20" s="52"/>
      <c r="BI20" s="52">
        <v>11420</v>
      </c>
      <c r="BJ20" s="52"/>
      <c r="BK20" s="52"/>
      <c r="BL20" s="52">
        <v>11980</v>
      </c>
      <c r="BM20" s="52"/>
      <c r="BN20" s="52">
        <v>38629</v>
      </c>
      <c r="BO20" s="52"/>
      <c r="BP20" s="52"/>
      <c r="BQ20" s="52">
        <v>75910</v>
      </c>
      <c r="BR20" s="52"/>
      <c r="BS20" s="52"/>
      <c r="BT20" s="52">
        <v>15033</v>
      </c>
      <c r="BU20" s="52">
        <v>3040</v>
      </c>
      <c r="BV20" s="52"/>
      <c r="BW20" s="52"/>
      <c r="BX20" s="52"/>
      <c r="BY20" s="52">
        <v>6250</v>
      </c>
      <c r="BZ20" s="52">
        <v>75695</v>
      </c>
      <c r="CA20" s="52"/>
      <c r="CB20" s="52">
        <v>74383</v>
      </c>
      <c r="CC20" s="52">
        <v>33386</v>
      </c>
      <c r="CD20" s="52">
        <v>16724</v>
      </c>
      <c r="CE20" s="52"/>
      <c r="CF20" s="52">
        <v>45210</v>
      </c>
      <c r="CG20" s="52">
        <v>61125</v>
      </c>
      <c r="CH20" s="52">
        <v>90223</v>
      </c>
      <c r="CI20" s="52"/>
      <c r="CJ20" s="52">
        <v>3400</v>
      </c>
      <c r="CK20" s="52">
        <v>3050</v>
      </c>
      <c r="CL20" s="52"/>
      <c r="CM20" s="52"/>
      <c r="CN20" s="52">
        <v>3575</v>
      </c>
      <c r="CO20" s="52">
        <v>1000</v>
      </c>
      <c r="CP20" s="52">
        <v>22365</v>
      </c>
      <c r="CQ20" s="52"/>
      <c r="CR20" s="52"/>
      <c r="CS20" s="52"/>
      <c r="CT20" s="52">
        <v>6942</v>
      </c>
      <c r="CU20" s="52">
        <v>11978</v>
      </c>
      <c r="CV20" s="52"/>
      <c r="CW20" s="52"/>
      <c r="CX20" s="52"/>
      <c r="CY20" s="52"/>
      <c r="CZ20" s="52"/>
      <c r="DA20" s="52">
        <v>123250</v>
      </c>
      <c r="DB20" s="52">
        <v>20749</v>
      </c>
      <c r="DC20" s="52"/>
      <c r="DD20" s="52"/>
      <c r="DE20" s="52">
        <v>2355086</v>
      </c>
      <c r="DF20" s="52"/>
      <c r="DG20" s="52">
        <v>2355086</v>
      </c>
      <c r="DH20" s="52"/>
    </row>
    <row r="21" spans="1:112">
      <c r="A21" s="150" t="s">
        <v>410</v>
      </c>
      <c r="B21" s="44">
        <v>1360</v>
      </c>
      <c r="C21" s="44" t="s">
        <v>58</v>
      </c>
      <c r="D21" s="52"/>
      <c r="E21" s="52"/>
      <c r="F21" s="52"/>
      <c r="G21" s="52"/>
      <c r="H21" s="56"/>
      <c r="I21" s="56"/>
      <c r="J21" s="56"/>
      <c r="K21" s="56"/>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v>400</v>
      </c>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v>104200</v>
      </c>
      <c r="CI21" s="52"/>
      <c r="CJ21" s="52"/>
      <c r="CK21" s="52"/>
      <c r="CL21" s="52"/>
      <c r="CM21" s="52"/>
      <c r="CN21" s="52"/>
      <c r="CO21" s="52"/>
      <c r="CP21" s="52"/>
      <c r="CQ21" s="52"/>
      <c r="CR21" s="52"/>
      <c r="CS21" s="52"/>
      <c r="CT21" s="52"/>
      <c r="CU21" s="52"/>
      <c r="CV21" s="52"/>
      <c r="CW21" s="52"/>
      <c r="CX21" s="52"/>
      <c r="CY21" s="52"/>
      <c r="CZ21" s="52"/>
      <c r="DA21" s="52"/>
      <c r="DB21" s="52"/>
      <c r="DC21" s="52"/>
      <c r="DD21" s="52"/>
      <c r="DE21" s="52">
        <v>104600</v>
      </c>
      <c r="DF21" s="52"/>
      <c r="DG21" s="52">
        <v>104600</v>
      </c>
      <c r="DH21" s="52"/>
    </row>
    <row r="22" spans="1:112">
      <c r="A22" s="150" t="s">
        <v>410</v>
      </c>
      <c r="B22" s="44">
        <v>1410</v>
      </c>
      <c r="C22" s="44" t="s">
        <v>53</v>
      </c>
      <c r="D22" s="52"/>
      <c r="E22" s="52"/>
      <c r="F22" s="52"/>
      <c r="G22" s="52"/>
      <c r="H22" s="56">
        <v>107802</v>
      </c>
      <c r="I22" s="56"/>
      <c r="J22" s="56"/>
      <c r="K22" s="56"/>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v>40077</v>
      </c>
      <c r="BK22" s="52"/>
      <c r="BL22" s="52"/>
      <c r="BM22" s="52"/>
      <c r="BN22" s="52"/>
      <c r="BO22" s="52"/>
      <c r="BP22" s="52"/>
      <c r="BQ22" s="52"/>
      <c r="BR22" s="52"/>
      <c r="BS22" s="52"/>
      <c r="BT22" s="52"/>
      <c r="BU22" s="52"/>
      <c r="BV22" s="52">
        <v>3750</v>
      </c>
      <c r="BW22" s="52"/>
      <c r="BX22" s="52"/>
      <c r="BY22" s="52"/>
      <c r="BZ22" s="52">
        <v>157696</v>
      </c>
      <c r="CA22" s="52"/>
      <c r="CB22" s="52"/>
      <c r="CC22" s="52"/>
      <c r="CD22" s="52"/>
      <c r="CE22" s="52"/>
      <c r="CF22" s="52"/>
      <c r="CG22" s="52">
        <v>85349</v>
      </c>
      <c r="CH22" s="52"/>
      <c r="CI22" s="52"/>
      <c r="CJ22" s="52"/>
      <c r="CK22" s="52"/>
      <c r="CL22" s="52"/>
      <c r="CM22" s="52"/>
      <c r="CN22" s="52"/>
      <c r="CO22" s="52">
        <v>105</v>
      </c>
      <c r="CP22" s="52"/>
      <c r="CQ22" s="52"/>
      <c r="CR22" s="52"/>
      <c r="CS22" s="52"/>
      <c r="CT22" s="52"/>
      <c r="CU22" s="52"/>
      <c r="CV22" s="52"/>
      <c r="CW22" s="52"/>
      <c r="CX22" s="52"/>
      <c r="CY22" s="52"/>
      <c r="CZ22" s="52"/>
      <c r="DA22" s="52"/>
      <c r="DB22" s="52"/>
      <c r="DC22" s="52"/>
      <c r="DD22" s="52"/>
      <c r="DE22" s="52">
        <v>394779</v>
      </c>
      <c r="DF22" s="52"/>
      <c r="DG22" s="52">
        <v>394779</v>
      </c>
      <c r="DH22" s="52"/>
    </row>
    <row r="23" spans="1:112">
      <c r="A23" s="150" t="s">
        <v>410</v>
      </c>
      <c r="B23" s="44">
        <v>1415</v>
      </c>
      <c r="C23" s="44" t="s">
        <v>60</v>
      </c>
      <c r="D23" s="52"/>
      <c r="E23" s="52"/>
      <c r="F23" s="52"/>
      <c r="G23" s="52"/>
      <c r="H23" s="56">
        <v>28632</v>
      </c>
      <c r="I23" s="56"/>
      <c r="J23" s="56"/>
      <c r="K23" s="56"/>
      <c r="L23" s="52"/>
      <c r="M23" s="52"/>
      <c r="N23" s="52"/>
      <c r="O23" s="52"/>
      <c r="P23" s="52"/>
      <c r="Q23" s="52"/>
      <c r="R23" s="52"/>
      <c r="S23" s="52">
        <v>14420</v>
      </c>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v>43052</v>
      </c>
      <c r="DF23" s="52"/>
      <c r="DG23" s="52">
        <v>43052</v>
      </c>
      <c r="DH23" s="52"/>
    </row>
    <row r="24" spans="1:112">
      <c r="A24" s="150" t="s">
        <v>410</v>
      </c>
      <c r="B24" s="44">
        <v>1420</v>
      </c>
      <c r="C24" s="44" t="s">
        <v>61</v>
      </c>
      <c r="D24" s="52"/>
      <c r="E24" s="52"/>
      <c r="F24" s="52"/>
      <c r="G24" s="52"/>
      <c r="H24" s="56"/>
      <c r="I24" s="56"/>
      <c r="J24" s="56"/>
      <c r="K24" s="56"/>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row>
    <row r="25" spans="1:112">
      <c r="A25" s="150" t="s">
        <v>410</v>
      </c>
      <c r="B25" s="44">
        <v>1425</v>
      </c>
      <c r="C25" s="44" t="s">
        <v>58</v>
      </c>
      <c r="D25" s="52"/>
      <c r="E25" s="52"/>
      <c r="F25" s="52"/>
      <c r="G25" s="52"/>
      <c r="H25" s="56"/>
      <c r="I25" s="56"/>
      <c r="J25" s="56"/>
      <c r="K25" s="56"/>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row>
    <row r="26" spans="1:112">
      <c r="A26" s="150" t="s">
        <v>410</v>
      </c>
      <c r="B26" s="44">
        <v>1510</v>
      </c>
      <c r="C26" s="44" t="s">
        <v>63</v>
      </c>
      <c r="D26" s="52">
        <v>134656</v>
      </c>
      <c r="E26" s="52">
        <v>1019518</v>
      </c>
      <c r="F26" s="52">
        <v>26508</v>
      </c>
      <c r="G26" s="52">
        <v>14227</v>
      </c>
      <c r="H26" s="56">
        <v>382520</v>
      </c>
      <c r="I26" s="56">
        <v>175851</v>
      </c>
      <c r="J26" s="56">
        <v>593746</v>
      </c>
      <c r="K26" s="56">
        <v>1393711</v>
      </c>
      <c r="L26" s="52">
        <v>995816</v>
      </c>
      <c r="M26" s="52">
        <v>24583</v>
      </c>
      <c r="N26" s="52">
        <v>101910</v>
      </c>
      <c r="O26" s="52">
        <v>86610</v>
      </c>
      <c r="P26" s="52">
        <v>31703</v>
      </c>
      <c r="Q26" s="52">
        <v>33738</v>
      </c>
      <c r="R26" s="52">
        <v>51617</v>
      </c>
      <c r="S26" s="52">
        <v>283442</v>
      </c>
      <c r="T26" s="52">
        <v>3750</v>
      </c>
      <c r="U26" s="52">
        <v>6091855</v>
      </c>
      <c r="V26" s="52">
        <v>17315</v>
      </c>
      <c r="W26" s="52">
        <v>9966532</v>
      </c>
      <c r="X26" s="52">
        <v>1039571</v>
      </c>
      <c r="Y26" s="52">
        <v>31663984</v>
      </c>
      <c r="Z26" s="52">
        <v>2551948</v>
      </c>
      <c r="AA26" s="52">
        <v>657255</v>
      </c>
      <c r="AB26" s="52">
        <v>775806</v>
      </c>
      <c r="AC26" s="52">
        <v>480114</v>
      </c>
      <c r="AD26" s="52">
        <v>157046</v>
      </c>
      <c r="AE26" s="52">
        <v>95143</v>
      </c>
      <c r="AF26" s="52">
        <v>77</v>
      </c>
      <c r="AG26" s="52">
        <v>2944533</v>
      </c>
      <c r="AH26" s="52">
        <v>2511589</v>
      </c>
      <c r="AI26" s="52">
        <v>61978</v>
      </c>
      <c r="AJ26" s="52">
        <v>25012</v>
      </c>
      <c r="AK26" s="52">
        <v>213591</v>
      </c>
      <c r="AL26" s="52">
        <v>146640</v>
      </c>
      <c r="AM26" s="52">
        <v>10776</v>
      </c>
      <c r="AN26" s="52">
        <v>6061613</v>
      </c>
      <c r="AO26" s="52">
        <v>328116</v>
      </c>
      <c r="AP26" s="52">
        <v>70250</v>
      </c>
      <c r="AQ26" s="52">
        <v>263705</v>
      </c>
      <c r="AR26" s="52">
        <v>455917</v>
      </c>
      <c r="AS26" s="52">
        <v>2392922</v>
      </c>
      <c r="AT26" s="52">
        <v>22739</v>
      </c>
      <c r="AU26" s="52">
        <v>447808</v>
      </c>
      <c r="AV26" s="52">
        <v>65072</v>
      </c>
      <c r="AW26" s="52">
        <v>173768</v>
      </c>
      <c r="AX26" s="52">
        <v>1222449</v>
      </c>
      <c r="AY26" s="52">
        <v>26367262</v>
      </c>
      <c r="AZ26" s="52">
        <v>3868814</v>
      </c>
      <c r="BA26" s="52">
        <v>140798</v>
      </c>
      <c r="BB26" s="52">
        <v>148978</v>
      </c>
      <c r="BC26" s="52">
        <v>15150</v>
      </c>
      <c r="BD26" s="52">
        <v>78885</v>
      </c>
      <c r="BE26" s="52">
        <v>99706</v>
      </c>
      <c r="BF26" s="52">
        <v>9414516</v>
      </c>
      <c r="BG26" s="52">
        <v>858451</v>
      </c>
      <c r="BH26" s="52">
        <v>6396413</v>
      </c>
      <c r="BI26" s="52">
        <v>2710836</v>
      </c>
      <c r="BJ26" s="52">
        <v>891984</v>
      </c>
      <c r="BK26" s="52">
        <v>1098339</v>
      </c>
      <c r="BL26" s="52">
        <v>256399</v>
      </c>
      <c r="BM26" s="52">
        <v>8581616</v>
      </c>
      <c r="BN26" s="52">
        <v>1636238</v>
      </c>
      <c r="BO26" s="52">
        <v>159922</v>
      </c>
      <c r="BP26" s="52">
        <v>414131</v>
      </c>
      <c r="BQ26" s="52">
        <v>1932695</v>
      </c>
      <c r="BR26" s="52">
        <v>121817</v>
      </c>
      <c r="BS26" s="52">
        <v>88904</v>
      </c>
      <c r="BT26" s="52">
        <v>317612</v>
      </c>
      <c r="BU26" s="52">
        <v>295666</v>
      </c>
      <c r="BV26" s="52">
        <v>93279</v>
      </c>
      <c r="BW26" s="52">
        <v>50194</v>
      </c>
      <c r="BX26" s="52">
        <v>125350</v>
      </c>
      <c r="BY26" s="52">
        <v>3580991</v>
      </c>
      <c r="BZ26" s="52">
        <v>1454347</v>
      </c>
      <c r="CA26" s="52"/>
      <c r="CB26" s="52">
        <v>412277</v>
      </c>
      <c r="CC26" s="52">
        <v>386574</v>
      </c>
      <c r="CD26" s="52">
        <v>1137980</v>
      </c>
      <c r="CE26" s="52">
        <v>2297</v>
      </c>
      <c r="CF26" s="52">
        <v>9208926</v>
      </c>
      <c r="CG26" s="52">
        <v>7846289</v>
      </c>
      <c r="CH26" s="52">
        <v>5121247</v>
      </c>
      <c r="CI26" s="52">
        <v>159958</v>
      </c>
      <c r="CJ26" s="52">
        <v>1053150</v>
      </c>
      <c r="CK26" s="52">
        <v>1413118</v>
      </c>
      <c r="CL26" s="52">
        <v>802732</v>
      </c>
      <c r="CM26" s="52">
        <v>520570</v>
      </c>
      <c r="CN26" s="52">
        <v>3698436</v>
      </c>
      <c r="CO26" s="52">
        <v>1076282</v>
      </c>
      <c r="CP26" s="52">
        <v>1152244</v>
      </c>
      <c r="CQ26" s="52">
        <v>3680</v>
      </c>
      <c r="CR26" s="52">
        <v>21482</v>
      </c>
      <c r="CS26" s="52">
        <v>19850</v>
      </c>
      <c r="CT26" s="52">
        <v>2016865</v>
      </c>
      <c r="CU26" s="52">
        <v>1476955</v>
      </c>
      <c r="CV26" s="52"/>
      <c r="CW26" s="52">
        <v>1460897</v>
      </c>
      <c r="CX26" s="52">
        <v>721203</v>
      </c>
      <c r="CY26" s="52">
        <v>760084</v>
      </c>
      <c r="CZ26" s="52">
        <v>1333915</v>
      </c>
      <c r="DA26" s="52">
        <v>3715398</v>
      </c>
      <c r="DB26" s="52">
        <v>3658618</v>
      </c>
      <c r="DC26" s="52"/>
      <c r="DD26" s="52"/>
      <c r="DE26" s="52">
        <v>196649350</v>
      </c>
      <c r="DF26" s="52"/>
      <c r="DG26" s="52">
        <v>196649350</v>
      </c>
      <c r="DH26" s="52"/>
    </row>
    <row r="27" spans="1:112">
      <c r="A27" s="150" t="s">
        <v>410</v>
      </c>
      <c r="B27" s="44">
        <v>1520</v>
      </c>
      <c r="C27" s="44" t="s">
        <v>64</v>
      </c>
      <c r="D27" s="52"/>
      <c r="E27" s="52">
        <v>156526</v>
      </c>
      <c r="F27" s="52"/>
      <c r="G27" s="52"/>
      <c r="H27" s="56"/>
      <c r="I27" s="56"/>
      <c r="J27" s="56"/>
      <c r="K27" s="56"/>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v>156526</v>
      </c>
      <c r="DF27" s="52"/>
      <c r="DG27" s="52">
        <v>156526</v>
      </c>
      <c r="DH27" s="52"/>
    </row>
    <row r="28" spans="1:112">
      <c r="A28" s="150" t="s">
        <v>410</v>
      </c>
      <c r="B28" s="44">
        <v>1530</v>
      </c>
      <c r="C28" s="44" t="s">
        <v>65</v>
      </c>
      <c r="D28" s="52"/>
      <c r="E28" s="52"/>
      <c r="F28" s="52"/>
      <c r="G28" s="52"/>
      <c r="H28" s="56"/>
      <c r="I28" s="56"/>
      <c r="J28" s="56"/>
      <c r="K28" s="56"/>
      <c r="L28" s="52"/>
      <c r="M28" s="52"/>
      <c r="N28" s="52"/>
      <c r="O28" s="52"/>
      <c r="P28" s="52"/>
      <c r="Q28" s="52"/>
      <c r="R28" s="52"/>
      <c r="S28" s="52"/>
      <c r="T28" s="52"/>
      <c r="U28" s="52"/>
      <c r="V28" s="52"/>
      <c r="W28" s="52"/>
      <c r="X28" s="52"/>
      <c r="Y28" s="52"/>
      <c r="Z28" s="52">
        <v>22159</v>
      </c>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v>123830</v>
      </c>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v>31128</v>
      </c>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v>177117</v>
      </c>
      <c r="DF28" s="52"/>
      <c r="DG28" s="52">
        <v>177117</v>
      </c>
      <c r="DH28" s="52"/>
    </row>
    <row r="29" spans="1:112">
      <c r="A29" s="150" t="s">
        <v>410</v>
      </c>
      <c r="B29" s="44">
        <v>1610</v>
      </c>
      <c r="C29" s="44" t="s">
        <v>67</v>
      </c>
      <c r="D29" s="52">
        <v>246083</v>
      </c>
      <c r="E29" s="52">
        <v>1413480</v>
      </c>
      <c r="F29" s="52">
        <v>30345</v>
      </c>
      <c r="G29" s="52"/>
      <c r="H29" s="56">
        <v>852482</v>
      </c>
      <c r="I29" s="56">
        <v>366676</v>
      </c>
      <c r="J29" s="56">
        <v>201824</v>
      </c>
      <c r="K29" s="56">
        <v>286322</v>
      </c>
      <c r="L29" s="52">
        <v>873370</v>
      </c>
      <c r="M29" s="52">
        <v>11557</v>
      </c>
      <c r="N29" s="52"/>
      <c r="O29" s="52">
        <v>69734</v>
      </c>
      <c r="P29" s="52">
        <v>12316</v>
      </c>
      <c r="Q29" s="52">
        <v>24769</v>
      </c>
      <c r="R29" s="52">
        <v>62933</v>
      </c>
      <c r="S29" s="52">
        <v>100630</v>
      </c>
      <c r="T29" s="52"/>
      <c r="U29" s="52">
        <v>1239577</v>
      </c>
      <c r="V29" s="52"/>
      <c r="W29" s="52">
        <v>2238786</v>
      </c>
      <c r="X29" s="52">
        <v>48354</v>
      </c>
      <c r="Y29" s="52">
        <v>1844001</v>
      </c>
      <c r="Z29" s="52">
        <v>628479</v>
      </c>
      <c r="AA29" s="52">
        <v>232350</v>
      </c>
      <c r="AB29" s="52">
        <v>446789</v>
      </c>
      <c r="AC29" s="52">
        <v>39</v>
      </c>
      <c r="AD29" s="52">
        <v>82123</v>
      </c>
      <c r="AE29" s="52">
        <v>39445</v>
      </c>
      <c r="AF29" s="52"/>
      <c r="AG29" s="52">
        <v>188805</v>
      </c>
      <c r="AH29" s="52">
        <v>521901</v>
      </c>
      <c r="AI29" s="52"/>
      <c r="AJ29" s="52">
        <v>40199</v>
      </c>
      <c r="AK29" s="52">
        <v>97296</v>
      </c>
      <c r="AL29" s="52">
        <v>70674</v>
      </c>
      <c r="AM29" s="52"/>
      <c r="AN29" s="52">
        <v>1477132</v>
      </c>
      <c r="AO29" s="52">
        <v>75687</v>
      </c>
      <c r="AP29" s="52"/>
      <c r="AQ29" s="52">
        <v>218188</v>
      </c>
      <c r="AR29" s="52">
        <v>132328</v>
      </c>
      <c r="AS29" s="52">
        <v>1002764</v>
      </c>
      <c r="AT29" s="52">
        <v>73929</v>
      </c>
      <c r="AU29" s="52">
        <v>51994</v>
      </c>
      <c r="AV29" s="52">
        <v>9318</v>
      </c>
      <c r="AW29" s="52">
        <v>116700</v>
      </c>
      <c r="AX29" s="52">
        <v>589941</v>
      </c>
      <c r="AY29" s="52">
        <v>5450673</v>
      </c>
      <c r="AZ29" s="52">
        <v>471484</v>
      </c>
      <c r="BA29" s="52">
        <v>85914</v>
      </c>
      <c r="BB29" s="52">
        <v>169699</v>
      </c>
      <c r="BC29" s="52"/>
      <c r="BD29" s="52">
        <v>144530</v>
      </c>
      <c r="BE29" s="52">
        <v>16626</v>
      </c>
      <c r="BF29" s="52">
        <v>3925632</v>
      </c>
      <c r="BG29" s="52">
        <v>67003</v>
      </c>
      <c r="BH29" s="52">
        <v>1154336</v>
      </c>
      <c r="BI29" s="52">
        <v>776698</v>
      </c>
      <c r="BJ29" s="52">
        <v>432990</v>
      </c>
      <c r="BK29" s="52">
        <v>234124</v>
      </c>
      <c r="BL29" s="52">
        <v>31658</v>
      </c>
      <c r="BM29" s="52">
        <v>2337800</v>
      </c>
      <c r="BN29" s="52">
        <v>642393</v>
      </c>
      <c r="BO29" s="52">
        <v>205793</v>
      </c>
      <c r="BP29" s="52">
        <v>256088</v>
      </c>
      <c r="BQ29" s="52">
        <v>2293609</v>
      </c>
      <c r="BR29" s="52">
        <v>28336</v>
      </c>
      <c r="BS29" s="52"/>
      <c r="BT29" s="52">
        <v>47668</v>
      </c>
      <c r="BU29" s="52">
        <v>50276</v>
      </c>
      <c r="BV29" s="52">
        <v>12527</v>
      </c>
      <c r="BW29" s="52"/>
      <c r="BX29" s="52">
        <v>153858</v>
      </c>
      <c r="BY29" s="52">
        <v>532300</v>
      </c>
      <c r="BZ29" s="52">
        <v>1184438</v>
      </c>
      <c r="CA29" s="52"/>
      <c r="CB29" s="52">
        <v>70177</v>
      </c>
      <c r="CC29" s="52">
        <v>273553</v>
      </c>
      <c r="CD29" s="52">
        <v>183112</v>
      </c>
      <c r="CE29" s="52"/>
      <c r="CF29" s="52">
        <v>1576485</v>
      </c>
      <c r="CG29" s="52">
        <v>1135626</v>
      </c>
      <c r="CH29" s="52">
        <v>2203713</v>
      </c>
      <c r="CI29" s="52">
        <v>78426</v>
      </c>
      <c r="CJ29" s="52">
        <v>438070</v>
      </c>
      <c r="CK29" s="52">
        <v>955997</v>
      </c>
      <c r="CL29" s="52">
        <v>296238</v>
      </c>
      <c r="CM29" s="52">
        <v>305564</v>
      </c>
      <c r="CN29" s="52">
        <v>653776</v>
      </c>
      <c r="CO29" s="52">
        <v>732955</v>
      </c>
      <c r="CP29" s="52">
        <v>481303</v>
      </c>
      <c r="CQ29" s="52"/>
      <c r="CR29" s="52"/>
      <c r="CS29" s="52"/>
      <c r="CT29" s="52">
        <v>365772</v>
      </c>
      <c r="CU29" s="52">
        <v>379982</v>
      </c>
      <c r="CV29" s="52"/>
      <c r="CW29" s="52">
        <v>276492</v>
      </c>
      <c r="CX29" s="52">
        <v>80504</v>
      </c>
      <c r="CY29" s="52">
        <v>367069</v>
      </c>
      <c r="CZ29" s="52">
        <v>781941</v>
      </c>
      <c r="DA29" s="52">
        <v>1216703</v>
      </c>
      <c r="DB29" s="52">
        <v>1067064</v>
      </c>
      <c r="DC29" s="52"/>
      <c r="DD29" s="52"/>
      <c r="DE29" s="52">
        <v>50646295</v>
      </c>
      <c r="DF29" s="52"/>
      <c r="DG29" s="52">
        <v>50646295</v>
      </c>
      <c r="DH29" s="52"/>
    </row>
    <row r="30" spans="1:112">
      <c r="A30" s="150" t="s">
        <v>410</v>
      </c>
      <c r="B30" s="44">
        <v>1620</v>
      </c>
      <c r="C30" s="44" t="s">
        <v>68</v>
      </c>
      <c r="D30" s="52">
        <v>953</v>
      </c>
      <c r="E30" s="52">
        <v>6381</v>
      </c>
      <c r="F30" s="52"/>
      <c r="G30" s="52"/>
      <c r="H30" s="56">
        <v>86755</v>
      </c>
      <c r="I30" s="56">
        <v>24708</v>
      </c>
      <c r="J30" s="56"/>
      <c r="K30" s="56"/>
      <c r="L30" s="52">
        <v>4743</v>
      </c>
      <c r="M30" s="52"/>
      <c r="N30" s="52"/>
      <c r="O30" s="52">
        <v>11556</v>
      </c>
      <c r="P30" s="52">
        <v>3477</v>
      </c>
      <c r="Q30" s="52">
        <v>9875</v>
      </c>
      <c r="R30" s="52">
        <v>2866</v>
      </c>
      <c r="S30" s="52">
        <v>17387</v>
      </c>
      <c r="T30" s="52"/>
      <c r="U30" s="52">
        <v>79818</v>
      </c>
      <c r="V30" s="52"/>
      <c r="W30" s="52">
        <v>42732</v>
      </c>
      <c r="X30" s="52">
        <v>8161</v>
      </c>
      <c r="Y30" s="52">
        <v>80564</v>
      </c>
      <c r="Z30" s="52">
        <v>18927</v>
      </c>
      <c r="AA30" s="52">
        <v>59270</v>
      </c>
      <c r="AB30" s="52">
        <v>2</v>
      </c>
      <c r="AC30" s="52"/>
      <c r="AD30" s="52"/>
      <c r="AE30" s="52">
        <v>5024</v>
      </c>
      <c r="AF30" s="52"/>
      <c r="AG30" s="52">
        <v>1000</v>
      </c>
      <c r="AH30" s="52">
        <v>28881</v>
      </c>
      <c r="AI30" s="52"/>
      <c r="AJ30" s="52"/>
      <c r="AK30" s="52">
        <v>235</v>
      </c>
      <c r="AL30" s="52">
        <v>250</v>
      </c>
      <c r="AM30" s="52"/>
      <c r="AN30" s="52">
        <v>128196</v>
      </c>
      <c r="AO30" s="52"/>
      <c r="AP30" s="52"/>
      <c r="AQ30" s="52">
        <v>1575</v>
      </c>
      <c r="AR30" s="52"/>
      <c r="AS30" s="52">
        <v>15230</v>
      </c>
      <c r="AT30" s="52">
        <v>869</v>
      </c>
      <c r="AU30" s="52"/>
      <c r="AV30" s="52">
        <v>1258</v>
      </c>
      <c r="AW30" s="52">
        <v>18937</v>
      </c>
      <c r="AX30" s="52">
        <v>22260</v>
      </c>
      <c r="AY30" s="52">
        <v>342432</v>
      </c>
      <c r="AZ30" s="52">
        <v>26906</v>
      </c>
      <c r="BA30" s="52">
        <v>5244</v>
      </c>
      <c r="BB30" s="52">
        <v>14683</v>
      </c>
      <c r="BC30" s="52"/>
      <c r="BD30" s="52">
        <v>18499</v>
      </c>
      <c r="BE30" s="52">
        <v>7722</v>
      </c>
      <c r="BF30" s="52">
        <v>28367</v>
      </c>
      <c r="BG30" s="52">
        <v>2570</v>
      </c>
      <c r="BH30" s="52">
        <v>154734</v>
      </c>
      <c r="BI30" s="52">
        <v>81645</v>
      </c>
      <c r="BJ30" s="52">
        <v>291</v>
      </c>
      <c r="BK30" s="52">
        <v>1663</v>
      </c>
      <c r="BL30" s="52">
        <v>77</v>
      </c>
      <c r="BM30" s="52">
        <v>199816</v>
      </c>
      <c r="BN30" s="52">
        <v>66419</v>
      </c>
      <c r="BO30" s="52">
        <v>5050</v>
      </c>
      <c r="BP30" s="52">
        <v>2974</v>
      </c>
      <c r="BQ30" s="52">
        <v>117514</v>
      </c>
      <c r="BR30" s="52">
        <v>7293</v>
      </c>
      <c r="BS30" s="52"/>
      <c r="BT30" s="52">
        <v>14032</v>
      </c>
      <c r="BU30" s="52">
        <v>1145</v>
      </c>
      <c r="BV30" s="52"/>
      <c r="BW30" s="52"/>
      <c r="BX30" s="52">
        <v>93</v>
      </c>
      <c r="BY30" s="52">
        <v>21885</v>
      </c>
      <c r="BZ30" s="52">
        <v>13501</v>
      </c>
      <c r="CA30" s="52"/>
      <c r="CB30" s="52">
        <v>12746</v>
      </c>
      <c r="CC30" s="52">
        <v>10695</v>
      </c>
      <c r="CD30" s="52">
        <v>23237</v>
      </c>
      <c r="CE30" s="52"/>
      <c r="CF30" s="52">
        <v>232536</v>
      </c>
      <c r="CG30" s="52">
        <v>9107</v>
      </c>
      <c r="CH30" s="52">
        <v>173475</v>
      </c>
      <c r="CI30" s="52">
        <v>86369</v>
      </c>
      <c r="CJ30" s="52">
        <v>1314</v>
      </c>
      <c r="CK30" s="52">
        <v>88332</v>
      </c>
      <c r="CL30" s="52"/>
      <c r="CM30" s="52">
        <v>23425</v>
      </c>
      <c r="CN30" s="52">
        <v>53962</v>
      </c>
      <c r="CO30" s="52">
        <v>54777</v>
      </c>
      <c r="CP30" s="52"/>
      <c r="CQ30" s="52"/>
      <c r="CR30" s="52"/>
      <c r="CS30" s="52"/>
      <c r="CT30" s="52">
        <v>224</v>
      </c>
      <c r="CU30" s="52"/>
      <c r="CV30" s="52"/>
      <c r="CW30" s="52">
        <v>12991</v>
      </c>
      <c r="CX30" s="52">
        <v>9281</v>
      </c>
      <c r="CY30" s="52">
        <v>22029</v>
      </c>
      <c r="CZ30" s="52">
        <v>39243</v>
      </c>
      <c r="DA30" s="52">
        <v>283905</v>
      </c>
      <c r="DB30" s="52">
        <v>42476</v>
      </c>
      <c r="DC30" s="52"/>
      <c r="DD30" s="52"/>
      <c r="DE30" s="52">
        <v>2996569</v>
      </c>
      <c r="DF30" s="52"/>
      <c r="DG30" s="52">
        <v>2996569</v>
      </c>
      <c r="DH30" s="52"/>
    </row>
    <row r="31" spans="1:112">
      <c r="A31" s="150" t="s">
        <v>410</v>
      </c>
      <c r="B31" s="44">
        <v>1630</v>
      </c>
      <c r="C31" s="44" t="s">
        <v>69</v>
      </c>
      <c r="D31" s="52">
        <v>39142</v>
      </c>
      <c r="E31" s="52">
        <v>161805</v>
      </c>
      <c r="F31" s="52">
        <v>20436</v>
      </c>
      <c r="G31" s="52"/>
      <c r="H31" s="56">
        <v>614736</v>
      </c>
      <c r="I31" s="56">
        <v>114919</v>
      </c>
      <c r="J31" s="56">
        <v>156186</v>
      </c>
      <c r="K31" s="56">
        <v>91170</v>
      </c>
      <c r="L31" s="52">
        <v>437833</v>
      </c>
      <c r="M31" s="52"/>
      <c r="N31" s="52"/>
      <c r="O31" s="52">
        <v>91768</v>
      </c>
      <c r="P31" s="52">
        <v>27950</v>
      </c>
      <c r="Q31" s="52">
        <v>15288</v>
      </c>
      <c r="R31" s="52">
        <v>475</v>
      </c>
      <c r="S31" s="52">
        <v>74594</v>
      </c>
      <c r="T31" s="52"/>
      <c r="U31" s="52">
        <v>537023</v>
      </c>
      <c r="V31" s="52"/>
      <c r="W31" s="52">
        <v>399631</v>
      </c>
      <c r="X31" s="52">
        <v>47168</v>
      </c>
      <c r="Y31" s="52">
        <v>3296713</v>
      </c>
      <c r="Z31" s="52">
        <v>307255</v>
      </c>
      <c r="AA31" s="52">
        <v>49626</v>
      </c>
      <c r="AB31" s="52">
        <v>102661</v>
      </c>
      <c r="AC31" s="52">
        <v>15349</v>
      </c>
      <c r="AD31" s="52">
        <v>69727</v>
      </c>
      <c r="AE31" s="52">
        <v>150732</v>
      </c>
      <c r="AF31" s="52"/>
      <c r="AG31" s="52">
        <v>88032</v>
      </c>
      <c r="AH31" s="52">
        <v>96330</v>
      </c>
      <c r="AI31" s="52"/>
      <c r="AJ31" s="52">
        <v>16053</v>
      </c>
      <c r="AK31" s="52">
        <v>51708</v>
      </c>
      <c r="AL31" s="52">
        <v>874</v>
      </c>
      <c r="AM31" s="52"/>
      <c r="AN31" s="52">
        <v>1106909</v>
      </c>
      <c r="AO31" s="52">
        <v>56477</v>
      </c>
      <c r="AP31" s="52"/>
      <c r="AQ31" s="52">
        <v>172122</v>
      </c>
      <c r="AR31" s="52">
        <v>68701</v>
      </c>
      <c r="AS31" s="52">
        <v>556005</v>
      </c>
      <c r="AT31" s="52">
        <v>4646</v>
      </c>
      <c r="AU31" s="52">
        <v>30763</v>
      </c>
      <c r="AV31" s="52">
        <v>26775</v>
      </c>
      <c r="AW31" s="52">
        <v>72411</v>
      </c>
      <c r="AX31" s="52">
        <v>260941</v>
      </c>
      <c r="AY31" s="52">
        <v>5214333</v>
      </c>
      <c r="AZ31" s="52">
        <v>600750</v>
      </c>
      <c r="BA31" s="52">
        <v>51740</v>
      </c>
      <c r="BB31" s="52">
        <v>25847</v>
      </c>
      <c r="BC31" s="52"/>
      <c r="BD31" s="52">
        <v>41896</v>
      </c>
      <c r="BE31" s="52">
        <v>2269</v>
      </c>
      <c r="BF31" s="52">
        <v>1379077</v>
      </c>
      <c r="BG31" s="52">
        <v>7482</v>
      </c>
      <c r="BH31" s="52">
        <v>173723</v>
      </c>
      <c r="BI31" s="52">
        <v>354227</v>
      </c>
      <c r="BJ31" s="52">
        <v>118897</v>
      </c>
      <c r="BK31" s="52">
        <v>88300</v>
      </c>
      <c r="BL31" s="52">
        <v>25014</v>
      </c>
      <c r="BM31" s="52">
        <v>2463539</v>
      </c>
      <c r="BN31" s="52">
        <v>232856</v>
      </c>
      <c r="BO31" s="52">
        <v>81663</v>
      </c>
      <c r="BP31" s="52">
        <v>13529</v>
      </c>
      <c r="BQ31" s="52">
        <v>1935871</v>
      </c>
      <c r="BR31" s="52">
        <v>2190</v>
      </c>
      <c r="BS31" s="52"/>
      <c r="BT31" s="52">
        <v>44455</v>
      </c>
      <c r="BU31" s="52">
        <v>27624</v>
      </c>
      <c r="BV31" s="52"/>
      <c r="BW31" s="52"/>
      <c r="BX31" s="52">
        <v>41249</v>
      </c>
      <c r="BY31" s="52">
        <v>250718</v>
      </c>
      <c r="BZ31" s="52">
        <v>200255</v>
      </c>
      <c r="CA31" s="52"/>
      <c r="CB31" s="52">
        <v>23878</v>
      </c>
      <c r="CC31" s="52">
        <v>31409</v>
      </c>
      <c r="CD31" s="52">
        <v>104242</v>
      </c>
      <c r="CE31" s="52"/>
      <c r="CF31" s="52">
        <v>310314</v>
      </c>
      <c r="CG31" s="52">
        <v>565404</v>
      </c>
      <c r="CH31" s="52">
        <v>277437</v>
      </c>
      <c r="CI31" s="52">
        <v>64644</v>
      </c>
      <c r="CJ31" s="52">
        <v>260928</v>
      </c>
      <c r="CK31" s="52">
        <v>275690</v>
      </c>
      <c r="CL31" s="52">
        <v>108205</v>
      </c>
      <c r="CM31" s="52">
        <v>40571</v>
      </c>
      <c r="CN31" s="52">
        <v>376169</v>
      </c>
      <c r="CO31" s="52">
        <v>433053</v>
      </c>
      <c r="CP31" s="52"/>
      <c r="CQ31" s="52"/>
      <c r="CR31" s="52"/>
      <c r="CS31" s="52"/>
      <c r="CT31" s="52">
        <v>273036</v>
      </c>
      <c r="CU31" s="52">
        <v>490225</v>
      </c>
      <c r="CV31" s="52"/>
      <c r="CW31" s="52">
        <v>133041</v>
      </c>
      <c r="CX31" s="52">
        <v>33866</v>
      </c>
      <c r="CY31" s="52">
        <v>347649</v>
      </c>
      <c r="CZ31" s="52">
        <v>399735</v>
      </c>
      <c r="DA31" s="52">
        <v>515229</v>
      </c>
      <c r="DB31" s="52">
        <v>685028</v>
      </c>
      <c r="DC31" s="52"/>
      <c r="DD31" s="52"/>
      <c r="DE31" s="52">
        <v>28558191</v>
      </c>
      <c r="DF31" s="52"/>
      <c r="DG31" s="52">
        <v>28558191</v>
      </c>
      <c r="DH31" s="52"/>
    </row>
    <row r="32" spans="1:112">
      <c r="A32" s="150" t="s">
        <v>410</v>
      </c>
      <c r="B32" s="44">
        <v>1640</v>
      </c>
      <c r="C32" s="44" t="s">
        <v>70</v>
      </c>
      <c r="D32" s="52">
        <v>58681</v>
      </c>
      <c r="E32" s="52">
        <v>240995</v>
      </c>
      <c r="F32" s="52">
        <v>40720</v>
      </c>
      <c r="G32" s="52"/>
      <c r="H32" s="56">
        <v>53286</v>
      </c>
      <c r="I32" s="56">
        <v>49161</v>
      </c>
      <c r="J32" s="56">
        <v>50977</v>
      </c>
      <c r="K32" s="56">
        <v>36317</v>
      </c>
      <c r="L32" s="52">
        <v>144626</v>
      </c>
      <c r="M32" s="52"/>
      <c r="N32" s="52"/>
      <c r="O32" s="52">
        <v>13859</v>
      </c>
      <c r="P32" s="52">
        <v>16079</v>
      </c>
      <c r="Q32" s="52">
        <v>25639</v>
      </c>
      <c r="R32" s="52">
        <v>17763</v>
      </c>
      <c r="S32" s="52">
        <v>36528</v>
      </c>
      <c r="T32" s="52"/>
      <c r="U32" s="52">
        <v>98847</v>
      </c>
      <c r="V32" s="52"/>
      <c r="W32" s="52">
        <v>252145</v>
      </c>
      <c r="X32" s="52">
        <v>19872</v>
      </c>
      <c r="Y32" s="52">
        <v>257485</v>
      </c>
      <c r="Z32" s="52">
        <v>159550</v>
      </c>
      <c r="AA32" s="52">
        <v>60745</v>
      </c>
      <c r="AB32" s="52">
        <v>100929</v>
      </c>
      <c r="AC32" s="52">
        <v>9964</v>
      </c>
      <c r="AD32" s="52">
        <v>49068</v>
      </c>
      <c r="AE32" s="52">
        <v>4464</v>
      </c>
      <c r="AF32" s="52"/>
      <c r="AG32" s="52">
        <v>80694</v>
      </c>
      <c r="AH32" s="52">
        <v>120792</v>
      </c>
      <c r="AI32" s="52"/>
      <c r="AJ32" s="52">
        <v>25030</v>
      </c>
      <c r="AK32" s="52">
        <v>52554</v>
      </c>
      <c r="AL32" s="52">
        <v>16560</v>
      </c>
      <c r="AM32" s="52"/>
      <c r="AN32" s="52">
        <v>84307</v>
      </c>
      <c r="AO32" s="52">
        <v>45033</v>
      </c>
      <c r="AP32" s="52"/>
      <c r="AQ32" s="52">
        <v>63217</v>
      </c>
      <c r="AR32" s="52">
        <v>71395</v>
      </c>
      <c r="AS32" s="52">
        <v>243331</v>
      </c>
      <c r="AT32" s="52">
        <v>15392</v>
      </c>
      <c r="AU32" s="52">
        <v>33589</v>
      </c>
      <c r="AV32" s="52">
        <v>7361</v>
      </c>
      <c r="AW32" s="52">
        <v>20628</v>
      </c>
      <c r="AX32" s="52">
        <v>139036</v>
      </c>
      <c r="AY32" s="52">
        <v>655456</v>
      </c>
      <c r="AZ32" s="52">
        <v>96833</v>
      </c>
      <c r="BA32" s="52">
        <v>14979</v>
      </c>
      <c r="BB32" s="52">
        <v>22311</v>
      </c>
      <c r="BC32" s="52"/>
      <c r="BD32" s="52">
        <v>47637</v>
      </c>
      <c r="BE32" s="52">
        <v>21611</v>
      </c>
      <c r="BF32" s="52">
        <v>422376</v>
      </c>
      <c r="BG32" s="52">
        <v>14777</v>
      </c>
      <c r="BH32" s="52">
        <v>165170</v>
      </c>
      <c r="BI32" s="52">
        <v>106614</v>
      </c>
      <c r="BJ32" s="52">
        <v>73788</v>
      </c>
      <c r="BK32" s="52">
        <v>71074</v>
      </c>
      <c r="BL32" s="52">
        <v>24029</v>
      </c>
      <c r="BM32" s="52">
        <v>276763</v>
      </c>
      <c r="BN32" s="52">
        <v>111699</v>
      </c>
      <c r="BO32" s="52">
        <v>32955</v>
      </c>
      <c r="BP32" s="52">
        <v>47293</v>
      </c>
      <c r="BQ32" s="52">
        <v>181136</v>
      </c>
      <c r="BR32" s="52">
        <v>11792</v>
      </c>
      <c r="BS32" s="52"/>
      <c r="BT32" s="52">
        <v>31004</v>
      </c>
      <c r="BU32" s="52">
        <v>35322</v>
      </c>
      <c r="BV32" s="52">
        <v>9726</v>
      </c>
      <c r="BW32" s="52"/>
      <c r="BX32" s="52">
        <v>45277</v>
      </c>
      <c r="BY32" s="52">
        <v>106335</v>
      </c>
      <c r="BZ32" s="52">
        <v>147078</v>
      </c>
      <c r="CA32" s="52"/>
      <c r="CB32" s="52">
        <v>33327</v>
      </c>
      <c r="CC32" s="52">
        <v>61989</v>
      </c>
      <c r="CD32" s="52">
        <v>144208</v>
      </c>
      <c r="CE32" s="52"/>
      <c r="CF32" s="52">
        <v>142647</v>
      </c>
      <c r="CG32" s="52">
        <v>172337</v>
      </c>
      <c r="CH32" s="52">
        <v>351935</v>
      </c>
      <c r="CI32" s="52">
        <v>48275</v>
      </c>
      <c r="CJ32" s="52">
        <v>56555</v>
      </c>
      <c r="CK32" s="52">
        <v>103133</v>
      </c>
      <c r="CL32" s="52">
        <v>38948</v>
      </c>
      <c r="CM32" s="52">
        <v>50452</v>
      </c>
      <c r="CN32" s="52">
        <v>71266</v>
      </c>
      <c r="CO32" s="52">
        <v>107062</v>
      </c>
      <c r="CP32" s="52">
        <v>126637</v>
      </c>
      <c r="CQ32" s="52"/>
      <c r="CR32" s="52"/>
      <c r="CS32" s="52"/>
      <c r="CT32" s="52">
        <v>110134</v>
      </c>
      <c r="CU32" s="52">
        <v>79995</v>
      </c>
      <c r="CV32" s="52"/>
      <c r="CW32" s="52">
        <v>61243</v>
      </c>
      <c r="CX32" s="52">
        <v>93724</v>
      </c>
      <c r="CY32" s="52">
        <v>23081</v>
      </c>
      <c r="CZ32" s="52">
        <v>39875</v>
      </c>
      <c r="DA32" s="52">
        <v>73833</v>
      </c>
      <c r="DB32" s="52">
        <v>78109</v>
      </c>
      <c r="DC32" s="52"/>
      <c r="DD32" s="52"/>
      <c r="DE32" s="52">
        <v>7658419</v>
      </c>
      <c r="DF32" s="52"/>
      <c r="DG32" s="52">
        <v>7658419</v>
      </c>
      <c r="DH32" s="52"/>
    </row>
    <row r="33" spans="1:112">
      <c r="A33" s="150" t="s">
        <v>410</v>
      </c>
      <c r="B33" s="44">
        <v>1650</v>
      </c>
      <c r="C33" s="44" t="s">
        <v>71</v>
      </c>
      <c r="D33" s="52">
        <v>137</v>
      </c>
      <c r="E33" s="52">
        <v>1959</v>
      </c>
      <c r="F33" s="52">
        <v>834</v>
      </c>
      <c r="G33" s="52"/>
      <c r="H33" s="56">
        <v>2977</v>
      </c>
      <c r="I33" s="56">
        <v>410</v>
      </c>
      <c r="J33" s="56"/>
      <c r="K33" s="56"/>
      <c r="L33" s="52">
        <v>525</v>
      </c>
      <c r="M33" s="52"/>
      <c r="N33" s="52"/>
      <c r="O33" s="52">
        <v>1368</v>
      </c>
      <c r="P33" s="52">
        <v>687</v>
      </c>
      <c r="Q33" s="52">
        <v>2410</v>
      </c>
      <c r="R33" s="52">
        <v>687</v>
      </c>
      <c r="S33" s="52">
        <v>718</v>
      </c>
      <c r="T33" s="52"/>
      <c r="U33" s="52">
        <v>5538</v>
      </c>
      <c r="V33" s="52"/>
      <c r="W33" s="52">
        <v>3272</v>
      </c>
      <c r="X33" s="52">
        <v>1603</v>
      </c>
      <c r="Y33" s="52">
        <v>12018</v>
      </c>
      <c r="Z33" s="52">
        <v>3033</v>
      </c>
      <c r="AA33" s="52">
        <v>2339</v>
      </c>
      <c r="AB33" s="52">
        <v>1263</v>
      </c>
      <c r="AC33" s="52">
        <v>153</v>
      </c>
      <c r="AD33" s="52">
        <v>1565</v>
      </c>
      <c r="AE33" s="52"/>
      <c r="AF33" s="52"/>
      <c r="AG33" s="52">
        <v>458</v>
      </c>
      <c r="AH33" s="52">
        <v>2017</v>
      </c>
      <c r="AI33" s="52"/>
      <c r="AJ33" s="52">
        <v>767</v>
      </c>
      <c r="AK33" s="52">
        <v>1034</v>
      </c>
      <c r="AL33" s="52">
        <v>665</v>
      </c>
      <c r="AM33" s="52"/>
      <c r="AN33" s="52">
        <v>4455</v>
      </c>
      <c r="AO33" s="52">
        <v>4596</v>
      </c>
      <c r="AP33" s="52"/>
      <c r="AQ33" s="52">
        <v>1799</v>
      </c>
      <c r="AR33" s="52">
        <v>7546</v>
      </c>
      <c r="AS33" s="52">
        <v>6385</v>
      </c>
      <c r="AT33" s="52">
        <v>24</v>
      </c>
      <c r="AU33" s="52">
        <v>6158</v>
      </c>
      <c r="AV33" s="52">
        <v>922</v>
      </c>
      <c r="AW33" s="52">
        <v>1536</v>
      </c>
      <c r="AX33" s="52">
        <v>3521</v>
      </c>
      <c r="AY33" s="52">
        <v>20763</v>
      </c>
      <c r="AZ33" s="52">
        <v>4017</v>
      </c>
      <c r="BA33" s="52">
        <v>119</v>
      </c>
      <c r="BB33" s="52">
        <v>450</v>
      </c>
      <c r="BC33" s="52"/>
      <c r="BD33" s="52">
        <v>2080</v>
      </c>
      <c r="BE33" s="52">
        <v>648</v>
      </c>
      <c r="BF33" s="52">
        <v>4952</v>
      </c>
      <c r="BG33" s="52">
        <v>150</v>
      </c>
      <c r="BH33" s="52">
        <v>9715</v>
      </c>
      <c r="BI33" s="52">
        <v>7877</v>
      </c>
      <c r="BJ33" s="52">
        <v>10630</v>
      </c>
      <c r="BK33" s="52">
        <v>424</v>
      </c>
      <c r="BL33" s="52">
        <v>2486</v>
      </c>
      <c r="BM33" s="52">
        <v>9683</v>
      </c>
      <c r="BN33" s="52">
        <v>9108</v>
      </c>
      <c r="BO33" s="52">
        <v>493</v>
      </c>
      <c r="BP33" s="52">
        <v>1620</v>
      </c>
      <c r="BQ33" s="52">
        <v>3581</v>
      </c>
      <c r="BR33" s="52"/>
      <c r="BS33" s="52"/>
      <c r="BT33" s="52">
        <v>4040</v>
      </c>
      <c r="BU33" s="52">
        <v>340</v>
      </c>
      <c r="BV33" s="52">
        <v>9150</v>
      </c>
      <c r="BW33" s="52"/>
      <c r="BX33" s="52">
        <v>863</v>
      </c>
      <c r="BY33" s="52">
        <v>4320</v>
      </c>
      <c r="BZ33" s="52">
        <v>5030</v>
      </c>
      <c r="CA33" s="52"/>
      <c r="CB33" s="52">
        <v>1999</v>
      </c>
      <c r="CC33" s="52">
        <v>234</v>
      </c>
      <c r="CD33" s="52">
        <v>11600</v>
      </c>
      <c r="CE33" s="52"/>
      <c r="CF33" s="52">
        <v>3128</v>
      </c>
      <c r="CG33" s="52">
        <v>1907</v>
      </c>
      <c r="CH33" s="52">
        <v>6131</v>
      </c>
      <c r="CI33" s="52">
        <v>1781</v>
      </c>
      <c r="CJ33" s="52">
        <v>1243</v>
      </c>
      <c r="CK33" s="52"/>
      <c r="CL33" s="52"/>
      <c r="CM33" s="52">
        <v>788</v>
      </c>
      <c r="CN33" s="52">
        <v>1074</v>
      </c>
      <c r="CO33" s="52">
        <v>4296</v>
      </c>
      <c r="CP33" s="52"/>
      <c r="CQ33" s="52"/>
      <c r="CR33" s="52"/>
      <c r="CS33" s="52"/>
      <c r="CT33" s="52">
        <v>5959</v>
      </c>
      <c r="CU33" s="52">
        <v>1752</v>
      </c>
      <c r="CV33" s="52"/>
      <c r="CW33" s="52">
        <v>286</v>
      </c>
      <c r="CX33" s="52">
        <v>7368</v>
      </c>
      <c r="CY33" s="52">
        <v>648</v>
      </c>
      <c r="CZ33" s="52">
        <v>1859</v>
      </c>
      <c r="DA33" s="52">
        <v>10025</v>
      </c>
      <c r="DB33" s="52">
        <v>1688</v>
      </c>
      <c r="DC33" s="52"/>
      <c r="DD33" s="52"/>
      <c r="DE33" s="52">
        <v>261684</v>
      </c>
      <c r="DF33" s="52"/>
      <c r="DG33" s="52">
        <v>261684</v>
      </c>
      <c r="DH33" s="52"/>
    </row>
    <row r="34" spans="1:112">
      <c r="A34" s="150" t="s">
        <v>410</v>
      </c>
      <c r="B34" s="44">
        <v>1660</v>
      </c>
      <c r="C34" s="44" t="s">
        <v>72</v>
      </c>
      <c r="D34" s="52">
        <v>4170</v>
      </c>
      <c r="E34" s="52">
        <v>10071</v>
      </c>
      <c r="F34" s="52">
        <v>25422</v>
      </c>
      <c r="G34" s="52"/>
      <c r="H34" s="56">
        <v>28845</v>
      </c>
      <c r="I34" s="56">
        <v>8908</v>
      </c>
      <c r="J34" s="56">
        <v>10678</v>
      </c>
      <c r="K34" s="56">
        <v>6664</v>
      </c>
      <c r="L34" s="52">
        <v>14790</v>
      </c>
      <c r="M34" s="52"/>
      <c r="N34" s="52"/>
      <c r="O34" s="52">
        <v>28963</v>
      </c>
      <c r="P34" s="52">
        <v>4771</v>
      </c>
      <c r="Q34" s="52">
        <v>13979</v>
      </c>
      <c r="R34" s="52">
        <v>1672</v>
      </c>
      <c r="S34" s="52">
        <v>27080</v>
      </c>
      <c r="T34" s="52"/>
      <c r="U34" s="52">
        <v>24112</v>
      </c>
      <c r="V34" s="52"/>
      <c r="W34" s="52">
        <v>58212</v>
      </c>
      <c r="X34" s="52">
        <v>10663</v>
      </c>
      <c r="Y34" s="52">
        <v>286955</v>
      </c>
      <c r="Z34" s="52">
        <v>14390</v>
      </c>
      <c r="AA34" s="52">
        <v>19534</v>
      </c>
      <c r="AB34" s="52">
        <v>9752</v>
      </c>
      <c r="AC34" s="52">
        <v>3196</v>
      </c>
      <c r="AD34" s="52">
        <v>122458</v>
      </c>
      <c r="AE34" s="52">
        <v>27298</v>
      </c>
      <c r="AF34" s="52"/>
      <c r="AG34" s="52">
        <v>15756</v>
      </c>
      <c r="AH34" s="52">
        <v>65156</v>
      </c>
      <c r="AI34" s="52"/>
      <c r="AJ34" s="52">
        <v>2454</v>
      </c>
      <c r="AK34" s="52">
        <v>17481</v>
      </c>
      <c r="AL34" s="52">
        <v>1628</v>
      </c>
      <c r="AM34" s="52"/>
      <c r="AN34" s="52">
        <v>150670</v>
      </c>
      <c r="AO34" s="52">
        <v>6289</v>
      </c>
      <c r="AP34" s="52"/>
      <c r="AQ34" s="52">
        <v>12236</v>
      </c>
      <c r="AR34" s="52">
        <v>21957</v>
      </c>
      <c r="AS34" s="52">
        <v>22446</v>
      </c>
      <c r="AT34" s="52">
        <v>3478</v>
      </c>
      <c r="AU34" s="52">
        <v>18795</v>
      </c>
      <c r="AV34" s="52"/>
      <c r="AW34" s="52">
        <v>7471</v>
      </c>
      <c r="AX34" s="52">
        <v>28990</v>
      </c>
      <c r="AY34" s="52">
        <v>188422</v>
      </c>
      <c r="AZ34" s="52">
        <v>66074</v>
      </c>
      <c r="BA34" s="52">
        <v>6034</v>
      </c>
      <c r="BB34" s="52">
        <v>11703</v>
      </c>
      <c r="BC34" s="52"/>
      <c r="BD34" s="52">
        <v>3564</v>
      </c>
      <c r="BE34" s="52">
        <v>5995</v>
      </c>
      <c r="BF34" s="52">
        <v>42076</v>
      </c>
      <c r="BG34" s="52">
        <v>14136</v>
      </c>
      <c r="BH34" s="52">
        <v>10209</v>
      </c>
      <c r="BI34" s="52">
        <v>60618</v>
      </c>
      <c r="BJ34" s="52">
        <v>7162</v>
      </c>
      <c r="BK34" s="52">
        <v>1906</v>
      </c>
      <c r="BL34" s="52">
        <v>16601</v>
      </c>
      <c r="BM34" s="52">
        <v>114697</v>
      </c>
      <c r="BN34" s="52">
        <v>23636</v>
      </c>
      <c r="BO34" s="52">
        <v>12324</v>
      </c>
      <c r="BP34" s="52">
        <v>430</v>
      </c>
      <c r="BQ34" s="52">
        <v>125116</v>
      </c>
      <c r="BR34" s="52">
        <v>1947</v>
      </c>
      <c r="BS34" s="52"/>
      <c r="BT34" s="52">
        <v>1836</v>
      </c>
      <c r="BU34" s="52">
        <v>3827</v>
      </c>
      <c r="BV34" s="52"/>
      <c r="BW34" s="52"/>
      <c r="BX34" s="52">
        <v>12935</v>
      </c>
      <c r="BY34" s="52">
        <v>19113</v>
      </c>
      <c r="BZ34" s="52">
        <v>21305</v>
      </c>
      <c r="CA34" s="52"/>
      <c r="CB34" s="52">
        <v>5644</v>
      </c>
      <c r="CC34" s="52">
        <v>7883</v>
      </c>
      <c r="CD34" s="52">
        <v>96460</v>
      </c>
      <c r="CE34" s="52"/>
      <c r="CF34" s="52">
        <v>31407</v>
      </c>
      <c r="CG34" s="52">
        <v>8771</v>
      </c>
      <c r="CH34" s="52">
        <v>33581</v>
      </c>
      <c r="CI34" s="52">
        <v>10752</v>
      </c>
      <c r="CJ34" s="52">
        <v>6900</v>
      </c>
      <c r="CK34" s="52">
        <v>6930</v>
      </c>
      <c r="CL34" s="52">
        <v>7065</v>
      </c>
      <c r="CM34" s="52">
        <v>6322</v>
      </c>
      <c r="CN34" s="52">
        <v>14618</v>
      </c>
      <c r="CO34" s="52">
        <v>13896</v>
      </c>
      <c r="CP34" s="52"/>
      <c r="CQ34" s="52"/>
      <c r="CR34" s="52"/>
      <c r="CS34" s="52"/>
      <c r="CT34" s="52">
        <v>50801</v>
      </c>
      <c r="CU34" s="52">
        <v>167125</v>
      </c>
      <c r="CV34" s="52"/>
      <c r="CW34" s="52">
        <v>23360</v>
      </c>
      <c r="CX34" s="52">
        <v>57699</v>
      </c>
      <c r="CY34" s="52">
        <v>13496</v>
      </c>
      <c r="CZ34" s="52">
        <v>26246</v>
      </c>
      <c r="DA34" s="52">
        <v>221941</v>
      </c>
      <c r="DB34" s="52">
        <v>16943</v>
      </c>
      <c r="DC34" s="52"/>
      <c r="DD34" s="52"/>
      <c r="DE34" s="52">
        <v>2736896</v>
      </c>
      <c r="DF34" s="52"/>
      <c r="DG34" s="52">
        <v>2736896</v>
      </c>
      <c r="DH34" s="52"/>
    </row>
    <row r="35" spans="1:112">
      <c r="A35" s="150" t="s">
        <v>410</v>
      </c>
      <c r="B35" s="44">
        <v>1710</v>
      </c>
      <c r="C35" s="44" t="s">
        <v>74</v>
      </c>
      <c r="D35" s="52">
        <v>380923</v>
      </c>
      <c r="E35" s="52">
        <v>799643</v>
      </c>
      <c r="F35" s="52">
        <v>56234</v>
      </c>
      <c r="G35" s="52"/>
      <c r="H35" s="56">
        <v>700203</v>
      </c>
      <c r="I35" s="56">
        <v>156233</v>
      </c>
      <c r="J35" s="56">
        <v>107447</v>
      </c>
      <c r="K35" s="56">
        <v>214246</v>
      </c>
      <c r="L35" s="52">
        <v>629657</v>
      </c>
      <c r="M35" s="52"/>
      <c r="N35" s="52"/>
      <c r="O35" s="52">
        <v>98026</v>
      </c>
      <c r="P35" s="52">
        <v>29797</v>
      </c>
      <c r="Q35" s="52">
        <v>57140</v>
      </c>
      <c r="R35" s="52">
        <v>41315</v>
      </c>
      <c r="S35" s="52">
        <v>90107</v>
      </c>
      <c r="T35" s="52"/>
      <c r="U35" s="52"/>
      <c r="V35" s="52"/>
      <c r="W35" s="52">
        <v>588838</v>
      </c>
      <c r="X35" s="52"/>
      <c r="Y35" s="52">
        <v>1522350</v>
      </c>
      <c r="Z35" s="52">
        <v>446424</v>
      </c>
      <c r="AA35" s="52">
        <v>160539</v>
      </c>
      <c r="AB35" s="52"/>
      <c r="AC35" s="52">
        <v>25868</v>
      </c>
      <c r="AD35" s="52">
        <v>147973</v>
      </c>
      <c r="AE35" s="52">
        <v>93575</v>
      </c>
      <c r="AF35" s="52"/>
      <c r="AG35" s="52">
        <v>167504</v>
      </c>
      <c r="AH35" s="52"/>
      <c r="AI35" s="52"/>
      <c r="AJ35" s="52">
        <v>68378</v>
      </c>
      <c r="AK35" s="52">
        <v>111443</v>
      </c>
      <c r="AL35" s="52">
        <v>61497</v>
      </c>
      <c r="AM35" s="52"/>
      <c r="AN35" s="52">
        <v>306881</v>
      </c>
      <c r="AO35" s="52">
        <v>33979</v>
      </c>
      <c r="AP35" s="52"/>
      <c r="AQ35" s="52"/>
      <c r="AR35" s="52">
        <v>90771</v>
      </c>
      <c r="AS35" s="52">
        <v>85299</v>
      </c>
      <c r="AT35" s="52">
        <v>9910</v>
      </c>
      <c r="AU35" s="52">
        <v>54968</v>
      </c>
      <c r="AV35" s="52">
        <v>39610</v>
      </c>
      <c r="AW35" s="52">
        <v>98288</v>
      </c>
      <c r="AX35" s="52">
        <v>338404</v>
      </c>
      <c r="AY35" s="52">
        <v>1472719</v>
      </c>
      <c r="AZ35" s="52">
        <v>351482</v>
      </c>
      <c r="BA35" s="52">
        <v>68973</v>
      </c>
      <c r="BB35" s="52"/>
      <c r="BC35" s="52"/>
      <c r="BD35" s="52"/>
      <c r="BE35" s="52">
        <v>34358</v>
      </c>
      <c r="BF35" s="52">
        <v>710214</v>
      </c>
      <c r="BG35" s="52">
        <v>55913</v>
      </c>
      <c r="BH35" s="52">
        <v>205922</v>
      </c>
      <c r="BI35" s="52">
        <v>307732</v>
      </c>
      <c r="BJ35" s="52">
        <v>13011</v>
      </c>
      <c r="BK35" s="52">
        <v>209188</v>
      </c>
      <c r="BL35" s="52">
        <v>72706</v>
      </c>
      <c r="BM35" s="52">
        <v>601218</v>
      </c>
      <c r="BN35" s="52">
        <v>165423</v>
      </c>
      <c r="BO35" s="52"/>
      <c r="BP35" s="52"/>
      <c r="BQ35" s="52">
        <v>394217</v>
      </c>
      <c r="BR35" s="52">
        <v>41924</v>
      </c>
      <c r="BS35" s="52"/>
      <c r="BT35" s="52">
        <v>56996</v>
      </c>
      <c r="BU35" s="52">
        <v>63691</v>
      </c>
      <c r="BV35" s="52">
        <v>9444</v>
      </c>
      <c r="BW35" s="52"/>
      <c r="BX35" s="52">
        <v>163408</v>
      </c>
      <c r="BY35" s="52">
        <v>259715</v>
      </c>
      <c r="BZ35" s="52">
        <v>336641</v>
      </c>
      <c r="CA35" s="52"/>
      <c r="CB35" s="52">
        <v>85290</v>
      </c>
      <c r="CC35" s="52">
        <v>24571</v>
      </c>
      <c r="CD35" s="52">
        <v>189793</v>
      </c>
      <c r="CE35" s="52"/>
      <c r="CF35" s="52">
        <v>1138826</v>
      </c>
      <c r="CG35" s="52">
        <v>319461</v>
      </c>
      <c r="CH35" s="52">
        <v>15761</v>
      </c>
      <c r="CI35" s="52">
        <v>153568</v>
      </c>
      <c r="CJ35" s="52">
        <v>162837</v>
      </c>
      <c r="CK35" s="52">
        <v>352363</v>
      </c>
      <c r="CL35" s="52">
        <v>103203</v>
      </c>
      <c r="CM35" s="52">
        <v>161129</v>
      </c>
      <c r="CN35" s="52">
        <v>539544</v>
      </c>
      <c r="CO35" s="52">
        <v>325492</v>
      </c>
      <c r="CP35" s="52">
        <v>185560</v>
      </c>
      <c r="CQ35" s="52"/>
      <c r="CR35" s="52"/>
      <c r="CS35" s="52"/>
      <c r="CT35" s="52">
        <v>165548</v>
      </c>
      <c r="CU35" s="52">
        <v>122774</v>
      </c>
      <c r="CV35" s="52"/>
      <c r="CW35" s="52">
        <v>244711</v>
      </c>
      <c r="CX35" s="52">
        <v>158075</v>
      </c>
      <c r="CY35" s="52">
        <v>21311</v>
      </c>
      <c r="CZ35" s="52">
        <v>156102</v>
      </c>
      <c r="DA35" s="52">
        <v>124577</v>
      </c>
      <c r="DB35" s="52">
        <v>251927</v>
      </c>
      <c r="DC35" s="52"/>
      <c r="DD35" s="52"/>
      <c r="DE35" s="52">
        <v>18410788</v>
      </c>
      <c r="DF35" s="52"/>
      <c r="DG35" s="52">
        <v>18410788</v>
      </c>
      <c r="DH35" s="52"/>
    </row>
    <row r="36" spans="1:112">
      <c r="A36" s="150" t="s">
        <v>410</v>
      </c>
      <c r="B36" s="44">
        <v>1720</v>
      </c>
      <c r="C36" s="44" t="s">
        <v>75</v>
      </c>
      <c r="D36" s="52">
        <v>54809</v>
      </c>
      <c r="E36" s="52">
        <v>21105</v>
      </c>
      <c r="F36" s="52"/>
      <c r="G36" s="52"/>
      <c r="H36" s="56">
        <v>226616</v>
      </c>
      <c r="I36" s="56">
        <v>9050</v>
      </c>
      <c r="J36" s="56">
        <v>38584</v>
      </c>
      <c r="K36" s="56">
        <v>3733</v>
      </c>
      <c r="L36" s="52">
        <v>10530</v>
      </c>
      <c r="M36" s="52"/>
      <c r="N36" s="52"/>
      <c r="O36" s="52"/>
      <c r="P36" s="52"/>
      <c r="Q36" s="52"/>
      <c r="R36" s="52">
        <v>8442</v>
      </c>
      <c r="S36" s="52">
        <v>1892</v>
      </c>
      <c r="T36" s="52"/>
      <c r="U36" s="52"/>
      <c r="V36" s="52"/>
      <c r="W36" s="52">
        <v>110612</v>
      </c>
      <c r="X36" s="52"/>
      <c r="Y36" s="52">
        <v>228887</v>
      </c>
      <c r="Z36" s="52">
        <v>37075</v>
      </c>
      <c r="AA36" s="52">
        <v>22427</v>
      </c>
      <c r="AB36" s="52"/>
      <c r="AC36" s="52">
        <v>2501</v>
      </c>
      <c r="AD36" s="52">
        <v>1310</v>
      </c>
      <c r="AE36" s="52">
        <v>113570</v>
      </c>
      <c r="AF36" s="52"/>
      <c r="AG36" s="52">
        <v>4638</v>
      </c>
      <c r="AH36" s="52"/>
      <c r="AI36" s="52"/>
      <c r="AJ36" s="52">
        <v>10</v>
      </c>
      <c r="AK36" s="52"/>
      <c r="AL36" s="52"/>
      <c r="AM36" s="52"/>
      <c r="AN36" s="52"/>
      <c r="AO36" s="52"/>
      <c r="AP36" s="52">
        <v>549</v>
      </c>
      <c r="AQ36" s="52"/>
      <c r="AR36" s="52">
        <v>1442</v>
      </c>
      <c r="AS36" s="52"/>
      <c r="AT36" s="52"/>
      <c r="AU36" s="52"/>
      <c r="AV36" s="52"/>
      <c r="AW36" s="52">
        <v>279062</v>
      </c>
      <c r="AX36" s="52">
        <v>15273</v>
      </c>
      <c r="AY36" s="52">
        <v>22623</v>
      </c>
      <c r="AZ36" s="52">
        <v>13972</v>
      </c>
      <c r="BA36" s="52">
        <v>10386</v>
      </c>
      <c r="BB36" s="52"/>
      <c r="BC36" s="52"/>
      <c r="BD36" s="52">
        <v>1944</v>
      </c>
      <c r="BE36" s="52"/>
      <c r="BF36" s="52">
        <v>629173</v>
      </c>
      <c r="BG36" s="52">
        <v>17593</v>
      </c>
      <c r="BH36" s="52">
        <v>49506</v>
      </c>
      <c r="BI36" s="52">
        <v>1309254</v>
      </c>
      <c r="BJ36" s="52">
        <v>396066</v>
      </c>
      <c r="BK36" s="52">
        <v>123568</v>
      </c>
      <c r="BL36" s="52"/>
      <c r="BM36" s="52"/>
      <c r="BN36" s="52">
        <v>2863</v>
      </c>
      <c r="BO36" s="52"/>
      <c r="BP36" s="52"/>
      <c r="BQ36" s="52">
        <v>42789</v>
      </c>
      <c r="BR36" s="52">
        <v>1712</v>
      </c>
      <c r="BS36" s="52"/>
      <c r="BT36" s="52"/>
      <c r="BU36" s="52"/>
      <c r="BV36" s="52">
        <v>43405</v>
      </c>
      <c r="BW36" s="52">
        <v>29304</v>
      </c>
      <c r="BX36" s="52"/>
      <c r="BY36" s="52">
        <v>39059</v>
      </c>
      <c r="BZ36" s="52">
        <v>1029363</v>
      </c>
      <c r="CA36" s="52"/>
      <c r="CB36" s="52"/>
      <c r="CC36" s="52">
        <v>137260</v>
      </c>
      <c r="CD36" s="52">
        <v>1119</v>
      </c>
      <c r="CE36" s="52"/>
      <c r="CF36" s="52">
        <v>198</v>
      </c>
      <c r="CG36" s="52">
        <v>704820</v>
      </c>
      <c r="CH36" s="52">
        <v>290263</v>
      </c>
      <c r="CI36" s="52">
        <v>22759</v>
      </c>
      <c r="CJ36" s="52">
        <v>18295</v>
      </c>
      <c r="CK36" s="52">
        <v>6489</v>
      </c>
      <c r="CL36" s="52">
        <v>20526</v>
      </c>
      <c r="CM36" s="52">
        <v>6290</v>
      </c>
      <c r="CN36" s="52">
        <v>40815</v>
      </c>
      <c r="CO36" s="52">
        <v>472477</v>
      </c>
      <c r="CP36" s="52">
        <v>22276</v>
      </c>
      <c r="CQ36" s="52"/>
      <c r="CR36" s="52"/>
      <c r="CS36" s="52"/>
      <c r="CT36" s="52">
        <v>1137</v>
      </c>
      <c r="CU36" s="52">
        <v>5431</v>
      </c>
      <c r="CV36" s="52"/>
      <c r="CW36" s="52">
        <v>292651</v>
      </c>
      <c r="CX36" s="52"/>
      <c r="CY36" s="52">
        <v>43210</v>
      </c>
      <c r="CZ36" s="52">
        <v>19474</v>
      </c>
      <c r="DA36" s="52">
        <v>807</v>
      </c>
      <c r="DB36" s="52"/>
      <c r="DC36" s="52"/>
      <c r="DD36" s="52"/>
      <c r="DE36" s="52">
        <v>7060994</v>
      </c>
      <c r="DF36" s="52"/>
      <c r="DG36" s="52">
        <v>7060994</v>
      </c>
      <c r="DH36" s="52"/>
    </row>
    <row r="37" spans="1:112">
      <c r="A37" s="150" t="s">
        <v>410</v>
      </c>
      <c r="B37" s="44">
        <v>1730</v>
      </c>
      <c r="C37" s="44" t="s">
        <v>76</v>
      </c>
      <c r="D37" s="52">
        <v>256402</v>
      </c>
      <c r="E37" s="52">
        <v>509151</v>
      </c>
      <c r="F37" s="52">
        <v>4616</v>
      </c>
      <c r="G37" s="52"/>
      <c r="H37" s="56">
        <v>1160731</v>
      </c>
      <c r="I37" s="56">
        <v>139673</v>
      </c>
      <c r="J37" s="56">
        <v>8181</v>
      </c>
      <c r="K37" s="56">
        <v>33612</v>
      </c>
      <c r="L37" s="52">
        <v>194997</v>
      </c>
      <c r="M37" s="52"/>
      <c r="N37" s="52"/>
      <c r="O37" s="52"/>
      <c r="P37" s="52"/>
      <c r="Q37" s="52">
        <v>6498</v>
      </c>
      <c r="R37" s="52">
        <v>38834</v>
      </c>
      <c r="S37" s="52">
        <v>2782</v>
      </c>
      <c r="T37" s="52">
        <v>21107</v>
      </c>
      <c r="U37" s="52">
        <v>188871</v>
      </c>
      <c r="V37" s="52">
        <v>131286</v>
      </c>
      <c r="W37" s="52">
        <v>640</v>
      </c>
      <c r="X37" s="52">
        <v>15877</v>
      </c>
      <c r="Y37" s="52">
        <v>53843</v>
      </c>
      <c r="Z37" s="52">
        <v>318128</v>
      </c>
      <c r="AA37" s="52">
        <v>10855</v>
      </c>
      <c r="AB37" s="52"/>
      <c r="AC37" s="52"/>
      <c r="AD37" s="52">
        <v>93743</v>
      </c>
      <c r="AE37" s="52">
        <v>133436</v>
      </c>
      <c r="AF37" s="52">
        <v>23564</v>
      </c>
      <c r="AG37" s="52"/>
      <c r="AH37" s="52"/>
      <c r="AI37" s="52"/>
      <c r="AJ37" s="52">
        <v>2242</v>
      </c>
      <c r="AK37" s="52"/>
      <c r="AL37" s="52">
        <v>1995</v>
      </c>
      <c r="AM37" s="52">
        <v>28207</v>
      </c>
      <c r="AN37" s="52">
        <v>14549</v>
      </c>
      <c r="AO37" s="52">
        <v>1245</v>
      </c>
      <c r="AP37" s="52"/>
      <c r="AQ37" s="52"/>
      <c r="AR37" s="52">
        <v>491</v>
      </c>
      <c r="AS37" s="52"/>
      <c r="AT37" s="52">
        <v>17060</v>
      </c>
      <c r="AU37" s="52">
        <v>104735</v>
      </c>
      <c r="AV37" s="52">
        <v>6454</v>
      </c>
      <c r="AW37" s="52">
        <v>167611</v>
      </c>
      <c r="AX37" s="52">
        <v>6576</v>
      </c>
      <c r="AY37" s="52">
        <v>277552</v>
      </c>
      <c r="AZ37" s="52">
        <v>18113</v>
      </c>
      <c r="BA37" s="52">
        <v>2184</v>
      </c>
      <c r="BB37" s="52"/>
      <c r="BC37" s="52"/>
      <c r="BD37" s="52">
        <v>125004</v>
      </c>
      <c r="BE37" s="52">
        <v>391</v>
      </c>
      <c r="BF37" s="52">
        <v>26372</v>
      </c>
      <c r="BG37" s="52">
        <v>7027</v>
      </c>
      <c r="BH37" s="52">
        <v>167866</v>
      </c>
      <c r="BI37" s="52">
        <v>618829</v>
      </c>
      <c r="BJ37" s="52">
        <v>4176</v>
      </c>
      <c r="BK37" s="52">
        <v>250609</v>
      </c>
      <c r="BL37" s="52">
        <v>2814</v>
      </c>
      <c r="BM37" s="52"/>
      <c r="BN37" s="52">
        <v>2427</v>
      </c>
      <c r="BO37" s="52"/>
      <c r="BP37" s="52">
        <v>13005</v>
      </c>
      <c r="BQ37" s="52"/>
      <c r="BR37" s="52">
        <v>420</v>
      </c>
      <c r="BS37" s="52"/>
      <c r="BT37" s="52"/>
      <c r="BU37" s="52"/>
      <c r="BV37" s="52">
        <v>22669</v>
      </c>
      <c r="BW37" s="52">
        <v>11274</v>
      </c>
      <c r="BX37" s="52">
        <v>110409</v>
      </c>
      <c r="BY37" s="52">
        <v>12398</v>
      </c>
      <c r="BZ37" s="52">
        <v>20149</v>
      </c>
      <c r="CA37" s="52"/>
      <c r="CB37" s="52"/>
      <c r="CC37" s="52">
        <v>283605</v>
      </c>
      <c r="CD37" s="52">
        <v>323615</v>
      </c>
      <c r="CE37" s="52"/>
      <c r="CF37" s="52">
        <v>560613</v>
      </c>
      <c r="CG37" s="52">
        <v>53439</v>
      </c>
      <c r="CH37" s="52">
        <v>4028</v>
      </c>
      <c r="CI37" s="52">
        <v>41772</v>
      </c>
      <c r="CJ37" s="52">
        <v>1708</v>
      </c>
      <c r="CK37" s="52">
        <v>205193</v>
      </c>
      <c r="CL37" s="52">
        <v>6469</v>
      </c>
      <c r="CM37" s="52"/>
      <c r="CN37" s="52">
        <v>60338</v>
      </c>
      <c r="CO37" s="52">
        <v>79818</v>
      </c>
      <c r="CP37" s="52">
        <v>91099</v>
      </c>
      <c r="CQ37" s="52"/>
      <c r="CR37" s="52">
        <v>231</v>
      </c>
      <c r="CS37" s="52"/>
      <c r="CT37" s="52">
        <v>119345</v>
      </c>
      <c r="CU37" s="52">
        <v>248365</v>
      </c>
      <c r="CV37" s="52"/>
      <c r="CW37" s="52">
        <v>12678</v>
      </c>
      <c r="CX37" s="52">
        <v>175411</v>
      </c>
      <c r="CY37" s="52">
        <v>111553</v>
      </c>
      <c r="CZ37" s="52"/>
      <c r="DA37" s="52">
        <v>4893</v>
      </c>
      <c r="DB37" s="52">
        <v>9982</v>
      </c>
      <c r="DC37" s="52"/>
      <c r="DD37" s="52"/>
      <c r="DE37" s="52">
        <v>7785835</v>
      </c>
      <c r="DF37" s="52"/>
      <c r="DG37" s="52">
        <v>7785835</v>
      </c>
      <c r="DH37" s="52"/>
    </row>
    <row r="38" spans="1:112">
      <c r="A38" s="150" t="s">
        <v>410</v>
      </c>
      <c r="B38" s="44">
        <v>1740</v>
      </c>
      <c r="C38" s="44" t="s">
        <v>77</v>
      </c>
      <c r="D38" s="52"/>
      <c r="E38" s="52">
        <v>1241725</v>
      </c>
      <c r="F38" s="52">
        <v>486</v>
      </c>
      <c r="G38" s="52"/>
      <c r="H38" s="56">
        <v>346995</v>
      </c>
      <c r="I38" s="56">
        <v>180356</v>
      </c>
      <c r="J38" s="56">
        <v>51582</v>
      </c>
      <c r="K38" s="56"/>
      <c r="L38" s="52">
        <v>1111058</v>
      </c>
      <c r="M38" s="52"/>
      <c r="N38" s="52"/>
      <c r="O38" s="52">
        <v>66471</v>
      </c>
      <c r="P38" s="52"/>
      <c r="Q38" s="52">
        <v>12765</v>
      </c>
      <c r="R38" s="52"/>
      <c r="S38" s="52">
        <v>33748</v>
      </c>
      <c r="T38" s="52">
        <v>58181</v>
      </c>
      <c r="U38" s="52"/>
      <c r="V38" s="52"/>
      <c r="W38" s="52">
        <v>161000</v>
      </c>
      <c r="X38" s="52">
        <v>28299</v>
      </c>
      <c r="Y38" s="52">
        <v>1599955</v>
      </c>
      <c r="Z38" s="52">
        <v>883516</v>
      </c>
      <c r="AA38" s="52">
        <v>328914</v>
      </c>
      <c r="AB38" s="52"/>
      <c r="AC38" s="52">
        <v>6146</v>
      </c>
      <c r="AD38" s="52">
        <v>70159</v>
      </c>
      <c r="AE38" s="52"/>
      <c r="AF38" s="52"/>
      <c r="AG38" s="52"/>
      <c r="AH38" s="52"/>
      <c r="AI38" s="52"/>
      <c r="AJ38" s="52"/>
      <c r="AK38" s="52"/>
      <c r="AL38" s="52">
        <v>350</v>
      </c>
      <c r="AM38" s="52"/>
      <c r="AN38" s="52">
        <v>353160</v>
      </c>
      <c r="AO38" s="52">
        <v>26748</v>
      </c>
      <c r="AP38" s="52"/>
      <c r="AQ38" s="52"/>
      <c r="AR38" s="52">
        <v>64659</v>
      </c>
      <c r="AS38" s="52"/>
      <c r="AT38" s="52">
        <v>68945</v>
      </c>
      <c r="AU38" s="52">
        <v>16039</v>
      </c>
      <c r="AV38" s="52">
        <v>11112</v>
      </c>
      <c r="AW38" s="52">
        <v>445</v>
      </c>
      <c r="AX38" s="52">
        <v>25713</v>
      </c>
      <c r="AY38" s="52">
        <v>162716</v>
      </c>
      <c r="AZ38" s="52">
        <v>141104</v>
      </c>
      <c r="BA38" s="52">
        <v>10376</v>
      </c>
      <c r="BB38" s="52"/>
      <c r="BC38" s="52"/>
      <c r="BD38" s="52">
        <v>158758</v>
      </c>
      <c r="BE38" s="52"/>
      <c r="BF38" s="52">
        <v>2141</v>
      </c>
      <c r="BG38" s="52">
        <v>13075</v>
      </c>
      <c r="BH38" s="52"/>
      <c r="BI38" s="52">
        <v>55369</v>
      </c>
      <c r="BJ38" s="52">
        <v>52846</v>
      </c>
      <c r="BK38" s="52"/>
      <c r="BL38" s="52">
        <v>262</v>
      </c>
      <c r="BM38" s="52">
        <v>884307</v>
      </c>
      <c r="BN38" s="52">
        <v>1963</v>
      </c>
      <c r="BO38" s="52"/>
      <c r="BP38" s="52">
        <v>73043</v>
      </c>
      <c r="BQ38" s="52">
        <v>1665183</v>
      </c>
      <c r="BR38" s="52">
        <v>2517</v>
      </c>
      <c r="BS38" s="52"/>
      <c r="BT38" s="52">
        <v>41428</v>
      </c>
      <c r="BU38" s="52">
        <v>2549</v>
      </c>
      <c r="BV38" s="52">
        <v>8089</v>
      </c>
      <c r="BW38" s="52"/>
      <c r="BX38" s="52">
        <v>62095</v>
      </c>
      <c r="BY38" s="52">
        <v>186270</v>
      </c>
      <c r="BZ38" s="52">
        <v>96511</v>
      </c>
      <c r="CA38" s="52"/>
      <c r="CB38" s="52">
        <v>1309</v>
      </c>
      <c r="CC38" s="52"/>
      <c r="CD38" s="52">
        <v>21777</v>
      </c>
      <c r="CE38" s="52"/>
      <c r="CF38" s="52">
        <v>937186</v>
      </c>
      <c r="CG38" s="52">
        <v>1557</v>
      </c>
      <c r="CH38" s="52">
        <v>3065346</v>
      </c>
      <c r="CI38" s="52">
        <v>153720</v>
      </c>
      <c r="CJ38" s="52">
        <v>96344</v>
      </c>
      <c r="CK38" s="52">
        <v>390416</v>
      </c>
      <c r="CL38" s="52">
        <v>120300</v>
      </c>
      <c r="CM38" s="52">
        <v>90964</v>
      </c>
      <c r="CN38" s="52">
        <v>377276</v>
      </c>
      <c r="CO38" s="52">
        <v>293691</v>
      </c>
      <c r="CP38" s="52">
        <v>18731</v>
      </c>
      <c r="CQ38" s="52"/>
      <c r="CR38" s="52">
        <v>9647</v>
      </c>
      <c r="CS38" s="52"/>
      <c r="CT38" s="52">
        <v>61195</v>
      </c>
      <c r="CU38" s="52">
        <v>65077</v>
      </c>
      <c r="CV38" s="52"/>
      <c r="CW38" s="52">
        <v>51744</v>
      </c>
      <c r="CX38" s="52">
        <v>77164</v>
      </c>
      <c r="CY38" s="52">
        <v>46119</v>
      </c>
      <c r="CZ38" s="52">
        <v>237128</v>
      </c>
      <c r="DA38" s="52">
        <v>6316</v>
      </c>
      <c r="DB38" s="52">
        <v>191211</v>
      </c>
      <c r="DC38" s="52"/>
      <c r="DD38" s="52"/>
      <c r="DE38" s="52">
        <v>16683347</v>
      </c>
      <c r="DF38" s="52"/>
      <c r="DG38" s="52">
        <v>16683347</v>
      </c>
      <c r="DH38" s="52"/>
    </row>
    <row r="39" spans="1:112">
      <c r="A39" s="150" t="s">
        <v>410</v>
      </c>
      <c r="B39" s="44">
        <v>1790</v>
      </c>
      <c r="C39" s="44" t="s">
        <v>78</v>
      </c>
      <c r="D39" s="52">
        <v>274541</v>
      </c>
      <c r="E39" s="52">
        <v>2384416</v>
      </c>
      <c r="F39" s="52">
        <v>167916</v>
      </c>
      <c r="G39" s="52"/>
      <c r="H39" s="56">
        <v>783691</v>
      </c>
      <c r="I39" s="56">
        <v>657967</v>
      </c>
      <c r="J39" s="56">
        <v>417239</v>
      </c>
      <c r="K39" s="56">
        <v>648494</v>
      </c>
      <c r="L39" s="52">
        <v>1083532</v>
      </c>
      <c r="M39" s="52">
        <v>7174</v>
      </c>
      <c r="N39" s="52"/>
      <c r="O39" s="52">
        <v>150316</v>
      </c>
      <c r="P39" s="52">
        <v>71099</v>
      </c>
      <c r="Q39" s="52">
        <v>158173</v>
      </c>
      <c r="R39" s="52">
        <v>161077</v>
      </c>
      <c r="S39" s="52">
        <v>303987</v>
      </c>
      <c r="T39" s="52">
        <v>2163</v>
      </c>
      <c r="U39" s="52"/>
      <c r="V39" s="52">
        <v>111</v>
      </c>
      <c r="W39" s="52">
        <v>2867929</v>
      </c>
      <c r="X39" s="52">
        <v>245864</v>
      </c>
      <c r="Y39" s="52">
        <v>4620878</v>
      </c>
      <c r="Z39" s="52">
        <v>841765</v>
      </c>
      <c r="AA39" s="52">
        <v>963951</v>
      </c>
      <c r="AB39" s="52">
        <v>2485583</v>
      </c>
      <c r="AC39" s="52">
        <v>60815</v>
      </c>
      <c r="AD39" s="52">
        <v>530867</v>
      </c>
      <c r="AE39" s="52">
        <v>57148</v>
      </c>
      <c r="AF39" s="52">
        <v>7137</v>
      </c>
      <c r="AG39" s="52">
        <v>714386</v>
      </c>
      <c r="AH39" s="52">
        <v>1936739</v>
      </c>
      <c r="AI39" s="52"/>
      <c r="AJ39" s="52">
        <v>171566</v>
      </c>
      <c r="AK39" s="52">
        <v>203924</v>
      </c>
      <c r="AL39" s="52">
        <v>310975</v>
      </c>
      <c r="AM39" s="52">
        <v>23845</v>
      </c>
      <c r="AN39" s="52">
        <v>1449698</v>
      </c>
      <c r="AO39" s="52">
        <v>270535</v>
      </c>
      <c r="AP39" s="52">
        <v>43652</v>
      </c>
      <c r="AQ39" s="52">
        <v>1134290</v>
      </c>
      <c r="AR39" s="52">
        <v>288034</v>
      </c>
      <c r="AS39" s="52">
        <v>2206041</v>
      </c>
      <c r="AT39" s="52">
        <v>181662</v>
      </c>
      <c r="AU39" s="52">
        <v>509743</v>
      </c>
      <c r="AV39" s="52">
        <v>106777</v>
      </c>
      <c r="AW39" s="52">
        <v>15090</v>
      </c>
      <c r="AX39" s="52">
        <v>1109345</v>
      </c>
      <c r="AY39" s="52">
        <v>14938652</v>
      </c>
      <c r="AZ39" s="52">
        <v>2086170</v>
      </c>
      <c r="BA39" s="52">
        <v>174515</v>
      </c>
      <c r="BB39" s="52">
        <v>510241</v>
      </c>
      <c r="BC39" s="52">
        <v>113673</v>
      </c>
      <c r="BD39" s="52">
        <v>700795</v>
      </c>
      <c r="BE39" s="52">
        <v>61536</v>
      </c>
      <c r="BF39" s="52">
        <v>5414834</v>
      </c>
      <c r="BG39" s="52">
        <v>117856</v>
      </c>
      <c r="BH39" s="52">
        <v>1123061</v>
      </c>
      <c r="BI39" s="52">
        <v>1761</v>
      </c>
      <c r="BJ39" s="52">
        <v>395462</v>
      </c>
      <c r="BK39" s="52">
        <v>53626</v>
      </c>
      <c r="BL39" s="52">
        <v>184128</v>
      </c>
      <c r="BM39" s="52">
        <v>3590996</v>
      </c>
      <c r="BN39" s="52">
        <v>1607261</v>
      </c>
      <c r="BO39" s="52">
        <v>956641</v>
      </c>
      <c r="BP39" s="52">
        <v>729275</v>
      </c>
      <c r="BQ39" s="52">
        <v>4274675</v>
      </c>
      <c r="BR39" s="52">
        <v>79473</v>
      </c>
      <c r="BS39" s="52"/>
      <c r="BT39" s="52">
        <v>239985</v>
      </c>
      <c r="BU39" s="52">
        <v>118335</v>
      </c>
      <c r="BV39" s="52">
        <v>31826</v>
      </c>
      <c r="BW39" s="52">
        <v>117076</v>
      </c>
      <c r="BX39" s="52">
        <v>343939</v>
      </c>
      <c r="BY39" s="52">
        <v>503629</v>
      </c>
      <c r="BZ39" s="52">
        <v>794856</v>
      </c>
      <c r="CA39" s="52"/>
      <c r="CB39" s="52">
        <v>526801</v>
      </c>
      <c r="CC39" s="52">
        <v>490522</v>
      </c>
      <c r="CD39" s="52">
        <v>256965</v>
      </c>
      <c r="CE39" s="52">
        <v>28697</v>
      </c>
      <c r="CF39" s="52">
        <v>1783443</v>
      </c>
      <c r="CG39" s="52">
        <v>2337707</v>
      </c>
      <c r="CH39" s="52">
        <v>4204176</v>
      </c>
      <c r="CI39" s="52">
        <v>381580</v>
      </c>
      <c r="CJ39" s="52">
        <v>728556</v>
      </c>
      <c r="CK39" s="52">
        <v>1565510</v>
      </c>
      <c r="CL39" s="52">
        <v>475228</v>
      </c>
      <c r="CM39" s="52">
        <v>493432</v>
      </c>
      <c r="CN39" s="52">
        <v>1164826</v>
      </c>
      <c r="CO39" s="52">
        <v>592774</v>
      </c>
      <c r="CP39" s="52">
        <v>690193</v>
      </c>
      <c r="CQ39" s="52">
        <v>53806</v>
      </c>
      <c r="CR39" s="52"/>
      <c r="CS39" s="52">
        <v>215400</v>
      </c>
      <c r="CT39" s="52">
        <v>772672</v>
      </c>
      <c r="CU39" s="52">
        <v>618226</v>
      </c>
      <c r="CV39" s="52"/>
      <c r="CW39" s="52">
        <v>7578</v>
      </c>
      <c r="CX39" s="52">
        <v>552384</v>
      </c>
      <c r="CY39" s="52">
        <v>771660</v>
      </c>
      <c r="CZ39" s="52">
        <v>638031</v>
      </c>
      <c r="DA39" s="52">
        <v>2927230</v>
      </c>
      <c r="DB39" s="52">
        <v>947352</v>
      </c>
      <c r="DC39" s="52"/>
      <c r="DD39" s="52"/>
      <c r="DE39" s="52">
        <v>93119161</v>
      </c>
      <c r="DF39" s="52"/>
      <c r="DG39" s="52">
        <v>93119161</v>
      </c>
      <c r="DH39" s="52"/>
    </row>
    <row r="40" spans="1:112">
      <c r="A40" s="150" t="s">
        <v>410</v>
      </c>
      <c r="B40" s="44">
        <v>1900</v>
      </c>
      <c r="C40" s="44" t="s">
        <v>79</v>
      </c>
      <c r="D40" s="52"/>
      <c r="E40" s="52"/>
      <c r="F40" s="52"/>
      <c r="G40" s="52"/>
      <c r="H40" s="56"/>
      <c r="I40" s="56"/>
      <c r="J40" s="56"/>
      <c r="K40" s="56"/>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row>
    <row r="41" spans="1:112">
      <c r="A41" s="150" t="s">
        <v>410</v>
      </c>
      <c r="B41" s="44">
        <v>1910</v>
      </c>
      <c r="C41" s="44" t="s">
        <v>80</v>
      </c>
      <c r="D41" s="52"/>
      <c r="E41" s="52">
        <v>39477</v>
      </c>
      <c r="F41" s="52">
        <v>5515</v>
      </c>
      <c r="G41" s="52"/>
      <c r="H41" s="56">
        <v>10850</v>
      </c>
      <c r="I41" s="56">
        <v>5098</v>
      </c>
      <c r="J41" s="56"/>
      <c r="K41" s="56"/>
      <c r="L41" s="52">
        <v>37893</v>
      </c>
      <c r="M41" s="52"/>
      <c r="N41" s="52"/>
      <c r="O41" s="52">
        <v>540</v>
      </c>
      <c r="P41" s="52">
        <v>3690</v>
      </c>
      <c r="Q41" s="52"/>
      <c r="R41" s="52"/>
      <c r="S41" s="52">
        <v>1130</v>
      </c>
      <c r="T41" s="52"/>
      <c r="U41" s="52">
        <v>1555</v>
      </c>
      <c r="V41" s="52">
        <v>18392</v>
      </c>
      <c r="W41" s="52">
        <v>302338</v>
      </c>
      <c r="X41" s="52"/>
      <c r="Y41" s="52">
        <v>411122</v>
      </c>
      <c r="Z41" s="52">
        <v>6735</v>
      </c>
      <c r="AA41" s="52">
        <v>22796</v>
      </c>
      <c r="AB41" s="52">
        <v>4086</v>
      </c>
      <c r="AC41" s="52">
        <v>20409</v>
      </c>
      <c r="AD41" s="52">
        <v>14936</v>
      </c>
      <c r="AE41" s="52">
        <v>825</v>
      </c>
      <c r="AF41" s="52"/>
      <c r="AG41" s="52"/>
      <c r="AH41" s="52">
        <v>7661</v>
      </c>
      <c r="AI41" s="52"/>
      <c r="AJ41" s="52"/>
      <c r="AK41" s="52">
        <v>3000</v>
      </c>
      <c r="AL41" s="52">
        <v>150</v>
      </c>
      <c r="AM41" s="52"/>
      <c r="AN41" s="52">
        <v>12265</v>
      </c>
      <c r="AO41" s="52">
        <v>12515</v>
      </c>
      <c r="AP41" s="52"/>
      <c r="AQ41" s="52">
        <v>800</v>
      </c>
      <c r="AR41" s="52">
        <v>2358</v>
      </c>
      <c r="AS41" s="52">
        <v>43709</v>
      </c>
      <c r="AT41" s="52"/>
      <c r="AU41" s="52">
        <v>16326</v>
      </c>
      <c r="AV41" s="52"/>
      <c r="AW41" s="52">
        <v>560</v>
      </c>
      <c r="AX41" s="52">
        <v>35970</v>
      </c>
      <c r="AY41" s="52">
        <v>33981</v>
      </c>
      <c r="AZ41" s="52">
        <v>14770</v>
      </c>
      <c r="BA41" s="52"/>
      <c r="BB41" s="52"/>
      <c r="BC41" s="52"/>
      <c r="BD41" s="52">
        <v>760</v>
      </c>
      <c r="BE41" s="52">
        <v>8412</v>
      </c>
      <c r="BF41" s="52">
        <v>109152</v>
      </c>
      <c r="BG41" s="52"/>
      <c r="BH41" s="52">
        <v>25933</v>
      </c>
      <c r="BI41" s="52">
        <v>46588</v>
      </c>
      <c r="BJ41" s="52"/>
      <c r="BK41" s="52">
        <v>683</v>
      </c>
      <c r="BL41" s="52"/>
      <c r="BM41" s="52">
        <v>225915</v>
      </c>
      <c r="BN41" s="52"/>
      <c r="BO41" s="52">
        <v>50098</v>
      </c>
      <c r="BP41" s="52">
        <v>17870</v>
      </c>
      <c r="BQ41" s="52">
        <v>55418</v>
      </c>
      <c r="BR41" s="52">
        <v>11519</v>
      </c>
      <c r="BS41" s="52">
        <v>2700</v>
      </c>
      <c r="BT41" s="52">
        <v>14942</v>
      </c>
      <c r="BU41" s="52">
        <v>19660</v>
      </c>
      <c r="BV41" s="52">
        <v>3616</v>
      </c>
      <c r="BW41" s="52">
        <v>1550</v>
      </c>
      <c r="BX41" s="52">
        <v>5341</v>
      </c>
      <c r="BY41" s="52">
        <v>5854</v>
      </c>
      <c r="BZ41" s="52">
        <v>15836</v>
      </c>
      <c r="CA41" s="52"/>
      <c r="CB41" s="52">
        <v>20041</v>
      </c>
      <c r="CC41" s="52">
        <v>51510</v>
      </c>
      <c r="CD41" s="52">
        <v>20553</v>
      </c>
      <c r="CE41" s="52"/>
      <c r="CF41" s="52">
        <v>34581</v>
      </c>
      <c r="CG41" s="52">
        <v>44289</v>
      </c>
      <c r="CH41" s="52">
        <v>138410</v>
      </c>
      <c r="CI41" s="52"/>
      <c r="CJ41" s="52"/>
      <c r="CK41" s="52">
        <v>4000</v>
      </c>
      <c r="CL41" s="52"/>
      <c r="CM41" s="52">
        <v>3022</v>
      </c>
      <c r="CN41" s="52">
        <v>18175</v>
      </c>
      <c r="CO41" s="52">
        <v>86090</v>
      </c>
      <c r="CP41" s="52">
        <v>52928</v>
      </c>
      <c r="CQ41" s="52"/>
      <c r="CR41" s="52"/>
      <c r="CS41" s="52"/>
      <c r="CT41" s="52">
        <v>35725</v>
      </c>
      <c r="CU41" s="52">
        <v>60065</v>
      </c>
      <c r="CV41" s="52"/>
      <c r="CW41" s="52">
        <v>4581</v>
      </c>
      <c r="CX41" s="52">
        <v>140</v>
      </c>
      <c r="CY41" s="52">
        <v>1400</v>
      </c>
      <c r="CZ41" s="52">
        <v>25390</v>
      </c>
      <c r="DA41" s="52">
        <v>49843</v>
      </c>
      <c r="DB41" s="52">
        <v>28610</v>
      </c>
      <c r="DC41" s="52"/>
      <c r="DD41" s="52"/>
      <c r="DE41" s="52">
        <v>2392652</v>
      </c>
      <c r="DF41" s="52"/>
      <c r="DG41" s="52">
        <v>2392652</v>
      </c>
      <c r="DH41" s="52"/>
    </row>
    <row r="42" spans="1:112">
      <c r="A42" s="150" t="s">
        <v>410</v>
      </c>
      <c r="B42" s="44">
        <v>1920</v>
      </c>
      <c r="C42" s="44" t="s">
        <v>81</v>
      </c>
      <c r="D42" s="52">
        <v>10351</v>
      </c>
      <c r="E42" s="52">
        <v>430471</v>
      </c>
      <c r="F42" s="52">
        <v>5483</v>
      </c>
      <c r="G42" s="52">
        <v>300000</v>
      </c>
      <c r="H42" s="56">
        <v>123801</v>
      </c>
      <c r="I42" s="56">
        <v>187152</v>
      </c>
      <c r="J42" s="56"/>
      <c r="K42" s="56">
        <v>27106</v>
      </c>
      <c r="L42" s="52">
        <v>114319</v>
      </c>
      <c r="M42" s="52">
        <v>8178</v>
      </c>
      <c r="N42" s="52"/>
      <c r="O42" s="52">
        <v>11725</v>
      </c>
      <c r="P42" s="52">
        <v>86618</v>
      </c>
      <c r="Q42" s="52"/>
      <c r="R42" s="52">
        <v>536</v>
      </c>
      <c r="S42" s="52">
        <v>21130</v>
      </c>
      <c r="T42" s="52"/>
      <c r="U42" s="52">
        <v>18622</v>
      </c>
      <c r="V42" s="52"/>
      <c r="W42" s="52">
        <v>492671</v>
      </c>
      <c r="X42" s="52">
        <v>1200</v>
      </c>
      <c r="Y42" s="52">
        <v>586189</v>
      </c>
      <c r="Z42" s="52">
        <v>21535</v>
      </c>
      <c r="AA42" s="52">
        <v>44768</v>
      </c>
      <c r="AB42" s="52"/>
      <c r="AC42" s="52"/>
      <c r="AD42" s="52">
        <v>49394</v>
      </c>
      <c r="AE42" s="52">
        <v>16342</v>
      </c>
      <c r="AF42" s="52"/>
      <c r="AG42" s="52"/>
      <c r="AH42" s="52">
        <v>739569</v>
      </c>
      <c r="AI42" s="52"/>
      <c r="AJ42" s="52">
        <v>4227</v>
      </c>
      <c r="AK42" s="52">
        <v>13714</v>
      </c>
      <c r="AL42" s="52">
        <v>13586</v>
      </c>
      <c r="AM42" s="52">
        <v>14750</v>
      </c>
      <c r="AN42" s="52">
        <v>117372</v>
      </c>
      <c r="AO42" s="52"/>
      <c r="AP42" s="52"/>
      <c r="AQ42" s="52"/>
      <c r="AR42" s="52">
        <v>57941</v>
      </c>
      <c r="AS42" s="52">
        <v>400167</v>
      </c>
      <c r="AT42" s="52"/>
      <c r="AU42" s="52">
        <v>4537</v>
      </c>
      <c r="AV42" s="52">
        <v>2250</v>
      </c>
      <c r="AW42" s="52"/>
      <c r="AX42" s="52">
        <v>289173</v>
      </c>
      <c r="AY42" s="52">
        <v>5957518</v>
      </c>
      <c r="AZ42" s="52">
        <v>1150</v>
      </c>
      <c r="BA42" s="52"/>
      <c r="BB42" s="52">
        <v>26666</v>
      </c>
      <c r="BC42" s="52"/>
      <c r="BD42" s="52">
        <v>51858</v>
      </c>
      <c r="BE42" s="52">
        <v>14485</v>
      </c>
      <c r="BF42" s="52">
        <v>233344</v>
      </c>
      <c r="BG42" s="52"/>
      <c r="BH42" s="52">
        <v>147765</v>
      </c>
      <c r="BI42" s="52">
        <v>1268855</v>
      </c>
      <c r="BJ42" s="52">
        <v>13127</v>
      </c>
      <c r="BK42" s="52">
        <v>11908</v>
      </c>
      <c r="BL42" s="52">
        <v>24855</v>
      </c>
      <c r="BM42" s="52"/>
      <c r="BN42" s="52">
        <v>3000</v>
      </c>
      <c r="BO42" s="52"/>
      <c r="BP42" s="52">
        <v>648726</v>
      </c>
      <c r="BQ42" s="52">
        <v>144917</v>
      </c>
      <c r="BR42" s="52">
        <v>1387</v>
      </c>
      <c r="BS42" s="52">
        <v>250</v>
      </c>
      <c r="BT42" s="52">
        <v>82306</v>
      </c>
      <c r="BU42" s="52">
        <v>3891</v>
      </c>
      <c r="BV42" s="52">
        <v>8209</v>
      </c>
      <c r="BW42" s="52">
        <v>25969</v>
      </c>
      <c r="BX42" s="52">
        <v>181435</v>
      </c>
      <c r="BY42" s="52">
        <v>106848</v>
      </c>
      <c r="BZ42" s="52">
        <v>312479</v>
      </c>
      <c r="CA42" s="52"/>
      <c r="CB42" s="52">
        <v>5500</v>
      </c>
      <c r="CC42" s="52">
        <v>9255</v>
      </c>
      <c r="CD42" s="52">
        <v>16806</v>
      </c>
      <c r="CE42" s="52"/>
      <c r="CF42" s="52">
        <v>205995</v>
      </c>
      <c r="CG42" s="52">
        <v>12379</v>
      </c>
      <c r="CH42" s="52">
        <v>80191</v>
      </c>
      <c r="CI42" s="52"/>
      <c r="CJ42" s="52">
        <v>92854</v>
      </c>
      <c r="CK42" s="52">
        <v>14168</v>
      </c>
      <c r="CL42" s="52">
        <v>26039</v>
      </c>
      <c r="CM42" s="52">
        <v>2374512</v>
      </c>
      <c r="CN42" s="52">
        <v>5748</v>
      </c>
      <c r="CO42" s="52">
        <v>202887</v>
      </c>
      <c r="CP42" s="52">
        <v>269579</v>
      </c>
      <c r="CQ42" s="52">
        <v>33832</v>
      </c>
      <c r="CR42" s="52"/>
      <c r="CS42" s="52"/>
      <c r="CT42" s="52">
        <v>85609</v>
      </c>
      <c r="CU42" s="52">
        <v>13080</v>
      </c>
      <c r="CV42" s="52"/>
      <c r="CW42" s="52">
        <v>9636</v>
      </c>
      <c r="CX42" s="52">
        <v>2050</v>
      </c>
      <c r="CY42" s="52">
        <v>23131</v>
      </c>
      <c r="CZ42" s="52">
        <v>2200</v>
      </c>
      <c r="DA42" s="52">
        <v>38076</v>
      </c>
      <c r="DB42" s="52">
        <v>113516</v>
      </c>
      <c r="DC42" s="52"/>
      <c r="DD42" s="52"/>
      <c r="DE42" s="52">
        <v>17122868</v>
      </c>
      <c r="DF42" s="52"/>
      <c r="DG42" s="52">
        <v>17122868</v>
      </c>
      <c r="DH42" s="52"/>
    </row>
    <row r="43" spans="1:112">
      <c r="A43" s="150" t="s">
        <v>410</v>
      </c>
      <c r="B43" s="44">
        <v>1930</v>
      </c>
      <c r="C43" s="44" t="s">
        <v>82</v>
      </c>
      <c r="D43" s="52">
        <v>238093</v>
      </c>
      <c r="E43" s="52">
        <v>783662</v>
      </c>
      <c r="F43" s="52">
        <v>123308</v>
      </c>
      <c r="G43" s="52"/>
      <c r="H43" s="56">
        <v>250322</v>
      </c>
      <c r="I43" s="56">
        <v>339304</v>
      </c>
      <c r="J43" s="56">
        <v>348809</v>
      </c>
      <c r="K43" s="56">
        <v>197903</v>
      </c>
      <c r="L43" s="52">
        <v>1024193</v>
      </c>
      <c r="M43" s="52"/>
      <c r="N43" s="52"/>
      <c r="O43" s="52">
        <v>118057</v>
      </c>
      <c r="P43" s="52">
        <v>233135</v>
      </c>
      <c r="Q43" s="52">
        <v>35406</v>
      </c>
      <c r="R43" s="52">
        <v>89694</v>
      </c>
      <c r="S43" s="52">
        <v>274088</v>
      </c>
      <c r="T43" s="52"/>
      <c r="U43" s="52">
        <v>589615</v>
      </c>
      <c r="V43" s="52"/>
      <c r="W43" s="52">
        <v>1853575</v>
      </c>
      <c r="X43" s="52">
        <v>393959</v>
      </c>
      <c r="Y43" s="52">
        <v>2350405</v>
      </c>
      <c r="Z43" s="52">
        <v>808773</v>
      </c>
      <c r="AA43" s="52">
        <v>678057</v>
      </c>
      <c r="AB43" s="52">
        <v>418531</v>
      </c>
      <c r="AC43" s="52">
        <v>48749</v>
      </c>
      <c r="AD43" s="52">
        <v>528029</v>
      </c>
      <c r="AE43" s="52">
        <v>47717</v>
      </c>
      <c r="AF43" s="52"/>
      <c r="AG43" s="52">
        <v>590638</v>
      </c>
      <c r="AH43" s="52">
        <v>698851</v>
      </c>
      <c r="AI43" s="52"/>
      <c r="AJ43" s="52">
        <v>93836</v>
      </c>
      <c r="AK43" s="52">
        <v>145610</v>
      </c>
      <c r="AL43" s="52">
        <v>72044</v>
      </c>
      <c r="AM43" s="52"/>
      <c r="AN43" s="52">
        <v>396232</v>
      </c>
      <c r="AO43" s="52">
        <v>514672</v>
      </c>
      <c r="AP43" s="52"/>
      <c r="AQ43" s="52">
        <v>204151</v>
      </c>
      <c r="AR43" s="52">
        <v>513930</v>
      </c>
      <c r="AS43" s="52">
        <v>1453990</v>
      </c>
      <c r="AT43" s="52">
        <v>550350</v>
      </c>
      <c r="AU43" s="52">
        <v>294671</v>
      </c>
      <c r="AV43" s="52">
        <v>86627</v>
      </c>
      <c r="AW43" s="52">
        <v>1740184</v>
      </c>
      <c r="AX43" s="52">
        <v>1333471</v>
      </c>
      <c r="AY43" s="52">
        <v>3496993</v>
      </c>
      <c r="AZ43" s="52">
        <v>191334</v>
      </c>
      <c r="BA43" s="52">
        <v>128742</v>
      </c>
      <c r="BB43" s="52">
        <v>16760</v>
      </c>
      <c r="BC43" s="52"/>
      <c r="BD43" s="52">
        <v>170077</v>
      </c>
      <c r="BE43" s="52">
        <v>70043</v>
      </c>
      <c r="BF43" s="52">
        <v>4472998</v>
      </c>
      <c r="BG43" s="52">
        <v>499539</v>
      </c>
      <c r="BH43" s="52">
        <v>451070</v>
      </c>
      <c r="BI43" s="52">
        <v>567769</v>
      </c>
      <c r="BJ43" s="52">
        <v>540947</v>
      </c>
      <c r="BK43" s="52">
        <v>794363</v>
      </c>
      <c r="BL43" s="52">
        <v>300706</v>
      </c>
      <c r="BM43" s="52">
        <v>360538</v>
      </c>
      <c r="BN43" s="52">
        <v>429272</v>
      </c>
      <c r="BO43" s="52">
        <v>253791</v>
      </c>
      <c r="BP43" s="52">
        <v>193043</v>
      </c>
      <c r="BQ43" s="52">
        <v>417085</v>
      </c>
      <c r="BR43" s="52">
        <v>12552</v>
      </c>
      <c r="BS43" s="52"/>
      <c r="BT43" s="52">
        <v>1312128</v>
      </c>
      <c r="BU43" s="52">
        <v>1509980</v>
      </c>
      <c r="BV43" s="52">
        <v>106564</v>
      </c>
      <c r="BW43" s="52"/>
      <c r="BX43" s="52">
        <v>171</v>
      </c>
      <c r="BY43" s="52">
        <v>554201</v>
      </c>
      <c r="BZ43" s="52">
        <v>1594002</v>
      </c>
      <c r="CA43" s="52"/>
      <c r="CB43" s="52">
        <v>911362</v>
      </c>
      <c r="CC43" s="52">
        <v>114493</v>
      </c>
      <c r="CD43" s="52">
        <v>704507</v>
      </c>
      <c r="CE43" s="52"/>
      <c r="CF43" s="52">
        <v>1443111</v>
      </c>
      <c r="CG43" s="52">
        <v>100898</v>
      </c>
      <c r="CH43" s="52">
        <v>8227</v>
      </c>
      <c r="CI43" s="52">
        <v>87864</v>
      </c>
      <c r="CJ43" s="52">
        <v>589137</v>
      </c>
      <c r="CK43" s="52">
        <v>374281</v>
      </c>
      <c r="CL43" s="52">
        <v>256458</v>
      </c>
      <c r="CM43" s="52">
        <v>199092</v>
      </c>
      <c r="CN43" s="52">
        <v>268419</v>
      </c>
      <c r="CO43" s="52">
        <v>637906</v>
      </c>
      <c r="CP43" s="52">
        <v>3879610</v>
      </c>
      <c r="CQ43" s="52"/>
      <c r="CR43" s="52"/>
      <c r="CS43" s="52"/>
      <c r="CT43" s="52">
        <v>398887</v>
      </c>
      <c r="CU43" s="52">
        <v>667104</v>
      </c>
      <c r="CV43" s="52"/>
      <c r="CW43" s="52">
        <v>330357</v>
      </c>
      <c r="CX43" s="52">
        <v>1948021</v>
      </c>
      <c r="CY43" s="52">
        <v>471917</v>
      </c>
      <c r="CZ43" s="52">
        <v>295421</v>
      </c>
      <c r="DA43" s="52">
        <v>447408</v>
      </c>
      <c r="DB43" s="52">
        <v>298026</v>
      </c>
      <c r="DC43" s="52"/>
      <c r="DD43" s="52"/>
      <c r="DE43" s="52">
        <v>53339815</v>
      </c>
      <c r="DF43" s="52"/>
      <c r="DG43" s="52">
        <v>53339815</v>
      </c>
      <c r="DH43" s="52"/>
    </row>
    <row r="44" spans="1:112">
      <c r="A44" s="150" t="s">
        <v>410</v>
      </c>
      <c r="B44" s="44">
        <v>1931</v>
      </c>
      <c r="C44" s="44" t="s">
        <v>83</v>
      </c>
      <c r="D44" s="52"/>
      <c r="E44" s="52"/>
      <c r="F44" s="52">
        <v>51175</v>
      </c>
      <c r="G44" s="52"/>
      <c r="H44" s="56"/>
      <c r="I44" s="56"/>
      <c r="J44" s="56"/>
      <c r="K44" s="56"/>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v>29570</v>
      </c>
      <c r="AZ44" s="52"/>
      <c r="BA44" s="52"/>
      <c r="BB44" s="52"/>
      <c r="BC44" s="52"/>
      <c r="BD44" s="52"/>
      <c r="BE44" s="52"/>
      <c r="BF44" s="52"/>
      <c r="BG44" s="52"/>
      <c r="BH44" s="52"/>
      <c r="BI44" s="52"/>
      <c r="BJ44" s="52">
        <v>56951</v>
      </c>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v>137696</v>
      </c>
      <c r="DF44" s="52"/>
      <c r="DG44" s="52">
        <v>137696</v>
      </c>
      <c r="DH44" s="52"/>
    </row>
    <row r="45" spans="1:112">
      <c r="A45" s="150" t="s">
        <v>410</v>
      </c>
      <c r="B45" s="44">
        <v>1950</v>
      </c>
      <c r="C45" s="44" t="s">
        <v>84</v>
      </c>
      <c r="D45" s="52">
        <v>47505</v>
      </c>
      <c r="E45" s="52">
        <v>62260</v>
      </c>
      <c r="F45" s="52"/>
      <c r="G45" s="52"/>
      <c r="H45" s="56">
        <v>21081</v>
      </c>
      <c r="I45" s="56"/>
      <c r="J45" s="56"/>
      <c r="K45" s="56"/>
      <c r="L45" s="52">
        <v>42532</v>
      </c>
      <c r="M45" s="52"/>
      <c r="N45" s="52">
        <v>4056</v>
      </c>
      <c r="O45" s="52"/>
      <c r="P45" s="52">
        <v>2818</v>
      </c>
      <c r="Q45" s="52"/>
      <c r="R45" s="52"/>
      <c r="S45" s="52"/>
      <c r="T45" s="52"/>
      <c r="U45" s="52">
        <v>8567</v>
      </c>
      <c r="V45" s="52"/>
      <c r="W45" s="52"/>
      <c r="X45" s="52">
        <v>47560</v>
      </c>
      <c r="Y45" s="52">
        <v>921293</v>
      </c>
      <c r="Z45" s="52">
        <v>20732</v>
      </c>
      <c r="AA45" s="52">
        <v>711</v>
      </c>
      <c r="AB45" s="52">
        <v>3383</v>
      </c>
      <c r="AC45" s="52"/>
      <c r="AD45" s="52">
        <v>18061</v>
      </c>
      <c r="AE45" s="52"/>
      <c r="AF45" s="52"/>
      <c r="AG45" s="52"/>
      <c r="AH45" s="52"/>
      <c r="AI45" s="52"/>
      <c r="AJ45" s="52">
        <v>549</v>
      </c>
      <c r="AK45" s="52">
        <v>11146</v>
      </c>
      <c r="AL45" s="52">
        <v>5722</v>
      </c>
      <c r="AM45" s="52"/>
      <c r="AN45" s="52"/>
      <c r="AO45" s="52">
        <v>67201</v>
      </c>
      <c r="AP45" s="52"/>
      <c r="AQ45" s="52"/>
      <c r="AR45" s="52">
        <v>25032</v>
      </c>
      <c r="AS45" s="52">
        <v>2256</v>
      </c>
      <c r="AT45" s="52"/>
      <c r="AU45" s="52">
        <v>340</v>
      </c>
      <c r="AV45" s="52"/>
      <c r="AW45" s="52"/>
      <c r="AX45" s="52">
        <v>1715</v>
      </c>
      <c r="AY45" s="52"/>
      <c r="AZ45" s="52"/>
      <c r="BA45" s="52">
        <v>2452</v>
      </c>
      <c r="BB45" s="52"/>
      <c r="BC45" s="52"/>
      <c r="BD45" s="52">
        <v>17886</v>
      </c>
      <c r="BE45" s="52">
        <v>52780</v>
      </c>
      <c r="BF45" s="52">
        <v>68530</v>
      </c>
      <c r="BG45" s="52">
        <v>2500</v>
      </c>
      <c r="BH45" s="52"/>
      <c r="BI45" s="52"/>
      <c r="BJ45" s="52">
        <v>39572</v>
      </c>
      <c r="BK45" s="52">
        <v>5359</v>
      </c>
      <c r="BL45" s="52">
        <v>135</v>
      </c>
      <c r="BM45" s="52">
        <v>12858</v>
      </c>
      <c r="BN45" s="52">
        <v>13675</v>
      </c>
      <c r="BO45" s="52"/>
      <c r="BP45" s="52"/>
      <c r="BQ45" s="52">
        <v>-4752</v>
      </c>
      <c r="BR45" s="52">
        <v>18046</v>
      </c>
      <c r="BS45" s="52">
        <v>60</v>
      </c>
      <c r="BT45" s="52">
        <v>1107</v>
      </c>
      <c r="BU45" s="52">
        <v>27202</v>
      </c>
      <c r="BV45" s="52">
        <v>848</v>
      </c>
      <c r="BW45" s="52"/>
      <c r="BX45" s="52">
        <v>1807</v>
      </c>
      <c r="BY45" s="52">
        <v>2683</v>
      </c>
      <c r="BZ45" s="52">
        <v>40326</v>
      </c>
      <c r="CA45" s="52"/>
      <c r="CB45" s="52"/>
      <c r="CC45" s="52">
        <v>98077</v>
      </c>
      <c r="CD45" s="52"/>
      <c r="CE45" s="52"/>
      <c r="CF45" s="52"/>
      <c r="CG45" s="52">
        <v>-131013</v>
      </c>
      <c r="CH45" s="52">
        <v>573614</v>
      </c>
      <c r="CI45" s="52"/>
      <c r="CJ45" s="52">
        <v>1022</v>
      </c>
      <c r="CK45" s="52"/>
      <c r="CL45" s="52"/>
      <c r="CM45" s="52"/>
      <c r="CN45" s="52">
        <v>65</v>
      </c>
      <c r="CO45" s="52">
        <v>1829</v>
      </c>
      <c r="CP45" s="52">
        <v>40018</v>
      </c>
      <c r="CQ45" s="52"/>
      <c r="CR45" s="52"/>
      <c r="CS45" s="52"/>
      <c r="CT45" s="52">
        <v>44311</v>
      </c>
      <c r="CU45" s="52">
        <v>92730</v>
      </c>
      <c r="CV45" s="52"/>
      <c r="CW45" s="52">
        <v>1140</v>
      </c>
      <c r="CX45" s="52">
        <v>3475</v>
      </c>
      <c r="CY45" s="52"/>
      <c r="CZ45" s="52"/>
      <c r="DA45" s="52"/>
      <c r="DB45" s="52">
        <v>522</v>
      </c>
      <c r="DC45" s="52"/>
      <c r="DD45" s="52"/>
      <c r="DE45" s="52">
        <v>2343384</v>
      </c>
      <c r="DF45" s="52"/>
      <c r="DG45" s="52">
        <v>2343384</v>
      </c>
      <c r="DH45" s="52"/>
    </row>
    <row r="46" spans="1:112">
      <c r="A46" s="150" t="s">
        <v>410</v>
      </c>
      <c r="B46" s="44">
        <v>1992</v>
      </c>
      <c r="C46" s="44" t="s">
        <v>86</v>
      </c>
      <c r="D46" s="52"/>
      <c r="E46" s="52"/>
      <c r="F46" s="52"/>
      <c r="G46" s="52"/>
      <c r="H46" s="56">
        <v>34546</v>
      </c>
      <c r="I46" s="56"/>
      <c r="J46" s="56"/>
      <c r="K46" s="56"/>
      <c r="L46" s="52"/>
      <c r="M46" s="52">
        <v>9932</v>
      </c>
      <c r="N46" s="52"/>
      <c r="O46" s="52"/>
      <c r="P46" s="52"/>
      <c r="Q46" s="52"/>
      <c r="R46" s="52"/>
      <c r="S46" s="52"/>
      <c r="T46" s="52"/>
      <c r="U46" s="52"/>
      <c r="V46" s="52"/>
      <c r="W46" s="52"/>
      <c r="X46" s="52"/>
      <c r="Y46" s="52">
        <v>422227</v>
      </c>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v>8047</v>
      </c>
      <c r="AZ46" s="52"/>
      <c r="BA46" s="52"/>
      <c r="BB46" s="52"/>
      <c r="BC46" s="52"/>
      <c r="BD46" s="52"/>
      <c r="BE46" s="52"/>
      <c r="BF46" s="52"/>
      <c r="BG46" s="52"/>
      <c r="BH46" s="52"/>
      <c r="BI46" s="52"/>
      <c r="BJ46" s="52"/>
      <c r="BK46" s="52"/>
      <c r="BL46" s="52"/>
      <c r="BM46" s="52"/>
      <c r="BN46" s="52"/>
      <c r="BO46" s="52"/>
      <c r="BP46" s="52">
        <v>4565</v>
      </c>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v>37</v>
      </c>
      <c r="CV46" s="52"/>
      <c r="CW46" s="52"/>
      <c r="CX46" s="52"/>
      <c r="CY46" s="52"/>
      <c r="CZ46" s="52">
        <v>17139</v>
      </c>
      <c r="DA46" s="52"/>
      <c r="DB46" s="52"/>
      <c r="DC46" s="52"/>
      <c r="DD46" s="52"/>
      <c r="DE46" s="52">
        <v>496493</v>
      </c>
      <c r="DF46" s="52"/>
      <c r="DG46" s="52">
        <v>496493</v>
      </c>
      <c r="DH46" s="52"/>
    </row>
    <row r="47" spans="1:112">
      <c r="A47" s="150" t="s">
        <v>410</v>
      </c>
      <c r="B47" s="44">
        <v>1993</v>
      </c>
      <c r="C47" s="44" t="s">
        <v>87</v>
      </c>
      <c r="D47" s="52">
        <v>40028</v>
      </c>
      <c r="E47" s="52">
        <v>4960</v>
      </c>
      <c r="F47" s="52"/>
      <c r="G47" s="52"/>
      <c r="H47" s="56">
        <v>6657</v>
      </c>
      <c r="I47" s="56"/>
      <c r="J47" s="56">
        <v>2150</v>
      </c>
      <c r="K47" s="56"/>
      <c r="L47" s="52">
        <v>9720</v>
      </c>
      <c r="M47" s="52"/>
      <c r="N47" s="52"/>
      <c r="O47" s="52">
        <v>326</v>
      </c>
      <c r="P47" s="52"/>
      <c r="Q47" s="52"/>
      <c r="R47" s="52"/>
      <c r="S47" s="52"/>
      <c r="T47" s="52"/>
      <c r="U47" s="52">
        <v>34855</v>
      </c>
      <c r="V47" s="52"/>
      <c r="W47" s="52">
        <v>102357</v>
      </c>
      <c r="X47" s="52"/>
      <c r="Y47" s="52">
        <v>609444</v>
      </c>
      <c r="Z47" s="52">
        <v>1020</v>
      </c>
      <c r="AA47" s="52"/>
      <c r="AB47" s="52"/>
      <c r="AC47" s="52"/>
      <c r="AD47" s="52">
        <v>16017</v>
      </c>
      <c r="AE47" s="52"/>
      <c r="AF47" s="52"/>
      <c r="AG47" s="52"/>
      <c r="AH47" s="52"/>
      <c r="AI47" s="52"/>
      <c r="AJ47" s="52">
        <v>23908</v>
      </c>
      <c r="AK47" s="52">
        <v>15490</v>
      </c>
      <c r="AL47" s="52"/>
      <c r="AM47" s="52"/>
      <c r="AN47" s="52">
        <v>103196</v>
      </c>
      <c r="AO47" s="52">
        <v>50386</v>
      </c>
      <c r="AP47" s="52"/>
      <c r="AQ47" s="52"/>
      <c r="AR47" s="52"/>
      <c r="AS47" s="52">
        <v>10517</v>
      </c>
      <c r="AT47" s="52"/>
      <c r="AU47" s="52"/>
      <c r="AV47" s="52"/>
      <c r="AW47" s="52"/>
      <c r="AX47" s="52">
        <v>17222</v>
      </c>
      <c r="AY47" s="52">
        <v>88248</v>
      </c>
      <c r="AZ47" s="52">
        <v>32120</v>
      </c>
      <c r="BA47" s="52">
        <v>3412</v>
      </c>
      <c r="BB47" s="52"/>
      <c r="BC47" s="52"/>
      <c r="BD47" s="52">
        <v>920</v>
      </c>
      <c r="BE47" s="52">
        <v>1508</v>
      </c>
      <c r="BF47" s="52">
        <v>66724</v>
      </c>
      <c r="BG47" s="52">
        <v>8155</v>
      </c>
      <c r="BH47" s="52"/>
      <c r="BI47" s="52">
        <v>45600</v>
      </c>
      <c r="BJ47" s="52"/>
      <c r="BK47" s="52">
        <v>55899</v>
      </c>
      <c r="BL47" s="52"/>
      <c r="BM47" s="52">
        <v>269811</v>
      </c>
      <c r="BN47" s="52">
        <v>5593</v>
      </c>
      <c r="BO47" s="52"/>
      <c r="BP47" s="52">
        <v>24296</v>
      </c>
      <c r="BQ47" s="52"/>
      <c r="BR47" s="52">
        <v>73876</v>
      </c>
      <c r="BS47" s="52">
        <v>11003</v>
      </c>
      <c r="BT47" s="52"/>
      <c r="BU47" s="52"/>
      <c r="BV47" s="52">
        <v>126631</v>
      </c>
      <c r="BW47" s="52"/>
      <c r="BX47" s="52">
        <v>22594</v>
      </c>
      <c r="BY47" s="52">
        <v>25261</v>
      </c>
      <c r="BZ47" s="52">
        <v>40336</v>
      </c>
      <c r="CA47" s="52"/>
      <c r="CB47" s="52">
        <v>1009</v>
      </c>
      <c r="CC47" s="52"/>
      <c r="CD47" s="52">
        <v>806867</v>
      </c>
      <c r="CE47" s="52"/>
      <c r="CF47" s="52"/>
      <c r="CG47" s="52">
        <v>109350</v>
      </c>
      <c r="CH47" s="52">
        <v>7108</v>
      </c>
      <c r="CI47" s="52"/>
      <c r="CJ47" s="52">
        <v>12796</v>
      </c>
      <c r="CK47" s="52"/>
      <c r="CL47" s="52">
        <v>23866</v>
      </c>
      <c r="CM47" s="52"/>
      <c r="CN47" s="52">
        <v>52248</v>
      </c>
      <c r="CO47" s="52">
        <v>4207</v>
      </c>
      <c r="CP47" s="52">
        <v>23014</v>
      </c>
      <c r="CQ47" s="52"/>
      <c r="CR47" s="52"/>
      <c r="CS47" s="52"/>
      <c r="CT47" s="52">
        <v>28539</v>
      </c>
      <c r="CU47" s="52">
        <v>316</v>
      </c>
      <c r="CV47" s="52"/>
      <c r="CW47" s="52">
        <v>294231</v>
      </c>
      <c r="CX47" s="52"/>
      <c r="CY47" s="52"/>
      <c r="CZ47" s="52"/>
      <c r="DA47" s="52">
        <v>24663</v>
      </c>
      <c r="DB47" s="52">
        <v>62115</v>
      </c>
      <c r="DC47" s="52"/>
      <c r="DD47" s="52"/>
      <c r="DE47" s="52">
        <v>3400569</v>
      </c>
      <c r="DF47" s="52"/>
      <c r="DG47" s="52">
        <v>3400569</v>
      </c>
      <c r="DH47" s="52"/>
    </row>
    <row r="48" spans="1:112">
      <c r="A48" s="150" t="s">
        <v>410</v>
      </c>
      <c r="B48" s="44">
        <v>1994</v>
      </c>
      <c r="C48" s="44" t="s">
        <v>88</v>
      </c>
      <c r="D48" s="52"/>
      <c r="E48" s="52"/>
      <c r="F48" s="52"/>
      <c r="G48" s="52"/>
      <c r="H48" s="56"/>
      <c r="I48" s="56"/>
      <c r="J48" s="56"/>
      <c r="K48" s="56"/>
      <c r="L48" s="52"/>
      <c r="M48" s="52"/>
      <c r="N48" s="52"/>
      <c r="O48" s="52"/>
      <c r="P48" s="52"/>
      <c r="Q48" s="52"/>
      <c r="R48" s="52"/>
      <c r="S48" s="52"/>
      <c r="T48" s="52"/>
      <c r="U48" s="52"/>
      <c r="V48" s="52"/>
      <c r="W48" s="52">
        <v>4130</v>
      </c>
      <c r="X48" s="52"/>
      <c r="Y48" s="52"/>
      <c r="Z48" s="52"/>
      <c r="AA48" s="52"/>
      <c r="AB48" s="52">
        <v>99089</v>
      </c>
      <c r="AC48" s="52"/>
      <c r="AD48" s="52"/>
      <c r="AE48" s="52"/>
      <c r="AF48" s="52"/>
      <c r="AG48" s="52"/>
      <c r="AH48" s="52"/>
      <c r="AI48" s="52"/>
      <c r="AJ48" s="52"/>
      <c r="AK48" s="52"/>
      <c r="AL48" s="52"/>
      <c r="AM48" s="52"/>
      <c r="AN48" s="52"/>
      <c r="AO48" s="52"/>
      <c r="AP48" s="52"/>
      <c r="AQ48" s="52"/>
      <c r="AR48" s="52"/>
      <c r="AS48" s="52">
        <v>271790</v>
      </c>
      <c r="AT48" s="52"/>
      <c r="AU48" s="52"/>
      <c r="AV48" s="52"/>
      <c r="AW48" s="52"/>
      <c r="AX48" s="52"/>
      <c r="AY48" s="52"/>
      <c r="AZ48" s="52"/>
      <c r="BA48" s="52"/>
      <c r="BB48" s="52"/>
      <c r="BC48" s="52"/>
      <c r="BD48" s="52"/>
      <c r="BE48" s="52">
        <v>128105</v>
      </c>
      <c r="BF48" s="52">
        <v>53091</v>
      </c>
      <c r="BG48" s="52"/>
      <c r="BH48" s="52">
        <v>150000</v>
      </c>
      <c r="BI48" s="52"/>
      <c r="BJ48" s="52"/>
      <c r="BK48" s="52">
        <v>40</v>
      </c>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v>83782</v>
      </c>
      <c r="CV48" s="52"/>
      <c r="CW48" s="52"/>
      <c r="CX48" s="52"/>
      <c r="CY48" s="52"/>
      <c r="CZ48" s="52"/>
      <c r="DA48" s="52">
        <v>799051</v>
      </c>
      <c r="DB48" s="52"/>
      <c r="DC48" s="52"/>
      <c r="DD48" s="52"/>
      <c r="DE48" s="52">
        <v>1589078</v>
      </c>
      <c r="DF48" s="52"/>
      <c r="DG48" s="52">
        <v>1589078</v>
      </c>
      <c r="DH48" s="52"/>
    </row>
    <row r="49" spans="1:112">
      <c r="A49" s="150" t="s">
        <v>410</v>
      </c>
      <c r="B49" s="44">
        <v>1999</v>
      </c>
      <c r="C49" s="44" t="s">
        <v>89</v>
      </c>
      <c r="D49" s="52">
        <v>122035</v>
      </c>
      <c r="E49" s="52">
        <v>469459</v>
      </c>
      <c r="F49" s="52">
        <v>145772</v>
      </c>
      <c r="G49" s="52">
        <v>21532</v>
      </c>
      <c r="H49" s="56">
        <v>122757</v>
      </c>
      <c r="I49" s="56">
        <v>167828</v>
      </c>
      <c r="J49" s="56">
        <v>178729</v>
      </c>
      <c r="K49" s="56">
        <v>231764</v>
      </c>
      <c r="L49" s="52">
        <v>294441</v>
      </c>
      <c r="M49" s="52">
        <v>85590</v>
      </c>
      <c r="N49" s="52">
        <v>224824</v>
      </c>
      <c r="O49" s="52">
        <v>48399</v>
      </c>
      <c r="P49" s="52">
        <v>28544</v>
      </c>
      <c r="Q49" s="52">
        <v>56311</v>
      </c>
      <c r="R49" s="52">
        <v>350217</v>
      </c>
      <c r="S49" s="52">
        <v>74260</v>
      </c>
      <c r="T49" s="52">
        <v>5213</v>
      </c>
      <c r="U49" s="52">
        <v>4116544</v>
      </c>
      <c r="V49" s="52">
        <v>451165</v>
      </c>
      <c r="W49" s="52">
        <v>2094179</v>
      </c>
      <c r="X49" s="52">
        <v>93015</v>
      </c>
      <c r="Y49" s="52">
        <v>8579224</v>
      </c>
      <c r="Z49" s="52">
        <v>327087</v>
      </c>
      <c r="AA49" s="52">
        <v>534728</v>
      </c>
      <c r="AB49" s="52">
        <v>627432</v>
      </c>
      <c r="AC49" s="52">
        <v>351644</v>
      </c>
      <c r="AD49" s="52">
        <v>155508</v>
      </c>
      <c r="AE49" s="52">
        <v>113636</v>
      </c>
      <c r="AF49" s="52">
        <v>48590</v>
      </c>
      <c r="AG49" s="52">
        <v>642474</v>
      </c>
      <c r="AH49" s="52">
        <v>7213033</v>
      </c>
      <c r="AI49" s="52">
        <v>27</v>
      </c>
      <c r="AJ49" s="52">
        <v>350</v>
      </c>
      <c r="AK49" s="52">
        <v>1990</v>
      </c>
      <c r="AL49" s="52">
        <v>84227</v>
      </c>
      <c r="AM49" s="52"/>
      <c r="AN49" s="52">
        <v>4263449</v>
      </c>
      <c r="AO49" s="52">
        <v>10818</v>
      </c>
      <c r="AP49" s="52">
        <v>210</v>
      </c>
      <c r="AQ49" s="52">
        <v>108138</v>
      </c>
      <c r="AR49" s="52">
        <v>421925</v>
      </c>
      <c r="AS49" s="52">
        <v>785497</v>
      </c>
      <c r="AT49" s="52">
        <v>475219</v>
      </c>
      <c r="AU49" s="52">
        <v>110565</v>
      </c>
      <c r="AV49" s="52">
        <v>55986</v>
      </c>
      <c r="AW49" s="52">
        <v>497992</v>
      </c>
      <c r="AX49" s="52">
        <v>409361</v>
      </c>
      <c r="AY49" s="52">
        <v>2481594</v>
      </c>
      <c r="AZ49" s="52">
        <v>156617</v>
      </c>
      <c r="BA49" s="52">
        <v>60474</v>
      </c>
      <c r="BB49" s="52">
        <v>7074</v>
      </c>
      <c r="BC49" s="52"/>
      <c r="BD49" s="52">
        <v>92322</v>
      </c>
      <c r="BE49" s="52">
        <v>100019</v>
      </c>
      <c r="BF49" s="52">
        <v>2396192</v>
      </c>
      <c r="BG49" s="52">
        <v>76560</v>
      </c>
      <c r="BH49" s="52">
        <v>1176409</v>
      </c>
      <c r="BI49" s="52">
        <v>531063</v>
      </c>
      <c r="BJ49" s="52">
        <v>382188</v>
      </c>
      <c r="BK49" s="52">
        <v>132842</v>
      </c>
      <c r="BL49" s="52">
        <v>374077</v>
      </c>
      <c r="BM49" s="52">
        <v>757069</v>
      </c>
      <c r="BN49" s="52">
        <v>657938</v>
      </c>
      <c r="BO49" s="52">
        <v>80009</v>
      </c>
      <c r="BP49" s="52">
        <v>47183</v>
      </c>
      <c r="BQ49" s="52">
        <v>214746</v>
      </c>
      <c r="BR49" s="52">
        <v>315631</v>
      </c>
      <c r="BS49" s="52">
        <v>8123</v>
      </c>
      <c r="BT49" s="52">
        <v>71812</v>
      </c>
      <c r="BU49" s="52">
        <v>16430</v>
      </c>
      <c r="BV49" s="52">
        <v>56788</v>
      </c>
      <c r="BW49" s="52">
        <v>7512</v>
      </c>
      <c r="BX49" s="52">
        <v>90302</v>
      </c>
      <c r="BY49" s="52">
        <v>1392143</v>
      </c>
      <c r="BZ49" s="52">
        <v>431816</v>
      </c>
      <c r="CA49" s="52"/>
      <c r="CB49" s="52">
        <v>770250</v>
      </c>
      <c r="CC49" s="52">
        <v>25330</v>
      </c>
      <c r="CD49" s="52">
        <v>629660</v>
      </c>
      <c r="CE49" s="52"/>
      <c r="CF49" s="52">
        <v>308367</v>
      </c>
      <c r="CG49" s="52">
        <v>2476342</v>
      </c>
      <c r="CH49" s="52">
        <v>3011905</v>
      </c>
      <c r="CI49" s="52">
        <v>120400</v>
      </c>
      <c r="CJ49" s="52">
        <v>867224</v>
      </c>
      <c r="CK49" s="52">
        <v>356390</v>
      </c>
      <c r="CL49" s="52">
        <v>237330</v>
      </c>
      <c r="CM49" s="52">
        <v>44749</v>
      </c>
      <c r="CN49" s="52">
        <v>28851</v>
      </c>
      <c r="CO49" s="52">
        <v>296194</v>
      </c>
      <c r="CP49" s="52">
        <v>573294</v>
      </c>
      <c r="CQ49" s="52">
        <v>17585</v>
      </c>
      <c r="CR49" s="52">
        <v>154865</v>
      </c>
      <c r="CS49" s="52">
        <v>25308</v>
      </c>
      <c r="CT49" s="52">
        <v>543418</v>
      </c>
      <c r="CU49" s="52">
        <v>299589</v>
      </c>
      <c r="CV49" s="52"/>
      <c r="CW49" s="52">
        <v>425001</v>
      </c>
      <c r="CX49" s="52">
        <v>388582</v>
      </c>
      <c r="CY49" s="52">
        <v>185690</v>
      </c>
      <c r="CZ49" s="52">
        <v>202095</v>
      </c>
      <c r="DA49" s="52">
        <v>1958425</v>
      </c>
      <c r="DB49" s="52">
        <v>4007184</v>
      </c>
      <c r="DC49" s="52">
        <v>12497</v>
      </c>
      <c r="DD49" s="52"/>
      <c r="DE49" s="52">
        <v>65270649</v>
      </c>
      <c r="DF49" s="52">
        <v>12497</v>
      </c>
      <c r="DG49" s="52">
        <v>65283146</v>
      </c>
      <c r="DH49" s="52"/>
    </row>
    <row r="50" spans="1:112">
      <c r="A50" s="150" t="s">
        <v>410</v>
      </c>
      <c r="B50" s="44">
        <v>2100</v>
      </c>
      <c r="C50" s="44" t="s">
        <v>93</v>
      </c>
      <c r="D50" s="52"/>
      <c r="E50" s="52">
        <v>964440</v>
      </c>
      <c r="F50" s="52"/>
      <c r="G50" s="52"/>
      <c r="H50" s="56"/>
      <c r="I50" s="56"/>
      <c r="J50" s="56"/>
      <c r="K50" s="56"/>
      <c r="L50" s="52">
        <v>77771</v>
      </c>
      <c r="M50" s="52"/>
      <c r="N50" s="52"/>
      <c r="O50" s="52">
        <v>22619</v>
      </c>
      <c r="P50" s="52">
        <v>37338</v>
      </c>
      <c r="Q50" s="52">
        <v>58067</v>
      </c>
      <c r="R50" s="52"/>
      <c r="S50" s="52">
        <v>52650</v>
      </c>
      <c r="T50" s="52"/>
      <c r="U50" s="52"/>
      <c r="V50" s="52"/>
      <c r="W50" s="52">
        <v>56180</v>
      </c>
      <c r="X50" s="52"/>
      <c r="Y50" s="52">
        <v>123510</v>
      </c>
      <c r="Z50" s="52">
        <v>4099</v>
      </c>
      <c r="AA50" s="52">
        <v>1803083</v>
      </c>
      <c r="AB50" s="52">
        <v>201369</v>
      </c>
      <c r="AC50" s="52"/>
      <c r="AD50" s="52"/>
      <c r="AE50" s="52"/>
      <c r="AF50" s="52"/>
      <c r="AG50" s="52">
        <v>49449</v>
      </c>
      <c r="AH50" s="52"/>
      <c r="AI50" s="52">
        <v>2213625</v>
      </c>
      <c r="AJ50" s="52">
        <v>823890</v>
      </c>
      <c r="AK50" s="52">
        <v>1366477</v>
      </c>
      <c r="AL50" s="52">
        <v>588894</v>
      </c>
      <c r="AM50" s="52">
        <v>218419</v>
      </c>
      <c r="AN50" s="52">
        <v>1032712</v>
      </c>
      <c r="AO50" s="52">
        <v>30000</v>
      </c>
      <c r="AP50" s="52"/>
      <c r="AQ50" s="52">
        <v>93179</v>
      </c>
      <c r="AR50" s="52">
        <v>26147</v>
      </c>
      <c r="AS50" s="52">
        <v>39442</v>
      </c>
      <c r="AT50" s="52"/>
      <c r="AU50" s="52">
        <v>129222</v>
      </c>
      <c r="AV50" s="52"/>
      <c r="AW50" s="52">
        <v>1816</v>
      </c>
      <c r="AX50" s="52">
        <v>2808</v>
      </c>
      <c r="AY50" s="52">
        <v>4329237</v>
      </c>
      <c r="AZ50" s="52"/>
      <c r="BA50" s="52">
        <v>7494</v>
      </c>
      <c r="BB50" s="52"/>
      <c r="BC50" s="52">
        <v>502407</v>
      </c>
      <c r="BD50" s="52">
        <v>60084</v>
      </c>
      <c r="BE50" s="52"/>
      <c r="BF50" s="52">
        <v>1043570</v>
      </c>
      <c r="BG50" s="52">
        <v>3191079</v>
      </c>
      <c r="BH50" s="52"/>
      <c r="BI50" s="52">
        <v>571822</v>
      </c>
      <c r="BJ50" s="52"/>
      <c r="BK50" s="52"/>
      <c r="BL50" s="52">
        <v>393332</v>
      </c>
      <c r="BM50" s="52"/>
      <c r="BN50" s="52">
        <v>33542</v>
      </c>
      <c r="BO50" s="52">
        <v>81374</v>
      </c>
      <c r="BP50" s="52"/>
      <c r="BQ50" s="52"/>
      <c r="BR50" s="52"/>
      <c r="BS50" s="52">
        <v>147988</v>
      </c>
      <c r="BT50" s="52">
        <v>133499</v>
      </c>
      <c r="BU50" s="52">
        <v>63012</v>
      </c>
      <c r="BV50" s="52">
        <v>371960</v>
      </c>
      <c r="BW50" s="52">
        <v>151762</v>
      </c>
      <c r="BX50" s="52">
        <v>195526</v>
      </c>
      <c r="BY50" s="52"/>
      <c r="BZ50" s="52">
        <v>323976</v>
      </c>
      <c r="CA50" s="52"/>
      <c r="CB50" s="52">
        <v>800000</v>
      </c>
      <c r="CC50" s="52">
        <v>64101</v>
      </c>
      <c r="CD50" s="52">
        <v>79843</v>
      </c>
      <c r="CE50" s="52"/>
      <c r="CF50" s="52">
        <v>11578</v>
      </c>
      <c r="CG50" s="52"/>
      <c r="CH50" s="52"/>
      <c r="CI50" s="52"/>
      <c r="CJ50" s="52"/>
      <c r="CK50" s="52"/>
      <c r="CL50" s="52">
        <v>61003</v>
      </c>
      <c r="CM50" s="52">
        <v>146432</v>
      </c>
      <c r="CN50" s="52">
        <v>281112</v>
      </c>
      <c r="CO50" s="52">
        <v>640668</v>
      </c>
      <c r="CP50" s="52">
        <v>332265</v>
      </c>
      <c r="CQ50" s="52"/>
      <c r="CR50" s="52"/>
      <c r="CS50" s="52"/>
      <c r="CT50" s="52">
        <v>196966</v>
      </c>
      <c r="CU50" s="52">
        <v>10942</v>
      </c>
      <c r="CV50" s="52"/>
      <c r="CW50" s="52"/>
      <c r="CX50" s="52"/>
      <c r="CY50" s="52">
        <v>73719</v>
      </c>
      <c r="CZ50" s="52"/>
      <c r="DA50" s="52">
        <v>274549</v>
      </c>
      <c r="DB50" s="52">
        <v>20193</v>
      </c>
      <c r="DC50" s="52">
        <v>2527750</v>
      </c>
      <c r="DD50" s="52">
        <v>4375941</v>
      </c>
      <c r="DE50" s="52">
        <v>24612241</v>
      </c>
      <c r="DF50" s="52">
        <v>6903691</v>
      </c>
      <c r="DG50" s="52">
        <v>31515932</v>
      </c>
      <c r="DH50" s="52"/>
    </row>
    <row r="51" spans="1:112">
      <c r="A51" s="150" t="s">
        <v>410</v>
      </c>
      <c r="B51" s="44">
        <v>2200</v>
      </c>
      <c r="C51" s="44" t="s">
        <v>94</v>
      </c>
      <c r="D51" s="52"/>
      <c r="E51" s="52"/>
      <c r="F51" s="52"/>
      <c r="G51" s="52"/>
      <c r="H51" s="56"/>
      <c r="I51" s="56"/>
      <c r="J51" s="56"/>
      <c r="K51" s="56"/>
      <c r="L51" s="52"/>
      <c r="M51" s="52"/>
      <c r="N51" s="52"/>
      <c r="O51" s="52"/>
      <c r="P51" s="52"/>
      <c r="Q51" s="52"/>
      <c r="R51" s="52"/>
      <c r="S51" s="52"/>
      <c r="T51" s="52"/>
      <c r="U51" s="52"/>
      <c r="V51" s="52"/>
      <c r="W51" s="52"/>
      <c r="X51" s="52"/>
      <c r="Y51" s="52"/>
      <c r="Z51" s="52"/>
      <c r="AA51" s="52">
        <v>360617</v>
      </c>
      <c r="AB51" s="52"/>
      <c r="AC51" s="52"/>
      <c r="AD51" s="52"/>
      <c r="AE51" s="52"/>
      <c r="AF51" s="52"/>
      <c r="AG51" s="52"/>
      <c r="AH51" s="52"/>
      <c r="AI51" s="52"/>
      <c r="AJ51" s="52"/>
      <c r="AK51" s="52"/>
      <c r="AL51" s="52"/>
      <c r="AM51" s="52"/>
      <c r="AN51" s="52"/>
      <c r="AO51" s="52"/>
      <c r="AP51" s="52"/>
      <c r="AQ51" s="52">
        <v>1200</v>
      </c>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v>361817</v>
      </c>
      <c r="DF51" s="52"/>
      <c r="DG51" s="52">
        <v>361817</v>
      </c>
      <c r="DH51" s="52"/>
    </row>
    <row r="52" spans="1:112">
      <c r="A52" s="150" t="s">
        <v>410</v>
      </c>
      <c r="B52" s="44">
        <v>2300</v>
      </c>
      <c r="C52" s="44" t="s">
        <v>95</v>
      </c>
      <c r="D52" s="52">
        <v>182004</v>
      </c>
      <c r="E52" s="52"/>
      <c r="F52" s="52"/>
      <c r="G52" s="52"/>
      <c r="H52" s="56"/>
      <c r="I52" s="56"/>
      <c r="J52" s="56"/>
      <c r="K52" s="56"/>
      <c r="L52" s="52"/>
      <c r="M52" s="52"/>
      <c r="N52" s="52"/>
      <c r="O52" s="52">
        <v>107536</v>
      </c>
      <c r="P52" s="52"/>
      <c r="Q52" s="52">
        <v>122094</v>
      </c>
      <c r="R52" s="52">
        <v>20214</v>
      </c>
      <c r="S52" s="52"/>
      <c r="T52" s="52"/>
      <c r="U52" s="52"/>
      <c r="V52" s="52"/>
      <c r="W52" s="52"/>
      <c r="X52" s="52">
        <v>183963</v>
      </c>
      <c r="Y52" s="52"/>
      <c r="Z52" s="52">
        <v>9862</v>
      </c>
      <c r="AA52" s="52">
        <v>129315</v>
      </c>
      <c r="AB52" s="52">
        <v>104676</v>
      </c>
      <c r="AC52" s="52"/>
      <c r="AD52" s="52">
        <v>46464</v>
      </c>
      <c r="AE52" s="52">
        <v>33766</v>
      </c>
      <c r="AF52" s="52"/>
      <c r="AG52" s="52"/>
      <c r="AH52" s="52"/>
      <c r="AI52" s="52"/>
      <c r="AJ52" s="52"/>
      <c r="AK52" s="52"/>
      <c r="AL52" s="52">
        <v>107812</v>
      </c>
      <c r="AM52" s="52"/>
      <c r="AN52" s="52">
        <v>98200</v>
      </c>
      <c r="AO52" s="52">
        <v>93344</v>
      </c>
      <c r="AP52" s="52"/>
      <c r="AQ52" s="52"/>
      <c r="AR52" s="52">
        <v>94042</v>
      </c>
      <c r="AS52" s="52">
        <v>189533</v>
      </c>
      <c r="AT52" s="52">
        <v>22453</v>
      </c>
      <c r="AU52" s="52">
        <v>25000</v>
      </c>
      <c r="AV52" s="52">
        <v>43267</v>
      </c>
      <c r="AW52" s="52"/>
      <c r="AX52" s="52"/>
      <c r="AY52" s="52"/>
      <c r="AZ52" s="52"/>
      <c r="BA52" s="52">
        <v>34706</v>
      </c>
      <c r="BB52" s="52"/>
      <c r="BC52" s="52"/>
      <c r="BD52" s="52"/>
      <c r="BE52" s="52"/>
      <c r="BF52" s="52"/>
      <c r="BG52" s="52">
        <v>112841</v>
      </c>
      <c r="BH52" s="52"/>
      <c r="BI52" s="52"/>
      <c r="BJ52" s="52"/>
      <c r="BK52" s="52">
        <v>91758</v>
      </c>
      <c r="BL52" s="52"/>
      <c r="BM52" s="52">
        <v>151695</v>
      </c>
      <c r="BN52" s="52"/>
      <c r="BO52" s="52">
        <v>270559</v>
      </c>
      <c r="BP52" s="52"/>
      <c r="BQ52" s="52"/>
      <c r="BR52" s="52"/>
      <c r="BS52" s="52"/>
      <c r="BT52" s="52"/>
      <c r="BU52" s="52"/>
      <c r="BV52" s="52"/>
      <c r="BW52" s="52"/>
      <c r="BX52" s="52">
        <v>66665</v>
      </c>
      <c r="BY52" s="52">
        <v>51800</v>
      </c>
      <c r="BZ52" s="52"/>
      <c r="CA52" s="52"/>
      <c r="CB52" s="52"/>
      <c r="CC52" s="52"/>
      <c r="CD52" s="52"/>
      <c r="CE52" s="52"/>
      <c r="CF52" s="52">
        <v>272969</v>
      </c>
      <c r="CG52" s="52"/>
      <c r="CH52" s="52"/>
      <c r="CI52" s="52"/>
      <c r="CJ52" s="52">
        <v>571818</v>
      </c>
      <c r="CK52" s="52"/>
      <c r="CL52" s="52"/>
      <c r="CM52" s="52">
        <v>72450</v>
      </c>
      <c r="CN52" s="52">
        <v>1344213</v>
      </c>
      <c r="CO52" s="52"/>
      <c r="CP52" s="52">
        <v>582103</v>
      </c>
      <c r="CQ52" s="52"/>
      <c r="CR52" s="52"/>
      <c r="CS52" s="52"/>
      <c r="CT52" s="52">
        <v>116313</v>
      </c>
      <c r="CU52" s="52">
        <v>100584</v>
      </c>
      <c r="CV52" s="52"/>
      <c r="CW52" s="52">
        <v>162552</v>
      </c>
      <c r="CX52" s="52">
        <v>187908</v>
      </c>
      <c r="CY52" s="52">
        <v>33750</v>
      </c>
      <c r="CZ52" s="52"/>
      <c r="DA52" s="52">
        <v>58103</v>
      </c>
      <c r="DB52" s="52">
        <v>25750</v>
      </c>
      <c r="DC52" s="52"/>
      <c r="DD52" s="52"/>
      <c r="DE52" s="52">
        <v>5922082</v>
      </c>
      <c r="DF52" s="52"/>
      <c r="DG52" s="52">
        <v>5922082</v>
      </c>
      <c r="DH52" s="52"/>
    </row>
    <row r="53" spans="1:112">
      <c r="A53" s="150" t="s">
        <v>410</v>
      </c>
      <c r="B53" s="44">
        <v>2310</v>
      </c>
      <c r="C53" s="44" t="s">
        <v>96</v>
      </c>
      <c r="D53" s="52"/>
      <c r="E53" s="52"/>
      <c r="F53" s="52"/>
      <c r="G53" s="52"/>
      <c r="H53" s="56"/>
      <c r="I53" s="56"/>
      <c r="J53" s="56"/>
      <c r="K53" s="56"/>
      <c r="L53" s="52"/>
      <c r="M53" s="52"/>
      <c r="N53" s="52"/>
      <c r="O53" s="52"/>
      <c r="P53" s="52"/>
      <c r="Q53" s="52"/>
      <c r="R53" s="52"/>
      <c r="S53" s="52"/>
      <c r="T53" s="52"/>
      <c r="U53" s="52"/>
      <c r="V53" s="52"/>
      <c r="W53" s="52"/>
      <c r="X53" s="52"/>
      <c r="Y53" s="52"/>
      <c r="Z53" s="52"/>
      <c r="AA53" s="52"/>
      <c r="AB53" s="52"/>
      <c r="AC53" s="52"/>
      <c r="AD53" s="52">
        <v>465192</v>
      </c>
      <c r="AE53" s="52"/>
      <c r="AF53" s="52"/>
      <c r="AG53" s="52"/>
      <c r="AH53" s="52"/>
      <c r="AI53" s="52"/>
      <c r="AJ53" s="52"/>
      <c r="AK53" s="52"/>
      <c r="AL53" s="52"/>
      <c r="AM53" s="52"/>
      <c r="AN53" s="52"/>
      <c r="AO53" s="52"/>
      <c r="AP53" s="52"/>
      <c r="AQ53" s="52"/>
      <c r="AR53" s="52"/>
      <c r="AS53" s="52">
        <v>984917</v>
      </c>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v>135415</v>
      </c>
      <c r="CA53" s="52"/>
      <c r="CB53" s="52"/>
      <c r="CC53" s="52"/>
      <c r="CD53" s="52"/>
      <c r="CE53" s="52"/>
      <c r="CF53" s="52"/>
      <c r="CG53" s="52"/>
      <c r="CH53" s="52"/>
      <c r="CI53" s="52"/>
      <c r="CJ53" s="52"/>
      <c r="CK53" s="52">
        <v>18243</v>
      </c>
      <c r="CL53" s="52"/>
      <c r="CM53" s="52">
        <v>89899</v>
      </c>
      <c r="CN53" s="52"/>
      <c r="CO53" s="52"/>
      <c r="CP53" s="52"/>
      <c r="CQ53" s="52"/>
      <c r="CR53" s="52"/>
      <c r="CS53" s="52"/>
      <c r="CT53" s="52"/>
      <c r="CU53" s="52"/>
      <c r="CV53" s="52"/>
      <c r="CW53" s="52"/>
      <c r="CX53" s="52"/>
      <c r="CY53" s="52"/>
      <c r="CZ53" s="52"/>
      <c r="DA53" s="52"/>
      <c r="DB53" s="52">
        <v>37178</v>
      </c>
      <c r="DC53" s="52"/>
      <c r="DD53" s="52"/>
      <c r="DE53" s="52">
        <v>1730844</v>
      </c>
      <c r="DF53" s="52"/>
      <c r="DG53" s="52">
        <v>1730844</v>
      </c>
      <c r="DH53" s="52"/>
    </row>
    <row r="54" spans="1:112" ht="15.95" customHeight="1">
      <c r="A54" s="150"/>
      <c r="C54" s="60" t="s">
        <v>414</v>
      </c>
      <c r="D54" s="61">
        <f>SUM(D18:D53)</f>
        <v>2097513</v>
      </c>
      <c r="E54" s="61">
        <f t="shared" ref="E54:BP54" si="2">SUM(E18:E53)</f>
        <v>10753393</v>
      </c>
      <c r="F54" s="61">
        <f t="shared" si="2"/>
        <v>752111</v>
      </c>
      <c r="G54" s="61">
        <f t="shared" si="2"/>
        <v>335759</v>
      </c>
      <c r="H54" s="61">
        <f t="shared" si="2"/>
        <v>6045581</v>
      </c>
      <c r="I54" s="61">
        <f t="shared" si="2"/>
        <v>2612806</v>
      </c>
      <c r="J54" s="61">
        <f t="shared" si="2"/>
        <v>2180710</v>
      </c>
      <c r="K54" s="61">
        <f t="shared" si="2"/>
        <v>3180549</v>
      </c>
      <c r="L54" s="61">
        <f t="shared" si="2"/>
        <v>7179286</v>
      </c>
      <c r="M54" s="61">
        <f t="shared" si="2"/>
        <v>147014</v>
      </c>
      <c r="N54" s="61">
        <f t="shared" si="2"/>
        <v>1552082</v>
      </c>
      <c r="O54" s="61">
        <f t="shared" si="2"/>
        <v>971912</v>
      </c>
      <c r="P54" s="61">
        <f t="shared" si="2"/>
        <v>590272</v>
      </c>
      <c r="Q54" s="61">
        <f t="shared" si="2"/>
        <v>632152</v>
      </c>
      <c r="R54" s="61">
        <f t="shared" si="2"/>
        <v>848342</v>
      </c>
      <c r="S54" s="61">
        <f t="shared" si="2"/>
        <v>1530919</v>
      </c>
      <c r="T54" s="61">
        <f t="shared" si="2"/>
        <v>271581</v>
      </c>
      <c r="U54" s="61">
        <f t="shared" si="2"/>
        <v>13075778</v>
      </c>
      <c r="V54" s="61">
        <f t="shared" si="2"/>
        <v>3830293</v>
      </c>
      <c r="W54" s="61">
        <f t="shared" si="2"/>
        <v>24076070</v>
      </c>
      <c r="X54" s="61">
        <f t="shared" si="2"/>
        <v>2185129</v>
      </c>
      <c r="Y54" s="61">
        <f t="shared" si="2"/>
        <v>59500322</v>
      </c>
      <c r="Z54" s="61">
        <f t="shared" si="2"/>
        <v>7455295</v>
      </c>
      <c r="AA54" s="61">
        <f t="shared" si="2"/>
        <v>6193397</v>
      </c>
      <c r="AB54" s="61">
        <f t="shared" si="2"/>
        <v>5477513</v>
      </c>
      <c r="AC54" s="61">
        <f t="shared" si="2"/>
        <v>1024947</v>
      </c>
      <c r="AD54" s="61">
        <f t="shared" si="2"/>
        <v>2625854</v>
      </c>
      <c r="AE54" s="61">
        <f t="shared" si="2"/>
        <v>1032686</v>
      </c>
      <c r="AF54" s="61">
        <f t="shared" si="2"/>
        <v>834186</v>
      </c>
      <c r="AG54" s="61">
        <f t="shared" si="2"/>
        <v>5499550</v>
      </c>
      <c r="AH54" s="61">
        <f t="shared" si="2"/>
        <v>13942519</v>
      </c>
      <c r="AI54" s="61">
        <f t="shared" si="2"/>
        <v>2275630</v>
      </c>
      <c r="AJ54" s="61">
        <f t="shared" si="2"/>
        <v>1299371</v>
      </c>
      <c r="AK54" s="61">
        <f t="shared" si="2"/>
        <v>2311843</v>
      </c>
      <c r="AL54" s="61">
        <f t="shared" si="2"/>
        <v>1484543</v>
      </c>
      <c r="AM54" s="61">
        <f t="shared" si="2"/>
        <v>295997</v>
      </c>
      <c r="AN54" s="61">
        <f t="shared" si="2"/>
        <v>17345482</v>
      </c>
      <c r="AO54" s="61">
        <f t="shared" si="2"/>
        <v>1654770</v>
      </c>
      <c r="AP54" s="61">
        <f t="shared" si="2"/>
        <v>125338</v>
      </c>
      <c r="AQ54" s="61">
        <f t="shared" si="2"/>
        <v>2286217</v>
      </c>
      <c r="AR54" s="61">
        <f t="shared" si="2"/>
        <v>2345684</v>
      </c>
      <c r="AS54" s="61">
        <f t="shared" si="2"/>
        <v>10892577</v>
      </c>
      <c r="AT54" s="61">
        <f t="shared" si="2"/>
        <v>1446676</v>
      </c>
      <c r="AU54" s="61">
        <f t="shared" si="2"/>
        <v>1874840</v>
      </c>
      <c r="AV54" s="61">
        <f t="shared" si="2"/>
        <v>466371</v>
      </c>
      <c r="AW54" s="61">
        <f t="shared" si="2"/>
        <v>3267714</v>
      </c>
      <c r="AX54" s="61">
        <f t="shared" si="2"/>
        <v>5898165</v>
      </c>
      <c r="AY54" s="61">
        <f t="shared" si="2"/>
        <v>72436166</v>
      </c>
      <c r="AZ54" s="61">
        <f t="shared" si="2"/>
        <v>8147110</v>
      </c>
      <c r="BA54" s="61">
        <f t="shared" si="2"/>
        <v>823682</v>
      </c>
      <c r="BB54" s="61">
        <f t="shared" si="2"/>
        <v>963692</v>
      </c>
      <c r="BC54" s="61">
        <f t="shared" si="2"/>
        <v>631230</v>
      </c>
      <c r="BD54" s="61">
        <f t="shared" si="2"/>
        <v>1745502</v>
      </c>
      <c r="BE54" s="61">
        <f t="shared" si="2"/>
        <v>626214</v>
      </c>
      <c r="BF54" s="61">
        <f t="shared" si="2"/>
        <v>30650962</v>
      </c>
      <c r="BG54" s="61">
        <f t="shared" si="2"/>
        <v>5075001</v>
      </c>
      <c r="BH54" s="61">
        <f t="shared" si="2"/>
        <v>11586150</v>
      </c>
      <c r="BI54" s="61">
        <f t="shared" si="2"/>
        <v>9493519</v>
      </c>
      <c r="BJ54" s="61">
        <f t="shared" si="2"/>
        <v>3470165</v>
      </c>
      <c r="BK54" s="61">
        <f t="shared" si="2"/>
        <v>3236236</v>
      </c>
      <c r="BL54" s="61">
        <f t="shared" si="2"/>
        <v>1721259</v>
      </c>
      <c r="BM54" s="61">
        <f t="shared" si="2"/>
        <v>21070203</v>
      </c>
      <c r="BN54" s="61">
        <f t="shared" si="2"/>
        <v>6385660</v>
      </c>
      <c r="BO54" s="61">
        <f t="shared" si="2"/>
        <v>2273969</v>
      </c>
      <c r="BP54" s="61">
        <f t="shared" si="2"/>
        <v>2523746</v>
      </c>
      <c r="BQ54" s="61">
        <f t="shared" ref="BQ54:DG54" si="3">SUM(BQ18:BQ53)</f>
        <v>14157215</v>
      </c>
      <c r="BR54" s="61">
        <f t="shared" si="3"/>
        <v>732432</v>
      </c>
      <c r="BS54" s="61">
        <f t="shared" si="3"/>
        <v>634105</v>
      </c>
      <c r="BT54" s="61">
        <f t="shared" si="3"/>
        <v>2429883</v>
      </c>
      <c r="BU54" s="61">
        <f t="shared" si="3"/>
        <v>2258286</v>
      </c>
      <c r="BV54" s="61">
        <f t="shared" si="3"/>
        <v>918481</v>
      </c>
      <c r="BW54" s="61">
        <f t="shared" si="3"/>
        <v>759233</v>
      </c>
      <c r="BX54" s="61">
        <f t="shared" si="3"/>
        <v>1623317</v>
      </c>
      <c r="BY54" s="61">
        <f t="shared" si="3"/>
        <v>7677462</v>
      </c>
      <c r="BZ54" s="61">
        <f t="shared" si="3"/>
        <v>8555875</v>
      </c>
      <c r="CA54" s="61">
        <f t="shared" si="3"/>
        <v>0</v>
      </c>
      <c r="CB54" s="61">
        <f t="shared" si="3"/>
        <v>3755993</v>
      </c>
      <c r="CC54" s="61">
        <f t="shared" si="3"/>
        <v>2135867</v>
      </c>
      <c r="CD54" s="61">
        <f t="shared" si="3"/>
        <v>4871025</v>
      </c>
      <c r="CE54" s="61">
        <f t="shared" si="3"/>
        <v>790614</v>
      </c>
      <c r="CF54" s="61">
        <f t="shared" si="3"/>
        <v>18551129</v>
      </c>
      <c r="CG54" s="61">
        <f t="shared" si="3"/>
        <v>16415006</v>
      </c>
      <c r="CH54" s="61">
        <f t="shared" si="3"/>
        <v>19852171</v>
      </c>
      <c r="CI54" s="61">
        <f t="shared" si="3"/>
        <v>1411868</v>
      </c>
      <c r="CJ54" s="61">
        <f t="shared" si="3"/>
        <v>4969263</v>
      </c>
      <c r="CK54" s="61">
        <f t="shared" si="3"/>
        <v>6220951</v>
      </c>
      <c r="CL54" s="61">
        <f t="shared" si="3"/>
        <v>2625824</v>
      </c>
      <c r="CM54" s="61">
        <f t="shared" si="3"/>
        <v>4633213</v>
      </c>
      <c r="CN54" s="61">
        <f t="shared" si="3"/>
        <v>9058321</v>
      </c>
      <c r="CO54" s="61">
        <f t="shared" si="3"/>
        <v>6118995</v>
      </c>
      <c r="CP54" s="61">
        <f t="shared" si="3"/>
        <v>9253832</v>
      </c>
      <c r="CQ54" s="61">
        <f t="shared" si="3"/>
        <v>516522</v>
      </c>
      <c r="CR54" s="61">
        <f t="shared" si="3"/>
        <v>806211</v>
      </c>
      <c r="CS54" s="61">
        <f t="shared" si="3"/>
        <v>805097</v>
      </c>
      <c r="CT54" s="61">
        <f t="shared" si="3"/>
        <v>6395905</v>
      </c>
      <c r="CU54" s="61">
        <f t="shared" si="3"/>
        <v>5547381</v>
      </c>
      <c r="CV54" s="61">
        <f t="shared" si="3"/>
        <v>0</v>
      </c>
      <c r="CW54" s="61">
        <f t="shared" si="3"/>
        <v>3805170</v>
      </c>
      <c r="CX54" s="61">
        <f t="shared" si="3"/>
        <v>4519641</v>
      </c>
      <c r="CY54" s="61">
        <f t="shared" si="3"/>
        <v>3317516</v>
      </c>
      <c r="CZ54" s="61">
        <f t="shared" si="3"/>
        <v>4222012</v>
      </c>
      <c r="DA54" s="61">
        <f t="shared" si="3"/>
        <v>13170818</v>
      </c>
      <c r="DB54" s="61">
        <f t="shared" si="3"/>
        <v>11704074</v>
      </c>
      <c r="DC54" s="61">
        <f t="shared" si="3"/>
        <v>2540247</v>
      </c>
      <c r="DD54" s="61">
        <f t="shared" si="3"/>
        <v>4375941</v>
      </c>
      <c r="DE54" s="61">
        <f t="shared" si="3"/>
        <v>631787913</v>
      </c>
      <c r="DF54" s="61">
        <f t="shared" si="3"/>
        <v>6916188</v>
      </c>
      <c r="DG54" s="61">
        <f t="shared" si="3"/>
        <v>638704101</v>
      </c>
      <c r="DH54" s="52"/>
    </row>
    <row r="55" spans="1:112">
      <c r="A55" s="150"/>
      <c r="D55" s="52"/>
      <c r="E55" s="52"/>
      <c r="F55" s="52"/>
      <c r="G55" s="52"/>
      <c r="H55" s="56"/>
      <c r="I55" s="56"/>
      <c r="J55" s="56"/>
      <c r="K55" s="56"/>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row>
    <row r="56" spans="1:112">
      <c r="A56" s="150"/>
      <c r="D56" s="52"/>
      <c r="E56" s="52"/>
      <c r="F56" s="52"/>
      <c r="G56" s="52"/>
      <c r="H56" s="56"/>
      <c r="I56" s="56"/>
      <c r="J56" s="56"/>
      <c r="K56" s="56"/>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row>
    <row r="57" spans="1:112">
      <c r="A57" s="150" t="s">
        <v>411</v>
      </c>
      <c r="B57" s="44">
        <v>3112</v>
      </c>
      <c r="C57" s="44" t="s">
        <v>101</v>
      </c>
      <c r="D57" s="52"/>
      <c r="E57" s="52"/>
      <c r="F57" s="52"/>
      <c r="G57" s="52"/>
      <c r="H57" s="56"/>
      <c r="I57" s="56"/>
      <c r="J57" s="56"/>
      <c r="K57" s="56"/>
      <c r="L57" s="52"/>
      <c r="M57" s="52"/>
      <c r="N57" s="52"/>
      <c r="O57" s="52"/>
      <c r="P57" s="52"/>
      <c r="Q57" s="52"/>
      <c r="R57" s="52"/>
      <c r="S57" s="52"/>
      <c r="T57" s="52"/>
      <c r="U57" s="52"/>
      <c r="V57" s="52"/>
      <c r="W57" s="52"/>
      <c r="X57" s="52"/>
      <c r="Y57" s="52"/>
      <c r="Z57" s="52">
        <v>38919</v>
      </c>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v>46307</v>
      </c>
      <c r="BI57" s="52"/>
      <c r="BJ57" s="52"/>
      <c r="BK57" s="52"/>
      <c r="BL57" s="52">
        <v>1721</v>
      </c>
      <c r="BM57" s="52"/>
      <c r="BN57" s="52"/>
      <c r="BO57" s="52"/>
      <c r="BP57" s="52"/>
      <c r="BQ57" s="52"/>
      <c r="BR57" s="52"/>
      <c r="BS57" s="52"/>
      <c r="BT57" s="52"/>
      <c r="BU57" s="52"/>
      <c r="BV57" s="52"/>
      <c r="BW57" s="52"/>
      <c r="BX57" s="52"/>
      <c r="BY57" s="52"/>
      <c r="BZ57" s="52">
        <v>69721</v>
      </c>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v>156668</v>
      </c>
      <c r="DF57" s="52"/>
      <c r="DG57" s="52">
        <v>156668</v>
      </c>
      <c r="DH57" s="52"/>
    </row>
    <row r="58" spans="1:112">
      <c r="A58" s="150" t="s">
        <v>411</v>
      </c>
      <c r="B58" s="44">
        <v>3113</v>
      </c>
      <c r="C58" s="44" t="s">
        <v>102</v>
      </c>
      <c r="D58" s="52">
        <v>40261</v>
      </c>
      <c r="E58" s="52">
        <v>52274</v>
      </c>
      <c r="F58" s="52"/>
      <c r="G58" s="52"/>
      <c r="H58" s="56"/>
      <c r="I58" s="56">
        <v>10147</v>
      </c>
      <c r="J58" s="56">
        <v>14552</v>
      </c>
      <c r="K58" s="56">
        <v>5597</v>
      </c>
      <c r="L58" s="52">
        <v>10106</v>
      </c>
      <c r="M58" s="52"/>
      <c r="N58" s="52"/>
      <c r="O58" s="52"/>
      <c r="P58" s="52"/>
      <c r="Q58" s="52"/>
      <c r="R58" s="52"/>
      <c r="S58" s="52"/>
      <c r="T58" s="52">
        <v>7906</v>
      </c>
      <c r="U58" s="52"/>
      <c r="V58" s="52"/>
      <c r="W58" s="52"/>
      <c r="X58" s="52"/>
      <c r="Y58" s="52"/>
      <c r="Z58" s="52">
        <v>18139</v>
      </c>
      <c r="AA58" s="52">
        <v>4730</v>
      </c>
      <c r="AB58" s="52">
        <v>35428</v>
      </c>
      <c r="AC58" s="52"/>
      <c r="AD58" s="52"/>
      <c r="AE58" s="52"/>
      <c r="AF58" s="52">
        <v>10192</v>
      </c>
      <c r="AG58" s="52"/>
      <c r="AH58" s="52">
        <v>17217</v>
      </c>
      <c r="AI58" s="52"/>
      <c r="AJ58" s="52"/>
      <c r="AK58" s="52"/>
      <c r="AL58" s="52"/>
      <c r="AM58" s="52"/>
      <c r="AN58" s="52"/>
      <c r="AO58" s="52"/>
      <c r="AP58" s="52"/>
      <c r="AQ58" s="52">
        <v>20498</v>
      </c>
      <c r="AR58" s="52">
        <v>6959</v>
      </c>
      <c r="AS58" s="52"/>
      <c r="AT58" s="52"/>
      <c r="AU58" s="52"/>
      <c r="AV58" s="52"/>
      <c r="AW58" s="52">
        <v>12214</v>
      </c>
      <c r="AX58" s="52">
        <v>11732</v>
      </c>
      <c r="AY58" s="52"/>
      <c r="AZ58" s="52"/>
      <c r="BA58" s="52"/>
      <c r="BB58" s="52"/>
      <c r="BC58" s="52"/>
      <c r="BD58" s="52"/>
      <c r="BE58" s="52">
        <v>10039</v>
      </c>
      <c r="BF58" s="52">
        <v>37832</v>
      </c>
      <c r="BG58" s="52"/>
      <c r="BH58" s="52"/>
      <c r="BI58" s="52">
        <v>12085</v>
      </c>
      <c r="BJ58" s="52"/>
      <c r="BK58" s="52"/>
      <c r="BL58" s="52"/>
      <c r="BM58" s="52"/>
      <c r="BN58" s="52"/>
      <c r="BO58" s="52"/>
      <c r="BP58" s="52"/>
      <c r="BQ58" s="52"/>
      <c r="BR58" s="52"/>
      <c r="BS58" s="52"/>
      <c r="BT58" s="52"/>
      <c r="BU58" s="52"/>
      <c r="BV58" s="52"/>
      <c r="BW58" s="52">
        <v>11837</v>
      </c>
      <c r="BX58" s="52">
        <v>12447</v>
      </c>
      <c r="BY58" s="52"/>
      <c r="BZ58" s="52">
        <v>12355</v>
      </c>
      <c r="CA58" s="52"/>
      <c r="CB58" s="52">
        <v>9755</v>
      </c>
      <c r="CC58" s="52"/>
      <c r="CD58" s="52"/>
      <c r="CE58" s="52"/>
      <c r="CF58" s="52"/>
      <c r="CG58" s="52"/>
      <c r="CH58" s="52"/>
      <c r="CI58" s="52"/>
      <c r="CJ58" s="52"/>
      <c r="CK58" s="52"/>
      <c r="CL58" s="52"/>
      <c r="CM58" s="52"/>
      <c r="CN58" s="52"/>
      <c r="CO58" s="52"/>
      <c r="CP58" s="52"/>
      <c r="CQ58" s="52"/>
      <c r="CR58" s="52"/>
      <c r="CS58" s="52"/>
      <c r="CT58" s="52">
        <v>21552</v>
      </c>
      <c r="CU58" s="52"/>
      <c r="CV58" s="52"/>
      <c r="CW58" s="52">
        <v>12099</v>
      </c>
      <c r="CX58" s="52"/>
      <c r="CY58" s="52">
        <v>10125</v>
      </c>
      <c r="CZ58" s="52"/>
      <c r="DA58" s="52"/>
      <c r="DB58" s="52">
        <v>11116</v>
      </c>
      <c r="DC58" s="52"/>
      <c r="DD58" s="52"/>
      <c r="DE58" s="52">
        <v>439194</v>
      </c>
      <c r="DF58" s="52"/>
      <c r="DG58" s="52">
        <v>439194</v>
      </c>
      <c r="DH58" s="52"/>
    </row>
    <row r="59" spans="1:112">
      <c r="A59" s="150" t="s">
        <v>411</v>
      </c>
      <c r="B59" s="44">
        <v>3117</v>
      </c>
      <c r="C59" s="44" t="s">
        <v>103</v>
      </c>
      <c r="D59" s="52"/>
      <c r="E59" s="52">
        <v>14229</v>
      </c>
      <c r="F59" s="52">
        <v>921</v>
      </c>
      <c r="G59" s="52"/>
      <c r="H59" s="56"/>
      <c r="I59" s="56"/>
      <c r="J59" s="56"/>
      <c r="K59" s="56">
        <v>1107</v>
      </c>
      <c r="L59" s="52"/>
      <c r="M59" s="52"/>
      <c r="N59" s="52"/>
      <c r="O59" s="52">
        <v>982</v>
      </c>
      <c r="P59" s="52">
        <v>533</v>
      </c>
      <c r="Q59" s="52">
        <v>516</v>
      </c>
      <c r="R59" s="52">
        <v>593</v>
      </c>
      <c r="S59" s="52"/>
      <c r="T59" s="52"/>
      <c r="U59" s="52"/>
      <c r="V59" s="52"/>
      <c r="W59" s="52">
        <v>15061</v>
      </c>
      <c r="X59" s="52">
        <v>815</v>
      </c>
      <c r="Y59" s="52"/>
      <c r="Z59" s="52">
        <v>5192</v>
      </c>
      <c r="AA59" s="52">
        <v>3415</v>
      </c>
      <c r="AB59" s="52">
        <v>1498</v>
      </c>
      <c r="AC59" s="52"/>
      <c r="AD59" s="52"/>
      <c r="AE59" s="52">
        <v>843</v>
      </c>
      <c r="AF59" s="52"/>
      <c r="AG59" s="52"/>
      <c r="AH59" s="52"/>
      <c r="AI59" s="52"/>
      <c r="AJ59" s="52"/>
      <c r="AK59" s="52"/>
      <c r="AL59" s="52">
        <v>1011</v>
      </c>
      <c r="AM59" s="52"/>
      <c r="AN59" s="52">
        <v>11316</v>
      </c>
      <c r="AO59" s="52">
        <v>302</v>
      </c>
      <c r="AP59" s="52"/>
      <c r="AQ59" s="52"/>
      <c r="AR59" s="52"/>
      <c r="AS59" s="52">
        <v>9240</v>
      </c>
      <c r="AT59" s="52">
        <v>719</v>
      </c>
      <c r="AU59" s="52"/>
      <c r="AV59" s="52"/>
      <c r="AW59" s="52">
        <v>963</v>
      </c>
      <c r="AX59" s="52"/>
      <c r="AY59" s="52">
        <v>34171</v>
      </c>
      <c r="AZ59" s="52">
        <v>4936</v>
      </c>
      <c r="BA59" s="52">
        <v>832</v>
      </c>
      <c r="BB59" s="52"/>
      <c r="BC59" s="52"/>
      <c r="BD59" s="52">
        <v>1538</v>
      </c>
      <c r="BE59" s="52">
        <v>840</v>
      </c>
      <c r="BF59" s="52">
        <v>16440</v>
      </c>
      <c r="BG59" s="52">
        <v>1776</v>
      </c>
      <c r="BH59" s="52">
        <v>5955</v>
      </c>
      <c r="BI59" s="52">
        <v>1298</v>
      </c>
      <c r="BJ59" s="52"/>
      <c r="BK59" s="52">
        <v>2024</v>
      </c>
      <c r="BL59" s="52">
        <v>39815</v>
      </c>
      <c r="BM59" s="52">
        <v>11654</v>
      </c>
      <c r="BN59" s="52"/>
      <c r="BO59" s="52"/>
      <c r="BP59" s="52">
        <v>2053</v>
      </c>
      <c r="BQ59" s="52"/>
      <c r="BR59" s="52">
        <v>383</v>
      </c>
      <c r="BS59" s="52"/>
      <c r="BT59" s="52">
        <v>1825</v>
      </c>
      <c r="BU59" s="52">
        <v>1044</v>
      </c>
      <c r="BV59" s="52">
        <v>528</v>
      </c>
      <c r="BW59" s="52"/>
      <c r="BX59" s="52"/>
      <c r="BY59" s="52"/>
      <c r="BZ59" s="52"/>
      <c r="CA59" s="52"/>
      <c r="CB59" s="52">
        <v>2046</v>
      </c>
      <c r="CC59" s="52">
        <v>1575</v>
      </c>
      <c r="CD59" s="52"/>
      <c r="CE59" s="52"/>
      <c r="CF59" s="52"/>
      <c r="CG59" s="52"/>
      <c r="CH59" s="52">
        <v>9288</v>
      </c>
      <c r="CI59" s="52">
        <v>1381</v>
      </c>
      <c r="CJ59" s="52">
        <v>1183</v>
      </c>
      <c r="CK59" s="52">
        <v>4889</v>
      </c>
      <c r="CL59" s="52">
        <v>1778</v>
      </c>
      <c r="CM59" s="52"/>
      <c r="CN59" s="52"/>
      <c r="CO59" s="52">
        <v>2588</v>
      </c>
      <c r="CP59" s="52"/>
      <c r="CQ59" s="52"/>
      <c r="CR59" s="52"/>
      <c r="CS59" s="52"/>
      <c r="CT59" s="52"/>
      <c r="CU59" s="52"/>
      <c r="CV59" s="52"/>
      <c r="CW59" s="52">
        <v>1550</v>
      </c>
      <c r="CX59" s="52">
        <v>1067</v>
      </c>
      <c r="CY59" s="52">
        <v>2869</v>
      </c>
      <c r="CZ59" s="52">
        <v>3503</v>
      </c>
      <c r="DA59" s="52"/>
      <c r="DB59" s="52">
        <v>4137</v>
      </c>
      <c r="DC59" s="52">
        <v>1176</v>
      </c>
      <c r="DD59" s="52"/>
      <c r="DE59" s="52">
        <v>234222</v>
      </c>
      <c r="DF59" s="52">
        <v>1176</v>
      </c>
      <c r="DG59" s="52">
        <v>235398</v>
      </c>
      <c r="DH59" s="52"/>
    </row>
    <row r="60" spans="1:112">
      <c r="A60" s="150" t="s">
        <v>411</v>
      </c>
      <c r="B60" s="44">
        <v>3118</v>
      </c>
      <c r="C60" s="44" t="s">
        <v>104</v>
      </c>
      <c r="D60" s="52">
        <v>39117</v>
      </c>
      <c r="E60" s="52">
        <v>295744</v>
      </c>
      <c r="F60" s="52">
        <v>35842</v>
      </c>
      <c r="G60" s="52"/>
      <c r="H60" s="56">
        <v>79630</v>
      </c>
      <c r="I60" s="56">
        <v>79630</v>
      </c>
      <c r="J60" s="56">
        <v>39597</v>
      </c>
      <c r="K60" s="56">
        <v>39815</v>
      </c>
      <c r="L60" s="52">
        <v>159259</v>
      </c>
      <c r="M60" s="52"/>
      <c r="N60" s="52"/>
      <c r="O60" s="52">
        <v>39815</v>
      </c>
      <c r="P60" s="52"/>
      <c r="Q60" s="52"/>
      <c r="R60" s="52"/>
      <c r="S60" s="52">
        <v>62622</v>
      </c>
      <c r="T60" s="52"/>
      <c r="U60" s="52">
        <v>287280</v>
      </c>
      <c r="V60" s="52"/>
      <c r="W60" s="52">
        <v>398148</v>
      </c>
      <c r="X60" s="52">
        <v>32557</v>
      </c>
      <c r="Y60" s="52">
        <v>361807</v>
      </c>
      <c r="Z60" s="52">
        <v>79630</v>
      </c>
      <c r="AA60" s="52">
        <v>79630</v>
      </c>
      <c r="AB60" s="52">
        <v>153694</v>
      </c>
      <c r="AC60" s="52"/>
      <c r="AD60" s="52">
        <v>25751</v>
      </c>
      <c r="AE60" s="52">
        <v>39535</v>
      </c>
      <c r="AF60" s="52"/>
      <c r="AG60" s="52">
        <v>111013</v>
      </c>
      <c r="AH60" s="52">
        <v>77231</v>
      </c>
      <c r="AI60" s="52"/>
      <c r="AJ60" s="52">
        <v>33996</v>
      </c>
      <c r="AK60" s="52">
        <v>39815</v>
      </c>
      <c r="AL60" s="52">
        <v>39815</v>
      </c>
      <c r="AM60" s="52"/>
      <c r="AN60" s="52">
        <v>238889</v>
      </c>
      <c r="AO60" s="52">
        <v>39815</v>
      </c>
      <c r="AP60" s="52"/>
      <c r="AQ60" s="52">
        <v>39815</v>
      </c>
      <c r="AR60" s="52"/>
      <c r="AS60" s="52">
        <v>259562</v>
      </c>
      <c r="AT60" s="52"/>
      <c r="AU60" s="52">
        <v>78169</v>
      </c>
      <c r="AV60" s="52"/>
      <c r="AW60" s="52">
        <v>39815</v>
      </c>
      <c r="AX60" s="52">
        <v>67701</v>
      </c>
      <c r="AY60" s="52">
        <v>796296</v>
      </c>
      <c r="AZ60" s="52">
        <v>119444</v>
      </c>
      <c r="BA60" s="52">
        <v>39815</v>
      </c>
      <c r="BB60" s="52">
        <v>39815</v>
      </c>
      <c r="BC60" s="52"/>
      <c r="BD60" s="52">
        <v>79630</v>
      </c>
      <c r="BE60" s="52">
        <v>27194</v>
      </c>
      <c r="BF60" s="52">
        <v>398148</v>
      </c>
      <c r="BG60" s="52">
        <v>39815</v>
      </c>
      <c r="BH60" s="52">
        <v>79630</v>
      </c>
      <c r="BI60" s="52">
        <v>159259</v>
      </c>
      <c r="BJ60" s="52">
        <v>119444</v>
      </c>
      <c r="BK60" s="52">
        <v>39815</v>
      </c>
      <c r="BL60" s="52"/>
      <c r="BM60" s="52">
        <v>278704</v>
      </c>
      <c r="BN60" s="52">
        <v>159259</v>
      </c>
      <c r="BO60" s="52"/>
      <c r="BP60" s="52">
        <v>33576</v>
      </c>
      <c r="BQ60" s="52">
        <v>154767</v>
      </c>
      <c r="BR60" s="52"/>
      <c r="BS60" s="52"/>
      <c r="BT60" s="52">
        <v>37113</v>
      </c>
      <c r="BU60" s="52">
        <v>39815</v>
      </c>
      <c r="BV60" s="52"/>
      <c r="BW60" s="52"/>
      <c r="BX60" s="52">
        <v>39815</v>
      </c>
      <c r="BY60" s="52">
        <v>39815</v>
      </c>
      <c r="BZ60" s="52">
        <v>159259</v>
      </c>
      <c r="CA60" s="52"/>
      <c r="CB60" s="52">
        <v>39101</v>
      </c>
      <c r="CC60" s="52">
        <v>104011</v>
      </c>
      <c r="CD60" s="52">
        <v>110744</v>
      </c>
      <c r="CE60" s="52"/>
      <c r="CF60" s="52">
        <v>199486</v>
      </c>
      <c r="CG60" s="52">
        <v>318518</v>
      </c>
      <c r="CH60" s="52">
        <v>207312</v>
      </c>
      <c r="CI60" s="52">
        <v>39815</v>
      </c>
      <c r="CJ60" s="52">
        <v>79630</v>
      </c>
      <c r="CK60" s="52">
        <v>34391</v>
      </c>
      <c r="CL60" s="52">
        <v>39815</v>
      </c>
      <c r="CM60" s="52">
        <v>39815</v>
      </c>
      <c r="CN60" s="52">
        <v>79630</v>
      </c>
      <c r="CO60" s="52">
        <v>119444</v>
      </c>
      <c r="CP60" s="52">
        <v>139883</v>
      </c>
      <c r="CQ60" s="52"/>
      <c r="CR60" s="52"/>
      <c r="CS60" s="52"/>
      <c r="CT60" s="52">
        <v>77387</v>
      </c>
      <c r="CU60" s="52">
        <v>119444</v>
      </c>
      <c r="CV60" s="52"/>
      <c r="CW60" s="52">
        <v>79630</v>
      </c>
      <c r="CX60" s="52">
        <v>159259</v>
      </c>
      <c r="CY60" s="52">
        <v>39815</v>
      </c>
      <c r="CZ60" s="52">
        <v>119444</v>
      </c>
      <c r="DA60" s="52">
        <v>159861</v>
      </c>
      <c r="DB60" s="52">
        <v>119444</v>
      </c>
      <c r="DC60" s="52">
        <v>119444</v>
      </c>
      <c r="DD60" s="52"/>
      <c r="DE60" s="52">
        <v>8701046</v>
      </c>
      <c r="DF60" s="52">
        <v>119444</v>
      </c>
      <c r="DG60" s="52">
        <v>8820490</v>
      </c>
      <c r="DH60" s="52"/>
    </row>
    <row r="61" spans="1:112">
      <c r="A61" s="150" t="s">
        <v>411</v>
      </c>
      <c r="B61" s="44">
        <v>3121</v>
      </c>
      <c r="C61" s="44" t="s">
        <v>106</v>
      </c>
      <c r="D61" s="52"/>
      <c r="E61" s="52"/>
      <c r="F61" s="52"/>
      <c r="G61" s="52"/>
      <c r="H61" s="56"/>
      <c r="I61" s="56"/>
      <c r="J61" s="56"/>
      <c r="K61" s="56"/>
      <c r="L61" s="52"/>
      <c r="M61" s="52"/>
      <c r="N61" s="52"/>
      <c r="O61" s="52"/>
      <c r="P61" s="52"/>
      <c r="Q61" s="52"/>
      <c r="R61" s="52">
        <v>4457</v>
      </c>
      <c r="S61" s="52"/>
      <c r="T61" s="52"/>
      <c r="U61" s="52"/>
      <c r="V61" s="52"/>
      <c r="W61" s="52"/>
      <c r="X61" s="52"/>
      <c r="Y61" s="52"/>
      <c r="Z61" s="52"/>
      <c r="AA61" s="52"/>
      <c r="AB61" s="52"/>
      <c r="AC61" s="52"/>
      <c r="AD61" s="52"/>
      <c r="AE61" s="52"/>
      <c r="AF61" s="52"/>
      <c r="AG61" s="52"/>
      <c r="AH61" s="52">
        <v>191095</v>
      </c>
      <c r="AI61" s="52"/>
      <c r="AJ61" s="52"/>
      <c r="AK61" s="52">
        <v>9580</v>
      </c>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v>22616</v>
      </c>
      <c r="CP61" s="52"/>
      <c r="CQ61" s="52"/>
      <c r="CR61" s="52"/>
      <c r="CS61" s="52"/>
      <c r="CT61" s="52"/>
      <c r="CU61" s="52"/>
      <c r="CV61" s="52"/>
      <c r="CW61" s="52"/>
      <c r="CX61" s="52"/>
      <c r="CY61" s="52"/>
      <c r="CZ61" s="52"/>
      <c r="DA61" s="52"/>
      <c r="DB61" s="52"/>
      <c r="DC61" s="52"/>
      <c r="DD61" s="52"/>
      <c r="DE61" s="52">
        <v>227748</v>
      </c>
      <c r="DF61" s="52"/>
      <c r="DG61" s="52">
        <v>227748</v>
      </c>
      <c r="DH61" s="52"/>
    </row>
    <row r="62" spans="1:112">
      <c r="A62" s="150" t="s">
        <v>411</v>
      </c>
      <c r="B62" s="44">
        <v>3122</v>
      </c>
      <c r="C62" s="44" t="s">
        <v>107</v>
      </c>
      <c r="D62" s="52"/>
      <c r="E62" s="52"/>
      <c r="F62" s="52"/>
      <c r="G62" s="52"/>
      <c r="H62" s="56"/>
      <c r="I62" s="56"/>
      <c r="J62" s="56"/>
      <c r="K62" s="56"/>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v>523508</v>
      </c>
      <c r="CI62" s="52"/>
      <c r="CJ62" s="52"/>
      <c r="CK62" s="52"/>
      <c r="CL62" s="52"/>
      <c r="CM62" s="52"/>
      <c r="CN62" s="52"/>
      <c r="CO62" s="52"/>
      <c r="CP62" s="52">
        <v>2301</v>
      </c>
      <c r="CQ62" s="52"/>
      <c r="CR62" s="52"/>
      <c r="CS62" s="52"/>
      <c r="CT62" s="52"/>
      <c r="CU62" s="52"/>
      <c r="CV62" s="52"/>
      <c r="CW62" s="52"/>
      <c r="CX62" s="52"/>
      <c r="CY62" s="52"/>
      <c r="CZ62" s="52"/>
      <c r="DA62" s="52"/>
      <c r="DB62" s="52"/>
      <c r="DC62" s="52"/>
      <c r="DD62" s="52"/>
      <c r="DE62" s="52">
        <v>525809</v>
      </c>
      <c r="DF62" s="52"/>
      <c r="DG62" s="52">
        <v>525809</v>
      </c>
      <c r="DH62" s="52"/>
    </row>
    <row r="63" spans="1:112">
      <c r="A63" s="150" t="s">
        <v>411</v>
      </c>
      <c r="B63" s="44">
        <v>3123</v>
      </c>
      <c r="C63" s="44" t="s">
        <v>108</v>
      </c>
      <c r="D63" s="52"/>
      <c r="E63" s="52"/>
      <c r="F63" s="52"/>
      <c r="G63" s="52"/>
      <c r="H63" s="56"/>
      <c r="I63" s="56"/>
      <c r="J63" s="56"/>
      <c r="K63" s="56"/>
      <c r="L63" s="52"/>
      <c r="M63" s="52">
        <v>100000</v>
      </c>
      <c r="N63" s="52"/>
      <c r="O63" s="52"/>
      <c r="P63" s="52"/>
      <c r="Q63" s="52"/>
      <c r="R63" s="52"/>
      <c r="S63" s="52"/>
      <c r="T63" s="52"/>
      <c r="U63" s="52"/>
      <c r="V63" s="52"/>
      <c r="W63" s="52"/>
      <c r="X63" s="52"/>
      <c r="Y63" s="52"/>
      <c r="Z63" s="52"/>
      <c r="AA63" s="52"/>
      <c r="AB63" s="52"/>
      <c r="AC63" s="52"/>
      <c r="AD63" s="52"/>
      <c r="AE63" s="52"/>
      <c r="AF63" s="52"/>
      <c r="AG63" s="52"/>
      <c r="AH63" s="52"/>
      <c r="AI63" s="52"/>
      <c r="AJ63" s="52"/>
      <c r="AK63" s="52">
        <v>25781</v>
      </c>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v>73827</v>
      </c>
      <c r="CQ63" s="52"/>
      <c r="CR63" s="52"/>
      <c r="CS63" s="52"/>
      <c r="CT63" s="52"/>
      <c r="CU63" s="52"/>
      <c r="CV63" s="52"/>
      <c r="CW63" s="52"/>
      <c r="CX63" s="52"/>
      <c r="CY63" s="52"/>
      <c r="CZ63" s="52"/>
      <c r="DA63" s="52"/>
      <c r="DB63" s="52"/>
      <c r="DC63" s="52"/>
      <c r="DD63" s="52"/>
      <c r="DE63" s="52">
        <v>199608</v>
      </c>
      <c r="DF63" s="52"/>
      <c r="DG63" s="52">
        <v>199608</v>
      </c>
      <c r="DH63" s="52"/>
    </row>
    <row r="64" spans="1:112">
      <c r="A64" s="150" t="s">
        <v>411</v>
      </c>
      <c r="B64" s="44">
        <v>3124</v>
      </c>
      <c r="C64" s="44" t="s">
        <v>109</v>
      </c>
      <c r="D64" s="52"/>
      <c r="E64" s="52"/>
      <c r="F64" s="52"/>
      <c r="G64" s="52"/>
      <c r="H64" s="56"/>
      <c r="I64" s="56"/>
      <c r="J64" s="56"/>
      <c r="K64" s="56"/>
      <c r="L64" s="52"/>
      <c r="M64" s="52"/>
      <c r="N64" s="52"/>
      <c r="O64" s="52"/>
      <c r="P64" s="52"/>
      <c r="Q64" s="52"/>
      <c r="R64" s="52"/>
      <c r="S64" s="52"/>
      <c r="T64" s="52"/>
      <c r="U64" s="52"/>
      <c r="V64" s="52"/>
      <c r="W64" s="52"/>
      <c r="X64" s="52">
        <v>226</v>
      </c>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v>226</v>
      </c>
      <c r="DF64" s="52"/>
      <c r="DG64" s="52">
        <v>226</v>
      </c>
      <c r="DH64" s="52"/>
    </row>
    <row r="65" spans="1:112">
      <c r="A65" s="150" t="s">
        <v>411</v>
      </c>
      <c r="B65" s="44">
        <v>3125</v>
      </c>
      <c r="C65" s="44" t="s">
        <v>110</v>
      </c>
      <c r="D65" s="52"/>
      <c r="E65" s="52">
        <v>244281</v>
      </c>
      <c r="F65" s="52">
        <v>6149</v>
      </c>
      <c r="G65" s="52"/>
      <c r="H65" s="56">
        <v>93599</v>
      </c>
      <c r="I65" s="56"/>
      <c r="J65" s="56">
        <v>39507</v>
      </c>
      <c r="K65" s="56">
        <v>32362</v>
      </c>
      <c r="L65" s="52">
        <v>120924</v>
      </c>
      <c r="M65" s="52"/>
      <c r="N65" s="52">
        <v>62667</v>
      </c>
      <c r="O65" s="52">
        <v>36514</v>
      </c>
      <c r="P65" s="52">
        <v>10573</v>
      </c>
      <c r="Q65" s="52">
        <v>29412</v>
      </c>
      <c r="R65" s="52">
        <v>24584</v>
      </c>
      <c r="S65" s="52">
        <v>19336</v>
      </c>
      <c r="T65" s="52">
        <v>39202</v>
      </c>
      <c r="U65" s="52"/>
      <c r="V65" s="52"/>
      <c r="W65" s="52">
        <v>332932</v>
      </c>
      <c r="X65" s="52">
        <v>37866</v>
      </c>
      <c r="Y65" s="52">
        <v>374106</v>
      </c>
      <c r="Z65" s="52">
        <v>81121</v>
      </c>
      <c r="AA65" s="52">
        <v>72691</v>
      </c>
      <c r="AB65" s="52">
        <v>105199</v>
      </c>
      <c r="AC65" s="52"/>
      <c r="AD65" s="52">
        <v>20976</v>
      </c>
      <c r="AE65" s="52">
        <v>24022</v>
      </c>
      <c r="AF65" s="52"/>
      <c r="AG65" s="52">
        <v>86042</v>
      </c>
      <c r="AH65" s="52">
        <v>101159</v>
      </c>
      <c r="AI65" s="52"/>
      <c r="AJ65" s="52">
        <v>5699</v>
      </c>
      <c r="AK65" s="52">
        <v>36749</v>
      </c>
      <c r="AL65" s="52">
        <v>30698</v>
      </c>
      <c r="AM65" s="52">
        <v>38327</v>
      </c>
      <c r="AN65" s="52">
        <v>162886</v>
      </c>
      <c r="AO65" s="52">
        <v>33412</v>
      </c>
      <c r="AP65" s="52">
        <v>45791</v>
      </c>
      <c r="AQ65" s="52">
        <v>46288</v>
      </c>
      <c r="AR65" s="52">
        <v>71845</v>
      </c>
      <c r="AS65" s="52">
        <v>164296</v>
      </c>
      <c r="AT65" s="52">
        <v>31527</v>
      </c>
      <c r="AU65" s="52">
        <v>46490</v>
      </c>
      <c r="AV65" s="52">
        <v>38170</v>
      </c>
      <c r="AW65" s="52"/>
      <c r="AX65" s="52">
        <v>109889</v>
      </c>
      <c r="AY65" s="52"/>
      <c r="AZ65" s="52"/>
      <c r="BA65" s="52">
        <v>33269</v>
      </c>
      <c r="BB65" s="52">
        <v>22885</v>
      </c>
      <c r="BC65" s="52">
        <v>234989</v>
      </c>
      <c r="BD65" s="52">
        <v>47124</v>
      </c>
      <c r="BE65" s="52">
        <v>63678</v>
      </c>
      <c r="BF65" s="52">
        <v>284940</v>
      </c>
      <c r="BG65" s="52">
        <v>42183</v>
      </c>
      <c r="BH65" s="52">
        <v>78388</v>
      </c>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v>16131</v>
      </c>
      <c r="CM65" s="52"/>
      <c r="CN65" s="52"/>
      <c r="CO65" s="52"/>
      <c r="CP65" s="52"/>
      <c r="CQ65" s="52"/>
      <c r="CR65" s="52"/>
      <c r="CS65" s="52"/>
      <c r="CT65" s="52"/>
      <c r="CU65" s="52"/>
      <c r="CV65" s="52"/>
      <c r="CW65" s="52"/>
      <c r="CX65" s="52"/>
      <c r="CY65" s="52"/>
      <c r="CZ65" s="52"/>
      <c r="DA65" s="52"/>
      <c r="DB65" s="52"/>
      <c r="DC65" s="52"/>
      <c r="DD65" s="52"/>
      <c r="DE65" s="52">
        <v>3680878</v>
      </c>
      <c r="DF65" s="52"/>
      <c r="DG65" s="52">
        <v>3680878</v>
      </c>
      <c r="DH65" s="52"/>
    </row>
    <row r="66" spans="1:112">
      <c r="A66" s="150" t="s">
        <v>411</v>
      </c>
      <c r="B66" s="44">
        <v>3126</v>
      </c>
      <c r="C66" s="44" t="s">
        <v>111</v>
      </c>
      <c r="D66" s="52">
        <v>12754</v>
      </c>
      <c r="E66" s="52">
        <v>9472</v>
      </c>
      <c r="F66" s="52"/>
      <c r="G66" s="52"/>
      <c r="H66" s="56">
        <v>35500</v>
      </c>
      <c r="I66" s="56">
        <v>17116</v>
      </c>
      <c r="J66" s="56">
        <v>12374</v>
      </c>
      <c r="K66" s="56">
        <v>12799</v>
      </c>
      <c r="L66" s="52">
        <v>56087</v>
      </c>
      <c r="M66" s="52"/>
      <c r="N66" s="52"/>
      <c r="O66" s="52">
        <v>6985</v>
      </c>
      <c r="P66" s="52"/>
      <c r="Q66" s="52"/>
      <c r="R66" s="52">
        <v>2511</v>
      </c>
      <c r="S66" s="52">
        <v>11782</v>
      </c>
      <c r="T66" s="52"/>
      <c r="U66" s="52">
        <v>65272</v>
      </c>
      <c r="V66" s="52"/>
      <c r="W66" s="52">
        <v>118313</v>
      </c>
      <c r="X66" s="52">
        <v>6494</v>
      </c>
      <c r="Y66" s="52">
        <v>136305</v>
      </c>
      <c r="Z66" s="52">
        <v>37020</v>
      </c>
      <c r="AA66" s="52">
        <v>27326</v>
      </c>
      <c r="AB66" s="52">
        <v>24507</v>
      </c>
      <c r="AC66" s="52">
        <v>4506</v>
      </c>
      <c r="AD66" s="52">
        <v>7041</v>
      </c>
      <c r="AE66" s="52">
        <v>4980</v>
      </c>
      <c r="AF66" s="52"/>
      <c r="AG66" s="52">
        <v>28066</v>
      </c>
      <c r="AH66" s="52">
        <v>31188</v>
      </c>
      <c r="AI66" s="52"/>
      <c r="AJ66" s="52">
        <v>3720</v>
      </c>
      <c r="AK66" s="52">
        <v>6147</v>
      </c>
      <c r="AL66" s="52"/>
      <c r="AM66" s="52"/>
      <c r="AN66" s="52">
        <v>9772</v>
      </c>
      <c r="AO66" s="52">
        <v>10084</v>
      </c>
      <c r="AP66" s="52"/>
      <c r="AQ66" s="52">
        <v>18900</v>
      </c>
      <c r="AR66" s="52"/>
      <c r="AS66" s="52">
        <v>68135</v>
      </c>
      <c r="AT66" s="52">
        <v>5440</v>
      </c>
      <c r="AU66" s="52">
        <v>17555</v>
      </c>
      <c r="AV66" s="52">
        <v>4552</v>
      </c>
      <c r="AW66" s="52">
        <v>8077</v>
      </c>
      <c r="AX66" s="52">
        <v>23212</v>
      </c>
      <c r="AY66" s="52">
        <v>301844</v>
      </c>
      <c r="AZ66" s="52">
        <v>20935</v>
      </c>
      <c r="BA66" s="52">
        <v>5416</v>
      </c>
      <c r="BB66" s="52">
        <v>7529</v>
      </c>
      <c r="BC66" s="52"/>
      <c r="BD66" s="52">
        <v>20757</v>
      </c>
      <c r="BE66" s="52"/>
      <c r="BF66" s="52">
        <v>155897</v>
      </c>
      <c r="BG66" s="52"/>
      <c r="BH66" s="52">
        <v>47166</v>
      </c>
      <c r="BI66" s="52">
        <v>50631</v>
      </c>
      <c r="BJ66" s="52">
        <v>16764</v>
      </c>
      <c r="BK66" s="52"/>
      <c r="BL66" s="52">
        <v>11286</v>
      </c>
      <c r="BM66" s="52">
        <v>90099</v>
      </c>
      <c r="BN66" s="52">
        <v>30908</v>
      </c>
      <c r="BO66" s="52">
        <v>9666</v>
      </c>
      <c r="BP66" s="52">
        <v>18554</v>
      </c>
      <c r="BQ66" s="52">
        <v>69629</v>
      </c>
      <c r="BR66" s="52"/>
      <c r="BS66" s="52"/>
      <c r="BT66" s="52">
        <v>11765</v>
      </c>
      <c r="BU66" s="52">
        <v>8735</v>
      </c>
      <c r="BV66" s="52">
        <v>3777</v>
      </c>
      <c r="BW66" s="52"/>
      <c r="BX66" s="52">
        <v>22750</v>
      </c>
      <c r="BY66" s="52">
        <v>32098</v>
      </c>
      <c r="BZ66" s="52">
        <v>49064</v>
      </c>
      <c r="CA66" s="52"/>
      <c r="CB66" s="52"/>
      <c r="CC66" s="52">
        <v>18786</v>
      </c>
      <c r="CD66" s="52">
        <v>31189</v>
      </c>
      <c r="CE66" s="52"/>
      <c r="CF66" s="52">
        <v>75881</v>
      </c>
      <c r="CG66" s="52">
        <v>177501</v>
      </c>
      <c r="CH66" s="52">
        <v>96569</v>
      </c>
      <c r="CI66" s="52">
        <v>10169</v>
      </c>
      <c r="CJ66" s="52">
        <v>21229</v>
      </c>
      <c r="CK66" s="52">
        <v>30844</v>
      </c>
      <c r="CL66" s="52">
        <v>14155</v>
      </c>
      <c r="CM66" s="52">
        <v>11697</v>
      </c>
      <c r="CN66" s="52">
        <v>30813</v>
      </c>
      <c r="CO66" s="52">
        <v>43448</v>
      </c>
      <c r="CP66" s="52">
        <v>35848</v>
      </c>
      <c r="CQ66" s="52"/>
      <c r="CR66" s="52"/>
      <c r="CS66" s="52"/>
      <c r="CT66" s="52">
        <v>40824</v>
      </c>
      <c r="CU66" s="52">
        <v>35691</v>
      </c>
      <c r="CV66" s="52"/>
      <c r="CW66" s="52">
        <v>21889</v>
      </c>
      <c r="CX66" s="52">
        <v>10322</v>
      </c>
      <c r="CY66" s="52">
        <v>22264</v>
      </c>
      <c r="CZ66" s="52">
        <v>24808</v>
      </c>
      <c r="DA66" s="52">
        <v>74494</v>
      </c>
      <c r="DB66" s="52">
        <v>33167</v>
      </c>
      <c r="DC66" s="52"/>
      <c r="DD66" s="52"/>
      <c r="DE66" s="52">
        <v>2690850</v>
      </c>
      <c r="DF66" s="52"/>
      <c r="DG66" s="52">
        <v>2690850</v>
      </c>
      <c r="DH66" s="52"/>
    </row>
    <row r="67" spans="1:112">
      <c r="A67" s="150" t="s">
        <v>411</v>
      </c>
      <c r="B67" s="44">
        <v>3127</v>
      </c>
      <c r="C67" s="44" t="s">
        <v>112</v>
      </c>
      <c r="D67" s="52"/>
      <c r="E67" s="52">
        <v>37422</v>
      </c>
      <c r="F67" s="52"/>
      <c r="G67" s="52"/>
      <c r="H67" s="56">
        <v>37532</v>
      </c>
      <c r="I67" s="56">
        <v>17687</v>
      </c>
      <c r="J67" s="56"/>
      <c r="K67" s="56">
        <v>12851</v>
      </c>
      <c r="L67" s="52">
        <v>35619</v>
      </c>
      <c r="M67" s="52"/>
      <c r="N67" s="52"/>
      <c r="O67" s="52">
        <v>6814</v>
      </c>
      <c r="P67" s="52"/>
      <c r="Q67" s="52">
        <v>3894</v>
      </c>
      <c r="R67" s="52"/>
      <c r="S67" s="52">
        <v>11792</v>
      </c>
      <c r="T67" s="52"/>
      <c r="U67" s="52">
        <v>8535</v>
      </c>
      <c r="V67" s="52"/>
      <c r="W67" s="52">
        <v>119566</v>
      </c>
      <c r="X67" s="52">
        <v>8125</v>
      </c>
      <c r="Y67" s="52">
        <v>190363</v>
      </c>
      <c r="Z67" s="52">
        <v>41018</v>
      </c>
      <c r="AA67" s="52">
        <v>26980</v>
      </c>
      <c r="AB67" s="52">
        <v>35216</v>
      </c>
      <c r="AC67" s="52">
        <v>678</v>
      </c>
      <c r="AD67" s="52"/>
      <c r="AE67" s="52">
        <v>5565</v>
      </c>
      <c r="AF67" s="52"/>
      <c r="AG67" s="52"/>
      <c r="AH67" s="52">
        <v>5392</v>
      </c>
      <c r="AI67" s="52"/>
      <c r="AJ67" s="52">
        <v>3391</v>
      </c>
      <c r="AK67" s="52">
        <v>17320</v>
      </c>
      <c r="AL67" s="52">
        <v>7090</v>
      </c>
      <c r="AM67" s="52"/>
      <c r="AN67" s="52">
        <v>56314</v>
      </c>
      <c r="AO67" s="52">
        <v>1324</v>
      </c>
      <c r="AP67" s="52"/>
      <c r="AQ67" s="52">
        <v>18334</v>
      </c>
      <c r="AR67" s="52"/>
      <c r="AS67" s="52">
        <v>61327</v>
      </c>
      <c r="AT67" s="52">
        <v>5285</v>
      </c>
      <c r="AU67" s="52"/>
      <c r="AV67" s="52">
        <v>245</v>
      </c>
      <c r="AW67" s="52">
        <v>6633</v>
      </c>
      <c r="AX67" s="52">
        <v>44574</v>
      </c>
      <c r="AY67" s="52">
        <v>284016</v>
      </c>
      <c r="AZ67" s="52">
        <v>42142</v>
      </c>
      <c r="BA67" s="52">
        <v>5215</v>
      </c>
      <c r="BB67" s="52"/>
      <c r="BC67" s="52"/>
      <c r="BD67" s="52">
        <v>12385</v>
      </c>
      <c r="BE67" s="52">
        <v>5939</v>
      </c>
      <c r="BF67" s="52">
        <v>861</v>
      </c>
      <c r="BG67" s="52">
        <v>14439</v>
      </c>
      <c r="BH67" s="52">
        <v>45682</v>
      </c>
      <c r="BI67" s="52">
        <v>43560</v>
      </c>
      <c r="BJ67" s="52">
        <v>13893</v>
      </c>
      <c r="BK67" s="52">
        <v>13862</v>
      </c>
      <c r="BL67" s="52">
        <v>12204</v>
      </c>
      <c r="BM67" s="52">
        <v>28555</v>
      </c>
      <c r="BN67" s="52">
        <v>39521</v>
      </c>
      <c r="BO67" s="52">
        <v>9552</v>
      </c>
      <c r="BP67" s="52">
        <v>15241</v>
      </c>
      <c r="BQ67" s="52">
        <v>1231</v>
      </c>
      <c r="BR67" s="52">
        <v>2520</v>
      </c>
      <c r="BS67" s="52"/>
      <c r="BT67" s="52">
        <v>13536</v>
      </c>
      <c r="BU67" s="52">
        <v>9164</v>
      </c>
      <c r="BV67" s="52">
        <v>3660</v>
      </c>
      <c r="BW67" s="52"/>
      <c r="BX67" s="52">
        <v>22143</v>
      </c>
      <c r="BY67" s="52">
        <v>26663</v>
      </c>
      <c r="BZ67" s="52">
        <v>47210</v>
      </c>
      <c r="CA67" s="52"/>
      <c r="CB67" s="52">
        <v>14188</v>
      </c>
      <c r="CC67" s="52">
        <v>18418</v>
      </c>
      <c r="CD67" s="52">
        <v>31681</v>
      </c>
      <c r="CE67" s="52"/>
      <c r="CF67" s="52">
        <v>74139</v>
      </c>
      <c r="CG67" s="52">
        <v>62100</v>
      </c>
      <c r="CH67" s="52">
        <v>29620</v>
      </c>
      <c r="CI67" s="52">
        <v>10121</v>
      </c>
      <c r="CJ67" s="52">
        <v>21045</v>
      </c>
      <c r="CK67" s="52">
        <v>9338</v>
      </c>
      <c r="CL67" s="52">
        <v>13663</v>
      </c>
      <c r="CM67" s="52">
        <v>13436</v>
      </c>
      <c r="CN67" s="52">
        <v>29152</v>
      </c>
      <c r="CO67" s="52">
        <v>41537</v>
      </c>
      <c r="CP67" s="52">
        <v>33881</v>
      </c>
      <c r="CQ67" s="52"/>
      <c r="CR67" s="52"/>
      <c r="CS67" s="52"/>
      <c r="CT67" s="52">
        <v>36711</v>
      </c>
      <c r="CU67" s="52">
        <v>32253</v>
      </c>
      <c r="CV67" s="52"/>
      <c r="CW67" s="52">
        <v>22145</v>
      </c>
      <c r="CX67" s="52">
        <v>22427</v>
      </c>
      <c r="CY67" s="52">
        <v>22740</v>
      </c>
      <c r="CZ67" s="52">
        <v>22555</v>
      </c>
      <c r="DA67" s="52">
        <v>69844</v>
      </c>
      <c r="DB67" s="52">
        <v>29823</v>
      </c>
      <c r="DC67" s="52"/>
      <c r="DD67" s="52"/>
      <c r="DE67" s="52">
        <v>2200897</v>
      </c>
      <c r="DF67" s="52"/>
      <c r="DG67" s="52">
        <v>2200897</v>
      </c>
      <c r="DH67" s="52"/>
    </row>
    <row r="68" spans="1:112">
      <c r="A68" s="150" t="s">
        <v>411</v>
      </c>
      <c r="B68" s="44">
        <v>3128</v>
      </c>
      <c r="C68" s="44" t="s">
        <v>104</v>
      </c>
      <c r="D68" s="52">
        <v>7201</v>
      </c>
      <c r="E68" s="52"/>
      <c r="F68" s="52"/>
      <c r="G68" s="52"/>
      <c r="H68" s="56">
        <v>3233</v>
      </c>
      <c r="I68" s="56"/>
      <c r="J68" s="56"/>
      <c r="K68" s="56"/>
      <c r="L68" s="52"/>
      <c r="M68" s="52"/>
      <c r="N68" s="52"/>
      <c r="O68" s="52"/>
      <c r="P68" s="52"/>
      <c r="Q68" s="52"/>
      <c r="R68" s="52"/>
      <c r="S68" s="52"/>
      <c r="T68" s="52"/>
      <c r="U68" s="52"/>
      <c r="V68" s="52"/>
      <c r="W68" s="52">
        <v>109208</v>
      </c>
      <c r="X68" s="52">
        <v>2900</v>
      </c>
      <c r="Y68" s="52">
        <v>49346</v>
      </c>
      <c r="Z68" s="52"/>
      <c r="AA68" s="52">
        <v>7109</v>
      </c>
      <c r="AB68" s="52"/>
      <c r="AC68" s="52">
        <v>12000</v>
      </c>
      <c r="AD68" s="52"/>
      <c r="AE68" s="52"/>
      <c r="AF68" s="52"/>
      <c r="AG68" s="52"/>
      <c r="AH68" s="52"/>
      <c r="AI68" s="52"/>
      <c r="AJ68" s="52"/>
      <c r="AK68" s="52"/>
      <c r="AL68" s="52"/>
      <c r="AM68" s="52"/>
      <c r="AN68" s="52"/>
      <c r="AO68" s="52"/>
      <c r="AP68" s="52"/>
      <c r="AQ68" s="52"/>
      <c r="AR68" s="52"/>
      <c r="AS68" s="52">
        <v>29843</v>
      </c>
      <c r="AT68" s="52"/>
      <c r="AU68" s="52"/>
      <c r="AV68" s="52"/>
      <c r="AW68" s="52"/>
      <c r="AX68" s="52"/>
      <c r="AY68" s="52">
        <v>7000</v>
      </c>
      <c r="AZ68" s="52"/>
      <c r="BA68" s="52"/>
      <c r="BB68" s="52"/>
      <c r="BC68" s="52"/>
      <c r="BD68" s="52"/>
      <c r="BE68" s="52"/>
      <c r="BF68" s="52">
        <v>4512</v>
      </c>
      <c r="BG68" s="52"/>
      <c r="BH68" s="52"/>
      <c r="BI68" s="52">
        <v>7827</v>
      </c>
      <c r="BJ68" s="52"/>
      <c r="BK68" s="52">
        <v>887</v>
      </c>
      <c r="BL68" s="52"/>
      <c r="BM68" s="52">
        <v>22396</v>
      </c>
      <c r="BN68" s="52"/>
      <c r="BO68" s="52"/>
      <c r="BP68" s="52"/>
      <c r="BQ68" s="52"/>
      <c r="BR68" s="52"/>
      <c r="BS68" s="52"/>
      <c r="BT68" s="52"/>
      <c r="BU68" s="52"/>
      <c r="BV68" s="52"/>
      <c r="BW68" s="52"/>
      <c r="BX68" s="52"/>
      <c r="BY68" s="52">
        <v>7938</v>
      </c>
      <c r="BZ68" s="52">
        <v>34909</v>
      </c>
      <c r="CA68" s="52"/>
      <c r="CB68" s="52">
        <v>10214</v>
      </c>
      <c r="CC68" s="52"/>
      <c r="CD68" s="52"/>
      <c r="CE68" s="52"/>
      <c r="CF68" s="52">
        <v>2390</v>
      </c>
      <c r="CG68" s="52">
        <v>21201</v>
      </c>
      <c r="CH68" s="52"/>
      <c r="CI68" s="52"/>
      <c r="CJ68" s="52"/>
      <c r="CK68" s="52"/>
      <c r="CL68" s="52">
        <v>15800</v>
      </c>
      <c r="CM68" s="52"/>
      <c r="CN68" s="52"/>
      <c r="CO68" s="52"/>
      <c r="CP68" s="52"/>
      <c r="CQ68" s="52"/>
      <c r="CR68" s="52"/>
      <c r="CS68" s="52"/>
      <c r="CT68" s="52"/>
      <c r="CU68" s="52">
        <v>14789</v>
      </c>
      <c r="CV68" s="52"/>
      <c r="CW68" s="52"/>
      <c r="CX68" s="52">
        <v>26208</v>
      </c>
      <c r="CY68" s="52">
        <v>1798</v>
      </c>
      <c r="CZ68" s="52">
        <v>3087</v>
      </c>
      <c r="DA68" s="52">
        <v>6099</v>
      </c>
      <c r="DB68" s="52">
        <v>27800</v>
      </c>
      <c r="DC68" s="52"/>
      <c r="DD68" s="52"/>
      <c r="DE68" s="52">
        <v>435695</v>
      </c>
      <c r="DF68" s="52"/>
      <c r="DG68" s="52">
        <v>435695</v>
      </c>
      <c r="DH68" s="52"/>
    </row>
    <row r="69" spans="1:112">
      <c r="A69" s="150" t="s">
        <v>411</v>
      </c>
      <c r="B69" s="44">
        <v>3129</v>
      </c>
      <c r="C69" s="44" t="s">
        <v>113</v>
      </c>
      <c r="D69" s="52"/>
      <c r="E69" s="52"/>
      <c r="F69" s="52"/>
      <c r="G69" s="52"/>
      <c r="H69" s="56"/>
      <c r="I69" s="56"/>
      <c r="J69" s="56"/>
      <c r="K69" s="56"/>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row>
    <row r="70" spans="1:112">
      <c r="A70" s="150" t="s">
        <v>411</v>
      </c>
      <c r="B70" s="44">
        <v>3131</v>
      </c>
      <c r="C70" s="44" t="s">
        <v>115</v>
      </c>
      <c r="D70" s="52">
        <v>764</v>
      </c>
      <c r="E70" s="52">
        <v>9534</v>
      </c>
      <c r="F70" s="52">
        <v>764</v>
      </c>
      <c r="G70" s="52"/>
      <c r="H70" s="56">
        <v>859</v>
      </c>
      <c r="I70" s="56">
        <v>5980</v>
      </c>
      <c r="J70" s="56">
        <v>859</v>
      </c>
      <c r="K70" s="56">
        <v>859</v>
      </c>
      <c r="L70" s="52">
        <v>5183</v>
      </c>
      <c r="M70" s="52"/>
      <c r="N70" s="52"/>
      <c r="O70" s="52">
        <v>764</v>
      </c>
      <c r="P70" s="52">
        <v>764</v>
      </c>
      <c r="Q70" s="52">
        <v>4146</v>
      </c>
      <c r="R70" s="52">
        <v>764</v>
      </c>
      <c r="S70" s="52">
        <v>764</v>
      </c>
      <c r="T70" s="52"/>
      <c r="U70" s="52">
        <v>3437</v>
      </c>
      <c r="V70" s="52"/>
      <c r="W70" s="52">
        <v>10378</v>
      </c>
      <c r="X70" s="52">
        <v>21019</v>
      </c>
      <c r="Y70" s="52">
        <v>22083</v>
      </c>
      <c r="Z70" s="52">
        <v>1719</v>
      </c>
      <c r="AA70" s="52">
        <v>18326</v>
      </c>
      <c r="AB70" s="52">
        <v>15108</v>
      </c>
      <c r="AC70" s="52">
        <v>764</v>
      </c>
      <c r="AD70" s="52">
        <v>764</v>
      </c>
      <c r="AE70" s="52">
        <v>764</v>
      </c>
      <c r="AF70" s="52"/>
      <c r="AG70" s="52">
        <v>1719</v>
      </c>
      <c r="AH70" s="52">
        <v>4496</v>
      </c>
      <c r="AI70" s="52"/>
      <c r="AJ70" s="52">
        <v>764</v>
      </c>
      <c r="AK70" s="52">
        <v>4847</v>
      </c>
      <c r="AL70" s="52">
        <v>764</v>
      </c>
      <c r="AM70" s="52"/>
      <c r="AN70" s="52">
        <v>12606</v>
      </c>
      <c r="AO70" s="52">
        <v>7633</v>
      </c>
      <c r="AP70" s="52"/>
      <c r="AQ70" s="52">
        <v>764</v>
      </c>
      <c r="AR70" s="52">
        <v>5525</v>
      </c>
      <c r="AS70" s="52">
        <v>4498</v>
      </c>
      <c r="AT70" s="52">
        <v>764</v>
      </c>
      <c r="AU70" s="52">
        <v>3099</v>
      </c>
      <c r="AV70" s="52">
        <v>764</v>
      </c>
      <c r="AW70" s="52">
        <v>764</v>
      </c>
      <c r="AX70" s="52">
        <v>3899</v>
      </c>
      <c r="AY70" s="52">
        <v>160603</v>
      </c>
      <c r="AZ70" s="52">
        <v>3280</v>
      </c>
      <c r="BA70" s="52">
        <v>5274</v>
      </c>
      <c r="BB70" s="52">
        <v>764</v>
      </c>
      <c r="BC70" s="52"/>
      <c r="BD70" s="52">
        <v>5249</v>
      </c>
      <c r="BE70" s="52">
        <v>5070</v>
      </c>
      <c r="BF70" s="52">
        <v>10232</v>
      </c>
      <c r="BG70" s="52">
        <v>3970</v>
      </c>
      <c r="BH70" s="52">
        <v>15496</v>
      </c>
      <c r="BI70" s="52">
        <v>11339</v>
      </c>
      <c r="BJ70" s="52">
        <v>29362</v>
      </c>
      <c r="BK70" s="52">
        <v>764</v>
      </c>
      <c r="BL70" s="52">
        <v>859</v>
      </c>
      <c r="BM70" s="52">
        <v>98145</v>
      </c>
      <c r="BN70" s="52">
        <v>5257</v>
      </c>
      <c r="BO70" s="52">
        <v>764</v>
      </c>
      <c r="BP70" s="52">
        <v>10952</v>
      </c>
      <c r="BQ70" s="52">
        <v>2578</v>
      </c>
      <c r="BR70" s="52">
        <v>764</v>
      </c>
      <c r="BS70" s="52"/>
      <c r="BT70" s="52">
        <v>764</v>
      </c>
      <c r="BU70" s="52"/>
      <c r="BV70" s="52">
        <v>764</v>
      </c>
      <c r="BW70" s="52"/>
      <c r="BX70" s="52">
        <v>859</v>
      </c>
      <c r="BY70" s="52">
        <v>859</v>
      </c>
      <c r="BZ70" s="52">
        <v>2731</v>
      </c>
      <c r="CA70" s="52"/>
      <c r="CB70" s="52">
        <v>764</v>
      </c>
      <c r="CC70" s="52">
        <v>859</v>
      </c>
      <c r="CD70" s="52">
        <v>2578</v>
      </c>
      <c r="CE70" s="52"/>
      <c r="CF70" s="52">
        <v>26157</v>
      </c>
      <c r="CG70" s="52">
        <v>7734</v>
      </c>
      <c r="CH70" s="52">
        <v>44131</v>
      </c>
      <c r="CI70" s="52">
        <v>765</v>
      </c>
      <c r="CJ70" s="52">
        <v>859</v>
      </c>
      <c r="CK70" s="52">
        <v>1617</v>
      </c>
      <c r="CL70" s="52">
        <v>18575</v>
      </c>
      <c r="CM70" s="52">
        <v>764</v>
      </c>
      <c r="CN70" s="52">
        <v>764</v>
      </c>
      <c r="CO70" s="52">
        <v>8874</v>
      </c>
      <c r="CP70" s="52">
        <v>5156</v>
      </c>
      <c r="CQ70" s="52"/>
      <c r="CR70" s="52"/>
      <c r="CS70" s="52"/>
      <c r="CT70" s="52">
        <v>26473</v>
      </c>
      <c r="CU70" s="52">
        <v>1719</v>
      </c>
      <c r="CV70" s="52"/>
      <c r="CW70" s="52">
        <v>23967</v>
      </c>
      <c r="CX70" s="52">
        <v>5329</v>
      </c>
      <c r="CY70" s="52">
        <v>8962</v>
      </c>
      <c r="CZ70" s="52">
        <v>764</v>
      </c>
      <c r="DA70" s="52">
        <v>8080</v>
      </c>
      <c r="DB70" s="52">
        <v>859</v>
      </c>
      <c r="DC70" s="52"/>
      <c r="DD70" s="52"/>
      <c r="DE70" s="52">
        <v>751721</v>
      </c>
      <c r="DF70" s="52"/>
      <c r="DG70" s="52">
        <v>751721</v>
      </c>
      <c r="DH70" s="52"/>
    </row>
    <row r="71" spans="1:112">
      <c r="A71" s="150" t="s">
        <v>411</v>
      </c>
      <c r="B71" s="44">
        <v>3132</v>
      </c>
      <c r="C71" s="44" t="s">
        <v>116</v>
      </c>
      <c r="D71" s="52">
        <v>1184</v>
      </c>
      <c r="E71" s="52"/>
      <c r="F71" s="52"/>
      <c r="G71" s="52"/>
      <c r="H71" s="56"/>
      <c r="I71" s="56"/>
      <c r="J71" s="56"/>
      <c r="K71" s="56"/>
      <c r="L71" s="52"/>
      <c r="M71" s="52"/>
      <c r="N71" s="52"/>
      <c r="O71" s="52">
        <v>1775</v>
      </c>
      <c r="P71" s="52"/>
      <c r="Q71" s="52"/>
      <c r="R71" s="52"/>
      <c r="S71" s="52"/>
      <c r="T71" s="52"/>
      <c r="U71" s="52">
        <v>9468</v>
      </c>
      <c r="V71" s="52"/>
      <c r="W71" s="52">
        <v>592</v>
      </c>
      <c r="X71" s="52">
        <v>7101</v>
      </c>
      <c r="Y71" s="52">
        <v>8285</v>
      </c>
      <c r="Z71" s="52">
        <v>1184</v>
      </c>
      <c r="AA71" s="52"/>
      <c r="AB71" s="52"/>
      <c r="AC71" s="52"/>
      <c r="AD71" s="52"/>
      <c r="AE71" s="52"/>
      <c r="AF71" s="52"/>
      <c r="AG71" s="52"/>
      <c r="AH71" s="52"/>
      <c r="AI71" s="52"/>
      <c r="AJ71" s="52"/>
      <c r="AK71" s="52"/>
      <c r="AL71" s="52"/>
      <c r="AM71" s="52"/>
      <c r="AN71" s="52">
        <v>2368</v>
      </c>
      <c r="AO71" s="52"/>
      <c r="AP71" s="52"/>
      <c r="AQ71" s="52">
        <v>7693</v>
      </c>
      <c r="AR71" s="52">
        <v>4734</v>
      </c>
      <c r="AS71" s="52">
        <v>3551</v>
      </c>
      <c r="AT71" s="52"/>
      <c r="AU71" s="52"/>
      <c r="AV71" s="52">
        <v>592</v>
      </c>
      <c r="AW71" s="52"/>
      <c r="AX71" s="52"/>
      <c r="AY71" s="52">
        <v>129002</v>
      </c>
      <c r="AZ71" s="52">
        <v>592</v>
      </c>
      <c r="BA71" s="52"/>
      <c r="BB71" s="52"/>
      <c r="BC71" s="52"/>
      <c r="BD71" s="52"/>
      <c r="BE71" s="52"/>
      <c r="BF71" s="52">
        <v>17161</v>
      </c>
      <c r="BG71" s="52"/>
      <c r="BH71" s="52"/>
      <c r="BI71" s="52"/>
      <c r="BJ71" s="52">
        <v>3551</v>
      </c>
      <c r="BK71" s="52"/>
      <c r="BL71" s="52">
        <v>1775</v>
      </c>
      <c r="BM71" s="52">
        <v>117160</v>
      </c>
      <c r="BN71" s="52"/>
      <c r="BO71" s="52"/>
      <c r="BP71" s="52">
        <v>1184</v>
      </c>
      <c r="BQ71" s="52">
        <v>6509</v>
      </c>
      <c r="BR71" s="52"/>
      <c r="BS71" s="52"/>
      <c r="BT71" s="52"/>
      <c r="BU71" s="52"/>
      <c r="BV71" s="52"/>
      <c r="BW71" s="52"/>
      <c r="BX71" s="52">
        <v>2367</v>
      </c>
      <c r="BY71" s="52"/>
      <c r="BZ71" s="52">
        <v>7693</v>
      </c>
      <c r="CA71" s="52"/>
      <c r="CB71" s="52"/>
      <c r="CC71" s="52">
        <v>7101</v>
      </c>
      <c r="CD71" s="52"/>
      <c r="CE71" s="52"/>
      <c r="CF71" s="52">
        <v>2367</v>
      </c>
      <c r="CG71" s="52">
        <v>10652</v>
      </c>
      <c r="CH71" s="52">
        <v>2367</v>
      </c>
      <c r="CI71" s="52"/>
      <c r="CJ71" s="52"/>
      <c r="CK71" s="52"/>
      <c r="CL71" s="52"/>
      <c r="CM71" s="52">
        <v>592</v>
      </c>
      <c r="CN71" s="52">
        <v>2367</v>
      </c>
      <c r="CO71" s="52"/>
      <c r="CP71" s="52">
        <v>2959</v>
      </c>
      <c r="CQ71" s="52"/>
      <c r="CR71" s="52"/>
      <c r="CS71" s="52"/>
      <c r="CT71" s="52">
        <v>4734</v>
      </c>
      <c r="CU71" s="52">
        <v>4142</v>
      </c>
      <c r="CV71" s="52"/>
      <c r="CW71" s="52">
        <v>1184</v>
      </c>
      <c r="CX71" s="52"/>
      <c r="CY71" s="52">
        <v>3551</v>
      </c>
      <c r="CZ71" s="52">
        <v>592</v>
      </c>
      <c r="DA71" s="52"/>
      <c r="DB71" s="52">
        <v>3551</v>
      </c>
      <c r="DC71" s="52"/>
      <c r="DD71" s="52"/>
      <c r="DE71" s="52">
        <v>381680</v>
      </c>
      <c r="DF71" s="52"/>
      <c r="DG71" s="52">
        <v>381680</v>
      </c>
      <c r="DH71" s="52"/>
    </row>
    <row r="72" spans="1:112">
      <c r="A72" s="150" t="s">
        <v>411</v>
      </c>
      <c r="B72" s="44">
        <v>3134</v>
      </c>
      <c r="C72" s="44" t="s">
        <v>117</v>
      </c>
      <c r="D72" s="52">
        <v>325933</v>
      </c>
      <c r="E72" s="52"/>
      <c r="F72" s="52">
        <v>271132</v>
      </c>
      <c r="G72" s="52"/>
      <c r="H72" s="56"/>
      <c r="I72" s="56"/>
      <c r="J72" s="56"/>
      <c r="K72" s="56"/>
      <c r="L72" s="52"/>
      <c r="M72" s="52"/>
      <c r="N72" s="52"/>
      <c r="O72" s="52">
        <v>170</v>
      </c>
      <c r="P72" s="52">
        <v>128866</v>
      </c>
      <c r="Q72" s="52">
        <v>73025</v>
      </c>
      <c r="R72" s="52">
        <v>98</v>
      </c>
      <c r="S72" s="52"/>
      <c r="T72" s="52"/>
      <c r="U72" s="52"/>
      <c r="V72" s="52"/>
      <c r="W72" s="52">
        <v>782131</v>
      </c>
      <c r="X72" s="52"/>
      <c r="Y72" s="52"/>
      <c r="Z72" s="52"/>
      <c r="AA72" s="52"/>
      <c r="AB72" s="52"/>
      <c r="AC72" s="52">
        <v>97835</v>
      </c>
      <c r="AD72" s="52">
        <v>320397</v>
      </c>
      <c r="AE72" s="52">
        <v>159451</v>
      </c>
      <c r="AF72" s="52"/>
      <c r="AG72" s="52"/>
      <c r="AH72" s="52"/>
      <c r="AI72" s="52"/>
      <c r="AJ72" s="52">
        <v>139267</v>
      </c>
      <c r="AK72" s="52">
        <v>529349</v>
      </c>
      <c r="AL72" s="52">
        <v>284952</v>
      </c>
      <c r="AM72" s="52"/>
      <c r="AN72" s="52"/>
      <c r="AO72" s="52"/>
      <c r="AP72" s="52"/>
      <c r="AQ72" s="52"/>
      <c r="AR72" s="52"/>
      <c r="AS72" s="52">
        <v>327807</v>
      </c>
      <c r="AT72" s="52">
        <v>235431</v>
      </c>
      <c r="AU72" s="52">
        <v>156175</v>
      </c>
      <c r="AV72" s="52">
        <v>202747</v>
      </c>
      <c r="AW72" s="52">
        <v>180937</v>
      </c>
      <c r="AX72" s="52"/>
      <c r="AY72" s="52"/>
      <c r="AZ72" s="52"/>
      <c r="BA72" s="52"/>
      <c r="BB72" s="52"/>
      <c r="BC72" s="52"/>
      <c r="BD72" s="52">
        <v>350710</v>
      </c>
      <c r="BE72" s="52">
        <v>128049</v>
      </c>
      <c r="BF72" s="52"/>
      <c r="BG72" s="52">
        <v>378766</v>
      </c>
      <c r="BH72" s="52"/>
      <c r="BI72" s="52"/>
      <c r="BJ72" s="52">
        <v>520638</v>
      </c>
      <c r="BK72" s="52">
        <v>239179</v>
      </c>
      <c r="BL72" s="52">
        <v>359205</v>
      </c>
      <c r="BM72" s="52"/>
      <c r="BN72" s="52"/>
      <c r="BO72" s="52"/>
      <c r="BP72" s="52">
        <v>493170</v>
      </c>
      <c r="BQ72" s="52"/>
      <c r="BR72" s="52"/>
      <c r="BS72" s="52"/>
      <c r="BT72" s="52"/>
      <c r="BU72" s="52">
        <v>387437</v>
      </c>
      <c r="BV72" s="52">
        <v>201557</v>
      </c>
      <c r="BW72" s="52"/>
      <c r="BX72" s="52"/>
      <c r="BY72" s="52"/>
      <c r="BZ72" s="52"/>
      <c r="CA72" s="52"/>
      <c r="CB72" s="52">
        <v>595408</v>
      </c>
      <c r="CC72" s="52">
        <v>499007</v>
      </c>
      <c r="CD72" s="52">
        <v>1033133</v>
      </c>
      <c r="CE72" s="52"/>
      <c r="CF72" s="52"/>
      <c r="CG72" s="52"/>
      <c r="CH72" s="52"/>
      <c r="CI72" s="52"/>
      <c r="CJ72" s="52"/>
      <c r="CK72" s="52"/>
      <c r="CL72" s="52"/>
      <c r="CM72" s="52"/>
      <c r="CN72" s="52"/>
      <c r="CO72" s="52"/>
      <c r="CP72" s="52"/>
      <c r="CQ72" s="52"/>
      <c r="CR72" s="52"/>
      <c r="CS72" s="52"/>
      <c r="CT72" s="52"/>
      <c r="CU72" s="52"/>
      <c r="CV72" s="52"/>
      <c r="CW72" s="52"/>
      <c r="CX72" s="52">
        <v>806192</v>
      </c>
      <c r="CY72" s="52"/>
      <c r="CZ72" s="52"/>
      <c r="DA72" s="52"/>
      <c r="DB72" s="52"/>
      <c r="DC72" s="52"/>
      <c r="DD72" s="52"/>
      <c r="DE72" s="52">
        <v>10208154</v>
      </c>
      <c r="DF72" s="52"/>
      <c r="DG72" s="52">
        <v>10208154</v>
      </c>
      <c r="DH72" s="52"/>
    </row>
    <row r="73" spans="1:112">
      <c r="A73" s="150" t="s">
        <v>411</v>
      </c>
      <c r="B73" s="44">
        <v>3135</v>
      </c>
      <c r="C73" s="44" t="s">
        <v>118</v>
      </c>
      <c r="D73" s="52"/>
      <c r="E73" s="52"/>
      <c r="F73" s="52"/>
      <c r="G73" s="52"/>
      <c r="H73" s="56"/>
      <c r="I73" s="56"/>
      <c r="J73" s="56"/>
      <c r="K73" s="56"/>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v>16821</v>
      </c>
      <c r="CV73" s="52"/>
      <c r="CW73" s="52"/>
      <c r="CX73" s="52"/>
      <c r="CY73" s="52"/>
      <c r="CZ73" s="52"/>
      <c r="DA73" s="52"/>
      <c r="DB73" s="52"/>
      <c r="DC73" s="52"/>
      <c r="DD73" s="52"/>
      <c r="DE73" s="52">
        <v>16821</v>
      </c>
      <c r="DF73" s="52"/>
      <c r="DG73" s="52">
        <v>16821</v>
      </c>
      <c r="DH73" s="52"/>
    </row>
    <row r="74" spans="1:112">
      <c r="A74" s="150" t="s">
        <v>411</v>
      </c>
      <c r="B74" s="44">
        <v>3141</v>
      </c>
      <c r="C74" s="44" t="s">
        <v>120</v>
      </c>
      <c r="D74" s="52"/>
      <c r="E74" s="52"/>
      <c r="F74" s="52"/>
      <c r="G74" s="52"/>
      <c r="H74" s="56"/>
      <c r="I74" s="56"/>
      <c r="J74" s="56"/>
      <c r="K74" s="56"/>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row>
    <row r="75" spans="1:112">
      <c r="A75" s="150" t="s">
        <v>411</v>
      </c>
      <c r="B75" s="44">
        <v>3142</v>
      </c>
      <c r="C75" s="44" t="s">
        <v>121</v>
      </c>
      <c r="D75" s="52">
        <v>3502</v>
      </c>
      <c r="E75" s="52">
        <v>14786</v>
      </c>
      <c r="F75" s="52">
        <v>1556</v>
      </c>
      <c r="G75" s="52">
        <v>17898</v>
      </c>
      <c r="H75" s="56"/>
      <c r="I75" s="56"/>
      <c r="J75" s="56"/>
      <c r="K75" s="56"/>
      <c r="L75" s="52"/>
      <c r="M75" s="52"/>
      <c r="N75" s="52"/>
      <c r="O75" s="52">
        <v>1556</v>
      </c>
      <c r="P75" s="52">
        <v>1167</v>
      </c>
      <c r="Q75" s="52">
        <v>778</v>
      </c>
      <c r="R75" s="52">
        <v>778</v>
      </c>
      <c r="S75" s="52">
        <v>1556</v>
      </c>
      <c r="T75" s="52"/>
      <c r="U75" s="52">
        <v>10895</v>
      </c>
      <c r="V75" s="52"/>
      <c r="W75" s="52">
        <v>12840</v>
      </c>
      <c r="X75" s="52">
        <v>1556</v>
      </c>
      <c r="Y75" s="52">
        <v>29571</v>
      </c>
      <c r="Z75" s="52">
        <v>7393</v>
      </c>
      <c r="AA75" s="52">
        <v>3502</v>
      </c>
      <c r="AB75" s="52">
        <v>6225</v>
      </c>
      <c r="AC75" s="52">
        <v>1167</v>
      </c>
      <c r="AD75" s="52">
        <v>1945</v>
      </c>
      <c r="AE75" s="52">
        <v>778</v>
      </c>
      <c r="AF75" s="52"/>
      <c r="AG75" s="52">
        <v>3891</v>
      </c>
      <c r="AH75" s="52">
        <v>7393</v>
      </c>
      <c r="AI75" s="52"/>
      <c r="AJ75" s="52">
        <v>778</v>
      </c>
      <c r="AK75" s="52">
        <v>2335</v>
      </c>
      <c r="AL75" s="52"/>
      <c r="AM75" s="52"/>
      <c r="AN75" s="52">
        <v>5447</v>
      </c>
      <c r="AO75" s="52">
        <v>1946</v>
      </c>
      <c r="AP75" s="52"/>
      <c r="AQ75" s="52">
        <v>2724</v>
      </c>
      <c r="AR75" s="52">
        <v>2724</v>
      </c>
      <c r="AS75" s="52">
        <v>7393</v>
      </c>
      <c r="AT75" s="52">
        <v>778</v>
      </c>
      <c r="AU75" s="52">
        <v>3502</v>
      </c>
      <c r="AV75" s="52">
        <v>389</v>
      </c>
      <c r="AW75" s="52">
        <v>1167</v>
      </c>
      <c r="AX75" s="52">
        <v>6615</v>
      </c>
      <c r="AY75" s="52">
        <v>33462</v>
      </c>
      <c r="AZ75" s="52">
        <v>5836</v>
      </c>
      <c r="BA75" s="52">
        <v>1167</v>
      </c>
      <c r="BB75" s="52">
        <v>1556</v>
      </c>
      <c r="BC75" s="52"/>
      <c r="BD75" s="52">
        <v>2724</v>
      </c>
      <c r="BE75" s="52">
        <v>1167</v>
      </c>
      <c r="BF75" s="52">
        <v>16731</v>
      </c>
      <c r="BG75" s="52">
        <v>1167</v>
      </c>
      <c r="BH75" s="52">
        <v>7004</v>
      </c>
      <c r="BI75" s="52">
        <v>7004</v>
      </c>
      <c r="BJ75" s="52">
        <v>3891</v>
      </c>
      <c r="BK75" s="52">
        <v>2724</v>
      </c>
      <c r="BL75" s="52">
        <v>2335</v>
      </c>
      <c r="BM75" s="52">
        <v>7393</v>
      </c>
      <c r="BN75" s="52">
        <v>6225</v>
      </c>
      <c r="BO75" s="52">
        <v>1556</v>
      </c>
      <c r="BP75" s="52">
        <v>1945</v>
      </c>
      <c r="BQ75" s="52"/>
      <c r="BR75" s="52">
        <v>778</v>
      </c>
      <c r="BS75" s="52"/>
      <c r="BT75" s="52">
        <v>1945</v>
      </c>
      <c r="BU75" s="52">
        <v>2335</v>
      </c>
      <c r="BV75" s="52">
        <v>1167</v>
      </c>
      <c r="BW75" s="52"/>
      <c r="BX75" s="52">
        <v>3502</v>
      </c>
      <c r="BY75" s="52">
        <v>4280</v>
      </c>
      <c r="BZ75" s="52">
        <v>7393</v>
      </c>
      <c r="CA75" s="52"/>
      <c r="CB75" s="52">
        <v>2335</v>
      </c>
      <c r="CC75" s="52">
        <v>2335</v>
      </c>
      <c r="CD75" s="52">
        <v>4669</v>
      </c>
      <c r="CE75" s="52"/>
      <c r="CF75" s="52">
        <v>10116</v>
      </c>
      <c r="CG75" s="52">
        <v>18677</v>
      </c>
      <c r="CH75" s="52">
        <v>9338</v>
      </c>
      <c r="CI75" s="52">
        <v>1556</v>
      </c>
      <c r="CJ75" s="52">
        <v>2724</v>
      </c>
      <c r="CK75" s="52">
        <v>5058</v>
      </c>
      <c r="CL75" s="52">
        <v>2724</v>
      </c>
      <c r="CM75" s="52">
        <v>1556</v>
      </c>
      <c r="CN75" s="52">
        <v>3502</v>
      </c>
      <c r="CO75" s="52">
        <v>5836</v>
      </c>
      <c r="CP75" s="52">
        <v>5447</v>
      </c>
      <c r="CQ75" s="52"/>
      <c r="CR75" s="52"/>
      <c r="CS75" s="52"/>
      <c r="CT75" s="52">
        <v>5836</v>
      </c>
      <c r="CU75" s="52">
        <v>4280</v>
      </c>
      <c r="CV75" s="52"/>
      <c r="CW75" s="52">
        <v>3502</v>
      </c>
      <c r="CX75" s="52">
        <v>4669</v>
      </c>
      <c r="CY75" s="52">
        <v>3113</v>
      </c>
      <c r="CZ75" s="52">
        <v>3113</v>
      </c>
      <c r="DA75" s="52">
        <v>8949</v>
      </c>
      <c r="DB75" s="52">
        <v>3113</v>
      </c>
      <c r="DC75" s="52"/>
      <c r="DD75" s="52"/>
      <c r="DE75" s="52">
        <v>404266</v>
      </c>
      <c r="DF75" s="52"/>
      <c r="DG75" s="52">
        <v>404266</v>
      </c>
      <c r="DH75" s="52"/>
    </row>
    <row r="76" spans="1:112">
      <c r="A76" s="150" t="s">
        <v>411</v>
      </c>
      <c r="B76" s="44">
        <v>3160</v>
      </c>
      <c r="C76" s="44" t="s">
        <v>127</v>
      </c>
      <c r="D76" s="52">
        <v>244234</v>
      </c>
      <c r="E76" s="52">
        <v>1563886</v>
      </c>
      <c r="F76" s="52">
        <v>196696</v>
      </c>
      <c r="G76" s="52"/>
      <c r="H76" s="56">
        <v>398537</v>
      </c>
      <c r="I76" s="56">
        <v>210353</v>
      </c>
      <c r="J76" s="56">
        <v>253620</v>
      </c>
      <c r="K76" s="56">
        <v>205152</v>
      </c>
      <c r="L76" s="52">
        <v>707555</v>
      </c>
      <c r="M76" s="52"/>
      <c r="N76" s="52"/>
      <c r="O76" s="52">
        <v>116421</v>
      </c>
      <c r="P76" s="52">
        <v>85868</v>
      </c>
      <c r="Q76" s="52">
        <v>47547</v>
      </c>
      <c r="R76" s="52">
        <v>64935</v>
      </c>
      <c r="S76" s="52">
        <v>180061</v>
      </c>
      <c r="T76" s="52"/>
      <c r="U76" s="52">
        <v>1087572</v>
      </c>
      <c r="V76" s="52"/>
      <c r="W76" s="52">
        <v>1810347</v>
      </c>
      <c r="X76" s="52">
        <v>171735</v>
      </c>
      <c r="Y76" s="52">
        <v>2275337</v>
      </c>
      <c r="Z76" s="52">
        <v>498475</v>
      </c>
      <c r="AA76" s="52">
        <v>459586</v>
      </c>
      <c r="AB76" s="52">
        <v>684660</v>
      </c>
      <c r="AC76" s="52">
        <v>137915</v>
      </c>
      <c r="AD76" s="52">
        <v>205818</v>
      </c>
      <c r="AE76" s="52">
        <v>102939</v>
      </c>
      <c r="AF76" s="52"/>
      <c r="AG76" s="52">
        <v>809278</v>
      </c>
      <c r="AH76" s="52">
        <v>998716</v>
      </c>
      <c r="AI76" s="52"/>
      <c r="AJ76" s="52">
        <v>105517</v>
      </c>
      <c r="AK76" s="52">
        <v>186851</v>
      </c>
      <c r="AL76" s="52">
        <v>101905</v>
      </c>
      <c r="AM76" s="52"/>
      <c r="AN76" s="52">
        <v>1127768</v>
      </c>
      <c r="AO76" s="52">
        <v>330053</v>
      </c>
      <c r="AP76" s="52"/>
      <c r="AQ76" s="52">
        <v>357016</v>
      </c>
      <c r="AR76" s="52">
        <v>448655</v>
      </c>
      <c r="AS76" s="52">
        <v>718997</v>
      </c>
      <c r="AT76" s="52">
        <v>91170</v>
      </c>
      <c r="AU76" s="52">
        <v>266639</v>
      </c>
      <c r="AV76" s="52">
        <v>74529</v>
      </c>
      <c r="AW76" s="52">
        <v>63470</v>
      </c>
      <c r="AX76" s="52">
        <v>736036</v>
      </c>
      <c r="AY76" s="52">
        <v>2791205</v>
      </c>
      <c r="AZ76" s="52">
        <v>478773</v>
      </c>
      <c r="BA76" s="52">
        <v>67279</v>
      </c>
      <c r="BB76" s="52">
        <v>72931</v>
      </c>
      <c r="BC76" s="52"/>
      <c r="BD76" s="52">
        <v>213566</v>
      </c>
      <c r="BE76" s="52">
        <v>135688</v>
      </c>
      <c r="BF76" s="52">
        <v>2231248</v>
      </c>
      <c r="BG76" s="52">
        <v>269668</v>
      </c>
      <c r="BH76" s="52">
        <v>737256</v>
      </c>
      <c r="BI76" s="52">
        <v>703539</v>
      </c>
      <c r="BJ76" s="52">
        <v>385075</v>
      </c>
      <c r="BK76" s="52">
        <v>209326</v>
      </c>
      <c r="BL76" s="52">
        <v>315331</v>
      </c>
      <c r="BM76" s="52">
        <v>1422282</v>
      </c>
      <c r="BN76" s="52">
        <v>543975</v>
      </c>
      <c r="BO76" s="52">
        <v>170655</v>
      </c>
      <c r="BP76" s="52">
        <v>279043</v>
      </c>
      <c r="BQ76" s="52">
        <v>697769</v>
      </c>
      <c r="BR76" s="52">
        <v>113595</v>
      </c>
      <c r="BS76" s="52"/>
      <c r="BT76" s="52">
        <v>218556</v>
      </c>
      <c r="BU76" s="52">
        <v>110705</v>
      </c>
      <c r="BV76" s="52">
        <v>135223</v>
      </c>
      <c r="BW76" s="52"/>
      <c r="BX76" s="52">
        <v>460288</v>
      </c>
      <c r="BY76" s="52">
        <v>446574</v>
      </c>
      <c r="BZ76" s="52">
        <v>775524</v>
      </c>
      <c r="CA76" s="52"/>
      <c r="CB76" s="52">
        <v>427172</v>
      </c>
      <c r="CC76" s="52">
        <v>356152</v>
      </c>
      <c r="CD76" s="52">
        <v>473442</v>
      </c>
      <c r="CE76" s="52"/>
      <c r="CF76" s="52">
        <v>1003486</v>
      </c>
      <c r="CG76" s="52">
        <v>1492491</v>
      </c>
      <c r="CH76" s="52">
        <v>798812</v>
      </c>
      <c r="CI76" s="52">
        <v>230140</v>
      </c>
      <c r="CJ76" s="52">
        <v>227450</v>
      </c>
      <c r="CK76" s="52">
        <v>407943</v>
      </c>
      <c r="CL76" s="52">
        <v>188067</v>
      </c>
      <c r="CM76" s="52">
        <v>154246</v>
      </c>
      <c r="CN76" s="52">
        <v>267577</v>
      </c>
      <c r="CO76" s="52">
        <v>403192</v>
      </c>
      <c r="CP76" s="52">
        <v>521944</v>
      </c>
      <c r="CQ76" s="52"/>
      <c r="CR76" s="52"/>
      <c r="CS76" s="52"/>
      <c r="CT76" s="52">
        <v>830852</v>
      </c>
      <c r="CU76" s="52">
        <v>289747</v>
      </c>
      <c r="CV76" s="52"/>
      <c r="CW76" s="52">
        <v>315559</v>
      </c>
      <c r="CX76" s="52">
        <v>638606</v>
      </c>
      <c r="CY76" s="52">
        <v>425627</v>
      </c>
      <c r="CZ76" s="52">
        <v>324683</v>
      </c>
      <c r="DA76" s="52">
        <v>770927</v>
      </c>
      <c r="DB76" s="52">
        <v>301542</v>
      </c>
      <c r="DC76" s="52"/>
      <c r="DD76" s="52"/>
      <c r="DE76" s="52">
        <v>42960580</v>
      </c>
      <c r="DF76" s="52"/>
      <c r="DG76" s="52">
        <v>42960580</v>
      </c>
      <c r="DH76" s="52"/>
    </row>
    <row r="77" spans="1:112">
      <c r="A77" s="150" t="s">
        <v>411</v>
      </c>
      <c r="B77" s="44">
        <v>3161</v>
      </c>
      <c r="C77" s="44" t="s">
        <v>128</v>
      </c>
      <c r="D77" s="52">
        <v>8709</v>
      </c>
      <c r="E77" s="52"/>
      <c r="F77" s="52">
        <v>6791</v>
      </c>
      <c r="G77" s="52"/>
      <c r="H77" s="56"/>
      <c r="I77" s="56">
        <v>3949</v>
      </c>
      <c r="J77" s="56"/>
      <c r="K77" s="56">
        <v>4131</v>
      </c>
      <c r="L77" s="52"/>
      <c r="M77" s="52"/>
      <c r="N77" s="52"/>
      <c r="O77" s="52">
        <v>3038</v>
      </c>
      <c r="P77" s="52"/>
      <c r="Q77" s="52">
        <v>4517</v>
      </c>
      <c r="R77" s="52">
        <v>2953</v>
      </c>
      <c r="S77" s="52">
        <v>3292</v>
      </c>
      <c r="T77" s="52"/>
      <c r="U77" s="52">
        <v>3012</v>
      </c>
      <c r="V77" s="52"/>
      <c r="W77" s="52"/>
      <c r="X77" s="52">
        <v>9417</v>
      </c>
      <c r="Y77" s="52">
        <v>119922</v>
      </c>
      <c r="Z77" s="52">
        <v>20444</v>
      </c>
      <c r="AA77" s="52"/>
      <c r="AB77" s="52">
        <v>22068</v>
      </c>
      <c r="AC77" s="52">
        <v>1892</v>
      </c>
      <c r="AD77" s="52">
        <v>5209</v>
      </c>
      <c r="AE77" s="52">
        <v>2195</v>
      </c>
      <c r="AF77" s="52"/>
      <c r="AG77" s="52">
        <v>2076</v>
      </c>
      <c r="AH77" s="52"/>
      <c r="AI77" s="52"/>
      <c r="AJ77" s="52">
        <v>3653</v>
      </c>
      <c r="AK77" s="52"/>
      <c r="AL77" s="52"/>
      <c r="AM77" s="52"/>
      <c r="AN77" s="52">
        <v>40083</v>
      </c>
      <c r="AO77" s="52">
        <v>16515</v>
      </c>
      <c r="AP77" s="52"/>
      <c r="AQ77" s="52"/>
      <c r="AR77" s="52"/>
      <c r="AS77" s="52"/>
      <c r="AT77" s="52"/>
      <c r="AU77" s="52"/>
      <c r="AV77" s="52"/>
      <c r="AW77" s="52"/>
      <c r="AX77" s="52">
        <v>34183</v>
      </c>
      <c r="AY77" s="52"/>
      <c r="AZ77" s="52"/>
      <c r="BA77" s="52"/>
      <c r="BB77" s="52"/>
      <c r="BC77" s="52"/>
      <c r="BD77" s="52">
        <v>21306</v>
      </c>
      <c r="BE77" s="52">
        <v>3856</v>
      </c>
      <c r="BF77" s="52">
        <v>76865</v>
      </c>
      <c r="BG77" s="52">
        <v>21847</v>
      </c>
      <c r="BH77" s="52"/>
      <c r="BI77" s="52">
        <v>16135</v>
      </c>
      <c r="BJ77" s="52"/>
      <c r="BK77" s="52"/>
      <c r="BL77" s="52">
        <v>15498</v>
      </c>
      <c r="BM77" s="52">
        <v>6880</v>
      </c>
      <c r="BN77" s="52">
        <v>23602</v>
      </c>
      <c r="BO77" s="52">
        <v>11141</v>
      </c>
      <c r="BP77" s="52">
        <v>8047</v>
      </c>
      <c r="BQ77" s="52">
        <v>11316</v>
      </c>
      <c r="BR77" s="52"/>
      <c r="BS77" s="52"/>
      <c r="BT77" s="52">
        <v>11529</v>
      </c>
      <c r="BU77" s="52">
        <v>4369</v>
      </c>
      <c r="BV77" s="52"/>
      <c r="BW77" s="52"/>
      <c r="BX77" s="52"/>
      <c r="BY77" s="52">
        <v>16043</v>
      </c>
      <c r="BZ77" s="52"/>
      <c r="CA77" s="52"/>
      <c r="CB77" s="52">
        <v>29903</v>
      </c>
      <c r="CC77" s="52">
        <v>2515</v>
      </c>
      <c r="CD77" s="52">
        <v>9021</v>
      </c>
      <c r="CE77" s="52"/>
      <c r="CF77" s="52">
        <v>27460</v>
      </c>
      <c r="CG77" s="52">
        <v>9281</v>
      </c>
      <c r="CH77" s="52"/>
      <c r="CI77" s="52">
        <v>3449</v>
      </c>
      <c r="CJ77" s="52">
        <v>7059</v>
      </c>
      <c r="CK77" s="52"/>
      <c r="CL77" s="52"/>
      <c r="CM77" s="52">
        <v>8030</v>
      </c>
      <c r="CN77" s="52">
        <v>2191</v>
      </c>
      <c r="CO77" s="52">
        <v>10552</v>
      </c>
      <c r="CP77" s="52">
        <v>4129</v>
      </c>
      <c r="CQ77" s="52"/>
      <c r="CR77" s="52"/>
      <c r="CS77" s="52"/>
      <c r="CT77" s="52">
        <v>34597</v>
      </c>
      <c r="CU77" s="52">
        <v>8481</v>
      </c>
      <c r="CV77" s="52"/>
      <c r="CW77" s="52"/>
      <c r="CX77" s="52">
        <v>16274</v>
      </c>
      <c r="CY77" s="52">
        <v>9676</v>
      </c>
      <c r="CZ77" s="52">
        <v>7220</v>
      </c>
      <c r="DA77" s="52">
        <v>16590</v>
      </c>
      <c r="DB77" s="52">
        <v>7318</v>
      </c>
      <c r="DC77" s="52"/>
      <c r="DD77" s="52"/>
      <c r="DE77" s="52">
        <v>780229</v>
      </c>
      <c r="DF77" s="52"/>
      <c r="DG77" s="52">
        <v>780229</v>
      </c>
      <c r="DH77" s="52"/>
    </row>
    <row r="78" spans="1:112">
      <c r="A78" s="150" t="s">
        <v>411</v>
      </c>
      <c r="B78" s="44">
        <v>3162</v>
      </c>
      <c r="C78" s="44" t="s">
        <v>129</v>
      </c>
      <c r="D78" s="52">
        <v>19185</v>
      </c>
      <c r="E78" s="52">
        <v>110156</v>
      </c>
      <c r="F78" s="52">
        <v>14853</v>
      </c>
      <c r="G78" s="52"/>
      <c r="H78" s="56">
        <v>26611</v>
      </c>
      <c r="I78" s="56">
        <v>15471</v>
      </c>
      <c r="J78" s="56">
        <v>19185</v>
      </c>
      <c r="K78" s="56">
        <v>13615</v>
      </c>
      <c r="L78" s="52">
        <v>51365</v>
      </c>
      <c r="M78" s="52"/>
      <c r="N78" s="52"/>
      <c r="O78" s="52">
        <v>9283</v>
      </c>
      <c r="P78" s="52">
        <v>7426</v>
      </c>
      <c r="Q78" s="52">
        <v>4332</v>
      </c>
      <c r="R78" s="52">
        <v>4951</v>
      </c>
      <c r="S78" s="52">
        <v>14234</v>
      </c>
      <c r="T78" s="52"/>
      <c r="U78" s="52">
        <v>79213</v>
      </c>
      <c r="V78" s="52"/>
      <c r="W78" s="52">
        <v>115726</v>
      </c>
      <c r="X78" s="52">
        <v>14235</v>
      </c>
      <c r="Y78" s="52">
        <v>170804</v>
      </c>
      <c r="Z78" s="52">
        <v>31562</v>
      </c>
      <c r="AA78" s="52">
        <v>30943</v>
      </c>
      <c r="AB78" s="52">
        <v>55697</v>
      </c>
      <c r="AC78" s="52">
        <v>9902</v>
      </c>
      <c r="AD78" s="52">
        <v>16090</v>
      </c>
      <c r="AE78" s="52">
        <v>9283</v>
      </c>
      <c r="AF78" s="52"/>
      <c r="AG78" s="52">
        <v>54459</v>
      </c>
      <c r="AH78" s="52">
        <v>66218</v>
      </c>
      <c r="AI78" s="52"/>
      <c r="AJ78" s="52">
        <v>7426</v>
      </c>
      <c r="AK78" s="52">
        <v>12996</v>
      </c>
      <c r="AL78" s="52">
        <v>7426</v>
      </c>
      <c r="AM78" s="52"/>
      <c r="AN78" s="52">
        <v>66836</v>
      </c>
      <c r="AO78" s="52">
        <v>20422</v>
      </c>
      <c r="AP78" s="52"/>
      <c r="AQ78" s="52">
        <v>29086</v>
      </c>
      <c r="AR78" s="52">
        <v>26611</v>
      </c>
      <c r="AS78" s="52">
        <v>41463</v>
      </c>
      <c r="AT78" s="52">
        <v>8045</v>
      </c>
      <c r="AU78" s="52">
        <v>18566</v>
      </c>
      <c r="AV78" s="52">
        <v>6807</v>
      </c>
      <c r="AW78" s="52">
        <v>6189</v>
      </c>
      <c r="AX78" s="52">
        <v>53840</v>
      </c>
      <c r="AY78" s="52">
        <v>180087</v>
      </c>
      <c r="AZ78" s="52">
        <v>32180</v>
      </c>
      <c r="BA78" s="52">
        <v>5570</v>
      </c>
      <c r="BB78" s="52">
        <v>5570</v>
      </c>
      <c r="BC78" s="52"/>
      <c r="BD78" s="52">
        <v>15471</v>
      </c>
      <c r="BE78" s="52">
        <v>9902</v>
      </c>
      <c r="BF78" s="52">
        <v>173279</v>
      </c>
      <c r="BG78" s="52">
        <v>23516</v>
      </c>
      <c r="BH78" s="52">
        <v>55697</v>
      </c>
      <c r="BI78" s="52">
        <v>42701</v>
      </c>
      <c r="BJ78" s="52">
        <v>30943</v>
      </c>
      <c r="BK78" s="52">
        <v>17947</v>
      </c>
      <c r="BL78" s="52">
        <v>25992</v>
      </c>
      <c r="BM78" s="52">
        <v>82927</v>
      </c>
      <c r="BN78" s="52">
        <v>42701</v>
      </c>
      <c r="BO78" s="52">
        <v>11139</v>
      </c>
      <c r="BP78" s="52">
        <v>22898</v>
      </c>
      <c r="BQ78" s="52">
        <v>57554</v>
      </c>
      <c r="BR78" s="52">
        <v>9283</v>
      </c>
      <c r="BS78" s="52"/>
      <c r="BT78" s="52">
        <v>13615</v>
      </c>
      <c r="BU78" s="52">
        <v>9283</v>
      </c>
      <c r="BV78" s="52">
        <v>9902</v>
      </c>
      <c r="BW78" s="52"/>
      <c r="BX78" s="52">
        <v>34656</v>
      </c>
      <c r="BY78" s="52">
        <v>35275</v>
      </c>
      <c r="BZ78" s="52">
        <v>53840</v>
      </c>
      <c r="CA78" s="52"/>
      <c r="CB78" s="52">
        <v>34656</v>
      </c>
      <c r="CC78" s="52">
        <v>37131</v>
      </c>
      <c r="CD78" s="52">
        <v>40226</v>
      </c>
      <c r="CE78" s="52"/>
      <c r="CF78" s="52">
        <v>63123</v>
      </c>
      <c r="CG78" s="52">
        <v>107062</v>
      </c>
      <c r="CH78" s="52">
        <v>51365</v>
      </c>
      <c r="CI78" s="52">
        <v>12996</v>
      </c>
      <c r="CJ78" s="52">
        <v>16090</v>
      </c>
      <c r="CK78" s="52">
        <v>27230</v>
      </c>
      <c r="CL78" s="52">
        <v>14234</v>
      </c>
      <c r="CM78" s="52">
        <v>12996</v>
      </c>
      <c r="CN78" s="52">
        <v>19803</v>
      </c>
      <c r="CO78" s="52">
        <v>25992</v>
      </c>
      <c r="CP78" s="52">
        <v>44558</v>
      </c>
      <c r="CQ78" s="52"/>
      <c r="CR78" s="52"/>
      <c r="CS78" s="52"/>
      <c r="CT78" s="52">
        <v>68693</v>
      </c>
      <c r="CU78" s="52">
        <v>24135</v>
      </c>
      <c r="CV78" s="52"/>
      <c r="CW78" s="52">
        <v>24135</v>
      </c>
      <c r="CX78" s="52">
        <v>45177</v>
      </c>
      <c r="CY78" s="52">
        <v>28467</v>
      </c>
      <c r="CZ78" s="52">
        <v>22279</v>
      </c>
      <c r="DA78" s="52">
        <v>50746</v>
      </c>
      <c r="DB78" s="52">
        <v>19803</v>
      </c>
      <c r="DC78" s="52"/>
      <c r="DD78" s="52"/>
      <c r="DE78" s="52">
        <v>3063337</v>
      </c>
      <c r="DF78" s="52"/>
      <c r="DG78" s="52">
        <v>3063337</v>
      </c>
      <c r="DH78" s="52"/>
    </row>
    <row r="79" spans="1:112">
      <c r="A79" s="150" t="s">
        <v>411</v>
      </c>
      <c r="B79" s="44">
        <v>3163</v>
      </c>
      <c r="C79" s="44" t="s">
        <v>130</v>
      </c>
      <c r="D79" s="52"/>
      <c r="E79" s="52"/>
      <c r="F79" s="52">
        <v>13135</v>
      </c>
      <c r="G79" s="52"/>
      <c r="H79" s="56"/>
      <c r="I79" s="56"/>
      <c r="J79" s="56"/>
      <c r="K79" s="56"/>
      <c r="L79" s="52"/>
      <c r="M79" s="52"/>
      <c r="N79" s="52"/>
      <c r="O79" s="52"/>
      <c r="P79" s="52">
        <v>4440</v>
      </c>
      <c r="Q79" s="52">
        <v>2220</v>
      </c>
      <c r="R79" s="52"/>
      <c r="S79" s="52"/>
      <c r="T79" s="52"/>
      <c r="U79" s="52"/>
      <c r="V79" s="52"/>
      <c r="W79" s="52">
        <v>29600</v>
      </c>
      <c r="X79" s="52"/>
      <c r="Y79" s="52"/>
      <c r="Z79" s="52"/>
      <c r="AA79" s="52"/>
      <c r="AB79" s="52"/>
      <c r="AC79" s="52">
        <v>7770</v>
      </c>
      <c r="AD79" s="52">
        <v>7585</v>
      </c>
      <c r="AE79" s="52">
        <v>5550</v>
      </c>
      <c r="AF79" s="52"/>
      <c r="AG79" s="52"/>
      <c r="AH79" s="52"/>
      <c r="AI79" s="52"/>
      <c r="AJ79" s="52">
        <v>2960</v>
      </c>
      <c r="AK79" s="52">
        <v>9065</v>
      </c>
      <c r="AL79" s="52">
        <v>5920</v>
      </c>
      <c r="AM79" s="52"/>
      <c r="AN79" s="52"/>
      <c r="AO79" s="52"/>
      <c r="AP79" s="52"/>
      <c r="AQ79" s="52"/>
      <c r="AR79" s="52"/>
      <c r="AS79" s="52">
        <v>13875</v>
      </c>
      <c r="AT79" s="52"/>
      <c r="AU79" s="52">
        <v>555</v>
      </c>
      <c r="AV79" s="52">
        <v>9065</v>
      </c>
      <c r="AW79" s="52">
        <v>5550</v>
      </c>
      <c r="AX79" s="52"/>
      <c r="AY79" s="52"/>
      <c r="AZ79" s="52"/>
      <c r="BA79" s="52"/>
      <c r="BB79" s="52"/>
      <c r="BC79" s="52"/>
      <c r="BD79" s="52">
        <v>11655</v>
      </c>
      <c r="BE79" s="52"/>
      <c r="BF79" s="52"/>
      <c r="BG79" s="52">
        <v>19610</v>
      </c>
      <c r="BH79" s="52"/>
      <c r="BI79" s="52"/>
      <c r="BJ79" s="52"/>
      <c r="BK79" s="52">
        <v>4070</v>
      </c>
      <c r="BL79" s="52">
        <v>12487</v>
      </c>
      <c r="BM79" s="52"/>
      <c r="BN79" s="52"/>
      <c r="BO79" s="52"/>
      <c r="BP79" s="52">
        <v>1480</v>
      </c>
      <c r="BQ79" s="52"/>
      <c r="BR79" s="52"/>
      <c r="BS79" s="52"/>
      <c r="BT79" s="52"/>
      <c r="BU79" s="52">
        <v>5735</v>
      </c>
      <c r="BV79" s="52">
        <v>8880</v>
      </c>
      <c r="BW79" s="52"/>
      <c r="BX79" s="52"/>
      <c r="BY79" s="52"/>
      <c r="BZ79" s="52"/>
      <c r="CA79" s="52"/>
      <c r="CB79" s="52"/>
      <c r="CC79" s="52">
        <v>3885</v>
      </c>
      <c r="CD79" s="52">
        <v>1110</v>
      </c>
      <c r="CE79" s="52"/>
      <c r="CF79" s="52"/>
      <c r="CG79" s="52"/>
      <c r="CH79" s="52"/>
      <c r="CI79" s="52"/>
      <c r="CJ79" s="52"/>
      <c r="CK79" s="52"/>
      <c r="CL79" s="52"/>
      <c r="CM79" s="52"/>
      <c r="CN79" s="52"/>
      <c r="CO79" s="52"/>
      <c r="CP79" s="52"/>
      <c r="CQ79" s="52"/>
      <c r="CR79" s="52"/>
      <c r="CS79" s="52"/>
      <c r="CT79" s="52"/>
      <c r="CU79" s="52"/>
      <c r="CV79" s="52"/>
      <c r="CW79" s="52"/>
      <c r="CX79" s="52">
        <v>23310</v>
      </c>
      <c r="CY79" s="52"/>
      <c r="CZ79" s="52"/>
      <c r="DA79" s="52"/>
      <c r="DB79" s="52"/>
      <c r="DC79" s="52"/>
      <c r="DD79" s="52"/>
      <c r="DE79" s="52">
        <v>209512</v>
      </c>
      <c r="DF79" s="52"/>
      <c r="DG79" s="52">
        <v>209512</v>
      </c>
      <c r="DH79" s="52"/>
    </row>
    <row r="80" spans="1:112">
      <c r="A80" s="150" t="s">
        <v>411</v>
      </c>
      <c r="B80" s="44">
        <v>3165</v>
      </c>
      <c r="C80" s="44" t="s">
        <v>131</v>
      </c>
      <c r="D80" s="52">
        <v>2205</v>
      </c>
      <c r="E80" s="52">
        <v>6299</v>
      </c>
      <c r="F80" s="52"/>
      <c r="G80" s="52"/>
      <c r="H80" s="56">
        <v>9149</v>
      </c>
      <c r="I80" s="56">
        <v>2942</v>
      </c>
      <c r="J80" s="56"/>
      <c r="K80" s="56"/>
      <c r="L80" s="52">
        <v>10247</v>
      </c>
      <c r="M80" s="52"/>
      <c r="N80" s="52"/>
      <c r="O80" s="52">
        <v>1298</v>
      </c>
      <c r="P80" s="52">
        <v>1360</v>
      </c>
      <c r="Q80" s="52">
        <v>522</v>
      </c>
      <c r="R80" s="52">
        <v>1460</v>
      </c>
      <c r="S80" s="52">
        <v>3534</v>
      </c>
      <c r="T80" s="52"/>
      <c r="U80" s="52">
        <v>4701</v>
      </c>
      <c r="V80" s="52"/>
      <c r="W80" s="52"/>
      <c r="X80" s="52"/>
      <c r="Y80" s="52">
        <v>14173</v>
      </c>
      <c r="Z80" s="52">
        <v>5485</v>
      </c>
      <c r="AA80" s="52">
        <v>1191</v>
      </c>
      <c r="AB80" s="52"/>
      <c r="AC80" s="52">
        <v>1536</v>
      </c>
      <c r="AD80" s="52"/>
      <c r="AE80" s="52">
        <v>1068</v>
      </c>
      <c r="AF80" s="52"/>
      <c r="AG80" s="52">
        <v>3457</v>
      </c>
      <c r="AH80" s="52">
        <v>5377</v>
      </c>
      <c r="AI80" s="52"/>
      <c r="AJ80" s="52">
        <v>1767</v>
      </c>
      <c r="AK80" s="52"/>
      <c r="AL80" s="52"/>
      <c r="AM80" s="52"/>
      <c r="AN80" s="52">
        <v>9018</v>
      </c>
      <c r="AO80" s="52">
        <v>1652</v>
      </c>
      <c r="AP80" s="52"/>
      <c r="AQ80" s="52"/>
      <c r="AR80" s="52">
        <v>1444</v>
      </c>
      <c r="AS80" s="52">
        <v>3841</v>
      </c>
      <c r="AT80" s="52"/>
      <c r="AU80" s="52"/>
      <c r="AV80" s="52"/>
      <c r="AW80" s="52"/>
      <c r="AX80" s="52">
        <v>1629</v>
      </c>
      <c r="AY80" s="52">
        <v>10201</v>
      </c>
      <c r="AZ80" s="52">
        <v>6007</v>
      </c>
      <c r="BA80" s="52">
        <v>1383</v>
      </c>
      <c r="BB80" s="52">
        <v>1306</v>
      </c>
      <c r="BC80" s="52"/>
      <c r="BD80" s="52"/>
      <c r="BE80" s="52">
        <v>922</v>
      </c>
      <c r="BF80" s="52">
        <v>9326</v>
      </c>
      <c r="BG80" s="52">
        <v>1306</v>
      </c>
      <c r="BH80" s="52">
        <v>2171</v>
      </c>
      <c r="BI80" s="52"/>
      <c r="BJ80" s="52"/>
      <c r="BK80" s="52"/>
      <c r="BL80" s="52">
        <v>2197</v>
      </c>
      <c r="BM80" s="52">
        <v>16708</v>
      </c>
      <c r="BN80" s="52">
        <v>1306</v>
      </c>
      <c r="BO80" s="52"/>
      <c r="BP80" s="52"/>
      <c r="BQ80" s="52">
        <v>2050</v>
      </c>
      <c r="BR80" s="52"/>
      <c r="BS80" s="52"/>
      <c r="BT80" s="52">
        <v>1191</v>
      </c>
      <c r="BU80" s="52"/>
      <c r="BV80" s="52">
        <v>1191</v>
      </c>
      <c r="BW80" s="52"/>
      <c r="BX80" s="52"/>
      <c r="BY80" s="52">
        <v>5427</v>
      </c>
      <c r="BZ80" s="52">
        <v>4878</v>
      </c>
      <c r="CA80" s="52"/>
      <c r="CB80" s="52"/>
      <c r="CC80" s="52">
        <v>3687</v>
      </c>
      <c r="CD80" s="52">
        <v>3572</v>
      </c>
      <c r="CE80" s="52"/>
      <c r="CF80" s="52">
        <v>13720</v>
      </c>
      <c r="CG80" s="52">
        <v>18336</v>
      </c>
      <c r="CH80" s="52"/>
      <c r="CI80" s="52"/>
      <c r="CJ80" s="52">
        <v>2842</v>
      </c>
      <c r="CK80" s="52">
        <v>6791</v>
      </c>
      <c r="CL80" s="52">
        <v>2919</v>
      </c>
      <c r="CM80" s="52">
        <v>1844</v>
      </c>
      <c r="CN80" s="52">
        <v>2957</v>
      </c>
      <c r="CO80" s="52">
        <v>576</v>
      </c>
      <c r="CP80" s="52">
        <v>2235</v>
      </c>
      <c r="CQ80" s="52"/>
      <c r="CR80" s="52"/>
      <c r="CS80" s="52"/>
      <c r="CT80" s="52">
        <v>3065</v>
      </c>
      <c r="CU80" s="52"/>
      <c r="CV80" s="52"/>
      <c r="CW80" s="52">
        <v>883</v>
      </c>
      <c r="CX80" s="52"/>
      <c r="CY80" s="52">
        <v>937</v>
      </c>
      <c r="CZ80" s="52">
        <v>230</v>
      </c>
      <c r="DA80" s="52">
        <v>5162</v>
      </c>
      <c r="DB80" s="52">
        <v>873</v>
      </c>
      <c r="DC80" s="52"/>
      <c r="DD80" s="52"/>
      <c r="DE80" s="52">
        <v>233554</v>
      </c>
      <c r="DF80" s="52"/>
      <c r="DG80" s="52">
        <v>233554</v>
      </c>
      <c r="DH80" s="52"/>
    </row>
    <row r="81" spans="1:112">
      <c r="A81" s="150" t="s">
        <v>411</v>
      </c>
      <c r="B81" s="44">
        <v>3170</v>
      </c>
      <c r="C81" s="44" t="s">
        <v>132</v>
      </c>
      <c r="D81" s="52">
        <v>29980</v>
      </c>
      <c r="E81" s="52"/>
      <c r="F81" s="52"/>
      <c r="G81" s="52"/>
      <c r="H81" s="56"/>
      <c r="I81" s="56"/>
      <c r="J81" s="56"/>
      <c r="K81" s="56"/>
      <c r="L81" s="52"/>
      <c r="M81" s="52"/>
      <c r="N81" s="52"/>
      <c r="O81" s="52">
        <v>7299</v>
      </c>
      <c r="P81" s="52">
        <v>766</v>
      </c>
      <c r="Q81" s="52"/>
      <c r="R81" s="52"/>
      <c r="S81" s="52"/>
      <c r="T81" s="52"/>
      <c r="U81" s="52">
        <v>81276</v>
      </c>
      <c r="V81" s="52"/>
      <c r="W81" s="52"/>
      <c r="X81" s="52"/>
      <c r="Y81" s="52"/>
      <c r="Z81" s="52"/>
      <c r="AA81" s="52">
        <v>427</v>
      </c>
      <c r="AB81" s="52"/>
      <c r="AC81" s="52"/>
      <c r="AD81" s="52"/>
      <c r="AE81" s="52"/>
      <c r="AF81" s="52"/>
      <c r="AG81" s="52"/>
      <c r="AH81" s="52"/>
      <c r="AI81" s="52"/>
      <c r="AJ81" s="52"/>
      <c r="AK81" s="52"/>
      <c r="AL81" s="52">
        <v>6964</v>
      </c>
      <c r="AM81" s="52"/>
      <c r="AN81" s="52"/>
      <c r="AO81" s="52"/>
      <c r="AP81" s="52"/>
      <c r="AQ81" s="52">
        <v>7082</v>
      </c>
      <c r="AR81" s="52"/>
      <c r="AS81" s="52"/>
      <c r="AT81" s="52"/>
      <c r="AU81" s="52">
        <v>17226</v>
      </c>
      <c r="AV81" s="52"/>
      <c r="AW81" s="52"/>
      <c r="AX81" s="52"/>
      <c r="AY81" s="52">
        <v>287837</v>
      </c>
      <c r="AZ81" s="52"/>
      <c r="BA81" s="52"/>
      <c r="BB81" s="52"/>
      <c r="BC81" s="52"/>
      <c r="BD81" s="52">
        <v>4850</v>
      </c>
      <c r="BE81" s="52"/>
      <c r="BF81" s="52"/>
      <c r="BG81" s="52"/>
      <c r="BH81" s="52"/>
      <c r="BI81" s="52">
        <v>7712</v>
      </c>
      <c r="BJ81" s="52"/>
      <c r="BK81" s="52"/>
      <c r="BL81" s="52"/>
      <c r="BM81" s="52"/>
      <c r="BN81" s="52"/>
      <c r="BO81" s="52"/>
      <c r="BP81" s="52"/>
      <c r="BQ81" s="52"/>
      <c r="BR81" s="52"/>
      <c r="BS81" s="52"/>
      <c r="BT81" s="52"/>
      <c r="BU81" s="52"/>
      <c r="BV81" s="52"/>
      <c r="BW81" s="52"/>
      <c r="BX81" s="52"/>
      <c r="BY81" s="52"/>
      <c r="BZ81" s="52">
        <v>47587</v>
      </c>
      <c r="CA81" s="52"/>
      <c r="CB81" s="52">
        <v>15153</v>
      </c>
      <c r="CC81" s="52"/>
      <c r="CD81" s="52"/>
      <c r="CE81" s="52"/>
      <c r="CF81" s="52"/>
      <c r="CG81" s="52"/>
      <c r="CH81" s="52"/>
      <c r="CI81" s="52">
        <v>9540</v>
      </c>
      <c r="CJ81" s="52"/>
      <c r="CK81" s="52">
        <v>39670</v>
      </c>
      <c r="CL81" s="52">
        <v>13751</v>
      </c>
      <c r="CM81" s="52">
        <v>13091</v>
      </c>
      <c r="CN81" s="52">
        <v>28808</v>
      </c>
      <c r="CO81" s="52"/>
      <c r="CP81" s="52"/>
      <c r="CQ81" s="52"/>
      <c r="CR81" s="52"/>
      <c r="CS81" s="52"/>
      <c r="CT81" s="52">
        <v>40805</v>
      </c>
      <c r="CU81" s="52"/>
      <c r="CV81" s="52"/>
      <c r="CW81" s="52"/>
      <c r="CX81" s="52"/>
      <c r="CY81" s="52"/>
      <c r="CZ81" s="52"/>
      <c r="DA81" s="52"/>
      <c r="DB81" s="52"/>
      <c r="DC81" s="52"/>
      <c r="DD81" s="52"/>
      <c r="DE81" s="52">
        <v>659824</v>
      </c>
      <c r="DF81" s="52"/>
      <c r="DG81" s="52">
        <v>659824</v>
      </c>
      <c r="DH81" s="52"/>
    </row>
    <row r="82" spans="1:112">
      <c r="A82" s="150" t="s">
        <v>411</v>
      </c>
      <c r="B82" s="44">
        <v>3172</v>
      </c>
      <c r="C82" s="44" t="s">
        <v>133</v>
      </c>
      <c r="D82" s="52">
        <v>261085</v>
      </c>
      <c r="E82" s="52"/>
      <c r="F82" s="52">
        <v>53761</v>
      </c>
      <c r="G82" s="52"/>
      <c r="H82" s="56"/>
      <c r="I82" s="56"/>
      <c r="J82" s="56"/>
      <c r="K82" s="56"/>
      <c r="L82" s="52"/>
      <c r="M82" s="52"/>
      <c r="N82" s="52"/>
      <c r="O82" s="52">
        <v>24883</v>
      </c>
      <c r="P82" s="52">
        <v>31934</v>
      </c>
      <c r="Q82" s="52">
        <v>11890</v>
      </c>
      <c r="R82" s="52">
        <v>8483</v>
      </c>
      <c r="S82" s="52"/>
      <c r="T82" s="52"/>
      <c r="U82" s="52">
        <v>108562</v>
      </c>
      <c r="V82" s="52"/>
      <c r="W82" s="52"/>
      <c r="X82" s="52"/>
      <c r="Y82" s="52">
        <v>420241</v>
      </c>
      <c r="Z82" s="52">
        <v>106211</v>
      </c>
      <c r="AA82" s="52">
        <v>130435</v>
      </c>
      <c r="AB82" s="52"/>
      <c r="AC82" s="52"/>
      <c r="AD82" s="52"/>
      <c r="AE82" s="52"/>
      <c r="AF82" s="52"/>
      <c r="AG82" s="52">
        <v>72656</v>
      </c>
      <c r="AH82" s="52"/>
      <c r="AI82" s="52"/>
      <c r="AJ82" s="52"/>
      <c r="AK82" s="52"/>
      <c r="AL82" s="52"/>
      <c r="AM82" s="52"/>
      <c r="AN82" s="52"/>
      <c r="AO82" s="52"/>
      <c r="AP82" s="52"/>
      <c r="AQ82" s="52">
        <v>215735</v>
      </c>
      <c r="AR82" s="52">
        <v>235300</v>
      </c>
      <c r="AS82" s="52"/>
      <c r="AT82" s="52">
        <v>69040</v>
      </c>
      <c r="AU82" s="52">
        <v>220644</v>
      </c>
      <c r="AV82" s="52"/>
      <c r="AW82" s="52"/>
      <c r="AX82" s="52">
        <v>255009</v>
      </c>
      <c r="AY82" s="52">
        <v>810110</v>
      </c>
      <c r="AZ82" s="52">
        <v>246323</v>
      </c>
      <c r="BA82" s="52">
        <v>18495</v>
      </c>
      <c r="BB82" s="52">
        <v>10453</v>
      </c>
      <c r="BC82" s="52"/>
      <c r="BD82" s="52">
        <v>104361</v>
      </c>
      <c r="BE82" s="52">
        <v>5504</v>
      </c>
      <c r="BF82" s="52"/>
      <c r="BG82" s="52"/>
      <c r="BH82" s="52">
        <v>119588</v>
      </c>
      <c r="BI82" s="52">
        <v>48212</v>
      </c>
      <c r="BJ82" s="52">
        <v>192359</v>
      </c>
      <c r="BK82" s="52"/>
      <c r="BL82" s="52"/>
      <c r="BM82" s="52">
        <v>263256</v>
      </c>
      <c r="BN82" s="52">
        <v>3215</v>
      </c>
      <c r="BO82" s="52"/>
      <c r="BP82" s="52">
        <v>101190</v>
      </c>
      <c r="BQ82" s="52"/>
      <c r="BR82" s="52"/>
      <c r="BS82" s="52"/>
      <c r="BT82" s="52">
        <v>38956</v>
      </c>
      <c r="BU82" s="52">
        <v>25072</v>
      </c>
      <c r="BV82" s="52"/>
      <c r="BW82" s="52"/>
      <c r="BX82" s="52">
        <v>410225</v>
      </c>
      <c r="BY82" s="52">
        <v>22022</v>
      </c>
      <c r="BZ82" s="52">
        <v>226055</v>
      </c>
      <c r="CA82" s="52"/>
      <c r="CB82" s="52">
        <v>122626</v>
      </c>
      <c r="CC82" s="52">
        <v>84306</v>
      </c>
      <c r="CD82" s="52"/>
      <c r="CE82" s="52"/>
      <c r="CF82" s="52"/>
      <c r="CG82" s="52">
        <v>368790</v>
      </c>
      <c r="CH82" s="52">
        <v>350926</v>
      </c>
      <c r="CI82" s="52">
        <v>32150</v>
      </c>
      <c r="CJ82" s="52">
        <v>66469</v>
      </c>
      <c r="CK82" s="52"/>
      <c r="CL82" s="52">
        <v>81567</v>
      </c>
      <c r="CM82" s="52">
        <v>31822</v>
      </c>
      <c r="CN82" s="52">
        <v>64924</v>
      </c>
      <c r="CO82" s="52">
        <v>653296</v>
      </c>
      <c r="CP82" s="52"/>
      <c r="CQ82" s="52"/>
      <c r="CR82" s="52"/>
      <c r="CS82" s="52"/>
      <c r="CT82" s="52">
        <v>134700</v>
      </c>
      <c r="CU82" s="52"/>
      <c r="CV82" s="52"/>
      <c r="CW82" s="52"/>
      <c r="CX82" s="52">
        <v>32240</v>
      </c>
      <c r="CY82" s="52"/>
      <c r="CZ82" s="52"/>
      <c r="DA82" s="52"/>
      <c r="DB82" s="52">
        <v>47748</v>
      </c>
      <c r="DC82" s="52"/>
      <c r="DD82" s="52"/>
      <c r="DE82" s="52">
        <v>6942829</v>
      </c>
      <c r="DF82" s="52"/>
      <c r="DG82" s="52">
        <v>6942829</v>
      </c>
      <c r="DH82" s="52"/>
    </row>
    <row r="83" spans="1:112">
      <c r="A83" s="150" t="s">
        <v>411</v>
      </c>
      <c r="B83" s="44">
        <v>3174</v>
      </c>
      <c r="C83" s="44" t="s">
        <v>134</v>
      </c>
      <c r="D83" s="52"/>
      <c r="E83" s="52"/>
      <c r="F83" s="52"/>
      <c r="G83" s="52"/>
      <c r="H83" s="56"/>
      <c r="I83" s="56"/>
      <c r="J83" s="56"/>
      <c r="K83" s="56"/>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row>
    <row r="84" spans="1:112">
      <c r="A84" s="150" t="s">
        <v>411</v>
      </c>
      <c r="B84" s="44">
        <v>3180</v>
      </c>
      <c r="C84" s="44" t="s">
        <v>135</v>
      </c>
      <c r="D84" s="52">
        <v>2667801</v>
      </c>
      <c r="E84" s="52">
        <v>16820164</v>
      </c>
      <c r="F84" s="52">
        <v>1229404</v>
      </c>
      <c r="G84" s="52"/>
      <c r="H84" s="56">
        <v>6021648</v>
      </c>
      <c r="I84" s="56">
        <v>2872461</v>
      </c>
      <c r="J84" s="56">
        <v>2213535</v>
      </c>
      <c r="K84" s="56">
        <v>1555962</v>
      </c>
      <c r="L84" s="52">
        <v>8248525</v>
      </c>
      <c r="M84" s="52"/>
      <c r="N84" s="52"/>
      <c r="O84" s="52">
        <v>1325202</v>
      </c>
      <c r="P84" s="52">
        <v>760367</v>
      </c>
      <c r="Q84" s="52">
        <v>751865</v>
      </c>
      <c r="R84" s="52">
        <v>749259</v>
      </c>
      <c r="S84" s="52">
        <v>2048883</v>
      </c>
      <c r="T84" s="52"/>
      <c r="U84" s="52">
        <v>178357</v>
      </c>
      <c r="V84" s="52"/>
      <c r="W84" s="52">
        <v>19326294</v>
      </c>
      <c r="X84" s="52">
        <v>963294</v>
      </c>
      <c r="Y84" s="52">
        <v>13710198</v>
      </c>
      <c r="Z84" s="52">
        <v>6256085</v>
      </c>
      <c r="AA84" s="52">
        <v>4233474</v>
      </c>
      <c r="AB84" s="52">
        <v>5987554</v>
      </c>
      <c r="AC84" s="52">
        <v>694935</v>
      </c>
      <c r="AD84" s="52">
        <v>2508886</v>
      </c>
      <c r="AE84" s="52">
        <v>1052094</v>
      </c>
      <c r="AF84" s="52"/>
      <c r="AG84" s="52">
        <v>4335110</v>
      </c>
      <c r="AH84" s="52">
        <v>8190645</v>
      </c>
      <c r="AI84" s="52"/>
      <c r="AJ84" s="52">
        <v>674005</v>
      </c>
      <c r="AK84" s="52">
        <v>2755496</v>
      </c>
      <c r="AL84" s="52">
        <v>1227344</v>
      </c>
      <c r="AM84" s="52"/>
      <c r="AN84" s="52">
        <v>13915367</v>
      </c>
      <c r="AO84" s="52">
        <v>1522279</v>
      </c>
      <c r="AP84" s="52"/>
      <c r="AQ84" s="52">
        <v>3064917</v>
      </c>
      <c r="AR84" s="52">
        <v>1844829</v>
      </c>
      <c r="AS84" s="52">
        <v>10168308</v>
      </c>
      <c r="AT84" s="52">
        <v>948439</v>
      </c>
      <c r="AU84" s="52">
        <v>2972558</v>
      </c>
      <c r="AV84" s="52">
        <v>713011</v>
      </c>
      <c r="AW84" s="52">
        <v>1193797</v>
      </c>
      <c r="AX84" s="52">
        <v>4765447</v>
      </c>
      <c r="AY84" s="52">
        <v>40910830</v>
      </c>
      <c r="AZ84" s="52">
        <v>6397073</v>
      </c>
      <c r="BA84" s="52">
        <v>917117</v>
      </c>
      <c r="BB84" s="52">
        <v>808608</v>
      </c>
      <c r="BC84" s="52"/>
      <c r="BD84" s="52">
        <v>2123379</v>
      </c>
      <c r="BE84" s="52">
        <v>1068884</v>
      </c>
      <c r="BF84" s="52">
        <v>16778832</v>
      </c>
      <c r="BG84" s="52">
        <v>1891968</v>
      </c>
      <c r="BH84" s="52">
        <v>7235535</v>
      </c>
      <c r="BI84" s="52">
        <v>8034389</v>
      </c>
      <c r="BJ84" s="52">
        <v>4310670</v>
      </c>
      <c r="BK84" s="52">
        <v>2523008</v>
      </c>
      <c r="BL84" s="52">
        <v>2065863</v>
      </c>
      <c r="BM84" s="52">
        <v>14003403</v>
      </c>
      <c r="BN84" s="52">
        <v>5803376</v>
      </c>
      <c r="BO84" s="52">
        <v>1546513</v>
      </c>
      <c r="BP84" s="52">
        <v>2787380</v>
      </c>
      <c r="BQ84" s="52">
        <v>11113435</v>
      </c>
      <c r="BR84" s="52">
        <v>466391</v>
      </c>
      <c r="BS84" s="52"/>
      <c r="BT84" s="52">
        <v>2368868</v>
      </c>
      <c r="BU84" s="52">
        <v>1541749</v>
      </c>
      <c r="BV84" s="52">
        <v>703441</v>
      </c>
      <c r="BW84" s="52"/>
      <c r="BX84" s="52">
        <v>3706086</v>
      </c>
      <c r="BY84" s="52">
        <v>4249525</v>
      </c>
      <c r="BZ84" s="52">
        <v>5388670</v>
      </c>
      <c r="CA84" s="52"/>
      <c r="CB84" s="52">
        <v>2401573</v>
      </c>
      <c r="CC84" s="52">
        <v>3056678</v>
      </c>
      <c r="CD84" s="52">
        <v>4813856</v>
      </c>
      <c r="CE84" s="52"/>
      <c r="CF84" s="52">
        <v>10851436</v>
      </c>
      <c r="CG84" s="52">
        <v>14531253</v>
      </c>
      <c r="CH84" s="52">
        <v>14867188</v>
      </c>
      <c r="CI84" s="52">
        <v>1544931</v>
      </c>
      <c r="CJ84" s="52">
        <v>3434108</v>
      </c>
      <c r="CK84" s="52">
        <v>6606868</v>
      </c>
      <c r="CL84" s="52">
        <v>2143224</v>
      </c>
      <c r="CM84" s="52">
        <v>2102850</v>
      </c>
      <c r="CN84" s="52">
        <v>3964831</v>
      </c>
      <c r="CO84" s="52">
        <v>6215221</v>
      </c>
      <c r="CP84" s="52">
        <v>5267805</v>
      </c>
      <c r="CQ84" s="52"/>
      <c r="CR84" s="52"/>
      <c r="CS84" s="52">
        <v>29036</v>
      </c>
      <c r="CT84" s="52">
        <v>6792310</v>
      </c>
      <c r="CU84" s="52">
        <v>6439166</v>
      </c>
      <c r="CV84" s="52"/>
      <c r="CW84" s="52">
        <v>3699609</v>
      </c>
      <c r="CX84" s="52">
        <v>4348525</v>
      </c>
      <c r="CY84" s="52">
        <v>3802845</v>
      </c>
      <c r="CZ84" s="52">
        <v>2370730</v>
      </c>
      <c r="DA84" s="52">
        <v>11255293</v>
      </c>
      <c r="DB84" s="52">
        <v>4682050</v>
      </c>
      <c r="DC84" s="52">
        <v>1077362</v>
      </c>
      <c r="DD84" s="52">
        <v>551805</v>
      </c>
      <c r="DE84" s="52">
        <v>434434178</v>
      </c>
      <c r="DF84" s="52">
        <v>1629167</v>
      </c>
      <c r="DG84" s="52">
        <v>436063345</v>
      </c>
      <c r="DH84" s="52"/>
    </row>
    <row r="85" spans="1:112">
      <c r="A85" s="150" t="s">
        <v>411</v>
      </c>
      <c r="B85" s="44">
        <v>3181</v>
      </c>
      <c r="C85" s="44" t="s">
        <v>136</v>
      </c>
      <c r="D85" s="52">
        <v>389035</v>
      </c>
      <c r="E85" s="52">
        <v>2343349</v>
      </c>
      <c r="F85" s="52">
        <v>217993</v>
      </c>
      <c r="G85" s="52">
        <v>25908</v>
      </c>
      <c r="H85" s="56">
        <v>677615</v>
      </c>
      <c r="I85" s="56">
        <v>331400</v>
      </c>
      <c r="J85" s="56"/>
      <c r="K85" s="56">
        <v>282183</v>
      </c>
      <c r="L85" s="52">
        <v>1231768</v>
      </c>
      <c r="M85" s="52"/>
      <c r="N85" s="52">
        <v>43218</v>
      </c>
      <c r="O85" s="52">
        <v>178251</v>
      </c>
      <c r="P85" s="52">
        <v>142485</v>
      </c>
      <c r="Q85" s="52">
        <v>107586</v>
      </c>
      <c r="R85" s="52">
        <v>101173</v>
      </c>
      <c r="S85" s="52">
        <v>267894</v>
      </c>
      <c r="T85" s="52">
        <v>17135</v>
      </c>
      <c r="U85" s="52">
        <v>1794289</v>
      </c>
      <c r="V85" s="52">
        <v>43534</v>
      </c>
      <c r="W85" s="52">
        <v>2593034</v>
      </c>
      <c r="X85" s="52">
        <v>242362</v>
      </c>
      <c r="Y85" s="52">
        <v>4450170</v>
      </c>
      <c r="Z85" s="52">
        <v>997731</v>
      </c>
      <c r="AA85" s="52">
        <v>646246</v>
      </c>
      <c r="AB85" s="52">
        <v>746285</v>
      </c>
      <c r="AC85" s="52">
        <v>117898</v>
      </c>
      <c r="AD85" s="52">
        <v>282478</v>
      </c>
      <c r="AE85" s="52">
        <v>115789</v>
      </c>
      <c r="AF85" s="52"/>
      <c r="AG85" s="52">
        <v>630896</v>
      </c>
      <c r="AH85" s="52">
        <v>1141025</v>
      </c>
      <c r="AI85" s="52">
        <v>579480</v>
      </c>
      <c r="AJ85" s="52"/>
      <c r="AK85" s="52">
        <v>347688</v>
      </c>
      <c r="AL85" s="52"/>
      <c r="AM85" s="52"/>
      <c r="AN85" s="52">
        <v>1496045</v>
      </c>
      <c r="AO85" s="52">
        <v>227880</v>
      </c>
      <c r="AP85" s="52">
        <v>30409</v>
      </c>
      <c r="AQ85" s="52">
        <v>426222</v>
      </c>
      <c r="AR85" s="52">
        <v>522624</v>
      </c>
      <c r="AS85" s="52">
        <v>1602226</v>
      </c>
      <c r="AT85" s="52">
        <v>120972</v>
      </c>
      <c r="AU85" s="52">
        <v>396204</v>
      </c>
      <c r="AV85" s="52">
        <v>121825</v>
      </c>
      <c r="AW85" s="52">
        <v>164122</v>
      </c>
      <c r="AX85" s="52">
        <v>1180146</v>
      </c>
      <c r="AY85" s="52">
        <v>5636628</v>
      </c>
      <c r="AZ85" s="52">
        <v>945586</v>
      </c>
      <c r="BA85" s="52">
        <v>122724</v>
      </c>
      <c r="BB85" s="52">
        <v>163115</v>
      </c>
      <c r="BC85" s="52"/>
      <c r="BD85" s="52">
        <v>279381</v>
      </c>
      <c r="BE85" s="52">
        <v>154576</v>
      </c>
      <c r="BF85" s="52">
        <v>3535524</v>
      </c>
      <c r="BG85" s="52">
        <v>264884</v>
      </c>
      <c r="BH85" s="52">
        <v>992917</v>
      </c>
      <c r="BI85" s="52">
        <v>1050540</v>
      </c>
      <c r="BJ85" s="52">
        <v>559630</v>
      </c>
      <c r="BK85" s="52">
        <v>315222</v>
      </c>
      <c r="BL85" s="52">
        <v>299591</v>
      </c>
      <c r="BM85" s="52">
        <v>1823591</v>
      </c>
      <c r="BN85" s="52">
        <v>978485</v>
      </c>
      <c r="BO85" s="52">
        <v>273424</v>
      </c>
      <c r="BP85" s="52">
        <v>341589</v>
      </c>
      <c r="BQ85" s="52">
        <v>1866479</v>
      </c>
      <c r="BR85" s="52">
        <v>116527</v>
      </c>
      <c r="BS85" s="52">
        <v>15263</v>
      </c>
      <c r="BT85" s="52">
        <v>283746</v>
      </c>
      <c r="BU85" s="52">
        <v>204160</v>
      </c>
      <c r="BV85" s="52">
        <v>108388</v>
      </c>
      <c r="BW85" s="52">
        <v>21876</v>
      </c>
      <c r="BX85" s="52">
        <v>515225</v>
      </c>
      <c r="BY85" s="52">
        <v>634009</v>
      </c>
      <c r="BZ85" s="52">
        <v>1177316</v>
      </c>
      <c r="CA85" s="52"/>
      <c r="CB85" s="52">
        <v>403578</v>
      </c>
      <c r="CC85" s="52">
        <v>433994</v>
      </c>
      <c r="CD85" s="52">
        <v>948740</v>
      </c>
      <c r="CE85" s="52"/>
      <c r="CF85" s="52">
        <v>1482857</v>
      </c>
      <c r="CG85" s="52">
        <v>3286864</v>
      </c>
      <c r="CH85" s="52">
        <v>2038969</v>
      </c>
      <c r="CI85" s="52">
        <v>210556</v>
      </c>
      <c r="CJ85" s="52">
        <v>444552</v>
      </c>
      <c r="CK85" s="52">
        <v>718298</v>
      </c>
      <c r="CL85" s="52">
        <v>357206</v>
      </c>
      <c r="CM85" s="52">
        <v>251066</v>
      </c>
      <c r="CN85" s="52">
        <v>641145</v>
      </c>
      <c r="CO85" s="52">
        <v>821761</v>
      </c>
      <c r="CP85" s="52">
        <v>1122771</v>
      </c>
      <c r="CQ85" s="52"/>
      <c r="CR85" s="52">
        <v>32124</v>
      </c>
      <c r="CS85" s="52"/>
      <c r="CT85" s="52">
        <v>881999</v>
      </c>
      <c r="CU85" s="52">
        <v>854428</v>
      </c>
      <c r="CV85" s="52"/>
      <c r="CW85" s="52">
        <v>492719</v>
      </c>
      <c r="CX85" s="52">
        <v>597083</v>
      </c>
      <c r="CY85" s="52">
        <v>504478</v>
      </c>
      <c r="CZ85" s="52">
        <v>602257</v>
      </c>
      <c r="DA85" s="52">
        <v>1520460</v>
      </c>
      <c r="DB85" s="52">
        <v>646210</v>
      </c>
      <c r="DC85" s="52"/>
      <c r="DD85" s="52">
        <v>41948</v>
      </c>
      <c r="DE85" s="52">
        <v>69349084</v>
      </c>
      <c r="DF85" s="52">
        <v>41948</v>
      </c>
      <c r="DG85" s="52">
        <v>69391032</v>
      </c>
      <c r="DH85" s="52"/>
    </row>
    <row r="86" spans="1:112">
      <c r="A86" s="150" t="s">
        <v>411</v>
      </c>
      <c r="B86" s="44">
        <v>3183</v>
      </c>
      <c r="C86" s="44" t="s">
        <v>137</v>
      </c>
      <c r="D86" s="52"/>
      <c r="E86" s="52"/>
      <c r="F86" s="52"/>
      <c r="G86" s="52"/>
      <c r="H86" s="56"/>
      <c r="I86" s="56"/>
      <c r="J86" s="56"/>
      <c r="K86" s="56"/>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row>
    <row r="87" spans="1:112">
      <c r="A87" s="150" t="s">
        <v>411</v>
      </c>
      <c r="B87" s="44">
        <v>3183</v>
      </c>
      <c r="C87" s="44" t="s">
        <v>137</v>
      </c>
      <c r="D87" s="52"/>
      <c r="E87" s="52"/>
      <c r="F87" s="52"/>
      <c r="G87" s="52"/>
      <c r="H87" s="56"/>
      <c r="I87" s="56"/>
      <c r="J87" s="56"/>
      <c r="K87" s="56"/>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row>
    <row r="88" spans="1:112">
      <c r="A88" s="150" t="s">
        <v>411</v>
      </c>
      <c r="B88" s="44">
        <v>3185</v>
      </c>
      <c r="C88" s="44" t="s">
        <v>138</v>
      </c>
      <c r="D88" s="52"/>
      <c r="E88" s="52"/>
      <c r="F88" s="52"/>
      <c r="G88" s="52"/>
      <c r="H88" s="56"/>
      <c r="I88" s="56"/>
      <c r="J88" s="56"/>
      <c r="K88" s="56"/>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row>
    <row r="89" spans="1:112">
      <c r="A89" s="150" t="s">
        <v>411</v>
      </c>
      <c r="B89" s="44">
        <v>3191</v>
      </c>
      <c r="C89" s="44" t="s">
        <v>140</v>
      </c>
      <c r="D89" s="52"/>
      <c r="E89" s="52">
        <v>7278</v>
      </c>
      <c r="F89" s="52"/>
      <c r="G89" s="52"/>
      <c r="H89" s="56"/>
      <c r="I89" s="56"/>
      <c r="J89" s="56"/>
      <c r="K89" s="56"/>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v>10038</v>
      </c>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v>17316</v>
      </c>
      <c r="DF89" s="52"/>
      <c r="DG89" s="52">
        <v>17316</v>
      </c>
      <c r="DH89" s="52"/>
    </row>
    <row r="90" spans="1:112">
      <c r="A90" s="150" t="s">
        <v>411</v>
      </c>
      <c r="B90" s="44">
        <v>3192</v>
      </c>
      <c r="C90" s="44" t="s">
        <v>141</v>
      </c>
      <c r="D90" s="52"/>
      <c r="E90" s="52"/>
      <c r="F90" s="52"/>
      <c r="G90" s="52"/>
      <c r="H90" s="56"/>
      <c r="I90" s="56"/>
      <c r="J90" s="56"/>
      <c r="K90" s="56"/>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v>746</v>
      </c>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v>746</v>
      </c>
      <c r="DF90" s="52"/>
      <c r="DG90" s="52">
        <v>746</v>
      </c>
      <c r="DH90" s="52"/>
    </row>
    <row r="91" spans="1:112">
      <c r="A91" s="150" t="s">
        <v>411</v>
      </c>
      <c r="B91" s="44">
        <v>3193</v>
      </c>
      <c r="C91" s="44" t="s">
        <v>142</v>
      </c>
      <c r="D91" s="52">
        <v>3374</v>
      </c>
      <c r="E91" s="52">
        <v>9137</v>
      </c>
      <c r="F91" s="52"/>
      <c r="G91" s="52"/>
      <c r="H91" s="56">
        <v>1323</v>
      </c>
      <c r="I91" s="56">
        <v>1127</v>
      </c>
      <c r="J91" s="56">
        <v>668</v>
      </c>
      <c r="K91" s="56">
        <v>795</v>
      </c>
      <c r="L91" s="52"/>
      <c r="M91" s="52"/>
      <c r="N91" s="52"/>
      <c r="O91" s="52">
        <v>986</v>
      </c>
      <c r="P91" s="52">
        <v>1066</v>
      </c>
      <c r="Q91" s="52">
        <v>468</v>
      </c>
      <c r="R91" s="52"/>
      <c r="S91" s="52">
        <v>1641</v>
      </c>
      <c r="T91" s="52"/>
      <c r="U91" s="52"/>
      <c r="V91" s="52"/>
      <c r="W91" s="52">
        <v>7644</v>
      </c>
      <c r="X91" s="52"/>
      <c r="Y91" s="52">
        <v>11931</v>
      </c>
      <c r="Z91" s="52">
        <v>4032</v>
      </c>
      <c r="AA91" s="52"/>
      <c r="AB91" s="52">
        <v>3109</v>
      </c>
      <c r="AC91" s="52">
        <v>1972</v>
      </c>
      <c r="AD91" s="52"/>
      <c r="AE91" s="52">
        <v>515</v>
      </c>
      <c r="AF91" s="52"/>
      <c r="AG91" s="52">
        <v>2773</v>
      </c>
      <c r="AH91" s="52"/>
      <c r="AI91" s="52"/>
      <c r="AJ91" s="52">
        <v>613</v>
      </c>
      <c r="AK91" s="52"/>
      <c r="AL91" s="52">
        <v>607</v>
      </c>
      <c r="AM91" s="52"/>
      <c r="AN91" s="52">
        <v>3898</v>
      </c>
      <c r="AO91" s="52"/>
      <c r="AP91" s="52"/>
      <c r="AQ91" s="52"/>
      <c r="AR91" s="52"/>
      <c r="AS91" s="52">
        <v>11138</v>
      </c>
      <c r="AT91" s="52">
        <v>427</v>
      </c>
      <c r="AU91" s="52"/>
      <c r="AV91" s="52">
        <v>573</v>
      </c>
      <c r="AW91" s="52">
        <v>492</v>
      </c>
      <c r="AX91" s="52"/>
      <c r="AY91" s="52">
        <v>1944</v>
      </c>
      <c r="AZ91" s="52">
        <v>16534</v>
      </c>
      <c r="BA91" s="52">
        <v>337</v>
      </c>
      <c r="BB91" s="52"/>
      <c r="BC91" s="52"/>
      <c r="BD91" s="52"/>
      <c r="BE91" s="52">
        <v>1512</v>
      </c>
      <c r="BF91" s="52">
        <v>8957</v>
      </c>
      <c r="BG91" s="52">
        <v>2712</v>
      </c>
      <c r="BH91" s="52">
        <v>8742</v>
      </c>
      <c r="BI91" s="52">
        <v>136</v>
      </c>
      <c r="BJ91" s="52"/>
      <c r="BK91" s="52">
        <v>710</v>
      </c>
      <c r="BL91" s="52">
        <v>2354</v>
      </c>
      <c r="BM91" s="52">
        <v>6949</v>
      </c>
      <c r="BN91" s="52"/>
      <c r="BO91" s="52">
        <v>1051</v>
      </c>
      <c r="BP91" s="52"/>
      <c r="BQ91" s="52">
        <v>614</v>
      </c>
      <c r="BR91" s="52"/>
      <c r="BS91" s="52"/>
      <c r="BT91" s="52">
        <v>1242</v>
      </c>
      <c r="BU91" s="52">
        <v>596</v>
      </c>
      <c r="BV91" s="52">
        <v>344</v>
      </c>
      <c r="BW91" s="52"/>
      <c r="BX91" s="52"/>
      <c r="BY91" s="52">
        <v>6145</v>
      </c>
      <c r="BZ91" s="52">
        <v>1505</v>
      </c>
      <c r="CA91" s="52"/>
      <c r="CB91" s="52">
        <v>1487</v>
      </c>
      <c r="CC91" s="52">
        <v>1227</v>
      </c>
      <c r="CD91" s="52">
        <v>5804</v>
      </c>
      <c r="CE91" s="52"/>
      <c r="CF91" s="52">
        <v>5332</v>
      </c>
      <c r="CG91" s="52">
        <v>11630</v>
      </c>
      <c r="CH91" s="52">
        <v>15593</v>
      </c>
      <c r="CI91" s="52">
        <v>1130</v>
      </c>
      <c r="CJ91" s="52">
        <v>1313</v>
      </c>
      <c r="CK91" s="52">
        <v>2071</v>
      </c>
      <c r="CL91" s="52">
        <v>734</v>
      </c>
      <c r="CM91" s="52">
        <v>929</v>
      </c>
      <c r="CN91" s="52">
        <v>3026</v>
      </c>
      <c r="CO91" s="52">
        <v>7653</v>
      </c>
      <c r="CP91" s="52">
        <v>21735</v>
      </c>
      <c r="CQ91" s="52"/>
      <c r="CR91" s="52"/>
      <c r="CS91" s="52"/>
      <c r="CT91" s="52">
        <v>1380</v>
      </c>
      <c r="CU91" s="52"/>
      <c r="CV91" s="52"/>
      <c r="CW91" s="52"/>
      <c r="CX91" s="52"/>
      <c r="CY91" s="52"/>
      <c r="CZ91" s="52">
        <v>1127</v>
      </c>
      <c r="DA91" s="52">
        <v>4610</v>
      </c>
      <c r="DB91" s="52">
        <v>1334</v>
      </c>
      <c r="DC91" s="52"/>
      <c r="DD91" s="52"/>
      <c r="DE91" s="52">
        <v>220808</v>
      </c>
      <c r="DF91" s="52"/>
      <c r="DG91" s="52">
        <v>220808</v>
      </c>
      <c r="DH91" s="52"/>
    </row>
    <row r="92" spans="1:112">
      <c r="A92" s="150" t="s">
        <v>411</v>
      </c>
      <c r="B92" s="44">
        <v>3194</v>
      </c>
      <c r="C92" s="44" t="s">
        <v>143</v>
      </c>
      <c r="D92" s="52"/>
      <c r="E92" s="52"/>
      <c r="F92" s="52"/>
      <c r="G92" s="52"/>
      <c r="H92" s="56"/>
      <c r="I92" s="56"/>
      <c r="J92" s="56"/>
      <c r="K92" s="56"/>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row>
    <row r="93" spans="1:112">
      <c r="A93" s="150" t="s">
        <v>411</v>
      </c>
      <c r="B93" s="44">
        <v>3195</v>
      </c>
      <c r="C93" s="44" t="s">
        <v>144</v>
      </c>
      <c r="D93" s="52"/>
      <c r="E93" s="52"/>
      <c r="F93" s="52"/>
      <c r="G93" s="52"/>
      <c r="H93" s="56"/>
      <c r="I93" s="56"/>
      <c r="J93" s="56"/>
      <c r="K93" s="56"/>
      <c r="L93" s="52">
        <v>7561</v>
      </c>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v>28000</v>
      </c>
      <c r="BA93" s="52"/>
      <c r="BB93" s="52"/>
      <c r="BC93" s="52"/>
      <c r="BD93" s="52"/>
      <c r="BE93" s="52"/>
      <c r="BF93" s="52"/>
      <c r="BG93" s="52"/>
      <c r="BH93" s="52"/>
      <c r="BI93" s="52"/>
      <c r="BJ93" s="52">
        <v>9300</v>
      </c>
      <c r="BK93" s="52">
        <v>28000</v>
      </c>
      <c r="BL93" s="52"/>
      <c r="BM93" s="52">
        <v>25415</v>
      </c>
      <c r="BN93" s="52">
        <v>56000</v>
      </c>
      <c r="BO93" s="52"/>
      <c r="BP93" s="52">
        <v>149943</v>
      </c>
      <c r="BQ93" s="52">
        <v>27001</v>
      </c>
      <c r="BR93" s="52"/>
      <c r="BS93" s="52"/>
      <c r="BT93" s="52"/>
      <c r="BU93" s="52"/>
      <c r="BV93" s="52">
        <v>21000</v>
      </c>
      <c r="BW93" s="52"/>
      <c r="BX93" s="52"/>
      <c r="BY93" s="52">
        <v>17792</v>
      </c>
      <c r="BZ93" s="52">
        <v>28000</v>
      </c>
      <c r="CA93" s="52"/>
      <c r="CB93" s="52"/>
      <c r="CC93" s="52"/>
      <c r="CD93" s="52">
        <v>28000</v>
      </c>
      <c r="CE93" s="52"/>
      <c r="CF93" s="52"/>
      <c r="CG93" s="52">
        <v>3745</v>
      </c>
      <c r="CH93" s="52">
        <v>81065</v>
      </c>
      <c r="CI93" s="52"/>
      <c r="CJ93" s="52">
        <v>28000</v>
      </c>
      <c r="CK93" s="52">
        <v>28000</v>
      </c>
      <c r="CL93" s="52"/>
      <c r="CM93" s="52"/>
      <c r="CN93" s="52"/>
      <c r="CO93" s="52">
        <v>27403</v>
      </c>
      <c r="CP93" s="52">
        <v>24999</v>
      </c>
      <c r="CQ93" s="52"/>
      <c r="CR93" s="52"/>
      <c r="CS93" s="52"/>
      <c r="CT93" s="52">
        <v>28000</v>
      </c>
      <c r="CU93" s="52">
        <v>26718</v>
      </c>
      <c r="CV93" s="52"/>
      <c r="CW93" s="52">
        <v>27538</v>
      </c>
      <c r="CX93" s="52"/>
      <c r="CY93" s="52"/>
      <c r="CZ93" s="52"/>
      <c r="DA93" s="52">
        <v>28000</v>
      </c>
      <c r="DB93" s="52"/>
      <c r="DC93" s="52"/>
      <c r="DD93" s="52"/>
      <c r="DE93" s="52">
        <v>729480</v>
      </c>
      <c r="DF93" s="52"/>
      <c r="DG93" s="52">
        <v>729480</v>
      </c>
      <c r="DH93" s="52"/>
    </row>
    <row r="94" spans="1:112">
      <c r="A94" s="150" t="s">
        <v>411</v>
      </c>
      <c r="B94" s="44">
        <v>3196</v>
      </c>
      <c r="C94" s="44" t="s">
        <v>145</v>
      </c>
      <c r="D94" s="52"/>
      <c r="E94" s="52"/>
      <c r="F94" s="52"/>
      <c r="G94" s="52"/>
      <c r="H94" s="56"/>
      <c r="I94" s="56"/>
      <c r="J94" s="56"/>
      <c r="K94" s="56"/>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v>454</v>
      </c>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v>454</v>
      </c>
      <c r="DF94" s="52"/>
      <c r="DG94" s="52">
        <v>454</v>
      </c>
      <c r="DH94" s="52"/>
    </row>
    <row r="95" spans="1:112">
      <c r="A95" s="150" t="s">
        <v>411</v>
      </c>
      <c r="B95" s="44">
        <v>3198</v>
      </c>
      <c r="C95" s="44" t="s">
        <v>146</v>
      </c>
      <c r="D95" s="52"/>
      <c r="E95" s="52">
        <v>322</v>
      </c>
      <c r="F95" s="52">
        <v>9066</v>
      </c>
      <c r="G95" s="52"/>
      <c r="H95" s="56"/>
      <c r="I95" s="56"/>
      <c r="J95" s="56"/>
      <c r="K95" s="56"/>
      <c r="L95" s="52">
        <v>24348</v>
      </c>
      <c r="M95" s="52"/>
      <c r="N95" s="52"/>
      <c r="O95" s="52"/>
      <c r="P95" s="52">
        <v>4706</v>
      </c>
      <c r="Q95" s="52"/>
      <c r="R95" s="52">
        <v>896</v>
      </c>
      <c r="S95" s="52"/>
      <c r="T95" s="52"/>
      <c r="U95" s="52">
        <v>23930</v>
      </c>
      <c r="V95" s="52"/>
      <c r="W95" s="52"/>
      <c r="X95" s="52">
        <v>17070</v>
      </c>
      <c r="Y95" s="52"/>
      <c r="Z95" s="52">
        <v>19608</v>
      </c>
      <c r="AA95" s="52"/>
      <c r="AB95" s="52"/>
      <c r="AC95" s="52"/>
      <c r="AD95" s="52"/>
      <c r="AE95" s="52"/>
      <c r="AF95" s="52"/>
      <c r="AG95" s="52">
        <v>26794</v>
      </c>
      <c r="AH95" s="52">
        <v>135516</v>
      </c>
      <c r="AI95" s="52"/>
      <c r="AJ95" s="52">
        <v>813</v>
      </c>
      <c r="AK95" s="52"/>
      <c r="AL95" s="52"/>
      <c r="AM95" s="52"/>
      <c r="AN95" s="52"/>
      <c r="AO95" s="52"/>
      <c r="AP95" s="52"/>
      <c r="AQ95" s="52">
        <v>15419</v>
      </c>
      <c r="AR95" s="52"/>
      <c r="AS95" s="52"/>
      <c r="AT95" s="52"/>
      <c r="AU95" s="52">
        <v>20916</v>
      </c>
      <c r="AV95" s="52"/>
      <c r="AW95" s="52"/>
      <c r="AX95" s="52">
        <v>39380</v>
      </c>
      <c r="AY95" s="52">
        <v>155232</v>
      </c>
      <c r="AZ95" s="52">
        <v>36444</v>
      </c>
      <c r="BA95" s="52"/>
      <c r="BB95" s="52"/>
      <c r="BC95" s="52"/>
      <c r="BD95" s="52">
        <v>3591</v>
      </c>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v>74500</v>
      </c>
      <c r="CI95" s="52"/>
      <c r="CJ95" s="52"/>
      <c r="CK95" s="52"/>
      <c r="CL95" s="52"/>
      <c r="CM95" s="52"/>
      <c r="CN95" s="52"/>
      <c r="CO95" s="52"/>
      <c r="CP95" s="52">
        <v>32150</v>
      </c>
      <c r="CQ95" s="52"/>
      <c r="CR95" s="52"/>
      <c r="CS95" s="52"/>
      <c r="CT95" s="52"/>
      <c r="CU95" s="52"/>
      <c r="CV95" s="52"/>
      <c r="CW95" s="52"/>
      <c r="CX95" s="52"/>
      <c r="CY95" s="52"/>
      <c r="CZ95" s="52">
        <v>8025</v>
      </c>
      <c r="DA95" s="52"/>
      <c r="DB95" s="52"/>
      <c r="DC95" s="52"/>
      <c r="DD95" s="52"/>
      <c r="DE95" s="52">
        <v>648726</v>
      </c>
      <c r="DF95" s="52"/>
      <c r="DG95" s="52">
        <v>648726</v>
      </c>
      <c r="DH95" s="52"/>
    </row>
    <row r="96" spans="1:112">
      <c r="A96" s="150" t="s">
        <v>411</v>
      </c>
      <c r="B96" s="44">
        <v>3199</v>
      </c>
      <c r="C96" s="44" t="s">
        <v>147</v>
      </c>
      <c r="D96" s="52">
        <v>18535</v>
      </c>
      <c r="E96" s="52">
        <v>127290</v>
      </c>
      <c r="F96" s="52">
        <v>10723</v>
      </c>
      <c r="G96" s="52"/>
      <c r="H96" s="56">
        <v>60450</v>
      </c>
      <c r="I96" s="56">
        <v>20576</v>
      </c>
      <c r="J96" s="56">
        <v>90605</v>
      </c>
      <c r="K96" s="56">
        <v>28923</v>
      </c>
      <c r="L96" s="52">
        <v>185817</v>
      </c>
      <c r="M96" s="52">
        <v>1796</v>
      </c>
      <c r="N96" s="52"/>
      <c r="O96" s="52">
        <v>13897</v>
      </c>
      <c r="P96" s="52">
        <v>7272</v>
      </c>
      <c r="Q96" s="52">
        <v>5573</v>
      </c>
      <c r="R96" s="52">
        <v>6498</v>
      </c>
      <c r="S96" s="52">
        <v>76753</v>
      </c>
      <c r="T96" s="52"/>
      <c r="U96" s="52">
        <v>42057</v>
      </c>
      <c r="V96" s="52"/>
      <c r="W96" s="52">
        <v>473482</v>
      </c>
      <c r="X96" s="52">
        <v>8473</v>
      </c>
      <c r="Y96" s="52">
        <v>124290</v>
      </c>
      <c r="Z96" s="52">
        <v>50380</v>
      </c>
      <c r="AA96" s="52">
        <v>6408</v>
      </c>
      <c r="AB96" s="52">
        <v>48642</v>
      </c>
      <c r="AC96" s="52">
        <v>6767</v>
      </c>
      <c r="AD96" s="52">
        <v>17212</v>
      </c>
      <c r="AE96" s="52">
        <v>7468</v>
      </c>
      <c r="AF96" s="52"/>
      <c r="AG96" s="52">
        <v>29485</v>
      </c>
      <c r="AH96" s="52">
        <v>199854</v>
      </c>
      <c r="AI96" s="52"/>
      <c r="AJ96" s="52">
        <v>6912</v>
      </c>
      <c r="AK96" s="52">
        <v>25243</v>
      </c>
      <c r="AL96" s="52">
        <v>9766</v>
      </c>
      <c r="AM96" s="52"/>
      <c r="AN96" s="52">
        <v>114095</v>
      </c>
      <c r="AO96" s="52">
        <v>15324</v>
      </c>
      <c r="AP96" s="52"/>
      <c r="AQ96" s="52">
        <v>64778</v>
      </c>
      <c r="AR96" s="52">
        <v>16339</v>
      </c>
      <c r="AS96" s="52">
        <v>235163</v>
      </c>
      <c r="AT96" s="52">
        <v>6857</v>
      </c>
      <c r="AU96" s="52">
        <v>37258</v>
      </c>
      <c r="AV96" s="52">
        <v>6653</v>
      </c>
      <c r="AW96" s="52">
        <v>10129</v>
      </c>
      <c r="AX96" s="52">
        <v>34569</v>
      </c>
      <c r="AY96" s="52">
        <v>330452</v>
      </c>
      <c r="AZ96" s="52">
        <v>55925</v>
      </c>
      <c r="BA96" s="52">
        <v>6442</v>
      </c>
      <c r="BB96" s="52">
        <v>5684</v>
      </c>
      <c r="BC96" s="52"/>
      <c r="BD96" s="52">
        <v>17222</v>
      </c>
      <c r="BE96" s="52">
        <v>15708</v>
      </c>
      <c r="BF96" s="52">
        <v>215621</v>
      </c>
      <c r="BG96" s="52">
        <v>18464</v>
      </c>
      <c r="BH96" s="52">
        <v>186645</v>
      </c>
      <c r="BI96" s="52">
        <v>60001</v>
      </c>
      <c r="BJ96" s="52">
        <v>31206</v>
      </c>
      <c r="BK96" s="52">
        <v>17158</v>
      </c>
      <c r="BL96" s="52">
        <v>22254</v>
      </c>
      <c r="BM96" s="52">
        <v>110393</v>
      </c>
      <c r="BN96" s="52">
        <v>42472</v>
      </c>
      <c r="BO96" s="52">
        <v>10912</v>
      </c>
      <c r="BP96" s="52">
        <v>112941</v>
      </c>
      <c r="BQ96" s="52">
        <v>83622</v>
      </c>
      <c r="BR96" s="52">
        <v>2981</v>
      </c>
      <c r="BS96" s="52"/>
      <c r="BT96" s="52">
        <v>16250</v>
      </c>
      <c r="BU96" s="52">
        <v>12317</v>
      </c>
      <c r="BV96" s="52">
        <v>9197</v>
      </c>
      <c r="BW96" s="52"/>
      <c r="BX96" s="52">
        <v>28574</v>
      </c>
      <c r="BY96" s="52">
        <v>34646</v>
      </c>
      <c r="BZ96" s="52">
        <v>40120</v>
      </c>
      <c r="CA96" s="52"/>
      <c r="CB96" s="52">
        <v>135286</v>
      </c>
      <c r="CC96" s="52">
        <v>146703</v>
      </c>
      <c r="CD96" s="52">
        <v>258171</v>
      </c>
      <c r="CE96" s="52"/>
      <c r="CF96" s="52">
        <v>91112</v>
      </c>
      <c r="CG96" s="52">
        <v>130830</v>
      </c>
      <c r="CH96" s="52">
        <v>121232</v>
      </c>
      <c r="CI96" s="52">
        <v>11218</v>
      </c>
      <c r="CJ96" s="52">
        <v>29449</v>
      </c>
      <c r="CK96" s="52">
        <v>48899</v>
      </c>
      <c r="CL96" s="52">
        <v>88407</v>
      </c>
      <c r="CM96" s="52">
        <v>15328</v>
      </c>
      <c r="CN96" s="52">
        <v>43602</v>
      </c>
      <c r="CO96" s="52">
        <v>48404</v>
      </c>
      <c r="CP96" s="52">
        <v>49321</v>
      </c>
      <c r="CQ96" s="52"/>
      <c r="CR96" s="52"/>
      <c r="CS96" s="52"/>
      <c r="CT96" s="52">
        <v>59905</v>
      </c>
      <c r="CU96" s="52">
        <v>46114</v>
      </c>
      <c r="CV96" s="52"/>
      <c r="CW96" s="52">
        <v>35059</v>
      </c>
      <c r="CX96" s="52">
        <v>35012</v>
      </c>
      <c r="CY96" s="52">
        <v>26935</v>
      </c>
      <c r="CZ96" s="52">
        <v>3644</v>
      </c>
      <c r="DA96" s="52">
        <v>94907</v>
      </c>
      <c r="DB96" s="52">
        <v>38921</v>
      </c>
      <c r="DC96" s="52"/>
      <c r="DD96" s="52"/>
      <c r="DE96" s="52">
        <v>5297978</v>
      </c>
      <c r="DF96" s="52"/>
      <c r="DG96" s="52">
        <v>5297978</v>
      </c>
      <c r="DH96" s="52"/>
    </row>
    <row r="97" spans="1:112">
      <c r="A97" s="150" t="s">
        <v>411</v>
      </c>
      <c r="B97" s="44">
        <v>3220</v>
      </c>
      <c r="C97" s="44" t="s">
        <v>149</v>
      </c>
      <c r="D97" s="52"/>
      <c r="E97" s="52"/>
      <c r="F97" s="52"/>
      <c r="G97" s="52"/>
      <c r="H97" s="56"/>
      <c r="I97" s="56"/>
      <c r="J97" s="56"/>
      <c r="K97" s="56"/>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row>
    <row r="98" spans="1:112">
      <c r="A98" s="150" t="s">
        <v>411</v>
      </c>
      <c r="B98" s="44">
        <v>3230</v>
      </c>
      <c r="C98" s="44" t="s">
        <v>150</v>
      </c>
      <c r="D98" s="52"/>
      <c r="E98" s="52"/>
      <c r="F98" s="52"/>
      <c r="G98" s="52"/>
      <c r="H98" s="56"/>
      <c r="I98" s="56"/>
      <c r="J98" s="56"/>
      <c r="K98" s="56"/>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row>
    <row r="99" spans="1:112">
      <c r="A99" s="150" t="s">
        <v>411</v>
      </c>
      <c r="B99" s="44">
        <v>3299</v>
      </c>
      <c r="C99" s="44" t="s">
        <v>152</v>
      </c>
      <c r="D99" s="52"/>
      <c r="E99" s="52"/>
      <c r="F99" s="52"/>
      <c r="G99" s="52"/>
      <c r="H99" s="56"/>
      <c r="I99" s="56"/>
      <c r="J99" s="56"/>
      <c r="K99" s="56"/>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row>
    <row r="100" spans="1:112">
      <c r="A100" s="150" t="s">
        <v>411</v>
      </c>
      <c r="B100" s="44">
        <v>3311</v>
      </c>
      <c r="C100" s="44" t="s">
        <v>155</v>
      </c>
      <c r="D100" s="52">
        <v>534325</v>
      </c>
      <c r="E100" s="52">
        <v>3950064</v>
      </c>
      <c r="F100" s="52">
        <v>315432</v>
      </c>
      <c r="G100" s="52"/>
      <c r="H100" s="56">
        <v>1551825</v>
      </c>
      <c r="I100" s="56">
        <v>581412</v>
      </c>
      <c r="J100" s="56">
        <v>390859</v>
      </c>
      <c r="K100" s="56">
        <v>344771</v>
      </c>
      <c r="L100" s="52">
        <v>1960051</v>
      </c>
      <c r="M100" s="52"/>
      <c r="N100" s="52"/>
      <c r="O100" s="52">
        <v>244592</v>
      </c>
      <c r="P100" s="52">
        <v>128688</v>
      </c>
      <c r="Q100" s="52">
        <v>166759</v>
      </c>
      <c r="R100" s="52">
        <v>138281</v>
      </c>
      <c r="S100" s="52">
        <v>402144</v>
      </c>
      <c r="T100" s="52"/>
      <c r="U100" s="52">
        <v>98615</v>
      </c>
      <c r="V100" s="52"/>
      <c r="W100" s="52">
        <v>4347561</v>
      </c>
      <c r="X100" s="52">
        <v>166699</v>
      </c>
      <c r="Y100" s="52">
        <v>3218943</v>
      </c>
      <c r="Z100" s="52">
        <v>1405890</v>
      </c>
      <c r="AA100" s="52">
        <v>928091</v>
      </c>
      <c r="AB100" s="52">
        <v>1344964</v>
      </c>
      <c r="AC100" s="52">
        <v>114638</v>
      </c>
      <c r="AD100" s="52">
        <v>538161</v>
      </c>
      <c r="AE100" s="52">
        <v>246732</v>
      </c>
      <c r="AF100" s="52"/>
      <c r="AG100" s="52">
        <v>978137</v>
      </c>
      <c r="AH100" s="52">
        <v>1640749</v>
      </c>
      <c r="AI100" s="52"/>
      <c r="AJ100" s="52">
        <v>147464</v>
      </c>
      <c r="AK100" s="52">
        <v>688073</v>
      </c>
      <c r="AL100" s="52">
        <v>286206</v>
      </c>
      <c r="AM100" s="52"/>
      <c r="AN100" s="52">
        <v>3309815</v>
      </c>
      <c r="AO100" s="52">
        <v>308475</v>
      </c>
      <c r="AP100" s="52"/>
      <c r="AQ100" s="52">
        <v>758205</v>
      </c>
      <c r="AR100" s="52">
        <v>335990</v>
      </c>
      <c r="AS100" s="52">
        <v>2402631</v>
      </c>
      <c r="AT100" s="52">
        <v>203244</v>
      </c>
      <c r="AU100" s="52">
        <v>682241</v>
      </c>
      <c r="AV100" s="52">
        <v>155807</v>
      </c>
      <c r="AW100" s="52">
        <v>259133</v>
      </c>
      <c r="AX100" s="52">
        <v>986803</v>
      </c>
      <c r="AY100" s="52">
        <v>9732726</v>
      </c>
      <c r="AZ100" s="52">
        <v>1488600</v>
      </c>
      <c r="BA100" s="52">
        <v>159443</v>
      </c>
      <c r="BB100" s="52">
        <v>185149</v>
      </c>
      <c r="BC100" s="52"/>
      <c r="BD100" s="52">
        <v>442144</v>
      </c>
      <c r="BE100" s="52">
        <v>183121</v>
      </c>
      <c r="BF100" s="52">
        <v>4486602</v>
      </c>
      <c r="BG100" s="52">
        <v>513511</v>
      </c>
      <c r="BH100" s="52">
        <v>1616428</v>
      </c>
      <c r="BI100" s="52">
        <v>1973342</v>
      </c>
      <c r="BJ100" s="52">
        <v>924409</v>
      </c>
      <c r="BK100" s="52">
        <v>463133</v>
      </c>
      <c r="BL100" s="52">
        <v>415038</v>
      </c>
      <c r="BM100" s="52">
        <v>3292132</v>
      </c>
      <c r="BN100" s="52">
        <v>1238392</v>
      </c>
      <c r="BO100" s="52">
        <v>301643</v>
      </c>
      <c r="BP100" s="52">
        <v>659659</v>
      </c>
      <c r="BQ100" s="52">
        <v>2196548</v>
      </c>
      <c r="BR100" s="52">
        <v>90759</v>
      </c>
      <c r="BS100" s="52"/>
      <c r="BT100" s="52">
        <v>523276</v>
      </c>
      <c r="BU100" s="52">
        <v>348191</v>
      </c>
      <c r="BV100" s="52">
        <v>98489</v>
      </c>
      <c r="BW100" s="52"/>
      <c r="BX100" s="52">
        <v>770590</v>
      </c>
      <c r="BY100" s="52">
        <v>976293</v>
      </c>
      <c r="BZ100" s="52">
        <v>1204940</v>
      </c>
      <c r="CA100" s="52"/>
      <c r="CB100" s="52">
        <v>480762</v>
      </c>
      <c r="CC100" s="52">
        <v>583835</v>
      </c>
      <c r="CD100" s="52">
        <v>1026807</v>
      </c>
      <c r="CE100" s="52"/>
      <c r="CF100" s="52">
        <v>2531769</v>
      </c>
      <c r="CG100" s="52">
        <v>3286875</v>
      </c>
      <c r="CH100" s="52">
        <v>3355429</v>
      </c>
      <c r="CI100" s="52">
        <v>510099</v>
      </c>
      <c r="CJ100" s="52">
        <v>783107</v>
      </c>
      <c r="CK100" s="52">
        <v>1621363</v>
      </c>
      <c r="CL100" s="52">
        <v>475898</v>
      </c>
      <c r="CM100" s="52">
        <v>381669</v>
      </c>
      <c r="CN100" s="52">
        <v>857775</v>
      </c>
      <c r="CO100" s="52">
        <v>1377125</v>
      </c>
      <c r="CP100" s="52">
        <v>1034532</v>
      </c>
      <c r="CQ100" s="52"/>
      <c r="CR100" s="52"/>
      <c r="CS100" s="52"/>
      <c r="CT100" s="52">
        <v>1527576</v>
      </c>
      <c r="CU100" s="52">
        <v>1485967</v>
      </c>
      <c r="CV100" s="52"/>
      <c r="CW100" s="52">
        <v>775604</v>
      </c>
      <c r="CX100" s="52">
        <v>845766</v>
      </c>
      <c r="CY100" s="52">
        <v>838850</v>
      </c>
      <c r="CZ100" s="52">
        <v>586561</v>
      </c>
      <c r="DA100" s="52">
        <v>2844555</v>
      </c>
      <c r="DB100" s="52">
        <v>1391211</v>
      </c>
      <c r="DC100" s="52"/>
      <c r="DD100" s="52"/>
      <c r="DE100" s="52">
        <v>99150163</v>
      </c>
      <c r="DF100" s="52"/>
      <c r="DG100" s="52">
        <v>99150163</v>
      </c>
      <c r="DH100" s="52"/>
    </row>
    <row r="101" spans="1:112">
      <c r="A101" s="150" t="s">
        <v>411</v>
      </c>
      <c r="B101" s="44">
        <v>3312</v>
      </c>
      <c r="C101" s="44" t="s">
        <v>156</v>
      </c>
      <c r="D101" s="52">
        <v>1531509</v>
      </c>
      <c r="E101" s="52">
        <v>10531383</v>
      </c>
      <c r="F101" s="52">
        <v>777498</v>
      </c>
      <c r="G101" s="52"/>
      <c r="H101" s="56">
        <v>4120062</v>
      </c>
      <c r="I101" s="56">
        <v>1562059</v>
      </c>
      <c r="J101" s="56">
        <v>1263674</v>
      </c>
      <c r="K101" s="56">
        <v>963337</v>
      </c>
      <c r="L101" s="52">
        <v>5057370</v>
      </c>
      <c r="M101" s="52"/>
      <c r="N101" s="52"/>
      <c r="O101" s="52">
        <v>693568</v>
      </c>
      <c r="P101" s="52">
        <v>403388</v>
      </c>
      <c r="Q101" s="52">
        <v>368945</v>
      </c>
      <c r="R101" s="52">
        <v>396457</v>
      </c>
      <c r="S101" s="52">
        <v>1273445</v>
      </c>
      <c r="T101" s="52"/>
      <c r="U101" s="52">
        <v>254225</v>
      </c>
      <c r="V101" s="52"/>
      <c r="W101" s="52">
        <v>12241228</v>
      </c>
      <c r="X101" s="52">
        <v>562533</v>
      </c>
      <c r="Y101" s="52">
        <v>8925765</v>
      </c>
      <c r="Z101" s="52">
        <v>4205612</v>
      </c>
      <c r="AA101" s="52">
        <v>2557001</v>
      </c>
      <c r="AB101" s="52">
        <v>3867463</v>
      </c>
      <c r="AC101" s="52">
        <v>304607</v>
      </c>
      <c r="AD101" s="52">
        <v>1328812</v>
      </c>
      <c r="AE101" s="52">
        <v>652667</v>
      </c>
      <c r="AF101" s="52"/>
      <c r="AG101" s="52">
        <v>2731490</v>
      </c>
      <c r="AH101" s="52">
        <v>4975915</v>
      </c>
      <c r="AI101" s="52"/>
      <c r="AJ101" s="52">
        <v>375879</v>
      </c>
      <c r="AK101" s="52">
        <v>1821687</v>
      </c>
      <c r="AL101" s="52">
        <v>782849</v>
      </c>
      <c r="AM101" s="52"/>
      <c r="AN101" s="52">
        <v>9737971</v>
      </c>
      <c r="AO101" s="52">
        <v>898655</v>
      </c>
      <c r="AP101" s="52"/>
      <c r="AQ101" s="52">
        <v>1851343</v>
      </c>
      <c r="AR101" s="52">
        <v>1015338</v>
      </c>
      <c r="AS101" s="52">
        <v>6333822</v>
      </c>
      <c r="AT101" s="52">
        <v>513524</v>
      </c>
      <c r="AU101" s="52">
        <v>1788543</v>
      </c>
      <c r="AV101" s="52">
        <v>461788</v>
      </c>
      <c r="AW101" s="52">
        <v>542317</v>
      </c>
      <c r="AX101" s="52">
        <v>3014296</v>
      </c>
      <c r="AY101" s="52">
        <v>27122848</v>
      </c>
      <c r="AZ101" s="52">
        <v>3973889</v>
      </c>
      <c r="BA101" s="52">
        <v>477689</v>
      </c>
      <c r="BB101" s="52">
        <v>530649</v>
      </c>
      <c r="BC101" s="52"/>
      <c r="BD101" s="52">
        <v>1362828</v>
      </c>
      <c r="BE101" s="52">
        <v>616648</v>
      </c>
      <c r="BF101" s="52">
        <v>11410786</v>
      </c>
      <c r="BG101" s="52">
        <v>1252297</v>
      </c>
      <c r="BH101" s="52">
        <v>4652546</v>
      </c>
      <c r="BI101" s="52">
        <v>5231952</v>
      </c>
      <c r="BJ101" s="52">
        <v>2848383</v>
      </c>
      <c r="BK101" s="52">
        <v>1294031</v>
      </c>
      <c r="BL101" s="52">
        <v>1290581</v>
      </c>
      <c r="BM101" s="52">
        <v>9276852</v>
      </c>
      <c r="BN101" s="52">
        <v>3469163</v>
      </c>
      <c r="BO101" s="52">
        <v>918396</v>
      </c>
      <c r="BP101" s="52">
        <v>1664670</v>
      </c>
      <c r="BQ101" s="52">
        <v>6861561</v>
      </c>
      <c r="BR101" s="52">
        <v>278219</v>
      </c>
      <c r="BS101" s="52"/>
      <c r="BT101" s="52">
        <v>1359898</v>
      </c>
      <c r="BU101" s="52">
        <v>898551</v>
      </c>
      <c r="BV101" s="52">
        <v>326006</v>
      </c>
      <c r="BW101" s="52"/>
      <c r="BX101" s="52">
        <v>2364652</v>
      </c>
      <c r="BY101" s="52">
        <v>2656213</v>
      </c>
      <c r="BZ101" s="52">
        <v>3294425</v>
      </c>
      <c r="CA101" s="52"/>
      <c r="CB101" s="52">
        <v>1340634</v>
      </c>
      <c r="CC101" s="52">
        <v>1884687</v>
      </c>
      <c r="CD101" s="52">
        <v>2918860</v>
      </c>
      <c r="CE101" s="52"/>
      <c r="CF101" s="52">
        <v>7196474</v>
      </c>
      <c r="CG101" s="52">
        <v>9537961</v>
      </c>
      <c r="CH101" s="52">
        <v>10123212</v>
      </c>
      <c r="CI101" s="52">
        <v>953624</v>
      </c>
      <c r="CJ101" s="52">
        <v>2075366</v>
      </c>
      <c r="CK101" s="52">
        <v>4583969</v>
      </c>
      <c r="CL101" s="52">
        <v>1216236</v>
      </c>
      <c r="CM101" s="52">
        <v>1391001</v>
      </c>
      <c r="CN101" s="52">
        <v>2601232</v>
      </c>
      <c r="CO101" s="52">
        <v>3759790</v>
      </c>
      <c r="CP101" s="52">
        <v>2768434</v>
      </c>
      <c r="CQ101" s="52"/>
      <c r="CR101" s="52"/>
      <c r="CS101" s="52"/>
      <c r="CT101" s="52">
        <v>4477871</v>
      </c>
      <c r="CU101" s="52">
        <v>4302282</v>
      </c>
      <c r="CV101" s="52"/>
      <c r="CW101" s="52">
        <v>2066747</v>
      </c>
      <c r="CX101" s="52">
        <v>2596421</v>
      </c>
      <c r="CY101" s="52">
        <v>2290327</v>
      </c>
      <c r="CZ101" s="52">
        <v>1691377</v>
      </c>
      <c r="DA101" s="52">
        <v>7452896</v>
      </c>
      <c r="DB101" s="52">
        <v>3533211</v>
      </c>
      <c r="DC101" s="52"/>
      <c r="DD101" s="52"/>
      <c r="DE101" s="52">
        <v>276884370</v>
      </c>
      <c r="DF101" s="52"/>
      <c r="DG101" s="52">
        <v>276884370</v>
      </c>
      <c r="DH101" s="52"/>
    </row>
    <row r="102" spans="1:112">
      <c r="A102" s="150" t="s">
        <v>411</v>
      </c>
      <c r="B102" s="44">
        <v>3313</v>
      </c>
      <c r="C102" s="44" t="s">
        <v>157</v>
      </c>
      <c r="D102" s="52">
        <v>2101670</v>
      </c>
      <c r="E102" s="52">
        <v>15256448</v>
      </c>
      <c r="F102" s="52">
        <v>971909</v>
      </c>
      <c r="G102" s="52"/>
      <c r="H102" s="56">
        <v>5535276</v>
      </c>
      <c r="I102" s="56">
        <v>2278198</v>
      </c>
      <c r="J102" s="56">
        <v>1554900</v>
      </c>
      <c r="K102" s="56">
        <v>1259558</v>
      </c>
      <c r="L102" s="52">
        <v>6583256</v>
      </c>
      <c r="M102" s="52"/>
      <c r="N102" s="52"/>
      <c r="O102" s="52">
        <v>972513</v>
      </c>
      <c r="P102" s="52">
        <v>523601</v>
      </c>
      <c r="Q102" s="52">
        <v>518364</v>
      </c>
      <c r="R102" s="52">
        <v>617713</v>
      </c>
      <c r="S102" s="52">
        <v>1680577</v>
      </c>
      <c r="T102" s="52"/>
      <c r="U102" s="52">
        <v>323743</v>
      </c>
      <c r="V102" s="52"/>
      <c r="W102" s="52">
        <v>16789110</v>
      </c>
      <c r="X102" s="52">
        <v>832584</v>
      </c>
      <c r="Y102" s="52">
        <v>10843354</v>
      </c>
      <c r="Z102" s="52">
        <v>5412219</v>
      </c>
      <c r="AA102" s="52">
        <v>3759045</v>
      </c>
      <c r="AB102" s="52">
        <v>5068160</v>
      </c>
      <c r="AC102" s="52">
        <v>439066</v>
      </c>
      <c r="AD102" s="52">
        <v>1909986</v>
      </c>
      <c r="AE102" s="52">
        <v>866141</v>
      </c>
      <c r="AF102" s="52"/>
      <c r="AG102" s="52">
        <v>3668328</v>
      </c>
      <c r="AH102" s="52">
        <v>6592546</v>
      </c>
      <c r="AI102" s="52"/>
      <c r="AJ102" s="52">
        <v>548347</v>
      </c>
      <c r="AK102" s="52">
        <v>2442946</v>
      </c>
      <c r="AL102" s="52">
        <v>1180308</v>
      </c>
      <c r="AM102" s="52"/>
      <c r="AN102" s="52">
        <v>13708366</v>
      </c>
      <c r="AO102" s="52">
        <v>1247686</v>
      </c>
      <c r="AP102" s="52"/>
      <c r="AQ102" s="52">
        <v>2513045</v>
      </c>
      <c r="AR102" s="52">
        <v>1346764</v>
      </c>
      <c r="AS102" s="52">
        <v>8221208</v>
      </c>
      <c r="AT102" s="52">
        <v>743393</v>
      </c>
      <c r="AU102" s="52">
        <v>2162070</v>
      </c>
      <c r="AV102" s="52">
        <v>559683</v>
      </c>
      <c r="AW102" s="52">
        <v>900294</v>
      </c>
      <c r="AX102" s="52">
        <v>3909398</v>
      </c>
      <c r="AY102" s="52">
        <v>35364615</v>
      </c>
      <c r="AZ102" s="52">
        <v>5383246</v>
      </c>
      <c r="BA102" s="52">
        <v>697600</v>
      </c>
      <c r="BB102" s="52">
        <v>716456</v>
      </c>
      <c r="BC102" s="52"/>
      <c r="BD102" s="52">
        <v>1896314</v>
      </c>
      <c r="BE102" s="52">
        <v>818514</v>
      </c>
      <c r="BF102" s="52">
        <v>14604104</v>
      </c>
      <c r="BG102" s="52">
        <v>1652245</v>
      </c>
      <c r="BH102" s="52">
        <v>6322640</v>
      </c>
      <c r="BI102" s="52">
        <v>6859085</v>
      </c>
      <c r="BJ102" s="52">
        <v>3532506</v>
      </c>
      <c r="BK102" s="52">
        <v>1896765</v>
      </c>
      <c r="BL102" s="52">
        <v>1746622</v>
      </c>
      <c r="BM102" s="52">
        <v>12772996</v>
      </c>
      <c r="BN102" s="52">
        <v>4718776</v>
      </c>
      <c r="BO102" s="52">
        <v>1214735</v>
      </c>
      <c r="BP102" s="52">
        <v>2363041</v>
      </c>
      <c r="BQ102" s="52">
        <v>10099141</v>
      </c>
      <c r="BR102" s="52">
        <v>377532</v>
      </c>
      <c r="BS102" s="52"/>
      <c r="BT102" s="52">
        <v>2013386</v>
      </c>
      <c r="BU102" s="52">
        <v>1179554</v>
      </c>
      <c r="BV102" s="52">
        <v>479590</v>
      </c>
      <c r="BW102" s="52"/>
      <c r="BX102" s="52">
        <v>3037696</v>
      </c>
      <c r="BY102" s="52">
        <v>3282079</v>
      </c>
      <c r="BZ102" s="52">
        <v>4197601</v>
      </c>
      <c r="CA102" s="52"/>
      <c r="CB102" s="52">
        <v>1765981</v>
      </c>
      <c r="CC102" s="52">
        <v>2640423</v>
      </c>
      <c r="CD102" s="52">
        <v>3661836</v>
      </c>
      <c r="CE102" s="52"/>
      <c r="CF102" s="52">
        <v>9626459</v>
      </c>
      <c r="CG102" s="52">
        <v>12750522</v>
      </c>
      <c r="CH102" s="52">
        <v>14839922</v>
      </c>
      <c r="CI102" s="52">
        <v>1285931</v>
      </c>
      <c r="CJ102" s="52">
        <v>3023982</v>
      </c>
      <c r="CK102" s="52">
        <v>6316438</v>
      </c>
      <c r="CL102" s="52">
        <v>1755927</v>
      </c>
      <c r="CM102" s="52">
        <v>1758044</v>
      </c>
      <c r="CN102" s="52">
        <v>3667098</v>
      </c>
      <c r="CO102" s="52">
        <v>5599199</v>
      </c>
      <c r="CP102" s="52">
        <v>4094140</v>
      </c>
      <c r="CQ102" s="52"/>
      <c r="CR102" s="52"/>
      <c r="CS102" s="52"/>
      <c r="CT102" s="52">
        <v>5489000</v>
      </c>
      <c r="CU102" s="52">
        <v>5432499</v>
      </c>
      <c r="CV102" s="52"/>
      <c r="CW102" s="52">
        <v>2858921</v>
      </c>
      <c r="CX102" s="52">
        <v>3037220</v>
      </c>
      <c r="CY102" s="52">
        <v>3149625</v>
      </c>
      <c r="CZ102" s="52">
        <v>2401305</v>
      </c>
      <c r="DA102" s="52">
        <v>9705200</v>
      </c>
      <c r="DB102" s="52">
        <v>4948628</v>
      </c>
      <c r="DC102" s="52"/>
      <c r="DD102" s="52"/>
      <c r="DE102" s="52">
        <v>372876912</v>
      </c>
      <c r="DF102" s="52"/>
      <c r="DG102" s="52">
        <v>372876912</v>
      </c>
      <c r="DH102" s="52"/>
    </row>
    <row r="103" spans="1:112">
      <c r="A103" s="150" t="s">
        <v>411</v>
      </c>
      <c r="B103" s="44">
        <v>3314</v>
      </c>
      <c r="C103" s="44" t="s">
        <v>158</v>
      </c>
      <c r="D103" s="52">
        <v>558227</v>
      </c>
      <c r="E103" s="52">
        <v>6112541</v>
      </c>
      <c r="F103" s="52">
        <v>563789</v>
      </c>
      <c r="G103" s="52"/>
      <c r="H103" s="56">
        <v>1645710</v>
      </c>
      <c r="I103" s="56">
        <v>353181</v>
      </c>
      <c r="J103" s="56">
        <v>291548</v>
      </c>
      <c r="K103" s="56">
        <v>379976</v>
      </c>
      <c r="L103" s="52">
        <v>3701433</v>
      </c>
      <c r="M103" s="52">
        <v>258004</v>
      </c>
      <c r="N103" s="52"/>
      <c r="O103" s="52">
        <v>459656</v>
      </c>
      <c r="P103" s="52">
        <v>173308</v>
      </c>
      <c r="Q103" s="52">
        <v>89621</v>
      </c>
      <c r="R103" s="52">
        <v>148590</v>
      </c>
      <c r="S103" s="52">
        <v>357421</v>
      </c>
      <c r="T103" s="52"/>
      <c r="U103" s="52">
        <v>100617</v>
      </c>
      <c r="V103" s="52"/>
      <c r="W103" s="52">
        <v>8073377</v>
      </c>
      <c r="X103" s="52">
        <v>174964</v>
      </c>
      <c r="Y103" s="52">
        <v>5353211</v>
      </c>
      <c r="Z103" s="52">
        <v>2581833</v>
      </c>
      <c r="AA103" s="52">
        <v>1974857</v>
      </c>
      <c r="AB103" s="52">
        <v>698371</v>
      </c>
      <c r="AC103" s="52">
        <v>274479</v>
      </c>
      <c r="AD103" s="52">
        <v>397721</v>
      </c>
      <c r="AE103" s="52">
        <v>365062</v>
      </c>
      <c r="AF103" s="52"/>
      <c r="AG103" s="52">
        <v>1704343</v>
      </c>
      <c r="AH103" s="52">
        <v>2164476</v>
      </c>
      <c r="AI103" s="52"/>
      <c r="AJ103" s="52">
        <v>381226</v>
      </c>
      <c r="AK103" s="52">
        <v>1360992</v>
      </c>
      <c r="AL103" s="52">
        <v>275460</v>
      </c>
      <c r="AM103" s="52"/>
      <c r="AN103" s="52">
        <v>4475224</v>
      </c>
      <c r="AO103" s="52">
        <v>641863</v>
      </c>
      <c r="AP103" s="52"/>
      <c r="AQ103" s="52">
        <v>1004308</v>
      </c>
      <c r="AR103" s="52">
        <v>721481</v>
      </c>
      <c r="AS103" s="52">
        <v>3962368</v>
      </c>
      <c r="AT103" s="52">
        <v>105224</v>
      </c>
      <c r="AU103" s="52">
        <v>758067</v>
      </c>
      <c r="AV103" s="52">
        <v>271207</v>
      </c>
      <c r="AW103" s="52">
        <v>504881</v>
      </c>
      <c r="AX103" s="52">
        <v>1518459</v>
      </c>
      <c r="AY103" s="52">
        <v>17953403</v>
      </c>
      <c r="AZ103" s="52">
        <v>3018064</v>
      </c>
      <c r="BA103" s="52">
        <v>143793</v>
      </c>
      <c r="BB103" s="52">
        <v>187445</v>
      </c>
      <c r="BC103" s="52"/>
      <c r="BD103" s="52">
        <v>370379</v>
      </c>
      <c r="BE103" s="52">
        <v>196003</v>
      </c>
      <c r="BF103" s="52">
        <v>8275353</v>
      </c>
      <c r="BG103" s="52">
        <v>242118</v>
      </c>
      <c r="BH103" s="52">
        <v>2945049</v>
      </c>
      <c r="BI103" s="52">
        <v>5081763</v>
      </c>
      <c r="BJ103" s="52">
        <v>675146</v>
      </c>
      <c r="BK103" s="52">
        <v>1332713</v>
      </c>
      <c r="BL103" s="52">
        <v>351339</v>
      </c>
      <c r="BM103" s="52">
        <v>5180331</v>
      </c>
      <c r="BN103" s="52">
        <v>1600095</v>
      </c>
      <c r="BO103" s="52">
        <v>616445</v>
      </c>
      <c r="BP103" s="52">
        <v>954798</v>
      </c>
      <c r="BQ103" s="52">
        <v>3231824</v>
      </c>
      <c r="BR103" s="52">
        <v>166030</v>
      </c>
      <c r="BS103" s="52"/>
      <c r="BT103" s="52">
        <v>989118</v>
      </c>
      <c r="BU103" s="52">
        <v>561890</v>
      </c>
      <c r="BV103" s="52">
        <v>220658</v>
      </c>
      <c r="BW103" s="52"/>
      <c r="BX103" s="52">
        <v>616287</v>
      </c>
      <c r="BY103" s="52">
        <v>1451796</v>
      </c>
      <c r="BZ103" s="52">
        <v>1403262</v>
      </c>
      <c r="CA103" s="52"/>
      <c r="CB103" s="52">
        <v>543589</v>
      </c>
      <c r="CC103" s="52">
        <v>893673</v>
      </c>
      <c r="CD103" s="52">
        <v>1460433</v>
      </c>
      <c r="CE103" s="52"/>
      <c r="CF103" s="52">
        <v>4421482</v>
      </c>
      <c r="CG103" s="52">
        <v>4629853</v>
      </c>
      <c r="CH103" s="52">
        <v>6129943</v>
      </c>
      <c r="CI103" s="52">
        <v>625389</v>
      </c>
      <c r="CJ103" s="52">
        <v>614005</v>
      </c>
      <c r="CK103" s="52">
        <v>2405722</v>
      </c>
      <c r="CL103" s="52">
        <v>1017708</v>
      </c>
      <c r="CM103" s="52">
        <v>1142665</v>
      </c>
      <c r="CN103" s="52">
        <v>2126079</v>
      </c>
      <c r="CO103" s="52">
        <v>3781259</v>
      </c>
      <c r="CP103" s="52">
        <v>2090579</v>
      </c>
      <c r="CQ103" s="52"/>
      <c r="CR103" s="52"/>
      <c r="CS103" s="52"/>
      <c r="CT103" s="52">
        <v>1420447</v>
      </c>
      <c r="CU103" s="52">
        <v>2989067</v>
      </c>
      <c r="CV103" s="52"/>
      <c r="CW103" s="52">
        <v>739000</v>
      </c>
      <c r="CX103" s="52">
        <v>471994</v>
      </c>
      <c r="CY103" s="52">
        <v>580508</v>
      </c>
      <c r="CZ103" s="52">
        <v>415575</v>
      </c>
      <c r="DA103" s="52">
        <v>5557802</v>
      </c>
      <c r="DB103" s="52">
        <v>1141256</v>
      </c>
      <c r="DC103" s="52"/>
      <c r="DD103" s="52">
        <v>1538395</v>
      </c>
      <c r="DE103" s="52">
        <v>157900206</v>
      </c>
      <c r="DF103" s="52">
        <v>1538395</v>
      </c>
      <c r="DG103" s="52">
        <v>159438601</v>
      </c>
      <c r="DH103" s="52"/>
    </row>
    <row r="104" spans="1:112">
      <c r="A104" s="150" t="s">
        <v>411</v>
      </c>
      <c r="B104" s="44">
        <v>3315</v>
      </c>
      <c r="C104" s="44" t="s">
        <v>159</v>
      </c>
      <c r="D104" s="52">
        <v>60237</v>
      </c>
      <c r="E104" s="52">
        <v>222385</v>
      </c>
      <c r="F104" s="52">
        <v>37015</v>
      </c>
      <c r="G104" s="52"/>
      <c r="H104" s="56">
        <v>48790</v>
      </c>
      <c r="I104" s="56">
        <v>31585</v>
      </c>
      <c r="J104" s="56">
        <v>25204</v>
      </c>
      <c r="K104" s="56">
        <v>22091</v>
      </c>
      <c r="L104" s="52">
        <v>107207</v>
      </c>
      <c r="M104" s="52"/>
      <c r="N104" s="52"/>
      <c r="O104" s="52">
        <v>21115</v>
      </c>
      <c r="P104" s="52">
        <v>19431</v>
      </c>
      <c r="Q104" s="52"/>
      <c r="R104" s="52"/>
      <c r="S104" s="52">
        <v>77242</v>
      </c>
      <c r="T104" s="52"/>
      <c r="U104" s="52">
        <v>4263</v>
      </c>
      <c r="V104" s="52"/>
      <c r="W104" s="52">
        <v>304167</v>
      </c>
      <c r="X104" s="52">
        <v>15417</v>
      </c>
      <c r="Y104" s="52">
        <v>288146</v>
      </c>
      <c r="Z104" s="52">
        <v>134514</v>
      </c>
      <c r="AA104" s="52">
        <v>77719</v>
      </c>
      <c r="AB104" s="52">
        <v>108435</v>
      </c>
      <c r="AC104" s="52"/>
      <c r="AD104" s="52">
        <v>52676</v>
      </c>
      <c r="AE104" s="52"/>
      <c r="AF104" s="52"/>
      <c r="AG104" s="52">
        <v>72053</v>
      </c>
      <c r="AH104" s="52">
        <v>182536</v>
      </c>
      <c r="AI104" s="52"/>
      <c r="AJ104" s="52">
        <v>38935</v>
      </c>
      <c r="AK104" s="52">
        <v>84142</v>
      </c>
      <c r="AL104" s="52">
        <v>59540</v>
      </c>
      <c r="AM104" s="52"/>
      <c r="AN104" s="52">
        <v>332586</v>
      </c>
      <c r="AO104" s="52">
        <v>57732</v>
      </c>
      <c r="AP104" s="52"/>
      <c r="AQ104" s="52">
        <v>26011</v>
      </c>
      <c r="AR104" s="52">
        <v>47569</v>
      </c>
      <c r="AS104" s="52">
        <v>312619</v>
      </c>
      <c r="AT104" s="52">
        <v>12007</v>
      </c>
      <c r="AU104" s="52">
        <v>133849</v>
      </c>
      <c r="AV104" s="52">
        <v>10266</v>
      </c>
      <c r="AW104" s="52">
        <v>42110</v>
      </c>
      <c r="AX104" s="52">
        <v>137024</v>
      </c>
      <c r="AY104" s="52">
        <v>899555</v>
      </c>
      <c r="AZ104" s="52">
        <v>146454</v>
      </c>
      <c r="BA104" s="52">
        <v>16308</v>
      </c>
      <c r="BB104" s="52">
        <v>7815</v>
      </c>
      <c r="BC104" s="52"/>
      <c r="BD104" s="52">
        <v>8778</v>
      </c>
      <c r="BE104" s="52">
        <v>25458</v>
      </c>
      <c r="BF104" s="52">
        <v>353856</v>
      </c>
      <c r="BG104" s="52">
        <v>62072</v>
      </c>
      <c r="BH104" s="52">
        <v>124498</v>
      </c>
      <c r="BI104" s="52">
        <v>211203</v>
      </c>
      <c r="BJ104" s="52">
        <v>36003</v>
      </c>
      <c r="BK104" s="52">
        <v>70512</v>
      </c>
      <c r="BL104" s="52">
        <v>60110</v>
      </c>
      <c r="BM104" s="52">
        <v>151600</v>
      </c>
      <c r="BN104" s="52">
        <v>111395</v>
      </c>
      <c r="BO104" s="52">
        <v>45797</v>
      </c>
      <c r="BP104" s="52">
        <v>42514</v>
      </c>
      <c r="BQ104" s="52">
        <v>112539</v>
      </c>
      <c r="BR104" s="52">
        <v>2609</v>
      </c>
      <c r="BS104" s="52"/>
      <c r="BT104" s="52">
        <v>51072</v>
      </c>
      <c r="BU104" s="52">
        <v>56787</v>
      </c>
      <c r="BV104" s="52">
        <v>28888</v>
      </c>
      <c r="BW104" s="52"/>
      <c r="BX104" s="52">
        <v>100874</v>
      </c>
      <c r="BY104" s="52">
        <v>48515</v>
      </c>
      <c r="BZ104" s="52">
        <v>51793</v>
      </c>
      <c r="CA104" s="52"/>
      <c r="CB104" s="52">
        <v>94762</v>
      </c>
      <c r="CC104" s="52">
        <v>54775</v>
      </c>
      <c r="CD104" s="52">
        <v>88275</v>
      </c>
      <c r="CE104" s="52"/>
      <c r="CF104" s="52">
        <v>136346</v>
      </c>
      <c r="CG104" s="52">
        <v>372858</v>
      </c>
      <c r="CH104" s="52">
        <v>267688</v>
      </c>
      <c r="CI104" s="52">
        <v>24412</v>
      </c>
      <c r="CJ104" s="52">
        <v>44053</v>
      </c>
      <c r="CK104" s="52">
        <v>43054</v>
      </c>
      <c r="CL104" s="52">
        <v>31087</v>
      </c>
      <c r="CM104" s="52"/>
      <c r="CN104" s="52">
        <v>16608</v>
      </c>
      <c r="CO104" s="52">
        <v>84856</v>
      </c>
      <c r="CP104" s="52">
        <v>446311</v>
      </c>
      <c r="CQ104" s="52"/>
      <c r="CR104" s="52"/>
      <c r="CS104" s="52"/>
      <c r="CT104" s="52">
        <v>185788</v>
      </c>
      <c r="CU104" s="52">
        <v>98256</v>
      </c>
      <c r="CV104" s="52"/>
      <c r="CW104" s="52">
        <v>67897</v>
      </c>
      <c r="CX104" s="52">
        <v>211069</v>
      </c>
      <c r="CY104" s="52">
        <v>81630</v>
      </c>
      <c r="CZ104" s="52">
        <v>49169</v>
      </c>
      <c r="DA104" s="52">
        <v>121403</v>
      </c>
      <c r="DB104" s="52">
        <v>26432</v>
      </c>
      <c r="DC104" s="52"/>
      <c r="DD104" s="52"/>
      <c r="DE104" s="52">
        <v>8580352</v>
      </c>
      <c r="DF104" s="52"/>
      <c r="DG104" s="52">
        <v>8580352</v>
      </c>
      <c r="DH104" s="52"/>
    </row>
    <row r="105" spans="1:112">
      <c r="A105" s="150" t="s">
        <v>411</v>
      </c>
      <c r="B105" s="44">
        <v>3316</v>
      </c>
      <c r="C105" s="44" t="s">
        <v>160</v>
      </c>
      <c r="D105" s="52">
        <v>772463</v>
      </c>
      <c r="E105" s="52">
        <v>3682100</v>
      </c>
      <c r="F105" s="52">
        <v>424342</v>
      </c>
      <c r="G105" s="52"/>
      <c r="H105" s="56">
        <v>1409767</v>
      </c>
      <c r="I105" s="56">
        <v>1229795</v>
      </c>
      <c r="J105" s="56">
        <v>575100</v>
      </c>
      <c r="K105" s="56">
        <v>460125</v>
      </c>
      <c r="L105" s="52">
        <v>2253292</v>
      </c>
      <c r="M105" s="52"/>
      <c r="N105" s="52"/>
      <c r="O105" s="52">
        <v>670123</v>
      </c>
      <c r="P105" s="52">
        <v>283246</v>
      </c>
      <c r="Q105" s="52">
        <v>331629</v>
      </c>
      <c r="R105" s="52">
        <v>327021</v>
      </c>
      <c r="S105" s="52">
        <v>663143</v>
      </c>
      <c r="T105" s="52"/>
      <c r="U105" s="52">
        <v>78669</v>
      </c>
      <c r="V105" s="52"/>
      <c r="W105" s="52">
        <v>4805094</v>
      </c>
      <c r="X105" s="52">
        <v>286729</v>
      </c>
      <c r="Y105" s="52">
        <v>1970593</v>
      </c>
      <c r="Z105" s="52">
        <v>1252928</v>
      </c>
      <c r="AA105" s="52">
        <v>794852</v>
      </c>
      <c r="AB105" s="52">
        <v>876205</v>
      </c>
      <c r="AC105" s="52">
        <v>142846</v>
      </c>
      <c r="AD105" s="52">
        <v>796894</v>
      </c>
      <c r="AE105" s="52">
        <v>189307</v>
      </c>
      <c r="AF105" s="52"/>
      <c r="AG105" s="52">
        <v>1048572</v>
      </c>
      <c r="AH105" s="52">
        <v>1583940</v>
      </c>
      <c r="AI105" s="52"/>
      <c r="AJ105" s="52">
        <v>112468</v>
      </c>
      <c r="AK105" s="52">
        <v>683249</v>
      </c>
      <c r="AL105" s="52">
        <v>248587</v>
      </c>
      <c r="AM105" s="52"/>
      <c r="AN105" s="52">
        <v>3116844</v>
      </c>
      <c r="AO105" s="52">
        <v>262654</v>
      </c>
      <c r="AP105" s="52"/>
      <c r="AQ105" s="52">
        <v>656800</v>
      </c>
      <c r="AR105" s="52">
        <v>651610</v>
      </c>
      <c r="AS105" s="52">
        <v>2065915</v>
      </c>
      <c r="AT105" s="52">
        <v>409462</v>
      </c>
      <c r="AU105" s="52">
        <v>1093134</v>
      </c>
      <c r="AV105" s="52">
        <v>158880</v>
      </c>
      <c r="AW105" s="52">
        <v>569818</v>
      </c>
      <c r="AX105" s="52">
        <v>1080698</v>
      </c>
      <c r="AY105" s="52">
        <v>9054053</v>
      </c>
      <c r="AZ105" s="52">
        <v>1242615</v>
      </c>
      <c r="BA105" s="52">
        <v>215413</v>
      </c>
      <c r="BB105" s="52">
        <v>119397</v>
      </c>
      <c r="BC105" s="52"/>
      <c r="BD105" s="52">
        <v>536426</v>
      </c>
      <c r="BE105" s="52">
        <v>221212</v>
      </c>
      <c r="BF105" s="52">
        <v>3734545</v>
      </c>
      <c r="BG105" s="52">
        <v>292658</v>
      </c>
      <c r="BH105" s="52">
        <v>1968673</v>
      </c>
      <c r="BI105" s="52">
        <v>1820033</v>
      </c>
      <c r="BJ105" s="52">
        <v>1431792</v>
      </c>
      <c r="BK105" s="52">
        <v>943169</v>
      </c>
      <c r="BL105" s="52">
        <v>778256</v>
      </c>
      <c r="BM105" s="52">
        <v>4247730</v>
      </c>
      <c r="BN105" s="52">
        <v>1648145</v>
      </c>
      <c r="BO105" s="52">
        <v>414524</v>
      </c>
      <c r="BP105" s="52">
        <v>814750</v>
      </c>
      <c r="BQ105" s="52">
        <v>2852594</v>
      </c>
      <c r="BR105" s="52">
        <v>105938</v>
      </c>
      <c r="BS105" s="52"/>
      <c r="BT105" s="52">
        <v>548288</v>
      </c>
      <c r="BU105" s="52">
        <v>397571</v>
      </c>
      <c r="BV105" s="52">
        <v>405355</v>
      </c>
      <c r="BW105" s="52"/>
      <c r="BX105" s="52">
        <v>804370</v>
      </c>
      <c r="BY105" s="52">
        <v>1435693</v>
      </c>
      <c r="BZ105" s="52">
        <v>867927</v>
      </c>
      <c r="CA105" s="52"/>
      <c r="CB105" s="52">
        <v>1081279</v>
      </c>
      <c r="CC105" s="52">
        <v>1099331</v>
      </c>
      <c r="CD105" s="52">
        <v>1648210</v>
      </c>
      <c r="CE105" s="52"/>
      <c r="CF105" s="52">
        <v>1692784</v>
      </c>
      <c r="CG105" s="52">
        <v>3527817</v>
      </c>
      <c r="CH105" s="52">
        <v>3009040</v>
      </c>
      <c r="CI105" s="52">
        <v>482473</v>
      </c>
      <c r="CJ105" s="52">
        <v>867255</v>
      </c>
      <c r="CK105" s="52">
        <v>1202598</v>
      </c>
      <c r="CL105" s="52">
        <v>616320</v>
      </c>
      <c r="CM105" s="52">
        <v>699008</v>
      </c>
      <c r="CN105" s="52">
        <v>1112944</v>
      </c>
      <c r="CO105" s="52">
        <v>1586526</v>
      </c>
      <c r="CP105" s="52">
        <v>1306185</v>
      </c>
      <c r="CQ105" s="52"/>
      <c r="CR105" s="52"/>
      <c r="CS105" s="52"/>
      <c r="CT105" s="52">
        <v>1656624</v>
      </c>
      <c r="CU105" s="52">
        <v>1464870</v>
      </c>
      <c r="CV105" s="52"/>
      <c r="CW105" s="52">
        <v>1061057</v>
      </c>
      <c r="CX105" s="52">
        <v>907612</v>
      </c>
      <c r="CY105" s="52">
        <v>1014092</v>
      </c>
      <c r="CZ105" s="52">
        <v>523735</v>
      </c>
      <c r="DA105" s="52">
        <v>2126753</v>
      </c>
      <c r="DB105" s="52">
        <v>1006205</v>
      </c>
      <c r="DC105" s="52"/>
      <c r="DD105" s="52"/>
      <c r="DE105" s="52">
        <v>104612739</v>
      </c>
      <c r="DF105" s="52"/>
      <c r="DG105" s="52">
        <v>104612739</v>
      </c>
      <c r="DH105" s="52"/>
    </row>
    <row r="106" spans="1:112">
      <c r="A106" s="150" t="s">
        <v>411</v>
      </c>
      <c r="B106" s="44">
        <v>3317</v>
      </c>
      <c r="C106" s="44" t="s">
        <v>161</v>
      </c>
      <c r="D106" s="52">
        <v>65476</v>
      </c>
      <c r="E106" s="52">
        <v>289208</v>
      </c>
      <c r="F106" s="52">
        <v>32200</v>
      </c>
      <c r="G106" s="52"/>
      <c r="H106" s="56">
        <v>91231</v>
      </c>
      <c r="I106" s="56">
        <v>28307</v>
      </c>
      <c r="J106" s="56">
        <v>24083</v>
      </c>
      <c r="K106" s="56">
        <v>23259</v>
      </c>
      <c r="L106" s="52">
        <v>151246</v>
      </c>
      <c r="M106" s="52"/>
      <c r="N106" s="52"/>
      <c r="O106" s="52">
        <v>25822</v>
      </c>
      <c r="P106" s="52">
        <v>8365</v>
      </c>
      <c r="Q106" s="52">
        <v>17772</v>
      </c>
      <c r="R106" s="52">
        <v>3066</v>
      </c>
      <c r="S106" s="52">
        <v>10121</v>
      </c>
      <c r="T106" s="52"/>
      <c r="U106" s="52">
        <v>4508</v>
      </c>
      <c r="V106" s="52"/>
      <c r="W106" s="52">
        <v>628322</v>
      </c>
      <c r="X106" s="52">
        <v>13279</v>
      </c>
      <c r="Y106" s="52">
        <v>261841</v>
      </c>
      <c r="Z106" s="52">
        <v>101524</v>
      </c>
      <c r="AA106" s="52">
        <v>120987</v>
      </c>
      <c r="AB106" s="52">
        <v>77862</v>
      </c>
      <c r="AC106" s="52">
        <v>21720</v>
      </c>
      <c r="AD106" s="52">
        <v>39110</v>
      </c>
      <c r="AE106" s="52">
        <v>28063</v>
      </c>
      <c r="AF106" s="52"/>
      <c r="AG106" s="52">
        <v>66441</v>
      </c>
      <c r="AH106" s="52">
        <v>231944</v>
      </c>
      <c r="AI106" s="52"/>
      <c r="AJ106" s="52">
        <v>8611</v>
      </c>
      <c r="AK106" s="52">
        <v>35858</v>
      </c>
      <c r="AL106" s="52">
        <v>8202</v>
      </c>
      <c r="AM106" s="52"/>
      <c r="AN106" s="52">
        <v>470008</v>
      </c>
      <c r="AO106" s="52">
        <v>26707</v>
      </c>
      <c r="AP106" s="52"/>
      <c r="AQ106" s="52">
        <v>22552</v>
      </c>
      <c r="AR106" s="52">
        <v>42240</v>
      </c>
      <c r="AS106" s="52">
        <v>356404</v>
      </c>
      <c r="AT106" s="52">
        <v>1160</v>
      </c>
      <c r="AU106" s="52">
        <v>43568</v>
      </c>
      <c r="AV106" s="52">
        <v>6543</v>
      </c>
      <c r="AW106" s="52">
        <v>17505</v>
      </c>
      <c r="AX106" s="52">
        <v>82796</v>
      </c>
      <c r="AY106" s="52">
        <v>954150</v>
      </c>
      <c r="AZ106" s="52">
        <v>159572</v>
      </c>
      <c r="BA106" s="52">
        <v>8352</v>
      </c>
      <c r="BB106" s="52">
        <v>2401</v>
      </c>
      <c r="BC106" s="52"/>
      <c r="BD106" s="52">
        <v>13984</v>
      </c>
      <c r="BE106" s="52">
        <v>14786</v>
      </c>
      <c r="BF106" s="52">
        <v>518790</v>
      </c>
      <c r="BG106" s="52">
        <v>78573</v>
      </c>
      <c r="BH106" s="52">
        <v>126169</v>
      </c>
      <c r="BI106" s="52">
        <v>57885</v>
      </c>
      <c r="BJ106" s="52">
        <v>79105</v>
      </c>
      <c r="BK106" s="52">
        <v>17072</v>
      </c>
      <c r="BL106" s="52">
        <v>20936</v>
      </c>
      <c r="BM106" s="52">
        <v>218825</v>
      </c>
      <c r="BN106" s="52">
        <v>86076</v>
      </c>
      <c r="BO106" s="52">
        <v>20547</v>
      </c>
      <c r="BP106" s="52">
        <v>64865</v>
      </c>
      <c r="BQ106" s="52">
        <v>95270</v>
      </c>
      <c r="BR106" s="52">
        <v>17541</v>
      </c>
      <c r="BS106" s="52"/>
      <c r="BT106" s="52">
        <v>33134</v>
      </c>
      <c r="BU106" s="52">
        <v>29165</v>
      </c>
      <c r="BV106" s="52">
        <v>2974</v>
      </c>
      <c r="BW106" s="52"/>
      <c r="BX106" s="52">
        <v>96698</v>
      </c>
      <c r="BY106" s="52">
        <v>44999</v>
      </c>
      <c r="BZ106" s="52">
        <v>147385</v>
      </c>
      <c r="CA106" s="52"/>
      <c r="CB106" s="52">
        <v>43735</v>
      </c>
      <c r="CC106" s="52">
        <v>61061</v>
      </c>
      <c r="CD106" s="52">
        <v>120690</v>
      </c>
      <c r="CE106" s="52"/>
      <c r="CF106" s="52">
        <v>119207</v>
      </c>
      <c r="CG106" s="52">
        <v>234031</v>
      </c>
      <c r="CH106" s="52">
        <v>208943</v>
      </c>
      <c r="CI106" s="52">
        <v>19444</v>
      </c>
      <c r="CJ106" s="52">
        <v>32013</v>
      </c>
      <c r="CK106" s="52">
        <v>62800</v>
      </c>
      <c r="CL106" s="52">
        <v>34545</v>
      </c>
      <c r="CM106" s="52">
        <v>38087</v>
      </c>
      <c r="CN106" s="52">
        <v>44645</v>
      </c>
      <c r="CO106" s="52">
        <v>86669</v>
      </c>
      <c r="CP106" s="52">
        <v>59881</v>
      </c>
      <c r="CQ106" s="52"/>
      <c r="CR106" s="52"/>
      <c r="CS106" s="52"/>
      <c r="CT106" s="52">
        <v>126930</v>
      </c>
      <c r="CU106" s="52">
        <v>96759</v>
      </c>
      <c r="CV106" s="52"/>
      <c r="CW106" s="52">
        <v>96390</v>
      </c>
      <c r="CX106" s="52">
        <v>108247</v>
      </c>
      <c r="CY106" s="52">
        <v>158680</v>
      </c>
      <c r="CZ106" s="52">
        <v>16515</v>
      </c>
      <c r="DA106" s="52">
        <v>379910</v>
      </c>
      <c r="DB106" s="52">
        <v>21267</v>
      </c>
      <c r="DC106" s="52"/>
      <c r="DD106" s="52"/>
      <c r="DE106" s="52">
        <v>8567614</v>
      </c>
      <c r="DF106" s="52"/>
      <c r="DG106" s="52">
        <v>8567614</v>
      </c>
      <c r="DH106" s="52"/>
    </row>
    <row r="107" spans="1:112">
      <c r="A107" s="150" t="s">
        <v>411</v>
      </c>
      <c r="B107" s="44">
        <v>3319</v>
      </c>
      <c r="C107" s="44" t="s">
        <v>162</v>
      </c>
      <c r="D107" s="52"/>
      <c r="E107" s="52"/>
      <c r="F107" s="52"/>
      <c r="G107" s="52"/>
      <c r="H107" s="56"/>
      <c r="I107" s="56"/>
      <c r="J107" s="56"/>
      <c r="K107" s="56"/>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row>
    <row r="108" spans="1:112">
      <c r="A108" s="150" t="s">
        <v>411</v>
      </c>
      <c r="B108" s="44">
        <v>3320</v>
      </c>
      <c r="C108" s="44" t="s">
        <v>163</v>
      </c>
      <c r="D108" s="52"/>
      <c r="E108" s="52"/>
      <c r="F108" s="52"/>
      <c r="G108" s="52"/>
      <c r="H108" s="56"/>
      <c r="I108" s="56"/>
      <c r="J108" s="56"/>
      <c r="K108" s="56"/>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row>
    <row r="109" spans="1:112">
      <c r="A109" s="150" t="s">
        <v>411</v>
      </c>
      <c r="B109" s="44">
        <v>3321</v>
      </c>
      <c r="C109" s="44" t="s">
        <v>164</v>
      </c>
      <c r="D109" s="52">
        <v>96201</v>
      </c>
      <c r="E109" s="52">
        <v>302057</v>
      </c>
      <c r="F109" s="52"/>
      <c r="G109" s="52"/>
      <c r="H109" s="56">
        <v>210599</v>
      </c>
      <c r="I109" s="56">
        <v>84094</v>
      </c>
      <c r="J109" s="56">
        <v>33854</v>
      </c>
      <c r="K109" s="56">
        <v>79717</v>
      </c>
      <c r="L109" s="52">
        <v>391559</v>
      </c>
      <c r="M109" s="52"/>
      <c r="N109" s="52"/>
      <c r="O109" s="52">
        <v>12373</v>
      </c>
      <c r="P109" s="52">
        <v>24249</v>
      </c>
      <c r="Q109" s="52">
        <v>12174</v>
      </c>
      <c r="R109" s="52">
        <v>11717</v>
      </c>
      <c r="S109" s="52">
        <v>20831</v>
      </c>
      <c r="T109" s="52"/>
      <c r="U109" s="52">
        <v>10120</v>
      </c>
      <c r="V109" s="52"/>
      <c r="W109" s="52">
        <v>546460</v>
      </c>
      <c r="X109" s="52">
        <v>16703</v>
      </c>
      <c r="Y109" s="52">
        <v>659754</v>
      </c>
      <c r="Z109" s="52">
        <v>40879</v>
      </c>
      <c r="AA109" s="52">
        <v>56803</v>
      </c>
      <c r="AB109" s="52">
        <v>88629</v>
      </c>
      <c r="AC109" s="52">
        <v>15452</v>
      </c>
      <c r="AD109" s="52">
        <v>46417</v>
      </c>
      <c r="AE109" s="52">
        <v>24678</v>
      </c>
      <c r="AF109" s="52"/>
      <c r="AG109" s="52">
        <v>111024</v>
      </c>
      <c r="AH109" s="52">
        <v>111570</v>
      </c>
      <c r="AI109" s="52"/>
      <c r="AJ109" s="52">
        <v>12964</v>
      </c>
      <c r="AK109" s="52">
        <v>5429</v>
      </c>
      <c r="AL109" s="52">
        <v>985</v>
      </c>
      <c r="AM109" s="52"/>
      <c r="AN109" s="52">
        <v>345519</v>
      </c>
      <c r="AO109" s="52">
        <v>39286</v>
      </c>
      <c r="AP109" s="52"/>
      <c r="AQ109" s="52">
        <v>92451</v>
      </c>
      <c r="AR109" s="52">
        <v>172078</v>
      </c>
      <c r="AS109" s="52">
        <v>320599</v>
      </c>
      <c r="AT109" s="52">
        <v>5587</v>
      </c>
      <c r="AU109" s="52">
        <v>20361</v>
      </c>
      <c r="AV109" s="52">
        <v>23806</v>
      </c>
      <c r="AW109" s="52">
        <v>3562</v>
      </c>
      <c r="AX109" s="52">
        <v>357009</v>
      </c>
      <c r="AY109" s="52">
        <v>1683416</v>
      </c>
      <c r="AZ109" s="52">
        <v>54842</v>
      </c>
      <c r="BA109" s="52">
        <v>2405</v>
      </c>
      <c r="BB109" s="52">
        <v>2206</v>
      </c>
      <c r="BC109" s="52"/>
      <c r="BD109" s="52">
        <v>7566</v>
      </c>
      <c r="BE109" s="52">
        <v>52500</v>
      </c>
      <c r="BF109" s="52">
        <v>680257</v>
      </c>
      <c r="BG109" s="52">
        <v>88934</v>
      </c>
      <c r="BH109" s="52">
        <v>158655</v>
      </c>
      <c r="BI109" s="52">
        <v>164554</v>
      </c>
      <c r="BJ109" s="52">
        <v>36868</v>
      </c>
      <c r="BK109" s="52">
        <v>74367</v>
      </c>
      <c r="BL109" s="52">
        <v>16023</v>
      </c>
      <c r="BM109" s="52">
        <v>350254</v>
      </c>
      <c r="BN109" s="52">
        <v>196220</v>
      </c>
      <c r="BO109" s="52">
        <v>30016</v>
      </c>
      <c r="BP109" s="52">
        <v>173967</v>
      </c>
      <c r="BQ109" s="52">
        <v>373068</v>
      </c>
      <c r="BR109" s="52">
        <v>20458</v>
      </c>
      <c r="BS109" s="52"/>
      <c r="BT109" s="52">
        <v>12932</v>
      </c>
      <c r="BU109" s="52">
        <v>32027</v>
      </c>
      <c r="BV109" s="52">
        <v>13949</v>
      </c>
      <c r="BW109" s="52"/>
      <c r="BX109" s="52">
        <v>105946</v>
      </c>
      <c r="BY109" s="52">
        <v>105339</v>
      </c>
      <c r="BZ109" s="52">
        <v>297248</v>
      </c>
      <c r="CA109" s="52"/>
      <c r="CB109" s="52">
        <v>114417</v>
      </c>
      <c r="CC109" s="52">
        <v>43107</v>
      </c>
      <c r="CD109" s="52">
        <v>124981</v>
      </c>
      <c r="CE109" s="52"/>
      <c r="CF109" s="52">
        <v>298810</v>
      </c>
      <c r="CG109" s="52">
        <v>892496</v>
      </c>
      <c r="CH109" s="52">
        <v>613410</v>
      </c>
      <c r="CI109" s="52">
        <v>25069</v>
      </c>
      <c r="CJ109" s="52">
        <v>98953</v>
      </c>
      <c r="CK109" s="52">
        <v>164231</v>
      </c>
      <c r="CL109" s="52">
        <v>81424</v>
      </c>
      <c r="CM109" s="52">
        <v>35562</v>
      </c>
      <c r="CN109" s="52">
        <v>157162</v>
      </c>
      <c r="CO109" s="52">
        <v>243925</v>
      </c>
      <c r="CP109" s="52">
        <v>502967</v>
      </c>
      <c r="CQ109" s="52"/>
      <c r="CR109" s="52"/>
      <c r="CS109" s="52"/>
      <c r="CT109" s="52">
        <v>230264</v>
      </c>
      <c r="CU109" s="52">
        <v>271881</v>
      </c>
      <c r="CV109" s="52"/>
      <c r="CW109" s="52">
        <v>42158</v>
      </c>
      <c r="CX109" s="52">
        <v>71422</v>
      </c>
      <c r="CY109" s="52">
        <v>71724</v>
      </c>
      <c r="CZ109" s="52">
        <v>70213</v>
      </c>
      <c r="DA109" s="52">
        <v>213254</v>
      </c>
      <c r="DB109" s="52">
        <v>38959</v>
      </c>
      <c r="DC109" s="52"/>
      <c r="DD109" s="52">
        <v>127625</v>
      </c>
      <c r="DE109" s="52">
        <v>13547956</v>
      </c>
      <c r="DF109" s="52">
        <v>127625</v>
      </c>
      <c r="DG109" s="52">
        <v>13675581</v>
      </c>
      <c r="DH109" s="52"/>
    </row>
    <row r="110" spans="1:112">
      <c r="A110" s="150" t="s">
        <v>411</v>
      </c>
      <c r="B110" s="44">
        <v>3322</v>
      </c>
      <c r="C110" s="44" t="s">
        <v>165</v>
      </c>
      <c r="D110" s="52">
        <v>91465</v>
      </c>
      <c r="E110" s="52">
        <v>866299</v>
      </c>
      <c r="F110" s="52">
        <v>71513</v>
      </c>
      <c r="G110" s="52"/>
      <c r="H110" s="56">
        <v>139660</v>
      </c>
      <c r="I110" s="56">
        <v>127603</v>
      </c>
      <c r="J110" s="56">
        <v>34040</v>
      </c>
      <c r="K110" s="56">
        <v>66201</v>
      </c>
      <c r="L110" s="52">
        <v>293257</v>
      </c>
      <c r="M110" s="52"/>
      <c r="N110" s="52"/>
      <c r="O110" s="52">
        <v>115081</v>
      </c>
      <c r="P110" s="52">
        <v>63095</v>
      </c>
      <c r="Q110" s="52">
        <v>103839</v>
      </c>
      <c r="R110" s="52">
        <v>3873</v>
      </c>
      <c r="S110" s="52">
        <v>74411</v>
      </c>
      <c r="T110" s="52"/>
      <c r="U110" s="52">
        <v>5477</v>
      </c>
      <c r="V110" s="52"/>
      <c r="W110" s="52">
        <v>394060</v>
      </c>
      <c r="X110" s="52">
        <v>71303</v>
      </c>
      <c r="Y110" s="52">
        <v>586663</v>
      </c>
      <c r="Z110" s="52">
        <v>71799</v>
      </c>
      <c r="AA110" s="52">
        <v>152693</v>
      </c>
      <c r="AB110" s="52">
        <v>189974</v>
      </c>
      <c r="AC110" s="52">
        <v>53043</v>
      </c>
      <c r="AD110" s="52">
        <v>162814</v>
      </c>
      <c r="AE110" s="52">
        <v>109384</v>
      </c>
      <c r="AF110" s="52"/>
      <c r="AG110" s="52">
        <v>211843</v>
      </c>
      <c r="AH110" s="52">
        <v>696357</v>
      </c>
      <c r="AI110" s="52"/>
      <c r="AJ110" s="52">
        <v>40924</v>
      </c>
      <c r="AK110" s="52">
        <v>291178</v>
      </c>
      <c r="AL110" s="52">
        <v>111981</v>
      </c>
      <c r="AM110" s="52"/>
      <c r="AN110" s="52">
        <v>301994</v>
      </c>
      <c r="AO110" s="52">
        <v>92029</v>
      </c>
      <c r="AP110" s="52"/>
      <c r="AQ110" s="52">
        <v>109263</v>
      </c>
      <c r="AR110" s="52">
        <v>37243</v>
      </c>
      <c r="AS110" s="52">
        <v>738860</v>
      </c>
      <c r="AT110" s="52">
        <v>15611</v>
      </c>
      <c r="AU110" s="52">
        <v>246551</v>
      </c>
      <c r="AV110" s="52">
        <v>68181</v>
      </c>
      <c r="AW110" s="52">
        <v>86882</v>
      </c>
      <c r="AX110" s="52">
        <v>175037</v>
      </c>
      <c r="AY110" s="52">
        <v>1181164</v>
      </c>
      <c r="AZ110" s="52">
        <v>292318</v>
      </c>
      <c r="BA110" s="52">
        <v>35330</v>
      </c>
      <c r="BB110" s="52">
        <v>21842</v>
      </c>
      <c r="BC110" s="52"/>
      <c r="BD110" s="52">
        <v>89166</v>
      </c>
      <c r="BE110" s="52">
        <v>148571</v>
      </c>
      <c r="BF110" s="52">
        <v>629653</v>
      </c>
      <c r="BG110" s="52">
        <v>136258</v>
      </c>
      <c r="BH110" s="52">
        <v>203325</v>
      </c>
      <c r="BI110" s="52">
        <v>320367</v>
      </c>
      <c r="BJ110" s="52">
        <v>159179</v>
      </c>
      <c r="BK110" s="52">
        <v>160357</v>
      </c>
      <c r="BL110" s="52">
        <v>224540</v>
      </c>
      <c r="BM110" s="52">
        <v>196152</v>
      </c>
      <c r="BN110" s="52">
        <v>176255</v>
      </c>
      <c r="BO110" s="52">
        <v>51431</v>
      </c>
      <c r="BP110" s="52">
        <v>92638</v>
      </c>
      <c r="BQ110" s="52">
        <v>120339</v>
      </c>
      <c r="BR110" s="52">
        <v>33541</v>
      </c>
      <c r="BS110" s="52"/>
      <c r="BT110" s="52">
        <v>162551</v>
      </c>
      <c r="BU110" s="52">
        <v>155218</v>
      </c>
      <c r="BV110" s="52">
        <v>34038</v>
      </c>
      <c r="BW110" s="52"/>
      <c r="BX110" s="52">
        <v>315710</v>
      </c>
      <c r="BY110" s="52">
        <v>201281</v>
      </c>
      <c r="BZ110" s="52">
        <v>179129</v>
      </c>
      <c r="CA110" s="52"/>
      <c r="CB110" s="52">
        <v>119579</v>
      </c>
      <c r="CC110" s="52">
        <v>87929</v>
      </c>
      <c r="CD110" s="52">
        <v>584024</v>
      </c>
      <c r="CE110" s="52"/>
      <c r="CF110" s="52">
        <v>388930</v>
      </c>
      <c r="CG110" s="52">
        <v>650743</v>
      </c>
      <c r="CH110" s="52">
        <v>334004</v>
      </c>
      <c r="CI110" s="52">
        <v>88725</v>
      </c>
      <c r="CJ110" s="52">
        <v>132559</v>
      </c>
      <c r="CK110" s="52">
        <v>196789</v>
      </c>
      <c r="CL110" s="52">
        <v>53566</v>
      </c>
      <c r="CM110" s="52">
        <v>76733</v>
      </c>
      <c r="CN110" s="52">
        <v>88149</v>
      </c>
      <c r="CO110" s="52">
        <v>191180</v>
      </c>
      <c r="CP110" s="52">
        <v>210454</v>
      </c>
      <c r="CQ110" s="52"/>
      <c r="CR110" s="52"/>
      <c r="CS110" s="52"/>
      <c r="CT110" s="52">
        <v>473944</v>
      </c>
      <c r="CU110" s="52">
        <v>251622</v>
      </c>
      <c r="CV110" s="52"/>
      <c r="CW110" s="52">
        <v>152127</v>
      </c>
      <c r="CX110" s="52">
        <v>901339</v>
      </c>
      <c r="CY110" s="52">
        <v>159497</v>
      </c>
      <c r="CZ110" s="52">
        <v>67215</v>
      </c>
      <c r="DA110" s="52">
        <v>155528</v>
      </c>
      <c r="DB110" s="52">
        <v>49890</v>
      </c>
      <c r="DC110" s="52"/>
      <c r="DD110" s="52">
        <v>136097</v>
      </c>
      <c r="DE110" s="52">
        <v>17806360</v>
      </c>
      <c r="DF110" s="52">
        <v>136097</v>
      </c>
      <c r="DG110" s="52">
        <v>17942457</v>
      </c>
      <c r="DH110" s="52"/>
    </row>
    <row r="111" spans="1:112">
      <c r="A111" s="150" t="s">
        <v>411</v>
      </c>
      <c r="B111" s="44">
        <v>3323</v>
      </c>
      <c r="C111" s="44" t="s">
        <v>166</v>
      </c>
      <c r="D111" s="52">
        <v>820110</v>
      </c>
      <c r="E111" s="52">
        <v>3927172</v>
      </c>
      <c r="F111" s="52">
        <v>221691</v>
      </c>
      <c r="G111" s="52"/>
      <c r="H111" s="56">
        <v>2058720</v>
      </c>
      <c r="I111" s="56">
        <v>1022221</v>
      </c>
      <c r="J111" s="56">
        <v>833873</v>
      </c>
      <c r="K111" s="56">
        <v>588106</v>
      </c>
      <c r="L111" s="52">
        <v>3227120</v>
      </c>
      <c r="M111" s="52"/>
      <c r="N111" s="52"/>
      <c r="O111" s="52">
        <v>362891</v>
      </c>
      <c r="P111" s="52">
        <v>112301</v>
      </c>
      <c r="Q111" s="52">
        <v>190239</v>
      </c>
      <c r="R111" s="52">
        <v>294396</v>
      </c>
      <c r="S111" s="52">
        <v>621194</v>
      </c>
      <c r="T111" s="52"/>
      <c r="U111" s="52">
        <v>94951</v>
      </c>
      <c r="V111" s="52"/>
      <c r="W111" s="52">
        <v>6204966</v>
      </c>
      <c r="X111" s="52">
        <v>100810</v>
      </c>
      <c r="Y111" s="52">
        <v>2704515</v>
      </c>
      <c r="Z111" s="52">
        <v>1300987</v>
      </c>
      <c r="AA111" s="52">
        <v>1210726</v>
      </c>
      <c r="AB111" s="52">
        <v>2425544</v>
      </c>
      <c r="AC111" s="52">
        <v>209350</v>
      </c>
      <c r="AD111" s="52">
        <v>949301</v>
      </c>
      <c r="AE111" s="52">
        <v>300721</v>
      </c>
      <c r="AF111" s="52"/>
      <c r="AG111" s="52">
        <v>1274563</v>
      </c>
      <c r="AH111" s="52">
        <v>3324815</v>
      </c>
      <c r="AI111" s="52"/>
      <c r="AJ111" s="52">
        <v>206175</v>
      </c>
      <c r="AK111" s="52">
        <v>288372</v>
      </c>
      <c r="AL111" s="52">
        <v>237116</v>
      </c>
      <c r="AM111" s="52"/>
      <c r="AN111" s="52">
        <v>3362589</v>
      </c>
      <c r="AO111" s="52">
        <v>447682</v>
      </c>
      <c r="AP111" s="52"/>
      <c r="AQ111" s="52">
        <v>1401496</v>
      </c>
      <c r="AR111" s="52">
        <v>535993</v>
      </c>
      <c r="AS111" s="52">
        <v>3449328</v>
      </c>
      <c r="AT111" s="52">
        <v>362677</v>
      </c>
      <c r="AU111" s="52">
        <v>917828</v>
      </c>
      <c r="AV111" s="52">
        <v>175704</v>
      </c>
      <c r="AW111" s="52">
        <v>533335</v>
      </c>
      <c r="AX111" s="52">
        <v>1380575</v>
      </c>
      <c r="AY111" s="52">
        <v>14981504</v>
      </c>
      <c r="AZ111" s="52">
        <v>2425867</v>
      </c>
      <c r="BA111" s="52">
        <v>446117</v>
      </c>
      <c r="BB111" s="52">
        <v>210419</v>
      </c>
      <c r="BC111" s="52"/>
      <c r="BD111" s="52">
        <v>334062</v>
      </c>
      <c r="BE111" s="52">
        <v>374584</v>
      </c>
      <c r="BF111" s="52">
        <v>7672324</v>
      </c>
      <c r="BG111" s="52">
        <v>443001</v>
      </c>
      <c r="BH111" s="52">
        <v>1817118</v>
      </c>
      <c r="BI111" s="52">
        <v>2137592</v>
      </c>
      <c r="BJ111" s="52">
        <v>1448954</v>
      </c>
      <c r="BK111" s="52">
        <v>852784</v>
      </c>
      <c r="BL111" s="52">
        <v>539369</v>
      </c>
      <c r="BM111" s="52">
        <v>3305132</v>
      </c>
      <c r="BN111" s="52">
        <v>1614159</v>
      </c>
      <c r="BO111" s="52">
        <v>522388</v>
      </c>
      <c r="BP111" s="52">
        <v>1108726</v>
      </c>
      <c r="BQ111" s="52">
        <v>2362926</v>
      </c>
      <c r="BR111" s="52">
        <v>117715</v>
      </c>
      <c r="BS111" s="52"/>
      <c r="BT111" s="52">
        <v>788034</v>
      </c>
      <c r="BU111" s="52">
        <v>716345</v>
      </c>
      <c r="BV111" s="52">
        <v>133267</v>
      </c>
      <c r="BW111" s="52"/>
      <c r="BX111" s="52">
        <v>1125440</v>
      </c>
      <c r="BY111" s="52">
        <v>1655364</v>
      </c>
      <c r="BZ111" s="52">
        <v>2346189</v>
      </c>
      <c r="CA111" s="52"/>
      <c r="CB111" s="52">
        <v>462001</v>
      </c>
      <c r="CC111" s="52">
        <v>484927</v>
      </c>
      <c r="CD111" s="52">
        <v>938005</v>
      </c>
      <c r="CE111" s="52"/>
      <c r="CF111" s="52">
        <v>3562722</v>
      </c>
      <c r="CG111" s="52">
        <v>2962600</v>
      </c>
      <c r="CH111" s="52">
        <v>3091714</v>
      </c>
      <c r="CI111" s="52">
        <v>362542</v>
      </c>
      <c r="CJ111" s="52">
        <v>1414186</v>
      </c>
      <c r="CK111" s="52">
        <v>1697554</v>
      </c>
      <c r="CL111" s="52">
        <v>740298</v>
      </c>
      <c r="CM111" s="52">
        <v>344583</v>
      </c>
      <c r="CN111" s="52">
        <v>1411191</v>
      </c>
      <c r="CO111" s="52">
        <v>1615564</v>
      </c>
      <c r="CP111" s="52">
        <v>1317326</v>
      </c>
      <c r="CQ111" s="52"/>
      <c r="CR111" s="52"/>
      <c r="CS111" s="52"/>
      <c r="CT111" s="52">
        <v>1895914</v>
      </c>
      <c r="CU111" s="52">
        <v>1817090</v>
      </c>
      <c r="CV111" s="52"/>
      <c r="CW111" s="52">
        <v>1754258</v>
      </c>
      <c r="CX111" s="52">
        <v>1567150</v>
      </c>
      <c r="CY111" s="52">
        <v>1213925</v>
      </c>
      <c r="CZ111" s="52">
        <v>596155</v>
      </c>
      <c r="DA111" s="52">
        <v>4360147</v>
      </c>
      <c r="DB111" s="52">
        <v>1184550</v>
      </c>
      <c r="DC111" s="52"/>
      <c r="DD111" s="52">
        <v>202377</v>
      </c>
      <c r="DE111" s="52">
        <v>131953935</v>
      </c>
      <c r="DF111" s="52">
        <v>202377</v>
      </c>
      <c r="DG111" s="52">
        <v>132156312</v>
      </c>
      <c r="DH111" s="52"/>
    </row>
    <row r="112" spans="1:112">
      <c r="A112" s="150" t="s">
        <v>411</v>
      </c>
      <c r="B112" s="44">
        <v>3324</v>
      </c>
      <c r="C112" s="44" t="s">
        <v>167</v>
      </c>
      <c r="D112" s="52">
        <v>19020</v>
      </c>
      <c r="E112" s="52">
        <v>141201</v>
      </c>
      <c r="F112" s="52"/>
      <c r="G112" s="52"/>
      <c r="H112" s="56">
        <v>4863</v>
      </c>
      <c r="I112" s="56">
        <v>547</v>
      </c>
      <c r="J112" s="56">
        <v>68309</v>
      </c>
      <c r="K112" s="56">
        <v>1828</v>
      </c>
      <c r="L112" s="52">
        <v>97171</v>
      </c>
      <c r="M112" s="52"/>
      <c r="N112" s="52"/>
      <c r="O112" s="52"/>
      <c r="P112" s="52"/>
      <c r="Q112" s="52">
        <v>5291</v>
      </c>
      <c r="R112" s="52">
        <v>8933</v>
      </c>
      <c r="S112" s="52">
        <v>5249</v>
      </c>
      <c r="T112" s="52"/>
      <c r="U112" s="52">
        <v>4198</v>
      </c>
      <c r="V112" s="52"/>
      <c r="W112" s="52">
        <v>389461</v>
      </c>
      <c r="X112" s="52">
        <v>7104</v>
      </c>
      <c r="Y112" s="52">
        <v>143142</v>
      </c>
      <c r="Z112" s="52">
        <v>14071</v>
      </c>
      <c r="AA112" s="52">
        <v>52315</v>
      </c>
      <c r="AB112" s="52">
        <v>35746</v>
      </c>
      <c r="AC112" s="52"/>
      <c r="AD112" s="52">
        <v>10108</v>
      </c>
      <c r="AE112" s="52"/>
      <c r="AF112" s="52"/>
      <c r="AG112" s="52">
        <v>56698</v>
      </c>
      <c r="AH112" s="52">
        <v>168356</v>
      </c>
      <c r="AI112" s="52"/>
      <c r="AJ112" s="52"/>
      <c r="AK112" s="52">
        <v>15543</v>
      </c>
      <c r="AL112" s="52">
        <v>5396</v>
      </c>
      <c r="AM112" s="52"/>
      <c r="AN112" s="52">
        <v>46638</v>
      </c>
      <c r="AO112" s="52">
        <v>4435</v>
      </c>
      <c r="AP112" s="52"/>
      <c r="AQ112" s="52">
        <v>15054</v>
      </c>
      <c r="AR112" s="52">
        <v>34166</v>
      </c>
      <c r="AS112" s="52">
        <v>53422</v>
      </c>
      <c r="AT112" s="52">
        <v>10504</v>
      </c>
      <c r="AU112" s="52">
        <v>8013</v>
      </c>
      <c r="AV112" s="52">
        <v>12371</v>
      </c>
      <c r="AW112" s="52">
        <v>5342</v>
      </c>
      <c r="AX112" s="52">
        <v>24767</v>
      </c>
      <c r="AY112" s="52">
        <v>185498</v>
      </c>
      <c r="AZ112" s="52">
        <v>38548</v>
      </c>
      <c r="BA112" s="52"/>
      <c r="BB112" s="52">
        <v>6564</v>
      </c>
      <c r="BC112" s="52"/>
      <c r="BD112" s="52">
        <v>5266</v>
      </c>
      <c r="BE112" s="52"/>
      <c r="BF112" s="52">
        <v>159179</v>
      </c>
      <c r="BG112" s="52">
        <v>12472</v>
      </c>
      <c r="BH112" s="52">
        <v>98576</v>
      </c>
      <c r="BI112" s="52">
        <v>118598</v>
      </c>
      <c r="BJ112" s="52">
        <v>33955</v>
      </c>
      <c r="BK112" s="52">
        <v>20235</v>
      </c>
      <c r="BL112" s="52">
        <v>6044</v>
      </c>
      <c r="BM112" s="52">
        <v>169555</v>
      </c>
      <c r="BN112" s="52">
        <v>25750</v>
      </c>
      <c r="BO112" s="52">
        <v>27261</v>
      </c>
      <c r="BP112" s="52">
        <v>10176</v>
      </c>
      <c r="BQ112" s="52">
        <v>86380</v>
      </c>
      <c r="BR112" s="52">
        <v>3287</v>
      </c>
      <c r="BS112" s="52"/>
      <c r="BT112" s="52">
        <v>20689</v>
      </c>
      <c r="BU112" s="52">
        <v>10346</v>
      </c>
      <c r="BV112" s="52">
        <v>15597</v>
      </c>
      <c r="BW112" s="52"/>
      <c r="BX112" s="52">
        <v>19734</v>
      </c>
      <c r="BY112" s="52">
        <v>30344</v>
      </c>
      <c r="BZ112" s="52">
        <v>61635</v>
      </c>
      <c r="CA112" s="52"/>
      <c r="CB112" s="52"/>
      <c r="CC112" s="52">
        <v>34527</v>
      </c>
      <c r="CD112" s="52">
        <v>42324</v>
      </c>
      <c r="CE112" s="52"/>
      <c r="CF112" s="52">
        <v>110732</v>
      </c>
      <c r="CG112" s="52">
        <v>305611</v>
      </c>
      <c r="CH112" s="52">
        <v>257254</v>
      </c>
      <c r="CI112" s="52">
        <v>7737</v>
      </c>
      <c r="CJ112" s="52">
        <v>39325</v>
      </c>
      <c r="CK112" s="52">
        <v>99722</v>
      </c>
      <c r="CL112" s="52">
        <v>40139</v>
      </c>
      <c r="CM112" s="52">
        <v>24538</v>
      </c>
      <c r="CN112" s="52">
        <v>34858</v>
      </c>
      <c r="CO112" s="52">
        <v>84748</v>
      </c>
      <c r="CP112" s="52">
        <v>42142</v>
      </c>
      <c r="CQ112" s="52"/>
      <c r="CR112" s="52"/>
      <c r="CS112" s="52"/>
      <c r="CT112" s="52">
        <v>60947</v>
      </c>
      <c r="CU112" s="52">
        <v>73226</v>
      </c>
      <c r="CV112" s="52"/>
      <c r="CW112" s="52">
        <v>70086</v>
      </c>
      <c r="CX112" s="52">
        <v>2518</v>
      </c>
      <c r="CY112" s="52">
        <v>9861</v>
      </c>
      <c r="CZ112" s="52">
        <v>15470</v>
      </c>
      <c r="DA112" s="52">
        <v>134769</v>
      </c>
      <c r="DB112" s="52">
        <v>67468</v>
      </c>
      <c r="DC112" s="52"/>
      <c r="DD112" s="52"/>
      <c r="DE112" s="52">
        <v>4192953</v>
      </c>
      <c r="DF112" s="52"/>
      <c r="DG112" s="52">
        <v>4192953</v>
      </c>
      <c r="DH112" s="52"/>
    </row>
    <row r="113" spans="1:112">
      <c r="A113" s="150" t="s">
        <v>411</v>
      </c>
      <c r="B113" s="44">
        <v>3325</v>
      </c>
      <c r="C113" s="44" t="s">
        <v>168</v>
      </c>
      <c r="D113" s="52">
        <v>19508</v>
      </c>
      <c r="E113" s="52">
        <v>89919</v>
      </c>
      <c r="F113" s="52">
        <v>9901</v>
      </c>
      <c r="G113" s="52"/>
      <c r="H113" s="56">
        <v>4863</v>
      </c>
      <c r="I113" s="56">
        <v>34542</v>
      </c>
      <c r="J113" s="56">
        <v>16644</v>
      </c>
      <c r="K113" s="56">
        <v>5297</v>
      </c>
      <c r="L113" s="52">
        <v>59100</v>
      </c>
      <c r="M113" s="52"/>
      <c r="N113" s="52"/>
      <c r="O113" s="52">
        <v>5320</v>
      </c>
      <c r="P113" s="52">
        <v>5058</v>
      </c>
      <c r="Q113" s="52"/>
      <c r="R113" s="52"/>
      <c r="S113" s="52">
        <v>13122</v>
      </c>
      <c r="T113" s="52"/>
      <c r="U113" s="52">
        <v>1542</v>
      </c>
      <c r="V113" s="52"/>
      <c r="W113" s="52">
        <v>106925</v>
      </c>
      <c r="X113" s="52">
        <v>3334</v>
      </c>
      <c r="Y113" s="52">
        <v>50363</v>
      </c>
      <c r="Z113" s="52">
        <v>34614</v>
      </c>
      <c r="AA113" s="52">
        <v>32406</v>
      </c>
      <c r="AB113" s="52">
        <v>5020</v>
      </c>
      <c r="AC113" s="52">
        <v>3960</v>
      </c>
      <c r="AD113" s="52">
        <v>10108</v>
      </c>
      <c r="AE113" s="52">
        <v>5612</v>
      </c>
      <c r="AF113" s="52"/>
      <c r="AG113" s="52">
        <v>49508</v>
      </c>
      <c r="AH113" s="52">
        <v>51911</v>
      </c>
      <c r="AI113" s="52"/>
      <c r="AJ113" s="52">
        <v>10698</v>
      </c>
      <c r="AK113" s="52">
        <v>5181</v>
      </c>
      <c r="AL113" s="52">
        <v>5396</v>
      </c>
      <c r="AM113" s="52"/>
      <c r="AN113" s="52">
        <v>16539</v>
      </c>
      <c r="AO113" s="52">
        <v>12418</v>
      </c>
      <c r="AP113" s="52"/>
      <c r="AQ113" s="52">
        <v>30109</v>
      </c>
      <c r="AR113" s="52">
        <v>29041</v>
      </c>
      <c r="AS113" s="52">
        <v>76279</v>
      </c>
      <c r="AT113" s="52"/>
      <c r="AU113" s="52">
        <v>19150</v>
      </c>
      <c r="AV113" s="52"/>
      <c r="AW113" s="52"/>
      <c r="AX113" s="52">
        <v>17646</v>
      </c>
      <c r="AY113" s="52">
        <v>55974</v>
      </c>
      <c r="AZ113" s="52">
        <v>4628</v>
      </c>
      <c r="BA113" s="52">
        <v>5136</v>
      </c>
      <c r="BB113" s="52">
        <v>2757</v>
      </c>
      <c r="BC113" s="52"/>
      <c r="BD113" s="52">
        <v>1106</v>
      </c>
      <c r="BE113" s="52"/>
      <c r="BF113" s="52">
        <v>88254</v>
      </c>
      <c r="BG113" s="52">
        <v>3991</v>
      </c>
      <c r="BH113" s="52">
        <v>45085</v>
      </c>
      <c r="BI113" s="52">
        <v>81561</v>
      </c>
      <c r="BJ113" s="52">
        <v>9914</v>
      </c>
      <c r="BK113" s="52">
        <v>6222</v>
      </c>
      <c r="BL113" s="52"/>
      <c r="BM113" s="52">
        <v>122258</v>
      </c>
      <c r="BN113" s="52">
        <v>28747</v>
      </c>
      <c r="BO113" s="52">
        <v>9175</v>
      </c>
      <c r="BP113" s="52">
        <v>16413</v>
      </c>
      <c r="BQ113" s="52">
        <v>71024</v>
      </c>
      <c r="BR113" s="52"/>
      <c r="BS113" s="52"/>
      <c r="BT113" s="52">
        <v>20482</v>
      </c>
      <c r="BU113" s="52">
        <v>828</v>
      </c>
      <c r="BV113" s="52">
        <v>1716</v>
      </c>
      <c r="BW113" s="52"/>
      <c r="BX113" s="52">
        <v>5112</v>
      </c>
      <c r="BY113" s="52">
        <v>12723</v>
      </c>
      <c r="BZ113" s="52">
        <v>67549</v>
      </c>
      <c r="CA113" s="52"/>
      <c r="CB113" s="52">
        <v>4762</v>
      </c>
      <c r="CC113" s="52">
        <v>5489</v>
      </c>
      <c r="CD113" s="52">
        <v>9112</v>
      </c>
      <c r="CE113" s="52"/>
      <c r="CF113" s="52">
        <v>70400</v>
      </c>
      <c r="CG113" s="52">
        <v>79984</v>
      </c>
      <c r="CH113" s="52">
        <v>118811</v>
      </c>
      <c r="CI113" s="52">
        <v>9732</v>
      </c>
      <c r="CJ113" s="52">
        <v>2556</v>
      </c>
      <c r="CK113" s="52">
        <v>17312</v>
      </c>
      <c r="CL113" s="52">
        <v>1439</v>
      </c>
      <c r="CM113" s="52">
        <v>8953</v>
      </c>
      <c r="CN113" s="52">
        <v>5558</v>
      </c>
      <c r="CO113" s="52">
        <v>17582</v>
      </c>
      <c r="CP113" s="52">
        <v>5847</v>
      </c>
      <c r="CQ113" s="52"/>
      <c r="CR113" s="52"/>
      <c r="CS113" s="52"/>
      <c r="CT113" s="52">
        <v>9577</v>
      </c>
      <c r="CU113" s="52">
        <v>24856</v>
      </c>
      <c r="CV113" s="52"/>
      <c r="CW113" s="52">
        <v>8488</v>
      </c>
      <c r="CX113" s="52">
        <v>11631</v>
      </c>
      <c r="CY113" s="52">
        <v>7299</v>
      </c>
      <c r="CZ113" s="52">
        <v>8817</v>
      </c>
      <c r="DA113" s="52">
        <v>87687</v>
      </c>
      <c r="DB113" s="52">
        <v>18296</v>
      </c>
      <c r="DC113" s="52"/>
      <c r="DD113" s="52"/>
      <c r="DE113" s="52">
        <v>2035877</v>
      </c>
      <c r="DF113" s="52"/>
      <c r="DG113" s="52">
        <v>2035877</v>
      </c>
      <c r="DH113" s="52"/>
    </row>
    <row r="114" spans="1:112">
      <c r="A114" s="150" t="s">
        <v>411</v>
      </c>
      <c r="B114" s="44">
        <v>3326</v>
      </c>
      <c r="C114" s="44" t="s">
        <v>169</v>
      </c>
      <c r="D114" s="52">
        <v>7743</v>
      </c>
      <c r="E114" s="52">
        <v>100266</v>
      </c>
      <c r="F114" s="52">
        <v>4930</v>
      </c>
      <c r="G114" s="52"/>
      <c r="H114" s="56">
        <v>69479</v>
      </c>
      <c r="I114" s="56">
        <v>28418</v>
      </c>
      <c r="J114" s="56">
        <v>3932</v>
      </c>
      <c r="K114" s="56">
        <v>22180</v>
      </c>
      <c r="L114" s="52">
        <v>84651</v>
      </c>
      <c r="M114" s="52"/>
      <c r="N114" s="52"/>
      <c r="O114" s="52">
        <v>8446</v>
      </c>
      <c r="P114" s="52">
        <v>11964</v>
      </c>
      <c r="Q114" s="52"/>
      <c r="R114" s="52">
        <v>1531</v>
      </c>
      <c r="S114" s="52">
        <v>29413</v>
      </c>
      <c r="T114" s="52"/>
      <c r="U114" s="52">
        <v>3739</v>
      </c>
      <c r="V114" s="52"/>
      <c r="W114" s="52">
        <v>154516</v>
      </c>
      <c r="X114" s="52">
        <v>7001</v>
      </c>
      <c r="Y114" s="52">
        <v>159840</v>
      </c>
      <c r="Z114" s="52">
        <v>23902</v>
      </c>
      <c r="AA114" s="52">
        <v>32383</v>
      </c>
      <c r="AB114" s="52">
        <v>46227</v>
      </c>
      <c r="AC114" s="52">
        <v>6359</v>
      </c>
      <c r="AD114" s="52"/>
      <c r="AE114" s="52">
        <v>3712</v>
      </c>
      <c r="AF114" s="52"/>
      <c r="AG114" s="52">
        <v>28719</v>
      </c>
      <c r="AH114" s="52">
        <v>33850</v>
      </c>
      <c r="AI114" s="52"/>
      <c r="AJ114" s="52">
        <v>6794</v>
      </c>
      <c r="AK114" s="52"/>
      <c r="AL114" s="52">
        <v>21118</v>
      </c>
      <c r="AM114" s="52"/>
      <c r="AN114" s="52">
        <v>86063</v>
      </c>
      <c r="AO114" s="52">
        <v>9540</v>
      </c>
      <c r="AP114" s="52"/>
      <c r="AQ114" s="52">
        <v>3983</v>
      </c>
      <c r="AR114" s="52">
        <v>16272</v>
      </c>
      <c r="AS114" s="52">
        <v>163753</v>
      </c>
      <c r="AT114" s="52">
        <v>4169</v>
      </c>
      <c r="AU114" s="52">
        <v>19001</v>
      </c>
      <c r="AV114" s="52">
        <v>6205</v>
      </c>
      <c r="AW114" s="52">
        <v>8184</v>
      </c>
      <c r="AX114" s="52">
        <v>27768</v>
      </c>
      <c r="AY114" s="52">
        <v>348788</v>
      </c>
      <c r="AZ114" s="52">
        <v>58626</v>
      </c>
      <c r="BA114" s="52">
        <v>11701</v>
      </c>
      <c r="BB114" s="52">
        <v>3465</v>
      </c>
      <c r="BC114" s="52"/>
      <c r="BD114" s="52">
        <v>19646</v>
      </c>
      <c r="BE114" s="52"/>
      <c r="BF114" s="52">
        <v>129533</v>
      </c>
      <c r="BG114" s="52">
        <v>9042</v>
      </c>
      <c r="BH114" s="52">
        <v>42422</v>
      </c>
      <c r="BI114" s="52">
        <v>81185</v>
      </c>
      <c r="BJ114" s="52">
        <v>42456</v>
      </c>
      <c r="BK114" s="52">
        <v>16062</v>
      </c>
      <c r="BL114" s="52">
        <v>10806</v>
      </c>
      <c r="BM114" s="52">
        <v>78328</v>
      </c>
      <c r="BN114" s="52">
        <v>28718</v>
      </c>
      <c r="BO114" s="52">
        <v>3816</v>
      </c>
      <c r="BP114" s="52">
        <v>31094</v>
      </c>
      <c r="BQ114" s="52">
        <v>68422</v>
      </c>
      <c r="BR114" s="52">
        <v>2609</v>
      </c>
      <c r="BS114" s="52"/>
      <c r="BT114" s="52">
        <v>19378</v>
      </c>
      <c r="BU114" s="52">
        <v>12740</v>
      </c>
      <c r="BV114" s="52"/>
      <c r="BW114" s="52"/>
      <c r="BX114" s="52">
        <v>12173</v>
      </c>
      <c r="BY114" s="52">
        <v>12157</v>
      </c>
      <c r="BZ114" s="52">
        <v>51610</v>
      </c>
      <c r="CA114" s="52"/>
      <c r="CB114" s="52"/>
      <c r="CC114" s="52">
        <v>11667</v>
      </c>
      <c r="CD114" s="52">
        <v>15189</v>
      </c>
      <c r="CE114" s="52"/>
      <c r="CF114" s="52">
        <v>115444</v>
      </c>
      <c r="CG114" s="52">
        <v>109983</v>
      </c>
      <c r="CH114" s="52">
        <v>102792</v>
      </c>
      <c r="CI114" s="52">
        <v>3863</v>
      </c>
      <c r="CJ114" s="52">
        <v>8038</v>
      </c>
      <c r="CK114" s="52">
        <v>36580</v>
      </c>
      <c r="CL114" s="52">
        <v>19820</v>
      </c>
      <c r="CM114" s="52">
        <v>3850</v>
      </c>
      <c r="CN114" s="52">
        <v>12391</v>
      </c>
      <c r="CO114" s="52">
        <v>29064</v>
      </c>
      <c r="CP114" s="52">
        <v>67727</v>
      </c>
      <c r="CQ114" s="52"/>
      <c r="CR114" s="52"/>
      <c r="CS114" s="52"/>
      <c r="CT114" s="52">
        <v>31995</v>
      </c>
      <c r="CU114" s="52">
        <v>61992</v>
      </c>
      <c r="CV114" s="52"/>
      <c r="CW114" s="52">
        <v>24206</v>
      </c>
      <c r="CX114" s="52">
        <v>15188</v>
      </c>
      <c r="CY114" s="52">
        <v>11888</v>
      </c>
      <c r="CZ114" s="52">
        <v>27754</v>
      </c>
      <c r="DA114" s="52">
        <v>83224</v>
      </c>
      <c r="DB114" s="52">
        <v>44296</v>
      </c>
      <c r="DC114" s="52"/>
      <c r="DD114" s="52">
        <v>6413</v>
      </c>
      <c r="DE114" s="52">
        <v>3177779</v>
      </c>
      <c r="DF114" s="52">
        <v>6413</v>
      </c>
      <c r="DG114" s="52">
        <v>3184192</v>
      </c>
      <c r="DH114" s="52"/>
    </row>
    <row r="115" spans="1:112">
      <c r="A115" s="150" t="s">
        <v>411</v>
      </c>
      <c r="B115" s="44">
        <v>3327</v>
      </c>
      <c r="C115" s="44" t="s">
        <v>170</v>
      </c>
      <c r="D115" s="52">
        <v>1738823</v>
      </c>
      <c r="E115" s="52">
        <v>8850300</v>
      </c>
      <c r="F115" s="52">
        <v>332186</v>
      </c>
      <c r="G115" s="52"/>
      <c r="H115" s="56">
        <v>3683326</v>
      </c>
      <c r="I115" s="56">
        <v>1874706</v>
      </c>
      <c r="J115" s="56">
        <v>1160970</v>
      </c>
      <c r="K115" s="56">
        <v>929787</v>
      </c>
      <c r="L115" s="52">
        <v>2789996</v>
      </c>
      <c r="M115" s="52"/>
      <c r="N115" s="52"/>
      <c r="O115" s="52">
        <v>673041</v>
      </c>
      <c r="P115" s="52">
        <v>480557</v>
      </c>
      <c r="Q115" s="52">
        <v>471106</v>
      </c>
      <c r="R115" s="52">
        <v>451219</v>
      </c>
      <c r="S115" s="52">
        <v>1364312</v>
      </c>
      <c r="T115" s="52"/>
      <c r="U115" s="52">
        <v>228058</v>
      </c>
      <c r="V115" s="52"/>
      <c r="W115" s="52">
        <v>8031495</v>
      </c>
      <c r="X115" s="52">
        <v>580598</v>
      </c>
      <c r="Y115" s="52">
        <v>5541189</v>
      </c>
      <c r="Z115" s="52">
        <v>3293378</v>
      </c>
      <c r="AA115" s="52">
        <v>1598969</v>
      </c>
      <c r="AB115" s="52">
        <v>4205429</v>
      </c>
      <c r="AC115" s="52">
        <v>311883</v>
      </c>
      <c r="AD115" s="52">
        <v>1642046</v>
      </c>
      <c r="AE115" s="52">
        <v>585805</v>
      </c>
      <c r="AF115" s="52"/>
      <c r="AG115" s="52">
        <v>1657710</v>
      </c>
      <c r="AH115" s="52">
        <v>3850262</v>
      </c>
      <c r="AI115" s="52"/>
      <c r="AJ115" s="52">
        <v>211708</v>
      </c>
      <c r="AK115" s="52">
        <v>770550</v>
      </c>
      <c r="AL115" s="52">
        <v>766418</v>
      </c>
      <c r="AM115" s="52"/>
      <c r="AN115" s="52">
        <v>7987371</v>
      </c>
      <c r="AO115" s="52">
        <v>636313</v>
      </c>
      <c r="AP115" s="52"/>
      <c r="AQ115" s="52">
        <v>1403288</v>
      </c>
      <c r="AR115" s="52">
        <v>659249</v>
      </c>
      <c r="AS115" s="52">
        <v>4633296</v>
      </c>
      <c r="AT115" s="52">
        <v>691172</v>
      </c>
      <c r="AU115" s="52">
        <v>1276378</v>
      </c>
      <c r="AV115" s="52">
        <v>316721</v>
      </c>
      <c r="AW115" s="52">
        <v>456732</v>
      </c>
      <c r="AX115" s="52">
        <v>2407573</v>
      </c>
      <c r="AY115" s="52">
        <v>16970007</v>
      </c>
      <c r="AZ115" s="52">
        <v>2179197</v>
      </c>
      <c r="BA115" s="52">
        <v>584347</v>
      </c>
      <c r="BB115" s="52">
        <v>553084</v>
      </c>
      <c r="BC115" s="52"/>
      <c r="BD115" s="52">
        <v>1582028</v>
      </c>
      <c r="BE115" s="52">
        <v>758072</v>
      </c>
      <c r="BF115" s="52">
        <v>5991248</v>
      </c>
      <c r="BG115" s="52">
        <v>1282531</v>
      </c>
      <c r="BH115" s="52">
        <v>3339646</v>
      </c>
      <c r="BI115" s="52">
        <v>2023291</v>
      </c>
      <c r="BJ115" s="52">
        <v>2487283</v>
      </c>
      <c r="BK115" s="52">
        <v>730072</v>
      </c>
      <c r="BL115" s="52">
        <v>1279900</v>
      </c>
      <c r="BM115" s="52">
        <v>7158241</v>
      </c>
      <c r="BN115" s="52">
        <v>3253912</v>
      </c>
      <c r="BO115" s="52">
        <v>723437</v>
      </c>
      <c r="BP115" s="52">
        <v>1253672</v>
      </c>
      <c r="BQ115" s="52">
        <v>7551785</v>
      </c>
      <c r="BR115" s="52">
        <v>215168</v>
      </c>
      <c r="BS115" s="52"/>
      <c r="BT115" s="52">
        <v>741454</v>
      </c>
      <c r="BU115" s="52">
        <v>697699</v>
      </c>
      <c r="BV115" s="52">
        <v>341004</v>
      </c>
      <c r="BW115" s="52"/>
      <c r="BX115" s="52">
        <v>2325753</v>
      </c>
      <c r="BY115" s="52">
        <v>1803042</v>
      </c>
      <c r="BZ115" s="52">
        <v>2733665</v>
      </c>
      <c r="CA115" s="52"/>
      <c r="CB115" s="52">
        <v>1504283</v>
      </c>
      <c r="CC115" s="52">
        <v>1852935</v>
      </c>
      <c r="CD115" s="52">
        <v>2572701</v>
      </c>
      <c r="CE115" s="52"/>
      <c r="CF115" s="52">
        <v>4755267</v>
      </c>
      <c r="CG115" s="52">
        <v>7223280</v>
      </c>
      <c r="CH115" s="52">
        <v>8253692</v>
      </c>
      <c r="CI115" s="52">
        <v>644131</v>
      </c>
      <c r="CJ115" s="52">
        <v>2412280</v>
      </c>
      <c r="CK115" s="52">
        <v>3645145</v>
      </c>
      <c r="CL115" s="52">
        <v>787304</v>
      </c>
      <c r="CM115" s="52">
        <v>1017804</v>
      </c>
      <c r="CN115" s="52">
        <v>1410956</v>
      </c>
      <c r="CO115" s="52">
        <v>2285702</v>
      </c>
      <c r="CP115" s="52">
        <v>1871882</v>
      </c>
      <c r="CQ115" s="52"/>
      <c r="CR115" s="52"/>
      <c r="CS115" s="52"/>
      <c r="CT115" s="52">
        <v>4209370</v>
      </c>
      <c r="CU115" s="52">
        <v>2309583</v>
      </c>
      <c r="CV115" s="52"/>
      <c r="CW115" s="52">
        <v>2052428</v>
      </c>
      <c r="CX115" s="52">
        <v>2821746</v>
      </c>
      <c r="CY115" s="52">
        <v>2649094</v>
      </c>
      <c r="CZ115" s="52">
        <v>2008645</v>
      </c>
      <c r="DA115" s="52">
        <v>4330791</v>
      </c>
      <c r="DB115" s="52">
        <v>3635178</v>
      </c>
      <c r="DC115" s="52"/>
      <c r="DD115" s="52">
        <v>262122</v>
      </c>
      <c r="DE115" s="52">
        <v>211357655</v>
      </c>
      <c r="DF115" s="52">
        <v>262122</v>
      </c>
      <c r="DG115" s="52">
        <v>211619777</v>
      </c>
      <c r="DH115" s="52"/>
    </row>
    <row r="116" spans="1:112">
      <c r="A116" s="150" t="s">
        <v>411</v>
      </c>
      <c r="B116" s="44">
        <v>3331</v>
      </c>
      <c r="C116" s="44" t="s">
        <v>172</v>
      </c>
      <c r="D116" s="52">
        <v>25421</v>
      </c>
      <c r="E116" s="52">
        <v>443481</v>
      </c>
      <c r="F116" s="52">
        <v>38212</v>
      </c>
      <c r="G116" s="52"/>
      <c r="H116" s="56">
        <v>90448</v>
      </c>
      <c r="I116" s="56">
        <v>35247</v>
      </c>
      <c r="J116" s="56">
        <v>48693</v>
      </c>
      <c r="K116" s="56">
        <v>8245</v>
      </c>
      <c r="L116" s="52">
        <v>102247</v>
      </c>
      <c r="M116" s="52"/>
      <c r="N116" s="52"/>
      <c r="O116" s="52">
        <v>21280</v>
      </c>
      <c r="P116" s="52">
        <v>14566</v>
      </c>
      <c r="Q116" s="52">
        <v>12451</v>
      </c>
      <c r="R116" s="52">
        <v>19541</v>
      </c>
      <c r="S116" s="52">
        <v>29970</v>
      </c>
      <c r="T116" s="52"/>
      <c r="U116" s="52">
        <v>7229</v>
      </c>
      <c r="V116" s="52"/>
      <c r="W116" s="52">
        <v>424992</v>
      </c>
      <c r="X116" s="52">
        <v>22377</v>
      </c>
      <c r="Y116" s="52">
        <v>361151</v>
      </c>
      <c r="Z116" s="52">
        <v>110457</v>
      </c>
      <c r="AA116" s="52">
        <v>56154</v>
      </c>
      <c r="AB116" s="52">
        <v>113463</v>
      </c>
      <c r="AC116" s="52">
        <v>3434</v>
      </c>
      <c r="AD116" s="52">
        <v>98405</v>
      </c>
      <c r="AE116" s="52">
        <v>27329</v>
      </c>
      <c r="AF116" s="52"/>
      <c r="AG116" s="52">
        <v>118480</v>
      </c>
      <c r="AH116" s="52">
        <v>187551</v>
      </c>
      <c r="AI116" s="52"/>
      <c r="AJ116" s="52">
        <v>26745</v>
      </c>
      <c r="AK116" s="52">
        <v>70824</v>
      </c>
      <c r="AL116" s="52">
        <v>27629</v>
      </c>
      <c r="AM116" s="52"/>
      <c r="AN116" s="52">
        <v>518149</v>
      </c>
      <c r="AO116" s="52">
        <v>30999</v>
      </c>
      <c r="AP116" s="52"/>
      <c r="AQ116" s="52">
        <v>35127</v>
      </c>
      <c r="AR116" s="52">
        <v>17186</v>
      </c>
      <c r="AS116" s="52">
        <v>275633</v>
      </c>
      <c r="AT116" s="52">
        <v>38814</v>
      </c>
      <c r="AU116" s="52">
        <v>60777</v>
      </c>
      <c r="AV116" s="52">
        <v>18744</v>
      </c>
      <c r="AW116" s="52">
        <v>20942</v>
      </c>
      <c r="AX116" s="52">
        <v>82411</v>
      </c>
      <c r="AY116" s="52">
        <v>905995</v>
      </c>
      <c r="AZ116" s="52">
        <v>85611</v>
      </c>
      <c r="BA116" s="52">
        <v>2465</v>
      </c>
      <c r="BB116" s="52">
        <v>3282</v>
      </c>
      <c r="BC116" s="52"/>
      <c r="BD116" s="52">
        <v>36703</v>
      </c>
      <c r="BE116" s="52"/>
      <c r="BF116" s="52">
        <v>341269</v>
      </c>
      <c r="BG116" s="52">
        <v>40243</v>
      </c>
      <c r="BH116" s="52">
        <v>223754</v>
      </c>
      <c r="BI116" s="52">
        <v>155105</v>
      </c>
      <c r="BJ116" s="52">
        <v>51652</v>
      </c>
      <c r="BK116" s="52">
        <v>27519</v>
      </c>
      <c r="BL116" s="52">
        <v>72370</v>
      </c>
      <c r="BM116" s="52">
        <v>288550</v>
      </c>
      <c r="BN116" s="52">
        <v>162052</v>
      </c>
      <c r="BO116" s="52">
        <v>11346</v>
      </c>
      <c r="BP116" s="52">
        <v>49238</v>
      </c>
      <c r="BQ116" s="52">
        <v>334105</v>
      </c>
      <c r="BR116" s="52"/>
      <c r="BS116" s="52"/>
      <c r="BT116" s="52">
        <v>111304</v>
      </c>
      <c r="BU116" s="52">
        <v>21984</v>
      </c>
      <c r="BV116" s="52">
        <v>10398</v>
      </c>
      <c r="BW116" s="52"/>
      <c r="BX116" s="52">
        <v>56129</v>
      </c>
      <c r="BY116" s="52">
        <v>76820</v>
      </c>
      <c r="BZ116" s="52">
        <v>79409</v>
      </c>
      <c r="CA116" s="52"/>
      <c r="CB116" s="52">
        <v>12667</v>
      </c>
      <c r="CC116" s="52">
        <v>45872</v>
      </c>
      <c r="CD116" s="52">
        <v>58771</v>
      </c>
      <c r="CE116" s="52"/>
      <c r="CF116" s="52">
        <v>133688</v>
      </c>
      <c r="CG116" s="52">
        <v>543387</v>
      </c>
      <c r="CH116" s="52">
        <v>703048</v>
      </c>
      <c r="CI116" s="52">
        <v>19465</v>
      </c>
      <c r="CJ116" s="52">
        <v>10814</v>
      </c>
      <c r="CK116" s="52">
        <v>52938</v>
      </c>
      <c r="CL116" s="52">
        <v>13937</v>
      </c>
      <c r="CM116" s="52">
        <v>40125</v>
      </c>
      <c r="CN116" s="52">
        <v>70330</v>
      </c>
      <c r="CO116" s="52">
        <v>42506</v>
      </c>
      <c r="CP116" s="52">
        <v>191478</v>
      </c>
      <c r="CQ116" s="52"/>
      <c r="CR116" s="52"/>
      <c r="CS116" s="52"/>
      <c r="CT116" s="52">
        <v>87579</v>
      </c>
      <c r="CU116" s="52">
        <v>137852</v>
      </c>
      <c r="CV116" s="52"/>
      <c r="CW116" s="52">
        <v>70036</v>
      </c>
      <c r="CX116" s="52">
        <v>87309</v>
      </c>
      <c r="CY116" s="52">
        <v>45578</v>
      </c>
      <c r="CZ116" s="52">
        <v>27260</v>
      </c>
      <c r="DA116" s="52">
        <v>224121</v>
      </c>
      <c r="DB116" s="52">
        <v>143856</v>
      </c>
      <c r="DC116" s="52"/>
      <c r="DD116" s="52"/>
      <c r="DE116" s="52">
        <v>9554724</v>
      </c>
      <c r="DF116" s="52"/>
      <c r="DG116" s="52">
        <v>9554724</v>
      </c>
      <c r="DH116" s="52"/>
    </row>
    <row r="117" spans="1:112">
      <c r="A117" s="150" t="s">
        <v>411</v>
      </c>
      <c r="B117" s="44">
        <v>3399</v>
      </c>
      <c r="C117" s="44" t="s">
        <v>173</v>
      </c>
      <c r="D117" s="52"/>
      <c r="E117" s="52"/>
      <c r="F117" s="52"/>
      <c r="G117" s="52"/>
      <c r="H117" s="56"/>
      <c r="I117" s="56"/>
      <c r="J117" s="56"/>
      <c r="K117" s="56"/>
      <c r="L117" s="52"/>
      <c r="M117" s="52"/>
      <c r="N117" s="52"/>
      <c r="O117" s="52"/>
      <c r="P117" s="52"/>
      <c r="Q117" s="52"/>
      <c r="R117" s="52"/>
      <c r="S117" s="52"/>
      <c r="T117" s="52"/>
      <c r="U117" s="52"/>
      <c r="V117" s="52"/>
      <c r="W117" s="52"/>
      <c r="X117" s="52"/>
      <c r="Y117" s="52"/>
      <c r="Z117" s="52"/>
      <c r="AA117" s="52">
        <v>27287</v>
      </c>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v>575541</v>
      </c>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v>25176</v>
      </c>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v>3168294</v>
      </c>
      <c r="DD117" s="52"/>
      <c r="DE117" s="52">
        <v>628004</v>
      </c>
      <c r="DF117" s="52">
        <v>3168294</v>
      </c>
      <c r="DG117" s="52">
        <v>3796298</v>
      </c>
      <c r="DH117" s="52"/>
    </row>
    <row r="118" spans="1:112">
      <c r="A118" s="150" t="s">
        <v>411</v>
      </c>
      <c r="B118" s="44">
        <v>3501</v>
      </c>
      <c r="C118" s="44" t="s">
        <v>174</v>
      </c>
      <c r="D118" s="52">
        <v>133856</v>
      </c>
      <c r="E118" s="52">
        <v>845625</v>
      </c>
      <c r="F118" s="52">
        <v>32603</v>
      </c>
      <c r="G118" s="52"/>
      <c r="H118" s="56">
        <v>283107</v>
      </c>
      <c r="I118" s="56">
        <v>123380</v>
      </c>
      <c r="J118" s="56">
        <v>84210</v>
      </c>
      <c r="K118" s="56">
        <v>94255</v>
      </c>
      <c r="L118" s="52">
        <v>393777</v>
      </c>
      <c r="M118" s="52"/>
      <c r="N118" s="52"/>
      <c r="O118" s="52">
        <v>60743</v>
      </c>
      <c r="P118" s="52">
        <v>37944</v>
      </c>
      <c r="Q118" s="52">
        <v>37139</v>
      </c>
      <c r="R118" s="52">
        <v>35032</v>
      </c>
      <c r="S118" s="52">
        <v>95025</v>
      </c>
      <c r="T118" s="52"/>
      <c r="U118" s="52">
        <v>629943</v>
      </c>
      <c r="V118" s="52"/>
      <c r="W118" s="52">
        <v>947508</v>
      </c>
      <c r="X118" s="52">
        <v>60901</v>
      </c>
      <c r="Y118" s="52">
        <v>1469780</v>
      </c>
      <c r="Z118" s="52">
        <v>312582</v>
      </c>
      <c r="AA118" s="52">
        <v>153012</v>
      </c>
      <c r="AB118" s="52">
        <v>273245</v>
      </c>
      <c r="AC118" s="52">
        <v>82816</v>
      </c>
      <c r="AD118" s="52">
        <v>120033</v>
      </c>
      <c r="AE118" s="52">
        <v>41755</v>
      </c>
      <c r="AF118" s="52"/>
      <c r="AG118" s="52">
        <v>214602</v>
      </c>
      <c r="AH118" s="52">
        <v>383703</v>
      </c>
      <c r="AI118" s="52"/>
      <c r="AJ118" s="52">
        <v>32515</v>
      </c>
      <c r="AK118" s="52">
        <v>113176</v>
      </c>
      <c r="AL118" s="52">
        <v>47816</v>
      </c>
      <c r="AM118" s="52"/>
      <c r="AN118" s="52">
        <v>643768</v>
      </c>
      <c r="AO118" s="52">
        <v>78333</v>
      </c>
      <c r="AP118" s="52"/>
      <c r="AQ118" s="52">
        <v>163976</v>
      </c>
      <c r="AR118" s="52">
        <v>167801</v>
      </c>
      <c r="AS118" s="52">
        <v>516884</v>
      </c>
      <c r="AT118" s="52">
        <v>39994</v>
      </c>
      <c r="AU118" s="52">
        <v>91123</v>
      </c>
      <c r="AV118" s="52">
        <v>40462</v>
      </c>
      <c r="AW118" s="52">
        <v>52721</v>
      </c>
      <c r="AX118" s="52">
        <v>352125</v>
      </c>
      <c r="AY118" s="52">
        <v>1967890</v>
      </c>
      <c r="AZ118" s="52">
        <v>308013</v>
      </c>
      <c r="BA118" s="52">
        <v>37412</v>
      </c>
      <c r="BB118" s="52">
        <v>59696</v>
      </c>
      <c r="BC118" s="52"/>
      <c r="BD118" s="52">
        <v>87573</v>
      </c>
      <c r="BE118" s="52">
        <v>50225</v>
      </c>
      <c r="BF118" s="52">
        <v>1322742</v>
      </c>
      <c r="BG118" s="52">
        <v>98203</v>
      </c>
      <c r="BH118" s="52">
        <v>384903</v>
      </c>
      <c r="BI118" s="52">
        <v>387369</v>
      </c>
      <c r="BJ118" s="52">
        <v>192150</v>
      </c>
      <c r="BK118" s="52">
        <v>119805</v>
      </c>
      <c r="BL118" s="52">
        <v>87399</v>
      </c>
      <c r="BM118" s="52">
        <v>644726</v>
      </c>
      <c r="BN118" s="52">
        <v>308723</v>
      </c>
      <c r="BO118" s="52">
        <v>73431</v>
      </c>
      <c r="BP118" s="52">
        <v>113941</v>
      </c>
      <c r="BQ118" s="52">
        <v>588622</v>
      </c>
      <c r="BR118" s="52">
        <v>34866</v>
      </c>
      <c r="BS118" s="52"/>
      <c r="BT118" s="52">
        <v>102466</v>
      </c>
      <c r="BU118" s="52">
        <v>69565</v>
      </c>
      <c r="BV118" s="52">
        <v>35547</v>
      </c>
      <c r="BW118" s="52"/>
      <c r="BX118" s="52">
        <v>161184</v>
      </c>
      <c r="BY118" s="52">
        <v>190597</v>
      </c>
      <c r="BZ118" s="52">
        <v>362501</v>
      </c>
      <c r="CA118" s="52"/>
      <c r="CB118" s="52">
        <v>132626</v>
      </c>
      <c r="CC118" s="52">
        <v>146655</v>
      </c>
      <c r="CD118" s="52">
        <v>239180</v>
      </c>
      <c r="CE118" s="52"/>
      <c r="CF118" s="52">
        <v>545030</v>
      </c>
      <c r="CG118" s="52">
        <v>513196</v>
      </c>
      <c r="CH118" s="52"/>
      <c r="CI118" s="52">
        <v>65164</v>
      </c>
      <c r="CJ118" s="52">
        <v>159563</v>
      </c>
      <c r="CK118" s="52">
        <v>301841</v>
      </c>
      <c r="CL118" s="52">
        <v>104410</v>
      </c>
      <c r="CM118" s="52">
        <v>90805</v>
      </c>
      <c r="CN118" s="52">
        <v>212163</v>
      </c>
      <c r="CO118" s="52">
        <v>370900</v>
      </c>
      <c r="CP118" s="52">
        <v>285602</v>
      </c>
      <c r="CQ118" s="52"/>
      <c r="CR118" s="52"/>
      <c r="CS118" s="52"/>
      <c r="CT118" s="52">
        <v>323123</v>
      </c>
      <c r="CU118" s="52">
        <v>292088</v>
      </c>
      <c r="CV118" s="52"/>
      <c r="CW118" s="52">
        <v>167477</v>
      </c>
      <c r="CX118" s="52">
        <v>195801</v>
      </c>
      <c r="CY118" s="52">
        <v>173252</v>
      </c>
      <c r="CZ118" s="52">
        <v>182950</v>
      </c>
      <c r="DA118" s="52">
        <v>565045</v>
      </c>
      <c r="DB118" s="52">
        <v>247115</v>
      </c>
      <c r="DC118" s="52">
        <v>109142</v>
      </c>
      <c r="DD118" s="52">
        <v>97860</v>
      </c>
      <c r="DE118" s="52">
        <v>22390805</v>
      </c>
      <c r="DF118" s="52">
        <v>207002</v>
      </c>
      <c r="DG118" s="52">
        <v>22597807</v>
      </c>
      <c r="DH118" s="52"/>
    </row>
    <row r="119" spans="1:112">
      <c r="A119" s="150" t="s">
        <v>411</v>
      </c>
      <c r="B119" s="44">
        <v>3505</v>
      </c>
      <c r="C119" s="44" t="s">
        <v>175</v>
      </c>
      <c r="D119" s="52">
        <v>15816</v>
      </c>
      <c r="E119" s="52">
        <v>71814</v>
      </c>
      <c r="F119" s="52">
        <v>6110</v>
      </c>
      <c r="G119" s="52"/>
      <c r="H119" s="56">
        <v>22546</v>
      </c>
      <c r="I119" s="56">
        <v>13745</v>
      </c>
      <c r="J119" s="56">
        <v>9374</v>
      </c>
      <c r="K119" s="56">
        <v>10623</v>
      </c>
      <c r="L119" s="52">
        <v>19473</v>
      </c>
      <c r="M119" s="52"/>
      <c r="N119" s="52"/>
      <c r="O119" s="52">
        <v>8218</v>
      </c>
      <c r="P119" s="52">
        <v>7381</v>
      </c>
      <c r="Q119" s="52">
        <v>7025</v>
      </c>
      <c r="R119" s="52">
        <v>2147</v>
      </c>
      <c r="S119" s="52">
        <v>11917</v>
      </c>
      <c r="T119" s="52"/>
      <c r="U119" s="52">
        <v>50500</v>
      </c>
      <c r="V119" s="52"/>
      <c r="W119" s="52">
        <v>81944</v>
      </c>
      <c r="X119" s="52">
        <v>6642</v>
      </c>
      <c r="Y119" s="52">
        <v>119957</v>
      </c>
      <c r="Z119" s="52">
        <v>29908</v>
      </c>
      <c r="AA119" s="52">
        <v>3400</v>
      </c>
      <c r="AB119" s="52">
        <v>29735</v>
      </c>
      <c r="AC119" s="52">
        <v>7701</v>
      </c>
      <c r="AD119" s="52">
        <v>15898</v>
      </c>
      <c r="AE119" s="52">
        <v>3742</v>
      </c>
      <c r="AF119" s="52"/>
      <c r="AG119" s="52">
        <v>3487</v>
      </c>
      <c r="AH119" s="52">
        <v>3133</v>
      </c>
      <c r="AI119" s="52"/>
      <c r="AJ119" s="52">
        <v>6499</v>
      </c>
      <c r="AK119" s="52">
        <v>18871</v>
      </c>
      <c r="AL119" s="52">
        <v>8808</v>
      </c>
      <c r="AM119" s="52"/>
      <c r="AN119" s="52">
        <v>41596</v>
      </c>
      <c r="AO119" s="52">
        <v>8419</v>
      </c>
      <c r="AP119" s="52"/>
      <c r="AQ119" s="52">
        <v>3400</v>
      </c>
      <c r="AR119" s="52">
        <v>3275</v>
      </c>
      <c r="AS119" s="52">
        <v>13662</v>
      </c>
      <c r="AT119" s="52">
        <v>7290</v>
      </c>
      <c r="AU119" s="52">
        <v>3398</v>
      </c>
      <c r="AV119" s="52">
        <v>7491</v>
      </c>
      <c r="AW119" s="52">
        <v>7766</v>
      </c>
      <c r="AX119" s="52">
        <v>21366</v>
      </c>
      <c r="AY119" s="52">
        <v>20033</v>
      </c>
      <c r="AZ119" s="52">
        <v>4153</v>
      </c>
      <c r="BA119" s="52">
        <v>6973</v>
      </c>
      <c r="BB119" s="52">
        <v>3400</v>
      </c>
      <c r="BC119" s="52"/>
      <c r="BD119" s="52">
        <v>12745</v>
      </c>
      <c r="BE119" s="52">
        <v>9124</v>
      </c>
      <c r="BF119" s="52">
        <v>115174</v>
      </c>
      <c r="BG119" s="52">
        <v>31076</v>
      </c>
      <c r="BH119" s="52">
        <v>47180</v>
      </c>
      <c r="BI119" s="52">
        <v>34579</v>
      </c>
      <c r="BJ119" s="52">
        <v>21378</v>
      </c>
      <c r="BK119" s="52"/>
      <c r="BL119" s="52">
        <v>19797</v>
      </c>
      <c r="BM119" s="52">
        <v>41072</v>
      </c>
      <c r="BN119" s="52">
        <v>32569</v>
      </c>
      <c r="BO119" s="52">
        <v>10236</v>
      </c>
      <c r="BP119" s="52">
        <v>15765</v>
      </c>
      <c r="BQ119" s="52">
        <v>23293</v>
      </c>
      <c r="BR119" s="52">
        <v>11633</v>
      </c>
      <c r="BS119" s="52"/>
      <c r="BT119" s="52">
        <v>21338</v>
      </c>
      <c r="BU119" s="52">
        <v>22184</v>
      </c>
      <c r="BV119" s="52">
        <v>6699</v>
      </c>
      <c r="BW119" s="52"/>
      <c r="BX119" s="52">
        <v>23070</v>
      </c>
      <c r="BY119" s="52">
        <v>22122</v>
      </c>
      <c r="BZ119" s="52">
        <v>35440</v>
      </c>
      <c r="CA119" s="52"/>
      <c r="CB119" s="52">
        <v>23180</v>
      </c>
      <c r="CC119" s="52">
        <v>17339</v>
      </c>
      <c r="CD119" s="52">
        <v>28238</v>
      </c>
      <c r="CE119" s="52"/>
      <c r="CF119" s="52">
        <v>44444</v>
      </c>
      <c r="CG119" s="52">
        <v>71349</v>
      </c>
      <c r="CH119" s="52">
        <v>101119</v>
      </c>
      <c r="CI119" s="52">
        <v>10495</v>
      </c>
      <c r="CJ119" s="52">
        <v>30647</v>
      </c>
      <c r="CK119" s="52">
        <v>40990</v>
      </c>
      <c r="CL119" s="52">
        <v>13152</v>
      </c>
      <c r="CM119" s="52">
        <v>11684</v>
      </c>
      <c r="CN119" s="52">
        <v>2994</v>
      </c>
      <c r="CO119" s="52">
        <v>18671</v>
      </c>
      <c r="CP119" s="52">
        <v>66106</v>
      </c>
      <c r="CQ119" s="52"/>
      <c r="CR119" s="52"/>
      <c r="CS119" s="52"/>
      <c r="CT119" s="52">
        <v>48561</v>
      </c>
      <c r="CU119" s="52">
        <v>29242</v>
      </c>
      <c r="CV119" s="52"/>
      <c r="CW119" s="52">
        <v>19080</v>
      </c>
      <c r="CX119" s="52">
        <v>24924</v>
      </c>
      <c r="CY119" s="52">
        <v>17740</v>
      </c>
      <c r="CZ119" s="52">
        <v>25844</v>
      </c>
      <c r="DA119" s="52">
        <v>55951</v>
      </c>
      <c r="DB119" s="52">
        <v>13009</v>
      </c>
      <c r="DC119" s="52">
        <v>16387</v>
      </c>
      <c r="DD119" s="52"/>
      <c r="DE119" s="52">
        <v>2019869</v>
      </c>
      <c r="DF119" s="52">
        <v>16387</v>
      </c>
      <c r="DG119" s="52">
        <v>2036256</v>
      </c>
      <c r="DH119" s="52"/>
    </row>
    <row r="120" spans="1:112">
      <c r="A120" s="150" t="s">
        <v>411</v>
      </c>
      <c r="B120" s="44">
        <v>3507</v>
      </c>
      <c r="C120" s="44" t="s">
        <v>176</v>
      </c>
      <c r="D120" s="52"/>
      <c r="E120" s="52"/>
      <c r="F120" s="52"/>
      <c r="G120" s="52"/>
      <c r="H120" s="56"/>
      <c r="I120" s="56"/>
      <c r="J120" s="56"/>
      <c r="K120" s="56"/>
      <c r="L120" s="52"/>
      <c r="M120" s="52"/>
      <c r="N120" s="52"/>
      <c r="O120" s="52"/>
      <c r="P120" s="52">
        <v>1378</v>
      </c>
      <c r="Q120" s="52"/>
      <c r="R120" s="52"/>
      <c r="S120" s="52"/>
      <c r="T120" s="52"/>
      <c r="U120" s="52"/>
      <c r="V120" s="52"/>
      <c r="W120" s="52"/>
      <c r="X120" s="52"/>
      <c r="Y120" s="52"/>
      <c r="Z120" s="52"/>
      <c r="AA120" s="52"/>
      <c r="AB120" s="52"/>
      <c r="AC120" s="52"/>
      <c r="AD120" s="52">
        <v>152662</v>
      </c>
      <c r="AE120" s="52"/>
      <c r="AF120" s="52"/>
      <c r="AG120" s="52"/>
      <c r="AH120" s="52">
        <v>208419</v>
      </c>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v>204</v>
      </c>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v>78089</v>
      </c>
      <c r="CQ120" s="52"/>
      <c r="CR120" s="52"/>
      <c r="CS120" s="52"/>
      <c r="CT120" s="52"/>
      <c r="CU120" s="52"/>
      <c r="CV120" s="52"/>
      <c r="CW120" s="52"/>
      <c r="CX120" s="52"/>
      <c r="CY120" s="52"/>
      <c r="CZ120" s="52"/>
      <c r="DA120" s="52"/>
      <c r="DB120" s="52"/>
      <c r="DC120" s="52"/>
      <c r="DD120" s="52"/>
      <c r="DE120" s="52">
        <v>440752</v>
      </c>
      <c r="DF120" s="52"/>
      <c r="DG120" s="52">
        <v>440752</v>
      </c>
      <c r="DH120" s="52"/>
    </row>
    <row r="121" spans="1:112">
      <c r="A121" s="150" t="s">
        <v>411</v>
      </c>
      <c r="B121" s="44">
        <v>3509</v>
      </c>
      <c r="C121" s="44" t="s">
        <v>177</v>
      </c>
      <c r="D121" s="52"/>
      <c r="E121" s="52">
        <v>13480</v>
      </c>
      <c r="F121" s="52">
        <v>9481</v>
      </c>
      <c r="G121" s="52"/>
      <c r="H121" s="56"/>
      <c r="I121" s="56"/>
      <c r="J121" s="56"/>
      <c r="K121" s="56"/>
      <c r="L121" s="52">
        <v>5691</v>
      </c>
      <c r="M121" s="52"/>
      <c r="N121" s="52"/>
      <c r="O121" s="52"/>
      <c r="P121" s="52"/>
      <c r="Q121" s="52"/>
      <c r="R121" s="52"/>
      <c r="S121" s="52"/>
      <c r="T121" s="52"/>
      <c r="U121" s="52">
        <v>22789</v>
      </c>
      <c r="V121" s="52"/>
      <c r="W121" s="52">
        <v>42613</v>
      </c>
      <c r="X121" s="52"/>
      <c r="Y121" s="52">
        <v>20000</v>
      </c>
      <c r="Z121" s="52">
        <v>35284</v>
      </c>
      <c r="AA121" s="52">
        <v>13071</v>
      </c>
      <c r="AB121" s="52">
        <v>29535</v>
      </c>
      <c r="AC121" s="52"/>
      <c r="AD121" s="52">
        <v>1695</v>
      </c>
      <c r="AE121" s="52"/>
      <c r="AF121" s="52"/>
      <c r="AG121" s="52"/>
      <c r="AH121" s="52">
        <v>74700</v>
      </c>
      <c r="AI121" s="52"/>
      <c r="AJ121" s="52"/>
      <c r="AK121" s="52"/>
      <c r="AL121" s="52">
        <v>35000</v>
      </c>
      <c r="AM121" s="52"/>
      <c r="AN121" s="52">
        <v>14200</v>
      </c>
      <c r="AO121" s="52"/>
      <c r="AP121" s="52"/>
      <c r="AQ121" s="52">
        <v>3000</v>
      </c>
      <c r="AR121" s="52">
        <v>5000</v>
      </c>
      <c r="AS121" s="52">
        <v>55785</v>
      </c>
      <c r="AT121" s="52"/>
      <c r="AU121" s="52">
        <v>40239</v>
      </c>
      <c r="AV121" s="52"/>
      <c r="AW121" s="52"/>
      <c r="AX121" s="52"/>
      <c r="AY121" s="52">
        <v>39492</v>
      </c>
      <c r="AZ121" s="52"/>
      <c r="BA121" s="52">
        <v>2250</v>
      </c>
      <c r="BB121" s="52"/>
      <c r="BC121" s="52"/>
      <c r="BD121" s="52">
        <v>39938</v>
      </c>
      <c r="BE121" s="52">
        <v>37500</v>
      </c>
      <c r="BF121" s="52"/>
      <c r="BG121" s="52"/>
      <c r="BH121" s="52">
        <v>34564</v>
      </c>
      <c r="BI121" s="52">
        <v>30243</v>
      </c>
      <c r="BJ121" s="52">
        <v>14366</v>
      </c>
      <c r="BK121" s="52"/>
      <c r="BL121" s="52"/>
      <c r="BM121" s="52">
        <v>5000</v>
      </c>
      <c r="BN121" s="52">
        <v>24784</v>
      </c>
      <c r="BO121" s="52">
        <v>2000</v>
      </c>
      <c r="BP121" s="52">
        <v>2730</v>
      </c>
      <c r="BQ121" s="52">
        <v>8220</v>
      </c>
      <c r="BR121" s="52"/>
      <c r="BS121" s="52"/>
      <c r="BT121" s="52"/>
      <c r="BU121" s="52">
        <v>18774</v>
      </c>
      <c r="BV121" s="52"/>
      <c r="BW121" s="52"/>
      <c r="BX121" s="52"/>
      <c r="BY121" s="52">
        <v>16600</v>
      </c>
      <c r="BZ121" s="52">
        <v>5632</v>
      </c>
      <c r="CA121" s="52"/>
      <c r="CB121" s="52"/>
      <c r="CC121" s="52">
        <v>5000</v>
      </c>
      <c r="CD121" s="52">
        <v>45956</v>
      </c>
      <c r="CE121" s="52"/>
      <c r="CF121" s="52"/>
      <c r="CG121" s="52">
        <v>30644</v>
      </c>
      <c r="CH121" s="52">
        <v>49106</v>
      </c>
      <c r="CI121" s="52">
        <v>750</v>
      </c>
      <c r="CJ121" s="52"/>
      <c r="CK121" s="52">
        <v>5000</v>
      </c>
      <c r="CL121" s="52"/>
      <c r="CM121" s="52"/>
      <c r="CN121" s="52"/>
      <c r="CO121" s="52">
        <v>5900</v>
      </c>
      <c r="CP121" s="52">
        <v>5131</v>
      </c>
      <c r="CQ121" s="52"/>
      <c r="CR121" s="52"/>
      <c r="CS121" s="52"/>
      <c r="CT121" s="52">
        <v>5000</v>
      </c>
      <c r="CU121" s="52">
        <v>5000</v>
      </c>
      <c r="CV121" s="52"/>
      <c r="CW121" s="52">
        <v>26284</v>
      </c>
      <c r="CX121" s="52">
        <v>7780</v>
      </c>
      <c r="CY121" s="52">
        <v>2304</v>
      </c>
      <c r="CZ121" s="52"/>
      <c r="DA121" s="52">
        <v>29631</v>
      </c>
      <c r="DB121" s="52"/>
      <c r="DC121" s="52"/>
      <c r="DD121" s="52"/>
      <c r="DE121" s="52">
        <v>927142</v>
      </c>
      <c r="DF121" s="52"/>
      <c r="DG121" s="52">
        <v>927142</v>
      </c>
      <c r="DH121" s="52"/>
    </row>
    <row r="122" spans="1:112">
      <c r="A122" s="150" t="s">
        <v>411</v>
      </c>
      <c r="B122" s="44">
        <v>3513</v>
      </c>
      <c r="C122" s="44" t="s">
        <v>178</v>
      </c>
      <c r="D122" s="52">
        <v>62290</v>
      </c>
      <c r="E122" s="52">
        <v>75013</v>
      </c>
      <c r="F122" s="52">
        <v>38557</v>
      </c>
      <c r="G122" s="52"/>
      <c r="H122" s="56">
        <v>59036</v>
      </c>
      <c r="I122" s="56">
        <v>41403</v>
      </c>
      <c r="J122" s="56">
        <v>52017</v>
      </c>
      <c r="K122" s="56">
        <v>50622</v>
      </c>
      <c r="L122" s="52">
        <v>91306</v>
      </c>
      <c r="M122" s="52"/>
      <c r="N122" s="52"/>
      <c r="O122" s="52">
        <v>41488</v>
      </c>
      <c r="P122" s="52">
        <v>40416</v>
      </c>
      <c r="Q122" s="52">
        <v>40021</v>
      </c>
      <c r="R122" s="52">
        <v>40620</v>
      </c>
      <c r="S122" s="52">
        <v>46086</v>
      </c>
      <c r="T122" s="52"/>
      <c r="U122" s="52">
        <v>42437</v>
      </c>
      <c r="V122" s="52"/>
      <c r="W122" s="52">
        <v>158838</v>
      </c>
      <c r="X122" s="52">
        <v>45126</v>
      </c>
      <c r="Y122" s="52">
        <v>188928</v>
      </c>
      <c r="Z122" s="52">
        <v>82856</v>
      </c>
      <c r="AA122" s="52">
        <v>61011</v>
      </c>
      <c r="AB122" s="52">
        <v>70626</v>
      </c>
      <c r="AC122" s="52">
        <v>42856</v>
      </c>
      <c r="AD122" s="52">
        <v>50768</v>
      </c>
      <c r="AE122" s="52">
        <v>40922</v>
      </c>
      <c r="AF122" s="52"/>
      <c r="AG122" s="52">
        <v>67354</v>
      </c>
      <c r="AH122" s="52">
        <v>101237</v>
      </c>
      <c r="AI122" s="52"/>
      <c r="AJ122" s="52">
        <v>42456</v>
      </c>
      <c r="AK122" s="52">
        <v>76546</v>
      </c>
      <c r="AL122" s="52">
        <v>41770</v>
      </c>
      <c r="AM122" s="52"/>
      <c r="AN122" s="52">
        <v>80865</v>
      </c>
      <c r="AO122" s="52">
        <v>46227</v>
      </c>
      <c r="AP122" s="52"/>
      <c r="AQ122" s="52">
        <v>55029</v>
      </c>
      <c r="AR122" s="52">
        <v>44490</v>
      </c>
      <c r="AS122" s="52">
        <v>89065</v>
      </c>
      <c r="AT122" s="52">
        <v>40162</v>
      </c>
      <c r="AU122" s="52">
        <v>81258</v>
      </c>
      <c r="AV122" s="52">
        <v>11316</v>
      </c>
      <c r="AW122" s="52">
        <v>40529</v>
      </c>
      <c r="AX122" s="52">
        <v>89101</v>
      </c>
      <c r="AY122" s="52">
        <v>306923</v>
      </c>
      <c r="AZ122" s="52">
        <v>74722</v>
      </c>
      <c r="BA122" s="52">
        <v>32495</v>
      </c>
      <c r="BB122" s="52">
        <v>37048</v>
      </c>
      <c r="BC122" s="52"/>
      <c r="BD122" s="52">
        <v>66534</v>
      </c>
      <c r="BE122" s="52">
        <v>35137</v>
      </c>
      <c r="BF122" s="52">
        <v>181785</v>
      </c>
      <c r="BG122" s="52">
        <v>53617</v>
      </c>
      <c r="BH122" s="52">
        <v>72387</v>
      </c>
      <c r="BI122" s="52">
        <v>77300</v>
      </c>
      <c r="BJ122" s="52">
        <v>76465</v>
      </c>
      <c r="BK122" s="52">
        <v>48540</v>
      </c>
      <c r="BL122" s="52">
        <v>42493</v>
      </c>
      <c r="BM122" s="52">
        <v>74463</v>
      </c>
      <c r="BN122" s="52">
        <v>64858</v>
      </c>
      <c r="BO122" s="52">
        <v>58121</v>
      </c>
      <c r="BP122" s="52">
        <v>70991</v>
      </c>
      <c r="BQ122" s="52">
        <v>62848</v>
      </c>
      <c r="BR122" s="52">
        <v>24111</v>
      </c>
      <c r="BS122" s="52"/>
      <c r="BT122" s="52">
        <v>50898</v>
      </c>
      <c r="BU122" s="52">
        <v>56098</v>
      </c>
      <c r="BV122" s="52">
        <v>39598</v>
      </c>
      <c r="BW122" s="52"/>
      <c r="BX122" s="52">
        <v>93558</v>
      </c>
      <c r="BY122" s="52">
        <v>60189</v>
      </c>
      <c r="BZ122" s="52">
        <v>57358</v>
      </c>
      <c r="CA122" s="52"/>
      <c r="CB122" s="52">
        <v>56350</v>
      </c>
      <c r="CC122" s="52">
        <v>54407</v>
      </c>
      <c r="CD122" s="52">
        <v>117166</v>
      </c>
      <c r="CE122" s="52"/>
      <c r="CF122" s="52">
        <v>88885</v>
      </c>
      <c r="CG122" s="52">
        <v>154459</v>
      </c>
      <c r="CH122" s="52">
        <v>118547</v>
      </c>
      <c r="CI122" s="52">
        <v>44196</v>
      </c>
      <c r="CJ122" s="52">
        <v>51586</v>
      </c>
      <c r="CK122" s="52">
        <v>63828</v>
      </c>
      <c r="CL122" s="52">
        <v>45578</v>
      </c>
      <c r="CM122" s="52">
        <v>45691</v>
      </c>
      <c r="CN122" s="52">
        <v>54463</v>
      </c>
      <c r="CO122" s="52">
        <v>60728</v>
      </c>
      <c r="CP122" s="52">
        <v>73228</v>
      </c>
      <c r="CQ122" s="52"/>
      <c r="CR122" s="52"/>
      <c r="CS122" s="52"/>
      <c r="CT122" s="52">
        <v>111372</v>
      </c>
      <c r="CU122" s="52">
        <v>71768</v>
      </c>
      <c r="CV122" s="52"/>
      <c r="CW122" s="52">
        <v>63528</v>
      </c>
      <c r="CX122" s="52">
        <v>69441</v>
      </c>
      <c r="CY122" s="52">
        <v>54322</v>
      </c>
      <c r="CZ122" s="52">
        <v>46255</v>
      </c>
      <c r="DA122" s="52">
        <v>95115</v>
      </c>
      <c r="DB122" s="52">
        <v>44280</v>
      </c>
      <c r="DC122" s="52">
        <v>39075</v>
      </c>
      <c r="DD122" s="52"/>
      <c r="DE122" s="52">
        <v>5774378</v>
      </c>
      <c r="DF122" s="52">
        <v>39075</v>
      </c>
      <c r="DG122" s="52">
        <v>5813453</v>
      </c>
      <c r="DH122" s="52"/>
    </row>
    <row r="123" spans="1:112">
      <c r="A123" s="150" t="s">
        <v>411</v>
      </c>
      <c r="B123" s="44">
        <v>3515</v>
      </c>
      <c r="C123" s="44" t="s">
        <v>179</v>
      </c>
      <c r="D123" s="52">
        <v>1369</v>
      </c>
      <c r="E123" s="52">
        <v>39404</v>
      </c>
      <c r="F123" s="52"/>
      <c r="G123" s="52"/>
      <c r="H123" s="56">
        <v>16293</v>
      </c>
      <c r="I123" s="56">
        <v>810</v>
      </c>
      <c r="J123" s="56"/>
      <c r="K123" s="56">
        <v>3158</v>
      </c>
      <c r="L123" s="52">
        <v>8620</v>
      </c>
      <c r="M123" s="52"/>
      <c r="N123" s="52"/>
      <c r="O123" s="52">
        <v>1550</v>
      </c>
      <c r="P123" s="52">
        <v>1810</v>
      </c>
      <c r="Q123" s="52">
        <v>530</v>
      </c>
      <c r="R123" s="52">
        <v>6591</v>
      </c>
      <c r="S123" s="52">
        <v>310</v>
      </c>
      <c r="T123" s="52"/>
      <c r="U123" s="52">
        <v>69898</v>
      </c>
      <c r="V123" s="52"/>
      <c r="W123" s="52">
        <v>9150</v>
      </c>
      <c r="X123" s="52"/>
      <c r="Y123" s="52">
        <v>58585</v>
      </c>
      <c r="Z123" s="52">
        <v>7655</v>
      </c>
      <c r="AA123" s="52">
        <v>3188</v>
      </c>
      <c r="AB123" s="52">
        <v>3539</v>
      </c>
      <c r="AC123" s="52"/>
      <c r="AD123" s="52"/>
      <c r="AE123" s="52"/>
      <c r="AF123" s="52"/>
      <c r="AG123" s="52">
        <v>624</v>
      </c>
      <c r="AH123" s="52">
        <v>3294</v>
      </c>
      <c r="AI123" s="52"/>
      <c r="AJ123" s="52">
        <v>434</v>
      </c>
      <c r="AK123" s="52">
        <v>660</v>
      </c>
      <c r="AL123" s="52">
        <v>130</v>
      </c>
      <c r="AM123" s="52"/>
      <c r="AN123" s="52">
        <v>19690</v>
      </c>
      <c r="AO123" s="52"/>
      <c r="AP123" s="52"/>
      <c r="AQ123" s="52">
        <v>1506</v>
      </c>
      <c r="AR123" s="52"/>
      <c r="AS123" s="52">
        <v>56526</v>
      </c>
      <c r="AT123" s="52">
        <v>440</v>
      </c>
      <c r="AU123" s="52">
        <v>3879</v>
      </c>
      <c r="AV123" s="52">
        <v>750</v>
      </c>
      <c r="AW123" s="52">
        <v>1400</v>
      </c>
      <c r="AX123" s="52">
        <v>6960</v>
      </c>
      <c r="AY123" s="52">
        <v>190462</v>
      </c>
      <c r="AZ123" s="52">
        <v>8410</v>
      </c>
      <c r="BA123" s="52">
        <v>470</v>
      </c>
      <c r="BB123" s="52">
        <v>1770</v>
      </c>
      <c r="BC123" s="52"/>
      <c r="BD123" s="52">
        <v>660</v>
      </c>
      <c r="BE123" s="52"/>
      <c r="BF123" s="52">
        <v>41613</v>
      </c>
      <c r="BG123" s="52">
        <v>1327</v>
      </c>
      <c r="BH123" s="52">
        <v>2517</v>
      </c>
      <c r="BI123" s="52">
        <v>4213</v>
      </c>
      <c r="BJ123" s="52">
        <v>4100</v>
      </c>
      <c r="BK123" s="52">
        <v>2290</v>
      </c>
      <c r="BL123" s="52">
        <v>850</v>
      </c>
      <c r="BM123" s="52">
        <v>15575</v>
      </c>
      <c r="BN123" s="52">
        <v>14011</v>
      </c>
      <c r="BO123" s="52">
        <v>590</v>
      </c>
      <c r="BP123" s="52">
        <v>620</v>
      </c>
      <c r="BQ123" s="52">
        <v>51730</v>
      </c>
      <c r="BR123" s="52">
        <v>650</v>
      </c>
      <c r="BS123" s="52"/>
      <c r="BT123" s="52">
        <v>1900</v>
      </c>
      <c r="BU123" s="52">
        <v>609</v>
      </c>
      <c r="BV123" s="52">
        <v>470</v>
      </c>
      <c r="BW123" s="52"/>
      <c r="BX123" s="52">
        <v>1690</v>
      </c>
      <c r="BY123" s="52">
        <v>2480</v>
      </c>
      <c r="BZ123" s="52">
        <v>7747</v>
      </c>
      <c r="CA123" s="52"/>
      <c r="CB123" s="52">
        <v>1240</v>
      </c>
      <c r="CC123" s="52">
        <v>2480</v>
      </c>
      <c r="CD123" s="52">
        <v>10288</v>
      </c>
      <c r="CE123" s="52"/>
      <c r="CF123" s="52">
        <v>20956</v>
      </c>
      <c r="CG123" s="52">
        <v>56181</v>
      </c>
      <c r="CH123" s="52">
        <v>40440</v>
      </c>
      <c r="CI123" s="52">
        <v>470</v>
      </c>
      <c r="CJ123" s="52">
        <v>5970</v>
      </c>
      <c r="CK123" s="52">
        <v>6367</v>
      </c>
      <c r="CL123" s="52">
        <v>2550</v>
      </c>
      <c r="CM123" s="52">
        <v>5460</v>
      </c>
      <c r="CN123" s="52">
        <v>5759</v>
      </c>
      <c r="CO123" s="52">
        <v>19936</v>
      </c>
      <c r="CP123" s="52">
        <v>12294</v>
      </c>
      <c r="CQ123" s="52"/>
      <c r="CR123" s="52"/>
      <c r="CS123" s="52"/>
      <c r="CT123" s="52">
        <v>75</v>
      </c>
      <c r="CU123" s="52">
        <v>3633</v>
      </c>
      <c r="CV123" s="52"/>
      <c r="CW123" s="52">
        <v>3386</v>
      </c>
      <c r="CX123" s="52"/>
      <c r="CY123" s="52"/>
      <c r="CZ123" s="52">
        <v>2140</v>
      </c>
      <c r="DA123" s="52">
        <v>34680</v>
      </c>
      <c r="DB123" s="52">
        <v>6470</v>
      </c>
      <c r="DC123" s="52"/>
      <c r="DD123" s="52"/>
      <c r="DE123" s="52">
        <v>926282</v>
      </c>
      <c r="DF123" s="52"/>
      <c r="DG123" s="52">
        <v>926282</v>
      </c>
      <c r="DH123" s="52"/>
    </row>
    <row r="124" spans="1:112">
      <c r="A124" s="150" t="s">
        <v>411</v>
      </c>
      <c r="B124" s="44">
        <v>3517</v>
      </c>
      <c r="C124" s="44" t="s">
        <v>180</v>
      </c>
      <c r="D124" s="52">
        <v>1000</v>
      </c>
      <c r="E124" s="52">
        <v>7000</v>
      </c>
      <c r="F124" s="52"/>
      <c r="G124" s="52"/>
      <c r="H124" s="56">
        <v>1000</v>
      </c>
      <c r="I124" s="56">
        <v>500</v>
      </c>
      <c r="J124" s="56">
        <v>565</v>
      </c>
      <c r="K124" s="56"/>
      <c r="L124" s="52"/>
      <c r="M124" s="52"/>
      <c r="N124" s="52"/>
      <c r="O124" s="52"/>
      <c r="P124" s="52"/>
      <c r="Q124" s="52">
        <v>500</v>
      </c>
      <c r="R124" s="52">
        <v>2000</v>
      </c>
      <c r="S124" s="52">
        <v>500</v>
      </c>
      <c r="T124" s="52"/>
      <c r="U124" s="52">
        <v>7500</v>
      </c>
      <c r="V124" s="52"/>
      <c r="W124" s="52">
        <v>5000</v>
      </c>
      <c r="X124" s="52"/>
      <c r="Y124" s="52">
        <v>12500</v>
      </c>
      <c r="Z124" s="52">
        <v>4500</v>
      </c>
      <c r="AA124" s="52">
        <v>5325</v>
      </c>
      <c r="AB124" s="52">
        <v>3000</v>
      </c>
      <c r="AC124" s="52"/>
      <c r="AD124" s="52"/>
      <c r="AE124" s="52">
        <v>960</v>
      </c>
      <c r="AF124" s="52"/>
      <c r="AG124" s="52"/>
      <c r="AH124" s="52">
        <v>159</v>
      </c>
      <c r="AI124" s="52"/>
      <c r="AJ124" s="52">
        <v>1000</v>
      </c>
      <c r="AK124" s="52"/>
      <c r="AL124" s="52">
        <v>500</v>
      </c>
      <c r="AM124" s="52"/>
      <c r="AN124" s="52">
        <v>1500</v>
      </c>
      <c r="AO124" s="52"/>
      <c r="AP124" s="52"/>
      <c r="AQ124" s="52">
        <v>1528</v>
      </c>
      <c r="AR124" s="52">
        <v>117</v>
      </c>
      <c r="AS124" s="52">
        <v>2500</v>
      </c>
      <c r="AT124" s="52">
        <v>1500</v>
      </c>
      <c r="AU124" s="52">
        <v>500</v>
      </c>
      <c r="AV124" s="52">
        <v>1000</v>
      </c>
      <c r="AW124" s="52"/>
      <c r="AX124" s="52">
        <v>810</v>
      </c>
      <c r="AY124" s="52">
        <v>23500</v>
      </c>
      <c r="AZ124" s="52">
        <v>6000</v>
      </c>
      <c r="BA124" s="52">
        <v>660</v>
      </c>
      <c r="BB124" s="52">
        <v>500</v>
      </c>
      <c r="BC124" s="52"/>
      <c r="BD124" s="52"/>
      <c r="BE124" s="52"/>
      <c r="BF124" s="52">
        <v>17939</v>
      </c>
      <c r="BG124" s="52"/>
      <c r="BH124" s="52">
        <v>2517</v>
      </c>
      <c r="BI124" s="52"/>
      <c r="BJ124" s="52"/>
      <c r="BK124" s="52"/>
      <c r="BL124" s="52">
        <v>50</v>
      </c>
      <c r="BM124" s="52">
        <v>11000</v>
      </c>
      <c r="BN124" s="52">
        <v>3484</v>
      </c>
      <c r="BO124" s="52"/>
      <c r="BP124" s="52">
        <v>500</v>
      </c>
      <c r="BQ124" s="52">
        <v>5508</v>
      </c>
      <c r="BR124" s="52">
        <v>1065</v>
      </c>
      <c r="BS124" s="52"/>
      <c r="BT124" s="52">
        <v>1000</v>
      </c>
      <c r="BU124" s="52">
        <v>339</v>
      </c>
      <c r="BV124" s="52">
        <v>500</v>
      </c>
      <c r="BW124" s="52"/>
      <c r="BX124" s="52">
        <v>1000</v>
      </c>
      <c r="BY124" s="52">
        <v>3000</v>
      </c>
      <c r="BZ124" s="52">
        <v>4207</v>
      </c>
      <c r="CA124" s="52"/>
      <c r="CB124" s="52">
        <v>1000</v>
      </c>
      <c r="CC124" s="52">
        <v>1000</v>
      </c>
      <c r="CD124" s="52"/>
      <c r="CE124" s="52"/>
      <c r="CF124" s="52">
        <v>4500</v>
      </c>
      <c r="CG124" s="52">
        <v>14000</v>
      </c>
      <c r="CH124" s="52">
        <v>23323</v>
      </c>
      <c r="CI124" s="52"/>
      <c r="CJ124" s="52">
        <v>3000</v>
      </c>
      <c r="CK124" s="52">
        <v>500</v>
      </c>
      <c r="CL124" s="52">
        <v>500</v>
      </c>
      <c r="CM124" s="52">
        <v>1000</v>
      </c>
      <c r="CN124" s="52">
        <v>1000</v>
      </c>
      <c r="CO124" s="52"/>
      <c r="CP124" s="52">
        <v>2500</v>
      </c>
      <c r="CQ124" s="52"/>
      <c r="CR124" s="52"/>
      <c r="CS124" s="52"/>
      <c r="CT124" s="52">
        <v>1000</v>
      </c>
      <c r="CU124" s="52">
        <v>3000</v>
      </c>
      <c r="CV124" s="52"/>
      <c r="CW124" s="52">
        <v>1000</v>
      </c>
      <c r="CX124" s="52"/>
      <c r="CY124" s="52">
        <v>3891</v>
      </c>
      <c r="CZ124" s="52"/>
      <c r="DA124" s="52">
        <v>500</v>
      </c>
      <c r="DB124" s="52"/>
      <c r="DC124" s="52"/>
      <c r="DD124" s="52"/>
      <c r="DE124" s="52">
        <v>207447</v>
      </c>
      <c r="DF124" s="52"/>
      <c r="DG124" s="52">
        <v>207447</v>
      </c>
      <c r="DH124" s="52"/>
    </row>
    <row r="125" spans="1:112">
      <c r="A125" s="150" t="s">
        <v>411</v>
      </c>
      <c r="B125" s="44">
        <v>3520</v>
      </c>
      <c r="C125" s="44" t="s">
        <v>181</v>
      </c>
      <c r="D125" s="52">
        <v>99429</v>
      </c>
      <c r="E125" s="52">
        <v>1305719</v>
      </c>
      <c r="F125" s="52">
        <v>15000</v>
      </c>
      <c r="G125" s="52"/>
      <c r="H125" s="56">
        <v>378320</v>
      </c>
      <c r="I125" s="56">
        <v>197136</v>
      </c>
      <c r="J125" s="56">
        <v>95025</v>
      </c>
      <c r="K125" s="56">
        <v>114197</v>
      </c>
      <c r="L125" s="52">
        <v>378902</v>
      </c>
      <c r="M125" s="52"/>
      <c r="N125" s="52"/>
      <c r="O125" s="52">
        <v>39594</v>
      </c>
      <c r="P125" s="52">
        <v>38645</v>
      </c>
      <c r="Q125" s="52">
        <v>15421</v>
      </c>
      <c r="R125" s="52">
        <v>40438</v>
      </c>
      <c r="S125" s="52">
        <v>52514</v>
      </c>
      <c r="T125" s="52"/>
      <c r="U125" s="52">
        <v>868778</v>
      </c>
      <c r="V125" s="52"/>
      <c r="W125" s="52">
        <v>719776</v>
      </c>
      <c r="X125" s="52">
        <v>37268</v>
      </c>
      <c r="Y125" s="52">
        <v>1935102</v>
      </c>
      <c r="Z125" s="52">
        <v>408929</v>
      </c>
      <c r="AA125" s="52">
        <v>159219</v>
      </c>
      <c r="AB125" s="52">
        <v>224486</v>
      </c>
      <c r="AC125" s="52">
        <v>52540</v>
      </c>
      <c r="AD125" s="52">
        <v>66672</v>
      </c>
      <c r="AE125" s="52">
        <v>36567</v>
      </c>
      <c r="AF125" s="52"/>
      <c r="AG125" s="52">
        <v>134503</v>
      </c>
      <c r="AH125" s="52">
        <v>357596</v>
      </c>
      <c r="AI125" s="52"/>
      <c r="AJ125" s="52">
        <v>15000</v>
      </c>
      <c r="AK125" s="52">
        <v>51463</v>
      </c>
      <c r="AL125" s="52">
        <v>55431</v>
      </c>
      <c r="AM125" s="52"/>
      <c r="AN125" s="52">
        <v>918163</v>
      </c>
      <c r="AO125" s="52">
        <v>32926</v>
      </c>
      <c r="AP125" s="52"/>
      <c r="AQ125" s="52">
        <v>112113</v>
      </c>
      <c r="AR125" s="52">
        <v>118440</v>
      </c>
      <c r="AS125" s="52">
        <v>332180</v>
      </c>
      <c r="AT125" s="52">
        <v>22089</v>
      </c>
      <c r="AU125" s="52">
        <v>130689</v>
      </c>
      <c r="AV125" s="52">
        <v>20005</v>
      </c>
      <c r="AW125" s="52">
        <v>68768</v>
      </c>
      <c r="AX125" s="52">
        <v>433033</v>
      </c>
      <c r="AY125" s="52">
        <v>3455472</v>
      </c>
      <c r="AZ125" s="52">
        <v>371901</v>
      </c>
      <c r="BA125" s="52">
        <v>26335</v>
      </c>
      <c r="BB125" s="52">
        <v>51653</v>
      </c>
      <c r="BC125" s="52"/>
      <c r="BD125" s="52">
        <v>54181</v>
      </c>
      <c r="BE125" s="52">
        <v>15838</v>
      </c>
      <c r="BF125" s="52">
        <v>2226879</v>
      </c>
      <c r="BG125" s="52">
        <v>46264</v>
      </c>
      <c r="BH125" s="52">
        <v>605169</v>
      </c>
      <c r="BI125" s="52">
        <v>265071</v>
      </c>
      <c r="BJ125" s="52">
        <v>81382</v>
      </c>
      <c r="BK125" s="52">
        <v>123334</v>
      </c>
      <c r="BL125" s="52">
        <v>15838</v>
      </c>
      <c r="BM125" s="52">
        <v>1196512</v>
      </c>
      <c r="BN125" s="52">
        <v>437435</v>
      </c>
      <c r="BO125" s="52">
        <v>125867</v>
      </c>
      <c r="BP125" s="52">
        <v>82565</v>
      </c>
      <c r="BQ125" s="52">
        <v>1230830</v>
      </c>
      <c r="BR125" s="52">
        <v>13837</v>
      </c>
      <c r="BS125" s="52"/>
      <c r="BT125" s="52">
        <v>82940</v>
      </c>
      <c r="BU125" s="52">
        <v>43159</v>
      </c>
      <c r="BV125" s="52">
        <v>15000</v>
      </c>
      <c r="BW125" s="52"/>
      <c r="BX125" s="52">
        <v>129618</v>
      </c>
      <c r="BY125" s="52">
        <v>248400</v>
      </c>
      <c r="BZ125" s="52">
        <v>563068</v>
      </c>
      <c r="CA125" s="52"/>
      <c r="CB125" s="52">
        <v>50014</v>
      </c>
      <c r="CC125" s="52">
        <v>95442</v>
      </c>
      <c r="CD125" s="52">
        <v>60016</v>
      </c>
      <c r="CE125" s="52"/>
      <c r="CF125" s="52">
        <v>788962</v>
      </c>
      <c r="CG125" s="52">
        <v>1095338</v>
      </c>
      <c r="CH125" s="52">
        <v>988463</v>
      </c>
      <c r="CI125" s="52">
        <v>66685</v>
      </c>
      <c r="CJ125" s="52">
        <v>270072</v>
      </c>
      <c r="CK125" s="52">
        <v>242565</v>
      </c>
      <c r="CL125" s="52">
        <v>142538</v>
      </c>
      <c r="CM125" s="52">
        <v>57932</v>
      </c>
      <c r="CN125" s="52">
        <v>241731</v>
      </c>
      <c r="CO125" s="52">
        <v>510554</v>
      </c>
      <c r="CP125" s="52">
        <v>468042</v>
      </c>
      <c r="CQ125" s="52"/>
      <c r="CR125" s="52"/>
      <c r="CS125" s="52"/>
      <c r="CT125" s="52">
        <v>210890</v>
      </c>
      <c r="CU125" s="52">
        <v>323003</v>
      </c>
      <c r="CV125" s="52"/>
      <c r="CW125" s="52">
        <v>192569</v>
      </c>
      <c r="CX125" s="52">
        <v>81596</v>
      </c>
      <c r="CY125" s="52">
        <v>147007</v>
      </c>
      <c r="CZ125" s="52">
        <v>303831</v>
      </c>
      <c r="DA125" s="52">
        <v>579501</v>
      </c>
      <c r="DB125" s="52">
        <v>590575</v>
      </c>
      <c r="DC125" s="52"/>
      <c r="DD125" s="52"/>
      <c r="DE125" s="52">
        <v>29097950</v>
      </c>
      <c r="DF125" s="52"/>
      <c r="DG125" s="52">
        <v>29097950</v>
      </c>
      <c r="DH125" s="52"/>
    </row>
    <row r="126" spans="1:112">
      <c r="A126" s="150" t="s">
        <v>411</v>
      </c>
      <c r="B126" s="44">
        <v>3522</v>
      </c>
      <c r="C126" s="44" t="s">
        <v>182</v>
      </c>
      <c r="D126" s="52">
        <v>15671</v>
      </c>
      <c r="E126" s="52">
        <v>114176</v>
      </c>
      <c r="F126" s="52">
        <v>9501</v>
      </c>
      <c r="G126" s="52"/>
      <c r="H126" s="56">
        <v>38605</v>
      </c>
      <c r="I126" s="56">
        <v>22026</v>
      </c>
      <c r="J126" s="56">
        <v>11481</v>
      </c>
      <c r="K126" s="56">
        <v>16834</v>
      </c>
      <c r="L126" s="52">
        <v>71770</v>
      </c>
      <c r="M126" s="52"/>
      <c r="N126" s="52"/>
      <c r="O126" s="52">
        <v>5405</v>
      </c>
      <c r="P126" s="52"/>
      <c r="Q126" s="52">
        <v>5472</v>
      </c>
      <c r="R126" s="52">
        <v>7890</v>
      </c>
      <c r="S126" s="52">
        <v>15643</v>
      </c>
      <c r="T126" s="52"/>
      <c r="U126" s="52">
        <v>115182</v>
      </c>
      <c r="V126" s="52"/>
      <c r="W126" s="52">
        <v>165211</v>
      </c>
      <c r="X126" s="52">
        <v>4814</v>
      </c>
      <c r="Y126" s="52">
        <v>249092</v>
      </c>
      <c r="Z126" s="52">
        <v>91676</v>
      </c>
      <c r="AA126" s="52">
        <v>33983</v>
      </c>
      <c r="AB126" s="52">
        <v>50413</v>
      </c>
      <c r="AC126" s="52">
        <v>6743</v>
      </c>
      <c r="AD126" s="52">
        <v>5587</v>
      </c>
      <c r="AE126" s="52"/>
      <c r="AF126" s="52"/>
      <c r="AG126" s="52">
        <v>46238</v>
      </c>
      <c r="AH126" s="52">
        <v>59829</v>
      </c>
      <c r="AI126" s="52"/>
      <c r="AJ126" s="52"/>
      <c r="AK126" s="52">
        <v>20630</v>
      </c>
      <c r="AL126" s="52">
        <v>9480</v>
      </c>
      <c r="AM126" s="52"/>
      <c r="AN126" s="52">
        <v>151553</v>
      </c>
      <c r="AO126" s="52">
        <v>10085</v>
      </c>
      <c r="AP126" s="52"/>
      <c r="AQ126" s="52">
        <v>19335</v>
      </c>
      <c r="AR126" s="52">
        <v>21078</v>
      </c>
      <c r="AS126" s="52">
        <v>85547</v>
      </c>
      <c r="AT126" s="52">
        <v>7302</v>
      </c>
      <c r="AU126" s="52">
        <v>12657</v>
      </c>
      <c r="AV126" s="52">
        <v>4728</v>
      </c>
      <c r="AW126" s="52">
        <v>8786</v>
      </c>
      <c r="AX126" s="52">
        <v>53384</v>
      </c>
      <c r="AY126" s="52">
        <v>392983</v>
      </c>
      <c r="AZ126" s="52">
        <v>41154</v>
      </c>
      <c r="BA126" s="52">
        <v>2348</v>
      </c>
      <c r="BB126" s="52">
        <v>14151</v>
      </c>
      <c r="BC126" s="52"/>
      <c r="BD126" s="52">
        <v>21310</v>
      </c>
      <c r="BE126" s="52">
        <v>11716</v>
      </c>
      <c r="BF126" s="52">
        <v>128195</v>
      </c>
      <c r="BG126" s="52">
        <v>18553</v>
      </c>
      <c r="BH126" s="52">
        <v>58522</v>
      </c>
      <c r="BI126" s="52">
        <v>90317</v>
      </c>
      <c r="BJ126" s="52">
        <v>31541</v>
      </c>
      <c r="BK126" s="52"/>
      <c r="BL126" s="52">
        <v>15129</v>
      </c>
      <c r="BM126" s="52">
        <v>110236</v>
      </c>
      <c r="BN126" s="52">
        <v>33866</v>
      </c>
      <c r="BO126" s="52">
        <v>11488</v>
      </c>
      <c r="BP126" s="52">
        <v>1181</v>
      </c>
      <c r="BQ126" s="52">
        <v>78184</v>
      </c>
      <c r="BR126" s="52">
        <v>1740</v>
      </c>
      <c r="BS126" s="52"/>
      <c r="BT126" s="52">
        <v>18589</v>
      </c>
      <c r="BU126" s="52">
        <v>11725</v>
      </c>
      <c r="BV126" s="52">
        <v>5368</v>
      </c>
      <c r="BW126" s="52"/>
      <c r="BX126" s="52">
        <v>28892</v>
      </c>
      <c r="BY126" s="52">
        <v>34175</v>
      </c>
      <c r="BZ126" s="52">
        <v>64496</v>
      </c>
      <c r="CA126" s="52"/>
      <c r="CB126" s="52">
        <v>18485</v>
      </c>
      <c r="CC126" s="52">
        <v>25559</v>
      </c>
      <c r="CD126" s="52">
        <v>39959</v>
      </c>
      <c r="CE126" s="52"/>
      <c r="CF126" s="52">
        <v>98662</v>
      </c>
      <c r="CG126" s="52">
        <v>121299</v>
      </c>
      <c r="CH126" s="52">
        <v>117950</v>
      </c>
      <c r="CI126" s="52">
        <v>12678</v>
      </c>
      <c r="CJ126" s="52">
        <v>28555</v>
      </c>
      <c r="CK126" s="52">
        <v>55187</v>
      </c>
      <c r="CL126" s="52">
        <v>19307</v>
      </c>
      <c r="CM126" s="52">
        <v>11451</v>
      </c>
      <c r="CN126" s="52">
        <v>40519</v>
      </c>
      <c r="CO126" s="52">
        <v>43699</v>
      </c>
      <c r="CP126" s="52">
        <v>41111</v>
      </c>
      <c r="CQ126" s="52"/>
      <c r="CR126" s="52"/>
      <c r="CS126" s="52"/>
      <c r="CT126" s="52">
        <v>52903</v>
      </c>
      <c r="CU126" s="52">
        <v>33404</v>
      </c>
      <c r="CV126" s="52"/>
      <c r="CW126" s="52">
        <v>33686</v>
      </c>
      <c r="CX126" s="52">
        <v>33805</v>
      </c>
      <c r="CY126" s="52">
        <v>28534</v>
      </c>
      <c r="CZ126" s="52">
        <v>33521</v>
      </c>
      <c r="DA126" s="52">
        <v>80003</v>
      </c>
      <c r="DB126" s="52">
        <v>44049</v>
      </c>
      <c r="DC126" s="52"/>
      <c r="DD126" s="52"/>
      <c r="DE126" s="52">
        <v>3807992</v>
      </c>
      <c r="DF126" s="52"/>
      <c r="DG126" s="52">
        <v>3807992</v>
      </c>
      <c r="DH126" s="52"/>
    </row>
    <row r="127" spans="1:112">
      <c r="A127" s="150" t="s">
        <v>411</v>
      </c>
      <c r="B127" s="44">
        <v>3523</v>
      </c>
      <c r="C127" s="44" t="s">
        <v>183</v>
      </c>
      <c r="D127" s="52">
        <v>346</v>
      </c>
      <c r="E127" s="52">
        <v>2195</v>
      </c>
      <c r="F127" s="52"/>
      <c r="G127" s="52"/>
      <c r="H127" s="56">
        <v>980</v>
      </c>
      <c r="I127" s="56">
        <v>282</v>
      </c>
      <c r="J127" s="56">
        <v>141</v>
      </c>
      <c r="K127" s="56">
        <v>241</v>
      </c>
      <c r="L127" s="52">
        <v>916</v>
      </c>
      <c r="M127" s="52"/>
      <c r="N127" s="52"/>
      <c r="O127" s="52">
        <v>47</v>
      </c>
      <c r="P127" s="52">
        <v>23</v>
      </c>
      <c r="Q127" s="52"/>
      <c r="R127" s="52">
        <v>94</v>
      </c>
      <c r="S127" s="52">
        <v>88</v>
      </c>
      <c r="T127" s="52"/>
      <c r="U127" s="52">
        <v>1062</v>
      </c>
      <c r="V127" s="52"/>
      <c r="W127" s="52">
        <v>1426</v>
      </c>
      <c r="X127" s="52">
        <v>12</v>
      </c>
      <c r="Y127" s="52">
        <v>2700</v>
      </c>
      <c r="Z127" s="52">
        <v>522</v>
      </c>
      <c r="AA127" s="52">
        <v>200</v>
      </c>
      <c r="AB127" s="52">
        <v>362</v>
      </c>
      <c r="AC127" s="52">
        <v>12</v>
      </c>
      <c r="AD127" s="52">
        <v>129</v>
      </c>
      <c r="AE127" s="52">
        <v>82</v>
      </c>
      <c r="AF127" s="52"/>
      <c r="AG127" s="52">
        <v>158</v>
      </c>
      <c r="AH127" s="52"/>
      <c r="AI127" s="52"/>
      <c r="AJ127" s="52"/>
      <c r="AK127" s="52"/>
      <c r="AL127" s="52">
        <v>105</v>
      </c>
      <c r="AM127" s="52"/>
      <c r="AN127" s="52">
        <v>1784</v>
      </c>
      <c r="AO127" s="52">
        <v>65</v>
      </c>
      <c r="AP127" s="52"/>
      <c r="AQ127" s="52">
        <v>1488</v>
      </c>
      <c r="AR127" s="52"/>
      <c r="AS127" s="52">
        <v>710</v>
      </c>
      <c r="AT127" s="52">
        <v>59</v>
      </c>
      <c r="AU127" s="52"/>
      <c r="AV127" s="52">
        <v>18</v>
      </c>
      <c r="AW127" s="52">
        <v>153</v>
      </c>
      <c r="AX127" s="52">
        <v>599</v>
      </c>
      <c r="AY127" s="52">
        <v>5066</v>
      </c>
      <c r="AZ127" s="52">
        <v>781</v>
      </c>
      <c r="BA127" s="52">
        <v>35</v>
      </c>
      <c r="BB127" s="52">
        <v>158</v>
      </c>
      <c r="BC127" s="52"/>
      <c r="BD127" s="52">
        <v>164</v>
      </c>
      <c r="BE127" s="52"/>
      <c r="BF127" s="52">
        <v>3598</v>
      </c>
      <c r="BG127" s="52">
        <v>94</v>
      </c>
      <c r="BH127" s="52">
        <v>804</v>
      </c>
      <c r="BI127" s="52"/>
      <c r="BJ127" s="52">
        <v>340</v>
      </c>
      <c r="BK127" s="52">
        <v>270</v>
      </c>
      <c r="BL127" s="52">
        <v>35</v>
      </c>
      <c r="BM127" s="52">
        <v>2266</v>
      </c>
      <c r="BN127" s="52">
        <v>728</v>
      </c>
      <c r="BO127" s="52">
        <v>147</v>
      </c>
      <c r="BP127" s="52">
        <v>117</v>
      </c>
      <c r="BQ127" s="52">
        <v>1814</v>
      </c>
      <c r="BR127" s="52"/>
      <c r="BS127" s="52"/>
      <c r="BT127" s="52">
        <v>59</v>
      </c>
      <c r="BU127" s="52"/>
      <c r="BV127" s="52">
        <v>35</v>
      </c>
      <c r="BW127" s="52"/>
      <c r="BX127" s="52">
        <v>164</v>
      </c>
      <c r="BY127" s="52">
        <v>346</v>
      </c>
      <c r="BZ127" s="52">
        <v>1186</v>
      </c>
      <c r="CA127" s="52"/>
      <c r="CB127" s="52">
        <v>94</v>
      </c>
      <c r="CC127" s="52">
        <v>129</v>
      </c>
      <c r="CD127" s="52">
        <v>235</v>
      </c>
      <c r="CE127" s="52"/>
      <c r="CF127" s="52">
        <v>1450</v>
      </c>
      <c r="CG127" s="52"/>
      <c r="CH127" s="52"/>
      <c r="CI127" s="52">
        <v>70</v>
      </c>
      <c r="CJ127" s="52">
        <v>429</v>
      </c>
      <c r="CK127" s="52">
        <v>1350</v>
      </c>
      <c r="CL127" s="52">
        <v>305</v>
      </c>
      <c r="CM127" s="52">
        <v>294</v>
      </c>
      <c r="CN127" s="52">
        <v>610</v>
      </c>
      <c r="CO127" s="52"/>
      <c r="CP127" s="52">
        <v>622</v>
      </c>
      <c r="CQ127" s="52"/>
      <c r="CR127" s="52"/>
      <c r="CS127" s="52"/>
      <c r="CT127" s="52">
        <v>335</v>
      </c>
      <c r="CU127" s="52">
        <v>446</v>
      </c>
      <c r="CV127" s="52"/>
      <c r="CW127" s="52">
        <v>270</v>
      </c>
      <c r="CX127" s="52">
        <v>164</v>
      </c>
      <c r="CY127" s="52">
        <v>376</v>
      </c>
      <c r="CZ127" s="52">
        <v>716</v>
      </c>
      <c r="DA127" s="52">
        <v>1961</v>
      </c>
      <c r="DB127" s="52">
        <v>1291</v>
      </c>
      <c r="DC127" s="52"/>
      <c r="DD127" s="52"/>
      <c r="DE127" s="52">
        <v>46353</v>
      </c>
      <c r="DF127" s="52"/>
      <c r="DG127" s="52">
        <v>46353</v>
      </c>
      <c r="DH127" s="52"/>
    </row>
    <row r="128" spans="1:112">
      <c r="A128" s="150" t="s">
        <v>411</v>
      </c>
      <c r="B128" s="44">
        <v>3524</v>
      </c>
      <c r="C128" s="44" t="s">
        <v>184</v>
      </c>
      <c r="D128" s="52"/>
      <c r="E128" s="52"/>
      <c r="F128" s="52"/>
      <c r="G128" s="52"/>
      <c r="H128" s="56"/>
      <c r="I128" s="56"/>
      <c r="J128" s="56"/>
      <c r="K128" s="56"/>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v>195</v>
      </c>
      <c r="CR128" s="52"/>
      <c r="CS128" s="52"/>
      <c r="CT128" s="52"/>
      <c r="CU128" s="52"/>
      <c r="CV128" s="52"/>
      <c r="CW128" s="52"/>
      <c r="CX128" s="52"/>
      <c r="CY128" s="52"/>
      <c r="CZ128" s="52"/>
      <c r="DA128" s="52"/>
      <c r="DB128" s="52"/>
      <c r="DC128" s="52"/>
      <c r="DD128" s="52"/>
      <c r="DE128" s="52">
        <v>195</v>
      </c>
      <c r="DF128" s="52"/>
      <c r="DG128" s="52">
        <v>195</v>
      </c>
      <c r="DH128" s="52"/>
    </row>
    <row r="129" spans="1:112">
      <c r="A129" s="150" t="s">
        <v>411</v>
      </c>
      <c r="B129" s="44">
        <v>3525</v>
      </c>
      <c r="C129" s="44" t="s">
        <v>185</v>
      </c>
      <c r="D129" s="52">
        <v>52176</v>
      </c>
      <c r="E129" s="52"/>
      <c r="F129" s="52"/>
      <c r="G129" s="52"/>
      <c r="H129" s="56"/>
      <c r="I129" s="56">
        <v>63621</v>
      </c>
      <c r="J129" s="56"/>
      <c r="K129" s="56"/>
      <c r="L129" s="52"/>
      <c r="M129" s="52"/>
      <c r="N129" s="52"/>
      <c r="O129" s="52"/>
      <c r="P129" s="52"/>
      <c r="Q129" s="52"/>
      <c r="R129" s="52"/>
      <c r="S129" s="52"/>
      <c r="T129" s="52"/>
      <c r="U129" s="52">
        <v>138240</v>
      </c>
      <c r="V129" s="52">
        <v>33932</v>
      </c>
      <c r="W129" s="52"/>
      <c r="X129" s="52"/>
      <c r="Y129" s="52"/>
      <c r="Z129" s="52"/>
      <c r="AA129" s="52"/>
      <c r="AB129" s="52"/>
      <c r="AC129" s="52"/>
      <c r="AD129" s="52"/>
      <c r="AE129" s="52"/>
      <c r="AF129" s="52">
        <v>55295</v>
      </c>
      <c r="AG129" s="52"/>
      <c r="AH129" s="52"/>
      <c r="AI129" s="52"/>
      <c r="AJ129" s="52"/>
      <c r="AK129" s="52"/>
      <c r="AL129" s="52"/>
      <c r="AM129" s="52">
        <v>23583</v>
      </c>
      <c r="AN129" s="52"/>
      <c r="AO129" s="52"/>
      <c r="AP129" s="52"/>
      <c r="AQ129" s="52"/>
      <c r="AR129" s="52"/>
      <c r="AS129" s="52"/>
      <c r="AT129" s="52"/>
      <c r="AU129" s="52"/>
      <c r="AV129" s="52"/>
      <c r="AW129" s="52">
        <v>31734</v>
      </c>
      <c r="AX129" s="52"/>
      <c r="AY129" s="52">
        <v>562823</v>
      </c>
      <c r="AZ129" s="52"/>
      <c r="BA129" s="52"/>
      <c r="BB129" s="52"/>
      <c r="BC129" s="52"/>
      <c r="BD129" s="52"/>
      <c r="BE129" s="52"/>
      <c r="BF129" s="52"/>
      <c r="BG129" s="52"/>
      <c r="BH129" s="52">
        <v>48341</v>
      </c>
      <c r="BI129" s="52">
        <v>110562</v>
      </c>
      <c r="BJ129" s="52">
        <v>69699</v>
      </c>
      <c r="BK129" s="52">
        <v>51471</v>
      </c>
      <c r="BL129" s="52">
        <v>41574</v>
      </c>
      <c r="BM129" s="52">
        <v>225871</v>
      </c>
      <c r="BN129" s="52">
        <v>113295</v>
      </c>
      <c r="BO129" s="52">
        <v>8962</v>
      </c>
      <c r="BP129" s="52">
        <v>51637</v>
      </c>
      <c r="BQ129" s="52">
        <v>166207</v>
      </c>
      <c r="BR129" s="52">
        <v>31616</v>
      </c>
      <c r="BS129" s="52"/>
      <c r="BT129" s="52">
        <v>45420</v>
      </c>
      <c r="BU129" s="52">
        <v>27671</v>
      </c>
      <c r="BV129" s="52">
        <v>31195</v>
      </c>
      <c r="BW129" s="52">
        <v>22252</v>
      </c>
      <c r="BX129" s="52">
        <v>63869</v>
      </c>
      <c r="BY129" s="52">
        <v>67699</v>
      </c>
      <c r="BZ129" s="52">
        <v>163289</v>
      </c>
      <c r="CA129" s="52"/>
      <c r="CB129" s="52">
        <v>83686</v>
      </c>
      <c r="CC129" s="52">
        <v>60290</v>
      </c>
      <c r="CD129" s="52">
        <v>81791</v>
      </c>
      <c r="CE129" s="52"/>
      <c r="CF129" s="52">
        <v>222429</v>
      </c>
      <c r="CG129" s="52">
        <v>222392</v>
      </c>
      <c r="CH129" s="52">
        <v>160147</v>
      </c>
      <c r="CI129" s="52">
        <v>43469</v>
      </c>
      <c r="CJ129" s="52">
        <v>45874</v>
      </c>
      <c r="CK129" s="52">
        <v>66150</v>
      </c>
      <c r="CL129" s="52">
        <v>13489</v>
      </c>
      <c r="CM129" s="52">
        <v>32724</v>
      </c>
      <c r="CN129" s="52">
        <v>73976</v>
      </c>
      <c r="CO129" s="52">
        <v>62453</v>
      </c>
      <c r="CP129" s="52">
        <v>69717</v>
      </c>
      <c r="CQ129" s="52">
        <v>47657</v>
      </c>
      <c r="CR129" s="52">
        <v>53503</v>
      </c>
      <c r="CS129" s="52">
        <v>56862</v>
      </c>
      <c r="CT129" s="52">
        <v>180697</v>
      </c>
      <c r="CU129" s="52">
        <v>83736</v>
      </c>
      <c r="CV129" s="52"/>
      <c r="CW129" s="52">
        <v>65653</v>
      </c>
      <c r="CX129" s="52">
        <v>96834</v>
      </c>
      <c r="CY129" s="52">
        <v>65445</v>
      </c>
      <c r="CZ129" s="52">
        <v>109729</v>
      </c>
      <c r="DA129" s="52">
        <v>187765</v>
      </c>
      <c r="DB129" s="52">
        <v>114267</v>
      </c>
      <c r="DC129" s="52">
        <v>63500</v>
      </c>
      <c r="DD129" s="52">
        <v>67435</v>
      </c>
      <c r="DE129" s="52">
        <v>4602769</v>
      </c>
      <c r="DF129" s="52">
        <v>130935</v>
      </c>
      <c r="DG129" s="52">
        <v>4733704</v>
      </c>
      <c r="DH129" s="52"/>
    </row>
    <row r="130" spans="1:112">
      <c r="A130" s="150" t="s">
        <v>411</v>
      </c>
      <c r="B130" s="44">
        <v>3527</v>
      </c>
      <c r="C130" s="44" t="s">
        <v>186</v>
      </c>
      <c r="D130" s="52">
        <v>3248</v>
      </c>
      <c r="E130" s="52">
        <v>7648</v>
      </c>
      <c r="F130" s="52"/>
      <c r="G130" s="52"/>
      <c r="H130" s="56">
        <v>11854</v>
      </c>
      <c r="I130" s="56"/>
      <c r="J130" s="56">
        <v>2395</v>
      </c>
      <c r="K130" s="56">
        <v>4241</v>
      </c>
      <c r="L130" s="52">
        <v>5191</v>
      </c>
      <c r="M130" s="52"/>
      <c r="N130" s="52"/>
      <c r="O130" s="52">
        <v>2754</v>
      </c>
      <c r="P130" s="52">
        <v>2325</v>
      </c>
      <c r="Q130" s="52">
        <v>2381</v>
      </c>
      <c r="R130" s="52">
        <v>2381</v>
      </c>
      <c r="S130" s="52">
        <v>2971</v>
      </c>
      <c r="T130" s="52"/>
      <c r="U130" s="52">
        <v>6727</v>
      </c>
      <c r="V130" s="52"/>
      <c r="W130" s="52">
        <v>7807</v>
      </c>
      <c r="X130" s="52"/>
      <c r="Y130" s="52">
        <v>12681</v>
      </c>
      <c r="Z130" s="52">
        <v>5372</v>
      </c>
      <c r="AA130" s="52">
        <v>3758</v>
      </c>
      <c r="AB130" s="52">
        <v>4051</v>
      </c>
      <c r="AC130" s="52">
        <v>2200</v>
      </c>
      <c r="AD130" s="52">
        <v>1430</v>
      </c>
      <c r="AE130" s="52">
        <v>2381</v>
      </c>
      <c r="AF130" s="52"/>
      <c r="AG130" s="52">
        <v>3764</v>
      </c>
      <c r="AH130" s="52">
        <v>4445</v>
      </c>
      <c r="AI130" s="52"/>
      <c r="AJ130" s="52">
        <v>545</v>
      </c>
      <c r="AK130" s="52">
        <v>3040</v>
      </c>
      <c r="AL130" s="52">
        <v>2699</v>
      </c>
      <c r="AM130" s="52"/>
      <c r="AN130" s="52">
        <v>7872</v>
      </c>
      <c r="AO130" s="52">
        <v>1070</v>
      </c>
      <c r="AP130" s="52"/>
      <c r="AQ130" s="52">
        <v>3318</v>
      </c>
      <c r="AR130" s="52">
        <v>450</v>
      </c>
      <c r="AS130" s="52">
        <v>4620</v>
      </c>
      <c r="AT130" s="52">
        <v>2659</v>
      </c>
      <c r="AU130" s="52"/>
      <c r="AV130" s="52"/>
      <c r="AW130" s="52">
        <v>2717</v>
      </c>
      <c r="AX130" s="52">
        <v>4696</v>
      </c>
      <c r="AY130" s="52">
        <v>253990</v>
      </c>
      <c r="AZ130" s="52">
        <v>4425</v>
      </c>
      <c r="BA130" s="52">
        <v>2681</v>
      </c>
      <c r="BB130" s="52">
        <v>2704</v>
      </c>
      <c r="BC130" s="52"/>
      <c r="BD130" s="52">
        <v>2978</v>
      </c>
      <c r="BE130" s="52"/>
      <c r="BF130" s="52">
        <v>10750</v>
      </c>
      <c r="BG130" s="52">
        <v>3043</v>
      </c>
      <c r="BH130" s="52">
        <v>2974</v>
      </c>
      <c r="BI130" s="52">
        <v>4819</v>
      </c>
      <c r="BJ130" s="52">
        <v>527</v>
      </c>
      <c r="BK130" s="52">
        <v>3372</v>
      </c>
      <c r="BL130" s="52">
        <v>5878</v>
      </c>
      <c r="BM130" s="52"/>
      <c r="BN130" s="52">
        <v>5699</v>
      </c>
      <c r="BO130" s="52">
        <v>2871</v>
      </c>
      <c r="BP130" s="52">
        <v>3112</v>
      </c>
      <c r="BQ130" s="52">
        <v>6177</v>
      </c>
      <c r="BR130" s="52">
        <v>2381</v>
      </c>
      <c r="BS130" s="52"/>
      <c r="BT130" s="52">
        <v>1760</v>
      </c>
      <c r="BU130" s="52">
        <v>1320</v>
      </c>
      <c r="BV130" s="52">
        <v>2381</v>
      </c>
      <c r="BW130" s="52"/>
      <c r="BX130" s="52"/>
      <c r="BY130" s="52">
        <v>3831</v>
      </c>
      <c r="BZ130" s="52">
        <v>5007</v>
      </c>
      <c r="CA130" s="52"/>
      <c r="CB130" s="52">
        <v>3538</v>
      </c>
      <c r="CC130" s="52">
        <v>3304</v>
      </c>
      <c r="CD130" s="52">
        <v>4201</v>
      </c>
      <c r="CE130" s="52"/>
      <c r="CF130" s="52">
        <v>5737</v>
      </c>
      <c r="CG130" s="52">
        <v>4761</v>
      </c>
      <c r="CH130" s="52">
        <v>4857</v>
      </c>
      <c r="CI130" s="52">
        <v>2890</v>
      </c>
      <c r="CJ130" s="52">
        <v>3480</v>
      </c>
      <c r="CK130" s="52">
        <v>4033</v>
      </c>
      <c r="CL130" s="52">
        <v>3031</v>
      </c>
      <c r="CM130" s="52">
        <v>2948</v>
      </c>
      <c r="CN130" s="52">
        <v>3883</v>
      </c>
      <c r="CO130" s="52">
        <v>4520</v>
      </c>
      <c r="CP130" s="52">
        <v>4584</v>
      </c>
      <c r="CQ130" s="52"/>
      <c r="CR130" s="52"/>
      <c r="CS130" s="52"/>
      <c r="CT130" s="52">
        <v>8498</v>
      </c>
      <c r="CU130" s="52">
        <v>5800</v>
      </c>
      <c r="CV130" s="52"/>
      <c r="CW130" s="52">
        <v>3471</v>
      </c>
      <c r="CX130" s="52">
        <v>2400</v>
      </c>
      <c r="CY130" s="52"/>
      <c r="CZ130" s="52">
        <v>3621</v>
      </c>
      <c r="DA130" s="52">
        <v>5869</v>
      </c>
      <c r="DB130" s="52">
        <v>3909</v>
      </c>
      <c r="DC130" s="52"/>
      <c r="DD130" s="52"/>
      <c r="DE130" s="52">
        <v>557706</v>
      </c>
      <c r="DF130" s="52"/>
      <c r="DG130" s="52">
        <v>557706</v>
      </c>
      <c r="DH130" s="52"/>
    </row>
    <row r="131" spans="1:112">
      <c r="A131" s="150" t="s">
        <v>411</v>
      </c>
      <c r="B131" s="44">
        <v>3529</v>
      </c>
      <c r="C131" s="44" t="s">
        <v>143</v>
      </c>
      <c r="D131" s="52">
        <v>9190</v>
      </c>
      <c r="E131" s="52">
        <v>47865</v>
      </c>
      <c r="F131" s="52">
        <v>1433</v>
      </c>
      <c r="G131" s="52"/>
      <c r="H131" s="56"/>
      <c r="I131" s="56"/>
      <c r="J131" s="56">
        <v>5972</v>
      </c>
      <c r="K131" s="56"/>
      <c r="L131" s="52"/>
      <c r="M131" s="52"/>
      <c r="N131" s="52"/>
      <c r="O131" s="52"/>
      <c r="P131" s="52">
        <v>40062</v>
      </c>
      <c r="Q131" s="52">
        <v>7650</v>
      </c>
      <c r="R131" s="52">
        <v>662</v>
      </c>
      <c r="S131" s="52">
        <v>9003</v>
      </c>
      <c r="T131" s="52"/>
      <c r="U131" s="52">
        <v>175925</v>
      </c>
      <c r="V131" s="52"/>
      <c r="W131" s="52">
        <v>41318</v>
      </c>
      <c r="X131" s="52">
        <v>8753</v>
      </c>
      <c r="Y131" s="52">
        <v>444981</v>
      </c>
      <c r="Z131" s="52">
        <v>47240</v>
      </c>
      <c r="AA131" s="52">
        <v>94510</v>
      </c>
      <c r="AB131" s="52">
        <v>32079</v>
      </c>
      <c r="AC131" s="52">
        <v>12759</v>
      </c>
      <c r="AD131" s="52">
        <v>7474</v>
      </c>
      <c r="AE131" s="52">
        <v>4096</v>
      </c>
      <c r="AF131" s="52"/>
      <c r="AG131" s="52">
        <v>84692</v>
      </c>
      <c r="AH131" s="52">
        <v>48939</v>
      </c>
      <c r="AI131" s="52"/>
      <c r="AJ131" s="52">
        <v>4833</v>
      </c>
      <c r="AK131" s="52">
        <v>20949</v>
      </c>
      <c r="AL131" s="52"/>
      <c r="AM131" s="52"/>
      <c r="AN131" s="52"/>
      <c r="AO131" s="52">
        <v>10237</v>
      </c>
      <c r="AP131" s="52"/>
      <c r="AQ131" s="52">
        <v>7509</v>
      </c>
      <c r="AR131" s="52">
        <v>66320</v>
      </c>
      <c r="AS131" s="52">
        <v>76427</v>
      </c>
      <c r="AT131" s="52"/>
      <c r="AU131" s="52">
        <v>56805</v>
      </c>
      <c r="AV131" s="52">
        <v>7104</v>
      </c>
      <c r="AW131" s="52"/>
      <c r="AX131" s="52">
        <v>18663</v>
      </c>
      <c r="AY131" s="52">
        <v>190731</v>
      </c>
      <c r="AZ131" s="52">
        <v>11975</v>
      </c>
      <c r="BA131" s="52">
        <v>13167</v>
      </c>
      <c r="BB131" s="52"/>
      <c r="BC131" s="52"/>
      <c r="BD131" s="52">
        <v>37</v>
      </c>
      <c r="BE131" s="52">
        <v>1005</v>
      </c>
      <c r="BF131" s="52">
        <v>15526</v>
      </c>
      <c r="BG131" s="52">
        <v>18638</v>
      </c>
      <c r="BH131" s="52">
        <v>34853</v>
      </c>
      <c r="BI131" s="52">
        <v>23090</v>
      </c>
      <c r="BJ131" s="52">
        <v>2685</v>
      </c>
      <c r="BK131" s="52">
        <v>20099</v>
      </c>
      <c r="BL131" s="52">
        <v>58234</v>
      </c>
      <c r="BM131" s="52"/>
      <c r="BN131" s="52">
        <v>20000</v>
      </c>
      <c r="BO131" s="52">
        <v>9500</v>
      </c>
      <c r="BP131" s="52">
        <v>9680</v>
      </c>
      <c r="BQ131" s="52"/>
      <c r="BR131" s="52">
        <v>7877</v>
      </c>
      <c r="BS131" s="52"/>
      <c r="BT131" s="52">
        <v>174</v>
      </c>
      <c r="BU131" s="52">
        <v>5824</v>
      </c>
      <c r="BV131" s="52"/>
      <c r="BW131" s="52"/>
      <c r="BX131" s="52">
        <v>55033</v>
      </c>
      <c r="BY131" s="52">
        <v>7850</v>
      </c>
      <c r="BZ131" s="52"/>
      <c r="CA131" s="52"/>
      <c r="CB131" s="52">
        <v>52469</v>
      </c>
      <c r="CC131" s="52">
        <v>66465</v>
      </c>
      <c r="CD131" s="52">
        <v>43456</v>
      </c>
      <c r="CE131" s="52"/>
      <c r="CF131" s="52"/>
      <c r="CG131" s="52">
        <v>156030</v>
      </c>
      <c r="CH131" s="52"/>
      <c r="CI131" s="52"/>
      <c r="CJ131" s="52"/>
      <c r="CK131" s="52"/>
      <c r="CL131" s="52"/>
      <c r="CM131" s="52"/>
      <c r="CN131" s="52"/>
      <c r="CO131" s="52">
        <v>7173</v>
      </c>
      <c r="CP131" s="52">
        <v>56480</v>
      </c>
      <c r="CQ131" s="52"/>
      <c r="CR131" s="52"/>
      <c r="CS131" s="52"/>
      <c r="CT131" s="52">
        <v>21954</v>
      </c>
      <c r="CU131" s="52">
        <v>697</v>
      </c>
      <c r="CV131" s="52"/>
      <c r="CW131" s="52">
        <v>35949</v>
      </c>
      <c r="CX131" s="52">
        <v>10806</v>
      </c>
      <c r="CY131" s="52"/>
      <c r="CZ131" s="52"/>
      <c r="DA131" s="52">
        <v>15428</v>
      </c>
      <c r="DB131" s="52"/>
      <c r="DC131" s="52"/>
      <c r="DD131" s="52"/>
      <c r="DE131" s="52">
        <v>2366335</v>
      </c>
      <c r="DF131" s="52"/>
      <c r="DG131" s="52">
        <v>2366335</v>
      </c>
      <c r="DH131" s="52"/>
    </row>
    <row r="132" spans="1:112">
      <c r="A132" s="150" t="s">
        <v>411</v>
      </c>
      <c r="B132" s="44">
        <v>3530</v>
      </c>
      <c r="C132" s="44" t="s">
        <v>187</v>
      </c>
      <c r="D132" s="52">
        <v>26878</v>
      </c>
      <c r="E132" s="52">
        <v>85069</v>
      </c>
      <c r="F132" s="52">
        <v>9624</v>
      </c>
      <c r="G132" s="52"/>
      <c r="H132" s="56">
        <v>17346</v>
      </c>
      <c r="I132" s="56">
        <v>18824</v>
      </c>
      <c r="J132" s="56">
        <v>10045</v>
      </c>
      <c r="K132" s="56">
        <v>9050</v>
      </c>
      <c r="L132" s="52">
        <v>48176</v>
      </c>
      <c r="M132" s="52"/>
      <c r="N132" s="52"/>
      <c r="O132" s="52">
        <v>9548</v>
      </c>
      <c r="P132" s="52">
        <v>4525</v>
      </c>
      <c r="Q132" s="52"/>
      <c r="R132" s="52"/>
      <c r="S132" s="52">
        <v>32338</v>
      </c>
      <c r="T132" s="52"/>
      <c r="U132" s="52">
        <v>67890</v>
      </c>
      <c r="V132" s="52"/>
      <c r="W132" s="52">
        <v>133758</v>
      </c>
      <c r="X132" s="52">
        <v>8605</v>
      </c>
      <c r="Y132" s="52">
        <v>257591</v>
      </c>
      <c r="Z132" s="52">
        <v>74826</v>
      </c>
      <c r="AA132" s="52">
        <v>29027</v>
      </c>
      <c r="AB132" s="52">
        <v>45777</v>
      </c>
      <c r="AC132" s="52"/>
      <c r="AD132" s="52">
        <v>11493</v>
      </c>
      <c r="AE132" s="52"/>
      <c r="AF132" s="52"/>
      <c r="AG132" s="52">
        <v>31992</v>
      </c>
      <c r="AH132" s="52">
        <v>80228</v>
      </c>
      <c r="AI132" s="52"/>
      <c r="AJ132" s="52">
        <v>17632</v>
      </c>
      <c r="AK132" s="52">
        <v>38619</v>
      </c>
      <c r="AL132" s="52">
        <v>23424</v>
      </c>
      <c r="AM132" s="52"/>
      <c r="AN132" s="52">
        <v>119761</v>
      </c>
      <c r="AO132" s="52">
        <v>28643</v>
      </c>
      <c r="AP132" s="52"/>
      <c r="AQ132" s="52">
        <v>16697</v>
      </c>
      <c r="AR132" s="52">
        <v>7551</v>
      </c>
      <c r="AS132" s="52">
        <v>156274</v>
      </c>
      <c r="AT132" s="52">
        <v>5671</v>
      </c>
      <c r="AU132" s="52">
        <v>21317</v>
      </c>
      <c r="AV132" s="52">
        <v>5732</v>
      </c>
      <c r="AW132" s="52">
        <v>9517</v>
      </c>
      <c r="AX132" s="52">
        <v>86170</v>
      </c>
      <c r="AY132" s="52">
        <v>451575</v>
      </c>
      <c r="AZ132" s="52">
        <v>67859</v>
      </c>
      <c r="BA132" s="52">
        <v>3706</v>
      </c>
      <c r="BB132" s="52"/>
      <c r="BC132" s="52"/>
      <c r="BD132" s="52">
        <v>5717</v>
      </c>
      <c r="BE132" s="52">
        <v>14374</v>
      </c>
      <c r="BF132" s="52">
        <v>196851</v>
      </c>
      <c r="BG132" s="52">
        <v>29212</v>
      </c>
      <c r="BH132" s="52">
        <v>54372</v>
      </c>
      <c r="BI132" s="52">
        <v>105733</v>
      </c>
      <c r="BJ132" s="52">
        <v>10498</v>
      </c>
      <c r="BK132" s="52">
        <v>27874</v>
      </c>
      <c r="BL132" s="52">
        <v>24007</v>
      </c>
      <c r="BM132" s="52">
        <v>70952</v>
      </c>
      <c r="BN132" s="52">
        <v>51630</v>
      </c>
      <c r="BO132" s="52">
        <v>14329</v>
      </c>
      <c r="BP132" s="52">
        <v>3576</v>
      </c>
      <c r="BQ132" s="52">
        <v>54058</v>
      </c>
      <c r="BR132" s="52"/>
      <c r="BS132" s="52"/>
      <c r="BT132" s="52">
        <v>20800</v>
      </c>
      <c r="BU132" s="52">
        <v>24797</v>
      </c>
      <c r="BV132" s="52"/>
      <c r="BW132" s="52"/>
      <c r="BX132" s="52">
        <v>31268</v>
      </c>
      <c r="BY132" s="52">
        <v>22399</v>
      </c>
      <c r="BZ132" s="52">
        <v>22474</v>
      </c>
      <c r="CA132" s="52"/>
      <c r="CB132" s="52">
        <v>34148</v>
      </c>
      <c r="CC132" s="52">
        <v>13892</v>
      </c>
      <c r="CD132" s="52">
        <v>35114</v>
      </c>
      <c r="CE132" s="52"/>
      <c r="CF132" s="52">
        <v>64043</v>
      </c>
      <c r="CG132" s="52">
        <v>130275</v>
      </c>
      <c r="CH132" s="52">
        <v>77445</v>
      </c>
      <c r="CI132" s="52">
        <v>4072</v>
      </c>
      <c r="CJ132" s="52">
        <v>16893</v>
      </c>
      <c r="CK132" s="52">
        <v>37762</v>
      </c>
      <c r="CL132" s="52">
        <v>14887</v>
      </c>
      <c r="CM132" s="52"/>
      <c r="CN132" s="52">
        <v>12248</v>
      </c>
      <c r="CO132" s="52">
        <v>29412</v>
      </c>
      <c r="CP132" s="52">
        <v>264027</v>
      </c>
      <c r="CQ132" s="52"/>
      <c r="CR132" s="52"/>
      <c r="CS132" s="52"/>
      <c r="CT132" s="52">
        <v>77980</v>
      </c>
      <c r="CU132" s="52">
        <v>37120</v>
      </c>
      <c r="CV132" s="52"/>
      <c r="CW132" s="52">
        <v>28251</v>
      </c>
      <c r="CX132" s="52">
        <v>69711</v>
      </c>
      <c r="CY132" s="52">
        <v>31586</v>
      </c>
      <c r="CZ132" s="52">
        <v>20634</v>
      </c>
      <c r="DA132" s="52">
        <v>51766</v>
      </c>
      <c r="DB132" s="52">
        <v>16154</v>
      </c>
      <c r="DC132" s="52"/>
      <c r="DD132" s="52"/>
      <c r="DE132" s="52">
        <v>3925099</v>
      </c>
      <c r="DF132" s="52"/>
      <c r="DG132" s="52">
        <v>3925099</v>
      </c>
      <c r="DH132" s="52"/>
    </row>
    <row r="133" spans="1:112">
      <c r="A133" s="150" t="s">
        <v>411</v>
      </c>
      <c r="B133" s="44">
        <v>3532</v>
      </c>
      <c r="C133" s="44" t="s">
        <v>188</v>
      </c>
      <c r="D133" s="52">
        <v>443377</v>
      </c>
      <c r="E133" s="52">
        <v>708249</v>
      </c>
      <c r="F133" s="52">
        <v>22100</v>
      </c>
      <c r="G133" s="52">
        <v>8940</v>
      </c>
      <c r="H133" s="56">
        <v>586648</v>
      </c>
      <c r="I133" s="56">
        <v>214560</v>
      </c>
      <c r="J133" s="56">
        <v>178800</v>
      </c>
      <c r="K133" s="56">
        <v>151509</v>
      </c>
      <c r="L133" s="52">
        <v>820111</v>
      </c>
      <c r="M133" s="52">
        <v>10719</v>
      </c>
      <c r="N133" s="52">
        <v>53640</v>
      </c>
      <c r="O133" s="52">
        <v>53640</v>
      </c>
      <c r="P133" s="52"/>
      <c r="Q133" s="52">
        <v>17880</v>
      </c>
      <c r="R133" s="52">
        <v>8940</v>
      </c>
      <c r="S133" s="52">
        <v>100128</v>
      </c>
      <c r="T133" s="52"/>
      <c r="U133" s="52">
        <v>911880</v>
      </c>
      <c r="V133" s="52"/>
      <c r="W133" s="52">
        <v>1554013</v>
      </c>
      <c r="X133" s="52">
        <v>107070</v>
      </c>
      <c r="Y133" s="52">
        <v>2929638</v>
      </c>
      <c r="Z133" s="52">
        <v>268200</v>
      </c>
      <c r="AA133" s="52">
        <v>443496</v>
      </c>
      <c r="AB133" s="52">
        <v>544668</v>
      </c>
      <c r="AC133" s="52">
        <v>26820</v>
      </c>
      <c r="AD133" s="52">
        <v>205620</v>
      </c>
      <c r="AE133" s="52">
        <v>89400</v>
      </c>
      <c r="AF133" s="52">
        <v>17880</v>
      </c>
      <c r="AG133" s="52">
        <v>168992</v>
      </c>
      <c r="AH133" s="52">
        <v>522425</v>
      </c>
      <c r="AI133" s="52"/>
      <c r="AJ133" s="52">
        <v>8892</v>
      </c>
      <c r="AK133" s="52">
        <v>133735</v>
      </c>
      <c r="AL133" s="52">
        <v>35760</v>
      </c>
      <c r="AM133" s="52"/>
      <c r="AN133" s="52">
        <v>992340</v>
      </c>
      <c r="AO133" s="52">
        <v>35760</v>
      </c>
      <c r="AP133" s="52"/>
      <c r="AQ133" s="52">
        <v>250320</v>
      </c>
      <c r="AR133" s="52">
        <v>160872</v>
      </c>
      <c r="AS133" s="52">
        <v>688379</v>
      </c>
      <c r="AT133" s="52">
        <v>37548</v>
      </c>
      <c r="AU133" s="52">
        <v>71520</v>
      </c>
      <c r="AV133" s="52">
        <v>15245</v>
      </c>
      <c r="AW133" s="52">
        <v>169860</v>
      </c>
      <c r="AX133" s="52">
        <v>929760</v>
      </c>
      <c r="AY133" s="52">
        <v>3197189</v>
      </c>
      <c r="AZ133" s="52">
        <v>627588</v>
      </c>
      <c r="BA133" s="52">
        <v>107280</v>
      </c>
      <c r="BB133" s="52">
        <v>62580</v>
      </c>
      <c r="BC133" s="52">
        <v>17880</v>
      </c>
      <c r="BD133" s="52">
        <v>160920</v>
      </c>
      <c r="BE133" s="52">
        <v>35760</v>
      </c>
      <c r="BF133" s="52">
        <v>1529351</v>
      </c>
      <c r="BG133" s="52">
        <v>11593</v>
      </c>
      <c r="BH133" s="52">
        <v>891127</v>
      </c>
      <c r="BI133" s="52">
        <v>560261</v>
      </c>
      <c r="BJ133" s="52">
        <v>178617</v>
      </c>
      <c r="BK133" s="52">
        <v>143040</v>
      </c>
      <c r="BL133" s="52">
        <v>39336</v>
      </c>
      <c r="BM133" s="52">
        <v>1465313</v>
      </c>
      <c r="BN133" s="52">
        <v>905175</v>
      </c>
      <c r="BO133" s="52">
        <v>151980</v>
      </c>
      <c r="BP133" s="52">
        <v>240210</v>
      </c>
      <c r="BQ133" s="52">
        <v>2215417</v>
      </c>
      <c r="BR133" s="52">
        <v>44700</v>
      </c>
      <c r="BS133" s="52"/>
      <c r="BT133" s="52">
        <v>107280</v>
      </c>
      <c r="BU133" s="52">
        <v>35760</v>
      </c>
      <c r="BV133" s="52">
        <v>62580</v>
      </c>
      <c r="BW133" s="52"/>
      <c r="BX133" s="52">
        <v>172307</v>
      </c>
      <c r="BY133" s="52">
        <v>376902</v>
      </c>
      <c r="BZ133" s="52">
        <v>802670</v>
      </c>
      <c r="CA133" s="52"/>
      <c r="CB133" s="52"/>
      <c r="CC133" s="52">
        <v>80460</v>
      </c>
      <c r="CD133" s="52">
        <v>151980</v>
      </c>
      <c r="CE133" s="52"/>
      <c r="CF133" s="52">
        <v>910977</v>
      </c>
      <c r="CG133" s="52">
        <v>1790631</v>
      </c>
      <c r="CH133" s="52">
        <v>3338920</v>
      </c>
      <c r="CI133" s="52">
        <v>26820</v>
      </c>
      <c r="CJ133" s="52">
        <v>165296</v>
      </c>
      <c r="CK133" s="52">
        <v>492945</v>
      </c>
      <c r="CL133" s="52">
        <v>196680</v>
      </c>
      <c r="CM133" s="52">
        <v>125160</v>
      </c>
      <c r="CN133" s="52">
        <v>363477</v>
      </c>
      <c r="CO133" s="52">
        <v>415898</v>
      </c>
      <c r="CP133" s="52">
        <v>461484</v>
      </c>
      <c r="CQ133" s="52">
        <v>44700</v>
      </c>
      <c r="CR133" s="52">
        <v>8940</v>
      </c>
      <c r="CS133" s="52">
        <v>17880</v>
      </c>
      <c r="CT133" s="52">
        <v>187328</v>
      </c>
      <c r="CU133" s="52">
        <v>480972</v>
      </c>
      <c r="CV133" s="52"/>
      <c r="CW133" s="52">
        <v>139619</v>
      </c>
      <c r="CX133" s="52">
        <v>44700</v>
      </c>
      <c r="CY133" s="52">
        <v>209031</v>
      </c>
      <c r="CZ133" s="52">
        <v>411240</v>
      </c>
      <c r="DA133" s="52">
        <v>1622060</v>
      </c>
      <c r="DB133" s="52">
        <v>986610</v>
      </c>
      <c r="DC133" s="52">
        <v>54769</v>
      </c>
      <c r="DD133" s="52"/>
      <c r="DE133" s="52">
        <v>41515958</v>
      </c>
      <c r="DF133" s="52">
        <v>54769</v>
      </c>
      <c r="DG133" s="52">
        <v>41570727</v>
      </c>
      <c r="DH133" s="52"/>
    </row>
    <row r="134" spans="1:112">
      <c r="A134" s="150" t="s">
        <v>411</v>
      </c>
      <c r="B134" s="44">
        <v>3533</v>
      </c>
      <c r="C134" s="44" t="s">
        <v>189</v>
      </c>
      <c r="D134" s="52">
        <v>1077</v>
      </c>
      <c r="E134" s="52">
        <v>1077</v>
      </c>
      <c r="F134" s="52"/>
      <c r="G134" s="52"/>
      <c r="H134" s="56">
        <v>1077</v>
      </c>
      <c r="I134" s="56">
        <v>1077</v>
      </c>
      <c r="J134" s="56">
        <v>1077</v>
      </c>
      <c r="K134" s="56">
        <v>1077</v>
      </c>
      <c r="L134" s="52">
        <v>1077</v>
      </c>
      <c r="M134" s="52"/>
      <c r="N134" s="52"/>
      <c r="O134" s="52"/>
      <c r="P134" s="52">
        <v>1077</v>
      </c>
      <c r="Q134" s="52">
        <v>1077</v>
      </c>
      <c r="R134" s="52">
        <v>1077</v>
      </c>
      <c r="S134" s="52">
        <v>1077</v>
      </c>
      <c r="T134" s="52"/>
      <c r="U134" s="52">
        <v>1077</v>
      </c>
      <c r="V134" s="52"/>
      <c r="W134" s="52">
        <v>1077</v>
      </c>
      <c r="X134" s="52">
        <v>1077</v>
      </c>
      <c r="Y134" s="52">
        <v>1077</v>
      </c>
      <c r="Z134" s="52">
        <v>1077</v>
      </c>
      <c r="AA134" s="52">
        <v>1077</v>
      </c>
      <c r="AB134" s="52">
        <v>1073</v>
      </c>
      <c r="AC134" s="52">
        <v>1077</v>
      </c>
      <c r="AD134" s="52">
        <v>1077</v>
      </c>
      <c r="AE134" s="52">
        <v>1077</v>
      </c>
      <c r="AF134" s="52"/>
      <c r="AG134" s="52">
        <v>1076</v>
      </c>
      <c r="AH134" s="52">
        <v>10765</v>
      </c>
      <c r="AI134" s="52"/>
      <c r="AJ134" s="52">
        <v>1077</v>
      </c>
      <c r="AK134" s="52">
        <v>1077</v>
      </c>
      <c r="AL134" s="52">
        <v>1076</v>
      </c>
      <c r="AM134" s="52"/>
      <c r="AN134" s="52">
        <v>1076</v>
      </c>
      <c r="AO134" s="52">
        <v>1076</v>
      </c>
      <c r="AP134" s="52"/>
      <c r="AQ134" s="52">
        <v>1077</v>
      </c>
      <c r="AR134" s="52">
        <v>1077</v>
      </c>
      <c r="AS134" s="52">
        <v>1077</v>
      </c>
      <c r="AT134" s="52">
        <v>1077</v>
      </c>
      <c r="AU134" s="52"/>
      <c r="AV134" s="52">
        <v>1077</v>
      </c>
      <c r="AW134" s="52">
        <v>1076</v>
      </c>
      <c r="AX134" s="52">
        <v>1077</v>
      </c>
      <c r="AY134" s="52">
        <v>1077</v>
      </c>
      <c r="AZ134" s="52">
        <v>1077</v>
      </c>
      <c r="BA134" s="52">
        <v>1077</v>
      </c>
      <c r="BB134" s="52">
        <v>1077</v>
      </c>
      <c r="BC134" s="52"/>
      <c r="BD134" s="52">
        <v>1077</v>
      </c>
      <c r="BE134" s="52">
        <v>1077</v>
      </c>
      <c r="BF134" s="52">
        <v>1077</v>
      </c>
      <c r="BG134" s="52">
        <v>1076</v>
      </c>
      <c r="BH134" s="52">
        <v>26913</v>
      </c>
      <c r="BI134" s="52">
        <v>1077</v>
      </c>
      <c r="BJ134" s="52">
        <v>1077</v>
      </c>
      <c r="BK134" s="52">
        <v>1077</v>
      </c>
      <c r="BL134" s="52">
        <v>1077</v>
      </c>
      <c r="BM134" s="52">
        <v>1077</v>
      </c>
      <c r="BN134" s="52">
        <v>1077</v>
      </c>
      <c r="BO134" s="52">
        <v>1077</v>
      </c>
      <c r="BP134" s="52">
        <v>1077</v>
      </c>
      <c r="BQ134" s="52">
        <v>1077</v>
      </c>
      <c r="BR134" s="52">
        <v>1077</v>
      </c>
      <c r="BS134" s="52"/>
      <c r="BT134" s="52">
        <v>1077</v>
      </c>
      <c r="BU134" s="52">
        <v>1076</v>
      </c>
      <c r="BV134" s="52">
        <v>1076</v>
      </c>
      <c r="BW134" s="52"/>
      <c r="BX134" s="52">
        <v>1077</v>
      </c>
      <c r="BY134" s="52">
        <v>1077</v>
      </c>
      <c r="BZ134" s="52">
        <v>1077</v>
      </c>
      <c r="CA134" s="52"/>
      <c r="CB134" s="52">
        <v>45776</v>
      </c>
      <c r="CC134" s="52">
        <v>1077</v>
      </c>
      <c r="CD134" s="52">
        <v>1077</v>
      </c>
      <c r="CE134" s="52"/>
      <c r="CF134" s="52">
        <v>1077</v>
      </c>
      <c r="CG134" s="52">
        <v>10765</v>
      </c>
      <c r="CH134" s="52">
        <v>10765</v>
      </c>
      <c r="CI134" s="52">
        <v>1077</v>
      </c>
      <c r="CJ134" s="52"/>
      <c r="CK134" s="52">
        <v>1077</v>
      </c>
      <c r="CL134" s="52">
        <v>1077</v>
      </c>
      <c r="CM134" s="52">
        <v>1077</v>
      </c>
      <c r="CN134" s="52">
        <v>1077</v>
      </c>
      <c r="CO134" s="52">
        <v>1077</v>
      </c>
      <c r="CP134" s="52">
        <v>10765</v>
      </c>
      <c r="CQ134" s="52"/>
      <c r="CR134" s="52"/>
      <c r="CS134" s="52"/>
      <c r="CT134" s="52">
        <v>1077</v>
      </c>
      <c r="CU134" s="52">
        <v>1077</v>
      </c>
      <c r="CV134" s="52"/>
      <c r="CW134" s="52">
        <v>1077</v>
      </c>
      <c r="CX134" s="52">
        <v>1077</v>
      </c>
      <c r="CY134" s="52">
        <v>1077</v>
      </c>
      <c r="CZ134" s="52">
        <v>1077</v>
      </c>
      <c r="DA134" s="52">
        <v>1077</v>
      </c>
      <c r="DB134" s="52">
        <v>1077</v>
      </c>
      <c r="DC134" s="52">
        <v>1077</v>
      </c>
      <c r="DD134" s="52"/>
      <c r="DE134" s="52">
        <v>196512</v>
      </c>
      <c r="DF134" s="52">
        <v>1077</v>
      </c>
      <c r="DG134" s="52">
        <v>197589</v>
      </c>
      <c r="DH134" s="52"/>
    </row>
    <row r="135" spans="1:112">
      <c r="A135" s="150" t="s">
        <v>411</v>
      </c>
      <c r="B135" s="44">
        <v>3534</v>
      </c>
      <c r="C135" s="44" t="s">
        <v>190</v>
      </c>
      <c r="D135" s="52">
        <v>37893</v>
      </c>
      <c r="E135" s="52">
        <v>86532</v>
      </c>
      <c r="F135" s="52">
        <v>11412</v>
      </c>
      <c r="G135" s="52"/>
      <c r="H135" s="56">
        <v>46062</v>
      </c>
      <c r="I135" s="56">
        <v>25100</v>
      </c>
      <c r="J135" s="56">
        <v>22755</v>
      </c>
      <c r="K135" s="56">
        <v>23591</v>
      </c>
      <c r="L135" s="52">
        <v>80638</v>
      </c>
      <c r="M135" s="52"/>
      <c r="N135" s="52"/>
      <c r="O135" s="52">
        <v>18481</v>
      </c>
      <c r="P135" s="52">
        <v>36391</v>
      </c>
      <c r="Q135" s="52">
        <v>7987</v>
      </c>
      <c r="R135" s="52">
        <v>11714</v>
      </c>
      <c r="S135" s="52">
        <v>23600</v>
      </c>
      <c r="T135" s="52"/>
      <c r="U135" s="52">
        <v>71323</v>
      </c>
      <c r="V135" s="52"/>
      <c r="W135" s="52">
        <v>70615</v>
      </c>
      <c r="X135" s="52">
        <v>16933</v>
      </c>
      <c r="Y135" s="52">
        <v>239015</v>
      </c>
      <c r="Z135" s="52">
        <v>72123</v>
      </c>
      <c r="AA135" s="52">
        <v>41093</v>
      </c>
      <c r="AB135" s="52">
        <v>55222</v>
      </c>
      <c r="AC135" s="52">
        <v>9056</v>
      </c>
      <c r="AD135" s="52">
        <v>23388</v>
      </c>
      <c r="AE135" s="52">
        <v>19100</v>
      </c>
      <c r="AF135" s="52"/>
      <c r="AG135" s="52">
        <v>24693</v>
      </c>
      <c r="AH135" s="52">
        <v>74277</v>
      </c>
      <c r="AI135" s="52"/>
      <c r="AJ135" s="52">
        <v>14807</v>
      </c>
      <c r="AK135" s="52">
        <v>23680</v>
      </c>
      <c r="AL135" s="52">
        <v>20000</v>
      </c>
      <c r="AM135" s="52"/>
      <c r="AN135" s="52">
        <v>113379</v>
      </c>
      <c r="AO135" s="52">
        <v>14708</v>
      </c>
      <c r="AP135" s="52"/>
      <c r="AQ135" s="52">
        <v>28034</v>
      </c>
      <c r="AR135" s="52">
        <v>41614</v>
      </c>
      <c r="AS135" s="52">
        <v>151513</v>
      </c>
      <c r="AT135" s="52">
        <v>19100</v>
      </c>
      <c r="AU135" s="52">
        <v>24996</v>
      </c>
      <c r="AV135" s="52">
        <v>30554</v>
      </c>
      <c r="AW135" s="52">
        <v>20100</v>
      </c>
      <c r="AX135" s="52">
        <v>49902</v>
      </c>
      <c r="AY135" s="52">
        <v>284683</v>
      </c>
      <c r="AZ135" s="52">
        <v>34070</v>
      </c>
      <c r="BA135" s="52">
        <v>17683</v>
      </c>
      <c r="BB135" s="52">
        <v>13070</v>
      </c>
      <c r="BC135" s="52"/>
      <c r="BD135" s="52">
        <v>26000</v>
      </c>
      <c r="BE135" s="52">
        <v>41923</v>
      </c>
      <c r="BF135" s="52">
        <v>195197</v>
      </c>
      <c r="BG135" s="52">
        <v>22390</v>
      </c>
      <c r="BH135" s="52">
        <v>45308</v>
      </c>
      <c r="BI135" s="52">
        <v>66008</v>
      </c>
      <c r="BJ135" s="52">
        <v>31910</v>
      </c>
      <c r="BK135" s="52">
        <v>32857</v>
      </c>
      <c r="BL135" s="52">
        <v>58166</v>
      </c>
      <c r="BM135" s="52">
        <v>77680</v>
      </c>
      <c r="BN135" s="52">
        <v>47274</v>
      </c>
      <c r="BO135" s="52">
        <v>19690</v>
      </c>
      <c r="BP135" s="52">
        <v>31125</v>
      </c>
      <c r="BQ135" s="52">
        <v>68703</v>
      </c>
      <c r="BR135" s="52">
        <v>17822</v>
      </c>
      <c r="BS135" s="52"/>
      <c r="BT135" s="52">
        <v>26538</v>
      </c>
      <c r="BU135" s="52">
        <v>21953</v>
      </c>
      <c r="BV135" s="52">
        <v>18700</v>
      </c>
      <c r="BW135" s="52"/>
      <c r="BX135" s="52">
        <v>21346</v>
      </c>
      <c r="BY135" s="52">
        <v>15760</v>
      </c>
      <c r="BZ135" s="52">
        <v>52195</v>
      </c>
      <c r="CA135" s="52"/>
      <c r="CB135" s="52">
        <v>4546</v>
      </c>
      <c r="CC135" s="52">
        <v>22839</v>
      </c>
      <c r="CD135" s="52">
        <v>20447</v>
      </c>
      <c r="CE135" s="52"/>
      <c r="CF135" s="52">
        <v>35704</v>
      </c>
      <c r="CG135" s="52">
        <v>206817</v>
      </c>
      <c r="CH135" s="52">
        <v>84733</v>
      </c>
      <c r="CI135" s="52">
        <v>22200</v>
      </c>
      <c r="CJ135" s="52">
        <v>30700</v>
      </c>
      <c r="CK135" s="52">
        <v>37800</v>
      </c>
      <c r="CL135" s="52">
        <v>24900</v>
      </c>
      <c r="CM135" s="52">
        <v>22880</v>
      </c>
      <c r="CN135" s="52">
        <v>36500</v>
      </c>
      <c r="CO135" s="52">
        <v>50167</v>
      </c>
      <c r="CP135" s="52">
        <v>29333</v>
      </c>
      <c r="CQ135" s="52"/>
      <c r="CR135" s="52"/>
      <c r="CS135" s="52"/>
      <c r="CT135" s="52">
        <v>103811</v>
      </c>
      <c r="CU135" s="52">
        <v>37048</v>
      </c>
      <c r="CV135" s="52"/>
      <c r="CW135" s="52">
        <v>36068</v>
      </c>
      <c r="CX135" s="52">
        <v>23726</v>
      </c>
      <c r="CY135" s="52">
        <v>45127</v>
      </c>
      <c r="CZ135" s="52">
        <v>38396</v>
      </c>
      <c r="DA135" s="52">
        <v>113402</v>
      </c>
      <c r="DB135" s="52">
        <v>35500</v>
      </c>
      <c r="DC135" s="52">
        <v>11100</v>
      </c>
      <c r="DD135" s="52">
        <v>8800</v>
      </c>
      <c r="DE135" s="52">
        <v>4052076</v>
      </c>
      <c r="DF135" s="52">
        <v>19900</v>
      </c>
      <c r="DG135" s="52">
        <v>4071976</v>
      </c>
      <c r="DH135" s="52"/>
    </row>
    <row r="136" spans="1:112">
      <c r="A136" s="150" t="s">
        <v>411</v>
      </c>
      <c r="B136" s="44">
        <v>3535</v>
      </c>
      <c r="C136" s="44" t="s">
        <v>191</v>
      </c>
      <c r="D136" s="52"/>
      <c r="E136" s="52"/>
      <c r="F136" s="52"/>
      <c r="G136" s="52"/>
      <c r="H136" s="56"/>
      <c r="I136" s="56"/>
      <c r="J136" s="56"/>
      <c r="K136" s="56"/>
      <c r="L136" s="52">
        <v>50000</v>
      </c>
      <c r="M136" s="52"/>
      <c r="N136" s="52"/>
      <c r="O136" s="52"/>
      <c r="P136" s="52"/>
      <c r="Q136" s="52"/>
      <c r="R136" s="52"/>
      <c r="S136" s="52"/>
      <c r="T136" s="52"/>
      <c r="U136" s="52"/>
      <c r="V136" s="52"/>
      <c r="W136" s="52"/>
      <c r="X136" s="52"/>
      <c r="Y136" s="52"/>
      <c r="Z136" s="52">
        <v>30000</v>
      </c>
      <c r="AA136" s="52"/>
      <c r="AB136" s="52"/>
      <c r="AC136" s="52"/>
      <c r="AD136" s="52"/>
      <c r="AE136" s="52"/>
      <c r="AF136" s="52"/>
      <c r="AG136" s="52"/>
      <c r="AH136" s="52"/>
      <c r="AI136" s="52"/>
      <c r="AJ136" s="52"/>
      <c r="AK136" s="52"/>
      <c r="AL136" s="52"/>
      <c r="AM136" s="52"/>
      <c r="AN136" s="52"/>
      <c r="AO136" s="52">
        <v>50000</v>
      </c>
      <c r="AP136" s="52"/>
      <c r="AQ136" s="52"/>
      <c r="AR136" s="52"/>
      <c r="AS136" s="52"/>
      <c r="AT136" s="52"/>
      <c r="AU136" s="52"/>
      <c r="AV136" s="52"/>
      <c r="AW136" s="52"/>
      <c r="AX136" s="52"/>
      <c r="AY136" s="52"/>
      <c r="AZ136" s="52">
        <v>60000</v>
      </c>
      <c r="BA136" s="52"/>
      <c r="BB136" s="52"/>
      <c r="BC136" s="52"/>
      <c r="BD136" s="52">
        <v>9525</v>
      </c>
      <c r="BE136" s="52"/>
      <c r="BF136" s="52"/>
      <c r="BG136" s="52"/>
      <c r="BH136" s="52"/>
      <c r="BI136" s="52">
        <v>58199</v>
      </c>
      <c r="BJ136" s="52">
        <v>15290</v>
      </c>
      <c r="BK136" s="52">
        <v>10000</v>
      </c>
      <c r="BL136" s="52"/>
      <c r="BM136" s="52">
        <v>58238</v>
      </c>
      <c r="BN136" s="52">
        <v>51996</v>
      </c>
      <c r="BO136" s="52"/>
      <c r="BP136" s="52">
        <v>337839</v>
      </c>
      <c r="BQ136" s="52">
        <v>59124</v>
      </c>
      <c r="BR136" s="52"/>
      <c r="BS136" s="52"/>
      <c r="BT136" s="52"/>
      <c r="BU136" s="52">
        <v>10000</v>
      </c>
      <c r="BV136" s="52"/>
      <c r="BW136" s="52"/>
      <c r="BX136" s="52"/>
      <c r="BY136" s="52">
        <v>50000</v>
      </c>
      <c r="BZ136" s="52">
        <v>10000</v>
      </c>
      <c r="CA136" s="52"/>
      <c r="CB136" s="52"/>
      <c r="CC136" s="52"/>
      <c r="CD136" s="52"/>
      <c r="CE136" s="52"/>
      <c r="CF136" s="52"/>
      <c r="CG136" s="52">
        <v>7882</v>
      </c>
      <c r="CH136" s="52">
        <v>50000</v>
      </c>
      <c r="CI136" s="52"/>
      <c r="CJ136" s="52">
        <v>60000</v>
      </c>
      <c r="CK136" s="52">
        <v>10000</v>
      </c>
      <c r="CL136" s="52"/>
      <c r="CM136" s="52"/>
      <c r="CN136" s="52">
        <v>50000</v>
      </c>
      <c r="CO136" s="52"/>
      <c r="CP136" s="52">
        <v>83191</v>
      </c>
      <c r="CQ136" s="52"/>
      <c r="CR136" s="52"/>
      <c r="CS136" s="52"/>
      <c r="CT136" s="52">
        <v>10000</v>
      </c>
      <c r="CU136" s="52">
        <v>50000</v>
      </c>
      <c r="CV136" s="52"/>
      <c r="CW136" s="52">
        <v>10000</v>
      </c>
      <c r="CX136" s="52"/>
      <c r="CY136" s="52"/>
      <c r="CZ136" s="52"/>
      <c r="DA136" s="52"/>
      <c r="DB136" s="52"/>
      <c r="DC136" s="52"/>
      <c r="DD136" s="52"/>
      <c r="DE136" s="52">
        <v>1191284</v>
      </c>
      <c r="DF136" s="52"/>
      <c r="DG136" s="52">
        <v>1191284</v>
      </c>
      <c r="DH136" s="52"/>
    </row>
    <row r="137" spans="1:112">
      <c r="A137" s="150" t="s">
        <v>411</v>
      </c>
      <c r="B137" s="44">
        <v>3542</v>
      </c>
      <c r="C137" s="44" t="s">
        <v>193</v>
      </c>
      <c r="D137" s="52">
        <v>23711</v>
      </c>
      <c r="E137" s="52">
        <v>112524</v>
      </c>
      <c r="F137" s="52">
        <v>11382</v>
      </c>
      <c r="G137" s="52"/>
      <c r="H137" s="56">
        <v>46434</v>
      </c>
      <c r="I137" s="56">
        <v>34167</v>
      </c>
      <c r="J137" s="56">
        <v>57946</v>
      </c>
      <c r="K137" s="56">
        <v>10295</v>
      </c>
      <c r="L137" s="52">
        <v>60879</v>
      </c>
      <c r="M137" s="52"/>
      <c r="N137" s="52"/>
      <c r="O137" s="52">
        <v>20772</v>
      </c>
      <c r="P137" s="52">
        <v>4442</v>
      </c>
      <c r="Q137" s="52">
        <v>8002</v>
      </c>
      <c r="R137" s="52">
        <v>11617</v>
      </c>
      <c r="S137" s="52">
        <v>35755</v>
      </c>
      <c r="T137" s="52"/>
      <c r="U137" s="52"/>
      <c r="V137" s="52"/>
      <c r="W137" s="52">
        <v>192008</v>
      </c>
      <c r="X137" s="52">
        <v>16235</v>
      </c>
      <c r="Y137" s="52">
        <v>148884</v>
      </c>
      <c r="Z137" s="52">
        <v>40342</v>
      </c>
      <c r="AA137" s="52">
        <v>41300</v>
      </c>
      <c r="AB137" s="52">
        <v>31815</v>
      </c>
      <c r="AC137" s="52">
        <v>5434</v>
      </c>
      <c r="AD137" s="52">
        <v>23917</v>
      </c>
      <c r="AE137" s="52">
        <v>14174</v>
      </c>
      <c r="AF137" s="52"/>
      <c r="AG137" s="52">
        <v>34578</v>
      </c>
      <c r="AH137" s="52">
        <v>70317</v>
      </c>
      <c r="AI137" s="52"/>
      <c r="AJ137" s="52">
        <v>6520</v>
      </c>
      <c r="AK137" s="52">
        <v>27069</v>
      </c>
      <c r="AL137" s="52">
        <v>12823</v>
      </c>
      <c r="AM137" s="52"/>
      <c r="AN137" s="52">
        <v>129266</v>
      </c>
      <c r="AO137" s="52">
        <v>17128</v>
      </c>
      <c r="AP137" s="52"/>
      <c r="AQ137" s="52">
        <v>38966</v>
      </c>
      <c r="AR137" s="52">
        <v>13412</v>
      </c>
      <c r="AS137" s="52">
        <v>92259</v>
      </c>
      <c r="AT137" s="52">
        <v>8496</v>
      </c>
      <c r="AU137" s="52">
        <v>7487</v>
      </c>
      <c r="AV137" s="52">
        <v>5388</v>
      </c>
      <c r="AW137" s="52">
        <v>21373</v>
      </c>
      <c r="AX137" s="52">
        <v>41148</v>
      </c>
      <c r="AY137" s="52">
        <v>308628</v>
      </c>
      <c r="AZ137" s="52">
        <v>55687</v>
      </c>
      <c r="BA137" s="52">
        <v>11543</v>
      </c>
      <c r="BB137" s="52">
        <v>8669</v>
      </c>
      <c r="BC137" s="52"/>
      <c r="BD137" s="52">
        <v>26502</v>
      </c>
      <c r="BE137" s="52">
        <v>15746</v>
      </c>
      <c r="BF137" s="52">
        <v>192024</v>
      </c>
      <c r="BG137" s="52">
        <v>14716</v>
      </c>
      <c r="BH137" s="52">
        <v>74029</v>
      </c>
      <c r="BI137" s="52">
        <v>60162</v>
      </c>
      <c r="BJ137" s="52">
        <v>83742</v>
      </c>
      <c r="BK137" s="52">
        <v>38970</v>
      </c>
      <c r="BL137" s="52">
        <v>28429</v>
      </c>
      <c r="BM137" s="52">
        <v>163999</v>
      </c>
      <c r="BN137" s="52">
        <v>68683</v>
      </c>
      <c r="BO137" s="52">
        <v>23089</v>
      </c>
      <c r="BP137" s="52">
        <v>31861</v>
      </c>
      <c r="BQ137" s="52">
        <v>114536</v>
      </c>
      <c r="BR137" s="52"/>
      <c r="BS137" s="52"/>
      <c r="BT137" s="52">
        <v>19140</v>
      </c>
      <c r="BU137" s="52">
        <v>25892</v>
      </c>
      <c r="BV137" s="52">
        <v>15745</v>
      </c>
      <c r="BW137" s="52"/>
      <c r="BX137" s="52">
        <v>27317</v>
      </c>
      <c r="BY137" s="52">
        <v>58861</v>
      </c>
      <c r="BZ137" s="52">
        <v>40727</v>
      </c>
      <c r="CA137" s="52"/>
      <c r="CB137" s="52">
        <v>32260</v>
      </c>
      <c r="CC137" s="52">
        <v>37344</v>
      </c>
      <c r="CD137" s="52">
        <v>51250</v>
      </c>
      <c r="CE137" s="52"/>
      <c r="CF137" s="52">
        <v>66711</v>
      </c>
      <c r="CG137" s="52">
        <v>69856</v>
      </c>
      <c r="CH137" s="52">
        <v>138586</v>
      </c>
      <c r="CI137" s="52">
        <v>17783</v>
      </c>
      <c r="CJ137" s="52">
        <v>25007</v>
      </c>
      <c r="CK137" s="52">
        <v>41519</v>
      </c>
      <c r="CL137" s="52">
        <v>16268</v>
      </c>
      <c r="CM137" s="52">
        <v>39633</v>
      </c>
      <c r="CN137" s="52">
        <v>48541</v>
      </c>
      <c r="CO137" s="52">
        <v>51274</v>
      </c>
      <c r="CP137" s="52">
        <v>78716</v>
      </c>
      <c r="CQ137" s="52"/>
      <c r="CR137" s="52"/>
      <c r="CS137" s="52"/>
      <c r="CT137" s="52">
        <v>48409</v>
      </c>
      <c r="CU137" s="52">
        <v>15436</v>
      </c>
      <c r="CV137" s="52"/>
      <c r="CW137" s="52">
        <v>40802</v>
      </c>
      <c r="CX137" s="52">
        <v>47748</v>
      </c>
      <c r="CY137" s="52">
        <v>36455</v>
      </c>
      <c r="CZ137" s="52">
        <v>28972</v>
      </c>
      <c r="DA137" s="52">
        <v>62570</v>
      </c>
      <c r="DB137" s="52">
        <v>37974</v>
      </c>
      <c r="DC137" s="52"/>
      <c r="DD137" s="52"/>
      <c r="DE137" s="52">
        <v>4020076</v>
      </c>
      <c r="DF137" s="52"/>
      <c r="DG137" s="52">
        <v>4020076</v>
      </c>
      <c r="DH137" s="52"/>
    </row>
    <row r="138" spans="1:112">
      <c r="A138" s="150" t="s">
        <v>411</v>
      </c>
      <c r="B138" s="44">
        <v>3548</v>
      </c>
      <c r="C138" s="44" t="s">
        <v>195</v>
      </c>
      <c r="D138" s="52">
        <v>294872</v>
      </c>
      <c r="E138" s="52">
        <v>2550747</v>
      </c>
      <c r="F138" s="52">
        <v>223752</v>
      </c>
      <c r="G138" s="52"/>
      <c r="H138" s="56">
        <v>463920</v>
      </c>
      <c r="I138" s="56">
        <v>241914</v>
      </c>
      <c r="J138" s="56">
        <v>299151</v>
      </c>
      <c r="K138" s="56">
        <v>191166</v>
      </c>
      <c r="L138" s="52">
        <v>602973</v>
      </c>
      <c r="M138" s="52"/>
      <c r="N138" s="52"/>
      <c r="O138" s="52">
        <v>134631</v>
      </c>
      <c r="P138" s="52">
        <v>157805</v>
      </c>
      <c r="Q138" s="52">
        <v>110894</v>
      </c>
      <c r="R138" s="52">
        <v>95485</v>
      </c>
      <c r="S138" s="52">
        <v>330190</v>
      </c>
      <c r="T138" s="52"/>
      <c r="U138" s="52">
        <v>1142212</v>
      </c>
      <c r="V138" s="52"/>
      <c r="W138" s="52">
        <v>2084208</v>
      </c>
      <c r="X138" s="52">
        <v>98439</v>
      </c>
      <c r="Y138" s="52">
        <v>3102861</v>
      </c>
      <c r="Z138" s="52">
        <v>859169</v>
      </c>
      <c r="AA138" s="52">
        <v>511142</v>
      </c>
      <c r="AB138" s="52">
        <v>809431</v>
      </c>
      <c r="AC138" s="52">
        <v>201057</v>
      </c>
      <c r="AD138" s="52">
        <v>347921</v>
      </c>
      <c r="AE138" s="52">
        <v>104108</v>
      </c>
      <c r="AF138" s="52"/>
      <c r="AG138" s="52">
        <v>393068</v>
      </c>
      <c r="AH138" s="52">
        <v>1967990</v>
      </c>
      <c r="AI138" s="52"/>
      <c r="AJ138" s="52">
        <v>102220</v>
      </c>
      <c r="AK138" s="52">
        <v>571421</v>
      </c>
      <c r="AL138" s="52">
        <v>143190</v>
      </c>
      <c r="AM138" s="52"/>
      <c r="AN138" s="52">
        <v>791957</v>
      </c>
      <c r="AO138" s="52">
        <v>273584</v>
      </c>
      <c r="AP138" s="52"/>
      <c r="AQ138" s="52">
        <v>464466</v>
      </c>
      <c r="AR138" s="52">
        <v>470452</v>
      </c>
      <c r="AS138" s="52">
        <v>1144070</v>
      </c>
      <c r="AT138" s="52">
        <v>109156</v>
      </c>
      <c r="AU138" s="52">
        <v>379130</v>
      </c>
      <c r="AV138" s="52">
        <v>171217</v>
      </c>
      <c r="AW138" s="52">
        <v>99068</v>
      </c>
      <c r="AX138" s="52">
        <v>1023692</v>
      </c>
      <c r="AY138" s="52">
        <v>4500166</v>
      </c>
      <c r="AZ138" s="52">
        <v>759215</v>
      </c>
      <c r="BA138" s="52">
        <v>135087</v>
      </c>
      <c r="BB138" s="52">
        <v>109002</v>
      </c>
      <c r="BC138" s="52"/>
      <c r="BD138" s="52">
        <v>280574</v>
      </c>
      <c r="BE138" s="52">
        <v>169053</v>
      </c>
      <c r="BF138" s="52">
        <v>2513115</v>
      </c>
      <c r="BG138" s="52">
        <v>375202</v>
      </c>
      <c r="BH138" s="52">
        <v>836015</v>
      </c>
      <c r="BI138" s="52">
        <v>678797</v>
      </c>
      <c r="BJ138" s="52">
        <v>482436</v>
      </c>
      <c r="BK138" s="52">
        <v>349257</v>
      </c>
      <c r="BL138" s="52">
        <v>552765</v>
      </c>
      <c r="BM138" s="52">
        <v>759289</v>
      </c>
      <c r="BN138" s="52">
        <v>574778</v>
      </c>
      <c r="BO138" s="52">
        <v>189286</v>
      </c>
      <c r="BP138" s="52">
        <v>117482</v>
      </c>
      <c r="BQ138" s="52">
        <v>534907</v>
      </c>
      <c r="BR138" s="52">
        <v>172186</v>
      </c>
      <c r="BS138" s="52"/>
      <c r="BT138" s="52">
        <v>354445</v>
      </c>
      <c r="BU138" s="52">
        <v>287221</v>
      </c>
      <c r="BV138" s="52">
        <v>130329</v>
      </c>
      <c r="BW138" s="52"/>
      <c r="BX138" s="52">
        <v>719605</v>
      </c>
      <c r="BY138" s="52">
        <v>497289</v>
      </c>
      <c r="BZ138" s="52">
        <v>772549</v>
      </c>
      <c r="CA138" s="52"/>
      <c r="CB138" s="52">
        <v>427653</v>
      </c>
      <c r="CC138" s="52">
        <v>361992</v>
      </c>
      <c r="CD138" s="52">
        <v>802785</v>
      </c>
      <c r="CE138" s="52"/>
      <c r="CF138" s="52">
        <v>1000973</v>
      </c>
      <c r="CG138" s="52">
        <v>2846180</v>
      </c>
      <c r="CH138" s="52">
        <v>1058939</v>
      </c>
      <c r="CI138" s="52">
        <v>216220</v>
      </c>
      <c r="CJ138" s="52">
        <v>282505</v>
      </c>
      <c r="CK138" s="52">
        <v>474944</v>
      </c>
      <c r="CL138" s="52">
        <v>201309</v>
      </c>
      <c r="CM138" s="52">
        <v>192689</v>
      </c>
      <c r="CN138" s="52">
        <v>290840</v>
      </c>
      <c r="CO138" s="52">
        <v>609859</v>
      </c>
      <c r="CP138" s="52">
        <v>722000</v>
      </c>
      <c r="CQ138" s="52"/>
      <c r="CR138" s="52"/>
      <c r="CS138" s="52"/>
      <c r="CT138" s="52">
        <v>915769</v>
      </c>
      <c r="CU138" s="52">
        <v>906498</v>
      </c>
      <c r="CV138" s="52"/>
      <c r="CW138" s="52">
        <v>406333</v>
      </c>
      <c r="CX138" s="52">
        <v>860178</v>
      </c>
      <c r="CY138" s="52">
        <v>344806</v>
      </c>
      <c r="CZ138" s="52">
        <v>232048</v>
      </c>
      <c r="DA138" s="52">
        <v>1148062</v>
      </c>
      <c r="DB138" s="52">
        <v>276536</v>
      </c>
      <c r="DC138" s="52">
        <v>283818</v>
      </c>
      <c r="DD138" s="52">
        <v>109547</v>
      </c>
      <c r="DE138" s="52">
        <v>54491897</v>
      </c>
      <c r="DF138" s="52">
        <v>393365</v>
      </c>
      <c r="DG138" s="52">
        <v>54885262</v>
      </c>
      <c r="DH138" s="52"/>
    </row>
    <row r="139" spans="1:112">
      <c r="A139" s="150" t="s">
        <v>411</v>
      </c>
      <c r="B139" s="44">
        <v>3549</v>
      </c>
      <c r="C139" s="44" t="s">
        <v>196</v>
      </c>
      <c r="D139" s="52"/>
      <c r="E139" s="52">
        <v>67392</v>
      </c>
      <c r="F139" s="52">
        <v>12747</v>
      </c>
      <c r="G139" s="52"/>
      <c r="H139" s="56"/>
      <c r="I139" s="56"/>
      <c r="J139" s="56">
        <v>20221</v>
      </c>
      <c r="K139" s="56"/>
      <c r="L139" s="52">
        <v>149073</v>
      </c>
      <c r="M139" s="52"/>
      <c r="N139" s="52"/>
      <c r="O139" s="52">
        <v>10490</v>
      </c>
      <c r="P139" s="52">
        <v>7235</v>
      </c>
      <c r="Q139" s="52"/>
      <c r="R139" s="52"/>
      <c r="S139" s="52"/>
      <c r="T139" s="52"/>
      <c r="U139" s="52">
        <v>116040</v>
      </c>
      <c r="V139" s="52"/>
      <c r="W139" s="52"/>
      <c r="X139" s="52"/>
      <c r="Y139" s="52">
        <v>243228</v>
      </c>
      <c r="Z139" s="52">
        <v>48239</v>
      </c>
      <c r="AA139" s="52"/>
      <c r="AB139" s="52"/>
      <c r="AC139" s="52"/>
      <c r="AD139" s="52">
        <v>6652</v>
      </c>
      <c r="AE139" s="52"/>
      <c r="AF139" s="52"/>
      <c r="AG139" s="52">
        <v>21315</v>
      </c>
      <c r="AH139" s="52">
        <v>72662</v>
      </c>
      <c r="AI139" s="52"/>
      <c r="AJ139" s="52"/>
      <c r="AK139" s="52">
        <v>8377</v>
      </c>
      <c r="AL139" s="52"/>
      <c r="AM139" s="52"/>
      <c r="AN139" s="52"/>
      <c r="AO139" s="52">
        <v>17563</v>
      </c>
      <c r="AP139" s="52"/>
      <c r="AQ139" s="52"/>
      <c r="AR139" s="52">
        <v>16481</v>
      </c>
      <c r="AS139" s="52">
        <v>117777</v>
      </c>
      <c r="AT139" s="52"/>
      <c r="AU139" s="52">
        <v>10659</v>
      </c>
      <c r="AV139" s="52"/>
      <c r="AW139" s="52"/>
      <c r="AX139" s="52"/>
      <c r="AY139" s="52"/>
      <c r="AZ139" s="52">
        <v>111618</v>
      </c>
      <c r="BA139" s="52"/>
      <c r="BB139" s="52"/>
      <c r="BC139" s="52"/>
      <c r="BD139" s="52">
        <v>21318</v>
      </c>
      <c r="BE139" s="52"/>
      <c r="BF139" s="52">
        <v>94637</v>
      </c>
      <c r="BG139" s="52">
        <v>3692</v>
      </c>
      <c r="BH139" s="52"/>
      <c r="BI139" s="52">
        <v>24958</v>
      </c>
      <c r="BJ139" s="52">
        <v>38609</v>
      </c>
      <c r="BK139" s="52">
        <v>21089</v>
      </c>
      <c r="BL139" s="52">
        <v>5017</v>
      </c>
      <c r="BM139" s="52"/>
      <c r="BN139" s="52">
        <v>106654</v>
      </c>
      <c r="BO139" s="52"/>
      <c r="BP139" s="52">
        <v>16625</v>
      </c>
      <c r="BQ139" s="52">
        <v>204696</v>
      </c>
      <c r="BR139" s="52"/>
      <c r="BS139" s="52"/>
      <c r="BT139" s="52"/>
      <c r="BU139" s="52">
        <v>5018</v>
      </c>
      <c r="BV139" s="52">
        <v>10036</v>
      </c>
      <c r="BW139" s="52"/>
      <c r="BX139" s="52">
        <v>4887</v>
      </c>
      <c r="BY139" s="52">
        <v>45004</v>
      </c>
      <c r="BZ139" s="52">
        <v>139798</v>
      </c>
      <c r="CA139" s="52"/>
      <c r="CB139" s="52"/>
      <c r="CC139" s="52"/>
      <c r="CD139" s="52"/>
      <c r="CE139" s="52"/>
      <c r="CF139" s="52">
        <v>179699</v>
      </c>
      <c r="CG139" s="52">
        <v>126424</v>
      </c>
      <c r="CH139" s="52">
        <v>8106</v>
      </c>
      <c r="CI139" s="52"/>
      <c r="CJ139" s="52">
        <v>75845</v>
      </c>
      <c r="CK139" s="52"/>
      <c r="CL139" s="52"/>
      <c r="CM139" s="52"/>
      <c r="CN139" s="52"/>
      <c r="CO139" s="52"/>
      <c r="CP139" s="52">
        <v>112010</v>
      </c>
      <c r="CQ139" s="52"/>
      <c r="CR139" s="52"/>
      <c r="CS139" s="52"/>
      <c r="CT139" s="52"/>
      <c r="CU139" s="52">
        <v>103424</v>
      </c>
      <c r="CV139" s="52"/>
      <c r="CW139" s="52">
        <v>107588</v>
      </c>
      <c r="CX139" s="52">
        <v>10036</v>
      </c>
      <c r="CY139" s="52">
        <v>68402</v>
      </c>
      <c r="CZ139" s="52">
        <v>28854</v>
      </c>
      <c r="DA139" s="52">
        <v>237680</v>
      </c>
      <c r="DB139" s="52">
        <v>45004</v>
      </c>
      <c r="DC139" s="52"/>
      <c r="DD139" s="52"/>
      <c r="DE139" s="52">
        <v>2902879</v>
      </c>
      <c r="DF139" s="52"/>
      <c r="DG139" s="52">
        <v>2902879</v>
      </c>
      <c r="DH139" s="52"/>
    </row>
    <row r="140" spans="1:112">
      <c r="A140" s="150" t="s">
        <v>411</v>
      </c>
      <c r="B140" s="44">
        <v>3550</v>
      </c>
      <c r="C140" s="44" t="s">
        <v>197</v>
      </c>
      <c r="D140" s="52">
        <v>548974</v>
      </c>
      <c r="E140" s="52">
        <v>3100704</v>
      </c>
      <c r="F140" s="52">
        <v>241401</v>
      </c>
      <c r="G140" s="52">
        <v>24614</v>
      </c>
      <c r="H140" s="56">
        <v>1027912</v>
      </c>
      <c r="I140" s="56">
        <v>446940</v>
      </c>
      <c r="J140" s="56">
        <v>336135</v>
      </c>
      <c r="K140" s="56">
        <v>397955</v>
      </c>
      <c r="L140" s="52">
        <v>1686215</v>
      </c>
      <c r="M140" s="52">
        <v>38901</v>
      </c>
      <c r="N140" s="52">
        <v>47753</v>
      </c>
      <c r="O140" s="52">
        <v>234543</v>
      </c>
      <c r="P140" s="52">
        <v>153775</v>
      </c>
      <c r="Q140" s="52">
        <v>112049</v>
      </c>
      <c r="R140" s="52">
        <v>126687</v>
      </c>
      <c r="S140" s="52">
        <v>347440</v>
      </c>
      <c r="T140" s="52">
        <v>25460</v>
      </c>
      <c r="U140" s="52">
        <v>2695128</v>
      </c>
      <c r="V140" s="52">
        <v>57703</v>
      </c>
      <c r="W140" s="52">
        <v>3547960</v>
      </c>
      <c r="X140" s="52">
        <v>275302</v>
      </c>
      <c r="Y140" s="52">
        <v>6222837</v>
      </c>
      <c r="Z140" s="52">
        <v>1354474</v>
      </c>
      <c r="AA140" s="52">
        <v>824719</v>
      </c>
      <c r="AB140" s="52">
        <v>1099394</v>
      </c>
      <c r="AC140" s="52">
        <v>141600</v>
      </c>
      <c r="AD140" s="52">
        <v>354214</v>
      </c>
      <c r="AE140" s="52">
        <v>150532</v>
      </c>
      <c r="AF140" s="52">
        <v>23813</v>
      </c>
      <c r="AG140" s="52">
        <v>827133</v>
      </c>
      <c r="AH140" s="52">
        <v>1514634</v>
      </c>
      <c r="AI140" s="52"/>
      <c r="AJ140" s="52">
        <v>105705</v>
      </c>
      <c r="AK140" s="52">
        <v>391975</v>
      </c>
      <c r="AL140" s="52">
        <v>175452</v>
      </c>
      <c r="AM140" s="52"/>
      <c r="AN140" s="52">
        <v>2412445</v>
      </c>
      <c r="AO140" s="52">
        <v>338443</v>
      </c>
      <c r="AP140" s="52">
        <v>41563</v>
      </c>
      <c r="AQ140" s="52">
        <v>600021</v>
      </c>
      <c r="AR140" s="52">
        <v>570892</v>
      </c>
      <c r="AS140" s="52">
        <v>2137109</v>
      </c>
      <c r="AT140" s="52">
        <v>168309</v>
      </c>
      <c r="AU140" s="52">
        <v>450436</v>
      </c>
      <c r="AV140" s="52">
        <v>131484</v>
      </c>
      <c r="AW140" s="52">
        <v>212468</v>
      </c>
      <c r="AX140" s="52">
        <v>1501352</v>
      </c>
      <c r="AY140" s="52">
        <v>8428411</v>
      </c>
      <c r="AZ140" s="52">
        <v>1229093</v>
      </c>
      <c r="BA140" s="52">
        <v>170950</v>
      </c>
      <c r="BB140" s="52">
        <v>222798</v>
      </c>
      <c r="BC140" s="52">
        <v>39143</v>
      </c>
      <c r="BD140" s="52">
        <v>384531</v>
      </c>
      <c r="BE140" s="52">
        <v>178204</v>
      </c>
      <c r="BF140" s="52">
        <v>4667234</v>
      </c>
      <c r="BG140" s="52">
        <v>340133</v>
      </c>
      <c r="BH140" s="52">
        <v>1353462</v>
      </c>
      <c r="BI140" s="52">
        <v>1488555</v>
      </c>
      <c r="BJ140" s="52">
        <v>783226</v>
      </c>
      <c r="BK140" s="52">
        <v>439768</v>
      </c>
      <c r="BL140" s="52">
        <v>339484</v>
      </c>
      <c r="BM140" s="52">
        <v>2889880</v>
      </c>
      <c r="BN140" s="52">
        <v>1327508</v>
      </c>
      <c r="BO140" s="52">
        <v>318556</v>
      </c>
      <c r="BP140" s="52">
        <v>412178</v>
      </c>
      <c r="BQ140" s="52">
        <v>2507252</v>
      </c>
      <c r="BR140" s="52">
        <v>140661</v>
      </c>
      <c r="BS140" s="52"/>
      <c r="BT140" s="52">
        <v>347039</v>
      </c>
      <c r="BU140" s="52">
        <v>238304</v>
      </c>
      <c r="BV140" s="52">
        <v>122139</v>
      </c>
      <c r="BW140" s="52">
        <v>21903</v>
      </c>
      <c r="BX140" s="52">
        <v>622190</v>
      </c>
      <c r="BY140" s="52">
        <v>847496</v>
      </c>
      <c r="BZ140" s="52">
        <v>1564636</v>
      </c>
      <c r="CA140" s="52"/>
      <c r="CB140" s="52">
        <v>435647</v>
      </c>
      <c r="CC140" s="52">
        <v>545271</v>
      </c>
      <c r="CD140" s="52">
        <v>1095231</v>
      </c>
      <c r="CE140" s="52">
        <v>14229</v>
      </c>
      <c r="CF140" s="52">
        <v>2143463</v>
      </c>
      <c r="CG140" s="52">
        <v>3932020</v>
      </c>
      <c r="CH140" s="52">
        <v>3074303</v>
      </c>
      <c r="CI140" s="52">
        <v>249039</v>
      </c>
      <c r="CJ140" s="52">
        <v>704144</v>
      </c>
      <c r="CK140" s="52">
        <v>1055459</v>
      </c>
      <c r="CL140" s="52">
        <v>527481</v>
      </c>
      <c r="CM140" s="52">
        <v>349724</v>
      </c>
      <c r="CN140" s="52">
        <v>965798</v>
      </c>
      <c r="CO140" s="52">
        <v>1379464</v>
      </c>
      <c r="CP140" s="52">
        <v>1338155</v>
      </c>
      <c r="CQ140" s="52">
        <v>39445</v>
      </c>
      <c r="CR140" s="52">
        <v>48210</v>
      </c>
      <c r="CS140" s="52">
        <v>39858</v>
      </c>
      <c r="CT140" s="52">
        <v>1121727</v>
      </c>
      <c r="CU140" s="52">
        <v>1137343</v>
      </c>
      <c r="CV140" s="52"/>
      <c r="CW140" s="52">
        <v>708183</v>
      </c>
      <c r="CX140" s="52">
        <v>684653</v>
      </c>
      <c r="CY140" s="52">
        <v>728742</v>
      </c>
      <c r="CZ140" s="52">
        <v>1009423</v>
      </c>
      <c r="DA140" s="52">
        <v>2210313</v>
      </c>
      <c r="DB140" s="52">
        <v>1091584</v>
      </c>
      <c r="DC140" s="52">
        <v>245359</v>
      </c>
      <c r="DD140" s="52">
        <v>160487</v>
      </c>
      <c r="DE140" s="52">
        <v>95278198</v>
      </c>
      <c r="DF140" s="52">
        <v>405846</v>
      </c>
      <c r="DG140" s="52">
        <v>95684044</v>
      </c>
      <c r="DH140" s="52"/>
    </row>
    <row r="141" spans="1:112">
      <c r="A141" s="150" t="s">
        <v>411</v>
      </c>
      <c r="B141" s="44">
        <v>3555</v>
      </c>
      <c r="C141" s="44" t="s">
        <v>199</v>
      </c>
      <c r="D141" s="52">
        <v>105403</v>
      </c>
      <c r="E141" s="52">
        <v>595335</v>
      </c>
      <c r="F141" s="52">
        <v>46349</v>
      </c>
      <c r="G141" s="52">
        <v>4726</v>
      </c>
      <c r="H141" s="56">
        <v>197359</v>
      </c>
      <c r="I141" s="56">
        <v>85812</v>
      </c>
      <c r="J141" s="56">
        <v>64538</v>
      </c>
      <c r="K141" s="56">
        <v>76407</v>
      </c>
      <c r="L141" s="52">
        <v>323753</v>
      </c>
      <c r="M141" s="52">
        <v>6467</v>
      </c>
      <c r="N141" s="52">
        <v>9169</v>
      </c>
      <c r="O141" s="52">
        <v>45032</v>
      </c>
      <c r="P141" s="52">
        <v>29525</v>
      </c>
      <c r="Q141" s="52">
        <v>21513</v>
      </c>
      <c r="R141" s="52">
        <v>24324</v>
      </c>
      <c r="S141" s="52">
        <v>66708</v>
      </c>
      <c r="T141" s="52">
        <v>4888</v>
      </c>
      <c r="U141" s="52">
        <v>517465</v>
      </c>
      <c r="V141" s="52">
        <v>11079</v>
      </c>
      <c r="W141" s="52">
        <v>681208</v>
      </c>
      <c r="X141" s="52">
        <v>52858</v>
      </c>
      <c r="Y141" s="52">
        <v>1194785</v>
      </c>
      <c r="Z141" s="52">
        <v>260059</v>
      </c>
      <c r="AA141" s="52">
        <v>158346</v>
      </c>
      <c r="AB141" s="52">
        <v>211083</v>
      </c>
      <c r="AC141" s="52">
        <v>27187</v>
      </c>
      <c r="AD141" s="52">
        <v>68009</v>
      </c>
      <c r="AE141" s="52">
        <v>28902</v>
      </c>
      <c r="AF141" s="52">
        <v>4572</v>
      </c>
      <c r="AG141" s="52">
        <v>158810</v>
      </c>
      <c r="AH141" s="52">
        <v>290810</v>
      </c>
      <c r="AI141" s="52"/>
      <c r="AJ141" s="52">
        <v>20295</v>
      </c>
      <c r="AK141" s="52">
        <v>75259</v>
      </c>
      <c r="AL141" s="52">
        <v>33687</v>
      </c>
      <c r="AM141" s="52">
        <v>4528</v>
      </c>
      <c r="AN141" s="52">
        <v>463189</v>
      </c>
      <c r="AO141" s="52">
        <v>64981</v>
      </c>
      <c r="AP141" s="52">
        <v>7980</v>
      </c>
      <c r="AQ141" s="52">
        <v>115204</v>
      </c>
      <c r="AR141" s="52">
        <v>109611</v>
      </c>
      <c r="AS141" s="52">
        <v>410325</v>
      </c>
      <c r="AT141" s="52">
        <v>32315</v>
      </c>
      <c r="AU141" s="52">
        <v>86484</v>
      </c>
      <c r="AV141" s="52">
        <v>25245</v>
      </c>
      <c r="AW141" s="52">
        <v>40794</v>
      </c>
      <c r="AX141" s="52">
        <v>288260</v>
      </c>
      <c r="AY141" s="52">
        <v>1618255</v>
      </c>
      <c r="AZ141" s="52">
        <v>235986</v>
      </c>
      <c r="BA141" s="52">
        <v>32822</v>
      </c>
      <c r="BB141" s="52">
        <v>42777</v>
      </c>
      <c r="BC141" s="52">
        <v>7515</v>
      </c>
      <c r="BD141" s="52">
        <v>73830</v>
      </c>
      <c r="BE141" s="52">
        <v>34215</v>
      </c>
      <c r="BF141" s="52">
        <v>896109</v>
      </c>
      <c r="BG141" s="52">
        <v>65306</v>
      </c>
      <c r="BH141" s="52">
        <v>259865</v>
      </c>
      <c r="BI141" s="52">
        <v>285803</v>
      </c>
      <c r="BJ141" s="52">
        <v>49205</v>
      </c>
      <c r="BK141" s="52">
        <v>84436</v>
      </c>
      <c r="BL141" s="52">
        <v>65181</v>
      </c>
      <c r="BM141" s="52">
        <v>554857</v>
      </c>
      <c r="BN141" s="52">
        <v>254882</v>
      </c>
      <c r="BO141" s="52">
        <v>61163</v>
      </c>
      <c r="BP141" s="52">
        <v>79138</v>
      </c>
      <c r="BQ141" s="52">
        <v>481392</v>
      </c>
      <c r="BR141" s="52">
        <v>27007</v>
      </c>
      <c r="BS141" s="52"/>
      <c r="BT141" s="52">
        <v>66631</v>
      </c>
      <c r="BU141" s="52">
        <v>45754</v>
      </c>
      <c r="BV141" s="52">
        <v>23451</v>
      </c>
      <c r="BW141" s="52">
        <v>4205</v>
      </c>
      <c r="BX141" s="52">
        <v>119460</v>
      </c>
      <c r="BY141" s="52">
        <v>162719</v>
      </c>
      <c r="BZ141" s="52">
        <v>300410</v>
      </c>
      <c r="CA141" s="52"/>
      <c r="CB141" s="52">
        <v>83644</v>
      </c>
      <c r="CC141" s="52">
        <v>104692</v>
      </c>
      <c r="CD141" s="52">
        <v>210284</v>
      </c>
      <c r="CE141" s="52">
        <v>2732</v>
      </c>
      <c r="CF141" s="52">
        <v>411545</v>
      </c>
      <c r="CG141" s="52">
        <v>754948</v>
      </c>
      <c r="CH141" s="52">
        <v>590266</v>
      </c>
      <c r="CI141" s="52">
        <v>47815</v>
      </c>
      <c r="CJ141" s="52">
        <v>135196</v>
      </c>
      <c r="CK141" s="52">
        <v>202648</v>
      </c>
      <c r="CL141" s="52"/>
      <c r="CM141" s="52">
        <v>67147</v>
      </c>
      <c r="CN141" s="52">
        <v>185433</v>
      </c>
      <c r="CO141" s="52">
        <v>264857</v>
      </c>
      <c r="CP141" s="52">
        <v>256926</v>
      </c>
      <c r="CQ141" s="52">
        <v>7573</v>
      </c>
      <c r="CR141" s="52">
        <v>9256</v>
      </c>
      <c r="CS141" s="52">
        <v>7653</v>
      </c>
      <c r="CT141" s="52">
        <v>215372</v>
      </c>
      <c r="CU141" s="52">
        <v>218370</v>
      </c>
      <c r="CV141" s="52"/>
      <c r="CW141" s="52">
        <v>135971</v>
      </c>
      <c r="CX141" s="52">
        <v>131453</v>
      </c>
      <c r="CY141" s="52">
        <v>139918</v>
      </c>
      <c r="CZ141" s="52"/>
      <c r="DA141" s="52">
        <v>424380</v>
      </c>
      <c r="DB141" s="52">
        <v>209584</v>
      </c>
      <c r="DC141" s="52">
        <v>47109</v>
      </c>
      <c r="DD141" s="52">
        <v>30814</v>
      </c>
      <c r="DE141" s="52">
        <v>17900675</v>
      </c>
      <c r="DF141" s="52">
        <v>77923</v>
      </c>
      <c r="DG141" s="52">
        <v>17978598</v>
      </c>
      <c r="DH141" s="52"/>
    </row>
    <row r="142" spans="1:112">
      <c r="A142" s="150" t="s">
        <v>411</v>
      </c>
      <c r="B142" s="44">
        <v>3561</v>
      </c>
      <c r="C142" s="44" t="s">
        <v>200</v>
      </c>
      <c r="D142" s="52"/>
      <c r="E142" s="52"/>
      <c r="F142" s="52"/>
      <c r="G142" s="52"/>
      <c r="H142" s="56"/>
      <c r="I142" s="56"/>
      <c r="J142" s="56"/>
      <c r="K142" s="56"/>
      <c r="L142" s="52"/>
      <c r="M142" s="52"/>
      <c r="N142" s="52"/>
      <c r="O142" s="52"/>
      <c r="P142" s="52"/>
      <c r="Q142" s="52"/>
      <c r="R142" s="52"/>
      <c r="S142" s="52"/>
      <c r="T142" s="52"/>
      <c r="U142" s="52"/>
      <c r="V142" s="52"/>
      <c r="W142" s="52">
        <v>205596</v>
      </c>
      <c r="X142" s="52"/>
      <c r="Y142" s="52"/>
      <c r="Z142" s="52"/>
      <c r="AA142" s="52"/>
      <c r="AB142" s="52"/>
      <c r="AC142" s="52"/>
      <c r="AD142" s="52"/>
      <c r="AE142" s="52"/>
      <c r="AF142" s="52"/>
      <c r="AG142" s="52">
        <v>146877</v>
      </c>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v>274676</v>
      </c>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v>200915</v>
      </c>
      <c r="CO142" s="52"/>
      <c r="CP142" s="52"/>
      <c r="CQ142" s="52"/>
      <c r="CR142" s="52"/>
      <c r="CS142" s="52"/>
      <c r="CT142" s="52"/>
      <c r="CU142" s="52"/>
      <c r="CV142" s="52"/>
      <c r="CW142" s="52"/>
      <c r="CX142" s="52"/>
      <c r="CY142" s="52"/>
      <c r="CZ142" s="52"/>
      <c r="DA142" s="52"/>
      <c r="DB142" s="52"/>
      <c r="DC142" s="52"/>
      <c r="DD142" s="52"/>
      <c r="DE142" s="52">
        <v>828064</v>
      </c>
      <c r="DF142" s="52"/>
      <c r="DG142" s="52">
        <v>828064</v>
      </c>
      <c r="DH142" s="52"/>
    </row>
    <row r="143" spans="1:112">
      <c r="A143" s="150" t="s">
        <v>411</v>
      </c>
      <c r="B143" s="44">
        <v>3564</v>
      </c>
      <c r="C143" s="44" t="s">
        <v>202</v>
      </c>
      <c r="D143" s="52">
        <v>21513</v>
      </c>
      <c r="E143" s="52">
        <v>59847</v>
      </c>
      <c r="F143" s="52">
        <v>44440</v>
      </c>
      <c r="G143" s="52"/>
      <c r="H143" s="56"/>
      <c r="I143" s="56"/>
      <c r="J143" s="56"/>
      <c r="K143" s="56"/>
      <c r="L143" s="52">
        <v>52448</v>
      </c>
      <c r="M143" s="52"/>
      <c r="N143" s="52">
        <v>47690</v>
      </c>
      <c r="O143" s="52"/>
      <c r="P143" s="52"/>
      <c r="Q143" s="52"/>
      <c r="R143" s="52"/>
      <c r="S143" s="52"/>
      <c r="T143" s="52"/>
      <c r="U143" s="52">
        <v>96934</v>
      </c>
      <c r="V143" s="52"/>
      <c r="W143" s="52">
        <v>89256</v>
      </c>
      <c r="X143" s="52">
        <v>31260</v>
      </c>
      <c r="Y143" s="52">
        <v>204879</v>
      </c>
      <c r="Z143" s="52">
        <v>68935</v>
      </c>
      <c r="AA143" s="52">
        <v>49411</v>
      </c>
      <c r="AB143" s="52">
        <v>34222</v>
      </c>
      <c r="AC143" s="52"/>
      <c r="AD143" s="52"/>
      <c r="AE143" s="52"/>
      <c r="AF143" s="52">
        <v>44635</v>
      </c>
      <c r="AG143" s="52">
        <v>47525</v>
      </c>
      <c r="AH143" s="52">
        <v>53007</v>
      </c>
      <c r="AI143" s="52"/>
      <c r="AJ143" s="52"/>
      <c r="AK143" s="52">
        <v>12893</v>
      </c>
      <c r="AL143" s="52"/>
      <c r="AM143" s="52"/>
      <c r="AN143" s="52">
        <v>107189</v>
      </c>
      <c r="AO143" s="52"/>
      <c r="AP143" s="52"/>
      <c r="AQ143" s="52">
        <v>4872</v>
      </c>
      <c r="AR143" s="52">
        <v>441</v>
      </c>
      <c r="AS143" s="52">
        <v>79078</v>
      </c>
      <c r="AT143" s="52"/>
      <c r="AU143" s="52">
        <v>35876</v>
      </c>
      <c r="AV143" s="52"/>
      <c r="AW143" s="52"/>
      <c r="AX143" s="52">
        <v>41590</v>
      </c>
      <c r="AY143" s="52">
        <v>238673</v>
      </c>
      <c r="AZ143" s="52">
        <v>30954</v>
      </c>
      <c r="BA143" s="52"/>
      <c r="BB143" s="52"/>
      <c r="BC143" s="52"/>
      <c r="BD143" s="52">
        <v>3381</v>
      </c>
      <c r="BE143" s="52"/>
      <c r="BF143" s="52">
        <v>27240</v>
      </c>
      <c r="BG143" s="52"/>
      <c r="BH143" s="52"/>
      <c r="BI143" s="52">
        <v>10360</v>
      </c>
      <c r="BJ143" s="52">
        <v>2869</v>
      </c>
      <c r="BK143" s="52"/>
      <c r="BL143" s="52"/>
      <c r="BM143" s="52">
        <v>5747</v>
      </c>
      <c r="BN143" s="52">
        <v>24467</v>
      </c>
      <c r="BO143" s="52"/>
      <c r="BP143" s="52"/>
      <c r="BQ143" s="52">
        <v>1853</v>
      </c>
      <c r="BR143" s="52">
        <v>1931</v>
      </c>
      <c r="BS143" s="52"/>
      <c r="BT143" s="52"/>
      <c r="BU143" s="52"/>
      <c r="BV143" s="52"/>
      <c r="BW143" s="52"/>
      <c r="BX143" s="52"/>
      <c r="BY143" s="52">
        <v>6001</v>
      </c>
      <c r="BZ143" s="52">
        <v>13491</v>
      </c>
      <c r="CA143" s="52"/>
      <c r="CB143" s="52"/>
      <c r="CC143" s="52"/>
      <c r="CD143" s="52"/>
      <c r="CE143" s="52"/>
      <c r="CF143" s="52">
        <v>3201</v>
      </c>
      <c r="CG143" s="52">
        <v>10136</v>
      </c>
      <c r="CH143" s="52"/>
      <c r="CI143" s="52">
        <v>999</v>
      </c>
      <c r="CJ143" s="52"/>
      <c r="CK143" s="52"/>
      <c r="CL143" s="52"/>
      <c r="CM143" s="52"/>
      <c r="CN143" s="52"/>
      <c r="CO143" s="52"/>
      <c r="CP143" s="52">
        <v>63070</v>
      </c>
      <c r="CQ143" s="52"/>
      <c r="CR143" s="52"/>
      <c r="CS143" s="52"/>
      <c r="CT143" s="52"/>
      <c r="CU143" s="52"/>
      <c r="CV143" s="52"/>
      <c r="CW143" s="52">
        <v>13899</v>
      </c>
      <c r="CX143" s="52"/>
      <c r="CY143" s="52"/>
      <c r="CZ143" s="52"/>
      <c r="DA143" s="52">
        <v>10971</v>
      </c>
      <c r="DB143" s="52"/>
      <c r="DC143" s="52"/>
      <c r="DD143" s="52"/>
      <c r="DE143" s="52">
        <v>1697184</v>
      </c>
      <c r="DF143" s="52"/>
      <c r="DG143" s="52">
        <v>1697184</v>
      </c>
      <c r="DH143" s="52"/>
    </row>
    <row r="144" spans="1:112">
      <c r="A144" s="150" t="s">
        <v>411</v>
      </c>
      <c r="B144" s="44">
        <v>3568</v>
      </c>
      <c r="C144" s="44" t="s">
        <v>204</v>
      </c>
      <c r="D144" s="52">
        <v>75000</v>
      </c>
      <c r="E144" s="52">
        <v>405080</v>
      </c>
      <c r="F144" s="52">
        <v>2211232</v>
      </c>
      <c r="G144" s="52"/>
      <c r="H144" s="56"/>
      <c r="I144" s="56"/>
      <c r="J144" s="56">
        <v>130730</v>
      </c>
      <c r="K144" s="56"/>
      <c r="L144" s="52"/>
      <c r="M144" s="52"/>
      <c r="N144" s="52"/>
      <c r="O144" s="52">
        <v>192222</v>
      </c>
      <c r="P144" s="52">
        <v>257029</v>
      </c>
      <c r="Q144" s="52">
        <v>147884</v>
      </c>
      <c r="R144" s="52">
        <v>106249</v>
      </c>
      <c r="S144" s="52">
        <v>299204</v>
      </c>
      <c r="T144" s="52"/>
      <c r="U144" s="52">
        <v>632876</v>
      </c>
      <c r="V144" s="52"/>
      <c r="W144" s="52">
        <v>702788</v>
      </c>
      <c r="X144" s="52">
        <v>724891</v>
      </c>
      <c r="Y144" s="52">
        <v>2876079</v>
      </c>
      <c r="Z144" s="52">
        <v>1021640</v>
      </c>
      <c r="AA144" s="52">
        <v>586022</v>
      </c>
      <c r="AB144" s="52">
        <v>811500</v>
      </c>
      <c r="AC144" s="52">
        <v>428554</v>
      </c>
      <c r="AD144" s="52">
        <v>288386</v>
      </c>
      <c r="AE144" s="52">
        <v>75556</v>
      </c>
      <c r="AF144" s="52"/>
      <c r="AG144" s="52">
        <v>800169</v>
      </c>
      <c r="AH144" s="52">
        <v>684227</v>
      </c>
      <c r="AI144" s="52"/>
      <c r="AJ144" s="52">
        <v>190015</v>
      </c>
      <c r="AK144" s="52">
        <v>696510</v>
      </c>
      <c r="AL144" s="52">
        <v>121193</v>
      </c>
      <c r="AM144" s="52"/>
      <c r="AN144" s="52"/>
      <c r="AO144" s="52">
        <v>554486</v>
      </c>
      <c r="AP144" s="52"/>
      <c r="AQ144" s="52">
        <v>157694</v>
      </c>
      <c r="AR144" s="52">
        <v>1036082</v>
      </c>
      <c r="AS144" s="52">
        <v>623139</v>
      </c>
      <c r="AT144" s="52">
        <v>10000</v>
      </c>
      <c r="AU144" s="52">
        <v>843975</v>
      </c>
      <c r="AV144" s="52">
        <v>915002</v>
      </c>
      <c r="AW144" s="52"/>
      <c r="AX144" s="52">
        <v>338663</v>
      </c>
      <c r="AY144" s="52">
        <v>1349996</v>
      </c>
      <c r="AZ144" s="52">
        <v>279604</v>
      </c>
      <c r="BA144" s="52">
        <v>10000</v>
      </c>
      <c r="BB144" s="52"/>
      <c r="BC144" s="52"/>
      <c r="BD144" s="52">
        <v>188361</v>
      </c>
      <c r="BE144" s="52">
        <v>1067973</v>
      </c>
      <c r="BF144" s="52">
        <v>211007</v>
      </c>
      <c r="BG144" s="52">
        <v>715377</v>
      </c>
      <c r="BH144" s="52">
        <v>244255</v>
      </c>
      <c r="BI144" s="52">
        <v>564221</v>
      </c>
      <c r="BJ144" s="52">
        <v>91416</v>
      </c>
      <c r="BK144" s="52">
        <v>99199</v>
      </c>
      <c r="BL144" s="52">
        <v>633243</v>
      </c>
      <c r="BM144" s="52"/>
      <c r="BN144" s="52">
        <v>193281</v>
      </c>
      <c r="BO144" s="52">
        <v>113473</v>
      </c>
      <c r="BP144" s="52">
        <v>177602</v>
      </c>
      <c r="BQ144" s="52"/>
      <c r="BR144" s="52">
        <v>118310</v>
      </c>
      <c r="BS144" s="52"/>
      <c r="BT144" s="52">
        <v>326706</v>
      </c>
      <c r="BU144" s="52">
        <v>101517</v>
      </c>
      <c r="BV144" s="52">
        <v>858993</v>
      </c>
      <c r="BW144" s="52"/>
      <c r="BX144" s="52">
        <v>969453</v>
      </c>
      <c r="BY144" s="52">
        <v>585596</v>
      </c>
      <c r="BZ144" s="52">
        <v>684</v>
      </c>
      <c r="CA144" s="52"/>
      <c r="CB144" s="52">
        <v>444434</v>
      </c>
      <c r="CC144" s="52">
        <v>798799</v>
      </c>
      <c r="CD144" s="52">
        <v>930339</v>
      </c>
      <c r="CE144" s="52"/>
      <c r="CF144" s="52"/>
      <c r="CG144" s="52">
        <v>2212526</v>
      </c>
      <c r="CH144" s="52">
        <v>5409</v>
      </c>
      <c r="CI144" s="52">
        <v>216683</v>
      </c>
      <c r="CJ144" s="52"/>
      <c r="CK144" s="52"/>
      <c r="CL144" s="52"/>
      <c r="CM144" s="52"/>
      <c r="CN144" s="52"/>
      <c r="CO144" s="52">
        <v>169865</v>
      </c>
      <c r="CP144" s="52">
        <v>542732</v>
      </c>
      <c r="CQ144" s="52"/>
      <c r="CR144" s="52"/>
      <c r="CS144" s="52"/>
      <c r="CT144" s="52">
        <v>318874</v>
      </c>
      <c r="CU144" s="52">
        <v>577696</v>
      </c>
      <c r="CV144" s="52"/>
      <c r="CW144" s="52">
        <v>335136</v>
      </c>
      <c r="CX144" s="52">
        <v>481322</v>
      </c>
      <c r="CY144" s="52"/>
      <c r="CZ144" s="52"/>
      <c r="DA144" s="52">
        <v>249097</v>
      </c>
      <c r="DB144" s="52"/>
      <c r="DC144" s="52"/>
      <c r="DD144" s="52"/>
      <c r="DE144" s="52">
        <v>35127256</v>
      </c>
      <c r="DF144" s="52"/>
      <c r="DG144" s="52">
        <v>35127256</v>
      </c>
      <c r="DH144" s="52"/>
    </row>
    <row r="145" spans="1:112">
      <c r="A145" s="150" t="s">
        <v>411</v>
      </c>
      <c r="B145" s="44">
        <v>3569</v>
      </c>
      <c r="C145" s="44" t="s">
        <v>205</v>
      </c>
      <c r="D145" s="52"/>
      <c r="E145" s="52"/>
      <c r="F145" s="52"/>
      <c r="G145" s="52"/>
      <c r="H145" s="56"/>
      <c r="I145" s="56"/>
      <c r="J145" s="56"/>
      <c r="K145" s="56"/>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v>68710</v>
      </c>
      <c r="BL145" s="52"/>
      <c r="BM145" s="52"/>
      <c r="BN145" s="52"/>
      <c r="BO145" s="52"/>
      <c r="BP145" s="52"/>
      <c r="BQ145" s="52"/>
      <c r="BR145" s="52"/>
      <c r="BS145" s="52"/>
      <c r="BT145" s="52"/>
      <c r="BU145" s="52"/>
      <c r="BV145" s="52"/>
      <c r="BW145" s="52"/>
      <c r="BX145" s="52"/>
      <c r="BY145" s="52"/>
      <c r="BZ145" s="52"/>
      <c r="CA145" s="52"/>
      <c r="CB145" s="52">
        <v>352118</v>
      </c>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v>420828</v>
      </c>
      <c r="DF145" s="52"/>
      <c r="DG145" s="52">
        <v>420828</v>
      </c>
      <c r="DH145" s="52"/>
    </row>
    <row r="146" spans="1:112">
      <c r="A146" s="150" t="s">
        <v>411</v>
      </c>
      <c r="B146" s="44">
        <v>3570</v>
      </c>
      <c r="C146" s="44" t="s">
        <v>206</v>
      </c>
      <c r="D146" s="52">
        <v>24794</v>
      </c>
      <c r="E146" s="52">
        <v>69215</v>
      </c>
      <c r="F146" s="52">
        <v>76363</v>
      </c>
      <c r="G146" s="52"/>
      <c r="H146" s="56"/>
      <c r="I146" s="56"/>
      <c r="J146" s="56">
        <v>24794</v>
      </c>
      <c r="K146" s="56"/>
      <c r="L146" s="52"/>
      <c r="M146" s="52"/>
      <c r="N146" s="52"/>
      <c r="O146" s="52">
        <v>9586</v>
      </c>
      <c r="P146" s="52">
        <v>65407</v>
      </c>
      <c r="Q146" s="52">
        <v>42246</v>
      </c>
      <c r="R146" s="52">
        <v>529</v>
      </c>
      <c r="S146" s="52">
        <v>40175</v>
      </c>
      <c r="T146" s="52"/>
      <c r="U146" s="52">
        <v>125558</v>
      </c>
      <c r="V146" s="52"/>
      <c r="W146" s="52">
        <v>115129</v>
      </c>
      <c r="X146" s="52">
        <v>54559</v>
      </c>
      <c r="Y146" s="52">
        <v>694117</v>
      </c>
      <c r="Z146" s="52">
        <v>181006</v>
      </c>
      <c r="AA146" s="52">
        <v>102643</v>
      </c>
      <c r="AB146" s="52">
        <v>13481</v>
      </c>
      <c r="AC146" s="52">
        <v>52579</v>
      </c>
      <c r="AD146" s="52">
        <v>20821</v>
      </c>
      <c r="AE146" s="52">
        <v>11413</v>
      </c>
      <c r="AF146" s="52"/>
      <c r="AG146" s="52">
        <v>95605</v>
      </c>
      <c r="AH146" s="52">
        <v>167129</v>
      </c>
      <c r="AI146" s="52"/>
      <c r="AJ146" s="52">
        <v>52061</v>
      </c>
      <c r="AK146" s="52">
        <v>14508</v>
      </c>
      <c r="AL146" s="52"/>
      <c r="AM146" s="52"/>
      <c r="AN146" s="52"/>
      <c r="AO146" s="52">
        <v>54547</v>
      </c>
      <c r="AP146" s="52"/>
      <c r="AQ146" s="52">
        <v>24794</v>
      </c>
      <c r="AR146" s="52">
        <v>114508</v>
      </c>
      <c r="AS146" s="52">
        <v>78361</v>
      </c>
      <c r="AT146" s="52"/>
      <c r="AU146" s="52">
        <v>69709</v>
      </c>
      <c r="AV146" s="52">
        <v>89259</v>
      </c>
      <c r="AW146" s="52"/>
      <c r="AX146" s="52">
        <v>56151</v>
      </c>
      <c r="AY146" s="52">
        <v>335980</v>
      </c>
      <c r="AZ146" s="52">
        <v>28011</v>
      </c>
      <c r="BA146" s="52"/>
      <c r="BB146" s="52"/>
      <c r="BC146" s="52"/>
      <c r="BD146" s="52">
        <v>36930</v>
      </c>
      <c r="BE146" s="52"/>
      <c r="BF146" s="52">
        <v>8133</v>
      </c>
      <c r="BG146" s="52"/>
      <c r="BH146" s="52">
        <v>27431</v>
      </c>
      <c r="BI146" s="52">
        <v>85522</v>
      </c>
      <c r="BJ146" s="52">
        <v>13890</v>
      </c>
      <c r="BK146" s="52">
        <v>23351</v>
      </c>
      <c r="BL146" s="52">
        <v>165569</v>
      </c>
      <c r="BM146" s="52"/>
      <c r="BN146" s="52">
        <v>16393</v>
      </c>
      <c r="BO146" s="52">
        <v>21762</v>
      </c>
      <c r="BP146" s="52"/>
      <c r="BQ146" s="52"/>
      <c r="BR146" s="52">
        <v>49553</v>
      </c>
      <c r="BS146" s="52"/>
      <c r="BT146" s="52"/>
      <c r="BU146" s="52">
        <v>27729</v>
      </c>
      <c r="BV146" s="52"/>
      <c r="BW146" s="52"/>
      <c r="BX146" s="52">
        <v>177111</v>
      </c>
      <c r="BY146" s="52">
        <v>119568</v>
      </c>
      <c r="BZ146" s="52"/>
      <c r="CA146" s="52"/>
      <c r="CB146" s="52">
        <v>7845</v>
      </c>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v>3685825</v>
      </c>
      <c r="DF146" s="52"/>
      <c r="DG146" s="52">
        <v>3685825</v>
      </c>
      <c r="DH146" s="52"/>
    </row>
    <row r="147" spans="1:112">
      <c r="A147" s="150" t="s">
        <v>411</v>
      </c>
      <c r="B147" s="44">
        <v>3575</v>
      </c>
      <c r="C147" s="44" t="s">
        <v>207</v>
      </c>
      <c r="D147" s="52">
        <v>51529</v>
      </c>
      <c r="E147" s="52">
        <v>85719</v>
      </c>
      <c r="F147" s="52">
        <v>769</v>
      </c>
      <c r="G147" s="52"/>
      <c r="H147" s="56">
        <v>89135</v>
      </c>
      <c r="I147" s="56">
        <v>19783</v>
      </c>
      <c r="J147" s="56">
        <v>9241</v>
      </c>
      <c r="K147" s="56"/>
      <c r="L147" s="52">
        <v>83977</v>
      </c>
      <c r="M147" s="52"/>
      <c r="N147" s="52"/>
      <c r="O147" s="52">
        <v>6000</v>
      </c>
      <c r="P147" s="52">
        <v>1671</v>
      </c>
      <c r="Q147" s="52"/>
      <c r="R147" s="52"/>
      <c r="S147" s="52"/>
      <c r="T147" s="52"/>
      <c r="U147" s="52">
        <v>7453</v>
      </c>
      <c r="V147" s="52"/>
      <c r="W147" s="52">
        <v>39898</v>
      </c>
      <c r="X147" s="52"/>
      <c r="Y147" s="52">
        <v>35898</v>
      </c>
      <c r="Z147" s="52">
        <v>3781</v>
      </c>
      <c r="AA147" s="52">
        <v>13998</v>
      </c>
      <c r="AB147" s="52"/>
      <c r="AC147" s="52">
        <v>778</v>
      </c>
      <c r="AD147" s="52">
        <v>4000</v>
      </c>
      <c r="AE147" s="52"/>
      <c r="AF147" s="52"/>
      <c r="AG147" s="52"/>
      <c r="AH147" s="52">
        <v>8153</v>
      </c>
      <c r="AI147" s="52"/>
      <c r="AJ147" s="52"/>
      <c r="AK147" s="52">
        <v>8289</v>
      </c>
      <c r="AL147" s="52"/>
      <c r="AM147" s="52"/>
      <c r="AN147" s="52">
        <v>53500</v>
      </c>
      <c r="AO147" s="52"/>
      <c r="AP147" s="52"/>
      <c r="AQ147" s="52">
        <v>7754</v>
      </c>
      <c r="AR147" s="52"/>
      <c r="AS147" s="52">
        <v>4266</v>
      </c>
      <c r="AT147" s="52"/>
      <c r="AU147" s="52">
        <v>6917</v>
      </c>
      <c r="AV147" s="52"/>
      <c r="AW147" s="52">
        <v>8000</v>
      </c>
      <c r="AX147" s="52">
        <v>21978</v>
      </c>
      <c r="AY147" s="52">
        <v>26485</v>
      </c>
      <c r="AZ147" s="52">
        <v>5938</v>
      </c>
      <c r="BA147" s="52"/>
      <c r="BB147" s="52"/>
      <c r="BC147" s="52"/>
      <c r="BD147" s="52">
        <v>6000</v>
      </c>
      <c r="BE147" s="52"/>
      <c r="BF147" s="52">
        <v>19495</v>
      </c>
      <c r="BG147" s="52"/>
      <c r="BH147" s="52">
        <v>25382</v>
      </c>
      <c r="BI147" s="52">
        <v>14007</v>
      </c>
      <c r="BJ147" s="52">
        <v>7211</v>
      </c>
      <c r="BK147" s="52"/>
      <c r="BL147" s="52">
        <v>2000</v>
      </c>
      <c r="BM147" s="52">
        <v>30139</v>
      </c>
      <c r="BN147" s="52">
        <v>4703</v>
      </c>
      <c r="BO147" s="52"/>
      <c r="BP147" s="52">
        <v>6883</v>
      </c>
      <c r="BQ147" s="52">
        <v>46871</v>
      </c>
      <c r="BR147" s="52">
        <v>10000</v>
      </c>
      <c r="BS147" s="52"/>
      <c r="BT147" s="52"/>
      <c r="BU147" s="52">
        <v>2000</v>
      </c>
      <c r="BV147" s="52">
        <v>6000</v>
      </c>
      <c r="BW147" s="52"/>
      <c r="BX147" s="52"/>
      <c r="BY147" s="52">
        <v>28528</v>
      </c>
      <c r="BZ147" s="52">
        <v>41229</v>
      </c>
      <c r="CA147" s="52"/>
      <c r="CB147" s="52">
        <v>9082</v>
      </c>
      <c r="CC147" s="52">
        <v>928</v>
      </c>
      <c r="CD147" s="52">
        <v>71393</v>
      </c>
      <c r="CE147" s="52"/>
      <c r="CF147" s="52">
        <v>71768</v>
      </c>
      <c r="CG147" s="52">
        <v>17594</v>
      </c>
      <c r="CH147" s="52">
        <v>55124</v>
      </c>
      <c r="CI147" s="52">
        <v>8000</v>
      </c>
      <c r="CJ147" s="52">
        <v>12000</v>
      </c>
      <c r="CK147" s="52">
        <v>8000</v>
      </c>
      <c r="CL147" s="52"/>
      <c r="CM147" s="52">
        <v>6354</v>
      </c>
      <c r="CN147" s="52">
        <v>1672</v>
      </c>
      <c r="CO147" s="52">
        <v>53711</v>
      </c>
      <c r="CP147" s="52">
        <v>1980</v>
      </c>
      <c r="CQ147" s="52"/>
      <c r="CR147" s="52"/>
      <c r="CS147" s="52"/>
      <c r="CT147" s="52">
        <v>31274</v>
      </c>
      <c r="CU147" s="52">
        <v>870</v>
      </c>
      <c r="CV147" s="52"/>
      <c r="CW147" s="52">
        <v>6000</v>
      </c>
      <c r="CX147" s="52"/>
      <c r="CY147" s="52">
        <v>11963</v>
      </c>
      <c r="CZ147" s="52"/>
      <c r="DA147" s="52">
        <v>20000</v>
      </c>
      <c r="DB147" s="52">
        <v>16500</v>
      </c>
      <c r="DC147" s="52">
        <v>13914</v>
      </c>
      <c r="DD147" s="52"/>
      <c r="DE147" s="52">
        <v>1259571</v>
      </c>
      <c r="DF147" s="52">
        <v>13914</v>
      </c>
      <c r="DG147" s="52">
        <v>1273485</v>
      </c>
      <c r="DH147" s="52"/>
    </row>
    <row r="148" spans="1:112">
      <c r="A148" s="150" t="s">
        <v>411</v>
      </c>
      <c r="B148" s="44">
        <v>3577</v>
      </c>
      <c r="C148" s="44" t="s">
        <v>208</v>
      </c>
      <c r="D148" s="52">
        <v>71500</v>
      </c>
      <c r="E148" s="52">
        <v>427500</v>
      </c>
      <c r="F148" s="52">
        <v>33250</v>
      </c>
      <c r="G148" s="52">
        <v>4250</v>
      </c>
      <c r="H148" s="56">
        <v>138250</v>
      </c>
      <c r="I148" s="56">
        <v>60000</v>
      </c>
      <c r="J148" s="56">
        <v>47250</v>
      </c>
      <c r="K148" s="56">
        <v>53500</v>
      </c>
      <c r="L148" s="52">
        <v>235500</v>
      </c>
      <c r="M148" s="52">
        <v>3000</v>
      </c>
      <c r="N148" s="52">
        <v>6500</v>
      </c>
      <c r="O148" s="52">
        <v>31250</v>
      </c>
      <c r="P148" s="52">
        <v>18250</v>
      </c>
      <c r="Q148" s="52">
        <v>15250</v>
      </c>
      <c r="R148" s="52">
        <v>18750</v>
      </c>
      <c r="S148" s="52">
        <v>47000</v>
      </c>
      <c r="T148" s="52">
        <v>3500</v>
      </c>
      <c r="U148" s="52">
        <v>370750</v>
      </c>
      <c r="V148" s="52">
        <v>8250</v>
      </c>
      <c r="W148" s="52">
        <v>463000</v>
      </c>
      <c r="X148" s="52">
        <v>35500</v>
      </c>
      <c r="Y148" s="52">
        <v>853250</v>
      </c>
      <c r="Z148" s="52">
        <v>174500</v>
      </c>
      <c r="AA148" s="52">
        <v>114500</v>
      </c>
      <c r="AB148" s="52">
        <v>139500</v>
      </c>
      <c r="AC148" s="52">
        <v>18750</v>
      </c>
      <c r="AD148" s="52">
        <v>53000</v>
      </c>
      <c r="AE148" s="52">
        <v>20500</v>
      </c>
      <c r="AF148" s="52">
        <v>2750</v>
      </c>
      <c r="AG148" s="52">
        <v>110250</v>
      </c>
      <c r="AH148" s="52">
        <v>211750</v>
      </c>
      <c r="AI148" s="52"/>
      <c r="AJ148" s="52">
        <v>15500</v>
      </c>
      <c r="AK148" s="52">
        <v>56250</v>
      </c>
      <c r="AL148" s="52">
        <v>25750</v>
      </c>
      <c r="AM148" s="52">
        <v>3000</v>
      </c>
      <c r="AN148" s="52">
        <v>336250</v>
      </c>
      <c r="AO148" s="52">
        <v>43750</v>
      </c>
      <c r="AP148" s="52">
        <v>5250</v>
      </c>
      <c r="AQ148" s="52">
        <v>74000</v>
      </c>
      <c r="AR148" s="52">
        <v>74750</v>
      </c>
      <c r="AS148" s="52">
        <v>277250</v>
      </c>
      <c r="AT148" s="52">
        <v>22250</v>
      </c>
      <c r="AU148" s="52">
        <v>63500</v>
      </c>
      <c r="AV148" s="52">
        <v>17750</v>
      </c>
      <c r="AW148" s="52">
        <v>27000</v>
      </c>
      <c r="AX148" s="52">
        <v>193500</v>
      </c>
      <c r="AY148" s="52">
        <v>1169343</v>
      </c>
      <c r="AZ148" s="52">
        <v>171250</v>
      </c>
      <c r="BA148" s="52">
        <v>23750</v>
      </c>
      <c r="BB148" s="52">
        <v>29250</v>
      </c>
      <c r="BC148" s="52">
        <v>5250</v>
      </c>
      <c r="BD148" s="52">
        <v>50750</v>
      </c>
      <c r="BE148" s="52">
        <v>24250</v>
      </c>
      <c r="BF148" s="52">
        <v>611750</v>
      </c>
      <c r="BG148" s="52">
        <v>41750</v>
      </c>
      <c r="BH148" s="52">
        <v>180750</v>
      </c>
      <c r="BI148" s="52">
        <v>205400</v>
      </c>
      <c r="BJ148" s="52">
        <v>96250</v>
      </c>
      <c r="BK148" s="52">
        <v>52750</v>
      </c>
      <c r="BL148" s="52">
        <v>46250</v>
      </c>
      <c r="BM148" s="52">
        <v>334750</v>
      </c>
      <c r="BN148" s="52">
        <v>172250</v>
      </c>
      <c r="BO148" s="52">
        <v>41750</v>
      </c>
      <c r="BP148" s="52">
        <v>57500</v>
      </c>
      <c r="BQ148" s="52">
        <v>321750</v>
      </c>
      <c r="BR148" s="52">
        <v>19250</v>
      </c>
      <c r="BS148" s="52"/>
      <c r="BT148" s="52">
        <v>52250</v>
      </c>
      <c r="BU148" s="52">
        <v>33250</v>
      </c>
      <c r="BV148" s="52">
        <v>16000</v>
      </c>
      <c r="BW148" s="52">
        <v>2750</v>
      </c>
      <c r="BX148" s="52">
        <v>77500</v>
      </c>
      <c r="BY148" s="52">
        <v>121250</v>
      </c>
      <c r="BZ148" s="52">
        <v>214500</v>
      </c>
      <c r="CA148" s="52"/>
      <c r="CB148" s="52">
        <v>62000</v>
      </c>
      <c r="CC148" s="52">
        <v>76250</v>
      </c>
      <c r="CD148" s="52">
        <v>142000</v>
      </c>
      <c r="CE148" s="52">
        <v>2000</v>
      </c>
      <c r="CF148" s="52">
        <v>280500</v>
      </c>
      <c r="CG148" s="52">
        <v>518750</v>
      </c>
      <c r="CH148" s="52">
        <v>414500</v>
      </c>
      <c r="CI148" s="52">
        <v>37250</v>
      </c>
      <c r="CJ148" s="52">
        <v>93500</v>
      </c>
      <c r="CK148" s="52">
        <v>140334</v>
      </c>
      <c r="CL148" s="52">
        <v>54750</v>
      </c>
      <c r="CM148" s="52">
        <v>47500</v>
      </c>
      <c r="CN148" s="52">
        <v>127750</v>
      </c>
      <c r="CO148" s="52">
        <v>183500</v>
      </c>
      <c r="CP148" s="52">
        <v>176250</v>
      </c>
      <c r="CQ148" s="52">
        <v>5250</v>
      </c>
      <c r="CR148" s="52">
        <v>6250</v>
      </c>
      <c r="CS148" s="52">
        <v>5000</v>
      </c>
      <c r="CT148" s="52">
        <v>147500</v>
      </c>
      <c r="CU148" s="52">
        <v>153750</v>
      </c>
      <c r="CV148" s="52"/>
      <c r="CW148" s="52">
        <v>91250</v>
      </c>
      <c r="CX148" s="52">
        <v>96500</v>
      </c>
      <c r="CY148" s="52">
        <v>93000</v>
      </c>
      <c r="CZ148" s="52">
        <v>107250</v>
      </c>
      <c r="DA148" s="52">
        <v>298500</v>
      </c>
      <c r="DB148" s="52">
        <v>145500</v>
      </c>
      <c r="DC148" s="52">
        <v>23750</v>
      </c>
      <c r="DD148" s="52">
        <v>19000</v>
      </c>
      <c r="DE148" s="52">
        <v>12706577</v>
      </c>
      <c r="DF148" s="52">
        <v>42750</v>
      </c>
      <c r="DG148" s="52">
        <v>12749327</v>
      </c>
      <c r="DH148" s="52"/>
    </row>
    <row r="149" spans="1:112">
      <c r="A149" s="150" t="s">
        <v>411</v>
      </c>
      <c r="B149" s="44">
        <v>3578</v>
      </c>
      <c r="C149" s="44" t="s">
        <v>209</v>
      </c>
      <c r="D149" s="52"/>
      <c r="E149" s="52"/>
      <c r="F149" s="52">
        <v>5818</v>
      </c>
      <c r="G149" s="52"/>
      <c r="H149" s="56">
        <v>11995</v>
      </c>
      <c r="I149" s="56"/>
      <c r="J149" s="56"/>
      <c r="K149" s="56"/>
      <c r="L149" s="52">
        <v>11257</v>
      </c>
      <c r="M149" s="52"/>
      <c r="N149" s="52"/>
      <c r="O149" s="52">
        <v>4432</v>
      </c>
      <c r="P149" s="52">
        <v>6468</v>
      </c>
      <c r="Q149" s="52"/>
      <c r="R149" s="52"/>
      <c r="S149" s="52">
        <v>3500</v>
      </c>
      <c r="T149" s="52"/>
      <c r="U149" s="52">
        <v>19240</v>
      </c>
      <c r="V149" s="52"/>
      <c r="W149" s="52">
        <v>64881</v>
      </c>
      <c r="X149" s="52">
        <v>2110</v>
      </c>
      <c r="Y149" s="52">
        <v>49128</v>
      </c>
      <c r="Z149" s="52">
        <v>13357</v>
      </c>
      <c r="AA149" s="52">
        <v>6572</v>
      </c>
      <c r="AB149" s="52">
        <v>16288</v>
      </c>
      <c r="AC149" s="52">
        <v>12000</v>
      </c>
      <c r="AD149" s="52"/>
      <c r="AE149" s="52"/>
      <c r="AF149" s="52"/>
      <c r="AG149" s="52"/>
      <c r="AH149" s="52">
        <v>14837</v>
      </c>
      <c r="AI149" s="52"/>
      <c r="AJ149" s="52"/>
      <c r="AK149" s="52"/>
      <c r="AL149" s="52"/>
      <c r="AM149" s="52"/>
      <c r="AN149" s="52">
        <v>7565</v>
      </c>
      <c r="AO149" s="52">
        <v>8681</v>
      </c>
      <c r="AP149" s="52"/>
      <c r="AQ149" s="52"/>
      <c r="AR149" s="52">
        <v>5000</v>
      </c>
      <c r="AS149" s="52">
        <v>28343</v>
      </c>
      <c r="AT149" s="52"/>
      <c r="AU149" s="52">
        <v>2695</v>
      </c>
      <c r="AV149" s="52">
        <v>5276</v>
      </c>
      <c r="AW149" s="52"/>
      <c r="AX149" s="52">
        <v>7900</v>
      </c>
      <c r="AY149" s="52">
        <v>51415</v>
      </c>
      <c r="AZ149" s="52">
        <v>12986</v>
      </c>
      <c r="BA149" s="52"/>
      <c r="BB149" s="52">
        <v>9532</v>
      </c>
      <c r="BC149" s="52"/>
      <c r="BD149" s="52"/>
      <c r="BE149" s="52">
        <v>2945</v>
      </c>
      <c r="BF149" s="52">
        <v>11274</v>
      </c>
      <c r="BG149" s="52">
        <v>3500</v>
      </c>
      <c r="BH149" s="52"/>
      <c r="BI149" s="52">
        <v>17291</v>
      </c>
      <c r="BJ149" s="52">
        <v>7863</v>
      </c>
      <c r="BK149" s="52">
        <v>5000</v>
      </c>
      <c r="BL149" s="52">
        <v>3139</v>
      </c>
      <c r="BM149" s="52">
        <v>25639</v>
      </c>
      <c r="BN149" s="52"/>
      <c r="BO149" s="52">
        <v>7175</v>
      </c>
      <c r="BP149" s="52">
        <v>3652</v>
      </c>
      <c r="BQ149" s="52">
        <v>31867</v>
      </c>
      <c r="BR149" s="52">
        <v>18408</v>
      </c>
      <c r="BS149" s="52"/>
      <c r="BT149" s="52"/>
      <c r="BU149" s="52"/>
      <c r="BV149" s="52"/>
      <c r="BW149" s="52"/>
      <c r="BX149" s="52"/>
      <c r="BY149" s="52">
        <v>25821</v>
      </c>
      <c r="BZ149" s="52">
        <v>35436</v>
      </c>
      <c r="CA149" s="52"/>
      <c r="CB149" s="52">
        <v>3566</v>
      </c>
      <c r="CC149" s="52"/>
      <c r="CD149" s="52">
        <v>1310</v>
      </c>
      <c r="CE149" s="52"/>
      <c r="CF149" s="52">
        <v>4823</v>
      </c>
      <c r="CG149" s="52">
        <v>62586</v>
      </c>
      <c r="CH149" s="52">
        <v>16635</v>
      </c>
      <c r="CI149" s="52"/>
      <c r="CJ149" s="52"/>
      <c r="CK149" s="52"/>
      <c r="CL149" s="52">
        <v>7900</v>
      </c>
      <c r="CM149" s="52"/>
      <c r="CN149" s="52">
        <v>4976</v>
      </c>
      <c r="CO149" s="52">
        <v>2431</v>
      </c>
      <c r="CP149" s="52"/>
      <c r="CQ149" s="52"/>
      <c r="CR149" s="52"/>
      <c r="CS149" s="52"/>
      <c r="CT149" s="52"/>
      <c r="CU149" s="52">
        <v>5531</v>
      </c>
      <c r="CV149" s="52"/>
      <c r="CW149" s="52">
        <v>10313</v>
      </c>
      <c r="CX149" s="52">
        <v>25445</v>
      </c>
      <c r="CY149" s="52">
        <v>8266</v>
      </c>
      <c r="CZ149" s="52">
        <v>3354</v>
      </c>
      <c r="DA149" s="52">
        <v>30257</v>
      </c>
      <c r="DB149" s="52">
        <v>15073</v>
      </c>
      <c r="DC149" s="52"/>
      <c r="DD149" s="52"/>
      <c r="DE149" s="52">
        <v>782752</v>
      </c>
      <c r="DF149" s="52"/>
      <c r="DG149" s="52">
        <v>782752</v>
      </c>
      <c r="DH149" s="52"/>
    </row>
    <row r="150" spans="1:112">
      <c r="A150" s="150" t="s">
        <v>411</v>
      </c>
      <c r="B150" s="44">
        <v>3582</v>
      </c>
      <c r="C150" s="44" t="s">
        <v>210</v>
      </c>
      <c r="D150" s="52">
        <v>16573</v>
      </c>
      <c r="E150" s="52">
        <v>111309</v>
      </c>
      <c r="F150" s="52">
        <v>7601</v>
      </c>
      <c r="G150" s="52"/>
      <c r="H150" s="56">
        <v>37566</v>
      </c>
      <c r="I150" s="56">
        <v>17111</v>
      </c>
      <c r="J150" s="56">
        <v>12138</v>
      </c>
      <c r="K150" s="56">
        <v>12534</v>
      </c>
      <c r="L150" s="52">
        <v>53576</v>
      </c>
      <c r="M150" s="52"/>
      <c r="N150" s="52"/>
      <c r="O150" s="52">
        <v>7397</v>
      </c>
      <c r="P150" s="52">
        <v>4522</v>
      </c>
      <c r="Q150" s="52">
        <v>4239</v>
      </c>
      <c r="R150" s="52">
        <v>4248</v>
      </c>
      <c r="S150" s="52">
        <v>12175</v>
      </c>
      <c r="T150" s="52"/>
      <c r="U150" s="52">
        <v>82365</v>
      </c>
      <c r="V150" s="52"/>
      <c r="W150" s="52">
        <v>122409</v>
      </c>
      <c r="X150" s="52">
        <v>8197</v>
      </c>
      <c r="Y150" s="52">
        <v>192443</v>
      </c>
      <c r="Z150" s="52">
        <v>41191</v>
      </c>
      <c r="AA150" s="52">
        <v>27340</v>
      </c>
      <c r="AB150" s="52">
        <v>35975</v>
      </c>
      <c r="AC150" s="52">
        <v>5120</v>
      </c>
      <c r="AD150" s="52">
        <v>15155</v>
      </c>
      <c r="AE150" s="52">
        <v>5721</v>
      </c>
      <c r="AF150" s="52"/>
      <c r="AG150" s="52">
        <v>28905</v>
      </c>
      <c r="AH150" s="52">
        <v>52636</v>
      </c>
      <c r="AI150" s="52"/>
      <c r="AJ150" s="52">
        <v>3981</v>
      </c>
      <c r="AK150" s="52">
        <v>16366</v>
      </c>
      <c r="AL150" s="52">
        <v>7057</v>
      </c>
      <c r="AM150" s="52"/>
      <c r="AN150" s="52">
        <v>83521</v>
      </c>
      <c r="AO150" s="52">
        <v>10470</v>
      </c>
      <c r="AP150" s="52"/>
      <c r="AQ150" s="52">
        <v>18258</v>
      </c>
      <c r="AR150" s="52">
        <v>15893</v>
      </c>
      <c r="AS150" s="52">
        <v>66161</v>
      </c>
      <c r="AT150" s="52">
        <v>5344</v>
      </c>
      <c r="AU150" s="52">
        <v>17456</v>
      </c>
      <c r="AV150" s="52">
        <v>4821</v>
      </c>
      <c r="AW150" s="52">
        <v>6749</v>
      </c>
      <c r="AX150" s="52">
        <v>45797</v>
      </c>
      <c r="AY150" s="52">
        <v>291692</v>
      </c>
      <c r="AZ150" s="52">
        <v>41589</v>
      </c>
      <c r="BA150" s="52">
        <v>5379</v>
      </c>
      <c r="BB150" s="52">
        <v>7583</v>
      </c>
      <c r="BC150" s="52"/>
      <c r="BD150" s="52">
        <v>12382</v>
      </c>
      <c r="BE150" s="52">
        <v>6404</v>
      </c>
      <c r="BF150" s="52">
        <v>147152</v>
      </c>
      <c r="BG150" s="52">
        <v>13913</v>
      </c>
      <c r="BH150" s="52">
        <v>46121</v>
      </c>
      <c r="BI150" s="52">
        <v>50468</v>
      </c>
      <c r="BJ150" s="52">
        <v>26364</v>
      </c>
      <c r="BK150" s="52">
        <v>15074</v>
      </c>
      <c r="BL150" s="52">
        <v>12680</v>
      </c>
      <c r="BM150" s="52">
        <v>86723</v>
      </c>
      <c r="BN150" s="52">
        <v>40090</v>
      </c>
      <c r="BO150" s="52">
        <v>9909</v>
      </c>
      <c r="BP150" s="52">
        <v>15452</v>
      </c>
      <c r="BQ150" s="52">
        <v>73794</v>
      </c>
      <c r="BR150" s="52">
        <v>4386</v>
      </c>
      <c r="BS150" s="52"/>
      <c r="BT150" s="52">
        <v>14334</v>
      </c>
      <c r="BU150" s="52">
        <v>9191</v>
      </c>
      <c r="BV150" s="52">
        <v>4066</v>
      </c>
      <c r="BW150" s="52"/>
      <c r="BX150" s="52">
        <v>22240</v>
      </c>
      <c r="BY150" s="52">
        <v>26349</v>
      </c>
      <c r="BZ150" s="52">
        <v>48224</v>
      </c>
      <c r="CA150" s="52"/>
      <c r="CB150" s="52">
        <v>15356</v>
      </c>
      <c r="CC150" s="52">
        <v>19166</v>
      </c>
      <c r="CD150" s="52">
        <v>31698</v>
      </c>
      <c r="CE150" s="52"/>
      <c r="CF150" s="52">
        <v>74047</v>
      </c>
      <c r="CG150" s="52">
        <v>114108</v>
      </c>
      <c r="CH150" s="52">
        <v>92017</v>
      </c>
      <c r="CI150" s="52">
        <v>9667</v>
      </c>
      <c r="CJ150" s="52">
        <v>20935</v>
      </c>
      <c r="CK150" s="52">
        <v>40202</v>
      </c>
      <c r="CL150" s="52">
        <v>13935</v>
      </c>
      <c r="CM150" s="52">
        <v>13267</v>
      </c>
      <c r="CN150" s="52">
        <v>29194</v>
      </c>
      <c r="CO150" s="52">
        <v>43652</v>
      </c>
      <c r="CP150" s="52">
        <v>37023</v>
      </c>
      <c r="CQ150" s="52"/>
      <c r="CR150" s="52"/>
      <c r="CS150" s="52"/>
      <c r="CT150" s="52">
        <v>41352</v>
      </c>
      <c r="CU150" s="52">
        <v>40023</v>
      </c>
      <c r="CV150" s="52"/>
      <c r="CW150" s="52">
        <v>22035</v>
      </c>
      <c r="CX150" s="52">
        <v>26163</v>
      </c>
      <c r="CY150" s="52">
        <v>22722</v>
      </c>
      <c r="CZ150" s="52">
        <v>23729</v>
      </c>
      <c r="DA150" s="52">
        <v>74027</v>
      </c>
      <c r="DB150" s="52">
        <v>30978</v>
      </c>
      <c r="DC150" s="52">
        <v>7820</v>
      </c>
      <c r="DD150" s="52">
        <v>3773</v>
      </c>
      <c r="DE150" s="52">
        <v>3087175</v>
      </c>
      <c r="DF150" s="52">
        <v>11593</v>
      </c>
      <c r="DG150" s="52">
        <v>3098768</v>
      </c>
      <c r="DH150" s="52"/>
    </row>
    <row r="151" spans="1:112">
      <c r="A151" s="150" t="s">
        <v>411</v>
      </c>
      <c r="B151" s="44">
        <v>3583</v>
      </c>
      <c r="C151" s="44" t="s">
        <v>211</v>
      </c>
      <c r="D151" s="52">
        <v>190461</v>
      </c>
      <c r="E151" s="52">
        <v>980508</v>
      </c>
      <c r="F151" s="52">
        <v>131458</v>
      </c>
      <c r="G151" s="52"/>
      <c r="H151" s="56">
        <v>227037</v>
      </c>
      <c r="I151" s="56">
        <v>84356</v>
      </c>
      <c r="J151" s="56">
        <v>100726</v>
      </c>
      <c r="K151" s="56">
        <v>114304</v>
      </c>
      <c r="L151" s="52">
        <v>303381</v>
      </c>
      <c r="M151" s="52"/>
      <c r="N151" s="52"/>
      <c r="O151" s="52">
        <v>54986</v>
      </c>
      <c r="P151" s="52">
        <v>143997</v>
      </c>
      <c r="Q151" s="52">
        <v>41299</v>
      </c>
      <c r="R151" s="52">
        <v>56016</v>
      </c>
      <c r="S151" s="52">
        <v>335016</v>
      </c>
      <c r="T151" s="52"/>
      <c r="U151" s="52">
        <v>888863</v>
      </c>
      <c r="V151" s="52"/>
      <c r="W151" s="52">
        <v>1369515</v>
      </c>
      <c r="X151" s="52">
        <v>112403</v>
      </c>
      <c r="Y151" s="52">
        <v>2413818</v>
      </c>
      <c r="Z151" s="52">
        <v>869577</v>
      </c>
      <c r="AA151" s="52">
        <v>364783</v>
      </c>
      <c r="AB151" s="52">
        <v>383437</v>
      </c>
      <c r="AC151" s="52">
        <v>57199</v>
      </c>
      <c r="AD151" s="52">
        <v>102385</v>
      </c>
      <c r="AE151" s="52">
        <v>13208</v>
      </c>
      <c r="AF151" s="52"/>
      <c r="AG151" s="52">
        <v>923644</v>
      </c>
      <c r="AH151" s="52"/>
      <c r="AI151" s="52"/>
      <c r="AJ151" s="52">
        <v>62732</v>
      </c>
      <c r="AK151" s="52">
        <v>227542</v>
      </c>
      <c r="AL151" s="52">
        <v>89066</v>
      </c>
      <c r="AM151" s="52"/>
      <c r="AN151" s="52">
        <v>398211</v>
      </c>
      <c r="AO151" s="52">
        <v>115318</v>
      </c>
      <c r="AP151" s="52"/>
      <c r="AQ151" s="52">
        <v>201308</v>
      </c>
      <c r="AR151" s="52">
        <v>303799</v>
      </c>
      <c r="AS151" s="52">
        <v>670334</v>
      </c>
      <c r="AT151" s="52">
        <v>52241</v>
      </c>
      <c r="AU151" s="52">
        <v>330955</v>
      </c>
      <c r="AV151" s="52">
        <v>29161</v>
      </c>
      <c r="AW151" s="52">
        <v>49457</v>
      </c>
      <c r="AX151" s="52">
        <v>396997</v>
      </c>
      <c r="AY151" s="52">
        <v>2864310</v>
      </c>
      <c r="AZ151" s="52">
        <v>312088</v>
      </c>
      <c r="BA151" s="52">
        <v>30765</v>
      </c>
      <c r="BB151" s="52">
        <v>53731</v>
      </c>
      <c r="BC151" s="52"/>
      <c r="BD151" s="52">
        <v>116123</v>
      </c>
      <c r="BE151" s="52">
        <v>114098</v>
      </c>
      <c r="BF151" s="52">
        <v>1045741</v>
      </c>
      <c r="BG151" s="52">
        <v>254324</v>
      </c>
      <c r="BH151" s="52">
        <v>590521</v>
      </c>
      <c r="BI151" s="52">
        <v>619947</v>
      </c>
      <c r="BJ151" s="52">
        <v>15409</v>
      </c>
      <c r="BK151" s="52">
        <v>280751</v>
      </c>
      <c r="BL151" s="52">
        <v>228768</v>
      </c>
      <c r="BM151" s="52">
        <v>647890</v>
      </c>
      <c r="BN151" s="52">
        <v>357629</v>
      </c>
      <c r="BO151" s="52">
        <v>89152</v>
      </c>
      <c r="BP151" s="52">
        <v>198159</v>
      </c>
      <c r="BQ151" s="52">
        <v>405721</v>
      </c>
      <c r="BR151" s="52">
        <v>44885</v>
      </c>
      <c r="BS151" s="52"/>
      <c r="BT151" s="52">
        <v>256466</v>
      </c>
      <c r="BU151" s="52">
        <v>152815</v>
      </c>
      <c r="BV151" s="52">
        <v>76648</v>
      </c>
      <c r="BW151" s="52"/>
      <c r="BX151" s="52">
        <v>237221</v>
      </c>
      <c r="BY151" s="52">
        <v>270319</v>
      </c>
      <c r="BZ151" s="52">
        <v>341830</v>
      </c>
      <c r="CA151" s="52"/>
      <c r="CB151" s="52">
        <v>287034</v>
      </c>
      <c r="CC151" s="52">
        <v>214218</v>
      </c>
      <c r="CD151" s="52">
        <v>330301</v>
      </c>
      <c r="CE151" s="52"/>
      <c r="CF151" s="52">
        <v>551281</v>
      </c>
      <c r="CG151" s="52">
        <v>1323471</v>
      </c>
      <c r="CH151" s="52">
        <v>997576</v>
      </c>
      <c r="CI151" s="52">
        <v>118612</v>
      </c>
      <c r="CJ151" s="52">
        <v>134883</v>
      </c>
      <c r="CK151" s="52">
        <v>252582</v>
      </c>
      <c r="CL151" s="52">
        <v>122187</v>
      </c>
      <c r="CM151" s="52">
        <v>153627</v>
      </c>
      <c r="CN151" s="52">
        <v>296388</v>
      </c>
      <c r="CO151" s="52">
        <v>488046</v>
      </c>
      <c r="CP151" s="52">
        <v>425011</v>
      </c>
      <c r="CQ151" s="52"/>
      <c r="CR151" s="52"/>
      <c r="CS151" s="52"/>
      <c r="CT151" s="52">
        <v>664439</v>
      </c>
      <c r="CU151" s="52">
        <v>120779</v>
      </c>
      <c r="CV151" s="52"/>
      <c r="CW151" s="52">
        <v>147988</v>
      </c>
      <c r="CX151" s="52">
        <v>115881</v>
      </c>
      <c r="CY151" s="52">
        <v>158839</v>
      </c>
      <c r="CZ151" s="52"/>
      <c r="DA151" s="52">
        <v>666134</v>
      </c>
      <c r="DB151" s="52">
        <v>137024</v>
      </c>
      <c r="DC151" s="52"/>
      <c r="DD151" s="52"/>
      <c r="DE151" s="52">
        <v>30501110</v>
      </c>
      <c r="DF151" s="52"/>
      <c r="DG151" s="52">
        <v>30501110</v>
      </c>
      <c r="DH151" s="52"/>
    </row>
    <row r="152" spans="1:112">
      <c r="A152" s="150" t="s">
        <v>411</v>
      </c>
      <c r="B152" s="44">
        <v>3588</v>
      </c>
      <c r="C152" s="44" t="s">
        <v>212</v>
      </c>
      <c r="D152" s="52">
        <v>28820</v>
      </c>
      <c r="E152" s="52">
        <v>89056</v>
      </c>
      <c r="F152" s="52">
        <v>6942</v>
      </c>
      <c r="G152" s="52"/>
      <c r="H152" s="56">
        <v>69817</v>
      </c>
      <c r="I152" s="56">
        <v>2959</v>
      </c>
      <c r="J152" s="56">
        <v>6082</v>
      </c>
      <c r="K152" s="56">
        <v>25327</v>
      </c>
      <c r="L152" s="52">
        <v>54175</v>
      </c>
      <c r="M152" s="52"/>
      <c r="N152" s="52">
        <v>20064</v>
      </c>
      <c r="O152" s="52">
        <v>3377</v>
      </c>
      <c r="P152" s="52"/>
      <c r="Q152" s="52">
        <v>1166</v>
      </c>
      <c r="R152" s="52">
        <v>5929</v>
      </c>
      <c r="S152" s="52">
        <v>12382</v>
      </c>
      <c r="T152" s="52">
        <v>8176</v>
      </c>
      <c r="U152" s="52">
        <v>23217</v>
      </c>
      <c r="V152" s="52">
        <v>6939</v>
      </c>
      <c r="W152" s="52">
        <v>30487</v>
      </c>
      <c r="X152" s="52">
        <v>7954</v>
      </c>
      <c r="Y152" s="52">
        <v>231307</v>
      </c>
      <c r="Z152" s="52">
        <v>14392</v>
      </c>
      <c r="AA152" s="52">
        <v>858</v>
      </c>
      <c r="AB152" s="52">
        <v>44496</v>
      </c>
      <c r="AC152" s="52">
        <v>1846</v>
      </c>
      <c r="AD152" s="52">
        <v>15029</v>
      </c>
      <c r="AE152" s="52"/>
      <c r="AF152" s="52"/>
      <c r="AG152" s="52">
        <v>18309</v>
      </c>
      <c r="AH152" s="52">
        <v>21567</v>
      </c>
      <c r="AI152" s="52"/>
      <c r="AJ152" s="52"/>
      <c r="AK152" s="52">
        <v>17769</v>
      </c>
      <c r="AL152" s="52">
        <v>12587</v>
      </c>
      <c r="AM152" s="52">
        <v>4901</v>
      </c>
      <c r="AN152" s="52">
        <v>120016</v>
      </c>
      <c r="AO152" s="52"/>
      <c r="AP152" s="52"/>
      <c r="AQ152" s="52">
        <v>19181</v>
      </c>
      <c r="AR152" s="52">
        <v>1547</v>
      </c>
      <c r="AS152" s="52">
        <v>18161</v>
      </c>
      <c r="AT152" s="52">
        <v>6715</v>
      </c>
      <c r="AU152" s="52">
        <v>2395</v>
      </c>
      <c r="AV152" s="52"/>
      <c r="AW152" s="52"/>
      <c r="AX152" s="52">
        <v>28477</v>
      </c>
      <c r="AY152" s="52">
        <v>291907</v>
      </c>
      <c r="AZ152" s="52">
        <v>12262</v>
      </c>
      <c r="BA152" s="52">
        <v>9523</v>
      </c>
      <c r="BB152" s="52">
        <v>13133</v>
      </c>
      <c r="BC152" s="52">
        <v>26693</v>
      </c>
      <c r="BD152" s="52">
        <v>13350</v>
      </c>
      <c r="BE152" s="52"/>
      <c r="BF152" s="52">
        <v>130179</v>
      </c>
      <c r="BG152" s="52">
        <v>5614</v>
      </c>
      <c r="BH152" s="52">
        <v>43226</v>
      </c>
      <c r="BI152" s="52">
        <v>22001</v>
      </c>
      <c r="BJ152" s="52">
        <v>5383</v>
      </c>
      <c r="BK152" s="52">
        <v>6286</v>
      </c>
      <c r="BL152" s="52">
        <v>9748</v>
      </c>
      <c r="BM152" s="52">
        <v>157448</v>
      </c>
      <c r="BN152" s="52">
        <v>14220</v>
      </c>
      <c r="BO152" s="52"/>
      <c r="BP152" s="52">
        <v>11301</v>
      </c>
      <c r="BQ152" s="52">
        <v>169045</v>
      </c>
      <c r="BR152" s="52"/>
      <c r="BS152" s="52"/>
      <c r="BT152" s="52"/>
      <c r="BU152" s="52"/>
      <c r="BV152" s="52"/>
      <c r="BW152" s="52"/>
      <c r="BX152" s="52">
        <v>10533</v>
      </c>
      <c r="BY152" s="52">
        <v>22070</v>
      </c>
      <c r="BZ152" s="52">
        <v>54113</v>
      </c>
      <c r="CA152" s="52"/>
      <c r="CB152" s="52"/>
      <c r="CC152" s="52">
        <v>7306</v>
      </c>
      <c r="CD152" s="52">
        <v>36942</v>
      </c>
      <c r="CE152" s="52">
        <v>1134</v>
      </c>
      <c r="CF152" s="52">
        <v>91992</v>
      </c>
      <c r="CG152" s="52">
        <v>80712</v>
      </c>
      <c r="CH152" s="52">
        <v>109657</v>
      </c>
      <c r="CI152" s="52">
        <v>3665</v>
      </c>
      <c r="CJ152" s="52">
        <v>28674</v>
      </c>
      <c r="CK152" s="52">
        <v>51941</v>
      </c>
      <c r="CL152" s="52">
        <v>14220</v>
      </c>
      <c r="CM152" s="52">
        <v>10549</v>
      </c>
      <c r="CN152" s="52">
        <v>22376</v>
      </c>
      <c r="CO152" s="52">
        <v>2057</v>
      </c>
      <c r="CP152" s="52">
        <v>25725</v>
      </c>
      <c r="CQ152" s="52">
        <v>15349</v>
      </c>
      <c r="CR152" s="52">
        <v>21452</v>
      </c>
      <c r="CS152" s="52">
        <v>17439</v>
      </c>
      <c r="CT152" s="52">
        <v>20055</v>
      </c>
      <c r="CU152" s="52"/>
      <c r="CV152" s="52"/>
      <c r="CW152" s="52">
        <v>9524</v>
      </c>
      <c r="CX152" s="52">
        <v>23402</v>
      </c>
      <c r="CY152" s="52">
        <v>21810</v>
      </c>
      <c r="CZ152" s="52">
        <v>50866</v>
      </c>
      <c r="DA152" s="52">
        <v>54134</v>
      </c>
      <c r="DB152" s="52">
        <v>78695</v>
      </c>
      <c r="DC152" s="52">
        <v>20064</v>
      </c>
      <c r="DD152" s="52">
        <v>13560</v>
      </c>
      <c r="DE152" s="52">
        <v>2810133</v>
      </c>
      <c r="DF152" s="52">
        <v>33624</v>
      </c>
      <c r="DG152" s="52">
        <v>2843757</v>
      </c>
      <c r="DH152" s="52"/>
    </row>
    <row r="153" spans="1:112">
      <c r="A153" s="150" t="s">
        <v>411</v>
      </c>
      <c r="B153" s="44">
        <v>3590</v>
      </c>
      <c r="C153" s="44" t="s">
        <v>213</v>
      </c>
      <c r="D153" s="52"/>
      <c r="E153" s="52">
        <v>619056</v>
      </c>
      <c r="F153" s="52"/>
      <c r="G153" s="52"/>
      <c r="H153" s="56"/>
      <c r="I153" s="56"/>
      <c r="J153" s="56"/>
      <c r="K153" s="56"/>
      <c r="L153" s="52"/>
      <c r="M153" s="52"/>
      <c r="N153" s="52"/>
      <c r="O153" s="52">
        <v>16586</v>
      </c>
      <c r="P153" s="52">
        <v>35278</v>
      </c>
      <c r="Q153" s="52">
        <v>49390</v>
      </c>
      <c r="R153" s="52">
        <v>54878</v>
      </c>
      <c r="S153" s="52"/>
      <c r="T153" s="52"/>
      <c r="U153" s="52"/>
      <c r="V153" s="52"/>
      <c r="W153" s="52"/>
      <c r="X153" s="52"/>
      <c r="Y153" s="52"/>
      <c r="Z153" s="52"/>
      <c r="AA153" s="52">
        <v>105049</v>
      </c>
      <c r="AB153" s="52"/>
      <c r="AC153" s="52"/>
      <c r="AD153" s="52"/>
      <c r="AE153" s="52"/>
      <c r="AF153" s="52"/>
      <c r="AG153" s="52"/>
      <c r="AH153" s="52"/>
      <c r="AI153" s="52"/>
      <c r="AJ153" s="52">
        <v>42000</v>
      </c>
      <c r="AK153" s="52"/>
      <c r="AL153" s="52"/>
      <c r="AM153" s="52"/>
      <c r="AN153" s="52"/>
      <c r="AO153" s="52"/>
      <c r="AP153" s="52"/>
      <c r="AQ153" s="52"/>
      <c r="AR153" s="52">
        <v>141410</v>
      </c>
      <c r="AS153" s="52">
        <v>179834</v>
      </c>
      <c r="AT153" s="52"/>
      <c r="AU153" s="52"/>
      <c r="AV153" s="52"/>
      <c r="AW153" s="52"/>
      <c r="AX153" s="52"/>
      <c r="AY153" s="52"/>
      <c r="AZ153" s="52">
        <v>268667</v>
      </c>
      <c r="BA153" s="52">
        <v>69493</v>
      </c>
      <c r="BB153" s="52">
        <v>97979</v>
      </c>
      <c r="BC153" s="52"/>
      <c r="BD153" s="52"/>
      <c r="BE153" s="52">
        <v>23356</v>
      </c>
      <c r="BF153" s="52"/>
      <c r="BG153" s="52">
        <v>65961</v>
      </c>
      <c r="BH153" s="52">
        <v>155346</v>
      </c>
      <c r="BI153" s="52">
        <v>652045</v>
      </c>
      <c r="BJ153" s="52"/>
      <c r="BK153" s="52"/>
      <c r="BL153" s="52"/>
      <c r="BM153" s="52">
        <v>560234</v>
      </c>
      <c r="BN153" s="52"/>
      <c r="BO153" s="52"/>
      <c r="BP153" s="52"/>
      <c r="BQ153" s="52"/>
      <c r="BR153" s="52"/>
      <c r="BS153" s="52"/>
      <c r="BT153" s="52"/>
      <c r="BU153" s="52"/>
      <c r="BV153" s="52"/>
      <c r="BW153" s="52"/>
      <c r="BX153" s="52"/>
      <c r="BY153" s="52"/>
      <c r="BZ153" s="52">
        <v>311528</v>
      </c>
      <c r="CA153" s="52"/>
      <c r="CB153" s="52">
        <v>198400</v>
      </c>
      <c r="CC153" s="52"/>
      <c r="CD153" s="52"/>
      <c r="CE153" s="52"/>
      <c r="CF153" s="52"/>
      <c r="CG153" s="52"/>
      <c r="CH153" s="52">
        <v>594433</v>
      </c>
      <c r="CI153" s="52">
        <v>13841</v>
      </c>
      <c r="CJ153" s="52"/>
      <c r="CK153" s="52"/>
      <c r="CL153" s="52">
        <v>180046</v>
      </c>
      <c r="CM153" s="52">
        <v>171407</v>
      </c>
      <c r="CN153" s="52">
        <v>377190</v>
      </c>
      <c r="CO153" s="52">
        <v>563981</v>
      </c>
      <c r="CP153" s="52"/>
      <c r="CQ153" s="52"/>
      <c r="CR153" s="52"/>
      <c r="CS153" s="52"/>
      <c r="CT153" s="52">
        <v>267133</v>
      </c>
      <c r="CU153" s="52">
        <v>132891</v>
      </c>
      <c r="CV153" s="52"/>
      <c r="CW153" s="52">
        <v>26706</v>
      </c>
      <c r="CX153" s="52">
        <v>191860</v>
      </c>
      <c r="CY153" s="52"/>
      <c r="CZ153" s="52"/>
      <c r="DA153" s="52"/>
      <c r="DB153" s="52">
        <v>248920</v>
      </c>
      <c r="DC153" s="52"/>
      <c r="DD153" s="52"/>
      <c r="DE153" s="52">
        <v>6414898</v>
      </c>
      <c r="DF153" s="52"/>
      <c r="DG153" s="52">
        <v>6414898</v>
      </c>
      <c r="DH153" s="52"/>
    </row>
    <row r="154" spans="1:112">
      <c r="A154" s="150" t="s">
        <v>411</v>
      </c>
      <c r="B154" s="44">
        <v>3591</v>
      </c>
      <c r="C154" s="44" t="s">
        <v>140</v>
      </c>
      <c r="D154" s="52">
        <v>29852</v>
      </c>
      <c r="E154" s="52">
        <v>201465</v>
      </c>
      <c r="F154" s="52">
        <v>20500</v>
      </c>
      <c r="G154" s="52"/>
      <c r="H154" s="56">
        <v>72519</v>
      </c>
      <c r="I154" s="56">
        <v>41000</v>
      </c>
      <c r="J154" s="56">
        <v>20500</v>
      </c>
      <c r="K154" s="56">
        <v>20500</v>
      </c>
      <c r="L154" s="52">
        <v>61500</v>
      </c>
      <c r="M154" s="52"/>
      <c r="N154" s="52"/>
      <c r="O154" s="52">
        <v>20500</v>
      </c>
      <c r="P154" s="52">
        <v>17524</v>
      </c>
      <c r="Q154" s="52">
        <v>18880</v>
      </c>
      <c r="R154" s="52">
        <v>20500</v>
      </c>
      <c r="S154" s="52">
        <v>20500</v>
      </c>
      <c r="T154" s="52"/>
      <c r="U154" s="52"/>
      <c r="V154" s="52"/>
      <c r="W154" s="52">
        <v>183648</v>
      </c>
      <c r="X154" s="52">
        <v>19923</v>
      </c>
      <c r="Y154" s="52">
        <v>361761</v>
      </c>
      <c r="Z154" s="52">
        <v>82000</v>
      </c>
      <c r="AA154" s="52">
        <v>53399</v>
      </c>
      <c r="AB154" s="52">
        <v>70573</v>
      </c>
      <c r="AC154" s="52">
        <v>18294</v>
      </c>
      <c r="AD154" s="52">
        <v>20500</v>
      </c>
      <c r="AE154" s="52">
        <v>20500</v>
      </c>
      <c r="AF154" s="52"/>
      <c r="AG154" s="52">
        <v>61500</v>
      </c>
      <c r="AH154" s="52">
        <v>52151</v>
      </c>
      <c r="AI154" s="52"/>
      <c r="AJ154" s="52">
        <v>20500</v>
      </c>
      <c r="AK154" s="52">
        <v>20500</v>
      </c>
      <c r="AL154" s="52">
        <v>20500</v>
      </c>
      <c r="AM154" s="52"/>
      <c r="AN154" s="52">
        <v>116862</v>
      </c>
      <c r="AO154" s="52">
        <v>25654</v>
      </c>
      <c r="AP154" s="52"/>
      <c r="AQ154" s="52">
        <v>40136</v>
      </c>
      <c r="AR154" s="52">
        <v>41000</v>
      </c>
      <c r="AS154" s="52">
        <v>61500</v>
      </c>
      <c r="AT154" s="52">
        <v>20500</v>
      </c>
      <c r="AU154" s="52">
        <v>41834</v>
      </c>
      <c r="AV154" s="52">
        <v>20500</v>
      </c>
      <c r="AW154" s="52">
        <v>20500</v>
      </c>
      <c r="AX154" s="52">
        <v>82000</v>
      </c>
      <c r="AY154" s="52">
        <v>355984</v>
      </c>
      <c r="AZ154" s="52">
        <v>61500</v>
      </c>
      <c r="BA154" s="52">
        <v>17892</v>
      </c>
      <c r="BB154" s="52">
        <v>20500</v>
      </c>
      <c r="BC154" s="52"/>
      <c r="BD154" s="52">
        <v>20500</v>
      </c>
      <c r="BE154" s="52">
        <v>20500</v>
      </c>
      <c r="BF154" s="52">
        <v>176162</v>
      </c>
      <c r="BG154" s="52">
        <v>29326</v>
      </c>
      <c r="BH154" s="52">
        <v>82000</v>
      </c>
      <c r="BI154" s="52">
        <v>98449</v>
      </c>
      <c r="BJ154" s="52">
        <v>142496</v>
      </c>
      <c r="BK154" s="52">
        <v>20500</v>
      </c>
      <c r="BL154" s="52">
        <v>34118</v>
      </c>
      <c r="BM154" s="52">
        <v>104052</v>
      </c>
      <c r="BN154" s="52">
        <v>82000</v>
      </c>
      <c r="BO154" s="52">
        <v>20500</v>
      </c>
      <c r="BP154" s="52">
        <v>20500</v>
      </c>
      <c r="BQ154" s="52">
        <v>61500</v>
      </c>
      <c r="BR154" s="52"/>
      <c r="BS154" s="52"/>
      <c r="BT154" s="52">
        <v>20500</v>
      </c>
      <c r="BU154" s="52">
        <v>20500</v>
      </c>
      <c r="BV154" s="52">
        <v>20500</v>
      </c>
      <c r="BW154" s="52"/>
      <c r="BX154" s="52">
        <v>46536</v>
      </c>
      <c r="BY154" s="52">
        <v>45503</v>
      </c>
      <c r="BZ154" s="52">
        <v>87507</v>
      </c>
      <c r="CA154" s="52"/>
      <c r="CB154" s="52">
        <v>26806</v>
      </c>
      <c r="CC154" s="52">
        <v>36304</v>
      </c>
      <c r="CD154" s="52">
        <v>53211</v>
      </c>
      <c r="CE154" s="52"/>
      <c r="CF154" s="52">
        <v>102500</v>
      </c>
      <c r="CG154" s="52">
        <v>193124</v>
      </c>
      <c r="CH154" s="52">
        <v>102500</v>
      </c>
      <c r="CI154" s="52">
        <v>20500</v>
      </c>
      <c r="CJ154" s="52">
        <v>48149</v>
      </c>
      <c r="CK154" s="52">
        <v>41000</v>
      </c>
      <c r="CL154" s="52">
        <v>29598</v>
      </c>
      <c r="CM154" s="52">
        <v>20500</v>
      </c>
      <c r="CN154" s="52">
        <v>41000</v>
      </c>
      <c r="CO154" s="52">
        <v>61500</v>
      </c>
      <c r="CP154" s="52">
        <v>61500</v>
      </c>
      <c r="CQ154" s="52"/>
      <c r="CR154" s="52"/>
      <c r="CS154" s="52"/>
      <c r="CT154" s="52">
        <v>69384</v>
      </c>
      <c r="CU154" s="52">
        <v>67746</v>
      </c>
      <c r="CV154" s="52"/>
      <c r="CW154" s="52">
        <v>28860</v>
      </c>
      <c r="CX154" s="52">
        <v>36315</v>
      </c>
      <c r="CY154" s="52">
        <v>20500</v>
      </c>
      <c r="CZ154" s="52">
        <v>20500</v>
      </c>
      <c r="DA154" s="52">
        <v>82270</v>
      </c>
      <c r="DB154" s="52">
        <v>61500</v>
      </c>
      <c r="DC154" s="52">
        <v>20500</v>
      </c>
      <c r="DD154" s="52"/>
      <c r="DE154" s="52">
        <v>4876767</v>
      </c>
      <c r="DF154" s="52">
        <v>20500</v>
      </c>
      <c r="DG154" s="52">
        <v>4897267</v>
      </c>
      <c r="DH154" s="52"/>
    </row>
    <row r="155" spans="1:112">
      <c r="A155" s="150" t="s">
        <v>411</v>
      </c>
      <c r="B155" s="44">
        <v>3592</v>
      </c>
      <c r="C155" s="44" t="s">
        <v>214</v>
      </c>
      <c r="D155" s="52">
        <v>21829</v>
      </c>
      <c r="E155" s="52">
        <v>152133</v>
      </c>
      <c r="F155" s="52">
        <v>4456</v>
      </c>
      <c r="G155" s="52"/>
      <c r="H155" s="56">
        <v>46242</v>
      </c>
      <c r="I155" s="56">
        <v>23236</v>
      </c>
      <c r="J155" s="56">
        <v>15397</v>
      </c>
      <c r="K155" s="56">
        <v>6872</v>
      </c>
      <c r="L155" s="52">
        <v>64135</v>
      </c>
      <c r="M155" s="52"/>
      <c r="N155" s="52"/>
      <c r="O155" s="52">
        <v>46410</v>
      </c>
      <c r="P155" s="52">
        <v>5308</v>
      </c>
      <c r="Q155" s="52">
        <v>6368</v>
      </c>
      <c r="R155" s="52">
        <v>5301</v>
      </c>
      <c r="S155" s="52">
        <v>17378</v>
      </c>
      <c r="T155" s="52"/>
      <c r="U155" s="52"/>
      <c r="V155" s="52">
        <v>21576</v>
      </c>
      <c r="W155" s="52">
        <v>207003</v>
      </c>
      <c r="X155" s="52">
        <v>999</v>
      </c>
      <c r="Y155" s="52">
        <v>106366</v>
      </c>
      <c r="Z155" s="52">
        <v>51579</v>
      </c>
      <c r="AA155" s="52">
        <v>31330</v>
      </c>
      <c r="AB155" s="52">
        <v>85569</v>
      </c>
      <c r="AC155" s="52">
        <v>32250</v>
      </c>
      <c r="AD155" s="52"/>
      <c r="AE155" s="52">
        <v>8577</v>
      </c>
      <c r="AF155" s="52"/>
      <c r="AG155" s="52">
        <v>41011</v>
      </c>
      <c r="AH155" s="52">
        <v>65426</v>
      </c>
      <c r="AI155" s="52"/>
      <c r="AJ155" s="52">
        <v>6856</v>
      </c>
      <c r="AK155" s="52">
        <v>23093</v>
      </c>
      <c r="AL155" s="52">
        <v>9968</v>
      </c>
      <c r="AM155" s="52"/>
      <c r="AN155" s="52">
        <v>123968</v>
      </c>
      <c r="AO155" s="52">
        <v>13245</v>
      </c>
      <c r="AP155" s="52"/>
      <c r="AQ155" s="52">
        <v>17673</v>
      </c>
      <c r="AR155" s="52">
        <v>15808</v>
      </c>
      <c r="AS155" s="52">
        <v>77293</v>
      </c>
      <c r="AT155" s="52">
        <v>7633</v>
      </c>
      <c r="AU155" s="52">
        <v>23042</v>
      </c>
      <c r="AV155" s="52">
        <v>6222</v>
      </c>
      <c r="AW155" s="52">
        <v>9908</v>
      </c>
      <c r="AX155" s="52">
        <v>53808</v>
      </c>
      <c r="AY155" s="52">
        <v>361986</v>
      </c>
      <c r="AZ155" s="52"/>
      <c r="BA155" s="52">
        <v>7532</v>
      </c>
      <c r="BB155" s="52">
        <v>6131</v>
      </c>
      <c r="BC155" s="52">
        <v>51844</v>
      </c>
      <c r="BD155" s="52">
        <v>16971</v>
      </c>
      <c r="BE155" s="52">
        <v>29981</v>
      </c>
      <c r="BF155" s="52">
        <v>134135</v>
      </c>
      <c r="BG155" s="52">
        <v>9799</v>
      </c>
      <c r="BH155" s="52">
        <v>58501</v>
      </c>
      <c r="BI155" s="52">
        <v>63847</v>
      </c>
      <c r="BJ155" s="52">
        <v>31694</v>
      </c>
      <c r="BK155" s="52">
        <v>20638</v>
      </c>
      <c r="BL155" s="52">
        <v>12463</v>
      </c>
      <c r="BM155" s="52">
        <v>121312</v>
      </c>
      <c r="BN155" s="52">
        <v>46674</v>
      </c>
      <c r="BO155" s="52">
        <v>12749</v>
      </c>
      <c r="BP155" s="52">
        <v>57770</v>
      </c>
      <c r="BQ155" s="52">
        <v>82595</v>
      </c>
      <c r="BR155" s="52">
        <v>8524</v>
      </c>
      <c r="BS155" s="52"/>
      <c r="BT155" s="52"/>
      <c r="BU155" s="52"/>
      <c r="BV155" s="52"/>
      <c r="BW155" s="52">
        <v>38583</v>
      </c>
      <c r="BX155" s="52">
        <v>29907</v>
      </c>
      <c r="BY155" s="52">
        <v>34012</v>
      </c>
      <c r="BZ155" s="52">
        <v>44083</v>
      </c>
      <c r="CA155" s="52"/>
      <c r="CB155" s="52">
        <v>24691</v>
      </c>
      <c r="CC155" s="52">
        <v>24896</v>
      </c>
      <c r="CD155" s="52">
        <v>38500</v>
      </c>
      <c r="CE155" s="52"/>
      <c r="CF155" s="52">
        <v>87819</v>
      </c>
      <c r="CG155" s="52">
        <v>123269</v>
      </c>
      <c r="CH155" s="52">
        <v>103401</v>
      </c>
      <c r="CI155" s="52">
        <v>12400</v>
      </c>
      <c r="CJ155" s="52">
        <v>27242</v>
      </c>
      <c r="CK155" s="52">
        <v>51638</v>
      </c>
      <c r="CL155" s="52">
        <v>17262</v>
      </c>
      <c r="CM155" s="52">
        <v>17108</v>
      </c>
      <c r="CN155" s="52">
        <v>79799</v>
      </c>
      <c r="CO155" s="52">
        <v>36488</v>
      </c>
      <c r="CP155" s="52">
        <v>54334</v>
      </c>
      <c r="CQ155" s="52"/>
      <c r="CR155" s="52"/>
      <c r="CS155" s="52"/>
      <c r="CT155" s="52">
        <v>51066</v>
      </c>
      <c r="CU155" s="52">
        <v>52113</v>
      </c>
      <c r="CV155" s="52"/>
      <c r="CW155" s="52">
        <v>30200</v>
      </c>
      <c r="CX155" s="52">
        <v>72218</v>
      </c>
      <c r="CY155" s="52">
        <v>30282</v>
      </c>
      <c r="CZ155" s="52">
        <v>17414</v>
      </c>
      <c r="DA155" s="52">
        <v>118587</v>
      </c>
      <c r="DB155" s="52">
        <v>34803</v>
      </c>
      <c r="DC155" s="52">
        <v>7115</v>
      </c>
      <c r="DD155" s="52"/>
      <c r="DE155" s="52">
        <v>3842529</v>
      </c>
      <c r="DF155" s="52">
        <v>7115</v>
      </c>
      <c r="DG155" s="52">
        <v>3849644</v>
      </c>
      <c r="DH155" s="52"/>
    </row>
    <row r="156" spans="1:112">
      <c r="A156" s="150" t="s">
        <v>411</v>
      </c>
      <c r="B156" s="44">
        <v>3593</v>
      </c>
      <c r="C156" s="44" t="s">
        <v>215</v>
      </c>
      <c r="D156" s="52">
        <v>198618</v>
      </c>
      <c r="E156" s="52">
        <v>1175535</v>
      </c>
      <c r="F156" s="52">
        <v>476072</v>
      </c>
      <c r="G156" s="52"/>
      <c r="H156" s="56">
        <v>280877</v>
      </c>
      <c r="I156" s="56">
        <v>161355</v>
      </c>
      <c r="J156" s="56"/>
      <c r="K156" s="56">
        <v>110382</v>
      </c>
      <c r="L156" s="52">
        <v>557887</v>
      </c>
      <c r="M156" s="52"/>
      <c r="N156" s="52"/>
      <c r="O156" s="52">
        <v>80853</v>
      </c>
      <c r="P156" s="52">
        <v>380858</v>
      </c>
      <c r="Q156" s="52">
        <v>91755</v>
      </c>
      <c r="R156" s="52">
        <v>38463</v>
      </c>
      <c r="S156" s="52">
        <v>138154</v>
      </c>
      <c r="T156" s="52"/>
      <c r="U156" s="52">
        <v>831382</v>
      </c>
      <c r="V156" s="52"/>
      <c r="W156" s="52">
        <v>1288378</v>
      </c>
      <c r="X156" s="52">
        <v>126201</v>
      </c>
      <c r="Y156" s="52">
        <v>1918330</v>
      </c>
      <c r="Z156" s="52">
        <v>818853</v>
      </c>
      <c r="AA156" s="52">
        <v>303375</v>
      </c>
      <c r="AB156" s="52">
        <v>440474</v>
      </c>
      <c r="AC156" s="52">
        <v>380858</v>
      </c>
      <c r="AD156" s="52">
        <v>188274</v>
      </c>
      <c r="AE156" s="52">
        <v>60464</v>
      </c>
      <c r="AF156" s="52"/>
      <c r="AG156" s="52">
        <v>715311</v>
      </c>
      <c r="AH156" s="52">
        <v>679870</v>
      </c>
      <c r="AI156" s="52"/>
      <c r="AJ156" s="52">
        <v>51676</v>
      </c>
      <c r="AK156" s="52">
        <v>271737</v>
      </c>
      <c r="AL156" s="52">
        <v>84369</v>
      </c>
      <c r="AM156" s="52"/>
      <c r="AN156" s="52">
        <v>571597</v>
      </c>
      <c r="AO156" s="52">
        <v>134943</v>
      </c>
      <c r="AP156" s="52"/>
      <c r="AQ156" s="52">
        <v>214437</v>
      </c>
      <c r="AR156" s="52">
        <v>220764</v>
      </c>
      <c r="AS156" s="52">
        <v>741740</v>
      </c>
      <c r="AT156" s="52"/>
      <c r="AU156" s="52">
        <v>251425</v>
      </c>
      <c r="AV156" s="52">
        <v>434477</v>
      </c>
      <c r="AW156" s="52">
        <v>68901</v>
      </c>
      <c r="AX156" s="52">
        <v>525546</v>
      </c>
      <c r="AY156" s="52">
        <v>2456052</v>
      </c>
      <c r="AZ156" s="52">
        <v>453129</v>
      </c>
      <c r="BA156" s="52">
        <v>54410</v>
      </c>
      <c r="BB156" s="52">
        <v>59761</v>
      </c>
      <c r="BC156" s="52"/>
      <c r="BD156" s="52">
        <v>147996</v>
      </c>
      <c r="BE156" s="52">
        <v>74115</v>
      </c>
      <c r="BF156" s="52">
        <v>1619525</v>
      </c>
      <c r="BG156" s="52">
        <v>761715</v>
      </c>
      <c r="BH156" s="52">
        <v>498017</v>
      </c>
      <c r="BI156" s="52">
        <v>474573</v>
      </c>
      <c r="BJ156" s="52">
        <v>275983</v>
      </c>
      <c r="BK156" s="52">
        <v>168737</v>
      </c>
      <c r="BL156" s="52">
        <v>904538</v>
      </c>
      <c r="BM156" s="52">
        <v>548747</v>
      </c>
      <c r="BN156" s="52">
        <v>487580</v>
      </c>
      <c r="BO156" s="52">
        <v>113546</v>
      </c>
      <c r="BP156" s="52">
        <v>204242</v>
      </c>
      <c r="BQ156" s="52">
        <v>332201</v>
      </c>
      <c r="BR156" s="52">
        <v>56246</v>
      </c>
      <c r="BS156" s="52"/>
      <c r="BT156" s="52">
        <v>203891</v>
      </c>
      <c r="BU156" s="52">
        <v>136396</v>
      </c>
      <c r="BV156" s="52">
        <v>252837</v>
      </c>
      <c r="BW156" s="52"/>
      <c r="BX156" s="52">
        <v>340638</v>
      </c>
      <c r="BY156" s="52">
        <v>313921</v>
      </c>
      <c r="BZ156" s="52">
        <v>524491</v>
      </c>
      <c r="CA156" s="52"/>
      <c r="CB156" s="52">
        <v>188341</v>
      </c>
      <c r="CC156" s="52">
        <v>241857</v>
      </c>
      <c r="CD156" s="52">
        <v>506211</v>
      </c>
      <c r="CE156" s="52"/>
      <c r="CF156" s="52">
        <v>642959</v>
      </c>
      <c r="CG156" s="52">
        <v>1658689</v>
      </c>
      <c r="CH156" s="52">
        <v>768105</v>
      </c>
      <c r="CI156" s="52">
        <v>237222</v>
      </c>
      <c r="CJ156" s="52">
        <v>206703</v>
      </c>
      <c r="CK156" s="52">
        <v>359269</v>
      </c>
      <c r="CL156" s="52">
        <v>131826</v>
      </c>
      <c r="CM156" s="52">
        <v>133232</v>
      </c>
      <c r="CN156" s="52">
        <v>242560</v>
      </c>
      <c r="CO156" s="52">
        <v>387041</v>
      </c>
      <c r="CP156" s="52">
        <v>411650</v>
      </c>
      <c r="CQ156" s="52"/>
      <c r="CR156" s="52"/>
      <c r="CS156" s="52"/>
      <c r="CT156" s="52">
        <v>491716</v>
      </c>
      <c r="CU156" s="52">
        <v>523788</v>
      </c>
      <c r="CV156" s="52"/>
      <c r="CW156" s="52">
        <v>266816</v>
      </c>
      <c r="CX156" s="52">
        <v>429225</v>
      </c>
      <c r="CY156" s="52"/>
      <c r="CZ156" s="52">
        <v>140263</v>
      </c>
      <c r="DA156" s="52">
        <v>660184</v>
      </c>
      <c r="DB156" s="52">
        <v>115655</v>
      </c>
      <c r="DC156" s="52"/>
      <c r="DD156" s="52"/>
      <c r="DE156" s="52">
        <v>35220790</v>
      </c>
      <c r="DF156" s="52"/>
      <c r="DG156" s="52">
        <v>35220790</v>
      </c>
      <c r="DH156" s="52"/>
    </row>
    <row r="157" spans="1:112">
      <c r="A157" s="150" t="s">
        <v>411</v>
      </c>
      <c r="B157" s="44">
        <v>3595</v>
      </c>
      <c r="C157" s="44" t="s">
        <v>216</v>
      </c>
      <c r="D157" s="52"/>
      <c r="E157" s="52">
        <v>14784</v>
      </c>
      <c r="F157" s="52">
        <v>11043</v>
      </c>
      <c r="G157" s="52"/>
      <c r="H157" s="56"/>
      <c r="I157" s="56"/>
      <c r="J157" s="56"/>
      <c r="K157" s="56"/>
      <c r="L157" s="52"/>
      <c r="M157" s="52"/>
      <c r="N157" s="52"/>
      <c r="O157" s="52"/>
      <c r="P157" s="52">
        <v>36417</v>
      </c>
      <c r="Q157" s="52">
        <v>24199</v>
      </c>
      <c r="R157" s="52"/>
      <c r="S157" s="52"/>
      <c r="T157" s="52"/>
      <c r="U157" s="52">
        <v>74484</v>
      </c>
      <c r="V157" s="52"/>
      <c r="W157" s="52">
        <v>32072</v>
      </c>
      <c r="X157" s="52"/>
      <c r="Y157" s="52">
        <v>460445</v>
      </c>
      <c r="Z157" s="52"/>
      <c r="AA157" s="52">
        <v>87313</v>
      </c>
      <c r="AB157" s="52">
        <v>13840</v>
      </c>
      <c r="AC157" s="52">
        <v>23503</v>
      </c>
      <c r="AD157" s="52"/>
      <c r="AE157" s="52">
        <v>31634</v>
      </c>
      <c r="AF157" s="52"/>
      <c r="AG157" s="52">
        <v>20200</v>
      </c>
      <c r="AH157" s="52">
        <v>66048</v>
      </c>
      <c r="AI157" s="52"/>
      <c r="AJ157" s="52">
        <v>9129</v>
      </c>
      <c r="AK157" s="52"/>
      <c r="AL157" s="52"/>
      <c r="AM157" s="52"/>
      <c r="AN157" s="52"/>
      <c r="AO157" s="52">
        <v>16455</v>
      </c>
      <c r="AP157" s="52"/>
      <c r="AQ157" s="52"/>
      <c r="AR157" s="52">
        <v>43104</v>
      </c>
      <c r="AS157" s="52">
        <v>31883</v>
      </c>
      <c r="AT157" s="52"/>
      <c r="AU157" s="52">
        <v>31674</v>
      </c>
      <c r="AV157" s="52">
        <v>33111</v>
      </c>
      <c r="AW157" s="52"/>
      <c r="AX157" s="52">
        <v>43613</v>
      </c>
      <c r="AY157" s="52">
        <v>92906</v>
      </c>
      <c r="AZ157" s="52">
        <v>29335</v>
      </c>
      <c r="BA157" s="52">
        <v>15674</v>
      </c>
      <c r="BB157" s="52"/>
      <c r="BC157" s="52"/>
      <c r="BD157" s="52">
        <v>39124</v>
      </c>
      <c r="BE157" s="52">
        <v>225</v>
      </c>
      <c r="BF157" s="52"/>
      <c r="BG157" s="52">
        <v>1165</v>
      </c>
      <c r="BH157" s="52">
        <v>32919</v>
      </c>
      <c r="BI157" s="52">
        <v>3790</v>
      </c>
      <c r="BJ157" s="52"/>
      <c r="BK157" s="52">
        <v>41669</v>
      </c>
      <c r="BL157" s="52">
        <v>118853</v>
      </c>
      <c r="BM157" s="52"/>
      <c r="BN157" s="52"/>
      <c r="BO157" s="52"/>
      <c r="BP157" s="52">
        <v>43868</v>
      </c>
      <c r="BQ157" s="52"/>
      <c r="BR157" s="52">
        <v>10614</v>
      </c>
      <c r="BS157" s="52"/>
      <c r="BT157" s="52">
        <v>1473</v>
      </c>
      <c r="BU157" s="52"/>
      <c r="BV157" s="52"/>
      <c r="BW157" s="52"/>
      <c r="BX157" s="52">
        <v>130978</v>
      </c>
      <c r="BY157" s="52">
        <v>20012</v>
      </c>
      <c r="BZ157" s="52"/>
      <c r="CA157" s="52"/>
      <c r="CB157" s="52"/>
      <c r="CC157" s="52">
        <v>34340</v>
      </c>
      <c r="CD157" s="52">
        <v>64560</v>
      </c>
      <c r="CE157" s="52"/>
      <c r="CF157" s="52"/>
      <c r="CG157" s="52">
        <v>185211</v>
      </c>
      <c r="CH157" s="52"/>
      <c r="CI157" s="52">
        <v>46346</v>
      </c>
      <c r="CJ157" s="52"/>
      <c r="CK157" s="52"/>
      <c r="CL157" s="52"/>
      <c r="CM157" s="52"/>
      <c r="CN157" s="52"/>
      <c r="CO157" s="52"/>
      <c r="CP157" s="52">
        <v>7468</v>
      </c>
      <c r="CQ157" s="52"/>
      <c r="CR157" s="52"/>
      <c r="CS157" s="52"/>
      <c r="CT157" s="52">
        <v>13542</v>
      </c>
      <c r="CU157" s="52"/>
      <c r="CV157" s="52"/>
      <c r="CW157" s="52">
        <v>24958</v>
      </c>
      <c r="CX157" s="52">
        <v>10768</v>
      </c>
      <c r="CY157" s="52"/>
      <c r="CZ157" s="52"/>
      <c r="DA157" s="52"/>
      <c r="DB157" s="52"/>
      <c r="DC157" s="52"/>
      <c r="DD157" s="52"/>
      <c r="DE157" s="52">
        <v>2074749</v>
      </c>
      <c r="DF157" s="52"/>
      <c r="DG157" s="52">
        <v>2074749</v>
      </c>
      <c r="DH157" s="52"/>
    </row>
    <row r="158" spans="1:112">
      <c r="A158" s="150" t="s">
        <v>411</v>
      </c>
      <c r="B158" s="44">
        <v>3596</v>
      </c>
      <c r="C158" s="44" t="s">
        <v>217</v>
      </c>
      <c r="D158" s="52">
        <v>89623</v>
      </c>
      <c r="E158" s="52">
        <v>308978</v>
      </c>
      <c r="F158" s="52">
        <v>84326</v>
      </c>
      <c r="G158" s="52">
        <v>350000</v>
      </c>
      <c r="H158" s="56">
        <v>110896</v>
      </c>
      <c r="I158" s="56">
        <v>21843</v>
      </c>
      <c r="J158" s="56">
        <v>11127</v>
      </c>
      <c r="K158" s="56">
        <v>6671</v>
      </c>
      <c r="L158" s="52">
        <v>33665</v>
      </c>
      <c r="M158" s="52"/>
      <c r="N158" s="52"/>
      <c r="O158" s="52">
        <v>3044</v>
      </c>
      <c r="P158" s="52">
        <v>48975</v>
      </c>
      <c r="Q158" s="52">
        <v>64214</v>
      </c>
      <c r="R158" s="52">
        <v>55257</v>
      </c>
      <c r="S158" s="52">
        <v>62631</v>
      </c>
      <c r="T158" s="52"/>
      <c r="U158" s="52"/>
      <c r="V158" s="52"/>
      <c r="W158" s="52">
        <v>262736</v>
      </c>
      <c r="X158" s="52">
        <v>114098</v>
      </c>
      <c r="Y158" s="52">
        <v>319975</v>
      </c>
      <c r="Z158" s="52">
        <v>218202</v>
      </c>
      <c r="AA158" s="52">
        <v>159102</v>
      </c>
      <c r="AB158" s="52">
        <v>167603</v>
      </c>
      <c r="AC158" s="52">
        <v>36786</v>
      </c>
      <c r="AD158" s="52">
        <v>84582</v>
      </c>
      <c r="AE158" s="52">
        <v>52981</v>
      </c>
      <c r="AF158" s="52"/>
      <c r="AG158" s="52">
        <v>260125</v>
      </c>
      <c r="AH158" s="52">
        <v>280834</v>
      </c>
      <c r="AI158" s="52"/>
      <c r="AJ158" s="52">
        <v>146744</v>
      </c>
      <c r="AK158" s="52">
        <v>24699</v>
      </c>
      <c r="AL158" s="52">
        <v>7342</v>
      </c>
      <c r="AM158" s="52"/>
      <c r="AN158" s="52">
        <v>308082</v>
      </c>
      <c r="AO158" s="52">
        <v>96550</v>
      </c>
      <c r="AP158" s="52"/>
      <c r="AQ158" s="52">
        <v>169863</v>
      </c>
      <c r="AR158" s="52">
        <v>124081</v>
      </c>
      <c r="AS158" s="52">
        <v>174278</v>
      </c>
      <c r="AT158" s="52">
        <v>65712</v>
      </c>
      <c r="AU158" s="52">
        <v>106836</v>
      </c>
      <c r="AV158" s="52">
        <v>53871</v>
      </c>
      <c r="AW158" s="52">
        <v>48529</v>
      </c>
      <c r="AX158" s="52">
        <v>155580</v>
      </c>
      <c r="AY158" s="52">
        <v>275638</v>
      </c>
      <c r="AZ158" s="52">
        <v>143906</v>
      </c>
      <c r="BA158" s="52">
        <v>52757</v>
      </c>
      <c r="BB158" s="52">
        <v>51405</v>
      </c>
      <c r="BC158" s="52"/>
      <c r="BD158" s="52">
        <v>72764</v>
      </c>
      <c r="BE158" s="52">
        <v>46608</v>
      </c>
      <c r="BF158" s="52">
        <v>310363</v>
      </c>
      <c r="BG158" s="52">
        <v>93667</v>
      </c>
      <c r="BH158" s="52">
        <v>299082</v>
      </c>
      <c r="BI158" s="52">
        <v>142040</v>
      </c>
      <c r="BJ158" s="52">
        <v>128602</v>
      </c>
      <c r="BK158" s="52">
        <v>80201</v>
      </c>
      <c r="BL158" s="52">
        <v>174528</v>
      </c>
      <c r="BM158" s="52">
        <v>160191</v>
      </c>
      <c r="BN158" s="52">
        <v>180494</v>
      </c>
      <c r="BO158" s="52">
        <v>84233</v>
      </c>
      <c r="BP158" s="52">
        <v>105913</v>
      </c>
      <c r="BQ158" s="52">
        <v>160591</v>
      </c>
      <c r="BR158" s="52">
        <v>86094</v>
      </c>
      <c r="BS158" s="52">
        <v>195626</v>
      </c>
      <c r="BT158" s="52">
        <v>68328</v>
      </c>
      <c r="BU158" s="52">
        <v>6387</v>
      </c>
      <c r="BV158" s="52">
        <v>7102</v>
      </c>
      <c r="BW158" s="52"/>
      <c r="BX158" s="52">
        <v>155680</v>
      </c>
      <c r="BY158" s="52">
        <v>203791</v>
      </c>
      <c r="BZ158" s="52">
        <v>235104</v>
      </c>
      <c r="CA158" s="52"/>
      <c r="CB158" s="52">
        <v>83617</v>
      </c>
      <c r="CC158" s="52">
        <v>168391</v>
      </c>
      <c r="CD158" s="52">
        <v>140512</v>
      </c>
      <c r="CE158" s="52"/>
      <c r="CF158" s="52">
        <v>185311</v>
      </c>
      <c r="CG158" s="52">
        <v>304323</v>
      </c>
      <c r="CH158" s="52">
        <v>46494</v>
      </c>
      <c r="CI158" s="52">
        <v>118131</v>
      </c>
      <c r="CJ158" s="52">
        <v>95492</v>
      </c>
      <c r="CK158" s="52">
        <v>101341</v>
      </c>
      <c r="CL158" s="52">
        <v>99485</v>
      </c>
      <c r="CM158" s="52">
        <v>63517</v>
      </c>
      <c r="CN158" s="52">
        <v>96155</v>
      </c>
      <c r="CO158" s="52">
        <v>144198</v>
      </c>
      <c r="CP158" s="52">
        <v>165316</v>
      </c>
      <c r="CQ158" s="52"/>
      <c r="CR158" s="52"/>
      <c r="CS158" s="52"/>
      <c r="CT158" s="52">
        <v>177526</v>
      </c>
      <c r="CU158" s="52">
        <v>195911</v>
      </c>
      <c r="CV158" s="52"/>
      <c r="CW158" s="52">
        <v>174676</v>
      </c>
      <c r="CX158" s="52">
        <v>153946</v>
      </c>
      <c r="CY158" s="52">
        <v>90791</v>
      </c>
      <c r="CZ158" s="52">
        <v>103529</v>
      </c>
      <c r="DA158" s="52">
        <v>115315</v>
      </c>
      <c r="DB158" s="52">
        <v>118576</v>
      </c>
      <c r="DC158" s="52"/>
      <c r="DD158" s="52"/>
      <c r="DE158" s="52">
        <v>11154089</v>
      </c>
      <c r="DF158" s="52"/>
      <c r="DG158" s="52">
        <v>11154089</v>
      </c>
      <c r="DH158" s="52"/>
    </row>
    <row r="159" spans="1:112">
      <c r="A159" s="150" t="s">
        <v>411</v>
      </c>
      <c r="B159" s="44">
        <v>3598</v>
      </c>
      <c r="C159" s="44" t="s">
        <v>218</v>
      </c>
      <c r="D159" s="52">
        <v>2588</v>
      </c>
      <c r="E159" s="52">
        <v>16564</v>
      </c>
      <c r="F159" s="52"/>
      <c r="G159" s="52"/>
      <c r="H159" s="56">
        <v>4137</v>
      </c>
      <c r="I159" s="56">
        <v>2225</v>
      </c>
      <c r="J159" s="56">
        <v>2593</v>
      </c>
      <c r="K159" s="56">
        <v>2176</v>
      </c>
      <c r="L159" s="52">
        <v>7488</v>
      </c>
      <c r="M159" s="52"/>
      <c r="N159" s="52"/>
      <c r="O159" s="52">
        <v>1235</v>
      </c>
      <c r="P159" s="52">
        <v>912</v>
      </c>
      <c r="Q159" s="52">
        <v>503</v>
      </c>
      <c r="R159" s="52">
        <v>688</v>
      </c>
      <c r="S159" s="52">
        <v>1910</v>
      </c>
      <c r="T159" s="52"/>
      <c r="U159" s="52">
        <v>10558</v>
      </c>
      <c r="V159" s="52"/>
      <c r="W159" s="52">
        <v>18808</v>
      </c>
      <c r="X159" s="52"/>
      <c r="Y159" s="52">
        <v>-146</v>
      </c>
      <c r="Z159" s="52">
        <v>5271</v>
      </c>
      <c r="AA159" s="52">
        <v>4646</v>
      </c>
      <c r="AB159" s="52">
        <v>7268</v>
      </c>
      <c r="AC159" s="52"/>
      <c r="AD159" s="52">
        <v>2180</v>
      </c>
      <c r="AE159" s="52">
        <v>1093</v>
      </c>
      <c r="AF159" s="52"/>
      <c r="AG159" s="52">
        <v>8614</v>
      </c>
      <c r="AH159" s="52">
        <v>10002</v>
      </c>
      <c r="AI159" s="52"/>
      <c r="AJ159" s="52">
        <v>1123</v>
      </c>
      <c r="AK159" s="52">
        <v>1976</v>
      </c>
      <c r="AL159" s="52">
        <v>1080</v>
      </c>
      <c r="AM159" s="52"/>
      <c r="AN159" s="52">
        <v>11934</v>
      </c>
      <c r="AO159" s="52">
        <v>3515</v>
      </c>
      <c r="AP159" s="52"/>
      <c r="AQ159" s="52">
        <v>3791</v>
      </c>
      <c r="AR159" s="52">
        <v>4360</v>
      </c>
      <c r="AS159" s="52">
        <v>14833</v>
      </c>
      <c r="AT159" s="52">
        <v>967</v>
      </c>
      <c r="AU159" s="52">
        <v>2829</v>
      </c>
      <c r="AV159" s="52">
        <v>790</v>
      </c>
      <c r="AW159" s="52">
        <v>669</v>
      </c>
      <c r="AX159" s="52">
        <v>7783</v>
      </c>
      <c r="AY159" s="52">
        <v>28063</v>
      </c>
      <c r="AZ159" s="52">
        <v>5087</v>
      </c>
      <c r="BA159" s="52">
        <v>714</v>
      </c>
      <c r="BB159" s="52">
        <v>769</v>
      </c>
      <c r="BC159" s="52"/>
      <c r="BD159" s="52">
        <v>2266</v>
      </c>
      <c r="BE159" s="52">
        <v>1451</v>
      </c>
      <c r="BF159" s="52">
        <v>23640</v>
      </c>
      <c r="BG159" s="52">
        <v>2864</v>
      </c>
      <c r="BH159" s="52">
        <v>7700</v>
      </c>
      <c r="BI159" s="52">
        <v>7479</v>
      </c>
      <c r="BJ159" s="52">
        <v>4105</v>
      </c>
      <c r="BK159" s="52">
        <v>2227</v>
      </c>
      <c r="BL159" s="52">
        <v>3355</v>
      </c>
      <c r="BM159" s="52">
        <v>15083</v>
      </c>
      <c r="BN159" s="52">
        <v>5759</v>
      </c>
      <c r="BO159" s="52">
        <v>1818</v>
      </c>
      <c r="BP159" s="52">
        <v>2962</v>
      </c>
      <c r="BQ159" s="52">
        <v>7301</v>
      </c>
      <c r="BR159" s="52">
        <v>1211</v>
      </c>
      <c r="BS159" s="52"/>
      <c r="BT159" s="52">
        <v>2317</v>
      </c>
      <c r="BU159" s="52">
        <v>1038</v>
      </c>
      <c r="BV159" s="52">
        <v>1425</v>
      </c>
      <c r="BW159" s="52"/>
      <c r="BX159" s="52">
        <v>4891</v>
      </c>
      <c r="BY159" s="52">
        <v>4735</v>
      </c>
      <c r="BZ159" s="52">
        <v>8249</v>
      </c>
      <c r="CA159" s="52"/>
      <c r="CB159" s="52">
        <v>4235</v>
      </c>
      <c r="CC159" s="52">
        <v>3805</v>
      </c>
      <c r="CD159" s="52">
        <v>5017</v>
      </c>
      <c r="CE159" s="52"/>
      <c r="CF159" s="52">
        <v>10659</v>
      </c>
      <c r="CG159" s="52">
        <v>15800</v>
      </c>
      <c r="CH159" s="52">
        <v>8298</v>
      </c>
      <c r="CI159" s="52">
        <v>2447</v>
      </c>
      <c r="CJ159" s="52">
        <v>2402</v>
      </c>
      <c r="CK159" s="52">
        <v>4303</v>
      </c>
      <c r="CL159" s="52">
        <v>1902</v>
      </c>
      <c r="CM159" s="52">
        <v>1650</v>
      </c>
      <c r="CN159" s="52">
        <v>2831</v>
      </c>
      <c r="CO159" s="52">
        <v>4248</v>
      </c>
      <c r="CP159" s="52">
        <v>5530</v>
      </c>
      <c r="CQ159" s="52"/>
      <c r="CR159" s="52"/>
      <c r="CS159" s="52"/>
      <c r="CT159" s="52">
        <v>8828</v>
      </c>
      <c r="CU159" s="52"/>
      <c r="CV159" s="52"/>
      <c r="CW159" s="52">
        <v>3344</v>
      </c>
      <c r="CX159" s="52">
        <v>6793</v>
      </c>
      <c r="CY159" s="52">
        <v>4519</v>
      </c>
      <c r="CZ159" s="52">
        <v>3436</v>
      </c>
      <c r="DA159" s="52">
        <v>8135</v>
      </c>
      <c r="DB159" s="52">
        <v>3200</v>
      </c>
      <c r="DC159" s="52"/>
      <c r="DD159" s="52"/>
      <c r="DE159" s="52">
        <v>424854</v>
      </c>
      <c r="DF159" s="52"/>
      <c r="DG159" s="52">
        <v>424854</v>
      </c>
      <c r="DH159" s="52"/>
    </row>
    <row r="160" spans="1:112">
      <c r="A160" s="150" t="s">
        <v>411</v>
      </c>
      <c r="B160" s="44">
        <v>3599</v>
      </c>
      <c r="C160" s="44" t="s">
        <v>219</v>
      </c>
      <c r="D160" s="52"/>
      <c r="E160" s="52"/>
      <c r="F160" s="52">
        <v>13250</v>
      </c>
      <c r="G160" s="52"/>
      <c r="H160" s="56"/>
      <c r="I160" s="56">
        <v>4500</v>
      </c>
      <c r="J160" s="56"/>
      <c r="K160" s="56"/>
      <c r="L160" s="52"/>
      <c r="M160" s="52"/>
      <c r="N160" s="52"/>
      <c r="O160" s="52"/>
      <c r="P160" s="52">
        <v>1169</v>
      </c>
      <c r="Q160" s="52"/>
      <c r="R160" s="52"/>
      <c r="S160" s="52">
        <v>4475</v>
      </c>
      <c r="T160" s="52"/>
      <c r="U160" s="52">
        <v>191528</v>
      </c>
      <c r="V160" s="52"/>
      <c r="W160" s="52">
        <v>1000</v>
      </c>
      <c r="X160" s="52"/>
      <c r="Y160" s="52">
        <v>1555</v>
      </c>
      <c r="Z160" s="52">
        <v>2700</v>
      </c>
      <c r="AA160" s="52">
        <v>4500</v>
      </c>
      <c r="AB160" s="52">
        <v>150</v>
      </c>
      <c r="AC160" s="52"/>
      <c r="AD160" s="52"/>
      <c r="AE160" s="52">
        <v>982</v>
      </c>
      <c r="AF160" s="52"/>
      <c r="AG160" s="52">
        <v>13542</v>
      </c>
      <c r="AH160" s="52"/>
      <c r="AI160" s="52"/>
      <c r="AJ160" s="52"/>
      <c r="AK160" s="52">
        <v>1745</v>
      </c>
      <c r="AL160" s="52"/>
      <c r="AM160" s="52"/>
      <c r="AN160" s="52">
        <v>14948</v>
      </c>
      <c r="AO160" s="52">
        <v>862</v>
      </c>
      <c r="AP160" s="52"/>
      <c r="AQ160" s="52">
        <v>10000</v>
      </c>
      <c r="AR160" s="52"/>
      <c r="AS160" s="52">
        <v>24646</v>
      </c>
      <c r="AT160" s="52">
        <v>1000</v>
      </c>
      <c r="AU160" s="52"/>
      <c r="AV160" s="52"/>
      <c r="AW160" s="52"/>
      <c r="AX160" s="52"/>
      <c r="AY160" s="52">
        <v>14000</v>
      </c>
      <c r="AZ160" s="52">
        <v>58</v>
      </c>
      <c r="BA160" s="52"/>
      <c r="BB160" s="52"/>
      <c r="BC160" s="52"/>
      <c r="BD160" s="52"/>
      <c r="BE160" s="52">
        <v>2455</v>
      </c>
      <c r="BF160" s="52">
        <v>14000</v>
      </c>
      <c r="BG160" s="52"/>
      <c r="BH160" s="52">
        <v>4500</v>
      </c>
      <c r="BI160" s="52"/>
      <c r="BJ160" s="52"/>
      <c r="BK160" s="52">
        <v>33019</v>
      </c>
      <c r="BL160" s="52">
        <v>3551</v>
      </c>
      <c r="BM160" s="52">
        <v>9500</v>
      </c>
      <c r="BN160" s="52"/>
      <c r="BO160" s="52">
        <v>130</v>
      </c>
      <c r="BP160" s="52"/>
      <c r="BQ160" s="52">
        <v>12034</v>
      </c>
      <c r="BR160" s="52"/>
      <c r="BS160" s="52"/>
      <c r="BT160" s="52"/>
      <c r="BU160" s="52"/>
      <c r="BV160" s="52"/>
      <c r="BW160" s="52"/>
      <c r="BX160" s="52">
        <v>12988</v>
      </c>
      <c r="BY160" s="52"/>
      <c r="BZ160" s="52">
        <v>9150</v>
      </c>
      <c r="CA160" s="52"/>
      <c r="CB160" s="52"/>
      <c r="CC160" s="52">
        <v>16000</v>
      </c>
      <c r="CD160" s="52"/>
      <c r="CE160" s="52"/>
      <c r="CF160" s="52">
        <v>475</v>
      </c>
      <c r="CG160" s="52">
        <v>150</v>
      </c>
      <c r="CH160" s="52">
        <v>2983</v>
      </c>
      <c r="CI160" s="52"/>
      <c r="CJ160" s="52"/>
      <c r="CK160" s="52">
        <v>1200</v>
      </c>
      <c r="CL160" s="52"/>
      <c r="CM160" s="52"/>
      <c r="CN160" s="52">
        <v>9000</v>
      </c>
      <c r="CO160" s="52">
        <v>4500</v>
      </c>
      <c r="CP160" s="52">
        <v>8126</v>
      </c>
      <c r="CQ160" s="52"/>
      <c r="CR160" s="52"/>
      <c r="CS160" s="52"/>
      <c r="CT160" s="52">
        <v>585</v>
      </c>
      <c r="CU160" s="52"/>
      <c r="CV160" s="52"/>
      <c r="CW160" s="52"/>
      <c r="CX160" s="52">
        <v>2488</v>
      </c>
      <c r="CY160" s="52"/>
      <c r="CZ160" s="52">
        <v>3500</v>
      </c>
      <c r="DA160" s="52">
        <v>47500</v>
      </c>
      <c r="DB160" s="52"/>
      <c r="DC160" s="52"/>
      <c r="DD160" s="52"/>
      <c r="DE160" s="52">
        <v>504444</v>
      </c>
      <c r="DF160" s="52"/>
      <c r="DG160" s="52">
        <v>504444</v>
      </c>
      <c r="DH160" s="52"/>
    </row>
    <row r="161" spans="1:112">
      <c r="A161" s="150" t="s">
        <v>411</v>
      </c>
      <c r="B161" s="44">
        <v>3600</v>
      </c>
      <c r="C161" s="44" t="s">
        <v>220</v>
      </c>
      <c r="D161" s="52"/>
      <c r="E161" s="52"/>
      <c r="F161" s="52"/>
      <c r="G161" s="52"/>
      <c r="H161" s="56"/>
      <c r="I161" s="56"/>
      <c r="J161" s="56"/>
      <c r="K161" s="56"/>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row>
    <row r="162" spans="1:112">
      <c r="A162" s="150" t="s">
        <v>411</v>
      </c>
      <c r="B162" s="44">
        <v>3603</v>
      </c>
      <c r="C162" s="44" t="s">
        <v>221</v>
      </c>
      <c r="D162" s="52"/>
      <c r="E162" s="52">
        <v>18081</v>
      </c>
      <c r="F162" s="52"/>
      <c r="G162" s="52"/>
      <c r="H162" s="56"/>
      <c r="I162" s="56"/>
      <c r="J162" s="56"/>
      <c r="K162" s="56"/>
      <c r="L162" s="52"/>
      <c r="M162" s="52"/>
      <c r="N162" s="52"/>
      <c r="O162" s="52"/>
      <c r="P162" s="52"/>
      <c r="Q162" s="52"/>
      <c r="R162" s="52"/>
      <c r="S162" s="52"/>
      <c r="T162" s="52"/>
      <c r="U162" s="52"/>
      <c r="V162" s="52"/>
      <c r="W162" s="52"/>
      <c r="X162" s="52"/>
      <c r="Y162" s="52"/>
      <c r="Z162" s="52"/>
      <c r="AA162" s="52"/>
      <c r="AB162" s="52"/>
      <c r="AC162" s="52">
        <v>5000</v>
      </c>
      <c r="AD162" s="52"/>
      <c r="AE162" s="52"/>
      <c r="AF162" s="52"/>
      <c r="AG162" s="52"/>
      <c r="AH162" s="52">
        <v>9703</v>
      </c>
      <c r="AI162" s="52"/>
      <c r="AJ162" s="52"/>
      <c r="AK162" s="52"/>
      <c r="AL162" s="52"/>
      <c r="AM162" s="52"/>
      <c r="AN162" s="52"/>
      <c r="AO162" s="52"/>
      <c r="AP162" s="52"/>
      <c r="AQ162" s="52"/>
      <c r="AR162" s="52">
        <v>52745</v>
      </c>
      <c r="AS162" s="52">
        <v>15315</v>
      </c>
      <c r="AT162" s="52"/>
      <c r="AU162" s="52"/>
      <c r="AV162" s="52"/>
      <c r="AW162" s="52"/>
      <c r="AX162" s="52"/>
      <c r="AY162" s="52"/>
      <c r="AZ162" s="52"/>
      <c r="BA162" s="52"/>
      <c r="BB162" s="52"/>
      <c r="BC162" s="52"/>
      <c r="BD162" s="52"/>
      <c r="BE162" s="52"/>
      <c r="BF162" s="52"/>
      <c r="BG162" s="52">
        <v>138271</v>
      </c>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v>6418</v>
      </c>
      <c r="CQ162" s="52"/>
      <c r="CR162" s="52"/>
      <c r="CS162" s="52"/>
      <c r="CT162" s="52"/>
      <c r="CU162" s="52"/>
      <c r="CV162" s="52"/>
      <c r="CW162" s="52"/>
      <c r="CX162" s="52"/>
      <c r="CY162" s="52"/>
      <c r="CZ162" s="52"/>
      <c r="DA162" s="52"/>
      <c r="DB162" s="52"/>
      <c r="DC162" s="52"/>
      <c r="DD162" s="52"/>
      <c r="DE162" s="52">
        <v>245533</v>
      </c>
      <c r="DF162" s="52"/>
      <c r="DG162" s="52">
        <v>245533</v>
      </c>
      <c r="DH162" s="52"/>
    </row>
    <row r="163" spans="1:112">
      <c r="A163" s="150" t="s">
        <v>411</v>
      </c>
      <c r="B163" s="44">
        <v>3604</v>
      </c>
      <c r="C163" s="44" t="s">
        <v>222</v>
      </c>
      <c r="D163" s="52"/>
      <c r="E163" s="52"/>
      <c r="F163" s="52"/>
      <c r="G163" s="52"/>
      <c r="H163" s="56"/>
      <c r="I163" s="56"/>
      <c r="J163" s="56"/>
      <c r="K163" s="56"/>
      <c r="L163" s="52"/>
      <c r="M163" s="52"/>
      <c r="N163" s="52"/>
      <c r="O163" s="52"/>
      <c r="P163" s="52"/>
      <c r="Q163" s="52"/>
      <c r="R163" s="52"/>
      <c r="S163" s="52"/>
      <c r="T163" s="52"/>
      <c r="U163" s="52"/>
      <c r="V163" s="52"/>
      <c r="W163" s="52"/>
      <c r="X163" s="52"/>
      <c r="Y163" s="52"/>
      <c r="Z163" s="52"/>
      <c r="AA163" s="52"/>
      <c r="AB163" s="52"/>
      <c r="AC163" s="52"/>
      <c r="AD163" s="52">
        <v>221</v>
      </c>
      <c r="AE163" s="52"/>
      <c r="AF163" s="52"/>
      <c r="AG163" s="52"/>
      <c r="AH163" s="52">
        <v>16437</v>
      </c>
      <c r="AI163" s="52"/>
      <c r="AJ163" s="52"/>
      <c r="AK163" s="52">
        <v>799</v>
      </c>
      <c r="AL163" s="52"/>
      <c r="AM163" s="52"/>
      <c r="AN163" s="52"/>
      <c r="AO163" s="52"/>
      <c r="AP163" s="52"/>
      <c r="AQ163" s="52"/>
      <c r="AR163" s="52">
        <v>47875</v>
      </c>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v>39815</v>
      </c>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v>15778</v>
      </c>
      <c r="CV163" s="52"/>
      <c r="CW163" s="52"/>
      <c r="CX163" s="52"/>
      <c r="CY163" s="52"/>
      <c r="CZ163" s="52"/>
      <c r="DA163" s="52"/>
      <c r="DB163" s="52"/>
      <c r="DC163" s="52"/>
      <c r="DD163" s="52"/>
      <c r="DE163" s="52">
        <v>120925</v>
      </c>
      <c r="DF163" s="52"/>
      <c r="DG163" s="52">
        <v>120925</v>
      </c>
      <c r="DH163" s="52"/>
    </row>
    <row r="164" spans="1:112">
      <c r="A164" s="150" t="s">
        <v>411</v>
      </c>
      <c r="B164" s="44">
        <v>3605</v>
      </c>
      <c r="C164" s="44" t="s">
        <v>223</v>
      </c>
      <c r="D164" s="52"/>
      <c r="E164" s="52"/>
      <c r="F164" s="52"/>
      <c r="G164" s="52"/>
      <c r="H164" s="56"/>
      <c r="I164" s="56"/>
      <c r="J164" s="56"/>
      <c r="K164" s="56"/>
      <c r="L164" s="52"/>
      <c r="M164" s="52"/>
      <c r="N164" s="52"/>
      <c r="O164" s="52"/>
      <c r="P164" s="52"/>
      <c r="Q164" s="52"/>
      <c r="R164" s="52"/>
      <c r="S164" s="52"/>
      <c r="T164" s="52"/>
      <c r="U164" s="52"/>
      <c r="V164" s="52"/>
      <c r="W164" s="52"/>
      <c r="X164" s="52"/>
      <c r="Y164" s="52"/>
      <c r="Z164" s="52"/>
      <c r="AA164" s="52"/>
      <c r="AB164" s="52"/>
      <c r="AC164" s="52">
        <v>234</v>
      </c>
      <c r="AD164" s="52"/>
      <c r="AE164" s="52"/>
      <c r="AF164" s="52"/>
      <c r="AG164" s="52"/>
      <c r="AH164" s="52"/>
      <c r="AI164" s="52"/>
      <c r="AJ164" s="52"/>
      <c r="AK164" s="52"/>
      <c r="AL164" s="52"/>
      <c r="AM164" s="52"/>
      <c r="AN164" s="52"/>
      <c r="AO164" s="52"/>
      <c r="AP164" s="52">
        <v>16469</v>
      </c>
      <c r="AQ164" s="52"/>
      <c r="AR164" s="52">
        <v>284</v>
      </c>
      <c r="AS164" s="52">
        <v>751</v>
      </c>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v>4298</v>
      </c>
      <c r="CQ164" s="52"/>
      <c r="CR164" s="52"/>
      <c r="CS164" s="52"/>
      <c r="CT164" s="52"/>
      <c r="CU164" s="52"/>
      <c r="CV164" s="52"/>
      <c r="CW164" s="52"/>
      <c r="CX164" s="52"/>
      <c r="CY164" s="52"/>
      <c r="CZ164" s="52">
        <v>1438</v>
      </c>
      <c r="DA164" s="52"/>
      <c r="DB164" s="52"/>
      <c r="DC164" s="52"/>
      <c r="DD164" s="52"/>
      <c r="DE164" s="52">
        <v>23474</v>
      </c>
      <c r="DF164" s="52"/>
      <c r="DG164" s="52">
        <v>23474</v>
      </c>
      <c r="DH164" s="52"/>
    </row>
    <row r="165" spans="1:112">
      <c r="A165" s="150" t="s">
        <v>411</v>
      </c>
      <c r="B165" s="44">
        <v>3606</v>
      </c>
      <c r="C165" s="44" t="s">
        <v>224</v>
      </c>
      <c r="D165" s="52"/>
      <c r="E165" s="52"/>
      <c r="F165" s="52"/>
      <c r="G165" s="52"/>
      <c r="H165" s="56"/>
      <c r="I165" s="56"/>
      <c r="J165" s="56"/>
      <c r="K165" s="56"/>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v>4000</v>
      </c>
      <c r="AU165" s="52"/>
      <c r="AV165" s="52"/>
      <c r="AW165" s="52"/>
      <c r="AX165" s="52"/>
      <c r="AY165" s="52">
        <v>62400</v>
      </c>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v>54530</v>
      </c>
      <c r="DB165" s="52"/>
      <c r="DC165" s="52"/>
      <c r="DD165" s="52"/>
      <c r="DE165" s="52">
        <v>120930</v>
      </c>
      <c r="DF165" s="52"/>
      <c r="DG165" s="52">
        <v>120930</v>
      </c>
      <c r="DH165" s="52"/>
    </row>
    <row r="166" spans="1:112">
      <c r="A166" s="150" t="s">
        <v>411</v>
      </c>
      <c r="B166" s="44">
        <v>3607</v>
      </c>
      <c r="C166" s="44" t="s">
        <v>225</v>
      </c>
      <c r="D166" s="52">
        <v>5986</v>
      </c>
      <c r="E166" s="52">
        <v>66910</v>
      </c>
      <c r="F166" s="52"/>
      <c r="G166" s="52"/>
      <c r="H166" s="56">
        <v>27508</v>
      </c>
      <c r="I166" s="56">
        <v>9400</v>
      </c>
      <c r="J166" s="56">
        <v>1830</v>
      </c>
      <c r="K166" s="56">
        <v>2469</v>
      </c>
      <c r="L166" s="52">
        <v>23804</v>
      </c>
      <c r="M166" s="52"/>
      <c r="N166" s="52"/>
      <c r="O166" s="52">
        <v>4900</v>
      </c>
      <c r="P166" s="52">
        <v>2768</v>
      </c>
      <c r="Q166" s="52">
        <v>4000</v>
      </c>
      <c r="R166" s="52">
        <v>1791</v>
      </c>
      <c r="S166" s="52"/>
      <c r="T166" s="52"/>
      <c r="U166" s="52">
        <v>46400</v>
      </c>
      <c r="V166" s="52"/>
      <c r="W166" s="52">
        <v>57681</v>
      </c>
      <c r="X166" s="52">
        <v>5200</v>
      </c>
      <c r="Y166" s="52">
        <v>125631</v>
      </c>
      <c r="Z166" s="52">
        <v>34946</v>
      </c>
      <c r="AA166" s="52">
        <v>9026</v>
      </c>
      <c r="AB166" s="52">
        <v>31431</v>
      </c>
      <c r="AC166" s="52">
        <v>4230</v>
      </c>
      <c r="AD166" s="52">
        <v>7330</v>
      </c>
      <c r="AE166" s="52">
        <v>4200</v>
      </c>
      <c r="AF166" s="52"/>
      <c r="AG166" s="52">
        <v>20351</v>
      </c>
      <c r="AH166" s="52">
        <v>45301</v>
      </c>
      <c r="AI166" s="52"/>
      <c r="AJ166" s="52">
        <v>4100</v>
      </c>
      <c r="AK166" s="52"/>
      <c r="AL166" s="52">
        <v>5100</v>
      </c>
      <c r="AM166" s="52"/>
      <c r="AN166" s="52">
        <v>79600</v>
      </c>
      <c r="AO166" s="52">
        <v>8646</v>
      </c>
      <c r="AP166" s="52"/>
      <c r="AQ166" s="52">
        <v>13268</v>
      </c>
      <c r="AR166" s="52">
        <v>18252</v>
      </c>
      <c r="AS166" s="52">
        <v>29018</v>
      </c>
      <c r="AT166" s="52">
        <v>111500</v>
      </c>
      <c r="AU166" s="52">
        <v>7039</v>
      </c>
      <c r="AV166" s="52">
        <v>11014</v>
      </c>
      <c r="AW166" s="52">
        <v>4300</v>
      </c>
      <c r="AX166" s="52">
        <v>32180</v>
      </c>
      <c r="AY166" s="52">
        <v>191683</v>
      </c>
      <c r="AZ166" s="52">
        <v>19034</v>
      </c>
      <c r="BA166" s="52">
        <v>3903</v>
      </c>
      <c r="BB166" s="52">
        <v>4628</v>
      </c>
      <c r="BC166" s="52"/>
      <c r="BD166" s="52">
        <v>7500</v>
      </c>
      <c r="BE166" s="52">
        <v>8500</v>
      </c>
      <c r="BF166" s="52">
        <v>38709</v>
      </c>
      <c r="BG166" s="52"/>
      <c r="BH166" s="52">
        <v>54094</v>
      </c>
      <c r="BI166" s="52">
        <v>20658</v>
      </c>
      <c r="BJ166" s="52">
        <v>14507</v>
      </c>
      <c r="BK166" s="52">
        <v>10336</v>
      </c>
      <c r="BL166" s="52">
        <v>17578</v>
      </c>
      <c r="BM166" s="52">
        <v>47800</v>
      </c>
      <c r="BN166" s="52">
        <v>14264</v>
      </c>
      <c r="BO166" s="52">
        <v>10010</v>
      </c>
      <c r="BP166" s="52">
        <v>9300</v>
      </c>
      <c r="BQ166" s="52">
        <v>42188</v>
      </c>
      <c r="BR166" s="52"/>
      <c r="BS166" s="52"/>
      <c r="BT166" s="52">
        <v>8700</v>
      </c>
      <c r="BU166" s="52">
        <v>6060</v>
      </c>
      <c r="BV166" s="52">
        <v>7200</v>
      </c>
      <c r="BW166" s="52"/>
      <c r="BX166" s="52">
        <v>20429</v>
      </c>
      <c r="BY166" s="52">
        <v>14800</v>
      </c>
      <c r="BZ166" s="52">
        <v>25932</v>
      </c>
      <c r="CA166" s="52"/>
      <c r="CB166" s="52">
        <v>894</v>
      </c>
      <c r="CC166" s="52">
        <v>15000</v>
      </c>
      <c r="CD166" s="52">
        <v>19702</v>
      </c>
      <c r="CE166" s="52"/>
      <c r="CF166" s="52">
        <v>20640</v>
      </c>
      <c r="CG166" s="52">
        <v>70753</v>
      </c>
      <c r="CH166" s="52">
        <v>114621</v>
      </c>
      <c r="CI166" s="52">
        <v>6300</v>
      </c>
      <c r="CJ166" s="52"/>
      <c r="CK166" s="52"/>
      <c r="CL166" s="52">
        <v>8700</v>
      </c>
      <c r="CM166" s="52">
        <v>8400</v>
      </c>
      <c r="CN166" s="52">
        <v>14813</v>
      </c>
      <c r="CO166" s="52">
        <v>34178</v>
      </c>
      <c r="CP166" s="52">
        <v>8113</v>
      </c>
      <c r="CQ166" s="52"/>
      <c r="CR166" s="52"/>
      <c r="CS166" s="52"/>
      <c r="CT166" s="52">
        <v>30765</v>
      </c>
      <c r="CU166" s="52">
        <v>26489</v>
      </c>
      <c r="CV166" s="52"/>
      <c r="CW166" s="52">
        <v>16730</v>
      </c>
      <c r="CX166" s="52">
        <v>35186</v>
      </c>
      <c r="CY166" s="52">
        <v>9355</v>
      </c>
      <c r="CZ166" s="52">
        <v>25550</v>
      </c>
      <c r="DA166" s="52"/>
      <c r="DB166" s="52">
        <v>18300</v>
      </c>
      <c r="DC166" s="52">
        <v>4300</v>
      </c>
      <c r="DD166" s="52"/>
      <c r="DE166" s="52">
        <v>1949412</v>
      </c>
      <c r="DF166" s="52">
        <v>4300</v>
      </c>
      <c r="DG166" s="52">
        <v>1953712</v>
      </c>
      <c r="DH166" s="52"/>
    </row>
    <row r="167" spans="1:112">
      <c r="A167" s="150" t="s">
        <v>411</v>
      </c>
      <c r="B167" s="44">
        <v>3608</v>
      </c>
      <c r="C167" s="44" t="s">
        <v>209</v>
      </c>
      <c r="D167" s="52"/>
      <c r="E167" s="52"/>
      <c r="F167" s="52"/>
      <c r="G167" s="52"/>
      <c r="H167" s="56"/>
      <c r="I167" s="56"/>
      <c r="J167" s="56"/>
      <c r="K167" s="56"/>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v>1590</v>
      </c>
      <c r="DA167" s="52"/>
      <c r="DB167" s="52"/>
      <c r="DC167" s="52"/>
      <c r="DD167" s="52"/>
      <c r="DE167" s="52">
        <v>1590</v>
      </c>
      <c r="DF167" s="52"/>
      <c r="DG167" s="52">
        <v>1590</v>
      </c>
      <c r="DH167" s="52"/>
    </row>
    <row r="168" spans="1:112">
      <c r="A168" s="150" t="s">
        <v>411</v>
      </c>
      <c r="B168" s="44">
        <v>3610</v>
      </c>
      <c r="C168" s="44" t="s">
        <v>226</v>
      </c>
      <c r="D168" s="52">
        <v>179023</v>
      </c>
      <c r="E168" s="52">
        <v>1559252</v>
      </c>
      <c r="F168" s="52">
        <v>36710</v>
      </c>
      <c r="G168" s="52"/>
      <c r="H168" s="56">
        <v>465306</v>
      </c>
      <c r="I168" s="56">
        <v>264783</v>
      </c>
      <c r="J168" s="56">
        <v>293238</v>
      </c>
      <c r="K168" s="56">
        <v>269588</v>
      </c>
      <c r="L168" s="52">
        <v>758198</v>
      </c>
      <c r="M168" s="52"/>
      <c r="N168" s="52"/>
      <c r="O168" s="52">
        <v>183373</v>
      </c>
      <c r="P168" s="52">
        <v>67878</v>
      </c>
      <c r="Q168" s="52">
        <v>111545</v>
      </c>
      <c r="R168" s="52">
        <v>117852</v>
      </c>
      <c r="S168" s="52">
        <v>244400</v>
      </c>
      <c r="T168" s="52"/>
      <c r="U168" s="52">
        <v>993761</v>
      </c>
      <c r="V168" s="52"/>
      <c r="W168" s="52">
        <v>1330157</v>
      </c>
      <c r="X168" s="52">
        <v>267635</v>
      </c>
      <c r="Y168" s="52">
        <v>1956060</v>
      </c>
      <c r="Z168" s="52">
        <v>757999</v>
      </c>
      <c r="AA168" s="52">
        <v>497149</v>
      </c>
      <c r="AB168" s="52">
        <v>544447</v>
      </c>
      <c r="AC168" s="52">
        <v>226423</v>
      </c>
      <c r="AD168" s="52">
        <v>260905</v>
      </c>
      <c r="AE168" s="52">
        <v>114900</v>
      </c>
      <c r="AF168" s="52"/>
      <c r="AG168" s="52">
        <v>564554</v>
      </c>
      <c r="AH168" s="52"/>
      <c r="AI168" s="52"/>
      <c r="AJ168" s="52">
        <v>121528</v>
      </c>
      <c r="AK168" s="52">
        <v>286481</v>
      </c>
      <c r="AL168" s="52">
        <v>160200</v>
      </c>
      <c r="AM168" s="52"/>
      <c r="AN168" s="52">
        <v>832375</v>
      </c>
      <c r="AO168" s="52">
        <v>238211</v>
      </c>
      <c r="AP168" s="52"/>
      <c r="AQ168" s="52">
        <v>360937</v>
      </c>
      <c r="AR168" s="52">
        <v>334385</v>
      </c>
      <c r="AS168" s="52">
        <v>983644</v>
      </c>
      <c r="AT168" s="52"/>
      <c r="AU168" s="52">
        <v>272860</v>
      </c>
      <c r="AV168" s="52">
        <v>198653</v>
      </c>
      <c r="AW168" s="52">
        <v>127000</v>
      </c>
      <c r="AX168" s="52">
        <v>509088</v>
      </c>
      <c r="AY168" s="52">
        <v>3995169</v>
      </c>
      <c r="AZ168" s="52">
        <v>720927</v>
      </c>
      <c r="BA168" s="52">
        <v>120217</v>
      </c>
      <c r="BB168" s="52">
        <v>115918</v>
      </c>
      <c r="BC168" s="52"/>
      <c r="BD168" s="52">
        <v>192347</v>
      </c>
      <c r="BE168" s="52">
        <v>225200</v>
      </c>
      <c r="BF168" s="52">
        <v>1910221</v>
      </c>
      <c r="BG168" s="52">
        <v>254564</v>
      </c>
      <c r="BH168" s="52">
        <v>789216</v>
      </c>
      <c r="BI168" s="52">
        <v>573792</v>
      </c>
      <c r="BJ168" s="52">
        <v>751605</v>
      </c>
      <c r="BK168" s="52">
        <v>268134</v>
      </c>
      <c r="BL168" s="52">
        <v>228619</v>
      </c>
      <c r="BM168" s="52">
        <v>1291791</v>
      </c>
      <c r="BN168" s="52">
        <v>768984</v>
      </c>
      <c r="BO168" s="52">
        <v>167000</v>
      </c>
      <c r="BP168" s="52">
        <v>445714</v>
      </c>
      <c r="BQ168" s="52">
        <v>1428188</v>
      </c>
      <c r="BR168" s="52">
        <v>110676</v>
      </c>
      <c r="BS168" s="52"/>
      <c r="BT168" s="52">
        <v>279013</v>
      </c>
      <c r="BU168" s="52">
        <v>187499</v>
      </c>
      <c r="BV168" s="52">
        <v>155500</v>
      </c>
      <c r="BW168" s="52"/>
      <c r="BX168" s="52">
        <v>405466</v>
      </c>
      <c r="BY168" s="52">
        <v>393600</v>
      </c>
      <c r="BZ168" s="52">
        <v>922732</v>
      </c>
      <c r="CA168" s="52"/>
      <c r="CB168" s="52">
        <v>330695</v>
      </c>
      <c r="CC168" s="52">
        <v>307824</v>
      </c>
      <c r="CD168" s="52">
        <v>428163</v>
      </c>
      <c r="CE168" s="52"/>
      <c r="CF168" s="52">
        <v>1023865</v>
      </c>
      <c r="CG168" s="52">
        <v>1350249</v>
      </c>
      <c r="CH168" s="52">
        <v>1144102</v>
      </c>
      <c r="CI168" s="52">
        <v>166600</v>
      </c>
      <c r="CJ168" s="52">
        <v>445000</v>
      </c>
      <c r="CK168" s="52">
        <v>553018</v>
      </c>
      <c r="CL168" s="52">
        <v>265200</v>
      </c>
      <c r="CM168" s="52">
        <v>204039</v>
      </c>
      <c r="CN168" s="52">
        <v>437118</v>
      </c>
      <c r="CO168" s="52">
        <v>611000</v>
      </c>
      <c r="CP168" s="52">
        <v>511897</v>
      </c>
      <c r="CQ168" s="52"/>
      <c r="CR168" s="52"/>
      <c r="CS168" s="52"/>
      <c r="CT168" s="52">
        <v>670907</v>
      </c>
      <c r="CU168" s="52">
        <v>615922</v>
      </c>
      <c r="CV168" s="52"/>
      <c r="CW168" s="52">
        <v>467408</v>
      </c>
      <c r="CX168" s="52">
        <v>366189</v>
      </c>
      <c r="CY168" s="52">
        <v>312111</v>
      </c>
      <c r="CZ168" s="52">
        <v>312390</v>
      </c>
      <c r="DA168" s="52">
        <v>1105895</v>
      </c>
      <c r="DB168" s="52">
        <v>419700</v>
      </c>
      <c r="DC168" s="52"/>
      <c r="DD168" s="52"/>
      <c r="DE168" s="52">
        <v>45241882</v>
      </c>
      <c r="DF168" s="52"/>
      <c r="DG168" s="52">
        <v>45241882</v>
      </c>
      <c r="DH168" s="52"/>
    </row>
    <row r="169" spans="1:112">
      <c r="A169" s="150" t="s">
        <v>411</v>
      </c>
      <c r="B169" s="44">
        <v>3615</v>
      </c>
      <c r="C169" s="44" t="s">
        <v>204</v>
      </c>
      <c r="D169" s="52"/>
      <c r="E169" s="52"/>
      <c r="F169" s="52"/>
      <c r="G169" s="52"/>
      <c r="H169" s="56"/>
      <c r="I169" s="56"/>
      <c r="J169" s="56"/>
      <c r="K169" s="56"/>
      <c r="L169" s="52"/>
      <c r="M169" s="52"/>
      <c r="N169" s="52"/>
      <c r="O169" s="52"/>
      <c r="P169" s="52"/>
      <c r="Q169" s="52"/>
      <c r="R169" s="52"/>
      <c r="S169" s="52"/>
      <c r="T169" s="52"/>
      <c r="U169" s="52"/>
      <c r="V169" s="52"/>
      <c r="W169" s="52"/>
      <c r="X169" s="52"/>
      <c r="Y169" s="52">
        <v>3060193</v>
      </c>
      <c r="Z169" s="52"/>
      <c r="AA169" s="52"/>
      <c r="AB169" s="52"/>
      <c r="AC169" s="52"/>
      <c r="AD169" s="52"/>
      <c r="AE169" s="52"/>
      <c r="AF169" s="52"/>
      <c r="AG169" s="52">
        <v>419930</v>
      </c>
      <c r="AH169" s="52"/>
      <c r="AI169" s="52"/>
      <c r="AJ169" s="52"/>
      <c r="AK169" s="52"/>
      <c r="AL169" s="52"/>
      <c r="AM169" s="52"/>
      <c r="AN169" s="52"/>
      <c r="AO169" s="52"/>
      <c r="AP169" s="52"/>
      <c r="AQ169" s="52"/>
      <c r="AR169" s="52"/>
      <c r="AS169" s="52"/>
      <c r="AT169" s="52"/>
      <c r="AU169" s="52"/>
      <c r="AV169" s="52"/>
      <c r="AW169" s="52"/>
      <c r="AX169" s="52"/>
      <c r="AY169" s="52">
        <v>1537605</v>
      </c>
      <c r="AZ169" s="52"/>
      <c r="BA169" s="52"/>
      <c r="BB169" s="52"/>
      <c r="BC169" s="52"/>
      <c r="BD169" s="52"/>
      <c r="BE169" s="52"/>
      <c r="BF169" s="52"/>
      <c r="BG169" s="52">
        <v>611701</v>
      </c>
      <c r="BH169" s="52"/>
      <c r="BI169" s="52"/>
      <c r="BJ169" s="52"/>
      <c r="BK169" s="52"/>
      <c r="BL169" s="52">
        <v>882730</v>
      </c>
      <c r="BM169" s="52"/>
      <c r="BN169" s="52"/>
      <c r="BO169" s="52"/>
      <c r="BP169" s="52"/>
      <c r="BQ169" s="52"/>
      <c r="BR169" s="52"/>
      <c r="BS169" s="52"/>
      <c r="BT169" s="52"/>
      <c r="BU169" s="52"/>
      <c r="BV169" s="52"/>
      <c r="BW169" s="52"/>
      <c r="BX169" s="52">
        <v>942060</v>
      </c>
      <c r="BY169" s="52"/>
      <c r="BZ169" s="52"/>
      <c r="CA169" s="52"/>
      <c r="CB169" s="52"/>
      <c r="CC169" s="52"/>
      <c r="CD169" s="52"/>
      <c r="CE169" s="52"/>
      <c r="CF169" s="52"/>
      <c r="CG169" s="52">
        <v>1412027</v>
      </c>
      <c r="CH169" s="52"/>
      <c r="CI169" s="52"/>
      <c r="CJ169" s="52"/>
      <c r="CK169" s="52"/>
      <c r="CL169" s="52"/>
      <c r="CM169" s="52"/>
      <c r="CN169" s="52"/>
      <c r="CO169" s="52"/>
      <c r="CP169" s="52">
        <v>303864</v>
      </c>
      <c r="CQ169" s="52"/>
      <c r="CR169" s="52"/>
      <c r="CS169" s="52"/>
      <c r="CT169" s="52"/>
      <c r="CU169" s="52"/>
      <c r="CV169" s="52"/>
      <c r="CW169" s="52"/>
      <c r="CX169" s="52"/>
      <c r="CY169" s="52"/>
      <c r="CZ169" s="52"/>
      <c r="DA169" s="52"/>
      <c r="DB169" s="52"/>
      <c r="DC169" s="52"/>
      <c r="DD169" s="52"/>
      <c r="DE169" s="52">
        <v>9170110</v>
      </c>
      <c r="DF169" s="52"/>
      <c r="DG169" s="52">
        <v>9170110</v>
      </c>
      <c r="DH169" s="52"/>
    </row>
    <row r="170" spans="1:112">
      <c r="A170" s="150" t="s">
        <v>411</v>
      </c>
      <c r="B170" s="44">
        <v>3699</v>
      </c>
      <c r="C170" s="44" t="s">
        <v>227</v>
      </c>
      <c r="D170" s="52"/>
      <c r="E170" s="52">
        <v>80</v>
      </c>
      <c r="F170" s="52">
        <v>4476</v>
      </c>
      <c r="G170" s="52"/>
      <c r="H170" s="56">
        <v>24911</v>
      </c>
      <c r="I170" s="56"/>
      <c r="J170" s="56">
        <v>2400</v>
      </c>
      <c r="K170" s="56"/>
      <c r="L170" s="52">
        <v>475</v>
      </c>
      <c r="M170" s="52"/>
      <c r="N170" s="52"/>
      <c r="O170" s="52">
        <v>1193</v>
      </c>
      <c r="P170" s="52"/>
      <c r="Q170" s="52"/>
      <c r="R170" s="52">
        <v>2803</v>
      </c>
      <c r="S170" s="52"/>
      <c r="T170" s="52"/>
      <c r="U170" s="52"/>
      <c r="V170" s="52"/>
      <c r="W170" s="52"/>
      <c r="X170" s="52"/>
      <c r="Y170" s="52">
        <v>5366</v>
      </c>
      <c r="Z170" s="52"/>
      <c r="AA170" s="52"/>
      <c r="AB170" s="52">
        <v>9571</v>
      </c>
      <c r="AC170" s="52">
        <v>4149</v>
      </c>
      <c r="AD170" s="52"/>
      <c r="AE170" s="52"/>
      <c r="AF170" s="52"/>
      <c r="AG170" s="52">
        <v>21227</v>
      </c>
      <c r="AH170" s="52">
        <v>11853</v>
      </c>
      <c r="AI170" s="52"/>
      <c r="AJ170" s="52">
        <v>1267</v>
      </c>
      <c r="AK170" s="52"/>
      <c r="AL170" s="52"/>
      <c r="AM170" s="52"/>
      <c r="AN170" s="52"/>
      <c r="AO170" s="52">
        <v>7399</v>
      </c>
      <c r="AP170" s="52"/>
      <c r="AQ170" s="52"/>
      <c r="AR170" s="52"/>
      <c r="AS170" s="52"/>
      <c r="AT170" s="52"/>
      <c r="AU170" s="52"/>
      <c r="AV170" s="52"/>
      <c r="AW170" s="52"/>
      <c r="AX170" s="52">
        <v>793</v>
      </c>
      <c r="AY170" s="52"/>
      <c r="AZ170" s="52">
        <v>2689</v>
      </c>
      <c r="BA170" s="52"/>
      <c r="BB170" s="52"/>
      <c r="BC170" s="52"/>
      <c r="BD170" s="52">
        <v>22</v>
      </c>
      <c r="BE170" s="52"/>
      <c r="BF170" s="52">
        <v>7539</v>
      </c>
      <c r="BG170" s="52"/>
      <c r="BH170" s="52">
        <v>15119</v>
      </c>
      <c r="BI170" s="52"/>
      <c r="BJ170" s="52"/>
      <c r="BK170" s="52"/>
      <c r="BL170" s="52">
        <v>4500</v>
      </c>
      <c r="BM170" s="52">
        <v>899</v>
      </c>
      <c r="BN170" s="52">
        <v>7000</v>
      </c>
      <c r="BO170" s="52"/>
      <c r="BP170" s="52">
        <v>170612</v>
      </c>
      <c r="BQ170" s="52"/>
      <c r="BR170" s="52"/>
      <c r="BS170" s="52"/>
      <c r="BT170" s="52">
        <v>3693</v>
      </c>
      <c r="BU170" s="52">
        <v>1129</v>
      </c>
      <c r="BV170" s="52"/>
      <c r="BW170" s="52"/>
      <c r="BX170" s="52">
        <v>6300</v>
      </c>
      <c r="BY170" s="52">
        <v>2533</v>
      </c>
      <c r="BZ170" s="52">
        <v>2353</v>
      </c>
      <c r="CA170" s="52"/>
      <c r="CB170" s="52"/>
      <c r="CC170" s="52">
        <v>1461</v>
      </c>
      <c r="CD170" s="52"/>
      <c r="CE170" s="52"/>
      <c r="CF170" s="52">
        <v>3370</v>
      </c>
      <c r="CG170" s="52">
        <v>432898</v>
      </c>
      <c r="CH170" s="52">
        <v>17772</v>
      </c>
      <c r="CI170" s="52">
        <v>47254</v>
      </c>
      <c r="CJ170" s="52"/>
      <c r="CK170" s="52"/>
      <c r="CL170" s="52"/>
      <c r="CM170" s="52"/>
      <c r="CN170" s="52"/>
      <c r="CO170" s="52">
        <v>24303</v>
      </c>
      <c r="CP170" s="52">
        <v>209553</v>
      </c>
      <c r="CQ170" s="52"/>
      <c r="CR170" s="52"/>
      <c r="CS170" s="52"/>
      <c r="CT170" s="52">
        <v>59298</v>
      </c>
      <c r="CU170" s="52">
        <v>26717</v>
      </c>
      <c r="CV170" s="52"/>
      <c r="CW170" s="52">
        <v>90247</v>
      </c>
      <c r="CX170" s="52">
        <v>54874</v>
      </c>
      <c r="CY170" s="52">
        <v>4695</v>
      </c>
      <c r="CZ170" s="52"/>
      <c r="DA170" s="52">
        <v>39740</v>
      </c>
      <c r="DB170" s="52"/>
      <c r="DC170" s="52"/>
      <c r="DD170" s="52"/>
      <c r="DE170" s="52">
        <v>1334533</v>
      </c>
      <c r="DF170" s="52"/>
      <c r="DG170" s="52">
        <v>1334533</v>
      </c>
      <c r="DH170" s="52"/>
    </row>
    <row r="171" spans="1:112">
      <c r="A171" s="150" t="s">
        <v>411</v>
      </c>
      <c r="B171" s="44">
        <v>3810</v>
      </c>
      <c r="C171" s="44" t="s">
        <v>229</v>
      </c>
      <c r="D171" s="52">
        <v>1321955</v>
      </c>
      <c r="E171" s="52">
        <v>8147500</v>
      </c>
      <c r="F171" s="52">
        <v>413385</v>
      </c>
      <c r="G171" s="52">
        <v>45432</v>
      </c>
      <c r="H171" s="56">
        <v>1717987</v>
      </c>
      <c r="I171" s="56">
        <v>958028</v>
      </c>
      <c r="J171" s="56">
        <v>539881</v>
      </c>
      <c r="K171" s="56">
        <v>1045976</v>
      </c>
      <c r="L171" s="52">
        <v>3707699</v>
      </c>
      <c r="M171" s="52">
        <v>181347</v>
      </c>
      <c r="N171" s="52">
        <v>411803</v>
      </c>
      <c r="O171" s="52">
        <v>474587</v>
      </c>
      <c r="P171" s="52">
        <v>349410</v>
      </c>
      <c r="Q171" s="52">
        <v>183447</v>
      </c>
      <c r="R171" s="52">
        <v>232270</v>
      </c>
      <c r="S171" s="52">
        <v>597820</v>
      </c>
      <c r="T171" s="52"/>
      <c r="U171" s="52">
        <v>7036261</v>
      </c>
      <c r="V171" s="52"/>
      <c r="W171" s="52">
        <v>8124018</v>
      </c>
      <c r="X171" s="52">
        <v>785314</v>
      </c>
      <c r="Y171" s="52">
        <v>16955782</v>
      </c>
      <c r="Z171" s="52">
        <v>2842750</v>
      </c>
      <c r="AA171" s="52">
        <v>2027221</v>
      </c>
      <c r="AB171" s="52">
        <v>1858326</v>
      </c>
      <c r="AC171" s="52">
        <v>322096</v>
      </c>
      <c r="AD171" s="52">
        <v>581142</v>
      </c>
      <c r="AE171" s="52">
        <v>288106</v>
      </c>
      <c r="AF171" s="52">
        <v>41143</v>
      </c>
      <c r="AG171" s="52">
        <v>2098075</v>
      </c>
      <c r="AH171" s="52">
        <v>3748257</v>
      </c>
      <c r="AI171" s="52">
        <v>53077</v>
      </c>
      <c r="AJ171" s="52">
        <v>142946</v>
      </c>
      <c r="AK171" s="52">
        <v>517989</v>
      </c>
      <c r="AL171" s="52">
        <v>184116</v>
      </c>
      <c r="AM171" s="52">
        <v>185463</v>
      </c>
      <c r="AN171" s="52">
        <v>6075787</v>
      </c>
      <c r="AO171" s="52">
        <v>888604</v>
      </c>
      <c r="AP171" s="52"/>
      <c r="AQ171" s="52">
        <v>1553034</v>
      </c>
      <c r="AR171" s="52">
        <v>1395634</v>
      </c>
      <c r="AS171" s="52">
        <v>4230371</v>
      </c>
      <c r="AT171" s="52">
        <v>290640</v>
      </c>
      <c r="AU171" s="52">
        <v>802083</v>
      </c>
      <c r="AV171" s="52">
        <v>309117</v>
      </c>
      <c r="AW171" s="52">
        <v>276138</v>
      </c>
      <c r="AX171" s="52">
        <v>4615361</v>
      </c>
      <c r="AY171" s="52">
        <v>23410334</v>
      </c>
      <c r="AZ171" s="52">
        <v>2163644</v>
      </c>
      <c r="BA171" s="52">
        <v>325627</v>
      </c>
      <c r="BB171" s="52">
        <v>164380</v>
      </c>
      <c r="BC171" s="52">
        <v>75853</v>
      </c>
      <c r="BD171" s="52">
        <v>839282</v>
      </c>
      <c r="BE171" s="52">
        <v>493246</v>
      </c>
      <c r="BF171" s="52">
        <v>11696932</v>
      </c>
      <c r="BG171" s="52">
        <v>980937</v>
      </c>
      <c r="BH171" s="52">
        <v>3705358</v>
      </c>
      <c r="BI171" s="52">
        <v>3724743</v>
      </c>
      <c r="BJ171" s="52">
        <v>1824066</v>
      </c>
      <c r="BK171" s="52">
        <v>933593</v>
      </c>
      <c r="BL171" s="52">
        <v>908086</v>
      </c>
      <c r="BM171" s="52">
        <v>8055568</v>
      </c>
      <c r="BN171" s="52">
        <v>4999144</v>
      </c>
      <c r="BO171" s="52">
        <v>992749</v>
      </c>
      <c r="BP171" s="52">
        <v>913225</v>
      </c>
      <c r="BQ171" s="52">
        <v>10580071</v>
      </c>
      <c r="BR171" s="52">
        <v>404119</v>
      </c>
      <c r="BS171" s="52">
        <v>104952</v>
      </c>
      <c r="BT171" s="52">
        <v>777587</v>
      </c>
      <c r="BU171" s="52">
        <v>489668</v>
      </c>
      <c r="BV171" s="52">
        <v>321595</v>
      </c>
      <c r="BW171" s="52">
        <v>172368</v>
      </c>
      <c r="BX171" s="52">
        <v>990059</v>
      </c>
      <c r="BY171" s="52">
        <v>2148612</v>
      </c>
      <c r="BZ171" s="52">
        <v>3948128</v>
      </c>
      <c r="CA171" s="52"/>
      <c r="CB171" s="52">
        <v>1180108</v>
      </c>
      <c r="CC171" s="52">
        <v>941588</v>
      </c>
      <c r="CD171" s="52">
        <v>3520353</v>
      </c>
      <c r="CE171" s="52"/>
      <c r="CF171" s="52">
        <v>5897452</v>
      </c>
      <c r="CG171" s="52">
        <v>13184416</v>
      </c>
      <c r="CH171" s="52">
        <v>8759333</v>
      </c>
      <c r="CI171" s="52">
        <v>832712</v>
      </c>
      <c r="CJ171" s="52">
        <v>2081756</v>
      </c>
      <c r="CK171" s="52">
        <v>3198243</v>
      </c>
      <c r="CL171" s="52">
        <v>1091770</v>
      </c>
      <c r="CM171" s="52">
        <v>892411</v>
      </c>
      <c r="CN171" s="52">
        <v>1681807</v>
      </c>
      <c r="CO171" s="52">
        <v>3175730</v>
      </c>
      <c r="CP171" s="52">
        <v>4896380</v>
      </c>
      <c r="CQ171" s="52">
        <v>212647</v>
      </c>
      <c r="CR171" s="52"/>
      <c r="CS171" s="52"/>
      <c r="CT171" s="52">
        <v>1808552</v>
      </c>
      <c r="CU171" s="52">
        <v>2452050</v>
      </c>
      <c r="CV171" s="52"/>
      <c r="CW171" s="52">
        <v>1564231</v>
      </c>
      <c r="CX171" s="52">
        <v>1366370</v>
      </c>
      <c r="CY171" s="52">
        <v>1805466</v>
      </c>
      <c r="CZ171" s="52">
        <v>1655984</v>
      </c>
      <c r="DA171" s="52">
        <v>5991204</v>
      </c>
      <c r="DB171" s="52">
        <v>2081523</v>
      </c>
      <c r="DC171" s="52"/>
      <c r="DD171" s="52"/>
      <c r="DE171" s="52">
        <v>244973390</v>
      </c>
      <c r="DF171" s="52"/>
      <c r="DG171" s="52">
        <v>244973390</v>
      </c>
      <c r="DH171" s="52"/>
    </row>
    <row r="172" spans="1:112">
      <c r="A172" s="150" t="s">
        <v>411</v>
      </c>
      <c r="B172" s="44">
        <v>3820</v>
      </c>
      <c r="C172" s="44" t="s">
        <v>230</v>
      </c>
      <c r="D172" s="52">
        <v>837366</v>
      </c>
      <c r="E172" s="52"/>
      <c r="F172" s="52">
        <v>304127</v>
      </c>
      <c r="G172" s="52">
        <v>27559</v>
      </c>
      <c r="H172" s="56">
        <v>882249</v>
      </c>
      <c r="I172" s="56">
        <v>791024</v>
      </c>
      <c r="J172" s="56">
        <v>371997</v>
      </c>
      <c r="K172" s="56">
        <v>592880</v>
      </c>
      <c r="L172" s="52">
        <v>2171654</v>
      </c>
      <c r="M172" s="52">
        <v>55214</v>
      </c>
      <c r="N172" s="52">
        <v>150151</v>
      </c>
      <c r="O172" s="52">
        <v>330844</v>
      </c>
      <c r="P172" s="52">
        <v>240388</v>
      </c>
      <c r="Q172" s="52">
        <v>123417</v>
      </c>
      <c r="R172" s="52">
        <v>115085</v>
      </c>
      <c r="S172" s="52">
        <v>301635</v>
      </c>
      <c r="T172" s="52">
        <v>63654</v>
      </c>
      <c r="U172" s="52">
        <v>2439630</v>
      </c>
      <c r="V172" s="52"/>
      <c r="W172" s="52">
        <v>2705991</v>
      </c>
      <c r="X172" s="52">
        <v>301400</v>
      </c>
      <c r="Y172" s="52">
        <v>3592450</v>
      </c>
      <c r="Z172" s="52">
        <v>1367886</v>
      </c>
      <c r="AA172" s="52">
        <v>1094721</v>
      </c>
      <c r="AB172" s="52">
        <v>888965</v>
      </c>
      <c r="AC172" s="52">
        <v>227465</v>
      </c>
      <c r="AD172" s="52">
        <v>1830835</v>
      </c>
      <c r="AE172" s="52">
        <v>143021</v>
      </c>
      <c r="AF172" s="52"/>
      <c r="AG172" s="52">
        <v>727201</v>
      </c>
      <c r="AH172" s="52">
        <v>1637395</v>
      </c>
      <c r="AI172" s="52">
        <v>22203</v>
      </c>
      <c r="AJ172" s="52">
        <v>56405</v>
      </c>
      <c r="AK172" s="52">
        <v>248374</v>
      </c>
      <c r="AL172" s="52">
        <v>103148</v>
      </c>
      <c r="AM172" s="52">
        <v>55978</v>
      </c>
      <c r="AN172" s="52">
        <v>1490744</v>
      </c>
      <c r="AO172" s="52">
        <v>634879</v>
      </c>
      <c r="AP172" s="52"/>
      <c r="AQ172" s="52">
        <v>613681</v>
      </c>
      <c r="AR172" s="52">
        <v>673986</v>
      </c>
      <c r="AS172" s="52">
        <v>1763548</v>
      </c>
      <c r="AT172" s="52">
        <v>274744</v>
      </c>
      <c r="AU172" s="52">
        <v>473576</v>
      </c>
      <c r="AV172" s="52">
        <v>170795</v>
      </c>
      <c r="AW172" s="52">
        <v>170328</v>
      </c>
      <c r="AX172" s="52">
        <v>1198330</v>
      </c>
      <c r="AY172" s="52">
        <v>8172065</v>
      </c>
      <c r="AZ172" s="52">
        <v>1918798</v>
      </c>
      <c r="BA172" s="52">
        <v>232645</v>
      </c>
      <c r="BB172" s="52">
        <v>259918</v>
      </c>
      <c r="BC172" s="52">
        <v>71870</v>
      </c>
      <c r="BD172" s="52">
        <v>460727</v>
      </c>
      <c r="BE172" s="52">
        <v>266112</v>
      </c>
      <c r="BF172" s="52">
        <v>5072503</v>
      </c>
      <c r="BG172" s="52">
        <v>298506</v>
      </c>
      <c r="BH172" s="52">
        <v>1345884</v>
      </c>
      <c r="BI172" s="52">
        <v>1572993</v>
      </c>
      <c r="BJ172" s="52">
        <v>788798</v>
      </c>
      <c r="BK172" s="52">
        <v>524196</v>
      </c>
      <c r="BL172" s="52">
        <v>906298</v>
      </c>
      <c r="BM172" s="52">
        <v>2860310</v>
      </c>
      <c r="BN172" s="52">
        <v>1534444</v>
      </c>
      <c r="BO172" s="52">
        <v>506051</v>
      </c>
      <c r="BP172" s="52">
        <v>404589</v>
      </c>
      <c r="BQ172" s="52">
        <v>2153750</v>
      </c>
      <c r="BR172" s="52">
        <v>331519</v>
      </c>
      <c r="BS172" s="52">
        <v>76575</v>
      </c>
      <c r="BT172" s="52">
        <v>327818</v>
      </c>
      <c r="BU172" s="52">
        <v>217196</v>
      </c>
      <c r="BV172" s="52">
        <v>134326</v>
      </c>
      <c r="BW172" s="52">
        <v>67445</v>
      </c>
      <c r="BX172" s="52">
        <v>665842</v>
      </c>
      <c r="BY172" s="52">
        <v>1549572</v>
      </c>
      <c r="BZ172" s="52">
        <v>1849424</v>
      </c>
      <c r="CA172" s="52"/>
      <c r="CB172" s="52">
        <v>657680</v>
      </c>
      <c r="CC172" s="52">
        <v>445795</v>
      </c>
      <c r="CD172" s="52">
        <v>1326604</v>
      </c>
      <c r="CE172" s="52"/>
      <c r="CF172" s="52">
        <v>2218752</v>
      </c>
      <c r="CG172" s="52">
        <v>4777289</v>
      </c>
      <c r="CH172" s="52"/>
      <c r="CI172" s="52">
        <v>445048</v>
      </c>
      <c r="CJ172" s="52">
        <v>930351</v>
      </c>
      <c r="CK172" s="52">
        <v>1012754</v>
      </c>
      <c r="CL172" s="52">
        <v>580080</v>
      </c>
      <c r="CM172" s="52">
        <v>367139</v>
      </c>
      <c r="CN172" s="52">
        <v>913844</v>
      </c>
      <c r="CO172" s="52">
        <v>1188759</v>
      </c>
      <c r="CP172" s="52">
        <v>1749540</v>
      </c>
      <c r="CQ172" s="52">
        <v>67505</v>
      </c>
      <c r="CR172" s="52">
        <v>67370</v>
      </c>
      <c r="CS172" s="52">
        <v>101632</v>
      </c>
      <c r="CT172" s="52">
        <v>698050</v>
      </c>
      <c r="CU172" s="52">
        <v>879843</v>
      </c>
      <c r="CV172" s="52"/>
      <c r="CW172" s="52">
        <v>903969</v>
      </c>
      <c r="CX172" s="52">
        <v>656438</v>
      </c>
      <c r="CY172" s="52">
        <v>710678</v>
      </c>
      <c r="CZ172" s="52">
        <v>668537</v>
      </c>
      <c r="DA172" s="52">
        <v>2205422</v>
      </c>
      <c r="DB172" s="52">
        <v>728059</v>
      </c>
      <c r="DC172" s="52"/>
      <c r="DD172" s="52"/>
      <c r="DE172" s="52">
        <v>91138235</v>
      </c>
      <c r="DF172" s="52"/>
      <c r="DG172" s="52">
        <v>91138235</v>
      </c>
      <c r="DH172" s="52"/>
    </row>
    <row r="173" spans="1:112">
      <c r="A173" s="150" t="s">
        <v>411</v>
      </c>
      <c r="B173" s="44">
        <v>3830</v>
      </c>
      <c r="C173" s="44" t="s">
        <v>231</v>
      </c>
      <c r="D173" s="52"/>
      <c r="E173" s="52"/>
      <c r="F173" s="52">
        <v>30430</v>
      </c>
      <c r="G173" s="52">
        <v>3409</v>
      </c>
      <c r="H173" s="56">
        <v>58160</v>
      </c>
      <c r="I173" s="56">
        <v>66073</v>
      </c>
      <c r="J173" s="56">
        <v>8665</v>
      </c>
      <c r="K173" s="56">
        <v>28731</v>
      </c>
      <c r="L173" s="52">
        <v>366910</v>
      </c>
      <c r="M173" s="52"/>
      <c r="N173" s="52">
        <v>15145</v>
      </c>
      <c r="O173" s="52">
        <v>21584</v>
      </c>
      <c r="P173" s="52">
        <v>35396</v>
      </c>
      <c r="Q173" s="52">
        <v>4578</v>
      </c>
      <c r="R173" s="52">
        <v>14104</v>
      </c>
      <c r="S173" s="52">
        <v>48022</v>
      </c>
      <c r="T173" s="52">
        <v>8429</v>
      </c>
      <c r="U173" s="52">
        <v>418067</v>
      </c>
      <c r="V173" s="52"/>
      <c r="W173" s="52">
        <v>245768</v>
      </c>
      <c r="X173" s="52">
        <v>27261</v>
      </c>
      <c r="Y173" s="52">
        <v>2394290</v>
      </c>
      <c r="Z173" s="52">
        <v>158686</v>
      </c>
      <c r="AA173" s="52">
        <v>129377</v>
      </c>
      <c r="AB173" s="52">
        <v>113390</v>
      </c>
      <c r="AC173" s="52">
        <v>6889</v>
      </c>
      <c r="AD173" s="52">
        <v>57864</v>
      </c>
      <c r="AE173" s="52">
        <v>5511</v>
      </c>
      <c r="AF173" s="52"/>
      <c r="AG173" s="52">
        <v>154242</v>
      </c>
      <c r="AH173" s="52">
        <v>330263</v>
      </c>
      <c r="AI173" s="52">
        <v>2498</v>
      </c>
      <c r="AJ173" s="52">
        <v>5547</v>
      </c>
      <c r="AK173" s="52">
        <v>49077</v>
      </c>
      <c r="AL173" s="52">
        <v>20874</v>
      </c>
      <c r="AM173" s="52">
        <v>7955</v>
      </c>
      <c r="AN173" s="52">
        <v>247186</v>
      </c>
      <c r="AO173" s="52">
        <v>54802</v>
      </c>
      <c r="AP173" s="52"/>
      <c r="AQ173" s="52">
        <v>56168</v>
      </c>
      <c r="AR173" s="52">
        <v>31732</v>
      </c>
      <c r="AS173" s="52">
        <v>616403</v>
      </c>
      <c r="AT173" s="52">
        <v>7342</v>
      </c>
      <c r="AU173" s="52">
        <v>116404</v>
      </c>
      <c r="AV173" s="52">
        <v>31327</v>
      </c>
      <c r="AW173" s="52">
        <v>7905</v>
      </c>
      <c r="AX173" s="52">
        <v>267627</v>
      </c>
      <c r="AY173" s="52">
        <v>2562785</v>
      </c>
      <c r="AZ173" s="52">
        <v>218383</v>
      </c>
      <c r="BA173" s="52">
        <v>17072</v>
      </c>
      <c r="BB173" s="52">
        <v>18481</v>
      </c>
      <c r="BC173" s="52">
        <v>9332</v>
      </c>
      <c r="BD173" s="52">
        <v>91463</v>
      </c>
      <c r="BE173" s="52">
        <v>61038</v>
      </c>
      <c r="BF173" s="52">
        <v>903809</v>
      </c>
      <c r="BG173" s="52">
        <v>49139</v>
      </c>
      <c r="BH173" s="52">
        <v>177216</v>
      </c>
      <c r="BI173" s="52">
        <v>198382</v>
      </c>
      <c r="BJ173" s="52">
        <v>100918</v>
      </c>
      <c r="BK173" s="52">
        <v>74052</v>
      </c>
      <c r="BL173" s="52">
        <v>43976</v>
      </c>
      <c r="BM173" s="52">
        <v>326648</v>
      </c>
      <c r="BN173" s="52">
        <v>670297</v>
      </c>
      <c r="BO173" s="52">
        <v>88912</v>
      </c>
      <c r="BP173" s="52">
        <v>10877</v>
      </c>
      <c r="BQ173" s="52">
        <v>285273</v>
      </c>
      <c r="BR173" s="52">
        <v>8870</v>
      </c>
      <c r="BS173" s="52">
        <v>5974</v>
      </c>
      <c r="BT173" s="52">
        <v>71311</v>
      </c>
      <c r="BU173" s="52">
        <v>52931</v>
      </c>
      <c r="BV173" s="52">
        <v>23375</v>
      </c>
      <c r="BW173" s="52">
        <v>13143</v>
      </c>
      <c r="BX173" s="52">
        <v>148012</v>
      </c>
      <c r="BY173" s="52">
        <v>168635</v>
      </c>
      <c r="BZ173" s="52">
        <v>169330</v>
      </c>
      <c r="CA173" s="52"/>
      <c r="CB173" s="52">
        <v>358025</v>
      </c>
      <c r="CC173" s="52">
        <v>15061</v>
      </c>
      <c r="CD173" s="52">
        <v>440970</v>
      </c>
      <c r="CE173" s="52"/>
      <c r="CF173" s="52">
        <v>345878</v>
      </c>
      <c r="CG173" s="52">
        <v>2186865</v>
      </c>
      <c r="CH173" s="52"/>
      <c r="CI173" s="52">
        <v>25888</v>
      </c>
      <c r="CJ173" s="52">
        <v>71357</v>
      </c>
      <c r="CK173" s="52">
        <v>94079</v>
      </c>
      <c r="CL173" s="52">
        <v>65610</v>
      </c>
      <c r="CM173" s="52">
        <v>34263</v>
      </c>
      <c r="CN173" s="52">
        <v>89177</v>
      </c>
      <c r="CO173" s="52">
        <v>652335</v>
      </c>
      <c r="CP173" s="52">
        <v>1157797</v>
      </c>
      <c r="CQ173" s="52">
        <v>36209</v>
      </c>
      <c r="CR173" s="52">
        <v>29747</v>
      </c>
      <c r="CS173" s="52">
        <v>11562</v>
      </c>
      <c r="CT173" s="52">
        <v>125906</v>
      </c>
      <c r="CU173" s="52">
        <v>437432</v>
      </c>
      <c r="CV173" s="52"/>
      <c r="CW173" s="52">
        <v>119642</v>
      </c>
      <c r="CX173" s="52">
        <v>95087</v>
      </c>
      <c r="CY173" s="52">
        <v>71699</v>
      </c>
      <c r="CZ173" s="52">
        <v>40615</v>
      </c>
      <c r="DA173" s="52">
        <v>350681</v>
      </c>
      <c r="DB173" s="52">
        <v>175567</v>
      </c>
      <c r="DC173" s="52"/>
      <c r="DD173" s="52"/>
      <c r="DE173" s="52">
        <v>19875177</v>
      </c>
      <c r="DF173" s="52"/>
      <c r="DG173" s="52">
        <v>19875177</v>
      </c>
      <c r="DH173" s="52"/>
    </row>
    <row r="174" spans="1:112">
      <c r="A174" s="150" t="s">
        <v>411</v>
      </c>
      <c r="B174" s="44">
        <v>3840</v>
      </c>
      <c r="C174" s="44" t="s">
        <v>232</v>
      </c>
      <c r="D174" s="52">
        <v>371398</v>
      </c>
      <c r="E174" s="52"/>
      <c r="F174" s="52">
        <v>177794</v>
      </c>
      <c r="G174" s="52">
        <v>8240</v>
      </c>
      <c r="H174" s="56">
        <v>421979</v>
      </c>
      <c r="I174" s="56">
        <v>176544</v>
      </c>
      <c r="J174" s="56">
        <v>198198</v>
      </c>
      <c r="K174" s="56">
        <v>233588</v>
      </c>
      <c r="L174" s="52">
        <v>355045</v>
      </c>
      <c r="M174" s="52">
        <v>16538</v>
      </c>
      <c r="N174" s="52">
        <v>56629</v>
      </c>
      <c r="O174" s="52">
        <v>21826</v>
      </c>
      <c r="P174" s="52"/>
      <c r="Q174" s="52">
        <v>3230</v>
      </c>
      <c r="R174" s="52">
        <v>102297</v>
      </c>
      <c r="S174" s="52">
        <v>102410</v>
      </c>
      <c r="T174" s="52">
        <v>25170</v>
      </c>
      <c r="U174" s="52"/>
      <c r="V174" s="52"/>
      <c r="W174" s="52">
        <v>1048813</v>
      </c>
      <c r="X174" s="52">
        <v>785647</v>
      </c>
      <c r="Y174" s="52">
        <v>949316</v>
      </c>
      <c r="Z174" s="52"/>
      <c r="AA174" s="52">
        <v>535615</v>
      </c>
      <c r="AB174" s="52">
        <v>689606</v>
      </c>
      <c r="AC174" s="52"/>
      <c r="AD174" s="52">
        <v>11585</v>
      </c>
      <c r="AE174" s="52">
        <v>2549</v>
      </c>
      <c r="AF174" s="52"/>
      <c r="AG174" s="52">
        <v>65366</v>
      </c>
      <c r="AH174" s="52"/>
      <c r="AI174" s="52">
        <v>6746</v>
      </c>
      <c r="AJ174" s="52">
        <v>17138</v>
      </c>
      <c r="AK174" s="52">
        <v>75466</v>
      </c>
      <c r="AL174" s="52">
        <v>31341</v>
      </c>
      <c r="AM174" s="52">
        <v>17008</v>
      </c>
      <c r="AN174" s="52">
        <v>363111</v>
      </c>
      <c r="AO174" s="52"/>
      <c r="AP174" s="52"/>
      <c r="AQ174" s="52">
        <v>112968</v>
      </c>
      <c r="AR174" s="52">
        <v>3260</v>
      </c>
      <c r="AS174" s="52">
        <v>799377</v>
      </c>
      <c r="AT174" s="52">
        <v>23918</v>
      </c>
      <c r="AU174" s="52">
        <v>674100</v>
      </c>
      <c r="AV174" s="52">
        <v>30323</v>
      </c>
      <c r="AW174" s="52">
        <v>226268</v>
      </c>
      <c r="AX174" s="52">
        <v>858114</v>
      </c>
      <c r="AY174" s="52">
        <v>2933703</v>
      </c>
      <c r="AZ174" s="52"/>
      <c r="BA174" s="52">
        <v>70507</v>
      </c>
      <c r="BB174" s="52"/>
      <c r="BC174" s="52"/>
      <c r="BD174" s="52">
        <v>34452</v>
      </c>
      <c r="BE174" s="52">
        <v>29601</v>
      </c>
      <c r="BF174" s="52">
        <v>346392</v>
      </c>
      <c r="BG174" s="52"/>
      <c r="BH174" s="52">
        <v>313139</v>
      </c>
      <c r="BI174" s="52">
        <v>530331</v>
      </c>
      <c r="BJ174" s="52">
        <v>214824</v>
      </c>
      <c r="BK174" s="52">
        <v>142091</v>
      </c>
      <c r="BL174" s="52"/>
      <c r="BM174" s="52">
        <v>290712</v>
      </c>
      <c r="BN174" s="52">
        <v>232753</v>
      </c>
      <c r="BO174" s="52">
        <v>87841</v>
      </c>
      <c r="BP174" s="52">
        <v>5296</v>
      </c>
      <c r="BQ174" s="52">
        <v>335247</v>
      </c>
      <c r="BR174" s="52">
        <v>37259</v>
      </c>
      <c r="BS174" s="52">
        <v>28014</v>
      </c>
      <c r="BT174" s="52">
        <v>130140</v>
      </c>
      <c r="BU174" s="52">
        <v>76746</v>
      </c>
      <c r="BV174" s="52"/>
      <c r="BW174" s="52">
        <v>24719</v>
      </c>
      <c r="BX174" s="52">
        <v>280941</v>
      </c>
      <c r="BY174" s="52">
        <v>304393</v>
      </c>
      <c r="BZ174" s="52">
        <v>462897</v>
      </c>
      <c r="CA174" s="52"/>
      <c r="CB174" s="52">
        <v>160037</v>
      </c>
      <c r="CC174" s="52">
        <v>369730</v>
      </c>
      <c r="CD174" s="52">
        <v>633808</v>
      </c>
      <c r="CE174" s="52"/>
      <c r="CF174" s="52">
        <v>299144</v>
      </c>
      <c r="CG174" s="52"/>
      <c r="CH174" s="52"/>
      <c r="CI174" s="52">
        <v>24552</v>
      </c>
      <c r="CJ174" s="52">
        <v>99989</v>
      </c>
      <c r="CK174" s="52">
        <v>150467</v>
      </c>
      <c r="CL174" s="52">
        <v>448797</v>
      </c>
      <c r="CM174" s="52">
        <v>87495</v>
      </c>
      <c r="CN174" s="52">
        <v>768735</v>
      </c>
      <c r="CO174" s="52">
        <v>496181</v>
      </c>
      <c r="CP174" s="52">
        <v>273779</v>
      </c>
      <c r="CQ174" s="52">
        <v>19624</v>
      </c>
      <c r="CR174" s="52">
        <v>39460</v>
      </c>
      <c r="CS174" s="52">
        <v>13753</v>
      </c>
      <c r="CT174" s="52">
        <v>395193</v>
      </c>
      <c r="CU174" s="52">
        <v>132695</v>
      </c>
      <c r="CV174" s="52"/>
      <c r="CW174" s="52">
        <v>308686</v>
      </c>
      <c r="CX174" s="52">
        <v>201243</v>
      </c>
      <c r="CY174" s="52"/>
      <c r="CZ174" s="52">
        <v>91335</v>
      </c>
      <c r="DA174" s="52">
        <v>1427723</v>
      </c>
      <c r="DB174" s="52">
        <v>160650</v>
      </c>
      <c r="DC174" s="52"/>
      <c r="DD174" s="52"/>
      <c r="DE174" s="52">
        <v>23113595</v>
      </c>
      <c r="DF174" s="52"/>
      <c r="DG174" s="52">
        <v>23113595</v>
      </c>
      <c r="DH174" s="52"/>
    </row>
    <row r="175" spans="1:112">
      <c r="A175" s="150" t="s">
        <v>411</v>
      </c>
      <c r="B175" s="44">
        <v>3890</v>
      </c>
      <c r="C175" s="44" t="s">
        <v>233</v>
      </c>
      <c r="D175" s="52">
        <v>5583</v>
      </c>
      <c r="E175" s="52"/>
      <c r="F175" s="52"/>
      <c r="G175" s="52">
        <v>3122</v>
      </c>
      <c r="H175" s="56">
        <v>89823</v>
      </c>
      <c r="I175" s="56">
        <v>78209</v>
      </c>
      <c r="J175" s="56">
        <v>22975</v>
      </c>
      <c r="K175" s="56">
        <v>50980</v>
      </c>
      <c r="L175" s="52">
        <v>193143</v>
      </c>
      <c r="M175" s="52">
        <v>5469</v>
      </c>
      <c r="N175" s="52">
        <v>17055</v>
      </c>
      <c r="O175" s="52">
        <v>76702</v>
      </c>
      <c r="P175" s="52">
        <v>75241</v>
      </c>
      <c r="Q175" s="52">
        <v>21777</v>
      </c>
      <c r="R175" s="52">
        <v>27435</v>
      </c>
      <c r="S175" s="52">
        <v>71494</v>
      </c>
      <c r="T175" s="52">
        <v>13658</v>
      </c>
      <c r="U175" s="52">
        <v>140530</v>
      </c>
      <c r="V175" s="52"/>
      <c r="W175" s="52"/>
      <c r="X175" s="52">
        <v>101498</v>
      </c>
      <c r="Y175" s="52">
        <v>28502</v>
      </c>
      <c r="Z175" s="52">
        <v>128241</v>
      </c>
      <c r="AA175" s="52">
        <v>139307</v>
      </c>
      <c r="AB175" s="52">
        <v>104496</v>
      </c>
      <c r="AC175" s="52"/>
      <c r="AD175" s="52">
        <v>63619</v>
      </c>
      <c r="AE175" s="52">
        <v>24283</v>
      </c>
      <c r="AF175" s="52"/>
      <c r="AG175" s="52">
        <v>159550</v>
      </c>
      <c r="AH175" s="52">
        <v>194477</v>
      </c>
      <c r="AI175" s="52">
        <v>84799</v>
      </c>
      <c r="AJ175" s="52">
        <v>14444</v>
      </c>
      <c r="AK175" s="52">
        <v>54562</v>
      </c>
      <c r="AL175" s="52">
        <v>23070</v>
      </c>
      <c r="AM175" s="52">
        <v>12552</v>
      </c>
      <c r="AN175" s="52">
        <v>158590</v>
      </c>
      <c r="AO175" s="52">
        <v>342795</v>
      </c>
      <c r="AP175" s="52"/>
      <c r="AQ175" s="52">
        <v>146691</v>
      </c>
      <c r="AR175" s="52">
        <v>8403</v>
      </c>
      <c r="AS175" s="52">
        <v>260554</v>
      </c>
      <c r="AT175" s="52"/>
      <c r="AU175" s="52">
        <v>29219</v>
      </c>
      <c r="AV175" s="52"/>
      <c r="AW175" s="52">
        <v>11069</v>
      </c>
      <c r="AX175" s="52">
        <v>167206</v>
      </c>
      <c r="AY175" s="52">
        <v>434763</v>
      </c>
      <c r="AZ175" s="52">
        <v>1176484</v>
      </c>
      <c r="BA175" s="52">
        <v>99377</v>
      </c>
      <c r="BB175" s="52"/>
      <c r="BC175" s="52">
        <v>51208</v>
      </c>
      <c r="BD175" s="52">
        <v>75401</v>
      </c>
      <c r="BE175" s="52">
        <v>44254</v>
      </c>
      <c r="BF175" s="52">
        <v>437674</v>
      </c>
      <c r="BG175" s="52">
        <v>64398</v>
      </c>
      <c r="BH175" s="52">
        <v>153907</v>
      </c>
      <c r="BI175" s="52">
        <v>204196</v>
      </c>
      <c r="BJ175" s="52">
        <v>137211</v>
      </c>
      <c r="BK175" s="52">
        <v>76519</v>
      </c>
      <c r="BL175" s="52"/>
      <c r="BM175" s="52">
        <v>229855</v>
      </c>
      <c r="BN175" s="52">
        <v>85679</v>
      </c>
      <c r="BO175" s="52">
        <v>39504</v>
      </c>
      <c r="BP175" s="52">
        <v>16503</v>
      </c>
      <c r="BQ175" s="52">
        <v>187596</v>
      </c>
      <c r="BR175" s="52">
        <v>140215</v>
      </c>
      <c r="BS175" s="52">
        <v>6717</v>
      </c>
      <c r="BT175" s="52">
        <v>53149</v>
      </c>
      <c r="BU175" s="52">
        <v>30887</v>
      </c>
      <c r="BV175" s="52"/>
      <c r="BW175" s="52">
        <v>11962</v>
      </c>
      <c r="BX175" s="52">
        <v>163934</v>
      </c>
      <c r="BY175" s="52">
        <v>162525</v>
      </c>
      <c r="BZ175" s="52">
        <v>291248</v>
      </c>
      <c r="CA175" s="52"/>
      <c r="CB175" s="52">
        <v>59926</v>
      </c>
      <c r="CC175" s="52">
        <v>93788</v>
      </c>
      <c r="CD175" s="52">
        <v>213056</v>
      </c>
      <c r="CE175" s="52"/>
      <c r="CF175" s="52">
        <v>302718</v>
      </c>
      <c r="CG175" s="52"/>
      <c r="CH175" s="52"/>
      <c r="CI175" s="52">
        <v>124564</v>
      </c>
      <c r="CJ175" s="52">
        <v>47667</v>
      </c>
      <c r="CK175" s="52">
        <v>68791</v>
      </c>
      <c r="CL175" s="52">
        <v>35226</v>
      </c>
      <c r="CM175" s="52">
        <v>19358</v>
      </c>
      <c r="CN175" s="52">
        <v>79603</v>
      </c>
      <c r="CO175" s="52">
        <v>106708</v>
      </c>
      <c r="CP175" s="52"/>
      <c r="CQ175" s="52"/>
      <c r="CR175" s="52"/>
      <c r="CS175" s="52"/>
      <c r="CT175" s="52">
        <v>29763</v>
      </c>
      <c r="CU175" s="52"/>
      <c r="CV175" s="52"/>
      <c r="CW175" s="52">
        <v>129857</v>
      </c>
      <c r="CX175" s="52">
        <v>11583</v>
      </c>
      <c r="CY175" s="52"/>
      <c r="CZ175" s="52">
        <v>90539</v>
      </c>
      <c r="DA175" s="52">
        <v>33607</v>
      </c>
      <c r="DB175" s="52">
        <v>71126</v>
      </c>
      <c r="DC175" s="52"/>
      <c r="DD175" s="52"/>
      <c r="DE175" s="52">
        <v>9044169</v>
      </c>
      <c r="DF175" s="52"/>
      <c r="DG175" s="52">
        <v>9044169</v>
      </c>
      <c r="DH175" s="52"/>
    </row>
    <row r="176" spans="1:112">
      <c r="A176" s="150" t="s">
        <v>411</v>
      </c>
      <c r="B176" s="44">
        <v>3991</v>
      </c>
      <c r="C176" s="44" t="s">
        <v>235</v>
      </c>
      <c r="D176" s="52">
        <v>16333</v>
      </c>
      <c r="E176" s="52">
        <v>69354</v>
      </c>
      <c r="F176" s="52">
        <v>7361</v>
      </c>
      <c r="G176" s="52"/>
      <c r="H176" s="56">
        <v>19249</v>
      </c>
      <c r="I176" s="56">
        <v>3245</v>
      </c>
      <c r="J176" s="56">
        <v>9244</v>
      </c>
      <c r="K176" s="56">
        <v>12173</v>
      </c>
      <c r="L176" s="52">
        <v>56026</v>
      </c>
      <c r="M176" s="52"/>
      <c r="N176" s="52">
        <v>583</v>
      </c>
      <c r="O176" s="52">
        <v>3500</v>
      </c>
      <c r="P176" s="52">
        <v>3299</v>
      </c>
      <c r="Q176" s="52">
        <v>590</v>
      </c>
      <c r="R176" s="52">
        <v>5047</v>
      </c>
      <c r="S176" s="52">
        <v>2333</v>
      </c>
      <c r="T176" s="52"/>
      <c r="U176" s="52">
        <v>40249</v>
      </c>
      <c r="V176" s="52"/>
      <c r="W176" s="52">
        <v>51996</v>
      </c>
      <c r="X176" s="52">
        <v>7170</v>
      </c>
      <c r="Y176" s="52">
        <v>124240</v>
      </c>
      <c r="Z176" s="52">
        <v>31518</v>
      </c>
      <c r="AA176" s="52">
        <v>11710</v>
      </c>
      <c r="AB176" s="52">
        <v>8666</v>
      </c>
      <c r="AC176" s="52">
        <v>4557</v>
      </c>
      <c r="AD176" s="52">
        <v>6212</v>
      </c>
      <c r="AE176" s="52">
        <v>1750</v>
      </c>
      <c r="AF176" s="52"/>
      <c r="AG176" s="52">
        <v>19206</v>
      </c>
      <c r="AH176" s="52">
        <v>17702</v>
      </c>
      <c r="AI176" s="52"/>
      <c r="AJ176" s="52">
        <v>1131</v>
      </c>
      <c r="AK176" s="52"/>
      <c r="AL176" s="52">
        <v>5250</v>
      </c>
      <c r="AM176" s="52"/>
      <c r="AN176" s="52">
        <v>96705</v>
      </c>
      <c r="AO176" s="52">
        <v>13763</v>
      </c>
      <c r="AP176" s="52">
        <v>583</v>
      </c>
      <c r="AQ176" s="52">
        <v>5833</v>
      </c>
      <c r="AR176" s="52">
        <v>26886</v>
      </c>
      <c r="AS176" s="52">
        <v>33691</v>
      </c>
      <c r="AT176" s="52">
        <v>1750</v>
      </c>
      <c r="AU176" s="52">
        <v>18713</v>
      </c>
      <c r="AV176" s="52">
        <v>4667</v>
      </c>
      <c r="AW176" s="52">
        <v>1167</v>
      </c>
      <c r="AX176" s="52">
        <v>24273</v>
      </c>
      <c r="AY176" s="52">
        <v>243801</v>
      </c>
      <c r="AZ176" s="52">
        <v>24178</v>
      </c>
      <c r="BA176" s="52">
        <v>4816</v>
      </c>
      <c r="BB176" s="52"/>
      <c r="BC176" s="52">
        <v>583</v>
      </c>
      <c r="BD176" s="52">
        <v>10870</v>
      </c>
      <c r="BE176" s="52">
        <v>9484</v>
      </c>
      <c r="BF176" s="52">
        <v>86672</v>
      </c>
      <c r="BG176" s="52">
        <v>8305</v>
      </c>
      <c r="BH176" s="52">
        <v>23511</v>
      </c>
      <c r="BI176" s="52">
        <v>29841</v>
      </c>
      <c r="BJ176" s="52">
        <v>18075</v>
      </c>
      <c r="BK176" s="52">
        <v>23558</v>
      </c>
      <c r="BL176" s="52">
        <v>11619</v>
      </c>
      <c r="BM176" s="52">
        <v>50302</v>
      </c>
      <c r="BN176" s="52">
        <v>33832</v>
      </c>
      <c r="BO176" s="52">
        <v>2333</v>
      </c>
      <c r="BP176" s="52">
        <v>11070</v>
      </c>
      <c r="BQ176" s="52">
        <v>34052</v>
      </c>
      <c r="BR176" s="52">
        <v>3596</v>
      </c>
      <c r="BS176" s="52"/>
      <c r="BT176" s="52">
        <v>7513</v>
      </c>
      <c r="BU176" s="52">
        <v>1112</v>
      </c>
      <c r="BV176" s="52">
        <v>4083</v>
      </c>
      <c r="BW176" s="52"/>
      <c r="BX176" s="52">
        <v>2916</v>
      </c>
      <c r="BY176" s="52">
        <v>9872</v>
      </c>
      <c r="BZ176" s="52">
        <v>27614</v>
      </c>
      <c r="CA176" s="52"/>
      <c r="CB176" s="52">
        <v>11083</v>
      </c>
      <c r="CC176" s="52">
        <v>5443</v>
      </c>
      <c r="CD176" s="52">
        <v>27161</v>
      </c>
      <c r="CE176" s="52"/>
      <c r="CF176" s="52">
        <v>47917</v>
      </c>
      <c r="CG176" s="52">
        <v>79331</v>
      </c>
      <c r="CH176" s="52">
        <v>83534</v>
      </c>
      <c r="CI176" s="52">
        <v>11083</v>
      </c>
      <c r="CJ176" s="52">
        <v>10346</v>
      </c>
      <c r="CK176" s="52">
        <v>17304</v>
      </c>
      <c r="CL176" s="52">
        <v>8166</v>
      </c>
      <c r="CM176" s="52">
        <v>5083</v>
      </c>
      <c r="CN176" s="52">
        <v>16916</v>
      </c>
      <c r="CO176" s="52">
        <v>29457</v>
      </c>
      <c r="CP176" s="52">
        <v>9731</v>
      </c>
      <c r="CQ176" s="52"/>
      <c r="CR176" s="52"/>
      <c r="CS176" s="52"/>
      <c r="CT176" s="52">
        <v>36627</v>
      </c>
      <c r="CU176" s="52">
        <v>45242</v>
      </c>
      <c r="CV176" s="52"/>
      <c r="CW176" s="52">
        <v>16611</v>
      </c>
      <c r="CX176" s="52">
        <v>22166</v>
      </c>
      <c r="CY176" s="52">
        <v>9916</v>
      </c>
      <c r="CZ176" s="52">
        <v>14583</v>
      </c>
      <c r="DA176" s="52">
        <v>32666</v>
      </c>
      <c r="DB176" s="52">
        <v>18666</v>
      </c>
      <c r="DC176" s="52">
        <v>1750</v>
      </c>
      <c r="DD176" s="52"/>
      <c r="DE176" s="52">
        <v>2010365</v>
      </c>
      <c r="DF176" s="52">
        <v>1750</v>
      </c>
      <c r="DG176" s="52">
        <v>2012115</v>
      </c>
      <c r="DH176" s="52"/>
    </row>
    <row r="177" spans="1:112">
      <c r="A177" s="150" t="s">
        <v>411</v>
      </c>
      <c r="B177" s="44">
        <v>3992</v>
      </c>
      <c r="C177" s="44" t="s">
        <v>236</v>
      </c>
      <c r="D177" s="52"/>
      <c r="E177" s="52"/>
      <c r="F177" s="52"/>
      <c r="G177" s="52"/>
      <c r="H177" s="56"/>
      <c r="I177" s="56"/>
      <c r="J177" s="56"/>
      <c r="K177" s="56"/>
      <c r="L177" s="52"/>
      <c r="M177" s="52"/>
      <c r="N177" s="52"/>
      <c r="O177" s="52"/>
      <c r="P177" s="52"/>
      <c r="Q177" s="52"/>
      <c r="R177" s="52"/>
      <c r="S177" s="52"/>
      <c r="T177" s="52"/>
      <c r="U177" s="52"/>
      <c r="V177" s="52"/>
      <c r="W177" s="52"/>
      <c r="X177" s="52"/>
      <c r="Y177" s="52"/>
      <c r="Z177" s="52"/>
      <c r="AA177" s="52"/>
      <c r="AB177" s="52">
        <v>338667</v>
      </c>
      <c r="AC177" s="52"/>
      <c r="AD177" s="52"/>
      <c r="AE177" s="52"/>
      <c r="AF177" s="52"/>
      <c r="AG177" s="52"/>
      <c r="AH177" s="52">
        <v>7454</v>
      </c>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v>11162</v>
      </c>
      <c r="BR177" s="52"/>
      <c r="BS177" s="52"/>
      <c r="BT177" s="52"/>
      <c r="BU177" s="52"/>
      <c r="BV177" s="52"/>
      <c r="BW177" s="52"/>
      <c r="BX177" s="52">
        <v>91</v>
      </c>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v>247309</v>
      </c>
      <c r="CU177" s="52"/>
      <c r="CV177" s="52"/>
      <c r="CW177" s="52"/>
      <c r="CX177" s="52">
        <v>7628</v>
      </c>
      <c r="CY177" s="52"/>
      <c r="CZ177" s="52"/>
      <c r="DA177" s="52"/>
      <c r="DB177" s="52"/>
      <c r="DC177" s="52"/>
      <c r="DD177" s="52"/>
      <c r="DE177" s="52">
        <v>612311</v>
      </c>
      <c r="DF177" s="52"/>
      <c r="DG177" s="52">
        <v>612311</v>
      </c>
      <c r="DH177" s="52"/>
    </row>
    <row r="178" spans="1:112">
      <c r="A178" s="150" t="s">
        <v>411</v>
      </c>
      <c r="B178" s="44">
        <v>3999</v>
      </c>
      <c r="C178" s="44" t="s">
        <v>237</v>
      </c>
      <c r="D178" s="52">
        <v>52627</v>
      </c>
      <c r="E178" s="52">
        <v>827606</v>
      </c>
      <c r="F178" s="52">
        <v>43708</v>
      </c>
      <c r="G178" s="52"/>
      <c r="H178" s="56">
        <v>75640</v>
      </c>
      <c r="I178" s="56">
        <v>74688</v>
      </c>
      <c r="J178" s="56"/>
      <c r="K178" s="56">
        <v>71152</v>
      </c>
      <c r="L178" s="52"/>
      <c r="M178" s="52"/>
      <c r="N178" s="52"/>
      <c r="O178" s="52"/>
      <c r="P178" s="52">
        <v>15012</v>
      </c>
      <c r="Q178" s="52">
        <v>250000</v>
      </c>
      <c r="R178" s="52">
        <v>250000</v>
      </c>
      <c r="S178" s="52">
        <v>1175450</v>
      </c>
      <c r="T178" s="52"/>
      <c r="U178" s="52">
        <v>34563</v>
      </c>
      <c r="V178" s="52"/>
      <c r="W178" s="52">
        <v>18735</v>
      </c>
      <c r="X178" s="52">
        <v>9447</v>
      </c>
      <c r="Y178" s="52">
        <v>439782</v>
      </c>
      <c r="Z178" s="52">
        <v>90105</v>
      </c>
      <c r="AA178" s="52"/>
      <c r="AB178" s="52">
        <v>2000</v>
      </c>
      <c r="AC178" s="52">
        <v>3074</v>
      </c>
      <c r="AD178" s="52">
        <v>18698</v>
      </c>
      <c r="AE178" s="52"/>
      <c r="AF178" s="52"/>
      <c r="AG178" s="52">
        <v>137886</v>
      </c>
      <c r="AH178" s="52">
        <v>60</v>
      </c>
      <c r="AI178" s="52"/>
      <c r="AJ178" s="52">
        <v>1319</v>
      </c>
      <c r="AK178" s="52">
        <v>16761</v>
      </c>
      <c r="AL178" s="52"/>
      <c r="AM178" s="52"/>
      <c r="AN178" s="52">
        <v>2660</v>
      </c>
      <c r="AO178" s="52">
        <v>48736</v>
      </c>
      <c r="AP178" s="52"/>
      <c r="AQ178" s="52"/>
      <c r="AR178" s="52"/>
      <c r="AS178" s="52">
        <v>143700</v>
      </c>
      <c r="AT178" s="52"/>
      <c r="AU178" s="52">
        <v>53878</v>
      </c>
      <c r="AV178" s="52"/>
      <c r="AW178" s="52"/>
      <c r="AX178" s="52">
        <v>1837</v>
      </c>
      <c r="AY178" s="52">
        <v>903207</v>
      </c>
      <c r="AZ178" s="52">
        <v>34750</v>
      </c>
      <c r="BA178" s="52"/>
      <c r="BB178" s="52"/>
      <c r="BC178" s="52"/>
      <c r="BD178" s="52">
        <v>6768</v>
      </c>
      <c r="BE178" s="52"/>
      <c r="BF178" s="52">
        <v>447205</v>
      </c>
      <c r="BG178" s="52">
        <v>57566</v>
      </c>
      <c r="BH178" s="52">
        <v>99509</v>
      </c>
      <c r="BI178" s="52">
        <v>104587</v>
      </c>
      <c r="BJ178" s="52">
        <v>5235</v>
      </c>
      <c r="BK178" s="52"/>
      <c r="BL178" s="52">
        <v>88</v>
      </c>
      <c r="BM178" s="52">
        <v>28279</v>
      </c>
      <c r="BN178" s="52">
        <v>112286</v>
      </c>
      <c r="BO178" s="52">
        <v>2000</v>
      </c>
      <c r="BP178" s="52"/>
      <c r="BQ178" s="52">
        <v>187067</v>
      </c>
      <c r="BR178" s="52">
        <v>4452</v>
      </c>
      <c r="BS178" s="52">
        <v>7557</v>
      </c>
      <c r="BT178" s="52"/>
      <c r="BU178" s="52"/>
      <c r="BV178" s="52"/>
      <c r="BW178" s="52">
        <v>39403</v>
      </c>
      <c r="BX178" s="52">
        <v>5667</v>
      </c>
      <c r="BY178" s="52"/>
      <c r="BZ178" s="52">
        <v>4706</v>
      </c>
      <c r="CA178" s="52"/>
      <c r="CB178" s="52"/>
      <c r="CC178" s="52">
        <v>1858</v>
      </c>
      <c r="CD178" s="52">
        <v>692406</v>
      </c>
      <c r="CE178" s="52"/>
      <c r="CF178" s="52"/>
      <c r="CG178" s="52"/>
      <c r="CH178" s="52">
        <v>100822</v>
      </c>
      <c r="CI178" s="52"/>
      <c r="CJ178" s="52"/>
      <c r="CK178" s="52"/>
      <c r="CL178" s="52"/>
      <c r="CM178" s="52">
        <v>9225</v>
      </c>
      <c r="CN178" s="52"/>
      <c r="CO178" s="52"/>
      <c r="CP178" s="52">
        <v>6244</v>
      </c>
      <c r="CQ178" s="52"/>
      <c r="CR178" s="52"/>
      <c r="CS178" s="52"/>
      <c r="CT178" s="52">
        <v>13872</v>
      </c>
      <c r="CU178" s="52">
        <v>1700</v>
      </c>
      <c r="CV178" s="52"/>
      <c r="CW178" s="52">
        <v>21024</v>
      </c>
      <c r="CX178" s="52">
        <v>11393</v>
      </c>
      <c r="CY178" s="52">
        <v>23236</v>
      </c>
      <c r="CZ178" s="52">
        <v>55003</v>
      </c>
      <c r="DA178" s="52">
        <v>2250</v>
      </c>
      <c r="DB178" s="52">
        <v>3714</v>
      </c>
      <c r="DC178" s="52">
        <v>464256</v>
      </c>
      <c r="DD178" s="52"/>
      <c r="DE178" s="52">
        <v>6852203</v>
      </c>
      <c r="DF178" s="52">
        <v>464256</v>
      </c>
      <c r="DG178" s="52">
        <v>7316459</v>
      </c>
      <c r="DH178" s="52"/>
    </row>
    <row r="179" spans="1:112" ht="15.95" customHeight="1">
      <c r="A179" s="150"/>
      <c r="C179" s="60" t="s">
        <v>415</v>
      </c>
      <c r="D179" s="61">
        <f>SUM(D57:D178)</f>
        <v>18006604</v>
      </c>
      <c r="E179" s="61">
        <f t="shared" ref="E179:BP179" si="4">SUM(E57:E178)</f>
        <v>101673547</v>
      </c>
      <c r="F179" s="61">
        <f t="shared" si="4"/>
        <v>10706367</v>
      </c>
      <c r="G179" s="61">
        <f t="shared" si="4"/>
        <v>524098</v>
      </c>
      <c r="H179" s="61">
        <f t="shared" si="4"/>
        <v>36180087</v>
      </c>
      <c r="I179" s="61">
        <f t="shared" si="4"/>
        <v>17252413</v>
      </c>
      <c r="J179" s="61">
        <f t="shared" si="4"/>
        <v>12091039</v>
      </c>
      <c r="K179" s="61">
        <f t="shared" si="4"/>
        <v>11165653</v>
      </c>
      <c r="L179" s="61">
        <f t="shared" si="4"/>
        <v>51663804</v>
      </c>
      <c r="M179" s="61">
        <f t="shared" si="4"/>
        <v>677455</v>
      </c>
      <c r="N179" s="61">
        <f t="shared" si="4"/>
        <v>942067</v>
      </c>
      <c r="O179" s="61">
        <f t="shared" si="4"/>
        <v>8345077</v>
      </c>
      <c r="P179" s="61">
        <f t="shared" si="4"/>
        <v>5819346</v>
      </c>
      <c r="Q179" s="61">
        <f t="shared" si="4"/>
        <v>4941999</v>
      </c>
      <c r="R179" s="61">
        <f t="shared" si="4"/>
        <v>5049922</v>
      </c>
      <c r="S179" s="61">
        <f t="shared" si="4"/>
        <v>14036096</v>
      </c>
      <c r="T179" s="61">
        <f t="shared" si="4"/>
        <v>217178</v>
      </c>
      <c r="U179" s="61">
        <f t="shared" si="4"/>
        <v>27164475</v>
      </c>
      <c r="V179" s="61">
        <f t="shared" si="4"/>
        <v>183013</v>
      </c>
      <c r="W179" s="61">
        <f t="shared" si="4"/>
        <v>118922231</v>
      </c>
      <c r="X179" s="61">
        <f t="shared" si="4"/>
        <v>8675382</v>
      </c>
      <c r="Y179" s="61">
        <f t="shared" si="4"/>
        <v>122742441</v>
      </c>
      <c r="Z179" s="61">
        <f t="shared" si="4"/>
        <v>41300103</v>
      </c>
      <c r="AA179" s="61">
        <f t="shared" si="4"/>
        <v>28224551</v>
      </c>
      <c r="AB179" s="61">
        <f t="shared" si="4"/>
        <v>37449857</v>
      </c>
      <c r="AC179" s="61">
        <f t="shared" si="4"/>
        <v>5490866</v>
      </c>
      <c r="AD179" s="61">
        <f t="shared" si="4"/>
        <v>16500073</v>
      </c>
      <c r="AE179" s="61">
        <f t="shared" si="4"/>
        <v>6362799</v>
      </c>
      <c r="AF179" s="61">
        <f t="shared" si="4"/>
        <v>200280</v>
      </c>
      <c r="AG179" s="61">
        <f t="shared" si="4"/>
        <v>29871878</v>
      </c>
      <c r="AH179" s="61">
        <f t="shared" si="4"/>
        <v>51205401</v>
      </c>
      <c r="AI179" s="61">
        <f t="shared" si="4"/>
        <v>748803</v>
      </c>
      <c r="AJ179" s="61">
        <f t="shared" si="4"/>
        <v>4468791</v>
      </c>
      <c r="AK179" s="61">
        <f t="shared" si="4"/>
        <v>16793219</v>
      </c>
      <c r="AL179" s="61">
        <f t="shared" si="4"/>
        <v>7300615</v>
      </c>
      <c r="AM179" s="61">
        <f t="shared" si="4"/>
        <v>353295</v>
      </c>
      <c r="AN179" s="61">
        <f t="shared" si="4"/>
        <v>83593189</v>
      </c>
      <c r="AO179" s="61">
        <f t="shared" si="4"/>
        <v>11290674</v>
      </c>
      <c r="AP179" s="61">
        <f t="shared" si="4"/>
        <v>148045</v>
      </c>
      <c r="AQ179" s="61">
        <f t="shared" si="4"/>
        <v>19971634</v>
      </c>
      <c r="AR179" s="61">
        <f t="shared" si="4"/>
        <v>15404731</v>
      </c>
      <c r="AS179" s="61">
        <f t="shared" si="4"/>
        <v>65256961</v>
      </c>
      <c r="AT179" s="61">
        <f t="shared" si="4"/>
        <v>6050865</v>
      </c>
      <c r="AU179" s="61">
        <f t="shared" si="4"/>
        <v>19236654</v>
      </c>
      <c r="AV179" s="61">
        <f t="shared" si="4"/>
        <v>6270780</v>
      </c>
      <c r="AW179" s="61">
        <f t="shared" si="4"/>
        <v>7498074</v>
      </c>
      <c r="AX179" s="61">
        <f t="shared" si="4"/>
        <v>37146411</v>
      </c>
      <c r="AY179" s="61">
        <f t="shared" si="4"/>
        <v>271681451</v>
      </c>
      <c r="AZ179" s="61">
        <f t="shared" si="4"/>
        <v>41141065</v>
      </c>
      <c r="BA179" s="61">
        <f t="shared" si="4"/>
        <v>5813461</v>
      </c>
      <c r="BB179" s="61">
        <f t="shared" si="4"/>
        <v>5237299</v>
      </c>
      <c r="BC179" s="61">
        <f t="shared" si="4"/>
        <v>592160</v>
      </c>
      <c r="BD179" s="61">
        <f t="shared" si="4"/>
        <v>13743139</v>
      </c>
      <c r="BE179" s="61">
        <f t="shared" si="4"/>
        <v>8250690</v>
      </c>
      <c r="BF179" s="61">
        <f t="shared" si="4"/>
        <v>122835407</v>
      </c>
      <c r="BG179" s="61">
        <f t="shared" si="4"/>
        <v>14702534</v>
      </c>
      <c r="BH179" s="61">
        <f t="shared" si="4"/>
        <v>47157289</v>
      </c>
      <c r="BI179" s="61">
        <f t="shared" si="4"/>
        <v>50921963</v>
      </c>
      <c r="BJ179" s="61">
        <f t="shared" si="4"/>
        <v>26908590</v>
      </c>
      <c r="BK179" s="61">
        <f t="shared" si="4"/>
        <v>16082525</v>
      </c>
      <c r="BL179" s="61">
        <f t="shared" si="4"/>
        <v>16760191</v>
      </c>
      <c r="BM179" s="61">
        <f t="shared" si="4"/>
        <v>89582471</v>
      </c>
      <c r="BN179" s="61">
        <f t="shared" si="4"/>
        <v>40627489</v>
      </c>
      <c r="BO179" s="61">
        <f t="shared" si="4"/>
        <v>10452310</v>
      </c>
      <c r="BP179" s="61">
        <f t="shared" si="4"/>
        <v>18198347</v>
      </c>
      <c r="BQ179" s="61">
        <f t="shared" ref="BQ179:DG179" si="5">SUM(BQ57:BQ178)</f>
        <v>75928392</v>
      </c>
      <c r="BR179" s="61">
        <f t="shared" si="5"/>
        <v>4147975</v>
      </c>
      <c r="BS179" s="61">
        <f t="shared" si="5"/>
        <v>440678</v>
      </c>
      <c r="BT179" s="61">
        <f t="shared" si="5"/>
        <v>14290580</v>
      </c>
      <c r="BU179" s="61">
        <f t="shared" si="5"/>
        <v>9989252</v>
      </c>
      <c r="BV179" s="61">
        <f t="shared" si="5"/>
        <v>5771262</v>
      </c>
      <c r="BW179" s="61">
        <f t="shared" si="5"/>
        <v>452446</v>
      </c>
      <c r="BX179" s="61">
        <f t="shared" si="5"/>
        <v>25141029</v>
      </c>
      <c r="BY179" s="61">
        <f t="shared" si="5"/>
        <v>28688583</v>
      </c>
      <c r="BZ179" s="61">
        <f t="shared" si="5"/>
        <v>39768047</v>
      </c>
      <c r="CA179" s="61">
        <f t="shared" si="5"/>
        <v>0</v>
      </c>
      <c r="CB179" s="61">
        <f t="shared" si="5"/>
        <v>17766025</v>
      </c>
      <c r="CC179" s="61">
        <f t="shared" si="5"/>
        <v>20048053</v>
      </c>
      <c r="CD179" s="61">
        <f t="shared" si="5"/>
        <v>35759025</v>
      </c>
      <c r="CE179" s="61">
        <f t="shared" si="5"/>
        <v>20095</v>
      </c>
      <c r="CF179" s="61">
        <f t="shared" si="5"/>
        <v>67991894</v>
      </c>
      <c r="CG179" s="61">
        <f t="shared" si="5"/>
        <v>110339566</v>
      </c>
      <c r="CH179" s="61">
        <f t="shared" si="5"/>
        <v>94304016</v>
      </c>
      <c r="CI179" s="61">
        <f t="shared" si="5"/>
        <v>10544210</v>
      </c>
      <c r="CJ179" s="61">
        <f t="shared" si="5"/>
        <v>22393702</v>
      </c>
      <c r="CK179" s="61">
        <f t="shared" si="5"/>
        <v>39406553</v>
      </c>
      <c r="CL179" s="61">
        <f t="shared" si="5"/>
        <v>14402520</v>
      </c>
      <c r="CM179" s="61">
        <f t="shared" si="5"/>
        <v>12947107</v>
      </c>
      <c r="CN179" s="61">
        <f t="shared" si="5"/>
        <v>26926899</v>
      </c>
      <c r="CO179" s="61">
        <f t="shared" si="5"/>
        <v>41614499</v>
      </c>
      <c r="CP179" s="61">
        <f t="shared" si="5"/>
        <v>39044276</v>
      </c>
      <c r="CQ179" s="61">
        <f t="shared" si="5"/>
        <v>496154</v>
      </c>
      <c r="CR179" s="61">
        <f t="shared" si="5"/>
        <v>316312</v>
      </c>
      <c r="CS179" s="61">
        <f t="shared" si="5"/>
        <v>300675</v>
      </c>
      <c r="CT179" s="61">
        <f t="shared" si="5"/>
        <v>41039046</v>
      </c>
      <c r="CU179" s="61">
        <f t="shared" si="5"/>
        <v>39079801</v>
      </c>
      <c r="CV179" s="61">
        <f t="shared" si="5"/>
        <v>0</v>
      </c>
      <c r="CW179" s="61">
        <f t="shared" si="5"/>
        <v>23657226</v>
      </c>
      <c r="CX179" s="61">
        <f t="shared" si="5"/>
        <v>27325648</v>
      </c>
      <c r="CY179" s="61">
        <f t="shared" si="5"/>
        <v>22704643</v>
      </c>
      <c r="CZ179" s="61">
        <f t="shared" si="5"/>
        <v>17934483</v>
      </c>
      <c r="DA179" s="61">
        <f t="shared" si="5"/>
        <v>73053650</v>
      </c>
      <c r="DB179" s="61">
        <f t="shared" si="5"/>
        <v>31678229</v>
      </c>
      <c r="DC179" s="61">
        <f t="shared" si="5"/>
        <v>5801081</v>
      </c>
      <c r="DD179" s="61">
        <f t="shared" si="5"/>
        <v>3378058</v>
      </c>
      <c r="DE179" s="61">
        <f t="shared" si="5"/>
        <v>2931519775</v>
      </c>
      <c r="DF179" s="61">
        <f t="shared" si="5"/>
        <v>9179139</v>
      </c>
      <c r="DG179" s="61">
        <f t="shared" si="5"/>
        <v>2940698914</v>
      </c>
      <c r="DH179" s="52"/>
    </row>
    <row r="180" spans="1:112">
      <c r="A180" s="150"/>
      <c r="D180" s="52"/>
      <c r="E180" s="52"/>
      <c r="F180" s="52"/>
      <c r="G180" s="52"/>
      <c r="H180" s="56"/>
      <c r="I180" s="56"/>
      <c r="J180" s="56"/>
      <c r="K180" s="56"/>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row>
    <row r="181" spans="1:112">
      <c r="A181" s="150"/>
      <c r="D181" s="52"/>
      <c r="E181" s="52"/>
      <c r="F181" s="52"/>
      <c r="G181" s="52"/>
      <c r="H181" s="56"/>
      <c r="I181" s="56"/>
      <c r="J181" s="56"/>
      <c r="K181" s="56"/>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row>
    <row r="182" spans="1:112">
      <c r="A182" s="150" t="s">
        <v>412</v>
      </c>
      <c r="B182" s="44">
        <v>4110</v>
      </c>
      <c r="C182" s="44" t="s">
        <v>241</v>
      </c>
      <c r="D182" s="52"/>
      <c r="E182" s="52">
        <v>127702</v>
      </c>
      <c r="F182" s="52"/>
      <c r="G182" s="52"/>
      <c r="H182" s="56"/>
      <c r="I182" s="56"/>
      <c r="J182" s="56"/>
      <c r="K182" s="56">
        <v>217630</v>
      </c>
      <c r="L182" s="52"/>
      <c r="M182" s="52"/>
      <c r="N182" s="52"/>
      <c r="O182" s="52"/>
      <c r="P182" s="52"/>
      <c r="Q182" s="52"/>
      <c r="R182" s="52">
        <v>31774</v>
      </c>
      <c r="S182" s="52">
        <v>21282</v>
      </c>
      <c r="T182" s="52"/>
      <c r="U182" s="52">
        <v>28179</v>
      </c>
      <c r="V182" s="52"/>
      <c r="W182" s="52">
        <v>873241</v>
      </c>
      <c r="X182" s="52"/>
      <c r="Y182" s="52">
        <v>95774</v>
      </c>
      <c r="Z182" s="52"/>
      <c r="AA182" s="52"/>
      <c r="AB182" s="52"/>
      <c r="AC182" s="52"/>
      <c r="AD182" s="52"/>
      <c r="AE182" s="52"/>
      <c r="AF182" s="52"/>
      <c r="AG182" s="52"/>
      <c r="AH182" s="52"/>
      <c r="AI182" s="52"/>
      <c r="AJ182" s="52"/>
      <c r="AK182" s="52"/>
      <c r="AL182" s="52"/>
      <c r="AM182" s="52"/>
      <c r="AN182" s="52">
        <v>143937</v>
      </c>
      <c r="AO182" s="52"/>
      <c r="AP182" s="52"/>
      <c r="AQ182" s="52"/>
      <c r="AR182" s="52"/>
      <c r="AS182" s="52"/>
      <c r="AT182" s="52"/>
      <c r="AU182" s="52">
        <v>41613</v>
      </c>
      <c r="AV182" s="52"/>
      <c r="AW182" s="52"/>
      <c r="AX182" s="52"/>
      <c r="AY182" s="52">
        <v>6047</v>
      </c>
      <c r="AZ182" s="52"/>
      <c r="BA182" s="52"/>
      <c r="BB182" s="52"/>
      <c r="BC182" s="52"/>
      <c r="BD182" s="52"/>
      <c r="BE182" s="52"/>
      <c r="BF182" s="52"/>
      <c r="BG182" s="52"/>
      <c r="BH182" s="52"/>
      <c r="BI182" s="52"/>
      <c r="BJ182" s="52"/>
      <c r="BK182" s="52"/>
      <c r="BL182" s="52"/>
      <c r="BM182" s="52"/>
      <c r="BN182" s="52"/>
      <c r="BO182" s="52"/>
      <c r="BP182" s="52"/>
      <c r="BQ182" s="52"/>
      <c r="BR182" s="52"/>
      <c r="BS182" s="52"/>
      <c r="BT182" s="52">
        <v>22587</v>
      </c>
      <c r="BU182" s="52"/>
      <c r="BV182" s="52"/>
      <c r="BW182" s="52"/>
      <c r="BX182" s="52"/>
      <c r="BY182" s="52"/>
      <c r="BZ182" s="52"/>
      <c r="CA182" s="52"/>
      <c r="CB182" s="52"/>
      <c r="CC182" s="52"/>
      <c r="CD182" s="52"/>
      <c r="CE182" s="52"/>
      <c r="CF182" s="52"/>
      <c r="CG182" s="52"/>
      <c r="CH182" s="52">
        <v>501241</v>
      </c>
      <c r="CI182" s="52"/>
      <c r="CJ182" s="52"/>
      <c r="CK182" s="52"/>
      <c r="CL182" s="52"/>
      <c r="CM182" s="52"/>
      <c r="CN182" s="52"/>
      <c r="CO182" s="52"/>
      <c r="CP182" s="52">
        <v>11256</v>
      </c>
      <c r="CQ182" s="52"/>
      <c r="CR182" s="52"/>
      <c r="CS182" s="52"/>
      <c r="CT182" s="52">
        <v>815482</v>
      </c>
      <c r="CU182" s="52">
        <v>137328</v>
      </c>
      <c r="CV182" s="52"/>
      <c r="CW182" s="52"/>
      <c r="CX182" s="52"/>
      <c r="CY182" s="52"/>
      <c r="CZ182" s="52"/>
      <c r="DA182" s="52"/>
      <c r="DB182" s="52"/>
      <c r="DC182" s="52"/>
      <c r="DD182" s="52"/>
      <c r="DE182" s="52">
        <v>3075073</v>
      </c>
      <c r="DF182" s="52"/>
      <c r="DG182" s="52">
        <v>3075073</v>
      </c>
      <c r="DH182" s="52"/>
    </row>
    <row r="183" spans="1:112">
      <c r="A183" s="150" t="s">
        <v>412</v>
      </c>
      <c r="B183" s="44">
        <v>4210</v>
      </c>
      <c r="C183" s="44" t="s">
        <v>242</v>
      </c>
      <c r="D183" s="52">
        <v>70323</v>
      </c>
      <c r="E183" s="52">
        <v>441669</v>
      </c>
      <c r="F183" s="52">
        <v>57070</v>
      </c>
      <c r="G183" s="52"/>
      <c r="H183" s="56">
        <v>26657</v>
      </c>
      <c r="I183" s="56">
        <v>22947</v>
      </c>
      <c r="J183" s="56">
        <v>38218</v>
      </c>
      <c r="K183" s="56">
        <v>47734</v>
      </c>
      <c r="L183" s="52">
        <v>199031</v>
      </c>
      <c r="M183" s="52"/>
      <c r="N183" s="52">
        <v>86380</v>
      </c>
      <c r="O183" s="52">
        <v>34293</v>
      </c>
      <c r="P183" s="52">
        <v>20480</v>
      </c>
      <c r="Q183" s="52">
        <v>13862</v>
      </c>
      <c r="R183" s="52">
        <v>16442</v>
      </c>
      <c r="S183" s="52">
        <v>38927</v>
      </c>
      <c r="T183" s="52">
        <v>12912</v>
      </c>
      <c r="U183" s="52">
        <v>259918</v>
      </c>
      <c r="V183" s="52">
        <v>91400</v>
      </c>
      <c r="W183" s="52">
        <v>397582</v>
      </c>
      <c r="X183" s="52">
        <v>38874</v>
      </c>
      <c r="Y183" s="52">
        <v>793429</v>
      </c>
      <c r="Z183" s="52">
        <v>162277</v>
      </c>
      <c r="AA183" s="52">
        <v>113780</v>
      </c>
      <c r="AB183" s="52">
        <v>141459</v>
      </c>
      <c r="AC183" s="52">
        <v>34061</v>
      </c>
      <c r="AD183" s="52">
        <v>65625</v>
      </c>
      <c r="AE183" s="52">
        <v>17063</v>
      </c>
      <c r="AF183" s="52"/>
      <c r="AG183" s="52">
        <v>157749</v>
      </c>
      <c r="AH183" s="52">
        <v>232904</v>
      </c>
      <c r="AI183" s="52"/>
      <c r="AJ183" s="52"/>
      <c r="AK183" s="52"/>
      <c r="AL183" s="52"/>
      <c r="AM183" s="52">
        <v>139914</v>
      </c>
      <c r="AN183" s="52">
        <v>219822</v>
      </c>
      <c r="AO183" s="52">
        <v>61625</v>
      </c>
      <c r="AP183" s="52"/>
      <c r="AQ183" s="52">
        <v>69609</v>
      </c>
      <c r="AR183" s="52">
        <v>76103</v>
      </c>
      <c r="AS183" s="52">
        <v>265411</v>
      </c>
      <c r="AT183" s="52">
        <v>21771</v>
      </c>
      <c r="AU183" s="52">
        <v>91490</v>
      </c>
      <c r="AV183" s="52">
        <v>22921</v>
      </c>
      <c r="AW183" s="52">
        <v>21558</v>
      </c>
      <c r="AX183" s="52">
        <v>169258</v>
      </c>
      <c r="AY183" s="52">
        <v>1021142</v>
      </c>
      <c r="AZ183" s="52"/>
      <c r="BA183" s="52">
        <v>15516</v>
      </c>
      <c r="BB183" s="52">
        <v>10776</v>
      </c>
      <c r="BC183" s="52"/>
      <c r="BD183" s="52">
        <v>42758</v>
      </c>
      <c r="BE183" s="52">
        <v>40488</v>
      </c>
      <c r="BF183" s="52">
        <v>550906</v>
      </c>
      <c r="BG183" s="52">
        <v>86902</v>
      </c>
      <c r="BH183" s="52">
        <v>154370</v>
      </c>
      <c r="BI183" s="52">
        <v>165977</v>
      </c>
      <c r="BJ183" s="52">
        <v>99140</v>
      </c>
      <c r="BK183" s="52">
        <v>75885</v>
      </c>
      <c r="BL183" s="52">
        <v>63706</v>
      </c>
      <c r="BM183" s="52">
        <v>195469</v>
      </c>
      <c r="BN183" s="52">
        <v>181374</v>
      </c>
      <c r="BO183" s="52">
        <v>37045</v>
      </c>
      <c r="BP183" s="52">
        <v>59495</v>
      </c>
      <c r="BQ183" s="52">
        <v>147471</v>
      </c>
      <c r="BR183" s="52">
        <v>22839</v>
      </c>
      <c r="BS183" s="52"/>
      <c r="BT183" s="52">
        <v>66683</v>
      </c>
      <c r="BU183" s="52">
        <v>53581</v>
      </c>
      <c r="BV183" s="52">
        <v>21650</v>
      </c>
      <c r="BW183" s="52"/>
      <c r="BX183" s="52">
        <v>107057</v>
      </c>
      <c r="BY183" s="52">
        <v>145390</v>
      </c>
      <c r="BZ183" s="52">
        <v>185247</v>
      </c>
      <c r="CA183" s="52"/>
      <c r="CB183" s="52">
        <v>92384</v>
      </c>
      <c r="CC183" s="52">
        <v>70029</v>
      </c>
      <c r="CD183" s="52">
        <v>175759</v>
      </c>
      <c r="CE183" s="52"/>
      <c r="CF183" s="52">
        <v>234833</v>
      </c>
      <c r="CG183" s="52">
        <v>649517</v>
      </c>
      <c r="CH183" s="52">
        <v>181754</v>
      </c>
      <c r="CI183" s="52">
        <v>39274</v>
      </c>
      <c r="CJ183" s="52">
        <v>186452</v>
      </c>
      <c r="CK183" s="52">
        <v>109891</v>
      </c>
      <c r="CL183" s="52">
        <v>51132</v>
      </c>
      <c r="CM183" s="52">
        <v>36711</v>
      </c>
      <c r="CN183" s="52">
        <v>79298</v>
      </c>
      <c r="CO183" s="52">
        <v>115548</v>
      </c>
      <c r="CP183" s="52">
        <v>189685</v>
      </c>
      <c r="CQ183" s="52">
        <v>866</v>
      </c>
      <c r="CR183" s="52">
        <v>840</v>
      </c>
      <c r="CS183" s="52"/>
      <c r="CT183" s="52">
        <v>211891</v>
      </c>
      <c r="CU183" s="52">
        <v>163113</v>
      </c>
      <c r="CV183" s="52"/>
      <c r="CW183" s="52">
        <v>83918</v>
      </c>
      <c r="CX183" s="52">
        <v>232840</v>
      </c>
      <c r="CY183" s="52">
        <v>96587</v>
      </c>
      <c r="CZ183" s="52">
        <v>63935</v>
      </c>
      <c r="DA183" s="52">
        <v>228493</v>
      </c>
      <c r="DB183" s="52">
        <v>66827</v>
      </c>
      <c r="DC183" s="52">
        <v>66108</v>
      </c>
      <c r="DD183" s="52">
        <v>21551</v>
      </c>
      <c r="DE183" s="52">
        <v>11704992</v>
      </c>
      <c r="DF183" s="52">
        <v>87659</v>
      </c>
      <c r="DG183" s="52">
        <v>11792651</v>
      </c>
      <c r="DH183" s="52"/>
    </row>
    <row r="184" spans="1:112">
      <c r="A184" s="150" t="s">
        <v>412</v>
      </c>
      <c r="B184" s="44">
        <v>4220</v>
      </c>
      <c r="C184" s="44" t="s">
        <v>243</v>
      </c>
      <c r="D184" s="52"/>
      <c r="E184" s="52"/>
      <c r="F184" s="52"/>
      <c r="G184" s="52"/>
      <c r="H184" s="56"/>
      <c r="I184" s="56"/>
      <c r="J184" s="56"/>
      <c r="K184" s="56"/>
      <c r="L184" s="52"/>
      <c r="M184" s="52"/>
      <c r="N184" s="52"/>
      <c r="O184" s="52">
        <v>66730</v>
      </c>
      <c r="P184" s="52"/>
      <c r="Q184" s="52"/>
      <c r="R184" s="52"/>
      <c r="S184" s="52"/>
      <c r="T184" s="52"/>
      <c r="U184" s="52"/>
      <c r="V184" s="52">
        <v>91081</v>
      </c>
      <c r="W184" s="52">
        <v>142569</v>
      </c>
      <c r="X184" s="52"/>
      <c r="Y184" s="52"/>
      <c r="Z184" s="52"/>
      <c r="AA184" s="52"/>
      <c r="AB184" s="52">
        <v>74767</v>
      </c>
      <c r="AC184" s="52"/>
      <c r="AD184" s="52"/>
      <c r="AE184" s="52"/>
      <c r="AF184" s="52"/>
      <c r="AG184" s="52"/>
      <c r="AH184" s="52">
        <v>4857</v>
      </c>
      <c r="AI184" s="52"/>
      <c r="AJ184" s="52"/>
      <c r="AK184" s="52"/>
      <c r="AL184" s="52"/>
      <c r="AM184" s="52"/>
      <c r="AN184" s="52"/>
      <c r="AO184" s="52"/>
      <c r="AP184" s="52"/>
      <c r="AQ184" s="52"/>
      <c r="AR184" s="52"/>
      <c r="AS184" s="52">
        <v>5624</v>
      </c>
      <c r="AT184" s="52"/>
      <c r="AU184" s="52">
        <v>96839</v>
      </c>
      <c r="AV184" s="52"/>
      <c r="AW184" s="52"/>
      <c r="AX184" s="52">
        <v>93254</v>
      </c>
      <c r="AY184" s="52">
        <v>106254</v>
      </c>
      <c r="AZ184" s="52"/>
      <c r="BA184" s="52"/>
      <c r="BB184" s="52"/>
      <c r="BC184" s="52"/>
      <c r="BD184" s="52"/>
      <c r="BE184" s="52"/>
      <c r="BF184" s="52"/>
      <c r="BG184" s="52"/>
      <c r="BH184" s="52"/>
      <c r="BI184" s="52"/>
      <c r="BJ184" s="52"/>
      <c r="BK184" s="52"/>
      <c r="BL184" s="52"/>
      <c r="BM184" s="52"/>
      <c r="BN184" s="52"/>
      <c r="BO184" s="52"/>
      <c r="BP184" s="52">
        <v>142203</v>
      </c>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v>107862</v>
      </c>
      <c r="CO184" s="52"/>
      <c r="CP184" s="52"/>
      <c r="CQ184" s="52"/>
      <c r="CR184" s="52"/>
      <c r="CS184" s="52"/>
      <c r="CT184" s="52"/>
      <c r="CU184" s="52"/>
      <c r="CV184" s="52"/>
      <c r="CW184" s="52"/>
      <c r="CX184" s="52"/>
      <c r="CY184" s="52"/>
      <c r="CZ184" s="52"/>
      <c r="DA184" s="52">
        <v>92305</v>
      </c>
      <c r="DB184" s="52"/>
      <c r="DC184" s="52"/>
      <c r="DD184" s="52"/>
      <c r="DE184" s="52">
        <v>1024345</v>
      </c>
      <c r="DF184" s="52"/>
      <c r="DG184" s="52">
        <v>1024345</v>
      </c>
      <c r="DH184" s="52"/>
    </row>
    <row r="185" spans="1:112">
      <c r="A185" s="150" t="s">
        <v>412</v>
      </c>
      <c r="B185" s="44">
        <v>4240</v>
      </c>
      <c r="C185" s="44" t="s">
        <v>244</v>
      </c>
      <c r="D185" s="52"/>
      <c r="E185" s="52"/>
      <c r="F185" s="52"/>
      <c r="G185" s="52"/>
      <c r="H185" s="56"/>
      <c r="I185" s="56"/>
      <c r="J185" s="56"/>
      <c r="K185" s="56"/>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v>502</v>
      </c>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v>502</v>
      </c>
      <c r="DF185" s="52"/>
      <c r="DG185" s="52">
        <v>502</v>
      </c>
      <c r="DH185" s="52"/>
    </row>
    <row r="186" spans="1:112">
      <c r="A186" s="150" t="s">
        <v>412</v>
      </c>
      <c r="B186" s="44">
        <v>4310</v>
      </c>
      <c r="C186" s="44" t="s">
        <v>246</v>
      </c>
      <c r="D186" s="52">
        <v>881557</v>
      </c>
      <c r="E186" s="52">
        <v>6280589</v>
      </c>
      <c r="F186" s="52">
        <v>1168627</v>
      </c>
      <c r="G186" s="52"/>
      <c r="H186" s="56">
        <v>805739</v>
      </c>
      <c r="I186" s="56">
        <v>552829</v>
      </c>
      <c r="J186" s="56">
        <v>584385</v>
      </c>
      <c r="K186" s="56">
        <v>518442</v>
      </c>
      <c r="L186" s="52">
        <v>2518542</v>
      </c>
      <c r="M186" s="52"/>
      <c r="N186" s="52"/>
      <c r="O186" s="52">
        <v>554577</v>
      </c>
      <c r="P186" s="52">
        <v>590348</v>
      </c>
      <c r="Q186" s="52">
        <v>609851</v>
      </c>
      <c r="R186" s="52">
        <v>217221</v>
      </c>
      <c r="S186" s="52">
        <v>533737</v>
      </c>
      <c r="T186" s="52"/>
      <c r="U186" s="52">
        <v>6027331</v>
      </c>
      <c r="V186" s="52"/>
      <c r="W186" s="52">
        <v>6125083</v>
      </c>
      <c r="X186" s="52">
        <v>462916</v>
      </c>
      <c r="Y186" s="52">
        <v>16439915</v>
      </c>
      <c r="Z186" s="52">
        <v>2334801</v>
      </c>
      <c r="AA186" s="52">
        <v>1728186</v>
      </c>
      <c r="AB186" s="52">
        <v>2252931</v>
      </c>
      <c r="AC186" s="52">
        <v>645487</v>
      </c>
      <c r="AD186" s="52">
        <v>1294546</v>
      </c>
      <c r="AE186" s="52">
        <v>308336</v>
      </c>
      <c r="AF186" s="52"/>
      <c r="AG186" s="52">
        <v>3028868</v>
      </c>
      <c r="AH186" s="52">
        <v>4130488</v>
      </c>
      <c r="AI186" s="52"/>
      <c r="AJ186" s="52">
        <v>315847</v>
      </c>
      <c r="AK186" s="52">
        <v>1539952</v>
      </c>
      <c r="AL186" s="52">
        <v>461920</v>
      </c>
      <c r="AM186" s="52"/>
      <c r="AN186" s="52">
        <v>2309146</v>
      </c>
      <c r="AO186" s="52">
        <v>1164859</v>
      </c>
      <c r="AP186" s="52"/>
      <c r="AQ186" s="52">
        <v>845220</v>
      </c>
      <c r="AR186" s="52">
        <v>1282273</v>
      </c>
      <c r="AS186" s="52">
        <v>3833305</v>
      </c>
      <c r="AT186" s="52">
        <v>339376</v>
      </c>
      <c r="AU186" s="52">
        <v>1945748</v>
      </c>
      <c r="AV186" s="52">
        <v>486216</v>
      </c>
      <c r="AW186" s="52">
        <v>285583</v>
      </c>
      <c r="AX186" s="52">
        <v>2682228</v>
      </c>
      <c r="AY186" s="52">
        <v>14818858</v>
      </c>
      <c r="AZ186" s="52">
        <v>2346879</v>
      </c>
      <c r="BA186" s="52">
        <v>254887</v>
      </c>
      <c r="BB186" s="52">
        <v>163373</v>
      </c>
      <c r="BC186" s="52"/>
      <c r="BD186" s="52">
        <v>558415</v>
      </c>
      <c r="BE186" s="52">
        <v>848218</v>
      </c>
      <c r="BF186" s="52">
        <v>9142974</v>
      </c>
      <c r="BG186" s="52">
        <v>1865134</v>
      </c>
      <c r="BH186" s="52">
        <v>2072540</v>
      </c>
      <c r="BI186" s="52">
        <v>2482383</v>
      </c>
      <c r="BJ186" s="52">
        <v>1501328</v>
      </c>
      <c r="BK186" s="52">
        <v>1041334</v>
      </c>
      <c r="BL186" s="52">
        <v>1167720</v>
      </c>
      <c r="BM186" s="52">
        <v>1923639</v>
      </c>
      <c r="BN186" s="52">
        <v>2539330</v>
      </c>
      <c r="BO186" s="52">
        <v>658336</v>
      </c>
      <c r="BP186" s="52">
        <v>913673</v>
      </c>
      <c r="BQ186" s="52">
        <v>1162915</v>
      </c>
      <c r="BR186" s="52">
        <v>370317</v>
      </c>
      <c r="BS186" s="52"/>
      <c r="BT186" s="52">
        <v>1308814</v>
      </c>
      <c r="BU186" s="52">
        <v>870449</v>
      </c>
      <c r="BV186" s="52">
        <v>408261</v>
      </c>
      <c r="BW186" s="52"/>
      <c r="BX186" s="52">
        <v>2338407</v>
      </c>
      <c r="BY186" s="52">
        <v>1430669</v>
      </c>
      <c r="BZ186" s="52">
        <v>2592201</v>
      </c>
      <c r="CA186" s="52"/>
      <c r="CB186" s="52">
        <v>1620247</v>
      </c>
      <c r="CC186" s="52">
        <v>1185114</v>
      </c>
      <c r="CD186" s="52">
        <v>2789311</v>
      </c>
      <c r="CE186" s="52"/>
      <c r="CF186" s="52">
        <v>2892905</v>
      </c>
      <c r="CG186" s="52">
        <v>11564177</v>
      </c>
      <c r="CH186" s="52">
        <v>1521783</v>
      </c>
      <c r="CI186" s="52">
        <v>542494</v>
      </c>
      <c r="CJ186" s="52">
        <v>538180</v>
      </c>
      <c r="CK186" s="52">
        <v>1074229</v>
      </c>
      <c r="CL186" s="52">
        <v>459090</v>
      </c>
      <c r="CM186" s="52">
        <v>389648</v>
      </c>
      <c r="CN186" s="52">
        <v>1041526</v>
      </c>
      <c r="CO186" s="52">
        <v>1174389</v>
      </c>
      <c r="CP186" s="52">
        <v>2681297</v>
      </c>
      <c r="CQ186" s="52"/>
      <c r="CR186" s="52"/>
      <c r="CS186" s="52"/>
      <c r="CT186" s="52">
        <v>3339992</v>
      </c>
      <c r="CU186" s="52">
        <v>3110140</v>
      </c>
      <c r="CV186" s="52"/>
      <c r="CW186" s="52">
        <v>1174958</v>
      </c>
      <c r="CX186" s="52">
        <v>3472770</v>
      </c>
      <c r="CY186" s="52">
        <v>1678347</v>
      </c>
      <c r="CZ186" s="52">
        <v>517903</v>
      </c>
      <c r="DA186" s="52">
        <v>2560962</v>
      </c>
      <c r="DB186" s="52">
        <v>606167</v>
      </c>
      <c r="DC186" s="52">
        <v>434618</v>
      </c>
      <c r="DD186" s="52">
        <v>669115</v>
      </c>
      <c r="DE186" s="52">
        <v>178803688</v>
      </c>
      <c r="DF186" s="52">
        <v>1103733</v>
      </c>
      <c r="DG186" s="52">
        <v>179907421</v>
      </c>
      <c r="DH186" s="52"/>
    </row>
    <row r="187" spans="1:112">
      <c r="A187" s="150" t="s">
        <v>412</v>
      </c>
      <c r="B187" s="44">
        <v>4312</v>
      </c>
      <c r="C187" s="44" t="s">
        <v>247</v>
      </c>
      <c r="D187" s="52"/>
      <c r="E187" s="52"/>
      <c r="F187" s="52">
        <v>31002</v>
      </c>
      <c r="G187" s="52"/>
      <c r="H187" s="56"/>
      <c r="I187" s="56"/>
      <c r="J187" s="56"/>
      <c r="K187" s="56"/>
      <c r="L187" s="52"/>
      <c r="M187" s="52"/>
      <c r="N187" s="52"/>
      <c r="O187" s="52">
        <v>27228</v>
      </c>
      <c r="P187" s="52">
        <v>35588</v>
      </c>
      <c r="Q187" s="52">
        <v>51540</v>
      </c>
      <c r="R187" s="52">
        <v>27016</v>
      </c>
      <c r="S187" s="52"/>
      <c r="T187" s="52"/>
      <c r="U187" s="52"/>
      <c r="V187" s="52"/>
      <c r="W187" s="52"/>
      <c r="X187" s="52"/>
      <c r="Y187" s="52"/>
      <c r="Z187" s="52"/>
      <c r="AA187" s="52">
        <v>149590</v>
      </c>
      <c r="AB187" s="52">
        <v>220946</v>
      </c>
      <c r="AC187" s="52">
        <v>26596</v>
      </c>
      <c r="AD187" s="52">
        <v>126093</v>
      </c>
      <c r="AE187" s="52">
        <v>26676</v>
      </c>
      <c r="AF187" s="52"/>
      <c r="AG187" s="52">
        <v>250612</v>
      </c>
      <c r="AH187" s="52"/>
      <c r="AI187" s="52"/>
      <c r="AJ187" s="52">
        <v>24854</v>
      </c>
      <c r="AK187" s="52">
        <v>112054</v>
      </c>
      <c r="AL187" s="52">
        <v>44354</v>
      </c>
      <c r="AM187" s="52"/>
      <c r="AN187" s="52"/>
      <c r="AO187" s="52">
        <v>56822</v>
      </c>
      <c r="AP187" s="52"/>
      <c r="AQ187" s="52"/>
      <c r="AR187" s="52"/>
      <c r="AS187" s="52"/>
      <c r="AT187" s="52">
        <v>34431</v>
      </c>
      <c r="AU187" s="52"/>
      <c r="AV187" s="52">
        <v>31306</v>
      </c>
      <c r="AW187" s="52">
        <v>41557</v>
      </c>
      <c r="AX187" s="52">
        <v>216059</v>
      </c>
      <c r="AY187" s="52"/>
      <c r="AZ187" s="52"/>
      <c r="BA187" s="52"/>
      <c r="BB187" s="52"/>
      <c r="BC187" s="52"/>
      <c r="BD187" s="52">
        <v>55979</v>
      </c>
      <c r="BE187" s="52">
        <v>50750</v>
      </c>
      <c r="BF187" s="52"/>
      <c r="BG187" s="52">
        <v>137591</v>
      </c>
      <c r="BH187" s="52"/>
      <c r="BI187" s="52"/>
      <c r="BJ187" s="52"/>
      <c r="BK187" s="52"/>
      <c r="BL187" s="52">
        <v>79224</v>
      </c>
      <c r="BM187" s="52"/>
      <c r="BN187" s="52"/>
      <c r="BO187" s="52"/>
      <c r="BP187" s="52">
        <v>75589</v>
      </c>
      <c r="BQ187" s="52"/>
      <c r="BR187" s="52"/>
      <c r="BS187" s="52"/>
      <c r="BT187" s="52">
        <v>95625</v>
      </c>
      <c r="BU187" s="52">
        <v>61114</v>
      </c>
      <c r="BV187" s="52">
        <v>30411</v>
      </c>
      <c r="BW187" s="52"/>
      <c r="BX187" s="52">
        <v>146440</v>
      </c>
      <c r="BY187" s="52">
        <v>167310</v>
      </c>
      <c r="BZ187" s="52"/>
      <c r="CA187" s="52"/>
      <c r="CB187" s="52">
        <v>145435</v>
      </c>
      <c r="CC187" s="52">
        <v>116943</v>
      </c>
      <c r="CD187" s="52">
        <v>200025</v>
      </c>
      <c r="CE187" s="52"/>
      <c r="CF187" s="52"/>
      <c r="CG187" s="52"/>
      <c r="CH187" s="52"/>
      <c r="CI187" s="52"/>
      <c r="CJ187" s="52"/>
      <c r="CK187" s="52"/>
      <c r="CL187" s="52"/>
      <c r="CM187" s="52"/>
      <c r="CN187" s="52"/>
      <c r="CO187" s="52"/>
      <c r="CP187" s="52"/>
      <c r="CQ187" s="52"/>
      <c r="CR187" s="52"/>
      <c r="CS187" s="52"/>
      <c r="CT187" s="52"/>
      <c r="CU187" s="52"/>
      <c r="CV187" s="52"/>
      <c r="CW187" s="52">
        <v>128607</v>
      </c>
      <c r="CX187" s="52">
        <v>209152</v>
      </c>
      <c r="CY187" s="52"/>
      <c r="CZ187" s="52"/>
      <c r="DA187" s="52"/>
      <c r="DB187" s="52"/>
      <c r="DC187" s="52"/>
      <c r="DD187" s="52"/>
      <c r="DE187" s="52">
        <v>3234519</v>
      </c>
      <c r="DF187" s="52"/>
      <c r="DG187" s="52">
        <v>3234519</v>
      </c>
      <c r="DH187" s="52"/>
    </row>
    <row r="188" spans="1:112">
      <c r="A188" s="150" t="s">
        <v>412</v>
      </c>
      <c r="B188" s="44">
        <v>4318</v>
      </c>
      <c r="C188" s="44" t="s">
        <v>248</v>
      </c>
      <c r="D188" s="52"/>
      <c r="E188" s="52">
        <v>604229</v>
      </c>
      <c r="F188" s="52"/>
      <c r="G188" s="52"/>
      <c r="H188" s="56"/>
      <c r="I188" s="56"/>
      <c r="J188" s="56"/>
      <c r="K188" s="56"/>
      <c r="L188" s="52"/>
      <c r="M188" s="52"/>
      <c r="N188" s="52"/>
      <c r="O188" s="52">
        <v>436097</v>
      </c>
      <c r="P188" s="52">
        <v>219629</v>
      </c>
      <c r="Q188" s="52"/>
      <c r="R188" s="52"/>
      <c r="S188" s="52"/>
      <c r="T188" s="52"/>
      <c r="U188" s="52">
        <v>547732</v>
      </c>
      <c r="V188" s="52"/>
      <c r="W188" s="52"/>
      <c r="X188" s="52"/>
      <c r="Y188" s="52">
        <v>1601237</v>
      </c>
      <c r="Z188" s="52">
        <v>597745</v>
      </c>
      <c r="AA188" s="52"/>
      <c r="AB188" s="52"/>
      <c r="AC188" s="52"/>
      <c r="AD188" s="52">
        <v>212655</v>
      </c>
      <c r="AE188" s="52"/>
      <c r="AF188" s="52"/>
      <c r="AG188" s="52">
        <v>469260</v>
      </c>
      <c r="AH188" s="52">
        <v>642870</v>
      </c>
      <c r="AI188" s="52"/>
      <c r="AJ188" s="52"/>
      <c r="AK188" s="52">
        <v>628459</v>
      </c>
      <c r="AL188" s="52"/>
      <c r="AM188" s="52"/>
      <c r="AN188" s="52"/>
      <c r="AO188" s="52">
        <v>250000</v>
      </c>
      <c r="AP188" s="52"/>
      <c r="AQ188" s="52"/>
      <c r="AR188" s="52">
        <v>479255</v>
      </c>
      <c r="AS188" s="52">
        <v>461001</v>
      </c>
      <c r="AT188" s="52"/>
      <c r="AU188" s="52">
        <v>492795</v>
      </c>
      <c r="AV188" s="52"/>
      <c r="AW188" s="52"/>
      <c r="AX188" s="52"/>
      <c r="AY188" s="52"/>
      <c r="AZ188" s="52"/>
      <c r="BA188" s="52"/>
      <c r="BB188" s="52"/>
      <c r="BC188" s="52"/>
      <c r="BD188" s="52">
        <v>464458</v>
      </c>
      <c r="BE188" s="52"/>
      <c r="BF188" s="52"/>
      <c r="BG188" s="52"/>
      <c r="BH188" s="52"/>
      <c r="BI188" s="52">
        <v>342218</v>
      </c>
      <c r="BJ188" s="52"/>
      <c r="BK188" s="52">
        <v>558978</v>
      </c>
      <c r="BL188" s="52">
        <v>245192</v>
      </c>
      <c r="BM188" s="52"/>
      <c r="BN188" s="52"/>
      <c r="BO188" s="52"/>
      <c r="BP188" s="52">
        <v>1001051</v>
      </c>
      <c r="BQ188" s="52"/>
      <c r="BR188" s="52"/>
      <c r="BS188" s="52"/>
      <c r="BT188" s="52"/>
      <c r="BU188" s="52">
        <v>400359</v>
      </c>
      <c r="BV188" s="52">
        <v>425320</v>
      </c>
      <c r="BW188" s="52"/>
      <c r="BX188" s="52"/>
      <c r="BY188" s="52">
        <v>725639</v>
      </c>
      <c r="BZ188" s="52"/>
      <c r="CA188" s="52"/>
      <c r="CB188" s="52"/>
      <c r="CC188" s="52"/>
      <c r="CD188" s="52"/>
      <c r="CE188" s="52"/>
      <c r="CF188" s="52"/>
      <c r="CG188" s="52">
        <v>1100000</v>
      </c>
      <c r="CH188" s="52"/>
      <c r="CI188" s="52"/>
      <c r="CJ188" s="52"/>
      <c r="CK188" s="52"/>
      <c r="CL188" s="52"/>
      <c r="CM188" s="52"/>
      <c r="CN188" s="52"/>
      <c r="CO188" s="52"/>
      <c r="CP188" s="52">
        <v>539105</v>
      </c>
      <c r="CQ188" s="52"/>
      <c r="CR188" s="52"/>
      <c r="CS188" s="52"/>
      <c r="CT188" s="52"/>
      <c r="CU188" s="52"/>
      <c r="CV188" s="52"/>
      <c r="CW188" s="52"/>
      <c r="CX188" s="52">
        <v>500000</v>
      </c>
      <c r="CY188" s="52"/>
      <c r="CZ188" s="52"/>
      <c r="DA188" s="52"/>
      <c r="DB188" s="52"/>
      <c r="DC188" s="52"/>
      <c r="DD188" s="52"/>
      <c r="DE188" s="52">
        <v>13945284</v>
      </c>
      <c r="DF188" s="52"/>
      <c r="DG188" s="52">
        <v>13945284</v>
      </c>
      <c r="DH188" s="52"/>
    </row>
    <row r="189" spans="1:112">
      <c r="A189" s="150" t="s">
        <v>412</v>
      </c>
      <c r="B189" s="55">
        <v>4320</v>
      </c>
      <c r="C189" s="44" t="s">
        <v>249</v>
      </c>
      <c r="D189" s="52"/>
      <c r="E189" s="52"/>
      <c r="F189" s="52"/>
      <c r="G189" s="52"/>
      <c r="H189" s="56"/>
      <c r="I189" s="56"/>
      <c r="J189" s="56"/>
      <c r="K189" s="56"/>
      <c r="L189" s="52"/>
      <c r="M189" s="52"/>
      <c r="N189" s="52"/>
      <c r="O189" s="52"/>
      <c r="P189" s="52"/>
      <c r="Q189" s="52"/>
      <c r="R189" s="52"/>
      <c r="S189" s="52"/>
      <c r="T189" s="52"/>
      <c r="U189" s="52"/>
      <c r="V189" s="52"/>
      <c r="W189" s="52"/>
      <c r="X189" s="52"/>
      <c r="Y189" s="52"/>
      <c r="Z189" s="52"/>
      <c r="AA189" s="52">
        <v>164444</v>
      </c>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v>513415</v>
      </c>
      <c r="AZ189" s="52"/>
      <c r="BA189" s="52"/>
      <c r="BB189" s="52"/>
      <c r="BC189" s="52"/>
      <c r="BD189" s="52"/>
      <c r="BE189" s="52"/>
      <c r="BF189" s="52"/>
      <c r="BG189" s="52"/>
      <c r="BH189" s="52"/>
      <c r="BI189" s="52"/>
      <c r="BJ189" s="52"/>
      <c r="BK189" s="52"/>
      <c r="BL189" s="52">
        <v>177116</v>
      </c>
      <c r="BM189" s="52"/>
      <c r="BN189" s="52"/>
      <c r="BO189" s="52"/>
      <c r="BP189" s="52"/>
      <c r="BQ189" s="52"/>
      <c r="BR189" s="52"/>
      <c r="BS189" s="52"/>
      <c r="BT189" s="52"/>
      <c r="BU189" s="52"/>
      <c r="BV189" s="52"/>
      <c r="BW189" s="52"/>
      <c r="BX189" s="52"/>
      <c r="BY189" s="52"/>
      <c r="BZ189" s="52"/>
      <c r="CA189" s="52"/>
      <c r="CB189" s="52"/>
      <c r="CC189" s="52"/>
      <c r="CD189" s="52"/>
      <c r="CE189" s="52"/>
      <c r="CF189" s="52"/>
      <c r="CG189" s="52">
        <v>131000</v>
      </c>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v>985975</v>
      </c>
      <c r="DF189" s="52"/>
      <c r="DG189" s="52">
        <v>985975</v>
      </c>
      <c r="DH189" s="52"/>
    </row>
    <row r="190" spans="1:112">
      <c r="A190" s="150" t="s">
        <v>412</v>
      </c>
      <c r="B190" s="44">
        <v>4325</v>
      </c>
      <c r="C190" s="44" t="s">
        <v>250</v>
      </c>
      <c r="D190" s="52"/>
      <c r="E190" s="52"/>
      <c r="F190" s="52"/>
      <c r="G190" s="52"/>
      <c r="H190" s="56"/>
      <c r="I190" s="56"/>
      <c r="J190" s="56"/>
      <c r="K190" s="56"/>
      <c r="L190" s="52">
        <v>203612</v>
      </c>
      <c r="M190" s="52"/>
      <c r="N190" s="52"/>
      <c r="O190" s="52"/>
      <c r="P190" s="52"/>
      <c r="Q190" s="52"/>
      <c r="R190" s="52"/>
      <c r="S190" s="52"/>
      <c r="T190" s="52"/>
      <c r="U190" s="52"/>
      <c r="V190" s="52"/>
      <c r="W190" s="52">
        <v>7141</v>
      </c>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v>38800</v>
      </c>
      <c r="BL190" s="52"/>
      <c r="BM190" s="52"/>
      <c r="BN190" s="52"/>
      <c r="BO190" s="52"/>
      <c r="BP190" s="52"/>
      <c r="BQ190" s="52"/>
      <c r="BR190" s="52"/>
      <c r="BS190" s="52"/>
      <c r="BT190" s="52"/>
      <c r="BU190" s="52"/>
      <c r="BV190" s="52"/>
      <c r="BW190" s="52"/>
      <c r="BX190" s="52"/>
      <c r="BY190" s="52"/>
      <c r="BZ190" s="52"/>
      <c r="CA190" s="52"/>
      <c r="CB190" s="52"/>
      <c r="CC190" s="52"/>
      <c r="CD190" s="52">
        <v>186909</v>
      </c>
      <c r="CE190" s="52"/>
      <c r="CF190" s="52"/>
      <c r="CG190" s="52"/>
      <c r="CH190" s="52"/>
      <c r="CI190" s="52"/>
      <c r="CJ190" s="52"/>
      <c r="CK190" s="52">
        <v>60000</v>
      </c>
      <c r="CL190" s="52"/>
      <c r="CM190" s="52"/>
      <c r="CN190" s="52">
        <v>52413</v>
      </c>
      <c r="CO190" s="52"/>
      <c r="CP190" s="52"/>
      <c r="CQ190" s="52"/>
      <c r="CR190" s="52"/>
      <c r="CS190" s="52"/>
      <c r="CT190" s="52"/>
      <c r="CU190" s="52"/>
      <c r="CV190" s="52"/>
      <c r="CW190" s="52"/>
      <c r="CX190" s="52"/>
      <c r="CY190" s="52"/>
      <c r="CZ190" s="52"/>
      <c r="DA190" s="52">
        <v>19374</v>
      </c>
      <c r="DB190" s="52"/>
      <c r="DC190" s="52"/>
      <c r="DD190" s="52"/>
      <c r="DE190" s="52">
        <v>568249</v>
      </c>
      <c r="DF190" s="52"/>
      <c r="DG190" s="52">
        <v>568249</v>
      </c>
      <c r="DH190" s="52"/>
    </row>
    <row r="191" spans="1:112">
      <c r="A191" s="150" t="s">
        <v>412</v>
      </c>
      <c r="B191" s="44">
        <v>4331</v>
      </c>
      <c r="C191" s="44" t="s">
        <v>251</v>
      </c>
      <c r="D191" s="52">
        <v>8257</v>
      </c>
      <c r="E191" s="52">
        <v>136857</v>
      </c>
      <c r="F191" s="52">
        <v>11018</v>
      </c>
      <c r="G191" s="52"/>
      <c r="H191" s="56">
        <v>8127</v>
      </c>
      <c r="I191" s="56">
        <v>5710</v>
      </c>
      <c r="J191" s="56">
        <v>12077</v>
      </c>
      <c r="K191" s="56">
        <v>5979</v>
      </c>
      <c r="L191" s="52">
        <v>27024</v>
      </c>
      <c r="M191" s="52"/>
      <c r="N191" s="52"/>
      <c r="O191" s="52">
        <v>5559</v>
      </c>
      <c r="P191" s="52"/>
      <c r="Q191" s="52">
        <v>5111</v>
      </c>
      <c r="R191" s="52">
        <v>157896</v>
      </c>
      <c r="S191" s="52">
        <v>16403</v>
      </c>
      <c r="T191" s="52"/>
      <c r="U191" s="52">
        <v>59696</v>
      </c>
      <c r="V191" s="52"/>
      <c r="W191" s="52">
        <v>51295</v>
      </c>
      <c r="X191" s="52">
        <v>6320</v>
      </c>
      <c r="Y191" s="52">
        <v>141130</v>
      </c>
      <c r="Z191" s="52">
        <v>22132</v>
      </c>
      <c r="AA191" s="52">
        <v>28952</v>
      </c>
      <c r="AB191" s="52">
        <v>233701</v>
      </c>
      <c r="AC191" s="52">
        <v>22457</v>
      </c>
      <c r="AD191" s="52">
        <v>12421</v>
      </c>
      <c r="AE191" s="52">
        <v>1780</v>
      </c>
      <c r="AF191" s="52"/>
      <c r="AG191" s="52">
        <v>27208</v>
      </c>
      <c r="AH191" s="52">
        <v>40106</v>
      </c>
      <c r="AI191" s="52"/>
      <c r="AJ191" s="52">
        <v>131243</v>
      </c>
      <c r="AK191" s="52">
        <v>15377</v>
      </c>
      <c r="AL191" s="52">
        <v>5008</v>
      </c>
      <c r="AM191" s="52"/>
      <c r="AN191" s="52">
        <v>29867</v>
      </c>
      <c r="AO191" s="52">
        <v>10456</v>
      </c>
      <c r="AP191" s="52"/>
      <c r="AQ191" s="52">
        <v>4487</v>
      </c>
      <c r="AR191" s="52">
        <v>10605</v>
      </c>
      <c r="AS191" s="52">
        <v>25037</v>
      </c>
      <c r="AT191" s="52">
        <v>3072</v>
      </c>
      <c r="AU191" s="52">
        <v>68914</v>
      </c>
      <c r="AV191" s="52">
        <v>3249</v>
      </c>
      <c r="AW191" s="52">
        <v>3072</v>
      </c>
      <c r="AX191" s="52">
        <v>37308</v>
      </c>
      <c r="AY191" s="52">
        <v>182657</v>
      </c>
      <c r="AZ191" s="52">
        <v>93073</v>
      </c>
      <c r="BA191" s="52">
        <v>2613</v>
      </c>
      <c r="BB191" s="52">
        <v>3730</v>
      </c>
      <c r="BC191" s="52"/>
      <c r="BD191" s="52">
        <v>6109</v>
      </c>
      <c r="BE191" s="52">
        <v>19758</v>
      </c>
      <c r="BF191" s="52">
        <v>88785</v>
      </c>
      <c r="BG191" s="52">
        <v>29375</v>
      </c>
      <c r="BH191" s="52">
        <v>18822</v>
      </c>
      <c r="BI191" s="52">
        <v>25899</v>
      </c>
      <c r="BJ191" s="52">
        <v>18072</v>
      </c>
      <c r="BK191" s="52">
        <v>16717</v>
      </c>
      <c r="BL191" s="52">
        <v>60130</v>
      </c>
      <c r="BM191" s="52">
        <v>24190</v>
      </c>
      <c r="BN191" s="52">
        <v>13682</v>
      </c>
      <c r="BO191" s="52">
        <v>5797</v>
      </c>
      <c r="BP191" s="52">
        <v>139947</v>
      </c>
      <c r="BQ191" s="52">
        <v>4150</v>
      </c>
      <c r="BR191" s="52">
        <v>3949</v>
      </c>
      <c r="BS191" s="52"/>
      <c r="BT191" s="52">
        <v>12198</v>
      </c>
      <c r="BU191" s="52">
        <v>7135</v>
      </c>
      <c r="BV191" s="52">
        <v>135125</v>
      </c>
      <c r="BW191" s="52"/>
      <c r="BX191" s="52">
        <v>18200</v>
      </c>
      <c r="BY191" s="52">
        <v>17745</v>
      </c>
      <c r="BZ191" s="52">
        <v>58020</v>
      </c>
      <c r="CA191" s="52"/>
      <c r="CB191" s="52">
        <v>7277</v>
      </c>
      <c r="CC191" s="52">
        <v>11083</v>
      </c>
      <c r="CD191" s="52">
        <v>19973</v>
      </c>
      <c r="CE191" s="52"/>
      <c r="CF191" s="52">
        <v>28839</v>
      </c>
      <c r="CG191" s="52">
        <v>275124</v>
      </c>
      <c r="CH191" s="52">
        <v>14680</v>
      </c>
      <c r="CI191" s="52">
        <v>5366</v>
      </c>
      <c r="CJ191" s="52">
        <v>2877</v>
      </c>
      <c r="CK191" s="52"/>
      <c r="CL191" s="52">
        <v>4500</v>
      </c>
      <c r="CM191" s="52">
        <v>3768</v>
      </c>
      <c r="CN191" s="52">
        <v>13500</v>
      </c>
      <c r="CO191" s="52">
        <v>12043</v>
      </c>
      <c r="CP191" s="52">
        <v>15827</v>
      </c>
      <c r="CQ191" s="52"/>
      <c r="CR191" s="52"/>
      <c r="CS191" s="52"/>
      <c r="CT191" s="52">
        <v>34754</v>
      </c>
      <c r="CU191" s="52">
        <v>6308</v>
      </c>
      <c r="CV191" s="52"/>
      <c r="CW191" s="52">
        <v>19214</v>
      </c>
      <c r="CX191" s="52">
        <v>27545</v>
      </c>
      <c r="CY191" s="52">
        <v>26438</v>
      </c>
      <c r="CZ191" s="52">
        <v>4990</v>
      </c>
      <c r="DA191" s="52">
        <v>33830</v>
      </c>
      <c r="DB191" s="52">
        <v>13935</v>
      </c>
      <c r="DC191" s="52"/>
      <c r="DD191" s="52"/>
      <c r="DE191" s="52">
        <v>2982660</v>
      </c>
      <c r="DF191" s="52"/>
      <c r="DG191" s="52">
        <v>2982660</v>
      </c>
      <c r="DH191" s="52"/>
    </row>
    <row r="192" spans="1:112">
      <c r="A192" s="150" t="s">
        <v>412</v>
      </c>
      <c r="B192" s="44">
        <v>4340</v>
      </c>
      <c r="C192" s="44" t="s">
        <v>252</v>
      </c>
      <c r="D192" s="52">
        <v>7411</v>
      </c>
      <c r="E192" s="52">
        <v>41994</v>
      </c>
      <c r="F192" s="52">
        <v>3935</v>
      </c>
      <c r="G192" s="52"/>
      <c r="H192" s="56">
        <v>11509</v>
      </c>
      <c r="I192" s="56">
        <v>4158</v>
      </c>
      <c r="J192" s="56">
        <v>2962</v>
      </c>
      <c r="K192" s="56">
        <v>3864</v>
      </c>
      <c r="L192" s="52">
        <v>31833</v>
      </c>
      <c r="M192" s="52"/>
      <c r="N192" s="52"/>
      <c r="O192" s="52">
        <v>4774</v>
      </c>
      <c r="P192" s="52">
        <v>3926</v>
      </c>
      <c r="Q192" s="52">
        <v>2329</v>
      </c>
      <c r="R192" s="52">
        <v>1142</v>
      </c>
      <c r="S192" s="52">
        <v>2959</v>
      </c>
      <c r="T192" s="52"/>
      <c r="U192" s="52">
        <v>56164</v>
      </c>
      <c r="V192" s="52"/>
      <c r="W192" s="52">
        <v>4973</v>
      </c>
      <c r="X192" s="52">
        <v>3805</v>
      </c>
      <c r="Y192" s="52">
        <v>70089</v>
      </c>
      <c r="Z192" s="52">
        <v>17569</v>
      </c>
      <c r="AA192" s="52">
        <v>12513</v>
      </c>
      <c r="AB192" s="52">
        <v>16792</v>
      </c>
      <c r="AC192" s="52">
        <v>7233</v>
      </c>
      <c r="AD192" s="52">
        <v>9281</v>
      </c>
      <c r="AE192" s="52">
        <v>3113</v>
      </c>
      <c r="AF192" s="52"/>
      <c r="AG192" s="52">
        <v>21664</v>
      </c>
      <c r="AH192" s="52">
        <v>24560</v>
      </c>
      <c r="AI192" s="52"/>
      <c r="AJ192" s="52">
        <v>4931</v>
      </c>
      <c r="AK192" s="52">
        <v>5647</v>
      </c>
      <c r="AL192" s="52">
        <v>2715</v>
      </c>
      <c r="AM192" s="52"/>
      <c r="AN192" s="52">
        <v>26620</v>
      </c>
      <c r="AO192" s="52">
        <v>6231</v>
      </c>
      <c r="AP192" s="52"/>
      <c r="AQ192" s="52">
        <v>1751</v>
      </c>
      <c r="AR192" s="52"/>
      <c r="AS192" s="52">
        <v>26327</v>
      </c>
      <c r="AT192" s="52">
        <v>2012</v>
      </c>
      <c r="AU192" s="52">
        <v>30042</v>
      </c>
      <c r="AV192" s="52">
        <v>2817</v>
      </c>
      <c r="AW192" s="52">
        <v>1640</v>
      </c>
      <c r="AX192" s="52">
        <v>20490</v>
      </c>
      <c r="AY192" s="52">
        <v>139554</v>
      </c>
      <c r="AZ192" s="52">
        <v>30712</v>
      </c>
      <c r="BA192" s="52">
        <v>1940</v>
      </c>
      <c r="BB192" s="52">
        <v>1843</v>
      </c>
      <c r="BC192" s="52"/>
      <c r="BD192" s="52">
        <v>3008</v>
      </c>
      <c r="BE192" s="52">
        <v>29050</v>
      </c>
      <c r="BF192" s="52">
        <v>66118</v>
      </c>
      <c r="BG192" s="52">
        <v>6063</v>
      </c>
      <c r="BH192" s="52">
        <v>28157</v>
      </c>
      <c r="BI192" s="52">
        <v>17109</v>
      </c>
      <c r="BJ192" s="52">
        <v>11614</v>
      </c>
      <c r="BK192" s="52">
        <v>7244</v>
      </c>
      <c r="BL192" s="52">
        <v>7026</v>
      </c>
      <c r="BM192" s="52">
        <v>26082</v>
      </c>
      <c r="BN192" s="52">
        <v>15682</v>
      </c>
      <c r="BO192" s="52">
        <v>3552</v>
      </c>
      <c r="BP192" s="52">
        <v>8290</v>
      </c>
      <c r="BQ192" s="52">
        <v>18870</v>
      </c>
      <c r="BR192" s="52">
        <v>2969</v>
      </c>
      <c r="BS192" s="52"/>
      <c r="BT192" s="52">
        <v>6372</v>
      </c>
      <c r="BU192" s="52">
        <v>6254</v>
      </c>
      <c r="BV192" s="52">
        <v>2629</v>
      </c>
      <c r="BW192" s="52"/>
      <c r="BX192" s="52">
        <v>28293</v>
      </c>
      <c r="BY192" s="52">
        <v>11761</v>
      </c>
      <c r="BZ192" s="52">
        <v>19636</v>
      </c>
      <c r="CA192" s="52"/>
      <c r="CB192" s="52">
        <v>10320</v>
      </c>
      <c r="CC192" s="52">
        <v>9572</v>
      </c>
      <c r="CD192" s="52">
        <v>13154</v>
      </c>
      <c r="CE192" s="52"/>
      <c r="CF192" s="52">
        <v>28420</v>
      </c>
      <c r="CG192" s="52">
        <v>20016</v>
      </c>
      <c r="CH192" s="52">
        <v>58310</v>
      </c>
      <c r="CI192" s="52">
        <v>4207</v>
      </c>
      <c r="CJ192" s="52">
        <v>6464</v>
      </c>
      <c r="CK192" s="52">
        <v>9769</v>
      </c>
      <c r="CL192" s="52"/>
      <c r="CM192" s="52">
        <v>3224</v>
      </c>
      <c r="CN192" s="52">
        <v>7996</v>
      </c>
      <c r="CO192" s="52">
        <v>13436</v>
      </c>
      <c r="CP192" s="52">
        <v>18458</v>
      </c>
      <c r="CQ192" s="52"/>
      <c r="CR192" s="52"/>
      <c r="CS192" s="52"/>
      <c r="CT192" s="52">
        <v>37014</v>
      </c>
      <c r="CU192" s="52">
        <v>16825</v>
      </c>
      <c r="CV192" s="52"/>
      <c r="CW192" s="52">
        <v>8605</v>
      </c>
      <c r="CX192" s="52">
        <v>14872</v>
      </c>
      <c r="CY192" s="52">
        <v>11531</v>
      </c>
      <c r="CZ192" s="52">
        <v>6262</v>
      </c>
      <c r="DA192" s="52">
        <v>26221</v>
      </c>
      <c r="DB192" s="52">
        <v>9638</v>
      </c>
      <c r="DC192" s="52">
        <v>4896</v>
      </c>
      <c r="DD192" s="52">
        <v>1694</v>
      </c>
      <c r="DE192" s="52">
        <v>1335917</v>
      </c>
      <c r="DF192" s="52">
        <v>6590</v>
      </c>
      <c r="DG192" s="52">
        <v>1342507</v>
      </c>
      <c r="DH192" s="52"/>
    </row>
    <row r="193" spans="1:112">
      <c r="A193" s="150" t="s">
        <v>412</v>
      </c>
      <c r="B193" s="44">
        <v>4341</v>
      </c>
      <c r="C193" s="44" t="s">
        <v>253</v>
      </c>
      <c r="D193" s="52">
        <v>7626</v>
      </c>
      <c r="E193" s="52">
        <v>59599</v>
      </c>
      <c r="F193" s="52">
        <v>15839</v>
      </c>
      <c r="G193" s="52"/>
      <c r="H193" s="56">
        <v>22530</v>
      </c>
      <c r="I193" s="56">
        <v>2664</v>
      </c>
      <c r="J193" s="56">
        <v>1229</v>
      </c>
      <c r="K193" s="56"/>
      <c r="L193" s="52">
        <v>45744</v>
      </c>
      <c r="M193" s="52"/>
      <c r="N193" s="52"/>
      <c r="O193" s="52"/>
      <c r="P193" s="52"/>
      <c r="Q193" s="52"/>
      <c r="R193" s="52"/>
      <c r="S193" s="52"/>
      <c r="T193" s="52"/>
      <c r="U193" s="52">
        <v>206335</v>
      </c>
      <c r="V193" s="52"/>
      <c r="W193" s="52">
        <v>47672</v>
      </c>
      <c r="X193" s="52"/>
      <c r="Y193" s="52">
        <v>147545</v>
      </c>
      <c r="Z193" s="52">
        <v>23328</v>
      </c>
      <c r="AA193" s="52">
        <v>2843</v>
      </c>
      <c r="AB193" s="52">
        <v>14018</v>
      </c>
      <c r="AC193" s="52"/>
      <c r="AD193" s="52">
        <v>510</v>
      </c>
      <c r="AE193" s="52"/>
      <c r="AF193" s="52"/>
      <c r="AG193" s="52"/>
      <c r="AH193" s="52"/>
      <c r="AI193" s="52"/>
      <c r="AJ193" s="52"/>
      <c r="AK193" s="52"/>
      <c r="AL193" s="52"/>
      <c r="AM193" s="52"/>
      <c r="AN193" s="52">
        <v>24662</v>
      </c>
      <c r="AO193" s="52"/>
      <c r="AP193" s="52"/>
      <c r="AQ193" s="52"/>
      <c r="AR193" s="52">
        <v>2354</v>
      </c>
      <c r="AS193" s="52">
        <v>26929</v>
      </c>
      <c r="AT193" s="52"/>
      <c r="AU193" s="52"/>
      <c r="AV193" s="52"/>
      <c r="AW193" s="52"/>
      <c r="AX193" s="52">
        <v>20440</v>
      </c>
      <c r="AY193" s="52">
        <v>320156</v>
      </c>
      <c r="AZ193" s="52">
        <v>62327</v>
      </c>
      <c r="BA193" s="52"/>
      <c r="BB193" s="52"/>
      <c r="BC193" s="52"/>
      <c r="BD193" s="52"/>
      <c r="BE193" s="52"/>
      <c r="BF193" s="52">
        <v>145067</v>
      </c>
      <c r="BG193" s="52">
        <v>61561</v>
      </c>
      <c r="BH193" s="52">
        <v>21603</v>
      </c>
      <c r="BI193" s="52">
        <v>29785</v>
      </c>
      <c r="BJ193" s="52">
        <v>22296</v>
      </c>
      <c r="BK193" s="52"/>
      <c r="BL193" s="52"/>
      <c r="BM193" s="52">
        <v>34740</v>
      </c>
      <c r="BN193" s="52">
        <v>44082</v>
      </c>
      <c r="BO193" s="52"/>
      <c r="BP193" s="52"/>
      <c r="BQ193" s="52">
        <v>28353</v>
      </c>
      <c r="BR193" s="52"/>
      <c r="BS193" s="52"/>
      <c r="BT193" s="52"/>
      <c r="BU193" s="52"/>
      <c r="BV193" s="52">
        <v>18020</v>
      </c>
      <c r="BW193" s="52"/>
      <c r="BX193" s="52"/>
      <c r="BY193" s="52">
        <v>44181</v>
      </c>
      <c r="BZ193" s="52">
        <v>43724</v>
      </c>
      <c r="CA193" s="52"/>
      <c r="CB193" s="52"/>
      <c r="CC193" s="52"/>
      <c r="CD193" s="52">
        <v>20215</v>
      </c>
      <c r="CE193" s="52"/>
      <c r="CF193" s="52">
        <v>46354</v>
      </c>
      <c r="CG193" s="52">
        <v>30152</v>
      </c>
      <c r="CH193" s="52">
        <v>98823</v>
      </c>
      <c r="CI193" s="52">
        <v>20740</v>
      </c>
      <c r="CJ193" s="52">
        <v>27350</v>
      </c>
      <c r="CK193" s="52">
        <v>77751</v>
      </c>
      <c r="CL193" s="52">
        <v>7881</v>
      </c>
      <c r="CM193" s="52"/>
      <c r="CN193" s="52">
        <v>21921</v>
      </c>
      <c r="CO193" s="52">
        <v>60270</v>
      </c>
      <c r="CP193" s="52">
        <v>41366</v>
      </c>
      <c r="CQ193" s="52"/>
      <c r="CR193" s="52"/>
      <c r="CS193" s="52"/>
      <c r="CT193" s="52">
        <v>25006</v>
      </c>
      <c r="CU193" s="52"/>
      <c r="CV193" s="52"/>
      <c r="CW193" s="52"/>
      <c r="CX193" s="52"/>
      <c r="CY193" s="52">
        <v>12561</v>
      </c>
      <c r="CZ193" s="52">
        <v>12731</v>
      </c>
      <c r="DA193" s="52">
        <v>78459</v>
      </c>
      <c r="DB193" s="52">
        <v>6961</v>
      </c>
      <c r="DC193" s="52"/>
      <c r="DD193" s="52"/>
      <c r="DE193" s="52">
        <v>2136303</v>
      </c>
      <c r="DF193" s="52"/>
      <c r="DG193" s="52">
        <v>2136303</v>
      </c>
      <c r="DH193" s="52"/>
    </row>
    <row r="194" spans="1:112">
      <c r="A194" s="150" t="s">
        <v>412</v>
      </c>
      <c r="B194" s="44">
        <v>4342</v>
      </c>
      <c r="C194" s="44" t="s">
        <v>254</v>
      </c>
      <c r="D194" s="52"/>
      <c r="E194" s="52"/>
      <c r="F194" s="52"/>
      <c r="G194" s="52"/>
      <c r="H194" s="56"/>
      <c r="I194" s="56"/>
      <c r="J194" s="56"/>
      <c r="K194" s="56"/>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v>34523</v>
      </c>
      <c r="AI194" s="52"/>
      <c r="AJ194" s="52"/>
      <c r="AK194" s="52"/>
      <c r="AL194" s="52"/>
      <c r="AM194" s="52"/>
      <c r="AN194" s="52"/>
      <c r="AO194" s="52"/>
      <c r="AP194" s="52"/>
      <c r="AQ194" s="52"/>
      <c r="AR194" s="52"/>
      <c r="AS194" s="52"/>
      <c r="AT194" s="52"/>
      <c r="AU194" s="52">
        <v>346829</v>
      </c>
      <c r="AV194" s="52"/>
      <c r="AW194" s="52"/>
      <c r="AX194" s="52">
        <v>132948</v>
      </c>
      <c r="AY194" s="52"/>
      <c r="AZ194" s="52"/>
      <c r="BA194" s="52"/>
      <c r="BB194" s="52"/>
      <c r="BC194" s="52"/>
      <c r="BD194" s="52"/>
      <c r="BE194" s="52"/>
      <c r="BF194" s="52"/>
      <c r="BG194" s="52"/>
      <c r="BH194" s="52"/>
      <c r="BI194" s="52"/>
      <c r="BJ194" s="52"/>
      <c r="BK194" s="52">
        <v>125372</v>
      </c>
      <c r="BL194" s="52"/>
      <c r="BM194" s="52"/>
      <c r="BN194" s="52"/>
      <c r="BO194" s="52"/>
      <c r="BP194" s="52"/>
      <c r="BQ194" s="52"/>
      <c r="BR194" s="52"/>
      <c r="BS194" s="52"/>
      <c r="BT194" s="52"/>
      <c r="BU194" s="52"/>
      <c r="BV194" s="52"/>
      <c r="BW194" s="52"/>
      <c r="BX194" s="52">
        <v>490213</v>
      </c>
      <c r="BY194" s="52"/>
      <c r="BZ194" s="52"/>
      <c r="CA194" s="52"/>
      <c r="CB194" s="52"/>
      <c r="CC194" s="52"/>
      <c r="CD194" s="52"/>
      <c r="CE194" s="52"/>
      <c r="CF194" s="52"/>
      <c r="CG194" s="52"/>
      <c r="CH194" s="52"/>
      <c r="CI194" s="52"/>
      <c r="CJ194" s="52"/>
      <c r="CK194" s="52"/>
      <c r="CL194" s="52"/>
      <c r="CM194" s="52"/>
      <c r="CN194" s="52"/>
      <c r="CO194" s="52"/>
      <c r="CP194" s="52">
        <v>819591</v>
      </c>
      <c r="CQ194" s="52"/>
      <c r="CR194" s="52"/>
      <c r="CS194" s="52"/>
      <c r="CT194" s="52"/>
      <c r="CU194" s="52"/>
      <c r="CV194" s="52"/>
      <c r="CW194" s="52"/>
      <c r="CX194" s="52"/>
      <c r="CY194" s="52"/>
      <c r="CZ194" s="52"/>
      <c r="DA194" s="52"/>
      <c r="DB194" s="52"/>
      <c r="DC194" s="52"/>
      <c r="DD194" s="52"/>
      <c r="DE194" s="52">
        <v>1949476</v>
      </c>
      <c r="DF194" s="52"/>
      <c r="DG194" s="52">
        <v>1949476</v>
      </c>
      <c r="DH194" s="52"/>
    </row>
    <row r="195" spans="1:112">
      <c r="A195" s="150" t="s">
        <v>412</v>
      </c>
      <c r="B195" s="44">
        <v>4351</v>
      </c>
      <c r="C195" s="44" t="s">
        <v>255</v>
      </c>
      <c r="D195" s="52">
        <v>199450</v>
      </c>
      <c r="E195" s="52">
        <v>1290642</v>
      </c>
      <c r="F195" s="52">
        <v>169097</v>
      </c>
      <c r="G195" s="52"/>
      <c r="H195" s="56">
        <v>256043</v>
      </c>
      <c r="I195" s="56">
        <v>140829</v>
      </c>
      <c r="J195" s="56">
        <v>104791</v>
      </c>
      <c r="K195" s="56">
        <v>121806</v>
      </c>
      <c r="L195" s="52">
        <v>720966</v>
      </c>
      <c r="M195" s="52"/>
      <c r="N195" s="52"/>
      <c r="O195" s="52">
        <v>139323</v>
      </c>
      <c r="P195" s="52">
        <v>111936</v>
      </c>
      <c r="Q195" s="52">
        <v>84528</v>
      </c>
      <c r="R195" s="52">
        <v>57322</v>
      </c>
      <c r="S195" s="52">
        <v>167504</v>
      </c>
      <c r="T195" s="52"/>
      <c r="U195" s="52">
        <v>767725</v>
      </c>
      <c r="V195" s="52"/>
      <c r="W195" s="52">
        <v>1263167</v>
      </c>
      <c r="X195" s="52">
        <v>148900</v>
      </c>
      <c r="Y195" s="52">
        <v>2915065</v>
      </c>
      <c r="Z195" s="52">
        <v>392954</v>
      </c>
      <c r="AA195" s="52">
        <v>428214</v>
      </c>
      <c r="AB195" s="52">
        <v>447250</v>
      </c>
      <c r="AC195" s="52">
        <v>7862</v>
      </c>
      <c r="AD195" s="52">
        <v>275376</v>
      </c>
      <c r="AE195" s="52">
        <v>76387</v>
      </c>
      <c r="AF195" s="52"/>
      <c r="AG195" s="52">
        <v>554952</v>
      </c>
      <c r="AH195" s="52">
        <v>941982</v>
      </c>
      <c r="AI195" s="52"/>
      <c r="AJ195" s="52">
        <v>63895</v>
      </c>
      <c r="AK195" s="52">
        <v>325190</v>
      </c>
      <c r="AL195" s="52">
        <v>125402</v>
      </c>
      <c r="AM195" s="52"/>
      <c r="AN195" s="52">
        <v>544383</v>
      </c>
      <c r="AO195" s="52">
        <v>178953</v>
      </c>
      <c r="AP195" s="52"/>
      <c r="AQ195" s="52">
        <v>125717</v>
      </c>
      <c r="AR195" s="52">
        <v>272910</v>
      </c>
      <c r="AS195" s="52">
        <v>828543</v>
      </c>
      <c r="AT195" s="52">
        <v>76551</v>
      </c>
      <c r="AU195" s="52">
        <v>396790</v>
      </c>
      <c r="AV195" s="52">
        <v>90956</v>
      </c>
      <c r="AW195" s="52">
        <v>80279</v>
      </c>
      <c r="AX195" s="52">
        <v>665557</v>
      </c>
      <c r="AY195" s="52">
        <v>2685119</v>
      </c>
      <c r="AZ195" s="52">
        <v>471677</v>
      </c>
      <c r="BA195" s="52">
        <v>44677</v>
      </c>
      <c r="BB195" s="52">
        <v>53008</v>
      </c>
      <c r="BC195" s="52"/>
      <c r="BD195" s="52">
        <v>174958</v>
      </c>
      <c r="BE195" s="52">
        <v>151468</v>
      </c>
      <c r="BF195" s="52">
        <v>1685153</v>
      </c>
      <c r="BG195" s="52">
        <v>197413</v>
      </c>
      <c r="BH195" s="52">
        <v>303772</v>
      </c>
      <c r="BI195" s="52">
        <v>548330</v>
      </c>
      <c r="BJ195" s="52">
        <v>291737</v>
      </c>
      <c r="BK195" s="52">
        <v>325235</v>
      </c>
      <c r="BL195" s="52">
        <v>232431</v>
      </c>
      <c r="BM195" s="52">
        <v>508399</v>
      </c>
      <c r="BN195" s="52">
        <v>438259</v>
      </c>
      <c r="BO195" s="52">
        <v>122451</v>
      </c>
      <c r="BP195" s="52">
        <v>128061</v>
      </c>
      <c r="BQ195" s="52">
        <v>301533</v>
      </c>
      <c r="BR195" s="52">
        <v>89187</v>
      </c>
      <c r="BS195" s="52"/>
      <c r="BT195" s="52">
        <v>269646</v>
      </c>
      <c r="BU195" s="52">
        <v>210696</v>
      </c>
      <c r="BV195" s="52">
        <v>95100</v>
      </c>
      <c r="BW195" s="52"/>
      <c r="BX195" s="52">
        <v>484691</v>
      </c>
      <c r="BY195" s="52">
        <v>291108</v>
      </c>
      <c r="BZ195" s="52">
        <v>358668</v>
      </c>
      <c r="CA195" s="52"/>
      <c r="CB195" s="52">
        <v>384956</v>
      </c>
      <c r="CC195" s="52">
        <v>241133</v>
      </c>
      <c r="CD195" s="52">
        <v>624861</v>
      </c>
      <c r="CE195" s="52"/>
      <c r="CF195" s="52">
        <v>598418</v>
      </c>
      <c r="CG195" s="52">
        <v>2480402</v>
      </c>
      <c r="CH195" s="52">
        <v>527739</v>
      </c>
      <c r="CI195" s="52">
        <v>156234</v>
      </c>
      <c r="CJ195" s="52">
        <v>146873</v>
      </c>
      <c r="CK195" s="52">
        <v>240040</v>
      </c>
      <c r="CL195" s="52">
        <v>146016</v>
      </c>
      <c r="CM195" s="52">
        <v>136139</v>
      </c>
      <c r="CN195" s="52">
        <v>236778</v>
      </c>
      <c r="CO195" s="52">
        <v>287697</v>
      </c>
      <c r="CP195" s="52">
        <v>640469</v>
      </c>
      <c r="CQ195" s="52"/>
      <c r="CR195" s="52"/>
      <c r="CS195" s="52"/>
      <c r="CT195" s="52">
        <v>565596</v>
      </c>
      <c r="CU195" s="52">
        <v>604768</v>
      </c>
      <c r="CV195" s="52"/>
      <c r="CW195" s="52">
        <v>268554</v>
      </c>
      <c r="CX195" s="52">
        <v>834689</v>
      </c>
      <c r="CY195" s="52">
        <v>227418</v>
      </c>
      <c r="CZ195" s="52">
        <v>130710</v>
      </c>
      <c r="DA195" s="52">
        <v>580168</v>
      </c>
      <c r="DB195" s="52">
        <v>147182</v>
      </c>
      <c r="DC195" s="52">
        <v>24100</v>
      </c>
      <c r="DD195" s="52">
        <v>50068</v>
      </c>
      <c r="DE195" s="52">
        <v>36228814</v>
      </c>
      <c r="DF195" s="52">
        <v>74168</v>
      </c>
      <c r="DG195" s="52">
        <v>36302982</v>
      </c>
      <c r="DH195" s="52"/>
    </row>
    <row r="196" spans="1:112">
      <c r="A196" s="150" t="s">
        <v>412</v>
      </c>
      <c r="B196" s="44">
        <v>4360</v>
      </c>
      <c r="C196" s="44" t="s">
        <v>256</v>
      </c>
      <c r="D196" s="52"/>
      <c r="E196" s="52"/>
      <c r="F196" s="52">
        <v>81839</v>
      </c>
      <c r="G196" s="52"/>
      <c r="H196" s="56">
        <v>34275</v>
      </c>
      <c r="I196" s="56"/>
      <c r="J196" s="56"/>
      <c r="K196" s="56">
        <v>94733</v>
      </c>
      <c r="L196" s="52"/>
      <c r="M196" s="52"/>
      <c r="N196" s="52"/>
      <c r="O196" s="52"/>
      <c r="P196" s="52"/>
      <c r="Q196" s="52"/>
      <c r="R196" s="52"/>
      <c r="S196" s="52"/>
      <c r="T196" s="52"/>
      <c r="U196" s="52"/>
      <c r="V196" s="52"/>
      <c r="W196" s="52">
        <v>85119</v>
      </c>
      <c r="X196" s="52"/>
      <c r="Y196" s="52"/>
      <c r="Z196" s="52"/>
      <c r="AA196" s="52"/>
      <c r="AB196" s="52"/>
      <c r="AC196" s="52"/>
      <c r="AD196" s="52"/>
      <c r="AE196" s="52"/>
      <c r="AF196" s="52"/>
      <c r="AG196" s="52"/>
      <c r="AH196" s="52"/>
      <c r="AI196" s="52"/>
      <c r="AJ196" s="52"/>
      <c r="AK196" s="52"/>
      <c r="AL196" s="52"/>
      <c r="AM196" s="52"/>
      <c r="AN196" s="52"/>
      <c r="AO196" s="52"/>
      <c r="AP196" s="52"/>
      <c r="AQ196" s="52">
        <v>82610</v>
      </c>
      <c r="AR196" s="52"/>
      <c r="AS196" s="52">
        <v>90000</v>
      </c>
      <c r="AT196" s="52"/>
      <c r="AU196" s="52">
        <v>90000</v>
      </c>
      <c r="AV196" s="52"/>
      <c r="AW196" s="52"/>
      <c r="AX196" s="52">
        <v>90000</v>
      </c>
      <c r="AY196" s="52">
        <v>90000</v>
      </c>
      <c r="AZ196" s="52">
        <v>90000</v>
      </c>
      <c r="BA196" s="52"/>
      <c r="BB196" s="52"/>
      <c r="BC196" s="52"/>
      <c r="BD196" s="52"/>
      <c r="BE196" s="52"/>
      <c r="BF196" s="52"/>
      <c r="BG196" s="52"/>
      <c r="BH196" s="52"/>
      <c r="BI196" s="52"/>
      <c r="BJ196" s="52"/>
      <c r="BK196" s="52"/>
      <c r="BL196" s="52">
        <v>79591</v>
      </c>
      <c r="BM196" s="52"/>
      <c r="BN196" s="52"/>
      <c r="BO196" s="52"/>
      <c r="BP196" s="52"/>
      <c r="BQ196" s="52"/>
      <c r="BR196" s="52">
        <v>87912</v>
      </c>
      <c r="BS196" s="52"/>
      <c r="BT196" s="52"/>
      <c r="BU196" s="52"/>
      <c r="BV196" s="52"/>
      <c r="BW196" s="52"/>
      <c r="BX196" s="52"/>
      <c r="BY196" s="52"/>
      <c r="BZ196" s="52">
        <v>81682</v>
      </c>
      <c r="CA196" s="52"/>
      <c r="CB196" s="52"/>
      <c r="CC196" s="52"/>
      <c r="CD196" s="52"/>
      <c r="CE196" s="52"/>
      <c r="CF196" s="52">
        <v>90000</v>
      </c>
      <c r="CG196" s="52"/>
      <c r="CH196" s="52"/>
      <c r="CI196" s="52"/>
      <c r="CJ196" s="52"/>
      <c r="CK196" s="52"/>
      <c r="CL196" s="52"/>
      <c r="CM196" s="52"/>
      <c r="CN196" s="52">
        <v>90000</v>
      </c>
      <c r="CO196" s="52"/>
      <c r="CP196" s="52">
        <v>88250</v>
      </c>
      <c r="CQ196" s="52"/>
      <c r="CR196" s="52"/>
      <c r="CS196" s="52"/>
      <c r="CT196" s="52"/>
      <c r="CU196" s="52"/>
      <c r="CV196" s="52"/>
      <c r="CW196" s="52"/>
      <c r="CX196" s="52"/>
      <c r="CY196" s="52"/>
      <c r="CZ196" s="52"/>
      <c r="DA196" s="52"/>
      <c r="DB196" s="52"/>
      <c r="DC196" s="52"/>
      <c r="DD196" s="52"/>
      <c r="DE196" s="52">
        <v>1346011</v>
      </c>
      <c r="DF196" s="52"/>
      <c r="DG196" s="52">
        <v>1346011</v>
      </c>
      <c r="DH196" s="52"/>
    </row>
    <row r="197" spans="1:112">
      <c r="A197" s="150" t="s">
        <v>412</v>
      </c>
      <c r="B197" s="44">
        <v>4370</v>
      </c>
      <c r="C197" s="44" t="s">
        <v>257</v>
      </c>
      <c r="D197" s="52"/>
      <c r="E197" s="52">
        <v>64792</v>
      </c>
      <c r="F197" s="52"/>
      <c r="G197" s="52"/>
      <c r="H197" s="56"/>
      <c r="I197" s="56"/>
      <c r="J197" s="56"/>
      <c r="K197" s="56"/>
      <c r="L197" s="52"/>
      <c r="M197" s="52"/>
      <c r="N197" s="52"/>
      <c r="O197" s="52"/>
      <c r="P197" s="52"/>
      <c r="Q197" s="52"/>
      <c r="R197" s="52"/>
      <c r="S197" s="52">
        <v>41336</v>
      </c>
      <c r="T197" s="52"/>
      <c r="U197" s="52">
        <v>3961</v>
      </c>
      <c r="V197" s="52"/>
      <c r="W197" s="52"/>
      <c r="X197" s="52"/>
      <c r="Y197" s="52">
        <v>656027</v>
      </c>
      <c r="Z197" s="52"/>
      <c r="AA197" s="52"/>
      <c r="AB197" s="52"/>
      <c r="AC197" s="52">
        <v>1419</v>
      </c>
      <c r="AD197" s="52"/>
      <c r="AE197" s="52"/>
      <c r="AF197" s="52"/>
      <c r="AG197" s="52">
        <v>12192</v>
      </c>
      <c r="AH197" s="52">
        <v>4106</v>
      </c>
      <c r="AI197" s="52"/>
      <c r="AJ197" s="52"/>
      <c r="AK197" s="52"/>
      <c r="AL197" s="52"/>
      <c r="AM197" s="52"/>
      <c r="AN197" s="52"/>
      <c r="AO197" s="52">
        <v>57857</v>
      </c>
      <c r="AP197" s="52"/>
      <c r="AQ197" s="52"/>
      <c r="AR197" s="52"/>
      <c r="AS197" s="52"/>
      <c r="AT197" s="52"/>
      <c r="AU197" s="52"/>
      <c r="AV197" s="52"/>
      <c r="AW197" s="52"/>
      <c r="AX197" s="52"/>
      <c r="AY197" s="52">
        <v>47484</v>
      </c>
      <c r="AZ197" s="52"/>
      <c r="BA197" s="52"/>
      <c r="BB197" s="52"/>
      <c r="BC197" s="52"/>
      <c r="BD197" s="52"/>
      <c r="BE197" s="52">
        <v>15527</v>
      </c>
      <c r="BF197" s="52"/>
      <c r="BG197" s="52">
        <v>16829</v>
      </c>
      <c r="BH197" s="52"/>
      <c r="BI197" s="52"/>
      <c r="BJ197" s="52"/>
      <c r="BK197" s="52"/>
      <c r="BL197" s="52"/>
      <c r="BM197" s="52"/>
      <c r="BN197" s="52"/>
      <c r="BO197" s="52">
        <v>56272</v>
      </c>
      <c r="BP197" s="52"/>
      <c r="BQ197" s="52"/>
      <c r="BR197" s="52"/>
      <c r="BS197" s="52"/>
      <c r="BT197" s="52"/>
      <c r="BU197" s="52"/>
      <c r="BV197" s="52"/>
      <c r="BW197" s="52"/>
      <c r="BX197" s="52">
        <v>29519</v>
      </c>
      <c r="BY197" s="52"/>
      <c r="BZ197" s="52">
        <v>24209</v>
      </c>
      <c r="CA197" s="52"/>
      <c r="CB197" s="52"/>
      <c r="CC197" s="52"/>
      <c r="CD197" s="52">
        <v>19428</v>
      </c>
      <c r="CE197" s="52"/>
      <c r="CF197" s="52">
        <v>4894</v>
      </c>
      <c r="CG197" s="52">
        <v>64283</v>
      </c>
      <c r="CH197" s="52"/>
      <c r="CI197" s="52"/>
      <c r="CJ197" s="52"/>
      <c r="CK197" s="52"/>
      <c r="CL197" s="52"/>
      <c r="CM197" s="52"/>
      <c r="CN197" s="52"/>
      <c r="CO197" s="52">
        <v>47798</v>
      </c>
      <c r="CP197" s="52"/>
      <c r="CQ197" s="52"/>
      <c r="CR197" s="52"/>
      <c r="CS197" s="52"/>
      <c r="CT197" s="52"/>
      <c r="CU197" s="52"/>
      <c r="CV197" s="52"/>
      <c r="CW197" s="52">
        <v>14356</v>
      </c>
      <c r="CX197" s="52">
        <v>26375</v>
      </c>
      <c r="CY197" s="52"/>
      <c r="CZ197" s="52"/>
      <c r="DA197" s="52"/>
      <c r="DB197" s="52"/>
      <c r="DC197" s="52"/>
      <c r="DD197" s="52"/>
      <c r="DE197" s="52">
        <v>1208664</v>
      </c>
      <c r="DF197" s="52"/>
      <c r="DG197" s="52">
        <v>1208664</v>
      </c>
      <c r="DH197" s="52"/>
    </row>
    <row r="198" spans="1:112">
      <c r="A198" s="150" t="s">
        <v>412</v>
      </c>
      <c r="B198" s="44">
        <v>4390</v>
      </c>
      <c r="C198" s="44" t="s">
        <v>258</v>
      </c>
      <c r="D198" s="52"/>
      <c r="E198" s="52"/>
      <c r="F198" s="52"/>
      <c r="G198" s="52"/>
      <c r="H198" s="56"/>
      <c r="I198" s="56"/>
      <c r="J198" s="56"/>
      <c r="K198" s="56"/>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v>10687</v>
      </c>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v>10875</v>
      </c>
      <c r="CV198" s="52"/>
      <c r="CW198" s="52"/>
      <c r="CX198" s="52"/>
      <c r="CY198" s="52"/>
      <c r="CZ198" s="52"/>
      <c r="DA198" s="52"/>
      <c r="DB198" s="52"/>
      <c r="DC198" s="52"/>
      <c r="DD198" s="52"/>
      <c r="DE198" s="52">
        <v>21562</v>
      </c>
      <c r="DF198" s="52"/>
      <c r="DG198" s="52">
        <v>21562</v>
      </c>
      <c r="DH198" s="52"/>
    </row>
    <row r="199" spans="1:112">
      <c r="A199" s="150" t="s">
        <v>412</v>
      </c>
      <c r="B199" s="44">
        <v>4500</v>
      </c>
      <c r="C199" s="44" t="s">
        <v>261</v>
      </c>
      <c r="D199" s="52"/>
      <c r="E199" s="52"/>
      <c r="F199" s="52"/>
      <c r="G199" s="52"/>
      <c r="H199" s="56"/>
      <c r="I199" s="56"/>
      <c r="J199" s="56"/>
      <c r="K199" s="56"/>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row>
    <row r="200" spans="1:112">
      <c r="A200" s="150" t="s">
        <v>412</v>
      </c>
      <c r="B200" s="44">
        <v>4510</v>
      </c>
      <c r="C200" s="44" t="s">
        <v>262</v>
      </c>
      <c r="D200" s="52">
        <v>924492</v>
      </c>
      <c r="E200" s="52">
        <v>6426686</v>
      </c>
      <c r="F200" s="52">
        <v>365953</v>
      </c>
      <c r="G200" s="52"/>
      <c r="H200" s="56">
        <v>1641725</v>
      </c>
      <c r="I200" s="56">
        <v>877953</v>
      </c>
      <c r="J200" s="56">
        <v>638760</v>
      </c>
      <c r="K200" s="56">
        <v>679168</v>
      </c>
      <c r="L200" s="52">
        <v>3050265</v>
      </c>
      <c r="M200" s="52"/>
      <c r="N200" s="52"/>
      <c r="O200" s="52">
        <v>409791</v>
      </c>
      <c r="P200" s="52">
        <v>247597</v>
      </c>
      <c r="Q200" s="52">
        <v>327470</v>
      </c>
      <c r="R200" s="52">
        <v>265301</v>
      </c>
      <c r="S200" s="52">
        <v>593997</v>
      </c>
      <c r="T200" s="52"/>
      <c r="U200" s="52">
        <v>4682256</v>
      </c>
      <c r="V200" s="52"/>
      <c r="W200" s="52">
        <v>5476511</v>
      </c>
      <c r="X200" s="52">
        <v>578918</v>
      </c>
      <c r="Y200" s="52">
        <v>12069416</v>
      </c>
      <c r="Z200" s="52">
        <v>2318052</v>
      </c>
      <c r="AA200" s="52">
        <v>1663745</v>
      </c>
      <c r="AB200" s="52">
        <v>1725529</v>
      </c>
      <c r="AC200" s="52">
        <v>324964</v>
      </c>
      <c r="AD200" s="52">
        <v>964538</v>
      </c>
      <c r="AE200" s="52">
        <v>282677</v>
      </c>
      <c r="AF200" s="52"/>
      <c r="AG200" s="52">
        <v>1527923</v>
      </c>
      <c r="AH200" s="52">
        <v>3089639</v>
      </c>
      <c r="AI200" s="52"/>
      <c r="AJ200" s="52">
        <v>176356</v>
      </c>
      <c r="AK200" s="52">
        <v>813231</v>
      </c>
      <c r="AL200" s="52">
        <v>330687</v>
      </c>
      <c r="AM200" s="52"/>
      <c r="AN200" s="52">
        <v>3231590</v>
      </c>
      <c r="AO200" s="52">
        <v>462448</v>
      </c>
      <c r="AP200" s="52"/>
      <c r="AQ200" s="52">
        <v>1092435</v>
      </c>
      <c r="AR200" s="52">
        <v>1074572</v>
      </c>
      <c r="AS200" s="52">
        <v>4025470</v>
      </c>
      <c r="AT200" s="52">
        <v>305086</v>
      </c>
      <c r="AU200" s="52">
        <v>1002272</v>
      </c>
      <c r="AV200" s="52">
        <v>238913</v>
      </c>
      <c r="AW200" s="52">
        <v>406360</v>
      </c>
      <c r="AX200" s="52">
        <v>2910638</v>
      </c>
      <c r="AY200" s="52">
        <v>15818021</v>
      </c>
      <c r="AZ200" s="52">
        <v>2206199</v>
      </c>
      <c r="BA200" s="52">
        <v>294785</v>
      </c>
      <c r="BB200" s="52">
        <v>410797</v>
      </c>
      <c r="BC200" s="52"/>
      <c r="BD200" s="52">
        <v>623806</v>
      </c>
      <c r="BE200" s="52">
        <v>351803</v>
      </c>
      <c r="BF200" s="52">
        <v>8745318</v>
      </c>
      <c r="BG200" s="52">
        <v>814844</v>
      </c>
      <c r="BH200" s="52">
        <v>2398087</v>
      </c>
      <c r="BI200" s="52">
        <v>2315458</v>
      </c>
      <c r="BJ200" s="52">
        <v>1365097</v>
      </c>
      <c r="BK200" s="52">
        <v>894612</v>
      </c>
      <c r="BL200" s="52">
        <v>715015</v>
      </c>
      <c r="BM200" s="52">
        <v>4195793</v>
      </c>
      <c r="BN200" s="52">
        <v>2172747</v>
      </c>
      <c r="BO200" s="52">
        <v>515371</v>
      </c>
      <c r="BP200" s="52">
        <v>860216</v>
      </c>
      <c r="BQ200" s="52">
        <v>2975537</v>
      </c>
      <c r="BR200" s="52">
        <v>251253</v>
      </c>
      <c r="BS200" s="52"/>
      <c r="BT200" s="52">
        <v>843583</v>
      </c>
      <c r="BU200" s="52">
        <v>547742</v>
      </c>
      <c r="BV200" s="52">
        <v>254075</v>
      </c>
      <c r="BW200" s="52"/>
      <c r="BX200" s="52">
        <v>1440073</v>
      </c>
      <c r="BY200" s="52">
        <v>1640306</v>
      </c>
      <c r="BZ200" s="52">
        <v>2758223</v>
      </c>
      <c r="CA200" s="52"/>
      <c r="CB200" s="52">
        <v>1109358</v>
      </c>
      <c r="CC200" s="52">
        <v>1015309</v>
      </c>
      <c r="CD200" s="52">
        <v>2017587</v>
      </c>
      <c r="CE200" s="52"/>
      <c r="CF200" s="52">
        <v>3694865</v>
      </c>
      <c r="CG200" s="52">
        <v>6933056</v>
      </c>
      <c r="CH200" s="52">
        <v>3914728</v>
      </c>
      <c r="CI200" s="52">
        <v>590168</v>
      </c>
      <c r="CJ200" s="52">
        <v>1051506</v>
      </c>
      <c r="CK200" s="52">
        <v>2080885</v>
      </c>
      <c r="CL200" s="52">
        <v>632655</v>
      </c>
      <c r="CM200" s="52">
        <v>604746</v>
      </c>
      <c r="CN200" s="52">
        <v>1321824</v>
      </c>
      <c r="CO200" s="52">
        <v>2019886</v>
      </c>
      <c r="CP200" s="52">
        <v>2550521</v>
      </c>
      <c r="CQ200" s="52"/>
      <c r="CR200" s="52"/>
      <c r="CS200" s="52"/>
      <c r="CT200" s="52">
        <v>2542739</v>
      </c>
      <c r="CU200" s="52">
        <v>2697264</v>
      </c>
      <c r="CV200" s="52"/>
      <c r="CW200" s="52">
        <v>1042735</v>
      </c>
      <c r="CX200" s="52">
        <v>1908654</v>
      </c>
      <c r="CY200" s="52">
        <v>1082705</v>
      </c>
      <c r="CZ200" s="52">
        <v>965380</v>
      </c>
      <c r="DA200" s="52">
        <v>3426320</v>
      </c>
      <c r="DB200" s="52">
        <v>1182179</v>
      </c>
      <c r="DC200" s="52">
        <v>446328</v>
      </c>
      <c r="DD200" s="52">
        <v>147339</v>
      </c>
      <c r="DE200" s="52">
        <v>167017215</v>
      </c>
      <c r="DF200" s="52">
        <v>593667</v>
      </c>
      <c r="DG200" s="52">
        <v>167610882</v>
      </c>
      <c r="DH200" s="52"/>
    </row>
    <row r="201" spans="1:112">
      <c r="A201" s="150" t="s">
        <v>412</v>
      </c>
      <c r="B201" s="55">
        <v>4520</v>
      </c>
      <c r="C201" s="44" t="s">
        <v>687</v>
      </c>
      <c r="D201" s="52">
        <v>62401</v>
      </c>
      <c r="E201" s="52">
        <v>206055</v>
      </c>
      <c r="F201" s="52">
        <v>18079</v>
      </c>
      <c r="G201" s="52"/>
      <c r="H201" s="56">
        <v>79406</v>
      </c>
      <c r="I201" s="56">
        <v>58001</v>
      </c>
      <c r="J201" s="56">
        <v>61050</v>
      </c>
      <c r="K201" s="56">
        <v>24181</v>
      </c>
      <c r="L201" s="52">
        <v>72592</v>
      </c>
      <c r="M201" s="52"/>
      <c r="N201" s="52"/>
      <c r="O201" s="52">
        <v>39157</v>
      </c>
      <c r="P201" s="52">
        <v>15225</v>
      </c>
      <c r="Q201" s="52">
        <v>23883</v>
      </c>
      <c r="R201" s="52">
        <v>29638</v>
      </c>
      <c r="S201" s="52">
        <v>44165</v>
      </c>
      <c r="T201" s="52"/>
      <c r="U201" s="52">
        <v>168682</v>
      </c>
      <c r="V201" s="52"/>
      <c r="W201" s="52">
        <v>307552</v>
      </c>
      <c r="X201" s="52">
        <v>86336</v>
      </c>
      <c r="Y201" s="52">
        <v>379451</v>
      </c>
      <c r="Z201" s="52">
        <v>70461</v>
      </c>
      <c r="AA201" s="52">
        <v>71779</v>
      </c>
      <c r="AB201" s="52">
        <v>73528</v>
      </c>
      <c r="AC201" s="52">
        <v>15348</v>
      </c>
      <c r="AD201" s="52">
        <v>75852</v>
      </c>
      <c r="AE201" s="52">
        <v>5702</v>
      </c>
      <c r="AF201" s="52"/>
      <c r="AG201" s="52">
        <v>58523</v>
      </c>
      <c r="AH201" s="52">
        <v>121614</v>
      </c>
      <c r="AI201" s="52"/>
      <c r="AJ201" s="52">
        <v>15505</v>
      </c>
      <c r="AK201" s="52">
        <v>67387</v>
      </c>
      <c r="AL201" s="52">
        <v>22880</v>
      </c>
      <c r="AM201" s="52"/>
      <c r="AN201" s="52">
        <v>112921</v>
      </c>
      <c r="AO201" s="52">
        <v>24082</v>
      </c>
      <c r="AP201" s="52"/>
      <c r="AQ201" s="52">
        <v>55125</v>
      </c>
      <c r="AR201" s="52">
        <v>88597</v>
      </c>
      <c r="AS201" s="52">
        <v>194660</v>
      </c>
      <c r="AT201" s="52">
        <v>14816</v>
      </c>
      <c r="AU201" s="52">
        <v>61710</v>
      </c>
      <c r="AV201" s="52">
        <v>17957</v>
      </c>
      <c r="AW201" s="52">
        <v>24875</v>
      </c>
      <c r="AX201" s="52">
        <v>132439</v>
      </c>
      <c r="AY201" s="52">
        <v>506386</v>
      </c>
      <c r="AZ201" s="52">
        <v>149914</v>
      </c>
      <c r="BA201" s="52">
        <v>21207</v>
      </c>
      <c r="BB201" s="52">
        <v>12848</v>
      </c>
      <c r="BC201" s="52"/>
      <c r="BD201" s="52">
        <v>11704</v>
      </c>
      <c r="BE201" s="52">
        <v>21386</v>
      </c>
      <c r="BF201" s="52">
        <v>205823</v>
      </c>
      <c r="BG201" s="52">
        <v>36746</v>
      </c>
      <c r="BH201" s="52">
        <v>99070</v>
      </c>
      <c r="BI201" s="52">
        <v>117588</v>
      </c>
      <c r="BJ201" s="52">
        <v>116738</v>
      </c>
      <c r="BK201" s="52">
        <v>59603</v>
      </c>
      <c r="BL201" s="52">
        <v>106369</v>
      </c>
      <c r="BM201" s="52">
        <v>220507</v>
      </c>
      <c r="BN201" s="52">
        <v>119602</v>
      </c>
      <c r="BO201" s="52">
        <v>39418</v>
      </c>
      <c r="BP201" s="52">
        <v>66448</v>
      </c>
      <c r="BQ201" s="52">
        <v>144348</v>
      </c>
      <c r="BR201" s="52">
        <v>11888</v>
      </c>
      <c r="BS201" s="52"/>
      <c r="BT201" s="52">
        <v>40057</v>
      </c>
      <c r="BU201" s="52">
        <v>30420</v>
      </c>
      <c r="BV201" s="52">
        <v>14166</v>
      </c>
      <c r="BW201" s="52"/>
      <c r="BX201" s="52">
        <v>39405</v>
      </c>
      <c r="BY201" s="52">
        <v>58292</v>
      </c>
      <c r="BZ201" s="52">
        <v>95325</v>
      </c>
      <c r="CA201" s="52"/>
      <c r="CB201" s="52">
        <v>101630</v>
      </c>
      <c r="CC201" s="52">
        <v>77545</v>
      </c>
      <c r="CD201" s="52">
        <v>154078</v>
      </c>
      <c r="CE201" s="52"/>
      <c r="CF201" s="52">
        <v>117212</v>
      </c>
      <c r="CG201" s="52">
        <v>206184</v>
      </c>
      <c r="CH201" s="52">
        <v>206151</v>
      </c>
      <c r="CI201" s="52">
        <v>75462</v>
      </c>
      <c r="CJ201" s="52">
        <v>46603</v>
      </c>
      <c r="CK201" s="52">
        <v>83658</v>
      </c>
      <c r="CL201" s="52">
        <v>35795</v>
      </c>
      <c r="CM201" s="52">
        <v>52467</v>
      </c>
      <c r="CN201" s="52">
        <v>73398</v>
      </c>
      <c r="CO201" s="52">
        <v>79875</v>
      </c>
      <c r="CP201" s="52">
        <v>113562</v>
      </c>
      <c r="CQ201" s="52"/>
      <c r="CR201" s="52"/>
      <c r="CS201" s="52"/>
      <c r="CT201" s="52">
        <v>65053</v>
      </c>
      <c r="CU201" s="52">
        <v>99479</v>
      </c>
      <c r="CV201" s="52"/>
      <c r="CW201" s="52">
        <v>73053</v>
      </c>
      <c r="CX201" s="52">
        <v>58479</v>
      </c>
      <c r="CY201" s="52">
        <v>62731</v>
      </c>
      <c r="CZ201" s="52">
        <v>52584</v>
      </c>
      <c r="DA201" s="52">
        <v>99662</v>
      </c>
      <c r="DB201" s="52">
        <v>57662</v>
      </c>
      <c r="DC201" s="52"/>
      <c r="DD201" s="52"/>
      <c r="DE201" s="52">
        <v>7339196</v>
      </c>
      <c r="DF201" s="52"/>
      <c r="DG201" s="52">
        <v>7339196</v>
      </c>
      <c r="DH201" s="52"/>
    </row>
    <row r="202" spans="1:112">
      <c r="A202" s="150" t="s">
        <v>412</v>
      </c>
      <c r="B202" s="44">
        <v>4810</v>
      </c>
      <c r="C202" s="44" t="s">
        <v>264</v>
      </c>
      <c r="D202" s="52">
        <v>831673</v>
      </c>
      <c r="E202" s="52">
        <v>4472901</v>
      </c>
      <c r="F202" s="52">
        <v>542136</v>
      </c>
      <c r="G202" s="52"/>
      <c r="H202" s="56">
        <v>1113319</v>
      </c>
      <c r="I202" s="56">
        <v>680156</v>
      </c>
      <c r="J202" s="56">
        <v>537684</v>
      </c>
      <c r="K202" s="56">
        <v>469217</v>
      </c>
      <c r="L202" s="52">
        <v>2192797</v>
      </c>
      <c r="M202" s="52"/>
      <c r="N202" s="52"/>
      <c r="O202" s="52">
        <v>370391</v>
      </c>
      <c r="P202" s="52">
        <v>339111</v>
      </c>
      <c r="Q202" s="52">
        <v>283299</v>
      </c>
      <c r="R202" s="52">
        <v>238553</v>
      </c>
      <c r="S202" s="52">
        <v>559050</v>
      </c>
      <c r="T202" s="52"/>
      <c r="U202" s="52">
        <v>3444673</v>
      </c>
      <c r="V202" s="52"/>
      <c r="W202" s="52">
        <v>5665378</v>
      </c>
      <c r="X202" s="52">
        <v>511338</v>
      </c>
      <c r="Y202" s="52">
        <v>7669017</v>
      </c>
      <c r="Z202" s="52">
        <v>1945172</v>
      </c>
      <c r="AA202" s="52">
        <v>1102713</v>
      </c>
      <c r="AB202" s="52">
        <v>1771903</v>
      </c>
      <c r="AC202" s="52">
        <v>408007</v>
      </c>
      <c r="AD202" s="52">
        <v>896840</v>
      </c>
      <c r="AE202" s="52">
        <v>227513</v>
      </c>
      <c r="AF202" s="52"/>
      <c r="AG202" s="52">
        <v>1717052</v>
      </c>
      <c r="AH202" s="52">
        <v>2748919</v>
      </c>
      <c r="AI202" s="52"/>
      <c r="AJ202" s="52">
        <v>244172</v>
      </c>
      <c r="AK202" s="52">
        <v>1118669</v>
      </c>
      <c r="AL202" s="52">
        <v>382985</v>
      </c>
      <c r="AM202" s="52"/>
      <c r="AN202" s="52">
        <v>2226458</v>
      </c>
      <c r="AO202" s="52">
        <v>645509</v>
      </c>
      <c r="AP202" s="52"/>
      <c r="AQ202" s="52">
        <v>862676</v>
      </c>
      <c r="AR202" s="52">
        <v>1136573</v>
      </c>
      <c r="AS202" s="52">
        <v>3383311</v>
      </c>
      <c r="AT202" s="52">
        <v>305177</v>
      </c>
      <c r="AU202" s="52">
        <v>1302156</v>
      </c>
      <c r="AV202" s="52">
        <v>377339</v>
      </c>
      <c r="AW202" s="52">
        <v>353373</v>
      </c>
      <c r="AX202" s="52">
        <v>2378932</v>
      </c>
      <c r="AY202" s="52">
        <v>10113954</v>
      </c>
      <c r="AZ202" s="52">
        <v>1810692</v>
      </c>
      <c r="BA202" s="52">
        <v>234404</v>
      </c>
      <c r="BB202" s="52">
        <v>282522</v>
      </c>
      <c r="BC202" s="52"/>
      <c r="BD202" s="52">
        <v>626353</v>
      </c>
      <c r="BE202" s="52">
        <v>435975</v>
      </c>
      <c r="BF202" s="52">
        <v>6976831</v>
      </c>
      <c r="BG202" s="52">
        <v>841700</v>
      </c>
      <c r="BH202" s="52">
        <v>1913070</v>
      </c>
      <c r="BI202" s="52">
        <v>2006239</v>
      </c>
      <c r="BJ202" s="52">
        <v>1373159</v>
      </c>
      <c r="BK202" s="52">
        <v>800058</v>
      </c>
      <c r="BL202" s="52">
        <v>885357</v>
      </c>
      <c r="BM202" s="52">
        <v>2103725</v>
      </c>
      <c r="BN202" s="52">
        <v>1531880</v>
      </c>
      <c r="BO202" s="52">
        <v>517464</v>
      </c>
      <c r="BP202" s="52">
        <v>887444</v>
      </c>
      <c r="BQ202" s="52">
        <v>1632757</v>
      </c>
      <c r="BR202" s="52">
        <v>294323</v>
      </c>
      <c r="BS202" s="52"/>
      <c r="BT202" s="52">
        <v>923516</v>
      </c>
      <c r="BU202" s="52">
        <v>623350</v>
      </c>
      <c r="BV202" s="52">
        <v>290211</v>
      </c>
      <c r="BW202" s="52"/>
      <c r="BX202" s="52">
        <v>1364298</v>
      </c>
      <c r="BY202" s="52">
        <v>1389703</v>
      </c>
      <c r="BZ202" s="52">
        <v>1979360</v>
      </c>
      <c r="CA202" s="52"/>
      <c r="CB202" s="52">
        <v>955249</v>
      </c>
      <c r="CC202" s="52">
        <v>1085455</v>
      </c>
      <c r="CD202" s="52">
        <v>2092037</v>
      </c>
      <c r="CE202" s="52"/>
      <c r="CF202" s="52">
        <v>2486739</v>
      </c>
      <c r="CG202" s="52">
        <v>5706344</v>
      </c>
      <c r="CH202" s="52">
        <v>2996264</v>
      </c>
      <c r="CI202" s="52">
        <v>497658</v>
      </c>
      <c r="CJ202" s="52">
        <v>802007</v>
      </c>
      <c r="CK202" s="52">
        <v>1513619</v>
      </c>
      <c r="CL202" s="52">
        <v>577320</v>
      </c>
      <c r="CM202" s="52">
        <v>609692</v>
      </c>
      <c r="CN202" s="52">
        <v>1032329</v>
      </c>
      <c r="CO202" s="52">
        <v>1747317</v>
      </c>
      <c r="CP202" s="52">
        <v>1714788</v>
      </c>
      <c r="CQ202" s="52"/>
      <c r="CR202" s="52"/>
      <c r="CS202" s="52"/>
      <c r="CT202" s="52">
        <v>2271056</v>
      </c>
      <c r="CU202" s="52">
        <v>2162961</v>
      </c>
      <c r="CV202" s="52"/>
      <c r="CW202" s="52">
        <v>1028311</v>
      </c>
      <c r="CX202" s="52">
        <v>1790024</v>
      </c>
      <c r="CY202" s="52">
        <v>989688</v>
      </c>
      <c r="CZ202" s="52">
        <v>690021</v>
      </c>
      <c r="DA202" s="52">
        <v>2638919</v>
      </c>
      <c r="DB202" s="52">
        <v>556010</v>
      </c>
      <c r="DC202" s="52">
        <v>786835</v>
      </c>
      <c r="DD202" s="52">
        <v>145934</v>
      </c>
      <c r="DE202" s="52">
        <v>133238295</v>
      </c>
      <c r="DF202" s="52">
        <v>932769</v>
      </c>
      <c r="DG202" s="52">
        <v>134171064</v>
      </c>
      <c r="DH202" s="52"/>
    </row>
    <row r="203" spans="1:112">
      <c r="A203" s="150" t="s">
        <v>412</v>
      </c>
      <c r="B203" s="44">
        <v>4830</v>
      </c>
      <c r="C203" s="44" t="s">
        <v>265</v>
      </c>
      <c r="D203" s="52">
        <v>412663</v>
      </c>
      <c r="E203" s="52">
        <v>1356346</v>
      </c>
      <c r="F203" s="52">
        <v>264429</v>
      </c>
      <c r="G203" s="52"/>
      <c r="H203" s="56">
        <v>352391</v>
      </c>
      <c r="I203" s="56">
        <v>186281</v>
      </c>
      <c r="J203" s="56">
        <v>379767</v>
      </c>
      <c r="K203" s="56">
        <v>149558</v>
      </c>
      <c r="L203" s="52">
        <v>1073541</v>
      </c>
      <c r="M203" s="52"/>
      <c r="N203" s="52"/>
      <c r="O203" s="52">
        <v>196713</v>
      </c>
      <c r="P203" s="52">
        <v>163740</v>
      </c>
      <c r="Q203" s="52">
        <v>131043</v>
      </c>
      <c r="R203" s="52">
        <v>90714</v>
      </c>
      <c r="S203" s="52">
        <v>195463</v>
      </c>
      <c r="T203" s="52"/>
      <c r="U203" s="52">
        <v>980488</v>
      </c>
      <c r="V203" s="52"/>
      <c r="W203" s="52">
        <v>1593212</v>
      </c>
      <c r="X203" s="52">
        <v>192213</v>
      </c>
      <c r="Y203" s="52">
        <v>3434529</v>
      </c>
      <c r="Z203" s="52">
        <v>1013082</v>
      </c>
      <c r="AA203" s="52">
        <v>425216</v>
      </c>
      <c r="AB203" s="52">
        <v>824547</v>
      </c>
      <c r="AC203" s="52">
        <v>259006</v>
      </c>
      <c r="AD203" s="52">
        <v>323040</v>
      </c>
      <c r="AE203" s="52">
        <v>80565</v>
      </c>
      <c r="AF203" s="52"/>
      <c r="AG203" s="52">
        <v>810161</v>
      </c>
      <c r="AH203" s="52">
        <v>1032107</v>
      </c>
      <c r="AI203" s="52"/>
      <c r="AJ203" s="52">
        <v>112070</v>
      </c>
      <c r="AK203" s="52">
        <v>351008</v>
      </c>
      <c r="AL203" s="52">
        <v>126815</v>
      </c>
      <c r="AM203" s="52"/>
      <c r="AN203" s="52">
        <v>601518</v>
      </c>
      <c r="AO203" s="52">
        <v>268018</v>
      </c>
      <c r="AP203" s="52"/>
      <c r="AQ203" s="52">
        <v>266077</v>
      </c>
      <c r="AR203" s="52">
        <v>411523</v>
      </c>
      <c r="AS203" s="52">
        <v>1110645</v>
      </c>
      <c r="AT203" s="52">
        <v>109532</v>
      </c>
      <c r="AU203" s="52">
        <v>761591</v>
      </c>
      <c r="AV203" s="52">
        <v>144087</v>
      </c>
      <c r="AW203" s="52">
        <v>132500</v>
      </c>
      <c r="AX203" s="52">
        <v>916598</v>
      </c>
      <c r="AY203" s="52">
        <v>2766207</v>
      </c>
      <c r="AZ203" s="52">
        <v>751527</v>
      </c>
      <c r="BA203" s="52">
        <v>95970</v>
      </c>
      <c r="BB203" s="52">
        <v>73686</v>
      </c>
      <c r="BC203" s="52"/>
      <c r="BD203" s="52">
        <v>351890</v>
      </c>
      <c r="BE203" s="52">
        <v>202601</v>
      </c>
      <c r="BF203" s="52">
        <v>2416094</v>
      </c>
      <c r="BG203" s="52">
        <v>544174</v>
      </c>
      <c r="BH203" s="52">
        <v>630037</v>
      </c>
      <c r="BI203" s="52">
        <v>534688</v>
      </c>
      <c r="BJ203" s="52">
        <v>676201</v>
      </c>
      <c r="BK203" s="52">
        <v>499614</v>
      </c>
      <c r="BL203" s="52">
        <v>417005</v>
      </c>
      <c r="BM203" s="52">
        <v>624471</v>
      </c>
      <c r="BN203" s="52">
        <v>539994</v>
      </c>
      <c r="BO203" s="52">
        <v>196792</v>
      </c>
      <c r="BP203" s="52">
        <v>405761</v>
      </c>
      <c r="BQ203" s="52">
        <v>357700</v>
      </c>
      <c r="BR203" s="52">
        <v>147968</v>
      </c>
      <c r="BS203" s="52"/>
      <c r="BT203" s="52">
        <v>349499</v>
      </c>
      <c r="BU203" s="52">
        <v>227340</v>
      </c>
      <c r="BV203" s="52">
        <v>184004</v>
      </c>
      <c r="BW203" s="52"/>
      <c r="BX203" s="52">
        <v>669100</v>
      </c>
      <c r="BY203" s="52">
        <v>526254</v>
      </c>
      <c r="BZ203" s="52">
        <v>594136</v>
      </c>
      <c r="CA203" s="52"/>
      <c r="CB203" s="52">
        <v>422753</v>
      </c>
      <c r="CC203" s="52">
        <v>616766</v>
      </c>
      <c r="CD203" s="52">
        <v>665296</v>
      </c>
      <c r="CE203" s="52"/>
      <c r="CF203" s="52">
        <v>819404</v>
      </c>
      <c r="CG203" s="52">
        <v>2022038</v>
      </c>
      <c r="CH203" s="52">
        <v>827696</v>
      </c>
      <c r="CI203" s="52">
        <v>177370</v>
      </c>
      <c r="CJ203" s="52">
        <v>291881</v>
      </c>
      <c r="CK203" s="52">
        <v>432160</v>
      </c>
      <c r="CL203" s="52">
        <v>180694</v>
      </c>
      <c r="CM203" s="52">
        <v>150491</v>
      </c>
      <c r="CN203" s="52">
        <v>307863</v>
      </c>
      <c r="CO203" s="52">
        <v>575321</v>
      </c>
      <c r="CP203" s="52">
        <v>868738</v>
      </c>
      <c r="CQ203" s="52"/>
      <c r="CR203" s="52"/>
      <c r="CS203" s="52"/>
      <c r="CT203" s="52">
        <v>828440</v>
      </c>
      <c r="CU203" s="52">
        <v>667892</v>
      </c>
      <c r="CV203" s="52"/>
      <c r="CW203" s="52">
        <v>512839</v>
      </c>
      <c r="CX203" s="52">
        <v>859654</v>
      </c>
      <c r="CY203" s="52">
        <v>277460</v>
      </c>
      <c r="CZ203" s="52">
        <v>162523</v>
      </c>
      <c r="DA203" s="52">
        <v>706951</v>
      </c>
      <c r="DB203" s="52">
        <v>111616</v>
      </c>
      <c r="DC203" s="52">
        <v>509311</v>
      </c>
      <c r="DD203" s="52">
        <v>145587</v>
      </c>
      <c r="DE203" s="52">
        <v>48501356</v>
      </c>
      <c r="DF203" s="52">
        <v>654898</v>
      </c>
      <c r="DG203" s="52">
        <v>49156254</v>
      </c>
      <c r="DH203" s="52"/>
    </row>
    <row r="204" spans="1:112">
      <c r="A204" s="150" t="s">
        <v>412</v>
      </c>
      <c r="B204" s="44">
        <v>4850</v>
      </c>
      <c r="C204" s="44" t="s">
        <v>266</v>
      </c>
      <c r="D204" s="52"/>
      <c r="E204" s="52"/>
      <c r="F204" s="52"/>
      <c r="G204" s="52"/>
      <c r="H204" s="56"/>
      <c r="I204" s="56"/>
      <c r="J204" s="56"/>
      <c r="K204" s="56"/>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v>90701</v>
      </c>
      <c r="AR204" s="52"/>
      <c r="AS204" s="52">
        <v>306265</v>
      </c>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v>58782</v>
      </c>
      <c r="BP204" s="52"/>
      <c r="BQ204" s="52"/>
      <c r="BR204" s="52"/>
      <c r="BS204" s="52"/>
      <c r="BT204" s="52"/>
      <c r="BU204" s="52"/>
      <c r="BV204" s="52"/>
      <c r="BW204" s="52"/>
      <c r="BX204" s="52"/>
      <c r="BY204" s="52"/>
      <c r="BZ204" s="52"/>
      <c r="CA204" s="52"/>
      <c r="CB204" s="52"/>
      <c r="CC204" s="52"/>
      <c r="CD204" s="52"/>
      <c r="CE204" s="52"/>
      <c r="CF204" s="52"/>
      <c r="CG204" s="52"/>
      <c r="CH204" s="52"/>
      <c r="CI204" s="52">
        <v>708</v>
      </c>
      <c r="CJ204" s="52"/>
      <c r="CK204" s="52"/>
      <c r="CL204" s="52"/>
      <c r="CM204" s="52"/>
      <c r="CN204" s="52"/>
      <c r="CO204" s="52"/>
      <c r="CP204" s="52"/>
      <c r="CQ204" s="52"/>
      <c r="CR204" s="52"/>
      <c r="CS204" s="52"/>
      <c r="CT204" s="52"/>
      <c r="CU204" s="52"/>
      <c r="CV204" s="52"/>
      <c r="CW204" s="52">
        <v>18447</v>
      </c>
      <c r="CX204" s="52"/>
      <c r="CY204" s="52"/>
      <c r="CZ204" s="52"/>
      <c r="DA204" s="52"/>
      <c r="DB204" s="52"/>
      <c r="DC204" s="52">
        <v>1556</v>
      </c>
      <c r="DD204" s="52"/>
      <c r="DE204" s="52">
        <v>474903</v>
      </c>
      <c r="DF204" s="52">
        <v>1556</v>
      </c>
      <c r="DG204" s="52">
        <v>476459</v>
      </c>
      <c r="DH204" s="52"/>
    </row>
    <row r="205" spans="1:112">
      <c r="A205" s="150" t="s">
        <v>412</v>
      </c>
      <c r="B205" s="44">
        <v>4920</v>
      </c>
      <c r="C205" s="44" t="s">
        <v>268</v>
      </c>
      <c r="D205" s="52">
        <v>20385</v>
      </c>
      <c r="E205" s="52">
        <v>113117</v>
      </c>
      <c r="F205" s="52">
        <v>16697</v>
      </c>
      <c r="G205" s="52"/>
      <c r="H205" s="56">
        <v>21769</v>
      </c>
      <c r="I205" s="56">
        <v>13529</v>
      </c>
      <c r="J205" s="56">
        <v>12058</v>
      </c>
      <c r="K205" s="56">
        <v>9095</v>
      </c>
      <c r="L205" s="52">
        <v>52163</v>
      </c>
      <c r="M205" s="52"/>
      <c r="N205" s="52"/>
      <c r="O205" s="52">
        <v>9443</v>
      </c>
      <c r="P205" s="52">
        <v>7064</v>
      </c>
      <c r="Q205" s="52">
        <v>8440</v>
      </c>
      <c r="R205" s="52">
        <v>4728</v>
      </c>
      <c r="S205" s="52">
        <v>12566</v>
      </c>
      <c r="T205" s="52"/>
      <c r="U205" s="52">
        <v>105309</v>
      </c>
      <c r="V205" s="52"/>
      <c r="W205" s="52">
        <v>149162</v>
      </c>
      <c r="X205" s="52">
        <v>9319</v>
      </c>
      <c r="Y205" s="52">
        <v>275107</v>
      </c>
      <c r="Z205" s="52">
        <v>36196</v>
      </c>
      <c r="AA205" s="52">
        <v>34175</v>
      </c>
      <c r="AB205" s="52">
        <v>42465</v>
      </c>
      <c r="AC205" s="52">
        <v>2274</v>
      </c>
      <c r="AD205" s="52">
        <v>23185</v>
      </c>
      <c r="AE205" s="52">
        <v>6045</v>
      </c>
      <c r="AF205" s="52"/>
      <c r="AG205" s="52">
        <v>47864</v>
      </c>
      <c r="AH205" s="52">
        <v>80266</v>
      </c>
      <c r="AI205" s="52"/>
      <c r="AJ205" s="52">
        <v>3608</v>
      </c>
      <c r="AK205" s="52">
        <v>23727</v>
      </c>
      <c r="AL205" s="52">
        <v>9011</v>
      </c>
      <c r="AM205" s="52"/>
      <c r="AN205" s="52">
        <v>71703</v>
      </c>
      <c r="AO205" s="52">
        <v>22929</v>
      </c>
      <c r="AP205" s="52"/>
      <c r="AQ205" s="52">
        <v>17776</v>
      </c>
      <c r="AR205" s="52">
        <v>21847</v>
      </c>
      <c r="AS205" s="52">
        <v>77085</v>
      </c>
      <c r="AT205" s="52">
        <v>6066</v>
      </c>
      <c r="AU205" s="52">
        <v>46815</v>
      </c>
      <c r="AV205" s="52">
        <v>9745</v>
      </c>
      <c r="AW205" s="52">
        <v>6412</v>
      </c>
      <c r="AX205" s="52">
        <v>58865</v>
      </c>
      <c r="AY205" s="52">
        <v>296754</v>
      </c>
      <c r="AZ205" s="52">
        <v>39974</v>
      </c>
      <c r="BA205" s="52">
        <v>5005</v>
      </c>
      <c r="BB205" s="52">
        <v>6727</v>
      </c>
      <c r="BC205" s="52"/>
      <c r="BD205" s="52">
        <v>13313</v>
      </c>
      <c r="BE205" s="52">
        <v>12247</v>
      </c>
      <c r="BF205" s="52">
        <v>141829</v>
      </c>
      <c r="BG205" s="52">
        <v>19998</v>
      </c>
      <c r="BH205" s="52">
        <v>37980</v>
      </c>
      <c r="BI205" s="52">
        <v>46748</v>
      </c>
      <c r="BJ205" s="52">
        <v>26474</v>
      </c>
      <c r="BK205" s="52">
        <v>17384</v>
      </c>
      <c r="BL205" s="52">
        <v>20234</v>
      </c>
      <c r="BM205" s="52">
        <v>56162</v>
      </c>
      <c r="BN205" s="52">
        <v>46308</v>
      </c>
      <c r="BO205" s="52">
        <v>9805</v>
      </c>
      <c r="BP205" s="52">
        <v>13979</v>
      </c>
      <c r="BQ205" s="52">
        <v>47364</v>
      </c>
      <c r="BR205" s="52">
        <v>15472</v>
      </c>
      <c r="BS205" s="52"/>
      <c r="BT205" s="52">
        <v>25955</v>
      </c>
      <c r="BU205" s="52">
        <v>12548</v>
      </c>
      <c r="BV205" s="52">
        <v>6482</v>
      </c>
      <c r="BW205" s="52"/>
      <c r="BX205" s="52">
        <v>28219</v>
      </c>
      <c r="BY205" s="52">
        <v>30627</v>
      </c>
      <c r="BZ205" s="52">
        <v>50061</v>
      </c>
      <c r="CA205" s="52"/>
      <c r="CB205" s="52">
        <v>24886</v>
      </c>
      <c r="CC205" s="52">
        <v>18151</v>
      </c>
      <c r="CD205" s="52">
        <v>49759</v>
      </c>
      <c r="CE205" s="52"/>
      <c r="CF205" s="52">
        <v>62502</v>
      </c>
      <c r="CG205" s="52">
        <v>128050</v>
      </c>
      <c r="CH205" s="52">
        <v>46787</v>
      </c>
      <c r="CI205" s="52">
        <v>10552</v>
      </c>
      <c r="CJ205" s="52">
        <v>17475</v>
      </c>
      <c r="CK205" s="52">
        <v>25110</v>
      </c>
      <c r="CL205" s="52">
        <v>11957</v>
      </c>
      <c r="CM205" s="52">
        <v>9131</v>
      </c>
      <c r="CN205" s="52">
        <v>23707</v>
      </c>
      <c r="CO205" s="52">
        <v>26375</v>
      </c>
      <c r="CP205" s="52">
        <v>69322</v>
      </c>
      <c r="CQ205" s="52"/>
      <c r="CR205" s="52"/>
      <c r="CS205" s="52"/>
      <c r="CT205" s="52">
        <v>57798</v>
      </c>
      <c r="CU205" s="52">
        <v>49409</v>
      </c>
      <c r="CV205" s="52"/>
      <c r="CW205" s="52">
        <v>24650</v>
      </c>
      <c r="CX205" s="52">
        <v>50907</v>
      </c>
      <c r="CY205" s="52">
        <v>20951</v>
      </c>
      <c r="CZ205" s="52">
        <v>15043</v>
      </c>
      <c r="DA205" s="52">
        <v>66306</v>
      </c>
      <c r="DB205" s="52">
        <v>14506</v>
      </c>
      <c r="DC205" s="52"/>
      <c r="DD205" s="52"/>
      <c r="DE205" s="52">
        <v>3338993</v>
      </c>
      <c r="DF205" s="52"/>
      <c r="DG205" s="52">
        <v>3338993</v>
      </c>
      <c r="DH205" s="52"/>
    </row>
    <row r="206" spans="1:112">
      <c r="A206" s="150" t="s">
        <v>412</v>
      </c>
      <c r="B206" s="44">
        <v>4924</v>
      </c>
      <c r="C206" s="44" t="s">
        <v>269</v>
      </c>
      <c r="D206" s="52"/>
      <c r="E206" s="52">
        <v>103332</v>
      </c>
      <c r="F206" s="52">
        <v>141617</v>
      </c>
      <c r="G206" s="52"/>
      <c r="H206" s="56"/>
      <c r="I206" s="56">
        <v>370312</v>
      </c>
      <c r="J206" s="56">
        <v>169125</v>
      </c>
      <c r="K206" s="56">
        <v>87500</v>
      </c>
      <c r="L206" s="52">
        <v>240715</v>
      </c>
      <c r="M206" s="52"/>
      <c r="N206" s="52"/>
      <c r="O206" s="52"/>
      <c r="P206" s="52"/>
      <c r="Q206" s="52">
        <v>92047</v>
      </c>
      <c r="R206" s="52"/>
      <c r="S206" s="52"/>
      <c r="T206" s="52"/>
      <c r="U206" s="52">
        <v>241879</v>
      </c>
      <c r="V206" s="52"/>
      <c r="W206" s="52">
        <v>436645</v>
      </c>
      <c r="X206" s="52"/>
      <c r="Y206" s="52">
        <v>436670</v>
      </c>
      <c r="Z206" s="52">
        <v>86777</v>
      </c>
      <c r="AA206" s="52">
        <v>112449</v>
      </c>
      <c r="AB206" s="52"/>
      <c r="AC206" s="52"/>
      <c r="AD206" s="52"/>
      <c r="AE206" s="52">
        <v>108950</v>
      </c>
      <c r="AF206" s="52"/>
      <c r="AG206" s="52">
        <v>197432</v>
      </c>
      <c r="AH206" s="52">
        <v>54317</v>
      </c>
      <c r="AI206" s="52"/>
      <c r="AJ206" s="52"/>
      <c r="AK206" s="52"/>
      <c r="AL206" s="52">
        <v>361979</v>
      </c>
      <c r="AM206" s="52"/>
      <c r="AN206" s="52"/>
      <c r="AO206" s="52">
        <v>158316</v>
      </c>
      <c r="AP206" s="52"/>
      <c r="AQ206" s="52">
        <v>4404</v>
      </c>
      <c r="AR206" s="52">
        <v>6483</v>
      </c>
      <c r="AS206" s="52">
        <v>115165</v>
      </c>
      <c r="AT206" s="52"/>
      <c r="AU206" s="52"/>
      <c r="AV206" s="52"/>
      <c r="AW206" s="52">
        <v>111842</v>
      </c>
      <c r="AX206" s="52"/>
      <c r="AY206" s="52"/>
      <c r="AZ206" s="52">
        <v>229088</v>
      </c>
      <c r="BA206" s="52">
        <v>87500</v>
      </c>
      <c r="BB206" s="52"/>
      <c r="BC206" s="52"/>
      <c r="BD206" s="52">
        <v>172816</v>
      </c>
      <c r="BE206" s="52"/>
      <c r="BF206" s="52"/>
      <c r="BG206" s="52"/>
      <c r="BH206" s="52">
        <v>187614</v>
      </c>
      <c r="BI206" s="52">
        <v>74896</v>
      </c>
      <c r="BJ206" s="52"/>
      <c r="BK206" s="52">
        <v>181826</v>
      </c>
      <c r="BL206" s="52">
        <v>186180</v>
      </c>
      <c r="BM206" s="52">
        <v>294348</v>
      </c>
      <c r="BN206" s="52"/>
      <c r="BO206" s="52">
        <v>282046</v>
      </c>
      <c r="BP206" s="52"/>
      <c r="BQ206" s="52"/>
      <c r="BR206" s="52"/>
      <c r="BS206" s="52"/>
      <c r="BT206" s="52">
        <v>96030</v>
      </c>
      <c r="BU206" s="52">
        <v>87500</v>
      </c>
      <c r="BV206" s="52"/>
      <c r="BW206" s="52"/>
      <c r="BX206" s="52">
        <v>62267</v>
      </c>
      <c r="BY206" s="52">
        <v>175000</v>
      </c>
      <c r="BZ206" s="52">
        <v>122036</v>
      </c>
      <c r="CA206" s="52"/>
      <c r="CB206" s="52"/>
      <c r="CC206" s="52"/>
      <c r="CD206" s="52">
        <v>102033</v>
      </c>
      <c r="CE206" s="52"/>
      <c r="CF206" s="52">
        <v>118899</v>
      </c>
      <c r="CG206" s="52">
        <v>101963</v>
      </c>
      <c r="CH206" s="52">
        <v>428468</v>
      </c>
      <c r="CI206" s="52"/>
      <c r="CJ206" s="52">
        <v>84959</v>
      </c>
      <c r="CK206" s="52"/>
      <c r="CL206" s="52">
        <v>177922</v>
      </c>
      <c r="CM206" s="52">
        <v>13964</v>
      </c>
      <c r="CN206" s="52"/>
      <c r="CO206" s="52"/>
      <c r="CP206" s="52"/>
      <c r="CQ206" s="52"/>
      <c r="CR206" s="52"/>
      <c r="CS206" s="52"/>
      <c r="CT206" s="52">
        <v>157737</v>
      </c>
      <c r="CU206" s="52">
        <v>172256</v>
      </c>
      <c r="CV206" s="52"/>
      <c r="CW206" s="52">
        <v>234326</v>
      </c>
      <c r="CX206" s="52">
        <v>234495</v>
      </c>
      <c r="CY206" s="52">
        <v>169955</v>
      </c>
      <c r="CZ206" s="52"/>
      <c r="DA206" s="52"/>
      <c r="DB206" s="52"/>
      <c r="DC206" s="52">
        <v>47909</v>
      </c>
      <c r="DD206" s="52"/>
      <c r="DE206" s="52">
        <v>7874080</v>
      </c>
      <c r="DF206" s="52">
        <v>47909</v>
      </c>
      <c r="DG206" s="52">
        <v>7921989</v>
      </c>
      <c r="DH206" s="52"/>
    </row>
    <row r="207" spans="1:112">
      <c r="A207" s="150" t="s">
        <v>412</v>
      </c>
      <c r="B207" s="44">
        <v>4930</v>
      </c>
      <c r="C207" s="44" t="s">
        <v>270</v>
      </c>
      <c r="D207" s="52"/>
      <c r="E207" s="52"/>
      <c r="F207" s="52"/>
      <c r="G207" s="52"/>
      <c r="H207" s="56"/>
      <c r="I207" s="56"/>
      <c r="J207" s="56"/>
      <c r="K207" s="56"/>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v>10575</v>
      </c>
      <c r="CA207" s="52"/>
      <c r="CB207" s="52"/>
      <c r="CC207" s="52"/>
      <c r="CD207" s="52"/>
      <c r="CE207" s="52"/>
      <c r="CF207" s="52"/>
      <c r="CG207" s="52"/>
      <c r="CH207" s="52"/>
      <c r="CI207" s="52"/>
      <c r="CJ207" s="52"/>
      <c r="CK207" s="52"/>
      <c r="CL207" s="52">
        <v>125289</v>
      </c>
      <c r="CM207" s="52"/>
      <c r="CN207" s="52"/>
      <c r="CO207" s="52"/>
      <c r="CP207" s="52"/>
      <c r="CQ207" s="52"/>
      <c r="CR207" s="52"/>
      <c r="CS207" s="52"/>
      <c r="CT207" s="52"/>
      <c r="CU207" s="52"/>
      <c r="CV207" s="52"/>
      <c r="CW207" s="52"/>
      <c r="CX207" s="52"/>
      <c r="CY207" s="52"/>
      <c r="CZ207" s="52"/>
      <c r="DA207" s="52"/>
      <c r="DB207" s="52"/>
      <c r="DC207" s="52"/>
      <c r="DD207" s="52"/>
      <c r="DE207" s="52">
        <v>135864</v>
      </c>
      <c r="DF207" s="52"/>
      <c r="DG207" s="52">
        <v>135864</v>
      </c>
      <c r="DH207" s="52"/>
    </row>
    <row r="208" spans="1:112">
      <c r="A208" s="150" t="s">
        <v>412</v>
      </c>
      <c r="B208" s="44">
        <v>4952</v>
      </c>
      <c r="C208" s="44" t="s">
        <v>271</v>
      </c>
      <c r="D208" s="52"/>
      <c r="E208" s="52"/>
      <c r="F208" s="52"/>
      <c r="G208" s="52"/>
      <c r="H208" s="56"/>
      <c r="I208" s="56"/>
      <c r="J208" s="56"/>
      <c r="K208" s="56"/>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row>
    <row r="209" spans="1:113">
      <c r="A209" s="150" t="s">
        <v>412</v>
      </c>
      <c r="B209" s="44">
        <v>4991</v>
      </c>
      <c r="C209" s="44" t="s">
        <v>272</v>
      </c>
      <c r="D209" s="52">
        <v>98779</v>
      </c>
      <c r="E209" s="52">
        <v>427835</v>
      </c>
      <c r="F209" s="52">
        <v>45848</v>
      </c>
      <c r="G209" s="52"/>
      <c r="H209" s="56">
        <v>170393</v>
      </c>
      <c r="I209" s="56">
        <v>90738</v>
      </c>
      <c r="J209" s="56"/>
      <c r="K209" s="56"/>
      <c r="L209" s="52">
        <v>255736</v>
      </c>
      <c r="M209" s="52"/>
      <c r="N209" s="52"/>
      <c r="O209" s="52">
        <v>38471</v>
      </c>
      <c r="P209" s="52">
        <v>30630</v>
      </c>
      <c r="Q209" s="52">
        <v>24228</v>
      </c>
      <c r="R209" s="52">
        <v>22830</v>
      </c>
      <c r="S209" s="52">
        <v>60897</v>
      </c>
      <c r="T209" s="52"/>
      <c r="U209" s="52">
        <v>420319</v>
      </c>
      <c r="V209" s="52"/>
      <c r="W209" s="52">
        <v>645086</v>
      </c>
      <c r="X209" s="52">
        <v>39478</v>
      </c>
      <c r="Y209" s="52">
        <v>766812</v>
      </c>
      <c r="Z209" s="52">
        <v>208755</v>
      </c>
      <c r="AA209" s="52">
        <v>123477</v>
      </c>
      <c r="AB209" s="52">
        <v>194258</v>
      </c>
      <c r="AC209" s="52">
        <v>25335</v>
      </c>
      <c r="AD209" s="52">
        <v>80765</v>
      </c>
      <c r="AE209" s="52">
        <v>23406</v>
      </c>
      <c r="AF209" s="52"/>
      <c r="AG209" s="52">
        <v>168789</v>
      </c>
      <c r="AH209" s="52">
        <v>264486</v>
      </c>
      <c r="AI209" s="52"/>
      <c r="AJ209" s="52"/>
      <c r="AK209" s="52"/>
      <c r="AL209" s="52">
        <v>37307</v>
      </c>
      <c r="AM209" s="52"/>
      <c r="AN209" s="52">
        <v>235286</v>
      </c>
      <c r="AO209" s="52">
        <v>62530</v>
      </c>
      <c r="AP209" s="52"/>
      <c r="AQ209" s="52"/>
      <c r="AR209" s="52">
        <v>74435</v>
      </c>
      <c r="AS209" s="52"/>
      <c r="AT209" s="52">
        <v>31112</v>
      </c>
      <c r="AU209" s="52">
        <v>111058</v>
      </c>
      <c r="AV209" s="52">
        <v>26840</v>
      </c>
      <c r="AW209" s="52">
        <v>39815</v>
      </c>
      <c r="AX209" s="52">
        <v>220232</v>
      </c>
      <c r="AY209" s="52">
        <v>1032075</v>
      </c>
      <c r="AZ209" s="52">
        <v>138964</v>
      </c>
      <c r="BA209" s="52"/>
      <c r="BB209" s="52">
        <v>41600</v>
      </c>
      <c r="BC209" s="52"/>
      <c r="BD209" s="52">
        <v>70869</v>
      </c>
      <c r="BE209" s="52">
        <v>28806</v>
      </c>
      <c r="BF209" s="52">
        <v>711444</v>
      </c>
      <c r="BG209" s="52">
        <v>72833</v>
      </c>
      <c r="BH209" s="52">
        <v>245919</v>
      </c>
      <c r="BI209" s="52">
        <v>244531</v>
      </c>
      <c r="BJ209" s="52">
        <v>286204</v>
      </c>
      <c r="BK209" s="52"/>
      <c r="BL209" s="52">
        <v>74752</v>
      </c>
      <c r="BM209" s="52">
        <v>362541</v>
      </c>
      <c r="BN209" s="52">
        <v>182042</v>
      </c>
      <c r="BO209" s="52"/>
      <c r="BP209" s="52">
        <v>70284</v>
      </c>
      <c r="BQ209" s="52">
        <v>344807</v>
      </c>
      <c r="BR209" s="52"/>
      <c r="BS209" s="52"/>
      <c r="BT209" s="52">
        <v>78945</v>
      </c>
      <c r="BU209" s="52">
        <v>49923</v>
      </c>
      <c r="BV209" s="52">
        <v>22853</v>
      </c>
      <c r="BW209" s="52"/>
      <c r="BX209" s="52">
        <v>125840</v>
      </c>
      <c r="BY209" s="52">
        <v>150179</v>
      </c>
      <c r="BZ209" s="52">
        <v>219610</v>
      </c>
      <c r="CA209" s="52"/>
      <c r="CB209" s="52">
        <v>64887</v>
      </c>
      <c r="CC209" s="52">
        <v>124929</v>
      </c>
      <c r="CD209" s="52">
        <v>215865</v>
      </c>
      <c r="CE209" s="52"/>
      <c r="CF209" s="52">
        <v>222554</v>
      </c>
      <c r="CG209" s="52">
        <v>499554</v>
      </c>
      <c r="CH209" s="52">
        <v>348833</v>
      </c>
      <c r="CI209" s="52">
        <v>56721</v>
      </c>
      <c r="CJ209" s="52">
        <v>94024</v>
      </c>
      <c r="CK209" s="52">
        <v>176341</v>
      </c>
      <c r="CL209" s="52">
        <v>62389</v>
      </c>
      <c r="CM209" s="52"/>
      <c r="CN209" s="52">
        <v>117247</v>
      </c>
      <c r="CO209" s="52">
        <v>162936</v>
      </c>
      <c r="CP209" s="52">
        <v>159220</v>
      </c>
      <c r="CQ209" s="52"/>
      <c r="CR209" s="52"/>
      <c r="CS209" s="52"/>
      <c r="CT209" s="52">
        <v>200782</v>
      </c>
      <c r="CU209" s="52">
        <v>215753</v>
      </c>
      <c r="CV209" s="52"/>
      <c r="CW209" s="52">
        <v>115909</v>
      </c>
      <c r="CX209" s="52">
        <v>142901</v>
      </c>
      <c r="CY209" s="52">
        <v>100977</v>
      </c>
      <c r="CZ209" s="52">
        <v>108047</v>
      </c>
      <c r="DA209" s="52">
        <v>283786</v>
      </c>
      <c r="DB209" s="52">
        <v>107117</v>
      </c>
      <c r="DC209" s="52"/>
      <c r="DD209" s="52">
        <v>30893</v>
      </c>
      <c r="DE209" s="52">
        <v>13201759</v>
      </c>
      <c r="DF209" s="52">
        <v>30893</v>
      </c>
      <c r="DG209" s="52">
        <v>13232652</v>
      </c>
      <c r="DH209" s="52"/>
    </row>
    <row r="210" spans="1:113">
      <c r="A210" s="150" t="s">
        <v>412</v>
      </c>
      <c r="B210" s="44">
        <v>4992</v>
      </c>
      <c r="C210" s="44" t="s">
        <v>273</v>
      </c>
      <c r="D210" s="52">
        <v>86296</v>
      </c>
      <c r="E210" s="52"/>
      <c r="F210" s="52"/>
      <c r="G210" s="52"/>
      <c r="H210" s="56"/>
      <c r="I210" s="56"/>
      <c r="J210" s="56"/>
      <c r="K210" s="56"/>
      <c r="L210" s="52"/>
      <c r="M210" s="52"/>
      <c r="N210" s="52"/>
      <c r="O210" s="52"/>
      <c r="P210" s="52"/>
      <c r="Q210" s="52"/>
      <c r="R210" s="52"/>
      <c r="S210" s="52"/>
      <c r="T210" s="52"/>
      <c r="U210" s="52"/>
      <c r="V210" s="52"/>
      <c r="W210" s="52"/>
      <c r="X210" s="52"/>
      <c r="Y210" s="52">
        <v>182570</v>
      </c>
      <c r="Z210" s="52"/>
      <c r="AA210" s="52"/>
      <c r="AB210" s="52">
        <v>189096</v>
      </c>
      <c r="AC210" s="52"/>
      <c r="AD210" s="52"/>
      <c r="AE210" s="52"/>
      <c r="AF210" s="52"/>
      <c r="AG210" s="52"/>
      <c r="AH210" s="52"/>
      <c r="AI210" s="52"/>
      <c r="AJ210" s="52"/>
      <c r="AK210" s="52"/>
      <c r="AL210" s="52"/>
      <c r="AM210" s="52"/>
      <c r="AN210" s="52"/>
      <c r="AO210" s="52"/>
      <c r="AP210" s="52"/>
      <c r="AQ210" s="52">
        <v>80945</v>
      </c>
      <c r="AR210" s="52">
        <v>36179</v>
      </c>
      <c r="AS210" s="52"/>
      <c r="AT210" s="52"/>
      <c r="AU210" s="52"/>
      <c r="AV210" s="52"/>
      <c r="AW210" s="52"/>
      <c r="AX210" s="52"/>
      <c r="AY210" s="52"/>
      <c r="AZ210" s="52"/>
      <c r="BA210" s="52"/>
      <c r="BB210" s="52"/>
      <c r="BC210" s="52"/>
      <c r="BD210" s="52"/>
      <c r="BE210" s="52"/>
      <c r="BF210" s="52"/>
      <c r="BG210" s="52"/>
      <c r="BH210" s="52"/>
      <c r="BI210" s="52"/>
      <c r="BJ210" s="52">
        <v>49068</v>
      </c>
      <c r="BK210" s="52">
        <v>28130</v>
      </c>
      <c r="BL210" s="52"/>
      <c r="BM210" s="52"/>
      <c r="BN210" s="52"/>
      <c r="BO210" s="52"/>
      <c r="BP210" s="52"/>
      <c r="BQ210" s="52"/>
      <c r="BR210" s="52"/>
      <c r="BS210" s="52"/>
      <c r="BT210" s="52"/>
      <c r="BU210" s="52"/>
      <c r="BV210" s="52"/>
      <c r="BW210" s="52"/>
      <c r="BX210" s="52"/>
      <c r="BY210" s="52">
        <v>80940</v>
      </c>
      <c r="BZ210" s="52">
        <v>63000</v>
      </c>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v>164832</v>
      </c>
      <c r="CX210" s="52"/>
      <c r="CY210" s="52"/>
      <c r="CZ210" s="52"/>
      <c r="DA210" s="52"/>
      <c r="DB210" s="52"/>
      <c r="DC210" s="52"/>
      <c r="DD210" s="52"/>
      <c r="DE210" s="52">
        <v>961056</v>
      </c>
      <c r="DF210" s="52"/>
      <c r="DG210" s="52">
        <v>961056</v>
      </c>
      <c r="DH210" s="52"/>
    </row>
    <row r="211" spans="1:113">
      <c r="A211" s="150" t="s">
        <v>412</v>
      </c>
      <c r="B211" s="44">
        <v>4993</v>
      </c>
      <c r="C211" s="44" t="s">
        <v>274</v>
      </c>
      <c r="D211" s="52"/>
      <c r="E211" s="52"/>
      <c r="F211" s="52"/>
      <c r="G211" s="52"/>
      <c r="H211" s="56"/>
      <c r="I211" s="56"/>
      <c r="J211" s="56"/>
      <c r="K211" s="56"/>
      <c r="L211" s="52"/>
      <c r="M211" s="52"/>
      <c r="N211" s="52"/>
      <c r="O211" s="52"/>
      <c r="P211" s="52"/>
      <c r="Q211" s="52"/>
      <c r="R211" s="52"/>
      <c r="S211" s="52">
        <v>1620</v>
      </c>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v>1620</v>
      </c>
      <c r="DF211" s="52"/>
      <c r="DG211" s="52">
        <v>1620</v>
      </c>
      <c r="DH211" s="52"/>
    </row>
    <row r="212" spans="1:113">
      <c r="A212" s="150" t="s">
        <v>412</v>
      </c>
      <c r="B212" s="44">
        <v>4994</v>
      </c>
      <c r="C212" s="44" t="s">
        <v>275</v>
      </c>
      <c r="D212" s="52"/>
      <c r="E212" s="52">
        <v>18528</v>
      </c>
      <c r="F212" s="52"/>
      <c r="G212" s="52"/>
      <c r="H212" s="56"/>
      <c r="I212" s="56"/>
      <c r="J212" s="56"/>
      <c r="K212" s="56"/>
      <c r="L212" s="52"/>
      <c r="M212" s="52"/>
      <c r="N212" s="52"/>
      <c r="O212" s="52">
        <v>4860</v>
      </c>
      <c r="P212" s="52">
        <v>4860</v>
      </c>
      <c r="Q212" s="52"/>
      <c r="R212" s="52"/>
      <c r="S212" s="52"/>
      <c r="T212" s="52"/>
      <c r="U212" s="52">
        <v>286526</v>
      </c>
      <c r="V212" s="52"/>
      <c r="W212" s="52">
        <v>56698</v>
      </c>
      <c r="X212" s="52"/>
      <c r="Y212" s="52">
        <v>436500</v>
      </c>
      <c r="Z212" s="52">
        <v>6885</v>
      </c>
      <c r="AA212" s="52">
        <v>4050</v>
      </c>
      <c r="AB212" s="52"/>
      <c r="AC212" s="52"/>
      <c r="AD212" s="52"/>
      <c r="AE212" s="52"/>
      <c r="AF212" s="52"/>
      <c r="AG212" s="52"/>
      <c r="AH212" s="52">
        <v>9112</v>
      </c>
      <c r="AI212" s="52"/>
      <c r="AJ212" s="52"/>
      <c r="AK212" s="52"/>
      <c r="AL212" s="52"/>
      <c r="AM212" s="52"/>
      <c r="AN212" s="52">
        <v>31182</v>
      </c>
      <c r="AO212" s="52"/>
      <c r="AP212" s="52"/>
      <c r="AQ212" s="52">
        <v>2632</v>
      </c>
      <c r="AR212" s="52"/>
      <c r="AS212" s="52">
        <v>14477</v>
      </c>
      <c r="AT212" s="52"/>
      <c r="AU212" s="52"/>
      <c r="AV212" s="52">
        <v>2814</v>
      </c>
      <c r="AW212" s="52"/>
      <c r="AX212" s="52">
        <v>6885</v>
      </c>
      <c r="AY212" s="52">
        <v>79477</v>
      </c>
      <c r="AZ212" s="52">
        <v>4860</v>
      </c>
      <c r="BA212" s="52"/>
      <c r="BB212" s="52"/>
      <c r="BC212" s="52"/>
      <c r="BD212" s="52"/>
      <c r="BE212" s="52">
        <v>2500</v>
      </c>
      <c r="BF212" s="52"/>
      <c r="BG212" s="52"/>
      <c r="BH212" s="52"/>
      <c r="BI212" s="52"/>
      <c r="BJ212" s="52"/>
      <c r="BK212" s="52"/>
      <c r="BL212" s="52">
        <v>10528</v>
      </c>
      <c r="BM212" s="52"/>
      <c r="BN212" s="52"/>
      <c r="BO212" s="52"/>
      <c r="BP212" s="52"/>
      <c r="BQ212" s="52"/>
      <c r="BR212" s="52">
        <v>4860</v>
      </c>
      <c r="BS212" s="52"/>
      <c r="BT212" s="52"/>
      <c r="BU212" s="52"/>
      <c r="BV212" s="52"/>
      <c r="BW212" s="52"/>
      <c r="BX212" s="52"/>
      <c r="BY212" s="52"/>
      <c r="BZ212" s="52">
        <v>59937</v>
      </c>
      <c r="CA212" s="52"/>
      <c r="CB212" s="52">
        <v>3240</v>
      </c>
      <c r="CC212" s="52">
        <v>4050</v>
      </c>
      <c r="CD212" s="52"/>
      <c r="CE212" s="52"/>
      <c r="CF212" s="52"/>
      <c r="CG212" s="52">
        <v>115798</v>
      </c>
      <c r="CH212" s="52"/>
      <c r="CI212" s="52"/>
      <c r="CJ212" s="52">
        <v>16200</v>
      </c>
      <c r="CK212" s="52"/>
      <c r="CL212" s="52">
        <v>5265</v>
      </c>
      <c r="CM212" s="52"/>
      <c r="CN212" s="52"/>
      <c r="CO212" s="52">
        <v>2025</v>
      </c>
      <c r="CP212" s="52">
        <v>36056</v>
      </c>
      <c r="CQ212" s="52"/>
      <c r="CR212" s="52"/>
      <c r="CS212" s="52"/>
      <c r="CT212" s="52"/>
      <c r="CU212" s="52">
        <v>3606</v>
      </c>
      <c r="CV212" s="52"/>
      <c r="CW212" s="52"/>
      <c r="CX212" s="52"/>
      <c r="CY212" s="52"/>
      <c r="CZ212" s="52"/>
      <c r="DA212" s="52">
        <v>26830</v>
      </c>
      <c r="DB212" s="52"/>
      <c r="DC212" s="52"/>
      <c r="DD212" s="52"/>
      <c r="DE212" s="52">
        <v>1261241</v>
      </c>
      <c r="DF212" s="52"/>
      <c r="DG212" s="52">
        <v>1261241</v>
      </c>
      <c r="DH212" s="52"/>
    </row>
    <row r="213" spans="1:113">
      <c r="A213" s="150" t="s">
        <v>412</v>
      </c>
      <c r="B213" s="44">
        <v>4995</v>
      </c>
      <c r="C213" s="44" t="s">
        <v>276</v>
      </c>
      <c r="D213" s="52"/>
      <c r="E213" s="52"/>
      <c r="F213" s="52">
        <v>8000</v>
      </c>
      <c r="G213" s="52"/>
      <c r="H213" s="56">
        <v>4970</v>
      </c>
      <c r="I213" s="56"/>
      <c r="J213" s="56"/>
      <c r="K213" s="56"/>
      <c r="L213" s="52"/>
      <c r="M213" s="52"/>
      <c r="N213" s="52"/>
      <c r="O213" s="52"/>
      <c r="P213" s="52"/>
      <c r="Q213" s="52"/>
      <c r="R213" s="52"/>
      <c r="S213" s="52"/>
      <c r="T213" s="52"/>
      <c r="U213" s="52"/>
      <c r="V213" s="52"/>
      <c r="W213" s="52">
        <v>4000</v>
      </c>
      <c r="X213" s="52"/>
      <c r="Y213" s="52"/>
      <c r="Z213" s="52"/>
      <c r="AA213" s="52"/>
      <c r="AB213" s="52"/>
      <c r="AC213" s="52"/>
      <c r="AD213" s="52"/>
      <c r="AE213" s="52"/>
      <c r="AF213" s="52"/>
      <c r="AG213" s="52"/>
      <c r="AH213" s="52"/>
      <c r="AI213" s="52"/>
      <c r="AJ213" s="52"/>
      <c r="AK213" s="52"/>
      <c r="AL213" s="52"/>
      <c r="AM213" s="52"/>
      <c r="AN213" s="52"/>
      <c r="AO213" s="52"/>
      <c r="AP213" s="52"/>
      <c r="AQ213" s="52"/>
      <c r="AR213" s="52">
        <v>3410</v>
      </c>
      <c r="AS213" s="52"/>
      <c r="AT213" s="52"/>
      <c r="AU213" s="52"/>
      <c r="AV213" s="52"/>
      <c r="AW213" s="52"/>
      <c r="AX213" s="52"/>
      <c r="AY213" s="52"/>
      <c r="AZ213" s="52"/>
      <c r="BA213" s="52"/>
      <c r="BB213" s="52"/>
      <c r="BC213" s="52"/>
      <c r="BD213" s="52"/>
      <c r="BE213" s="52"/>
      <c r="BF213" s="52"/>
      <c r="BG213" s="52">
        <v>4375</v>
      </c>
      <c r="BH213" s="52"/>
      <c r="BI213" s="52"/>
      <c r="BJ213" s="52">
        <v>2790</v>
      </c>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v>2891</v>
      </c>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v>30436</v>
      </c>
      <c r="DF213" s="52"/>
      <c r="DG213" s="52">
        <v>30436</v>
      </c>
      <c r="DH213" s="52"/>
    </row>
    <row r="214" spans="1:113">
      <c r="A214" s="150" t="s">
        <v>412</v>
      </c>
      <c r="B214" s="44">
        <v>4996</v>
      </c>
      <c r="C214" s="44" t="s">
        <v>277</v>
      </c>
      <c r="D214" s="52"/>
      <c r="E214" s="52">
        <v>4294</v>
      </c>
      <c r="F214" s="52"/>
      <c r="G214" s="52"/>
      <c r="H214" s="56">
        <v>15000</v>
      </c>
      <c r="I214" s="56">
        <v>4500</v>
      </c>
      <c r="J214" s="56"/>
      <c r="K214" s="56"/>
      <c r="L214" s="52">
        <v>4500</v>
      </c>
      <c r="M214" s="52"/>
      <c r="N214" s="52"/>
      <c r="O214" s="52">
        <v>4500</v>
      </c>
      <c r="P214" s="52"/>
      <c r="Q214" s="52"/>
      <c r="R214" s="52"/>
      <c r="S214" s="52"/>
      <c r="T214" s="52"/>
      <c r="U214" s="52"/>
      <c r="V214" s="52"/>
      <c r="W214" s="52"/>
      <c r="X214" s="52">
        <v>3545</v>
      </c>
      <c r="Y214" s="52">
        <v>4462</v>
      </c>
      <c r="Z214" s="52"/>
      <c r="AA214" s="52"/>
      <c r="AB214" s="52"/>
      <c r="AC214" s="52">
        <v>2094</v>
      </c>
      <c r="AD214" s="52">
        <v>1729</v>
      </c>
      <c r="AE214" s="52"/>
      <c r="AF214" s="52"/>
      <c r="AG214" s="52">
        <v>6432</v>
      </c>
      <c r="AH214" s="52"/>
      <c r="AI214" s="52"/>
      <c r="AJ214" s="52"/>
      <c r="AK214" s="52">
        <v>2147</v>
      </c>
      <c r="AL214" s="52"/>
      <c r="AM214" s="52"/>
      <c r="AN214" s="52"/>
      <c r="AO214" s="52"/>
      <c r="AP214" s="52"/>
      <c r="AQ214" s="52"/>
      <c r="AR214" s="52"/>
      <c r="AS214" s="52"/>
      <c r="AT214" s="52"/>
      <c r="AU214" s="52"/>
      <c r="AV214" s="52"/>
      <c r="AW214" s="52"/>
      <c r="AX214" s="52"/>
      <c r="AY214" s="52"/>
      <c r="AZ214" s="52"/>
      <c r="BA214" s="52"/>
      <c r="BB214" s="52"/>
      <c r="BC214" s="52"/>
      <c r="BD214" s="52"/>
      <c r="BE214" s="52">
        <v>4469</v>
      </c>
      <c r="BF214" s="52"/>
      <c r="BG214" s="52">
        <v>3008</v>
      </c>
      <c r="BH214" s="52"/>
      <c r="BI214" s="52"/>
      <c r="BJ214" s="52"/>
      <c r="BK214" s="52"/>
      <c r="BL214" s="52"/>
      <c r="BM214" s="52"/>
      <c r="BN214" s="52"/>
      <c r="BO214" s="52"/>
      <c r="BP214" s="52"/>
      <c r="BQ214" s="52"/>
      <c r="BR214" s="52">
        <v>3740</v>
      </c>
      <c r="BS214" s="52"/>
      <c r="BT214" s="52">
        <v>4500</v>
      </c>
      <c r="BU214" s="52"/>
      <c r="BV214" s="52">
        <v>23235</v>
      </c>
      <c r="BW214" s="52"/>
      <c r="BX214" s="52"/>
      <c r="BY214" s="52"/>
      <c r="BZ214" s="52"/>
      <c r="CA214" s="52"/>
      <c r="CB214" s="52"/>
      <c r="CC214" s="52">
        <v>4500</v>
      </c>
      <c r="CD214" s="52"/>
      <c r="CE214" s="52"/>
      <c r="CF214" s="52">
        <v>15000</v>
      </c>
      <c r="CG214" s="52"/>
      <c r="CH214" s="52">
        <v>80000</v>
      </c>
      <c r="CI214" s="52"/>
      <c r="CJ214" s="52">
        <v>4500</v>
      </c>
      <c r="CK214" s="52"/>
      <c r="CL214" s="52"/>
      <c r="CM214" s="52"/>
      <c r="CN214" s="52">
        <v>3779</v>
      </c>
      <c r="CO214" s="52"/>
      <c r="CP214" s="52"/>
      <c r="CQ214" s="52"/>
      <c r="CR214" s="52"/>
      <c r="CS214" s="52"/>
      <c r="CT214" s="52"/>
      <c r="CU214" s="52"/>
      <c r="CV214" s="52"/>
      <c r="CW214" s="52"/>
      <c r="CX214" s="52"/>
      <c r="CY214" s="52"/>
      <c r="CZ214" s="52"/>
      <c r="DA214" s="52"/>
      <c r="DB214" s="52"/>
      <c r="DC214" s="52"/>
      <c r="DD214" s="52"/>
      <c r="DE214" s="52">
        <v>199934</v>
      </c>
      <c r="DF214" s="52"/>
      <c r="DG214" s="52">
        <v>199934</v>
      </c>
      <c r="DH214" s="52"/>
    </row>
    <row r="215" spans="1:113">
      <c r="A215" s="150" t="s">
        <v>412</v>
      </c>
      <c r="B215" s="44">
        <v>4998</v>
      </c>
      <c r="C215" s="44" t="s">
        <v>278</v>
      </c>
      <c r="D215" s="52"/>
      <c r="E215" s="52"/>
      <c r="F215" s="52"/>
      <c r="G215" s="52"/>
      <c r="H215" s="56">
        <v>18026</v>
      </c>
      <c r="I215" s="56"/>
      <c r="J215" s="56"/>
      <c r="K215" s="56"/>
      <c r="L215" s="52">
        <v>27956</v>
      </c>
      <c r="M215" s="52"/>
      <c r="N215" s="52"/>
      <c r="O215" s="52"/>
      <c r="P215" s="52"/>
      <c r="Q215" s="52"/>
      <c r="R215" s="52"/>
      <c r="S215" s="52"/>
      <c r="T215" s="52"/>
      <c r="U215" s="52"/>
      <c r="V215" s="52"/>
      <c r="W215" s="52"/>
      <c r="X215" s="52">
        <v>27236</v>
      </c>
      <c r="Y215" s="52"/>
      <c r="Z215" s="52"/>
      <c r="AA215" s="52"/>
      <c r="AB215" s="52"/>
      <c r="AC215" s="52">
        <v>21053</v>
      </c>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v>48122</v>
      </c>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v>79446</v>
      </c>
      <c r="CE215" s="52"/>
      <c r="CF215" s="52"/>
      <c r="CG215" s="52"/>
      <c r="CH215" s="52"/>
      <c r="CI215" s="52"/>
      <c r="CJ215" s="52"/>
      <c r="CK215" s="52"/>
      <c r="CL215" s="52">
        <v>58894</v>
      </c>
      <c r="CM215" s="52"/>
      <c r="CN215" s="52"/>
      <c r="CO215" s="52"/>
      <c r="CP215" s="52"/>
      <c r="CQ215" s="52"/>
      <c r="CR215" s="52"/>
      <c r="CS215" s="52"/>
      <c r="CT215" s="52"/>
      <c r="CU215" s="52">
        <v>279553</v>
      </c>
      <c r="CV215" s="52"/>
      <c r="CW215" s="52"/>
      <c r="CX215" s="52">
        <v>154088</v>
      </c>
      <c r="CY215" s="52"/>
      <c r="CZ215" s="52"/>
      <c r="DA215" s="52"/>
      <c r="DB215" s="52"/>
      <c r="DC215" s="52"/>
      <c r="DD215" s="52"/>
      <c r="DE215" s="52">
        <v>714374</v>
      </c>
      <c r="DF215" s="52"/>
      <c r="DG215" s="52">
        <v>714374</v>
      </c>
      <c r="DH215" s="52"/>
    </row>
    <row r="216" spans="1:113">
      <c r="A216" s="150" t="s">
        <v>412</v>
      </c>
      <c r="B216" s="44">
        <v>4999</v>
      </c>
      <c r="C216" s="44" t="s">
        <v>279</v>
      </c>
      <c r="D216" s="52">
        <v>16958</v>
      </c>
      <c r="E216" s="52">
        <v>413880</v>
      </c>
      <c r="F216" s="52">
        <v>63132</v>
      </c>
      <c r="G216" s="52"/>
      <c r="H216" s="56">
        <v>293157</v>
      </c>
      <c r="I216" s="56">
        <v>64146</v>
      </c>
      <c r="J216" s="56">
        <v>50</v>
      </c>
      <c r="K216" s="56">
        <v>170031</v>
      </c>
      <c r="L216" s="52">
        <v>1257276</v>
      </c>
      <c r="M216" s="52"/>
      <c r="N216" s="52"/>
      <c r="O216" s="52">
        <v>50490</v>
      </c>
      <c r="P216" s="52">
        <v>161149</v>
      </c>
      <c r="Q216" s="52"/>
      <c r="R216" s="52">
        <v>2000</v>
      </c>
      <c r="S216" s="52">
        <v>224193</v>
      </c>
      <c r="T216" s="52"/>
      <c r="U216" s="52">
        <v>2225082</v>
      </c>
      <c r="V216" s="52"/>
      <c r="W216" s="52">
        <v>1534346</v>
      </c>
      <c r="X216" s="52">
        <v>54374</v>
      </c>
      <c r="Y216" s="52">
        <v>4000204</v>
      </c>
      <c r="Z216" s="52">
        <v>340613</v>
      </c>
      <c r="AA216" s="52">
        <v>1432500</v>
      </c>
      <c r="AB216" s="52">
        <v>137645</v>
      </c>
      <c r="AC216" s="52">
        <v>50167</v>
      </c>
      <c r="AD216" s="52">
        <v>976563</v>
      </c>
      <c r="AE216" s="52">
        <v>8052</v>
      </c>
      <c r="AF216" s="52">
        <v>10360</v>
      </c>
      <c r="AG216" s="52">
        <v>392330</v>
      </c>
      <c r="AH216" s="52">
        <v>520346</v>
      </c>
      <c r="AI216" s="52"/>
      <c r="AJ216" s="52">
        <v>7979</v>
      </c>
      <c r="AK216" s="52">
        <v>283165</v>
      </c>
      <c r="AL216" s="52">
        <v>13500</v>
      </c>
      <c r="AM216" s="52"/>
      <c r="AN216" s="52">
        <v>503964</v>
      </c>
      <c r="AO216" s="52"/>
      <c r="AP216" s="52"/>
      <c r="AQ216" s="52">
        <v>111337</v>
      </c>
      <c r="AR216" s="52">
        <v>96518</v>
      </c>
      <c r="AS216" s="52">
        <v>1066437</v>
      </c>
      <c r="AT216" s="52"/>
      <c r="AU216" s="52">
        <v>1204604</v>
      </c>
      <c r="AV216" s="52">
        <v>108948</v>
      </c>
      <c r="AW216" s="52"/>
      <c r="AX216" s="52">
        <v>594443</v>
      </c>
      <c r="AY216" s="52">
        <v>2357115</v>
      </c>
      <c r="AZ216" s="52">
        <v>187104</v>
      </c>
      <c r="BA216" s="52">
        <v>76494</v>
      </c>
      <c r="BB216" s="52">
        <v>11046</v>
      </c>
      <c r="BC216" s="52"/>
      <c r="BD216" s="52">
        <v>147333</v>
      </c>
      <c r="BE216" s="52">
        <v>125526</v>
      </c>
      <c r="BF216" s="52">
        <v>1431939</v>
      </c>
      <c r="BG216" s="52">
        <v>110459</v>
      </c>
      <c r="BH216" s="52">
        <v>940041</v>
      </c>
      <c r="BI216" s="52">
        <v>3842527</v>
      </c>
      <c r="BJ216" s="52">
        <v>111155</v>
      </c>
      <c r="BK216" s="52">
        <v>53333</v>
      </c>
      <c r="BL216" s="52">
        <v>52111</v>
      </c>
      <c r="BM216" s="52">
        <v>613243</v>
      </c>
      <c r="BN216" s="52">
        <v>140312</v>
      </c>
      <c r="BO216" s="52">
        <v>99063</v>
      </c>
      <c r="BP216" s="52">
        <v>81748</v>
      </c>
      <c r="BQ216" s="52">
        <v>1426570</v>
      </c>
      <c r="BR216" s="52">
        <v>236873</v>
      </c>
      <c r="BS216" s="52"/>
      <c r="BT216" s="52">
        <v>382654</v>
      </c>
      <c r="BU216" s="52">
        <v>930680</v>
      </c>
      <c r="BV216" s="52">
        <v>9447</v>
      </c>
      <c r="BW216" s="52">
        <v>500</v>
      </c>
      <c r="BX216" s="52">
        <v>115751</v>
      </c>
      <c r="BY216" s="52">
        <v>134170</v>
      </c>
      <c r="BZ216" s="52">
        <v>289635</v>
      </c>
      <c r="CA216" s="52"/>
      <c r="CB216" s="52">
        <v>133860</v>
      </c>
      <c r="CC216" s="52">
        <v>91605</v>
      </c>
      <c r="CD216" s="52">
        <v>596731</v>
      </c>
      <c r="CE216" s="52"/>
      <c r="CF216" s="52">
        <v>785495</v>
      </c>
      <c r="CG216" s="52">
        <v>2223658</v>
      </c>
      <c r="CH216" s="52">
        <v>2734594</v>
      </c>
      <c r="CI216" s="52">
        <v>57432</v>
      </c>
      <c r="CJ216" s="52">
        <v>248447</v>
      </c>
      <c r="CK216" s="52">
        <v>53220</v>
      </c>
      <c r="CL216" s="52">
        <v>35500</v>
      </c>
      <c r="CM216" s="52"/>
      <c r="CN216" s="52">
        <v>82409</v>
      </c>
      <c r="CO216" s="52">
        <v>92436</v>
      </c>
      <c r="CP216" s="52">
        <v>162713</v>
      </c>
      <c r="CQ216" s="52"/>
      <c r="CR216" s="52"/>
      <c r="CS216" s="52"/>
      <c r="CT216" s="52">
        <v>1204565</v>
      </c>
      <c r="CU216" s="52">
        <v>1355151</v>
      </c>
      <c r="CV216" s="52"/>
      <c r="CW216" s="52">
        <v>74814</v>
      </c>
      <c r="CX216" s="52">
        <v>555312</v>
      </c>
      <c r="CY216" s="52">
        <v>58517</v>
      </c>
      <c r="CZ216" s="52">
        <v>56448</v>
      </c>
      <c r="DA216" s="52">
        <v>299335</v>
      </c>
      <c r="DB216" s="52">
        <v>145578</v>
      </c>
      <c r="DC216" s="52">
        <v>64309</v>
      </c>
      <c r="DD216" s="52"/>
      <c r="DE216" s="52">
        <v>43344588</v>
      </c>
      <c r="DF216" s="52">
        <v>64309</v>
      </c>
      <c r="DG216" s="52">
        <v>43408897</v>
      </c>
      <c r="DH216" s="52"/>
    </row>
    <row r="217" spans="1:113" ht="15.95" customHeight="1">
      <c r="A217" s="150"/>
      <c r="C217" s="60" t="s">
        <v>416</v>
      </c>
      <c r="D217" s="61">
        <f>SUM(D182:D216)</f>
        <v>3628271</v>
      </c>
      <c r="E217" s="61">
        <f t="shared" ref="E217:BP217" si="6">SUM(E182:E216)</f>
        <v>22591047</v>
      </c>
      <c r="F217" s="61">
        <f t="shared" si="6"/>
        <v>3004318</v>
      </c>
      <c r="G217" s="61">
        <f t="shared" si="6"/>
        <v>0</v>
      </c>
      <c r="H217" s="61">
        <f t="shared" si="6"/>
        <v>4875036</v>
      </c>
      <c r="I217" s="61">
        <f t="shared" si="6"/>
        <v>3074753</v>
      </c>
      <c r="J217" s="61">
        <f t="shared" si="6"/>
        <v>2542156</v>
      </c>
      <c r="K217" s="61">
        <f t="shared" si="6"/>
        <v>2598938</v>
      </c>
      <c r="L217" s="61">
        <f t="shared" si="6"/>
        <v>11974293</v>
      </c>
      <c r="M217" s="61">
        <f t="shared" si="6"/>
        <v>0</v>
      </c>
      <c r="N217" s="61">
        <f t="shared" si="6"/>
        <v>86380</v>
      </c>
      <c r="O217" s="61">
        <f t="shared" si="6"/>
        <v>2392397</v>
      </c>
      <c r="P217" s="61">
        <f t="shared" si="6"/>
        <v>1951283</v>
      </c>
      <c r="Q217" s="61">
        <f t="shared" si="6"/>
        <v>1657631</v>
      </c>
      <c r="R217" s="61">
        <f t="shared" si="6"/>
        <v>1162577</v>
      </c>
      <c r="S217" s="61">
        <f t="shared" si="6"/>
        <v>2514099</v>
      </c>
      <c r="T217" s="61">
        <f t="shared" si="6"/>
        <v>12912</v>
      </c>
      <c r="U217" s="61">
        <f t="shared" si="6"/>
        <v>20512255</v>
      </c>
      <c r="V217" s="61">
        <f t="shared" si="6"/>
        <v>182481</v>
      </c>
      <c r="W217" s="61">
        <f t="shared" si="6"/>
        <v>24866432</v>
      </c>
      <c r="X217" s="61">
        <f t="shared" si="6"/>
        <v>2163572</v>
      </c>
      <c r="Y217" s="61">
        <f t="shared" si="6"/>
        <v>52514949</v>
      </c>
      <c r="Z217" s="61">
        <f t="shared" si="6"/>
        <v>9576799</v>
      </c>
      <c r="AA217" s="61">
        <f t="shared" si="6"/>
        <v>7598626</v>
      </c>
      <c r="AB217" s="61">
        <f t="shared" si="6"/>
        <v>8360835</v>
      </c>
      <c r="AC217" s="61">
        <f t="shared" si="6"/>
        <v>1853363</v>
      </c>
      <c r="AD217" s="61">
        <f t="shared" si="6"/>
        <v>5339019</v>
      </c>
      <c r="AE217" s="61">
        <f t="shared" si="6"/>
        <v>1176265</v>
      </c>
      <c r="AF217" s="61">
        <f t="shared" si="6"/>
        <v>10360</v>
      </c>
      <c r="AG217" s="61">
        <f t="shared" si="6"/>
        <v>9449011</v>
      </c>
      <c r="AH217" s="61">
        <f t="shared" si="6"/>
        <v>13977202</v>
      </c>
      <c r="AI217" s="61">
        <f t="shared" si="6"/>
        <v>0</v>
      </c>
      <c r="AJ217" s="61">
        <f t="shared" si="6"/>
        <v>1100460</v>
      </c>
      <c r="AK217" s="61">
        <f t="shared" si="6"/>
        <v>5286013</v>
      </c>
      <c r="AL217" s="61">
        <f t="shared" si="6"/>
        <v>1924563</v>
      </c>
      <c r="AM217" s="61">
        <f t="shared" si="6"/>
        <v>139914</v>
      </c>
      <c r="AN217" s="61">
        <f t="shared" si="6"/>
        <v>10313059</v>
      </c>
      <c r="AO217" s="61">
        <f t="shared" si="6"/>
        <v>3430635</v>
      </c>
      <c r="AP217" s="61">
        <f t="shared" si="6"/>
        <v>0</v>
      </c>
      <c r="AQ217" s="61">
        <f t="shared" si="6"/>
        <v>3713502</v>
      </c>
      <c r="AR217" s="61">
        <f t="shared" si="6"/>
        <v>5073637</v>
      </c>
      <c r="AS217" s="61">
        <f t="shared" si="6"/>
        <v>15855692</v>
      </c>
      <c r="AT217" s="61">
        <f t="shared" si="6"/>
        <v>1249002</v>
      </c>
      <c r="AU217" s="61">
        <f t="shared" si="6"/>
        <v>8091266</v>
      </c>
      <c r="AV217" s="61">
        <f t="shared" si="6"/>
        <v>1564610</v>
      </c>
      <c r="AW217" s="61">
        <f t="shared" si="6"/>
        <v>1508866</v>
      </c>
      <c r="AX217" s="61">
        <f t="shared" si="6"/>
        <v>11346574</v>
      </c>
      <c r="AY217" s="61">
        <f t="shared" si="6"/>
        <v>52900675</v>
      </c>
      <c r="AZ217" s="61">
        <f t="shared" si="6"/>
        <v>8612990</v>
      </c>
      <c r="BA217" s="61">
        <f t="shared" si="6"/>
        <v>1134998</v>
      </c>
      <c r="BB217" s="61">
        <f t="shared" si="6"/>
        <v>1071956</v>
      </c>
      <c r="BC217" s="61">
        <f t="shared" si="6"/>
        <v>0</v>
      </c>
      <c r="BD217" s="61">
        <f t="shared" si="6"/>
        <v>3323769</v>
      </c>
      <c r="BE217" s="61">
        <f t="shared" si="6"/>
        <v>2340572</v>
      </c>
      <c r="BF217" s="61">
        <f t="shared" si="6"/>
        <v>32308281</v>
      </c>
      <c r="BG217" s="61">
        <f t="shared" si="6"/>
        <v>4897127</v>
      </c>
      <c r="BH217" s="61">
        <f t="shared" si="6"/>
        <v>9061769</v>
      </c>
      <c r="BI217" s="61">
        <f t="shared" si="6"/>
        <v>12794376</v>
      </c>
      <c r="BJ217" s="61">
        <f t="shared" si="6"/>
        <v>5951073</v>
      </c>
      <c r="BK217" s="61">
        <f t="shared" si="6"/>
        <v>4724125</v>
      </c>
      <c r="BL217" s="61">
        <f t="shared" si="6"/>
        <v>4579687</v>
      </c>
      <c r="BM217" s="61">
        <f t="shared" si="6"/>
        <v>11183309</v>
      </c>
      <c r="BN217" s="61">
        <f t="shared" si="6"/>
        <v>7965294</v>
      </c>
      <c r="BO217" s="61">
        <f t="shared" si="6"/>
        <v>2602194</v>
      </c>
      <c r="BP217" s="61">
        <f t="shared" si="6"/>
        <v>4854189</v>
      </c>
      <c r="BQ217" s="61">
        <f t="shared" ref="BQ217:DG217" si="7">SUM(BQ182:BQ216)</f>
        <v>8592375</v>
      </c>
      <c r="BR217" s="61">
        <f t="shared" si="7"/>
        <v>1543550</v>
      </c>
      <c r="BS217" s="61">
        <f t="shared" si="7"/>
        <v>0</v>
      </c>
      <c r="BT217" s="61">
        <f t="shared" si="7"/>
        <v>4526664</v>
      </c>
      <c r="BU217" s="61">
        <f t="shared" si="7"/>
        <v>4119091</v>
      </c>
      <c r="BV217" s="61">
        <f t="shared" si="7"/>
        <v>1940989</v>
      </c>
      <c r="BW217" s="61">
        <f t="shared" si="7"/>
        <v>500</v>
      </c>
      <c r="BX217" s="61">
        <f t="shared" si="7"/>
        <v>7487773</v>
      </c>
      <c r="BY217" s="61">
        <f t="shared" si="7"/>
        <v>7019274</v>
      </c>
      <c r="BZ217" s="61">
        <f t="shared" si="7"/>
        <v>9605285</v>
      </c>
      <c r="CA217" s="61">
        <f t="shared" si="7"/>
        <v>0</v>
      </c>
      <c r="CB217" s="61">
        <f t="shared" si="7"/>
        <v>5076482</v>
      </c>
      <c r="CC217" s="61">
        <f t="shared" si="7"/>
        <v>4672184</v>
      </c>
      <c r="CD217" s="61">
        <f t="shared" si="7"/>
        <v>10022467</v>
      </c>
      <c r="CE217" s="61">
        <f t="shared" si="7"/>
        <v>0</v>
      </c>
      <c r="CF217" s="61">
        <f t="shared" si="7"/>
        <v>12247333</v>
      </c>
      <c r="CG217" s="61">
        <f t="shared" si="7"/>
        <v>34254207</v>
      </c>
      <c r="CH217" s="61">
        <f t="shared" si="7"/>
        <v>14487851</v>
      </c>
      <c r="CI217" s="61">
        <f t="shared" si="7"/>
        <v>2234386</v>
      </c>
      <c r="CJ217" s="61">
        <f t="shared" si="7"/>
        <v>3565798</v>
      </c>
      <c r="CK217" s="61">
        <f t="shared" si="7"/>
        <v>5936673</v>
      </c>
      <c r="CL217" s="61">
        <f t="shared" si="7"/>
        <v>2572299</v>
      </c>
      <c r="CM217" s="61">
        <f t="shared" si="7"/>
        <v>2009981</v>
      </c>
      <c r="CN217" s="61">
        <f t="shared" si="7"/>
        <v>4613850</v>
      </c>
      <c r="CO217" s="61">
        <f t="shared" si="7"/>
        <v>6417352</v>
      </c>
      <c r="CP217" s="61">
        <f t="shared" si="7"/>
        <v>10720224</v>
      </c>
      <c r="CQ217" s="61">
        <f t="shared" si="7"/>
        <v>866</v>
      </c>
      <c r="CR217" s="61">
        <f t="shared" si="7"/>
        <v>840</v>
      </c>
      <c r="CS217" s="61">
        <f t="shared" si="7"/>
        <v>0</v>
      </c>
      <c r="CT217" s="61">
        <f t="shared" si="7"/>
        <v>12357905</v>
      </c>
      <c r="CU217" s="61">
        <f t="shared" si="7"/>
        <v>11752681</v>
      </c>
      <c r="CV217" s="61">
        <f t="shared" si="7"/>
        <v>0</v>
      </c>
      <c r="CW217" s="61">
        <f t="shared" si="7"/>
        <v>4988128</v>
      </c>
      <c r="CX217" s="61">
        <f t="shared" si="7"/>
        <v>11072757</v>
      </c>
      <c r="CY217" s="61">
        <f t="shared" si="7"/>
        <v>4815866</v>
      </c>
      <c r="CZ217" s="61">
        <f t="shared" si="7"/>
        <v>2786577</v>
      </c>
      <c r="DA217" s="61">
        <f t="shared" si="7"/>
        <v>11167921</v>
      </c>
      <c r="DB217" s="61">
        <f t="shared" si="7"/>
        <v>3025378</v>
      </c>
      <c r="DC217" s="61">
        <f t="shared" si="7"/>
        <v>2385970</v>
      </c>
      <c r="DD217" s="61">
        <f t="shared" si="7"/>
        <v>1212181</v>
      </c>
      <c r="DE217" s="61">
        <f t="shared" si="7"/>
        <v>688186944</v>
      </c>
      <c r="DF217" s="61">
        <f t="shared" si="7"/>
        <v>3598151</v>
      </c>
      <c r="DG217" s="61">
        <f t="shared" si="7"/>
        <v>691785095</v>
      </c>
      <c r="DH217" s="52"/>
    </row>
    <row r="218" spans="1:113">
      <c r="A218" s="150"/>
      <c r="D218" s="52"/>
      <c r="E218" s="52"/>
      <c r="F218" s="52"/>
      <c r="G218" s="52"/>
      <c r="H218" s="56"/>
      <c r="I218" s="56"/>
      <c r="J218" s="56"/>
      <c r="K218" s="56"/>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row>
    <row r="219" spans="1:113">
      <c r="A219" s="150"/>
      <c r="D219" s="52"/>
      <c r="E219" s="52"/>
      <c r="F219" s="52"/>
      <c r="G219" s="52"/>
      <c r="H219" s="56"/>
      <c r="I219" s="56"/>
      <c r="J219" s="56"/>
      <c r="K219" s="56"/>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row>
    <row r="220" spans="1:113">
      <c r="A220" s="150"/>
      <c r="B220" s="55"/>
      <c r="D220" s="52"/>
      <c r="E220" s="52"/>
      <c r="F220" s="52"/>
      <c r="G220" s="52"/>
      <c r="H220" s="56"/>
      <c r="I220" s="56"/>
      <c r="J220" s="56"/>
      <c r="K220" s="56"/>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row>
    <row r="221" spans="1:113" ht="15">
      <c r="A221" s="150"/>
      <c r="C221" s="60" t="s">
        <v>417</v>
      </c>
      <c r="D221" s="61">
        <f t="shared" ref="D221:AI221" si="8">D220</f>
        <v>0</v>
      </c>
      <c r="E221" s="61">
        <f t="shared" si="8"/>
        <v>0</v>
      </c>
      <c r="F221" s="61">
        <f t="shared" si="8"/>
        <v>0</v>
      </c>
      <c r="G221" s="61">
        <f t="shared" si="8"/>
        <v>0</v>
      </c>
      <c r="H221" s="61">
        <f t="shared" si="8"/>
        <v>0</v>
      </c>
      <c r="I221" s="61">
        <f t="shared" si="8"/>
        <v>0</v>
      </c>
      <c r="J221" s="61">
        <f t="shared" si="8"/>
        <v>0</v>
      </c>
      <c r="K221" s="61">
        <f t="shared" si="8"/>
        <v>0</v>
      </c>
      <c r="L221" s="61">
        <f t="shared" si="8"/>
        <v>0</v>
      </c>
      <c r="M221" s="61">
        <f t="shared" si="8"/>
        <v>0</v>
      </c>
      <c r="N221" s="61">
        <f t="shared" si="8"/>
        <v>0</v>
      </c>
      <c r="O221" s="61">
        <f t="shared" si="8"/>
        <v>0</v>
      </c>
      <c r="P221" s="61">
        <f t="shared" si="8"/>
        <v>0</v>
      </c>
      <c r="Q221" s="61">
        <f t="shared" si="8"/>
        <v>0</v>
      </c>
      <c r="R221" s="61">
        <f t="shared" si="8"/>
        <v>0</v>
      </c>
      <c r="S221" s="61">
        <f t="shared" si="8"/>
        <v>0</v>
      </c>
      <c r="T221" s="61">
        <f t="shared" si="8"/>
        <v>0</v>
      </c>
      <c r="U221" s="61">
        <f t="shared" si="8"/>
        <v>0</v>
      </c>
      <c r="V221" s="61">
        <f t="shared" si="8"/>
        <v>0</v>
      </c>
      <c r="W221" s="61">
        <f t="shared" si="8"/>
        <v>0</v>
      </c>
      <c r="X221" s="61">
        <f t="shared" si="8"/>
        <v>0</v>
      </c>
      <c r="Y221" s="61">
        <f t="shared" si="8"/>
        <v>0</v>
      </c>
      <c r="Z221" s="61">
        <f t="shared" si="8"/>
        <v>0</v>
      </c>
      <c r="AA221" s="61">
        <f t="shared" si="8"/>
        <v>0</v>
      </c>
      <c r="AB221" s="61">
        <f t="shared" si="8"/>
        <v>0</v>
      </c>
      <c r="AC221" s="61">
        <f t="shared" si="8"/>
        <v>0</v>
      </c>
      <c r="AD221" s="61">
        <f t="shared" si="8"/>
        <v>0</v>
      </c>
      <c r="AE221" s="61">
        <f t="shared" si="8"/>
        <v>0</v>
      </c>
      <c r="AF221" s="61">
        <f t="shared" si="8"/>
        <v>0</v>
      </c>
      <c r="AG221" s="61">
        <f t="shared" si="8"/>
        <v>0</v>
      </c>
      <c r="AH221" s="61">
        <f t="shared" si="8"/>
        <v>0</v>
      </c>
      <c r="AI221" s="61">
        <f t="shared" si="8"/>
        <v>0</v>
      </c>
      <c r="AJ221" s="61">
        <f t="shared" ref="AJ221:BO221" si="9">AJ220</f>
        <v>0</v>
      </c>
      <c r="AK221" s="61">
        <f t="shared" si="9"/>
        <v>0</v>
      </c>
      <c r="AL221" s="61">
        <f t="shared" si="9"/>
        <v>0</v>
      </c>
      <c r="AM221" s="61">
        <f t="shared" si="9"/>
        <v>0</v>
      </c>
      <c r="AN221" s="61">
        <f t="shared" si="9"/>
        <v>0</v>
      </c>
      <c r="AO221" s="61">
        <f t="shared" si="9"/>
        <v>0</v>
      </c>
      <c r="AP221" s="61">
        <f t="shared" si="9"/>
        <v>0</v>
      </c>
      <c r="AQ221" s="61">
        <f t="shared" si="9"/>
        <v>0</v>
      </c>
      <c r="AR221" s="61">
        <f t="shared" si="9"/>
        <v>0</v>
      </c>
      <c r="AS221" s="61">
        <f t="shared" si="9"/>
        <v>0</v>
      </c>
      <c r="AT221" s="61">
        <f t="shared" si="9"/>
        <v>0</v>
      </c>
      <c r="AU221" s="61">
        <f t="shared" si="9"/>
        <v>0</v>
      </c>
      <c r="AV221" s="61">
        <f t="shared" si="9"/>
        <v>0</v>
      </c>
      <c r="AW221" s="61">
        <f t="shared" si="9"/>
        <v>0</v>
      </c>
      <c r="AX221" s="61">
        <f t="shared" si="9"/>
        <v>0</v>
      </c>
      <c r="AY221" s="61">
        <f t="shared" si="9"/>
        <v>0</v>
      </c>
      <c r="AZ221" s="61">
        <f t="shared" si="9"/>
        <v>0</v>
      </c>
      <c r="BA221" s="61">
        <f t="shared" si="9"/>
        <v>0</v>
      </c>
      <c r="BB221" s="61">
        <f t="shared" si="9"/>
        <v>0</v>
      </c>
      <c r="BC221" s="61">
        <f t="shared" si="9"/>
        <v>0</v>
      </c>
      <c r="BD221" s="61">
        <f t="shared" si="9"/>
        <v>0</v>
      </c>
      <c r="BE221" s="61">
        <f t="shared" si="9"/>
        <v>0</v>
      </c>
      <c r="BF221" s="61">
        <f t="shared" si="9"/>
        <v>0</v>
      </c>
      <c r="BG221" s="61">
        <f t="shared" si="9"/>
        <v>0</v>
      </c>
      <c r="BH221" s="61">
        <f t="shared" si="9"/>
        <v>0</v>
      </c>
      <c r="BI221" s="61">
        <f t="shared" si="9"/>
        <v>0</v>
      </c>
      <c r="BJ221" s="61">
        <f t="shared" si="9"/>
        <v>0</v>
      </c>
      <c r="BK221" s="61">
        <f t="shared" si="9"/>
        <v>0</v>
      </c>
      <c r="BL221" s="61">
        <f t="shared" si="9"/>
        <v>0</v>
      </c>
      <c r="BM221" s="61">
        <f t="shared" si="9"/>
        <v>0</v>
      </c>
      <c r="BN221" s="61">
        <f t="shared" si="9"/>
        <v>0</v>
      </c>
      <c r="BO221" s="61">
        <f t="shared" si="9"/>
        <v>0</v>
      </c>
      <c r="BP221" s="61">
        <f t="shared" ref="BP221:CU221" si="10">BP220</f>
        <v>0</v>
      </c>
      <c r="BQ221" s="61">
        <f t="shared" si="10"/>
        <v>0</v>
      </c>
      <c r="BR221" s="61">
        <f t="shared" si="10"/>
        <v>0</v>
      </c>
      <c r="BS221" s="61">
        <f t="shared" si="10"/>
        <v>0</v>
      </c>
      <c r="BT221" s="61">
        <f t="shared" si="10"/>
        <v>0</v>
      </c>
      <c r="BU221" s="61">
        <f t="shared" si="10"/>
        <v>0</v>
      </c>
      <c r="BV221" s="61">
        <f t="shared" si="10"/>
        <v>0</v>
      </c>
      <c r="BW221" s="61">
        <f t="shared" si="10"/>
        <v>0</v>
      </c>
      <c r="BX221" s="61">
        <f t="shared" si="10"/>
        <v>0</v>
      </c>
      <c r="BY221" s="61">
        <f t="shared" si="10"/>
        <v>0</v>
      </c>
      <c r="BZ221" s="61">
        <f t="shared" si="10"/>
        <v>0</v>
      </c>
      <c r="CA221" s="61">
        <f t="shared" si="10"/>
        <v>0</v>
      </c>
      <c r="CB221" s="61">
        <f t="shared" si="10"/>
        <v>0</v>
      </c>
      <c r="CC221" s="61">
        <f t="shared" si="10"/>
        <v>0</v>
      </c>
      <c r="CD221" s="61">
        <f t="shared" si="10"/>
        <v>0</v>
      </c>
      <c r="CE221" s="61">
        <f t="shared" si="10"/>
        <v>0</v>
      </c>
      <c r="CF221" s="61">
        <f t="shared" si="10"/>
        <v>0</v>
      </c>
      <c r="CG221" s="61">
        <f t="shared" si="10"/>
        <v>0</v>
      </c>
      <c r="CH221" s="61">
        <f t="shared" si="10"/>
        <v>0</v>
      </c>
      <c r="CI221" s="61">
        <f t="shared" si="10"/>
        <v>0</v>
      </c>
      <c r="CJ221" s="61">
        <f t="shared" si="10"/>
        <v>0</v>
      </c>
      <c r="CK221" s="61">
        <f t="shared" si="10"/>
        <v>0</v>
      </c>
      <c r="CL221" s="61">
        <f t="shared" si="10"/>
        <v>0</v>
      </c>
      <c r="CM221" s="61">
        <f t="shared" si="10"/>
        <v>0</v>
      </c>
      <c r="CN221" s="61">
        <f t="shared" si="10"/>
        <v>0</v>
      </c>
      <c r="CO221" s="61">
        <f t="shared" si="10"/>
        <v>0</v>
      </c>
      <c r="CP221" s="61">
        <f t="shared" si="10"/>
        <v>0</v>
      </c>
      <c r="CQ221" s="61">
        <f t="shared" si="10"/>
        <v>0</v>
      </c>
      <c r="CR221" s="61">
        <f t="shared" si="10"/>
        <v>0</v>
      </c>
      <c r="CS221" s="61">
        <f t="shared" si="10"/>
        <v>0</v>
      </c>
      <c r="CT221" s="61">
        <f t="shared" si="10"/>
        <v>0</v>
      </c>
      <c r="CU221" s="61">
        <f t="shared" si="10"/>
        <v>0</v>
      </c>
      <c r="CV221" s="61">
        <f t="shared" ref="CV221:DG221" si="11">CV220</f>
        <v>0</v>
      </c>
      <c r="CW221" s="61">
        <f t="shared" si="11"/>
        <v>0</v>
      </c>
      <c r="CX221" s="61">
        <f t="shared" si="11"/>
        <v>0</v>
      </c>
      <c r="CY221" s="61">
        <f t="shared" si="11"/>
        <v>0</v>
      </c>
      <c r="CZ221" s="61">
        <f t="shared" si="11"/>
        <v>0</v>
      </c>
      <c r="DA221" s="61">
        <f t="shared" si="11"/>
        <v>0</v>
      </c>
      <c r="DB221" s="61">
        <f t="shared" si="11"/>
        <v>0</v>
      </c>
      <c r="DC221" s="61">
        <f t="shared" si="11"/>
        <v>0</v>
      </c>
      <c r="DD221" s="61">
        <f t="shared" si="11"/>
        <v>0</v>
      </c>
      <c r="DE221" s="61">
        <f t="shared" si="11"/>
        <v>0</v>
      </c>
      <c r="DF221" s="61">
        <f t="shared" si="11"/>
        <v>0</v>
      </c>
      <c r="DG221" s="61">
        <f t="shared" si="11"/>
        <v>0</v>
      </c>
      <c r="DH221" s="52"/>
    </row>
    <row r="222" spans="1:113">
      <c r="A222" s="150"/>
      <c r="D222" s="52"/>
      <c r="E222" s="52"/>
      <c r="F222" s="52"/>
      <c r="G222" s="52"/>
      <c r="H222" s="56"/>
      <c r="I222" s="56"/>
      <c r="J222" s="56"/>
      <c r="K222" s="56"/>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row>
    <row r="223" spans="1:113" ht="15.95" customHeight="1">
      <c r="A223" s="150"/>
      <c r="C223" s="60" t="s">
        <v>30</v>
      </c>
      <c r="D223" s="61">
        <f t="shared" ref="D223:AI223" si="12">D15+D54+D179+D217+D221</f>
        <v>32291520</v>
      </c>
      <c r="E223" s="61">
        <f t="shared" si="12"/>
        <v>200878279</v>
      </c>
      <c r="F223" s="61">
        <f t="shared" si="12"/>
        <v>19213370</v>
      </c>
      <c r="G223" s="61">
        <f t="shared" si="12"/>
        <v>1309268</v>
      </c>
      <c r="H223" s="61">
        <f t="shared" si="12"/>
        <v>67213808</v>
      </c>
      <c r="I223" s="61">
        <f t="shared" si="12"/>
        <v>31747497</v>
      </c>
      <c r="J223" s="61">
        <f t="shared" si="12"/>
        <v>22691186</v>
      </c>
      <c r="K223" s="61">
        <f t="shared" si="12"/>
        <v>30280628</v>
      </c>
      <c r="L223" s="61">
        <f t="shared" si="12"/>
        <v>110661224</v>
      </c>
      <c r="M223" s="61">
        <f t="shared" si="12"/>
        <v>1725463</v>
      </c>
      <c r="N223" s="61">
        <f t="shared" si="12"/>
        <v>4910792</v>
      </c>
      <c r="O223" s="61">
        <f t="shared" si="12"/>
        <v>15228171</v>
      </c>
      <c r="P223" s="61">
        <f t="shared" si="12"/>
        <v>11276687</v>
      </c>
      <c r="Q223" s="61">
        <f t="shared" si="12"/>
        <v>9199990</v>
      </c>
      <c r="R223" s="61">
        <f t="shared" si="12"/>
        <v>9071091</v>
      </c>
      <c r="S223" s="61">
        <f t="shared" si="12"/>
        <v>23064921</v>
      </c>
      <c r="T223" s="61">
        <f t="shared" si="12"/>
        <v>1621112</v>
      </c>
      <c r="U223" s="61">
        <f t="shared" si="12"/>
        <v>215336806</v>
      </c>
      <c r="V223" s="61">
        <f t="shared" si="12"/>
        <v>4195787</v>
      </c>
      <c r="W223" s="61">
        <f t="shared" si="12"/>
        <v>260922163</v>
      </c>
      <c r="X223" s="61">
        <f t="shared" si="12"/>
        <v>20668277</v>
      </c>
      <c r="Y223" s="61">
        <f t="shared" si="12"/>
        <v>479581678</v>
      </c>
      <c r="Z223" s="61">
        <f t="shared" si="12"/>
        <v>87728592</v>
      </c>
      <c r="AA223" s="61">
        <f t="shared" si="12"/>
        <v>59599510</v>
      </c>
      <c r="AB223" s="61">
        <f t="shared" si="12"/>
        <v>68660400</v>
      </c>
      <c r="AC223" s="61">
        <f t="shared" si="12"/>
        <v>12142199</v>
      </c>
      <c r="AD223" s="61">
        <f t="shared" si="12"/>
        <v>28442699</v>
      </c>
      <c r="AE223" s="61">
        <f t="shared" si="12"/>
        <v>10593038</v>
      </c>
      <c r="AF223" s="61">
        <f t="shared" si="12"/>
        <v>1240068</v>
      </c>
      <c r="AG223" s="61">
        <f t="shared" si="12"/>
        <v>62147970</v>
      </c>
      <c r="AH223" s="61">
        <f t="shared" si="12"/>
        <v>113188760</v>
      </c>
      <c r="AI223" s="61">
        <f t="shared" si="12"/>
        <v>4250554</v>
      </c>
      <c r="AJ223" s="61">
        <f t="shared" ref="AJ223:BO223" si="13">AJ15+AJ54+AJ179+AJ217+AJ221</f>
        <v>7868292</v>
      </c>
      <c r="AK223" s="61">
        <f t="shared" si="13"/>
        <v>28942493</v>
      </c>
      <c r="AL223" s="61">
        <f t="shared" si="13"/>
        <v>12743479</v>
      </c>
      <c r="AM223" s="61">
        <f t="shared" si="13"/>
        <v>1732517</v>
      </c>
      <c r="AN223" s="61">
        <f t="shared" si="13"/>
        <v>161784689</v>
      </c>
      <c r="AO223" s="61">
        <f t="shared" si="13"/>
        <v>26503654</v>
      </c>
      <c r="AP223" s="61">
        <f t="shared" si="13"/>
        <v>3250600</v>
      </c>
      <c r="AQ223" s="61">
        <f t="shared" si="13"/>
        <v>36982239</v>
      </c>
      <c r="AR223" s="61">
        <f t="shared" si="13"/>
        <v>44386028</v>
      </c>
      <c r="AS223" s="61">
        <f t="shared" si="13"/>
        <v>140143720</v>
      </c>
      <c r="AT223" s="61">
        <f t="shared" si="13"/>
        <v>11231757</v>
      </c>
      <c r="AU223" s="61">
        <f t="shared" si="13"/>
        <v>35859228</v>
      </c>
      <c r="AV223" s="61">
        <f t="shared" si="13"/>
        <v>11428864</v>
      </c>
      <c r="AW223" s="61">
        <f t="shared" si="13"/>
        <v>15210839</v>
      </c>
      <c r="AX223" s="61">
        <f t="shared" si="13"/>
        <v>108903004</v>
      </c>
      <c r="AY223" s="61">
        <f t="shared" si="13"/>
        <v>621413380</v>
      </c>
      <c r="AZ223" s="61">
        <f t="shared" si="13"/>
        <v>91265608</v>
      </c>
      <c r="BA223" s="61">
        <f t="shared" si="13"/>
        <v>10731522</v>
      </c>
      <c r="BB223" s="61">
        <f t="shared" si="13"/>
        <v>14718914</v>
      </c>
      <c r="BC223" s="61">
        <f t="shared" si="13"/>
        <v>2472820</v>
      </c>
      <c r="BD223" s="61">
        <f t="shared" si="13"/>
        <v>23955445</v>
      </c>
      <c r="BE223" s="61">
        <f t="shared" si="13"/>
        <v>14477794</v>
      </c>
      <c r="BF223" s="61">
        <f t="shared" si="13"/>
        <v>380864304</v>
      </c>
      <c r="BG223" s="61">
        <f t="shared" si="13"/>
        <v>34439957</v>
      </c>
      <c r="BH223" s="61">
        <f t="shared" si="13"/>
        <v>95160066</v>
      </c>
      <c r="BI223" s="61">
        <f t="shared" si="13"/>
        <v>102778561</v>
      </c>
      <c r="BJ223" s="61">
        <f t="shared" si="13"/>
        <v>49230571</v>
      </c>
      <c r="BK223" s="61">
        <f t="shared" si="13"/>
        <v>30938083</v>
      </c>
      <c r="BL223" s="61">
        <f t="shared" si="13"/>
        <v>28226075</v>
      </c>
      <c r="BM223" s="61">
        <f t="shared" si="13"/>
        <v>207992708</v>
      </c>
      <c r="BN223" s="61">
        <f t="shared" si="13"/>
        <v>84945899</v>
      </c>
      <c r="BO223" s="61">
        <f t="shared" si="13"/>
        <v>24246915</v>
      </c>
      <c r="BP223" s="61">
        <f t="shared" ref="BP223:CU223" si="14">BP15+BP54+BP179+BP217+BP221</f>
        <v>32456731</v>
      </c>
      <c r="BQ223" s="61">
        <f t="shared" si="14"/>
        <v>174314604</v>
      </c>
      <c r="BR223" s="61">
        <f t="shared" si="14"/>
        <v>11525195</v>
      </c>
      <c r="BS223" s="61">
        <f t="shared" si="14"/>
        <v>2120195</v>
      </c>
      <c r="BT223" s="61">
        <f t="shared" si="14"/>
        <v>25267926</v>
      </c>
      <c r="BU223" s="61">
        <f t="shared" si="14"/>
        <v>18957968</v>
      </c>
      <c r="BV223" s="61">
        <f t="shared" si="14"/>
        <v>10085691</v>
      </c>
      <c r="BW223" s="61">
        <f t="shared" si="14"/>
        <v>2052872</v>
      </c>
      <c r="BX223" s="61">
        <f t="shared" si="14"/>
        <v>44422075</v>
      </c>
      <c r="BY223" s="61">
        <f t="shared" si="14"/>
        <v>66309712</v>
      </c>
      <c r="BZ223" s="61">
        <f t="shared" si="14"/>
        <v>114268946</v>
      </c>
      <c r="CA223" s="61">
        <f t="shared" si="14"/>
        <v>0</v>
      </c>
      <c r="CB223" s="61">
        <f t="shared" si="14"/>
        <v>38026467</v>
      </c>
      <c r="CC223" s="61">
        <f t="shared" si="14"/>
        <v>39977926</v>
      </c>
      <c r="CD223" s="61">
        <f t="shared" si="14"/>
        <v>78363807</v>
      </c>
      <c r="CE223" s="61">
        <f t="shared" si="14"/>
        <v>810709</v>
      </c>
      <c r="CF223" s="61">
        <f t="shared" si="14"/>
        <v>140981934</v>
      </c>
      <c r="CG223" s="61">
        <f t="shared" si="14"/>
        <v>325325125</v>
      </c>
      <c r="CH223" s="61">
        <f t="shared" si="14"/>
        <v>228663814</v>
      </c>
      <c r="CI223" s="61">
        <f t="shared" si="14"/>
        <v>19608115</v>
      </c>
      <c r="CJ223" s="61">
        <f t="shared" si="14"/>
        <v>45931749</v>
      </c>
      <c r="CK223" s="61">
        <f t="shared" si="14"/>
        <v>73927277</v>
      </c>
      <c r="CL223" s="61">
        <f t="shared" si="14"/>
        <v>31503687</v>
      </c>
      <c r="CM223" s="61">
        <f t="shared" si="14"/>
        <v>25781633</v>
      </c>
      <c r="CN223" s="61">
        <f t="shared" si="14"/>
        <v>74289893</v>
      </c>
      <c r="CO223" s="61">
        <f t="shared" si="14"/>
        <v>90951560</v>
      </c>
      <c r="CP223" s="61">
        <f t="shared" si="14"/>
        <v>94479518</v>
      </c>
      <c r="CQ223" s="61">
        <f t="shared" si="14"/>
        <v>2236843</v>
      </c>
      <c r="CR223" s="61">
        <f t="shared" si="14"/>
        <v>3043781</v>
      </c>
      <c r="CS223" s="61">
        <f t="shared" si="14"/>
        <v>2848589</v>
      </c>
      <c r="CT223" s="61">
        <f t="shared" si="14"/>
        <v>78390148</v>
      </c>
      <c r="CU223" s="61">
        <f t="shared" si="14"/>
        <v>75095844</v>
      </c>
      <c r="CV223" s="61">
        <f t="shared" ref="CV223:DG223" si="15">CV15+CV54+CV179+CV217+CV221</f>
        <v>0</v>
      </c>
      <c r="CW223" s="61">
        <f t="shared" si="15"/>
        <v>40622302</v>
      </c>
      <c r="CX223" s="61">
        <f t="shared" si="15"/>
        <v>53179762</v>
      </c>
      <c r="CY223" s="61">
        <f t="shared" si="15"/>
        <v>46281508</v>
      </c>
      <c r="CZ223" s="61">
        <f t="shared" si="15"/>
        <v>66279831</v>
      </c>
      <c r="DA223" s="61">
        <f t="shared" si="15"/>
        <v>159019244</v>
      </c>
      <c r="DB223" s="61">
        <f t="shared" si="15"/>
        <v>83084307</v>
      </c>
      <c r="DC223" s="61">
        <f t="shared" si="15"/>
        <v>10727298</v>
      </c>
      <c r="DD223" s="61">
        <f t="shared" si="15"/>
        <v>8966180</v>
      </c>
      <c r="DE223" s="61">
        <f t="shared" si="15"/>
        <v>6906400821</v>
      </c>
      <c r="DF223" s="61">
        <f t="shared" si="15"/>
        <v>19693478</v>
      </c>
      <c r="DG223" s="61">
        <f t="shared" si="15"/>
        <v>6926094299</v>
      </c>
      <c r="DH223" s="52"/>
      <c r="DI223" s="52"/>
    </row>
    <row r="224" spans="1:113">
      <c r="A224" s="150"/>
      <c r="D224" s="52"/>
      <c r="E224" s="52"/>
      <c r="F224" s="52"/>
      <c r="G224" s="52"/>
      <c r="H224" s="56"/>
      <c r="I224" s="56"/>
      <c r="J224" s="56"/>
      <c r="K224" s="56"/>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row>
    <row r="225" spans="1:115" ht="15" customHeight="1">
      <c r="A225" s="150"/>
      <c r="C225" s="62" t="s">
        <v>727</v>
      </c>
      <c r="D225" s="298">
        <v>3482.84</v>
      </c>
      <c r="E225" s="298">
        <v>24196.74</v>
      </c>
      <c r="F225" s="298">
        <v>1552.8</v>
      </c>
      <c r="G225" s="300"/>
      <c r="H225" s="299">
        <v>8705.7800000000007</v>
      </c>
      <c r="I225" s="299">
        <v>3643.83</v>
      </c>
      <c r="J225" s="299">
        <v>2543.6799999999998</v>
      </c>
      <c r="K225" s="299">
        <v>2770.02</v>
      </c>
      <c r="L225" s="298">
        <v>11886.08</v>
      </c>
      <c r="M225" s="300"/>
      <c r="N225" s="300"/>
      <c r="O225" s="298">
        <v>1584.5</v>
      </c>
      <c r="P225" s="298">
        <v>899.12</v>
      </c>
      <c r="Q225" s="298">
        <v>839.63</v>
      </c>
      <c r="R225" s="298">
        <v>949.68</v>
      </c>
      <c r="S225" s="298">
        <v>2543.94</v>
      </c>
      <c r="T225" s="300"/>
      <c r="U225" s="298">
        <v>18482.5</v>
      </c>
      <c r="V225" s="300"/>
      <c r="W225" s="298">
        <v>27128.7</v>
      </c>
      <c r="X225" s="298">
        <v>1659.06</v>
      </c>
      <c r="Y225" s="298">
        <v>40554.75</v>
      </c>
      <c r="Z225" s="298">
        <v>8893.99</v>
      </c>
      <c r="AA225" s="298">
        <v>5756.59</v>
      </c>
      <c r="AB225" s="298">
        <v>7804.94</v>
      </c>
      <c r="AC225" s="298">
        <v>956.24</v>
      </c>
      <c r="AD225" s="298">
        <v>3131.59</v>
      </c>
      <c r="AE225" s="298">
        <v>1238.44</v>
      </c>
      <c r="AF225" s="300"/>
      <c r="AG225" s="298">
        <v>6123.59</v>
      </c>
      <c r="AH225" s="298">
        <v>10956.69</v>
      </c>
      <c r="AI225" s="300"/>
      <c r="AJ225" s="298">
        <v>808.89</v>
      </c>
      <c r="AK225" s="298">
        <v>3431.03</v>
      </c>
      <c r="AL225" s="298">
        <v>1541.45</v>
      </c>
      <c r="AM225" s="300"/>
      <c r="AN225" s="298">
        <v>19832.87</v>
      </c>
      <c r="AO225" s="298">
        <v>2172.2399999999998</v>
      </c>
      <c r="AP225" s="300"/>
      <c r="AQ225" s="298">
        <v>3992.93</v>
      </c>
      <c r="AR225" s="298">
        <v>3272.89</v>
      </c>
      <c r="AS225" s="298">
        <v>14908.1</v>
      </c>
      <c r="AT225" s="298">
        <v>1173.01</v>
      </c>
      <c r="AU225" s="298">
        <v>3625.59</v>
      </c>
      <c r="AV225" s="298">
        <v>972.85</v>
      </c>
      <c r="AW225" s="298">
        <v>1441.36</v>
      </c>
      <c r="AX225" s="298">
        <v>9951.08</v>
      </c>
      <c r="AY225" s="298">
        <v>66237.8</v>
      </c>
      <c r="AZ225" s="298">
        <v>9055.99</v>
      </c>
      <c r="BA225" s="298">
        <v>1093.51</v>
      </c>
      <c r="BB225" s="298">
        <v>1625.64</v>
      </c>
      <c r="BC225" s="300"/>
      <c r="BD225" s="298">
        <v>2647.55</v>
      </c>
      <c r="BE225" s="298">
        <v>1270.4000000000001</v>
      </c>
      <c r="BF225" s="298">
        <v>34747.379999999997</v>
      </c>
      <c r="BG225" s="298">
        <v>3009.59</v>
      </c>
      <c r="BH225" s="298">
        <v>10128.11</v>
      </c>
      <c r="BI225" s="298">
        <v>11168.59</v>
      </c>
      <c r="BJ225" s="298">
        <v>5608.77</v>
      </c>
      <c r="BK225" s="298">
        <v>3106.83</v>
      </c>
      <c r="BL225" s="298">
        <v>2534.4</v>
      </c>
      <c r="BM225" s="298">
        <v>19704.75</v>
      </c>
      <c r="BN225" s="298">
        <v>8661.15</v>
      </c>
      <c r="BO225" s="298">
        <v>2062.25</v>
      </c>
      <c r="BP225" s="298">
        <v>3404.57</v>
      </c>
      <c r="BQ225" s="298">
        <v>16566.599999999999</v>
      </c>
      <c r="BR225" s="298">
        <v>888.3</v>
      </c>
      <c r="BS225" s="300"/>
      <c r="BT225" s="298">
        <v>2896.67</v>
      </c>
      <c r="BU225" s="298">
        <v>1962.02</v>
      </c>
      <c r="BV225" s="298">
        <v>791.81</v>
      </c>
      <c r="BW225" s="300"/>
      <c r="BX225" s="298">
        <v>4660.55</v>
      </c>
      <c r="BY225" s="298">
        <v>5730.92</v>
      </c>
      <c r="BZ225" s="298">
        <v>10387.25</v>
      </c>
      <c r="CA225" s="300"/>
      <c r="CB225" s="298">
        <v>3158.01</v>
      </c>
      <c r="CC225" s="298">
        <v>4055.34</v>
      </c>
      <c r="CD225" s="298">
        <v>6735.05</v>
      </c>
      <c r="CE225" s="300"/>
      <c r="CF225" s="298">
        <v>16105.73</v>
      </c>
      <c r="CG225" s="298">
        <v>23656.99</v>
      </c>
      <c r="CH225" s="298">
        <v>22023</v>
      </c>
      <c r="CI225" s="298">
        <v>2117.84</v>
      </c>
      <c r="CJ225" s="298">
        <v>4766.21</v>
      </c>
      <c r="CK225" s="298">
        <v>9218.56</v>
      </c>
      <c r="CL225" s="298">
        <v>2993.69</v>
      </c>
      <c r="CM225" s="298">
        <v>2867.07</v>
      </c>
      <c r="CN225" s="298">
        <v>6806.1</v>
      </c>
      <c r="CO225" s="298">
        <v>9725.39</v>
      </c>
      <c r="CP225" s="298">
        <v>7376.81</v>
      </c>
      <c r="CQ225" s="300"/>
      <c r="CR225" s="300"/>
      <c r="CS225" s="300"/>
      <c r="CT225" s="298">
        <v>8656.0499999999993</v>
      </c>
      <c r="CU225" s="298">
        <v>8546.19</v>
      </c>
      <c r="CV225" s="300"/>
      <c r="CW225" s="298">
        <v>4615.78</v>
      </c>
      <c r="CX225" s="298">
        <v>5349.17</v>
      </c>
      <c r="CY225" s="298">
        <v>4976.75</v>
      </c>
      <c r="CZ225" s="298">
        <v>5655.02</v>
      </c>
      <c r="DA225" s="298">
        <v>16657.669999999998</v>
      </c>
      <c r="DB225" s="298">
        <v>7861.19</v>
      </c>
      <c r="DC225" s="298">
        <v>1169.8900000000001</v>
      </c>
      <c r="DD225" s="298">
        <v>822.78</v>
      </c>
      <c r="DE225" s="298"/>
      <c r="DF225" s="298"/>
      <c r="DG225" s="298"/>
      <c r="DH225" s="297"/>
      <c r="DI225" s="298"/>
      <c r="DJ225" s="62"/>
      <c r="DK225" s="62"/>
    </row>
    <row r="226" spans="1:115" ht="15" customHeight="1">
      <c r="A226" s="150"/>
      <c r="C226" s="62" t="s">
        <v>728</v>
      </c>
      <c r="D226" s="63">
        <f>D223/D225</f>
        <v>9271.6059307921114</v>
      </c>
      <c r="E226" s="63">
        <f t="shared" ref="E226:BP226" si="16">E223/E225</f>
        <v>8301.873682157182</v>
      </c>
      <c r="F226" s="63">
        <f t="shared" si="16"/>
        <v>12373.370685213808</v>
      </c>
      <c r="G226" s="301"/>
      <c r="H226" s="63">
        <f t="shared" si="16"/>
        <v>7720.5957421391304</v>
      </c>
      <c r="I226" s="63">
        <f t="shared" si="16"/>
        <v>8712.672380434873</v>
      </c>
      <c r="J226" s="63">
        <f t="shared" si="16"/>
        <v>8920.6134419423834</v>
      </c>
      <c r="K226" s="63">
        <f t="shared" si="16"/>
        <v>10931.555728839503</v>
      </c>
      <c r="L226" s="63">
        <f t="shared" si="16"/>
        <v>9310.1530529829852</v>
      </c>
      <c r="M226" s="301"/>
      <c r="N226" s="301"/>
      <c r="O226" s="63">
        <f t="shared" si="16"/>
        <v>9610.710634269486</v>
      </c>
      <c r="P226" s="302">
        <f t="shared" si="16"/>
        <v>12541.915428418899</v>
      </c>
      <c r="Q226" s="63">
        <f t="shared" si="16"/>
        <v>10957.195431320939</v>
      </c>
      <c r="R226" s="63">
        <f t="shared" si="16"/>
        <v>9551.7342683851402</v>
      </c>
      <c r="S226" s="63">
        <f t="shared" si="16"/>
        <v>9066.6135993773441</v>
      </c>
      <c r="T226" s="301"/>
      <c r="U226" s="63">
        <f t="shared" si="16"/>
        <v>11650.84842418504</v>
      </c>
      <c r="V226" s="301"/>
      <c r="W226" s="63">
        <f>W223/W225</f>
        <v>9617.9383088758404</v>
      </c>
      <c r="X226" s="63">
        <f t="shared" si="16"/>
        <v>12457.823707400577</v>
      </c>
      <c r="Y226" s="63">
        <f t="shared" si="16"/>
        <v>11825.536540109359</v>
      </c>
      <c r="Z226" s="63">
        <f t="shared" si="16"/>
        <v>9863.806008326972</v>
      </c>
      <c r="AA226" s="63">
        <f t="shared" si="16"/>
        <v>10353.266430299882</v>
      </c>
      <c r="AB226" s="63">
        <f t="shared" si="16"/>
        <v>8797.0439234638579</v>
      </c>
      <c r="AC226" s="63">
        <f t="shared" si="16"/>
        <v>12697.857232493934</v>
      </c>
      <c r="AD226" s="63">
        <f t="shared" si="16"/>
        <v>9082.510481895777</v>
      </c>
      <c r="AE226" s="63">
        <f t="shared" si="16"/>
        <v>8553.5334776008531</v>
      </c>
      <c r="AF226" s="301"/>
      <c r="AG226" s="63">
        <f t="shared" si="16"/>
        <v>10148.943675197066</v>
      </c>
      <c r="AH226" s="63">
        <f t="shared" si="16"/>
        <v>10330.561510821242</v>
      </c>
      <c r="AI226" s="301"/>
      <c r="AJ226" s="63">
        <f t="shared" si="16"/>
        <v>9727.2707042984839</v>
      </c>
      <c r="AK226" s="302">
        <f t="shared" si="16"/>
        <v>8435.5114936331065</v>
      </c>
      <c r="AL226" s="63">
        <f t="shared" si="16"/>
        <v>8267.2023095137702</v>
      </c>
      <c r="AM226" s="301"/>
      <c r="AN226" s="63">
        <f t="shared" si="16"/>
        <v>8157.4017779575024</v>
      </c>
      <c r="AO226" s="63">
        <f t="shared" si="16"/>
        <v>12201.070784075426</v>
      </c>
      <c r="AP226" s="301"/>
      <c r="AQ226" s="63">
        <f t="shared" si="16"/>
        <v>9261.9302116490908</v>
      </c>
      <c r="AR226" s="63">
        <f t="shared" si="16"/>
        <v>13561.723125433486</v>
      </c>
      <c r="AS226" s="63">
        <f t="shared" si="16"/>
        <v>9400.5084484273648</v>
      </c>
      <c r="AT226" s="63">
        <f t="shared" si="16"/>
        <v>9575.1587795500473</v>
      </c>
      <c r="AU226" s="63">
        <f t="shared" si="16"/>
        <v>9890.5910486293269</v>
      </c>
      <c r="AV226" s="63">
        <f t="shared" si="16"/>
        <v>11747.817238012027</v>
      </c>
      <c r="AW226" s="63">
        <f t="shared" si="16"/>
        <v>10553.115807293112</v>
      </c>
      <c r="AX226" s="63">
        <f t="shared" si="16"/>
        <v>10943.837653802402</v>
      </c>
      <c r="AY226" s="63">
        <f>(AY223-4931364)/AY225</f>
        <v>9307.1028325216103</v>
      </c>
      <c r="AZ226" s="63">
        <f t="shared" si="16"/>
        <v>10077.927206191704</v>
      </c>
      <c r="BA226" s="63">
        <f t="shared" si="16"/>
        <v>9813.8306919918432</v>
      </c>
      <c r="BB226" s="63">
        <f t="shared" si="16"/>
        <v>9054.2272581875441</v>
      </c>
      <c r="BC226" s="301"/>
      <c r="BD226" s="63">
        <f t="shared" si="16"/>
        <v>9048.1558421937261</v>
      </c>
      <c r="BE226" s="63">
        <f t="shared" si="16"/>
        <v>11396.248425692695</v>
      </c>
      <c r="BF226" s="63">
        <f t="shared" si="16"/>
        <v>10960.950264451594</v>
      </c>
      <c r="BG226" s="63">
        <f t="shared" si="16"/>
        <v>11443.404915619734</v>
      </c>
      <c r="BH226" s="63">
        <f t="shared" si="16"/>
        <v>9395.6390679011183</v>
      </c>
      <c r="BI226" s="63">
        <f t="shared" si="16"/>
        <v>9202.4652171849812</v>
      </c>
      <c r="BJ226" s="63">
        <f t="shared" si="16"/>
        <v>8777.4273147231925</v>
      </c>
      <c r="BK226" s="63">
        <f t="shared" si="16"/>
        <v>9958.0868602401806</v>
      </c>
      <c r="BL226" s="63">
        <f t="shared" si="16"/>
        <v>11137.182370580807</v>
      </c>
      <c r="BM226" s="63">
        <f t="shared" si="16"/>
        <v>10555.460383917583</v>
      </c>
      <c r="BN226" s="63">
        <f t="shared" si="16"/>
        <v>9807.6928583386743</v>
      </c>
      <c r="BO226" s="63">
        <f t="shared" si="16"/>
        <v>11757.505152139653</v>
      </c>
      <c r="BP226" s="63">
        <f t="shared" si="16"/>
        <v>9533.2834983566208</v>
      </c>
      <c r="BQ226" s="63">
        <f t="shared" ref="BQ226:DD226" si="17">BQ223/BQ225</f>
        <v>10522.050631994496</v>
      </c>
      <c r="BR226" s="63">
        <f t="shared" si="17"/>
        <v>12974.439941461218</v>
      </c>
      <c r="BS226" s="301"/>
      <c r="BT226" s="63">
        <f t="shared" si="17"/>
        <v>8723.094449833774</v>
      </c>
      <c r="BU226" s="63">
        <f t="shared" si="17"/>
        <v>9662.4743886402794</v>
      </c>
      <c r="BV226" s="63">
        <f t="shared" si="17"/>
        <v>12737.514050087775</v>
      </c>
      <c r="BW226" s="301"/>
      <c r="BX226" s="63">
        <f t="shared" si="17"/>
        <v>9531.5091566446008</v>
      </c>
      <c r="BY226" s="63">
        <f t="shared" si="17"/>
        <v>11570.517822618358</v>
      </c>
      <c r="BZ226" s="63">
        <f t="shared" si="17"/>
        <v>11000.885316132759</v>
      </c>
      <c r="CA226" s="301"/>
      <c r="CB226" s="63">
        <f t="shared" si="17"/>
        <v>12041.275043460913</v>
      </c>
      <c r="CC226" s="63">
        <f t="shared" si="17"/>
        <v>9858.0947590091091</v>
      </c>
      <c r="CD226" s="63">
        <f t="shared" si="17"/>
        <v>11635.222752615051</v>
      </c>
      <c r="CE226" s="301"/>
      <c r="CF226" s="63">
        <f t="shared" si="17"/>
        <v>8753.5264778435994</v>
      </c>
      <c r="CG226" s="63">
        <f t="shared" si="17"/>
        <v>13751.754766772949</v>
      </c>
      <c r="CH226" s="63">
        <f t="shared" si="17"/>
        <v>10382.954819960951</v>
      </c>
      <c r="CI226" s="63">
        <f t="shared" si="17"/>
        <v>9258.5440826502472</v>
      </c>
      <c r="CJ226" s="63">
        <f t="shared" si="17"/>
        <v>9636.9545194189941</v>
      </c>
      <c r="CK226" s="63">
        <f t="shared" si="17"/>
        <v>8019.3953285545686</v>
      </c>
      <c r="CL226" s="63">
        <f t="shared" si="17"/>
        <v>10523.363140472125</v>
      </c>
      <c r="CM226" s="63">
        <f t="shared" si="17"/>
        <v>8992.3277073807058</v>
      </c>
      <c r="CN226" s="63">
        <f t="shared" si="17"/>
        <v>10915.192694788499</v>
      </c>
      <c r="CO226" s="63">
        <f t="shared" si="17"/>
        <v>9351.9704608247084</v>
      </c>
      <c r="CP226" s="63">
        <f t="shared" si="17"/>
        <v>12807.638803222531</v>
      </c>
      <c r="CQ226" s="301"/>
      <c r="CR226" s="301"/>
      <c r="CS226" s="301"/>
      <c r="CT226" s="63">
        <f t="shared" si="17"/>
        <v>9056.1108126685958</v>
      </c>
      <c r="CU226" s="63">
        <f t="shared" si="17"/>
        <v>8787.0552842845755</v>
      </c>
      <c r="CV226" s="301"/>
      <c r="CW226" s="63">
        <f t="shared" si="17"/>
        <v>8800.7448361923671</v>
      </c>
      <c r="CX226" s="63">
        <f t="shared" si="17"/>
        <v>9941.6847847423051</v>
      </c>
      <c r="CY226" s="63">
        <f t="shared" si="17"/>
        <v>9299.5444818405595</v>
      </c>
      <c r="CZ226" s="63">
        <f t="shared" si="17"/>
        <v>11720.529900866839</v>
      </c>
      <c r="DA226" s="63">
        <f t="shared" si="17"/>
        <v>9546.3077369163893</v>
      </c>
      <c r="DB226" s="63">
        <f t="shared" si="17"/>
        <v>10568.92238961277</v>
      </c>
      <c r="DC226" s="63">
        <f t="shared" si="17"/>
        <v>9169.4928583029159</v>
      </c>
      <c r="DD226" s="63">
        <f t="shared" si="17"/>
        <v>10897.420938768566</v>
      </c>
      <c r="DE226" s="63"/>
      <c r="DF226" s="63"/>
      <c r="DG226" s="63"/>
      <c r="DH226" s="297"/>
      <c r="DI226" s="62"/>
      <c r="DJ226" s="62"/>
      <c r="DK226" s="62"/>
    </row>
    <row r="227" spans="1:115">
      <c r="A227" s="150"/>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row>
    <row r="228" spans="1:115">
      <c r="A228" s="150"/>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row>
    <row r="229" spans="1:115">
      <c r="A229" s="150"/>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row>
    <row r="230" spans="1:115">
      <c r="A230" s="150"/>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row>
    <row r="231" spans="1:115">
      <c r="A231" s="150"/>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H231" s="52"/>
    </row>
    <row r="232" spans="1:115">
      <c r="A232" s="150"/>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row>
    <row r="233" spans="1:115">
      <c r="A233" s="150"/>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row>
    <row r="234" spans="1:115" ht="15" customHeight="1">
      <c r="A234" s="150"/>
      <c r="B234" s="53" t="s">
        <v>418</v>
      </c>
      <c r="C234" s="54"/>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row>
    <row r="235" spans="1:115">
      <c r="A235" s="150"/>
      <c r="D235" s="52" t="s">
        <v>38</v>
      </c>
      <c r="E235" s="52" t="s">
        <v>39</v>
      </c>
      <c r="F235" s="52" t="s">
        <v>40</v>
      </c>
      <c r="G235" s="52" t="s">
        <v>41</v>
      </c>
      <c r="H235" s="57" t="s">
        <v>303</v>
      </c>
      <c r="I235" s="57" t="s">
        <v>304</v>
      </c>
      <c r="J235" s="57" t="s">
        <v>305</v>
      </c>
      <c r="K235" s="57" t="s">
        <v>306</v>
      </c>
      <c r="L235" s="52" t="s">
        <v>307</v>
      </c>
      <c r="M235" s="52" t="s">
        <v>308</v>
      </c>
      <c r="N235" s="52" t="s">
        <v>309</v>
      </c>
      <c r="O235" s="52" t="s">
        <v>310</v>
      </c>
      <c r="P235" s="52" t="s">
        <v>311</v>
      </c>
      <c r="Q235" s="52" t="s">
        <v>312</v>
      </c>
      <c r="R235" s="52" t="s">
        <v>313</v>
      </c>
      <c r="S235" s="52" t="s">
        <v>314</v>
      </c>
      <c r="T235" s="52" t="s">
        <v>315</v>
      </c>
      <c r="U235" s="52" t="s">
        <v>316</v>
      </c>
      <c r="V235" s="52" t="s">
        <v>317</v>
      </c>
      <c r="W235" s="52" t="s">
        <v>318</v>
      </c>
      <c r="X235" s="52" t="s">
        <v>319</v>
      </c>
      <c r="Y235" s="52" t="s">
        <v>320</v>
      </c>
      <c r="Z235" s="52" t="s">
        <v>321</v>
      </c>
      <c r="AA235" s="52" t="s">
        <v>322</v>
      </c>
      <c r="AB235" s="52" t="s">
        <v>323</v>
      </c>
      <c r="AC235" s="52" t="s">
        <v>324</v>
      </c>
      <c r="AD235" s="52" t="s">
        <v>325</v>
      </c>
      <c r="AE235" s="52" t="s">
        <v>326</v>
      </c>
      <c r="AF235" s="52" t="s">
        <v>327</v>
      </c>
      <c r="AG235" s="52" t="s">
        <v>328</v>
      </c>
      <c r="AH235" s="52" t="s">
        <v>329</v>
      </c>
      <c r="AI235" s="52" t="s">
        <v>330</v>
      </c>
      <c r="AJ235" s="52" t="s">
        <v>331</v>
      </c>
      <c r="AK235" s="52" t="s">
        <v>332</v>
      </c>
      <c r="AL235" s="52" t="s">
        <v>333</v>
      </c>
      <c r="AM235" s="52" t="s">
        <v>334</v>
      </c>
      <c r="AN235" s="52" t="s">
        <v>335</v>
      </c>
      <c r="AO235" s="52" t="s">
        <v>336</v>
      </c>
      <c r="AP235" s="52" t="s">
        <v>337</v>
      </c>
      <c r="AQ235" s="52" t="s">
        <v>338</v>
      </c>
      <c r="AR235" s="52" t="s">
        <v>339</v>
      </c>
      <c r="AS235" s="52" t="s">
        <v>340</v>
      </c>
      <c r="AT235" s="52" t="s">
        <v>341</v>
      </c>
      <c r="AU235" s="52" t="s">
        <v>342</v>
      </c>
      <c r="AV235" s="52" t="s">
        <v>343</v>
      </c>
      <c r="AW235" s="52" t="s">
        <v>344</v>
      </c>
      <c r="AX235" s="52" t="s">
        <v>345</v>
      </c>
      <c r="AY235" s="52" t="s">
        <v>346</v>
      </c>
      <c r="AZ235" s="52" t="s">
        <v>347</v>
      </c>
      <c r="BA235" s="52" t="s">
        <v>348</v>
      </c>
      <c r="BB235" s="52" t="s">
        <v>349</v>
      </c>
      <c r="BC235" s="52" t="s">
        <v>350</v>
      </c>
      <c r="BD235" s="52" t="s">
        <v>351</v>
      </c>
      <c r="BE235" s="52" t="s">
        <v>352</v>
      </c>
      <c r="BF235" s="52" t="s">
        <v>353</v>
      </c>
      <c r="BG235" s="52" t="s">
        <v>354</v>
      </c>
      <c r="BH235" s="52" t="s">
        <v>355</v>
      </c>
      <c r="BI235" s="52" t="s">
        <v>356</v>
      </c>
      <c r="BJ235" s="52" t="s">
        <v>357</v>
      </c>
      <c r="BK235" s="52" t="s">
        <v>358</v>
      </c>
      <c r="BL235" s="52" t="s">
        <v>359</v>
      </c>
      <c r="BM235" s="52" t="s">
        <v>360</v>
      </c>
      <c r="BN235" s="52" t="s">
        <v>361</v>
      </c>
      <c r="BO235" s="52" t="s">
        <v>362</v>
      </c>
      <c r="BP235" s="52" t="s">
        <v>363</v>
      </c>
      <c r="BQ235" s="52" t="s">
        <v>364</v>
      </c>
      <c r="BR235" s="52" t="s">
        <v>365</v>
      </c>
      <c r="BS235" s="52" t="s">
        <v>366</v>
      </c>
      <c r="BT235" s="52" t="s">
        <v>367</v>
      </c>
      <c r="BU235" s="52" t="s">
        <v>368</v>
      </c>
      <c r="BV235" s="52" t="s">
        <v>369</v>
      </c>
      <c r="BW235" s="52" t="s">
        <v>370</v>
      </c>
      <c r="BX235" s="52" t="s">
        <v>371</v>
      </c>
      <c r="BY235" s="52" t="s">
        <v>372</v>
      </c>
      <c r="BZ235" s="52" t="s">
        <v>373</v>
      </c>
      <c r="CA235" s="52" t="s">
        <v>374</v>
      </c>
      <c r="CB235" s="52" t="s">
        <v>375</v>
      </c>
      <c r="CC235" s="52" t="s">
        <v>376</v>
      </c>
      <c r="CD235" s="52" t="s">
        <v>377</v>
      </c>
      <c r="CE235" s="52" t="s">
        <v>378</v>
      </c>
      <c r="CF235" s="52" t="s">
        <v>379</v>
      </c>
      <c r="CG235" s="52" t="s">
        <v>380</v>
      </c>
      <c r="CH235" s="52" t="s">
        <v>381</v>
      </c>
      <c r="CI235" s="52" t="s">
        <v>382</v>
      </c>
      <c r="CJ235" s="52" t="s">
        <v>383</v>
      </c>
      <c r="CK235" s="52" t="s">
        <v>384</v>
      </c>
      <c r="CL235" s="52" t="s">
        <v>385</v>
      </c>
      <c r="CM235" s="52" t="s">
        <v>386</v>
      </c>
      <c r="CN235" s="52" t="s">
        <v>387</v>
      </c>
      <c r="CO235" s="52" t="s">
        <v>388</v>
      </c>
      <c r="CP235" s="52" t="s">
        <v>389</v>
      </c>
      <c r="CQ235" s="52" t="s">
        <v>390</v>
      </c>
      <c r="CR235" s="52" t="s">
        <v>391</v>
      </c>
      <c r="CS235" s="52" t="s">
        <v>392</v>
      </c>
      <c r="CT235" s="52" t="s">
        <v>393</v>
      </c>
      <c r="CU235" s="52" t="s">
        <v>394</v>
      </c>
      <c r="CV235" s="52" t="s">
        <v>395</v>
      </c>
      <c r="CW235" s="52" t="s">
        <v>396</v>
      </c>
      <c r="CX235" s="52" t="s">
        <v>397</v>
      </c>
      <c r="CY235" s="52" t="s">
        <v>398</v>
      </c>
      <c r="CZ235" s="52" t="s">
        <v>399</v>
      </c>
      <c r="DA235" s="52" t="s">
        <v>400</v>
      </c>
      <c r="DB235" s="52" t="s">
        <v>401</v>
      </c>
      <c r="DC235" s="52" t="s">
        <v>29</v>
      </c>
      <c r="DD235" s="52" t="s">
        <v>402</v>
      </c>
      <c r="DE235" s="52" t="s">
        <v>403</v>
      </c>
      <c r="DF235" s="52" t="s">
        <v>404</v>
      </c>
      <c r="DG235" s="52" t="s">
        <v>405</v>
      </c>
      <c r="DH235" s="52"/>
    </row>
    <row r="236" spans="1:115">
      <c r="A236" s="150" t="s">
        <v>408</v>
      </c>
      <c r="B236" s="54">
        <v>1000</v>
      </c>
      <c r="C236" s="44" t="s">
        <v>42</v>
      </c>
      <c r="D236" s="52"/>
      <c r="E236" s="52"/>
      <c r="F236" s="52"/>
      <c r="G236" s="52"/>
      <c r="H236" s="56"/>
      <c r="I236" s="56"/>
      <c r="J236" s="56"/>
      <c r="K236" s="56"/>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row>
    <row r="237" spans="1:115">
      <c r="A237" s="150" t="s">
        <v>408</v>
      </c>
      <c r="B237" s="54">
        <v>1100</v>
      </c>
      <c r="C237" s="44" t="s">
        <v>43</v>
      </c>
      <c r="D237" s="52"/>
      <c r="E237" s="52"/>
      <c r="F237" s="52"/>
      <c r="G237" s="52"/>
      <c r="H237" s="56"/>
      <c r="I237" s="56"/>
      <c r="J237" s="56"/>
      <c r="K237" s="56"/>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row>
    <row r="238" spans="1:115">
      <c r="A238" s="150" t="s">
        <v>408</v>
      </c>
      <c r="B238" s="54">
        <v>1200</v>
      </c>
      <c r="C238" s="44" t="s">
        <v>47</v>
      </c>
      <c r="D238" s="52"/>
      <c r="E238" s="52"/>
      <c r="F238" s="52"/>
      <c r="G238" s="52"/>
      <c r="H238" s="56"/>
      <c r="I238" s="56"/>
      <c r="J238" s="56"/>
      <c r="K238" s="56"/>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row>
    <row r="239" spans="1:115">
      <c r="A239" s="150" t="s">
        <v>408</v>
      </c>
      <c r="B239" s="54">
        <v>1300</v>
      </c>
      <c r="C239" s="44" t="s">
        <v>52</v>
      </c>
      <c r="D239" s="52"/>
      <c r="E239" s="52"/>
      <c r="F239" s="52"/>
      <c r="G239" s="52"/>
      <c r="H239" s="56"/>
      <c r="I239" s="56"/>
      <c r="J239" s="56"/>
      <c r="K239" s="56"/>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row>
    <row r="240" spans="1:115">
      <c r="A240" s="150" t="s">
        <v>407</v>
      </c>
      <c r="B240" s="54">
        <v>1330</v>
      </c>
      <c r="C240" s="44" t="s">
        <v>55</v>
      </c>
      <c r="D240" s="52"/>
      <c r="E240" s="52">
        <v>12354</v>
      </c>
      <c r="F240" s="52"/>
      <c r="G240" s="52"/>
      <c r="H240" s="56"/>
      <c r="I240" s="56"/>
      <c r="J240" s="56"/>
      <c r="K240" s="56"/>
      <c r="L240" s="52"/>
      <c r="M240" s="52"/>
      <c r="N240" s="52">
        <v>29659</v>
      </c>
      <c r="O240" s="52"/>
      <c r="P240" s="52"/>
      <c r="Q240" s="52">
        <v>1267</v>
      </c>
      <c r="R240" s="52"/>
      <c r="S240" s="52"/>
      <c r="T240" s="52"/>
      <c r="U240" s="52"/>
      <c r="V240" s="52"/>
      <c r="W240" s="52"/>
      <c r="X240" s="52">
        <v>12856</v>
      </c>
      <c r="Y240" s="52"/>
      <c r="Z240" s="52">
        <v>11021</v>
      </c>
      <c r="AA240" s="52"/>
      <c r="AB240" s="52">
        <v>18550</v>
      </c>
      <c r="AC240" s="52"/>
      <c r="AD240" s="52"/>
      <c r="AE240" s="52"/>
      <c r="AF240" s="52">
        <v>15692</v>
      </c>
      <c r="AG240" s="52"/>
      <c r="AH240" s="52"/>
      <c r="AI240" s="52"/>
      <c r="AJ240" s="52"/>
      <c r="AK240" s="52">
        <v>3490</v>
      </c>
      <c r="AL240" s="52"/>
      <c r="AM240" s="52"/>
      <c r="AN240" s="52">
        <v>105071</v>
      </c>
      <c r="AO240" s="52"/>
      <c r="AP240" s="52"/>
      <c r="AQ240" s="52"/>
      <c r="AR240" s="52">
        <v>141</v>
      </c>
      <c r="AS240" s="52">
        <v>146348</v>
      </c>
      <c r="AT240" s="52"/>
      <c r="AU240" s="52"/>
      <c r="AV240" s="52"/>
      <c r="AW240" s="52"/>
      <c r="AX240" s="52"/>
      <c r="AY240" s="52">
        <v>509383</v>
      </c>
      <c r="AZ240" s="52">
        <v>20362</v>
      </c>
      <c r="BA240" s="52"/>
      <c r="BB240" s="52"/>
      <c r="BC240" s="52"/>
      <c r="BD240" s="52"/>
      <c r="BE240" s="52"/>
      <c r="BF240" s="52">
        <v>15248</v>
      </c>
      <c r="BG240" s="52"/>
      <c r="BH240" s="52"/>
      <c r="BI240" s="52">
        <v>20604</v>
      </c>
      <c r="BJ240" s="52"/>
      <c r="BK240" s="52"/>
      <c r="BL240" s="52"/>
      <c r="BM240" s="52"/>
      <c r="BN240" s="52">
        <v>100</v>
      </c>
      <c r="BO240" s="52"/>
      <c r="BP240" s="52"/>
      <c r="BQ240" s="52"/>
      <c r="BR240" s="52"/>
      <c r="BS240" s="52"/>
      <c r="BT240" s="52"/>
      <c r="BU240" s="52"/>
      <c r="BV240" s="52"/>
      <c r="BW240" s="52">
        <v>520</v>
      </c>
      <c r="BX240" s="52"/>
      <c r="BY240" s="52"/>
      <c r="BZ240" s="52">
        <v>6002</v>
      </c>
      <c r="CA240" s="52"/>
      <c r="CB240" s="52"/>
      <c r="CC240" s="52"/>
      <c r="CD240" s="52"/>
      <c r="CE240" s="52"/>
      <c r="CF240" s="52"/>
      <c r="CG240" s="52">
        <v>66956</v>
      </c>
      <c r="CH240" s="52"/>
      <c r="CI240" s="52"/>
      <c r="CJ240" s="52"/>
      <c r="CK240" s="52"/>
      <c r="CL240" s="52"/>
      <c r="CM240" s="52"/>
      <c r="CN240" s="52"/>
      <c r="CO240" s="52"/>
      <c r="CP240" s="52">
        <v>13313</v>
      </c>
      <c r="CQ240" s="52"/>
      <c r="CR240" s="52"/>
      <c r="CS240" s="52"/>
      <c r="CT240" s="52"/>
      <c r="CU240" s="52">
        <v>7190</v>
      </c>
      <c r="CV240" s="52"/>
      <c r="CW240" s="52"/>
      <c r="CX240" s="52">
        <v>41319</v>
      </c>
      <c r="CY240" s="52"/>
      <c r="CZ240" s="52"/>
      <c r="DA240" s="52"/>
      <c r="DB240" s="52"/>
      <c r="DC240" s="52"/>
      <c r="DD240" s="52"/>
      <c r="DE240" s="52">
        <v>1057446</v>
      </c>
      <c r="DF240" s="52"/>
      <c r="DG240" s="52">
        <v>1057446</v>
      </c>
      <c r="DH240" s="52"/>
    </row>
    <row r="241" spans="1:112">
      <c r="A241" s="150" t="s">
        <v>407</v>
      </c>
      <c r="B241" s="54">
        <v>1340</v>
      </c>
      <c r="C241" s="44" t="s">
        <v>56</v>
      </c>
      <c r="D241" s="52"/>
      <c r="E241" s="52"/>
      <c r="F241" s="52"/>
      <c r="G241" s="52"/>
      <c r="H241" s="56"/>
      <c r="I241" s="56"/>
      <c r="J241" s="56"/>
      <c r="K241" s="56"/>
      <c r="L241" s="52"/>
      <c r="M241" s="52"/>
      <c r="N241" s="52"/>
      <c r="O241" s="52"/>
      <c r="P241" s="52"/>
      <c r="Q241" s="52"/>
      <c r="R241" s="52"/>
      <c r="S241" s="52"/>
      <c r="T241" s="52"/>
      <c r="U241" s="52"/>
      <c r="V241" s="52"/>
      <c r="W241" s="52"/>
      <c r="X241" s="52"/>
      <c r="Y241" s="52"/>
      <c r="Z241" s="52"/>
      <c r="AA241" s="52"/>
      <c r="AB241" s="52"/>
      <c r="AC241" s="52"/>
      <c r="AD241" s="52"/>
      <c r="AE241" s="52"/>
      <c r="AF241" s="52">
        <v>12000</v>
      </c>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v>3960</v>
      </c>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v>15960</v>
      </c>
      <c r="DF241" s="52"/>
      <c r="DG241" s="52">
        <v>15960</v>
      </c>
      <c r="DH241" s="52"/>
    </row>
    <row r="242" spans="1:112">
      <c r="A242" s="150" t="s">
        <v>408</v>
      </c>
      <c r="B242" s="54">
        <v>1400</v>
      </c>
      <c r="C242" s="44" t="s">
        <v>59</v>
      </c>
      <c r="D242" s="52"/>
      <c r="E242" s="52"/>
      <c r="F242" s="52"/>
      <c r="G242" s="52"/>
      <c r="H242" s="56"/>
      <c r="I242" s="56"/>
      <c r="J242" s="56"/>
      <c r="K242" s="56"/>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row>
    <row r="243" spans="1:112">
      <c r="A243" s="150" t="s">
        <v>408</v>
      </c>
      <c r="B243" s="54">
        <v>1500</v>
      </c>
      <c r="C243" s="44" t="s">
        <v>62</v>
      </c>
      <c r="D243" s="52"/>
      <c r="E243" s="52"/>
      <c r="F243" s="52"/>
      <c r="G243" s="52"/>
      <c r="H243" s="56"/>
      <c r="I243" s="56"/>
      <c r="J243" s="56"/>
      <c r="K243" s="56"/>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row>
    <row r="244" spans="1:112">
      <c r="A244" s="150" t="s">
        <v>408</v>
      </c>
      <c r="B244" s="54">
        <v>1600</v>
      </c>
      <c r="C244" s="44" t="s">
        <v>66</v>
      </c>
      <c r="D244" s="52"/>
      <c r="E244" s="52"/>
      <c r="F244" s="52"/>
      <c r="G244" s="52"/>
      <c r="H244" s="56"/>
      <c r="I244" s="56"/>
      <c r="J244" s="56"/>
      <c r="K244" s="56"/>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row>
    <row r="245" spans="1:112">
      <c r="A245" s="150" t="s">
        <v>408</v>
      </c>
      <c r="B245" s="54">
        <v>1700</v>
      </c>
      <c r="C245" s="44" t="s">
        <v>73</v>
      </c>
      <c r="D245" s="52"/>
      <c r="E245" s="52"/>
      <c r="F245" s="52"/>
      <c r="G245" s="52"/>
      <c r="H245" s="56"/>
      <c r="I245" s="56"/>
      <c r="J245" s="56"/>
      <c r="K245" s="56"/>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row>
    <row r="246" spans="1:112">
      <c r="A246" s="150" t="s">
        <v>408</v>
      </c>
      <c r="B246" s="54"/>
      <c r="D246" s="52" t="s">
        <v>38</v>
      </c>
      <c r="E246" s="52" t="s">
        <v>39</v>
      </c>
      <c r="F246" s="52" t="s">
        <v>40</v>
      </c>
      <c r="G246" s="52" t="s">
        <v>41</v>
      </c>
      <c r="H246" s="57" t="s">
        <v>303</v>
      </c>
      <c r="I246" s="57" t="s">
        <v>304</v>
      </c>
      <c r="J246" s="57" t="s">
        <v>305</v>
      </c>
      <c r="K246" s="57" t="s">
        <v>306</v>
      </c>
      <c r="L246" s="52" t="s">
        <v>307</v>
      </c>
      <c r="M246" s="52" t="s">
        <v>308</v>
      </c>
      <c r="N246" s="52" t="s">
        <v>309</v>
      </c>
      <c r="O246" s="52" t="s">
        <v>310</v>
      </c>
      <c r="P246" s="52" t="s">
        <v>311</v>
      </c>
      <c r="Q246" s="52" t="s">
        <v>312</v>
      </c>
      <c r="R246" s="52" t="s">
        <v>313</v>
      </c>
      <c r="S246" s="52" t="s">
        <v>314</v>
      </c>
      <c r="T246" s="52" t="s">
        <v>315</v>
      </c>
      <c r="U246" s="52" t="s">
        <v>316</v>
      </c>
      <c r="V246" s="52" t="s">
        <v>317</v>
      </c>
      <c r="W246" s="52" t="s">
        <v>318</v>
      </c>
      <c r="X246" s="52" t="s">
        <v>319</v>
      </c>
      <c r="Y246" s="52" t="s">
        <v>320</v>
      </c>
      <c r="Z246" s="52" t="s">
        <v>321</v>
      </c>
      <c r="AA246" s="52" t="s">
        <v>322</v>
      </c>
      <c r="AB246" s="52" t="s">
        <v>323</v>
      </c>
      <c r="AC246" s="52" t="s">
        <v>324</v>
      </c>
      <c r="AD246" s="52" t="s">
        <v>325</v>
      </c>
      <c r="AE246" s="52" t="s">
        <v>326</v>
      </c>
      <c r="AF246" s="52" t="s">
        <v>327</v>
      </c>
      <c r="AG246" s="52" t="s">
        <v>328</v>
      </c>
      <c r="AH246" s="52" t="s">
        <v>329</v>
      </c>
      <c r="AI246" s="52" t="s">
        <v>330</v>
      </c>
      <c r="AJ246" s="52" t="s">
        <v>331</v>
      </c>
      <c r="AK246" s="52" t="s">
        <v>332</v>
      </c>
      <c r="AL246" s="52" t="s">
        <v>333</v>
      </c>
      <c r="AM246" s="52" t="s">
        <v>334</v>
      </c>
      <c r="AN246" s="52" t="s">
        <v>335</v>
      </c>
      <c r="AO246" s="52" t="s">
        <v>336</v>
      </c>
      <c r="AP246" s="52" t="s">
        <v>337</v>
      </c>
      <c r="AQ246" s="52" t="s">
        <v>338</v>
      </c>
      <c r="AR246" s="52" t="s">
        <v>339</v>
      </c>
      <c r="AS246" s="52" t="s">
        <v>340</v>
      </c>
      <c r="AT246" s="52" t="s">
        <v>341</v>
      </c>
      <c r="AU246" s="52" t="s">
        <v>342</v>
      </c>
      <c r="AV246" s="52" t="s">
        <v>343</v>
      </c>
      <c r="AW246" s="52" t="s">
        <v>344</v>
      </c>
      <c r="AX246" s="52" t="s">
        <v>345</v>
      </c>
      <c r="AY246" s="52" t="s">
        <v>346</v>
      </c>
      <c r="AZ246" s="52" t="s">
        <v>347</v>
      </c>
      <c r="BA246" s="52" t="s">
        <v>348</v>
      </c>
      <c r="BB246" s="52" t="s">
        <v>349</v>
      </c>
      <c r="BC246" s="52" t="s">
        <v>350</v>
      </c>
      <c r="BD246" s="52" t="s">
        <v>351</v>
      </c>
      <c r="BE246" s="52" t="s">
        <v>352</v>
      </c>
      <c r="BF246" s="52" t="s">
        <v>353</v>
      </c>
      <c r="BG246" s="52" t="s">
        <v>354</v>
      </c>
      <c r="BH246" s="52" t="s">
        <v>355</v>
      </c>
      <c r="BI246" s="52" t="s">
        <v>356</v>
      </c>
      <c r="BJ246" s="52" t="s">
        <v>357</v>
      </c>
      <c r="BK246" s="52" t="s">
        <v>358</v>
      </c>
      <c r="BL246" s="52" t="s">
        <v>359</v>
      </c>
      <c r="BM246" s="52" t="s">
        <v>360</v>
      </c>
      <c r="BN246" s="52" t="s">
        <v>361</v>
      </c>
      <c r="BO246" s="52" t="s">
        <v>362</v>
      </c>
      <c r="BP246" s="52" t="s">
        <v>363</v>
      </c>
      <c r="BQ246" s="52" t="s">
        <v>364</v>
      </c>
      <c r="BR246" s="52" t="s">
        <v>365</v>
      </c>
      <c r="BS246" s="52" t="s">
        <v>366</v>
      </c>
      <c r="BT246" s="52" t="s">
        <v>367</v>
      </c>
      <c r="BU246" s="52" t="s">
        <v>368</v>
      </c>
      <c r="BV246" s="52" t="s">
        <v>369</v>
      </c>
      <c r="BW246" s="52" t="s">
        <v>370</v>
      </c>
      <c r="BX246" s="52" t="s">
        <v>371</v>
      </c>
      <c r="BY246" s="52" t="s">
        <v>372</v>
      </c>
      <c r="BZ246" s="52" t="s">
        <v>373</v>
      </c>
      <c r="CA246" s="52" t="s">
        <v>374</v>
      </c>
      <c r="CB246" s="52" t="s">
        <v>375</v>
      </c>
      <c r="CC246" s="52" t="s">
        <v>376</v>
      </c>
      <c r="CD246" s="52" t="s">
        <v>377</v>
      </c>
      <c r="CE246" s="52" t="s">
        <v>378</v>
      </c>
      <c r="CF246" s="52" t="s">
        <v>379</v>
      </c>
      <c r="CG246" s="52" t="s">
        <v>380</v>
      </c>
      <c r="CH246" s="52" t="s">
        <v>381</v>
      </c>
      <c r="CI246" s="52" t="s">
        <v>382</v>
      </c>
      <c r="CJ246" s="52" t="s">
        <v>383</v>
      </c>
      <c r="CK246" s="52" t="s">
        <v>384</v>
      </c>
      <c r="CL246" s="52" t="s">
        <v>385</v>
      </c>
      <c r="CM246" s="52" t="s">
        <v>386</v>
      </c>
      <c r="CN246" s="52" t="s">
        <v>387</v>
      </c>
      <c r="CO246" s="52" t="s">
        <v>388</v>
      </c>
      <c r="CP246" s="52" t="s">
        <v>389</v>
      </c>
      <c r="CQ246" s="52" t="s">
        <v>390</v>
      </c>
      <c r="CR246" s="52" t="s">
        <v>391</v>
      </c>
      <c r="CS246" s="52" t="s">
        <v>392</v>
      </c>
      <c r="CT246" s="52" t="s">
        <v>393</v>
      </c>
      <c r="CU246" s="52" t="s">
        <v>394</v>
      </c>
      <c r="CV246" s="52" t="s">
        <v>395</v>
      </c>
      <c r="CW246" s="52" t="s">
        <v>396</v>
      </c>
      <c r="CX246" s="52" t="s">
        <v>397</v>
      </c>
      <c r="CY246" s="52" t="s">
        <v>398</v>
      </c>
      <c r="CZ246" s="52" t="s">
        <v>399</v>
      </c>
      <c r="DA246" s="52" t="s">
        <v>400</v>
      </c>
      <c r="DB246" s="52" t="s">
        <v>401</v>
      </c>
      <c r="DC246" s="52" t="s">
        <v>29</v>
      </c>
      <c r="DD246" s="52" t="s">
        <v>402</v>
      </c>
      <c r="DE246" s="52" t="s">
        <v>403</v>
      </c>
      <c r="DF246" s="52" t="s">
        <v>404</v>
      </c>
      <c r="DG246" s="52" t="s">
        <v>405</v>
      </c>
      <c r="DH246" s="52"/>
    </row>
    <row r="247" spans="1:112">
      <c r="A247" s="150" t="s">
        <v>408</v>
      </c>
      <c r="B247" s="54"/>
      <c r="D247" s="52"/>
      <c r="E247" s="52"/>
      <c r="F247" s="52"/>
      <c r="G247" s="52"/>
      <c r="H247" s="57"/>
      <c r="I247" s="57"/>
      <c r="J247" s="57"/>
      <c r="K247" s="57"/>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row>
    <row r="248" spans="1:112">
      <c r="A248" s="150" t="s">
        <v>408</v>
      </c>
      <c r="B248" s="54">
        <v>1990</v>
      </c>
      <c r="C248" s="44" t="s">
        <v>85</v>
      </c>
      <c r="D248" s="52"/>
      <c r="E248" s="52"/>
      <c r="F248" s="52"/>
      <c r="G248" s="52"/>
      <c r="H248" s="56"/>
      <c r="I248" s="56"/>
      <c r="J248" s="56"/>
      <c r="K248" s="56"/>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row>
    <row r="249" spans="1:112">
      <c r="A249" s="150" t="s">
        <v>408</v>
      </c>
      <c r="B249" s="54"/>
      <c r="D249" s="52"/>
      <c r="E249" s="52"/>
      <c r="F249" s="52"/>
      <c r="G249" s="52"/>
      <c r="H249" s="56"/>
      <c r="I249" s="56"/>
      <c r="J249" s="56"/>
      <c r="K249" s="56"/>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row>
    <row r="250" spans="1:112">
      <c r="A250" s="150" t="s">
        <v>408</v>
      </c>
      <c r="B250" s="54" t="s">
        <v>90</v>
      </c>
      <c r="C250" s="44" t="s">
        <v>91</v>
      </c>
      <c r="D250" s="52">
        <v>10474641</v>
      </c>
      <c r="E250" s="52">
        <v>75661599</v>
      </c>
      <c r="F250" s="52">
        <v>5502685</v>
      </c>
      <c r="G250" s="52">
        <v>785170</v>
      </c>
      <c r="H250" s="56">
        <v>26158685</v>
      </c>
      <c r="I250" s="56">
        <v>11420331</v>
      </c>
      <c r="J250" s="56">
        <v>8057991</v>
      </c>
      <c r="K250" s="56">
        <v>16516037</v>
      </c>
      <c r="L250" s="52">
        <v>46945356</v>
      </c>
      <c r="M250" s="52">
        <v>1048008</v>
      </c>
      <c r="N250" s="52">
        <v>3912004</v>
      </c>
      <c r="O250" s="52">
        <v>4360542</v>
      </c>
      <c r="P250" s="52">
        <v>3468720</v>
      </c>
      <c r="Q250" s="52">
        <v>2421466</v>
      </c>
      <c r="R250" s="52">
        <v>2838378</v>
      </c>
      <c r="S250" s="52">
        <v>6462076</v>
      </c>
      <c r="T250" s="52">
        <v>1391022</v>
      </c>
      <c r="U250" s="52">
        <v>167660076</v>
      </c>
      <c r="V250" s="52">
        <v>3830293</v>
      </c>
      <c r="W250" s="52">
        <v>117077320</v>
      </c>
      <c r="X250" s="52">
        <v>9658216</v>
      </c>
      <c r="Y250" s="52">
        <v>304200778</v>
      </c>
      <c r="Z250" s="52">
        <v>36848750</v>
      </c>
      <c r="AA250" s="52">
        <v>21483318</v>
      </c>
      <c r="AB250" s="52">
        <v>22562213</v>
      </c>
      <c r="AC250" s="52">
        <v>4797970</v>
      </c>
      <c r="AD250" s="52">
        <v>6091951</v>
      </c>
      <c r="AE250" s="52">
        <v>3020208</v>
      </c>
      <c r="AF250" s="52">
        <v>1057120</v>
      </c>
      <c r="AG250" s="52">
        <v>22777632</v>
      </c>
      <c r="AH250" s="52">
        <v>48006157</v>
      </c>
      <c r="AI250" s="52">
        <v>1288126</v>
      </c>
      <c r="AJ250" s="52">
        <v>1475151</v>
      </c>
      <c r="AK250" s="52">
        <v>5500274</v>
      </c>
      <c r="AL250" s="52">
        <v>2821595</v>
      </c>
      <c r="AM250" s="52">
        <v>1020889</v>
      </c>
      <c r="AN250" s="52">
        <v>66852600</v>
      </c>
      <c r="AO250" s="52">
        <v>11659001</v>
      </c>
      <c r="AP250" s="52">
        <v>3102555</v>
      </c>
      <c r="AQ250" s="52">
        <v>13202724</v>
      </c>
      <c r="AR250" s="52">
        <v>23787612</v>
      </c>
      <c r="AS250" s="52">
        <v>57963523</v>
      </c>
      <c r="AT250" s="52">
        <v>3909437</v>
      </c>
      <c r="AU250" s="52">
        <v>8377086</v>
      </c>
      <c r="AV250" s="52">
        <v>3550207</v>
      </c>
      <c r="AW250" s="52">
        <v>6202083</v>
      </c>
      <c r="AX250" s="52">
        <v>60407211</v>
      </c>
      <c r="AY250" s="52">
        <v>293011400</v>
      </c>
      <c r="AZ250" s="52">
        <v>41531915</v>
      </c>
      <c r="BA250" s="52">
        <v>3740863</v>
      </c>
      <c r="BB250" s="52">
        <v>8409659</v>
      </c>
      <c r="BC250" s="52">
        <v>1378253</v>
      </c>
      <c r="BD250" s="52">
        <v>6828453</v>
      </c>
      <c r="BE250" s="52">
        <v>3886532</v>
      </c>
      <c r="BF250" s="52">
        <v>224692294</v>
      </c>
      <c r="BG250" s="52">
        <v>11536376</v>
      </c>
      <c r="BH250" s="52">
        <v>38941008</v>
      </c>
      <c r="BI250" s="52">
        <v>38511004</v>
      </c>
      <c r="BJ250" s="52">
        <v>16370908</v>
      </c>
      <c r="BK250" s="52">
        <v>10039675</v>
      </c>
      <c r="BL250" s="52">
        <v>6492865</v>
      </c>
      <c r="BM250" s="52">
        <v>107075233</v>
      </c>
      <c r="BN250" s="52">
        <v>36319674</v>
      </c>
      <c r="BO250" s="52">
        <v>10840478</v>
      </c>
      <c r="BP250" s="52">
        <v>9404195</v>
      </c>
      <c r="BQ250" s="52">
        <v>89793837</v>
      </c>
      <c r="BR250" s="52">
        <v>5833670</v>
      </c>
      <c r="BS250" s="52">
        <v>1531529</v>
      </c>
      <c r="BT250" s="52">
        <v>6317183</v>
      </c>
      <c r="BU250" s="52">
        <v>4786613</v>
      </c>
      <c r="BV250" s="52">
        <v>2001480</v>
      </c>
      <c r="BW250" s="52">
        <v>1448684</v>
      </c>
      <c r="BX250" s="52">
        <v>11531082</v>
      </c>
      <c r="BY250" s="52">
        <v>30550055</v>
      </c>
      <c r="BZ250" s="52">
        <v>64446185</v>
      </c>
      <c r="CA250" s="52"/>
      <c r="CB250" s="52">
        <v>14383960</v>
      </c>
      <c r="CC250" s="52">
        <v>15193588</v>
      </c>
      <c r="CD250" s="52">
        <v>32502472</v>
      </c>
      <c r="CE250" s="52">
        <v>790614</v>
      </c>
      <c r="CF250" s="52">
        <v>60458160</v>
      </c>
      <c r="CG250" s="52">
        <v>180798308</v>
      </c>
      <c r="CH250" s="52">
        <v>119871947</v>
      </c>
      <c r="CI250" s="52">
        <v>6829519</v>
      </c>
      <c r="CJ250" s="52">
        <v>19400431</v>
      </c>
      <c r="CK250" s="52">
        <v>28565808</v>
      </c>
      <c r="CL250" s="52">
        <v>14467865</v>
      </c>
      <c r="CM250" s="52">
        <v>10515764</v>
      </c>
      <c r="CN250" s="52">
        <v>41123819</v>
      </c>
      <c r="CO250" s="52">
        <v>42279041</v>
      </c>
      <c r="CP250" s="52">
        <v>43813963</v>
      </c>
      <c r="CQ250" s="52">
        <v>1739823</v>
      </c>
      <c r="CR250" s="52">
        <v>2726629</v>
      </c>
      <c r="CS250" s="52">
        <v>2547914</v>
      </c>
      <c r="CT250" s="52">
        <v>24679918</v>
      </c>
      <c r="CU250" s="52">
        <v>24159026</v>
      </c>
      <c r="CV250" s="52"/>
      <c r="CW250" s="52">
        <v>11814396</v>
      </c>
      <c r="CX250" s="52">
        <v>14634768</v>
      </c>
      <c r="CY250" s="52">
        <v>18653530</v>
      </c>
      <c r="CZ250" s="52">
        <v>45558771</v>
      </c>
      <c r="DA250" s="52">
        <v>74465021</v>
      </c>
      <c r="DB250" s="52">
        <v>48297579</v>
      </c>
      <c r="DC250" s="52">
        <v>12497</v>
      </c>
      <c r="DD250" s="52"/>
      <c r="DE250" s="52"/>
      <c r="DF250" s="52"/>
      <c r="DG250" s="52"/>
      <c r="DH250" s="52"/>
    </row>
    <row r="251" spans="1:112">
      <c r="A251" s="150" t="s">
        <v>408</v>
      </c>
      <c r="B251" s="54"/>
      <c r="D251" s="52"/>
      <c r="E251" s="52"/>
      <c r="F251" s="52"/>
      <c r="G251" s="52"/>
      <c r="H251" s="56"/>
      <c r="I251" s="56"/>
      <c r="J251" s="56"/>
      <c r="K251" s="56"/>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row>
    <row r="252" spans="1:112">
      <c r="A252" s="150" t="s">
        <v>408</v>
      </c>
      <c r="B252" s="54">
        <v>2000</v>
      </c>
      <c r="C252" s="44" t="s">
        <v>92</v>
      </c>
      <c r="D252" s="52"/>
      <c r="E252" s="52"/>
      <c r="F252" s="52"/>
      <c r="G252" s="52"/>
      <c r="H252" s="56"/>
      <c r="I252" s="56"/>
      <c r="J252" s="56"/>
      <c r="K252" s="56"/>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row>
    <row r="253" spans="1:112">
      <c r="A253" s="150" t="s">
        <v>408</v>
      </c>
      <c r="B253" s="54"/>
      <c r="D253" s="52"/>
      <c r="E253" s="52"/>
      <c r="F253" s="52"/>
      <c r="G253" s="52"/>
      <c r="H253" s="56"/>
      <c r="I253" s="56"/>
      <c r="J253" s="56"/>
      <c r="K253" s="56"/>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row>
    <row r="254" spans="1:112">
      <c r="A254" s="150" t="s">
        <v>408</v>
      </c>
      <c r="B254" s="54" t="s">
        <v>90</v>
      </c>
      <c r="C254" s="44" t="s">
        <v>97</v>
      </c>
      <c r="D254" s="52">
        <v>182004</v>
      </c>
      <c r="E254" s="52">
        <v>964440</v>
      </c>
      <c r="F254" s="52"/>
      <c r="G254" s="52"/>
      <c r="H254" s="56"/>
      <c r="I254" s="56"/>
      <c r="J254" s="56"/>
      <c r="K254" s="56"/>
      <c r="L254" s="52">
        <v>77771</v>
      </c>
      <c r="M254" s="52"/>
      <c r="N254" s="52"/>
      <c r="O254" s="52">
        <v>130155</v>
      </c>
      <c r="P254" s="52">
        <v>37338</v>
      </c>
      <c r="Q254" s="52">
        <v>180161</v>
      </c>
      <c r="R254" s="52">
        <v>20214</v>
      </c>
      <c r="S254" s="52">
        <v>52650</v>
      </c>
      <c r="T254" s="52"/>
      <c r="U254" s="52"/>
      <c r="V254" s="52"/>
      <c r="W254" s="52">
        <v>56180</v>
      </c>
      <c r="X254" s="52">
        <v>183963</v>
      </c>
      <c r="Y254" s="52">
        <v>123510</v>
      </c>
      <c r="Z254" s="52">
        <v>13961</v>
      </c>
      <c r="AA254" s="52">
        <v>2293015</v>
      </c>
      <c r="AB254" s="52">
        <v>306045</v>
      </c>
      <c r="AC254" s="52"/>
      <c r="AD254" s="52">
        <v>511656</v>
      </c>
      <c r="AE254" s="52">
        <v>33766</v>
      </c>
      <c r="AF254" s="52"/>
      <c r="AG254" s="52">
        <v>49449</v>
      </c>
      <c r="AH254" s="52"/>
      <c r="AI254" s="52">
        <v>2213625</v>
      </c>
      <c r="AJ254" s="52">
        <v>823890</v>
      </c>
      <c r="AK254" s="52">
        <v>1366477</v>
      </c>
      <c r="AL254" s="52">
        <v>696706</v>
      </c>
      <c r="AM254" s="52">
        <v>218419</v>
      </c>
      <c r="AN254" s="52">
        <v>1130912</v>
      </c>
      <c r="AO254" s="52">
        <v>123344</v>
      </c>
      <c r="AP254" s="52"/>
      <c r="AQ254" s="52">
        <v>94379</v>
      </c>
      <c r="AR254" s="52">
        <v>120189</v>
      </c>
      <c r="AS254" s="52">
        <v>1213892</v>
      </c>
      <c r="AT254" s="52">
        <v>22453</v>
      </c>
      <c r="AU254" s="52">
        <v>154222</v>
      </c>
      <c r="AV254" s="52">
        <v>43267</v>
      </c>
      <c r="AW254" s="52">
        <v>1816</v>
      </c>
      <c r="AX254" s="52">
        <v>2808</v>
      </c>
      <c r="AY254" s="52">
        <v>4329237</v>
      </c>
      <c r="AZ254" s="52"/>
      <c r="BA254" s="52">
        <v>42200</v>
      </c>
      <c r="BB254" s="52"/>
      <c r="BC254" s="52">
        <v>502407</v>
      </c>
      <c r="BD254" s="52">
        <v>60084</v>
      </c>
      <c r="BE254" s="52"/>
      <c r="BF254" s="52">
        <v>1043570</v>
      </c>
      <c r="BG254" s="52">
        <v>3303920</v>
      </c>
      <c r="BH254" s="52"/>
      <c r="BI254" s="52">
        <v>571822</v>
      </c>
      <c r="BJ254" s="52"/>
      <c r="BK254" s="52">
        <v>91758</v>
      </c>
      <c r="BL254" s="52">
        <v>393332</v>
      </c>
      <c r="BM254" s="52">
        <v>151695</v>
      </c>
      <c r="BN254" s="52">
        <v>33542</v>
      </c>
      <c r="BO254" s="52">
        <v>351933</v>
      </c>
      <c r="BP254" s="52"/>
      <c r="BQ254" s="52"/>
      <c r="BR254" s="52"/>
      <c r="BS254" s="52">
        <v>147988</v>
      </c>
      <c r="BT254" s="52">
        <v>133499</v>
      </c>
      <c r="BU254" s="52">
        <v>63012</v>
      </c>
      <c r="BV254" s="52">
        <v>371960</v>
      </c>
      <c r="BW254" s="52">
        <v>151762</v>
      </c>
      <c r="BX254" s="52">
        <v>262191</v>
      </c>
      <c r="BY254" s="52">
        <v>51800</v>
      </c>
      <c r="BZ254" s="52">
        <v>459391</v>
      </c>
      <c r="CA254" s="52"/>
      <c r="CB254" s="52">
        <v>800000</v>
      </c>
      <c r="CC254" s="52">
        <v>64101</v>
      </c>
      <c r="CD254" s="52">
        <v>79843</v>
      </c>
      <c r="CE254" s="52"/>
      <c r="CF254" s="52">
        <v>284547</v>
      </c>
      <c r="CG254" s="52"/>
      <c r="CH254" s="52"/>
      <c r="CI254" s="52"/>
      <c r="CJ254" s="52">
        <v>571818</v>
      </c>
      <c r="CK254" s="52">
        <v>18243</v>
      </c>
      <c r="CL254" s="52">
        <v>61003</v>
      </c>
      <c r="CM254" s="52">
        <v>308781</v>
      </c>
      <c r="CN254" s="52">
        <v>1625325</v>
      </c>
      <c r="CO254" s="52">
        <v>640668</v>
      </c>
      <c r="CP254" s="52">
        <v>914368</v>
      </c>
      <c r="CQ254" s="52"/>
      <c r="CR254" s="52"/>
      <c r="CS254" s="52"/>
      <c r="CT254" s="52">
        <v>313279</v>
      </c>
      <c r="CU254" s="52">
        <v>111526</v>
      </c>
      <c r="CV254" s="52"/>
      <c r="CW254" s="52">
        <v>162552</v>
      </c>
      <c r="CX254" s="52">
        <v>187908</v>
      </c>
      <c r="CY254" s="52">
        <v>107469</v>
      </c>
      <c r="CZ254" s="52"/>
      <c r="DA254" s="52">
        <v>332652</v>
      </c>
      <c r="DB254" s="52">
        <v>83121</v>
      </c>
      <c r="DC254" s="52">
        <v>2527750</v>
      </c>
      <c r="DD254" s="52">
        <v>4375941</v>
      </c>
      <c r="DE254" s="52"/>
      <c r="DF254" s="52"/>
      <c r="DG254" s="52"/>
      <c r="DH254" s="52"/>
    </row>
    <row r="255" spans="1:112">
      <c r="A255" s="150" t="s">
        <v>408</v>
      </c>
      <c r="B255" s="54"/>
      <c r="D255" s="52"/>
      <c r="E255" s="52"/>
      <c r="F255" s="52"/>
      <c r="G255" s="52"/>
      <c r="H255" s="56"/>
      <c r="I255" s="56"/>
      <c r="J255" s="56"/>
      <c r="K255" s="56"/>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row>
    <row r="256" spans="1:112">
      <c r="A256" s="150" t="s">
        <v>408</v>
      </c>
      <c r="B256" s="54">
        <v>3000</v>
      </c>
      <c r="C256" s="44" t="s">
        <v>98</v>
      </c>
      <c r="D256" s="52"/>
      <c r="E256" s="52"/>
      <c r="F256" s="52"/>
      <c r="G256" s="52"/>
      <c r="H256" s="56"/>
      <c r="I256" s="56"/>
      <c r="J256" s="56"/>
      <c r="K256" s="56"/>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row>
    <row r="257" spans="1:112">
      <c r="A257" s="150" t="s">
        <v>408</v>
      </c>
      <c r="B257" s="54">
        <v>3100</v>
      </c>
      <c r="C257" s="44" t="s">
        <v>99</v>
      </c>
      <c r="D257" s="52"/>
      <c r="E257" s="52"/>
      <c r="F257" s="52"/>
      <c r="G257" s="52"/>
      <c r="H257" s="56"/>
      <c r="I257" s="56"/>
      <c r="J257" s="56"/>
      <c r="K257" s="56"/>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row>
    <row r="258" spans="1:112">
      <c r="A258" s="150" t="s">
        <v>408</v>
      </c>
      <c r="B258" s="54">
        <v>3110</v>
      </c>
      <c r="C258" s="44" t="s">
        <v>100</v>
      </c>
      <c r="D258" s="52"/>
      <c r="E258" s="52"/>
      <c r="F258" s="52"/>
      <c r="G258" s="52"/>
      <c r="H258" s="56"/>
      <c r="I258" s="56"/>
      <c r="J258" s="56"/>
      <c r="K258" s="56"/>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row>
    <row r="259" spans="1:112">
      <c r="A259" s="150" t="s">
        <v>408</v>
      </c>
      <c r="B259" s="54">
        <v>3120</v>
      </c>
      <c r="C259" s="44" t="s">
        <v>105</v>
      </c>
      <c r="D259" s="52"/>
      <c r="E259" s="52"/>
      <c r="F259" s="52"/>
      <c r="G259" s="52"/>
      <c r="H259" s="56"/>
      <c r="I259" s="56"/>
      <c r="J259" s="56"/>
      <c r="K259" s="56"/>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row>
    <row r="260" spans="1:112">
      <c r="A260" s="150" t="s">
        <v>408</v>
      </c>
      <c r="B260" s="54">
        <v>3130</v>
      </c>
      <c r="C260" s="44" t="s">
        <v>114</v>
      </c>
      <c r="D260" s="52"/>
      <c r="E260" s="52"/>
      <c r="F260" s="52"/>
      <c r="G260" s="52"/>
      <c r="H260" s="56"/>
      <c r="I260" s="56"/>
      <c r="J260" s="56"/>
      <c r="K260" s="56"/>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row>
    <row r="261" spans="1:112">
      <c r="A261" s="150" t="s">
        <v>408</v>
      </c>
      <c r="B261" s="54">
        <v>3140</v>
      </c>
      <c r="C261" s="44" t="s">
        <v>119</v>
      </c>
      <c r="D261" s="52"/>
      <c r="E261" s="52"/>
      <c r="F261" s="52"/>
      <c r="G261" s="52"/>
      <c r="H261" s="56"/>
      <c r="I261" s="56"/>
      <c r="J261" s="56"/>
      <c r="K261" s="56"/>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row>
    <row r="262" spans="1:112">
      <c r="A262" s="150" t="s">
        <v>408</v>
      </c>
      <c r="B262" s="54"/>
      <c r="D262" s="52" t="s">
        <v>38</v>
      </c>
      <c r="E262" s="52" t="s">
        <v>39</v>
      </c>
      <c r="F262" s="52" t="s">
        <v>40</v>
      </c>
      <c r="G262" s="52" t="s">
        <v>41</v>
      </c>
      <c r="H262" s="57" t="s">
        <v>303</v>
      </c>
      <c r="I262" s="57" t="s">
        <v>304</v>
      </c>
      <c r="J262" s="57" t="s">
        <v>305</v>
      </c>
      <c r="K262" s="57" t="s">
        <v>306</v>
      </c>
      <c r="L262" s="52" t="s">
        <v>307</v>
      </c>
      <c r="M262" s="52" t="s">
        <v>308</v>
      </c>
      <c r="N262" s="52" t="s">
        <v>309</v>
      </c>
      <c r="O262" s="52" t="s">
        <v>310</v>
      </c>
      <c r="P262" s="52" t="s">
        <v>311</v>
      </c>
      <c r="Q262" s="52" t="s">
        <v>312</v>
      </c>
      <c r="R262" s="52" t="s">
        <v>313</v>
      </c>
      <c r="S262" s="52" t="s">
        <v>314</v>
      </c>
      <c r="T262" s="52" t="s">
        <v>315</v>
      </c>
      <c r="U262" s="52" t="s">
        <v>316</v>
      </c>
      <c r="V262" s="52" t="s">
        <v>317</v>
      </c>
      <c r="W262" s="52" t="s">
        <v>318</v>
      </c>
      <c r="X262" s="52" t="s">
        <v>319</v>
      </c>
      <c r="Y262" s="52" t="s">
        <v>320</v>
      </c>
      <c r="Z262" s="52" t="s">
        <v>321</v>
      </c>
      <c r="AA262" s="52" t="s">
        <v>322</v>
      </c>
      <c r="AB262" s="52" t="s">
        <v>323</v>
      </c>
      <c r="AC262" s="52" t="s">
        <v>324</v>
      </c>
      <c r="AD262" s="52" t="s">
        <v>325</v>
      </c>
      <c r="AE262" s="52" t="s">
        <v>326</v>
      </c>
      <c r="AF262" s="52" t="s">
        <v>327</v>
      </c>
      <c r="AG262" s="52" t="s">
        <v>328</v>
      </c>
      <c r="AH262" s="52" t="s">
        <v>329</v>
      </c>
      <c r="AI262" s="52" t="s">
        <v>330</v>
      </c>
      <c r="AJ262" s="52" t="s">
        <v>331</v>
      </c>
      <c r="AK262" s="52" t="s">
        <v>332</v>
      </c>
      <c r="AL262" s="52" t="s">
        <v>333</v>
      </c>
      <c r="AM262" s="52" t="s">
        <v>334</v>
      </c>
      <c r="AN262" s="52" t="s">
        <v>335</v>
      </c>
      <c r="AO262" s="52" t="s">
        <v>336</v>
      </c>
      <c r="AP262" s="52" t="s">
        <v>337</v>
      </c>
      <c r="AQ262" s="52" t="s">
        <v>338</v>
      </c>
      <c r="AR262" s="52" t="s">
        <v>339</v>
      </c>
      <c r="AS262" s="52" t="s">
        <v>340</v>
      </c>
      <c r="AT262" s="52" t="s">
        <v>341</v>
      </c>
      <c r="AU262" s="52" t="s">
        <v>342</v>
      </c>
      <c r="AV262" s="52" t="s">
        <v>343</v>
      </c>
      <c r="AW262" s="52" t="s">
        <v>344</v>
      </c>
      <c r="AX262" s="52" t="s">
        <v>345</v>
      </c>
      <c r="AY262" s="52" t="s">
        <v>346</v>
      </c>
      <c r="AZ262" s="52" t="s">
        <v>347</v>
      </c>
      <c r="BA262" s="52" t="s">
        <v>348</v>
      </c>
      <c r="BB262" s="52" t="s">
        <v>349</v>
      </c>
      <c r="BC262" s="52" t="s">
        <v>350</v>
      </c>
      <c r="BD262" s="52" t="s">
        <v>351</v>
      </c>
      <c r="BE262" s="52" t="s">
        <v>352</v>
      </c>
      <c r="BF262" s="52" t="s">
        <v>353</v>
      </c>
      <c r="BG262" s="52" t="s">
        <v>354</v>
      </c>
      <c r="BH262" s="52" t="s">
        <v>355</v>
      </c>
      <c r="BI262" s="52" t="s">
        <v>356</v>
      </c>
      <c r="BJ262" s="52" t="s">
        <v>357</v>
      </c>
      <c r="BK262" s="52" t="s">
        <v>358</v>
      </c>
      <c r="BL262" s="52" t="s">
        <v>359</v>
      </c>
      <c r="BM262" s="52" t="s">
        <v>360</v>
      </c>
      <c r="BN262" s="52" t="s">
        <v>361</v>
      </c>
      <c r="BO262" s="52" t="s">
        <v>362</v>
      </c>
      <c r="BP262" s="52" t="s">
        <v>363</v>
      </c>
      <c r="BQ262" s="52" t="s">
        <v>364</v>
      </c>
      <c r="BR262" s="52" t="s">
        <v>365</v>
      </c>
      <c r="BS262" s="52" t="s">
        <v>366</v>
      </c>
      <c r="BT262" s="52" t="s">
        <v>367</v>
      </c>
      <c r="BU262" s="52" t="s">
        <v>368</v>
      </c>
      <c r="BV262" s="52" t="s">
        <v>369</v>
      </c>
      <c r="BW262" s="52" t="s">
        <v>370</v>
      </c>
      <c r="BX262" s="52" t="s">
        <v>371</v>
      </c>
      <c r="BY262" s="52" t="s">
        <v>372</v>
      </c>
      <c r="BZ262" s="52" t="s">
        <v>373</v>
      </c>
      <c r="CA262" s="52" t="s">
        <v>374</v>
      </c>
      <c r="CB262" s="52" t="s">
        <v>375</v>
      </c>
      <c r="CC262" s="52" t="s">
        <v>376</v>
      </c>
      <c r="CD262" s="52" t="s">
        <v>377</v>
      </c>
      <c r="CE262" s="52" t="s">
        <v>378</v>
      </c>
      <c r="CF262" s="52" t="s">
        <v>379</v>
      </c>
      <c r="CG262" s="52" t="s">
        <v>380</v>
      </c>
      <c r="CH262" s="52" t="s">
        <v>381</v>
      </c>
      <c r="CI262" s="52" t="s">
        <v>382</v>
      </c>
      <c r="CJ262" s="52" t="s">
        <v>383</v>
      </c>
      <c r="CK262" s="52" t="s">
        <v>384</v>
      </c>
      <c r="CL262" s="52" t="s">
        <v>385</v>
      </c>
      <c r="CM262" s="52" t="s">
        <v>386</v>
      </c>
      <c r="CN262" s="52" t="s">
        <v>387</v>
      </c>
      <c r="CO262" s="52" t="s">
        <v>388</v>
      </c>
      <c r="CP262" s="52" t="s">
        <v>389</v>
      </c>
      <c r="CQ262" s="52" t="s">
        <v>390</v>
      </c>
      <c r="CR262" s="52" t="s">
        <v>391</v>
      </c>
      <c r="CS262" s="52" t="s">
        <v>392</v>
      </c>
      <c r="CT262" s="52" t="s">
        <v>393</v>
      </c>
      <c r="CU262" s="52" t="s">
        <v>394</v>
      </c>
      <c r="CV262" s="52" t="s">
        <v>395</v>
      </c>
      <c r="CW262" s="52" t="s">
        <v>396</v>
      </c>
      <c r="CX262" s="52" t="s">
        <v>397</v>
      </c>
      <c r="CY262" s="52" t="s">
        <v>398</v>
      </c>
      <c r="CZ262" s="52" t="s">
        <v>399</v>
      </c>
      <c r="DA262" s="52" t="s">
        <v>400</v>
      </c>
      <c r="DB262" s="52" t="s">
        <v>401</v>
      </c>
      <c r="DC262" s="52" t="s">
        <v>29</v>
      </c>
      <c r="DD262" s="52" t="s">
        <v>402</v>
      </c>
      <c r="DE262" s="52" t="s">
        <v>403</v>
      </c>
      <c r="DF262" s="52" t="s">
        <v>404</v>
      </c>
      <c r="DG262" s="52" t="s">
        <v>405</v>
      </c>
      <c r="DH262" s="52"/>
    </row>
    <row r="263" spans="1:112">
      <c r="A263" s="150" t="s">
        <v>408</v>
      </c>
      <c r="B263" s="54"/>
      <c r="D263" s="52"/>
      <c r="E263" s="52"/>
      <c r="F263" s="52"/>
      <c r="G263" s="52"/>
      <c r="H263" s="56"/>
      <c r="I263" s="56"/>
      <c r="J263" s="56"/>
      <c r="K263" s="56"/>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row>
    <row r="264" spans="1:112">
      <c r="A264" s="150" t="s">
        <v>408</v>
      </c>
      <c r="B264" s="54">
        <v>3150</v>
      </c>
      <c r="C264" s="44" t="s">
        <v>122</v>
      </c>
      <c r="D264" s="52"/>
      <c r="E264" s="52"/>
      <c r="F264" s="52"/>
      <c r="G264" s="52"/>
      <c r="H264" s="56"/>
      <c r="I264" s="56"/>
      <c r="J264" s="56"/>
      <c r="K264" s="56"/>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row>
    <row r="265" spans="1:112">
      <c r="A265" s="150" t="s">
        <v>407</v>
      </c>
      <c r="B265" s="54">
        <v>3151</v>
      </c>
      <c r="C265" s="44" t="s">
        <v>123</v>
      </c>
      <c r="D265" s="52"/>
      <c r="E265" s="52">
        <v>9409</v>
      </c>
      <c r="F265" s="52">
        <v>3043</v>
      </c>
      <c r="G265" s="52"/>
      <c r="H265" s="56"/>
      <c r="I265" s="56"/>
      <c r="J265" s="56"/>
      <c r="K265" s="56"/>
      <c r="L265" s="52">
        <v>12480</v>
      </c>
      <c r="M265" s="52"/>
      <c r="N265" s="52">
        <v>9892</v>
      </c>
      <c r="O265" s="52"/>
      <c r="P265" s="52"/>
      <c r="Q265" s="52"/>
      <c r="R265" s="52"/>
      <c r="S265" s="52"/>
      <c r="T265" s="52"/>
      <c r="U265" s="52">
        <v>9409</v>
      </c>
      <c r="V265" s="52"/>
      <c r="W265" s="52"/>
      <c r="X265" s="52">
        <v>10340</v>
      </c>
      <c r="Y265" s="52">
        <v>22480</v>
      </c>
      <c r="Z265" s="52">
        <v>13025</v>
      </c>
      <c r="AA265" s="52"/>
      <c r="AB265" s="52"/>
      <c r="AC265" s="52"/>
      <c r="AD265" s="52"/>
      <c r="AE265" s="52"/>
      <c r="AF265" s="52">
        <v>166948</v>
      </c>
      <c r="AG265" s="52">
        <v>12480</v>
      </c>
      <c r="AH265" s="52">
        <v>12237</v>
      </c>
      <c r="AI265" s="52"/>
      <c r="AJ265" s="52"/>
      <c r="AK265" s="52"/>
      <c r="AL265" s="52"/>
      <c r="AM265" s="52"/>
      <c r="AN265" s="52">
        <v>12480</v>
      </c>
      <c r="AO265" s="52"/>
      <c r="AP265" s="52"/>
      <c r="AQ265" s="52"/>
      <c r="AR265" s="52"/>
      <c r="AS265" s="52">
        <v>10712</v>
      </c>
      <c r="AT265" s="52"/>
      <c r="AU265" s="52"/>
      <c r="AV265" s="52"/>
      <c r="AW265" s="52"/>
      <c r="AX265" s="52"/>
      <c r="AY265" s="52">
        <v>129120</v>
      </c>
      <c r="AZ265" s="52">
        <v>9409</v>
      </c>
      <c r="BA265" s="52"/>
      <c r="BB265" s="52"/>
      <c r="BC265" s="52"/>
      <c r="BD265" s="52"/>
      <c r="BE265" s="52"/>
      <c r="BF265" s="52">
        <v>9469</v>
      </c>
      <c r="BG265" s="52"/>
      <c r="BH265" s="52">
        <v>8840</v>
      </c>
      <c r="BI265" s="52">
        <v>18273</v>
      </c>
      <c r="BJ265" s="52">
        <v>5425</v>
      </c>
      <c r="BK265" s="52"/>
      <c r="BL265" s="52"/>
      <c r="BM265" s="52"/>
      <c r="BN265" s="52">
        <v>10819</v>
      </c>
      <c r="BO265" s="52"/>
      <c r="BP265" s="52"/>
      <c r="BQ265" s="52"/>
      <c r="BR265" s="52"/>
      <c r="BS265" s="52">
        <v>14703</v>
      </c>
      <c r="BT265" s="52"/>
      <c r="BU265" s="52"/>
      <c r="BV265" s="52"/>
      <c r="BW265" s="52"/>
      <c r="BX265" s="52"/>
      <c r="BY265" s="52"/>
      <c r="BZ265" s="52">
        <v>9409</v>
      </c>
      <c r="CA265" s="52"/>
      <c r="CB265" s="52"/>
      <c r="CC265" s="52"/>
      <c r="CD265" s="52"/>
      <c r="CE265" s="52"/>
      <c r="CF265" s="52">
        <v>1620</v>
      </c>
      <c r="CG265" s="52">
        <v>12480</v>
      </c>
      <c r="CH265" s="52"/>
      <c r="CI265" s="52"/>
      <c r="CJ265" s="52"/>
      <c r="CK265" s="52"/>
      <c r="CL265" s="52"/>
      <c r="CM265" s="52"/>
      <c r="CN265" s="52"/>
      <c r="CO265" s="52"/>
      <c r="CP265" s="52">
        <v>9717</v>
      </c>
      <c r="CQ265" s="52"/>
      <c r="CR265" s="52"/>
      <c r="CS265" s="52"/>
      <c r="CT265" s="52"/>
      <c r="CU265" s="52">
        <v>23230</v>
      </c>
      <c r="CV265" s="52"/>
      <c r="CW265" s="52">
        <v>3071</v>
      </c>
      <c r="CX265" s="52"/>
      <c r="CY265" s="52"/>
      <c r="CZ265" s="52"/>
      <c r="DA265" s="52">
        <v>14164</v>
      </c>
      <c r="DB265" s="52"/>
      <c r="DC265" s="52"/>
      <c r="DD265" s="52">
        <v>111656</v>
      </c>
      <c r="DE265" s="52">
        <v>584684</v>
      </c>
      <c r="DF265" s="52">
        <v>111656</v>
      </c>
      <c r="DG265" s="52">
        <v>696340</v>
      </c>
      <c r="DH265" s="52"/>
    </row>
    <row r="266" spans="1:112">
      <c r="A266" s="150" t="s">
        <v>407</v>
      </c>
      <c r="B266" s="54">
        <v>3152</v>
      </c>
      <c r="C266" s="44" t="s">
        <v>124</v>
      </c>
      <c r="D266" s="52"/>
      <c r="E266" s="52"/>
      <c r="F266" s="52"/>
      <c r="G266" s="52"/>
      <c r="H266" s="56"/>
      <c r="I266" s="56"/>
      <c r="J266" s="56"/>
      <c r="K266" s="56"/>
      <c r="L266" s="52"/>
      <c r="M266" s="52"/>
      <c r="N266" s="52"/>
      <c r="O266" s="52"/>
      <c r="P266" s="52"/>
      <c r="Q266" s="52"/>
      <c r="R266" s="52"/>
      <c r="S266" s="52"/>
      <c r="T266" s="52"/>
      <c r="U266" s="52"/>
      <c r="V266" s="52"/>
      <c r="W266" s="52"/>
      <c r="X266" s="52"/>
      <c r="Y266" s="52"/>
      <c r="Z266" s="52"/>
      <c r="AA266" s="52"/>
      <c r="AB266" s="52"/>
      <c r="AC266" s="52"/>
      <c r="AD266" s="52"/>
      <c r="AE266" s="52"/>
      <c r="AF266" s="52">
        <v>50000</v>
      </c>
      <c r="AG266" s="52"/>
      <c r="AH266" s="52"/>
      <c r="AI266" s="52"/>
      <c r="AJ266" s="52"/>
      <c r="AK266" s="52">
        <v>4715</v>
      </c>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v>54715</v>
      </c>
      <c r="DF266" s="52"/>
      <c r="DG266" s="52">
        <v>54715</v>
      </c>
      <c r="DH266" s="52"/>
    </row>
    <row r="267" spans="1:112">
      <c r="A267" s="150" t="s">
        <v>407</v>
      </c>
      <c r="B267" s="54">
        <v>3153</v>
      </c>
      <c r="C267" s="44" t="s">
        <v>125</v>
      </c>
      <c r="D267" s="52"/>
      <c r="E267" s="52"/>
      <c r="F267" s="52"/>
      <c r="G267" s="52"/>
      <c r="H267" s="56"/>
      <c r="I267" s="56"/>
      <c r="J267" s="56"/>
      <c r="K267" s="56"/>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row>
    <row r="268" spans="1:112">
      <c r="A268" s="150" t="s">
        <v>407</v>
      </c>
      <c r="B268" s="54">
        <v>3154</v>
      </c>
      <c r="C268" s="44" t="s">
        <v>126</v>
      </c>
      <c r="D268" s="52"/>
      <c r="E268" s="52"/>
      <c r="F268" s="52"/>
      <c r="G268" s="52"/>
      <c r="H268" s="56"/>
      <c r="I268" s="56"/>
      <c r="J268" s="56"/>
      <c r="K268" s="56"/>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v>5947</v>
      </c>
      <c r="BA268" s="52"/>
      <c r="BB268" s="52"/>
      <c r="BC268" s="52"/>
      <c r="BD268" s="52">
        <v>8342</v>
      </c>
      <c r="BE268" s="52"/>
      <c r="BF268" s="52">
        <v>47347</v>
      </c>
      <c r="BG268" s="52"/>
      <c r="BH268" s="52">
        <v>28956</v>
      </c>
      <c r="BI268" s="52">
        <v>28318</v>
      </c>
      <c r="BJ268" s="52">
        <v>23251</v>
      </c>
      <c r="BK268" s="52"/>
      <c r="BL268" s="52"/>
      <c r="BM268" s="52">
        <v>64352</v>
      </c>
      <c r="BN268" s="52">
        <v>29384</v>
      </c>
      <c r="BO268" s="52">
        <v>10606</v>
      </c>
      <c r="BP268" s="52"/>
      <c r="BQ268" s="52">
        <v>20332</v>
      </c>
      <c r="BR268" s="52">
        <v>10893</v>
      </c>
      <c r="BS268" s="52">
        <v>19413</v>
      </c>
      <c r="BT268" s="52"/>
      <c r="BU268" s="52"/>
      <c r="BV268" s="52"/>
      <c r="BW268" s="52"/>
      <c r="BX268" s="52">
        <v>15163</v>
      </c>
      <c r="BY268" s="52">
        <v>28500</v>
      </c>
      <c r="BZ268" s="52">
        <v>29701</v>
      </c>
      <c r="CA268" s="52"/>
      <c r="CB268" s="52"/>
      <c r="CC268" s="52"/>
      <c r="CD268" s="52"/>
      <c r="CE268" s="52"/>
      <c r="CF268" s="52">
        <v>87592</v>
      </c>
      <c r="CG268" s="52">
        <v>197676</v>
      </c>
      <c r="CH268" s="52">
        <v>36169</v>
      </c>
      <c r="CI268" s="52">
        <v>13511</v>
      </c>
      <c r="CJ268" s="52"/>
      <c r="CK268" s="52"/>
      <c r="CL268" s="52"/>
      <c r="CM268" s="52"/>
      <c r="CN268" s="52"/>
      <c r="CO268" s="52"/>
      <c r="CP268" s="52">
        <v>90551</v>
      </c>
      <c r="CQ268" s="52"/>
      <c r="CR268" s="52"/>
      <c r="CS268" s="52"/>
      <c r="CT268" s="52"/>
      <c r="CU268" s="52">
        <v>177115</v>
      </c>
      <c r="CV268" s="52"/>
      <c r="CW268" s="52">
        <v>9301</v>
      </c>
      <c r="CX268" s="52">
        <v>23688</v>
      </c>
      <c r="CY268" s="52"/>
      <c r="CZ268" s="52">
        <v>43070</v>
      </c>
      <c r="DA268" s="52">
        <v>32978</v>
      </c>
      <c r="DB268" s="52"/>
      <c r="DC268" s="52"/>
      <c r="DD268" s="52"/>
      <c r="DE268" s="52">
        <v>1082156</v>
      </c>
      <c r="DF268" s="52"/>
      <c r="DG268" s="52">
        <v>1082156</v>
      </c>
      <c r="DH268" s="52"/>
    </row>
    <row r="269" spans="1:112">
      <c r="A269" s="150" t="s">
        <v>408</v>
      </c>
      <c r="B269" s="54">
        <v>3190</v>
      </c>
      <c r="C269" s="44" t="s">
        <v>139</v>
      </c>
      <c r="D269" s="52"/>
      <c r="E269" s="52"/>
      <c r="F269" s="52"/>
      <c r="G269" s="52"/>
      <c r="H269" s="56"/>
      <c r="I269" s="56"/>
      <c r="J269" s="56"/>
      <c r="K269" s="56"/>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row>
    <row r="270" spans="1:112">
      <c r="A270" s="150" t="s">
        <v>408</v>
      </c>
      <c r="B270" s="54">
        <v>3200</v>
      </c>
      <c r="C270" s="44" t="s">
        <v>148</v>
      </c>
      <c r="D270" s="52"/>
      <c r="E270" s="52"/>
      <c r="F270" s="52"/>
      <c r="G270" s="52"/>
      <c r="H270" s="56"/>
      <c r="I270" s="56"/>
      <c r="J270" s="56"/>
      <c r="K270" s="56"/>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row>
    <row r="271" spans="1:112">
      <c r="A271" s="150" t="s">
        <v>408</v>
      </c>
      <c r="B271" s="54">
        <v>3290</v>
      </c>
      <c r="C271" s="44" t="s">
        <v>151</v>
      </c>
      <c r="D271" s="52"/>
      <c r="E271" s="52"/>
      <c r="F271" s="52"/>
      <c r="G271" s="52"/>
      <c r="H271" s="56"/>
      <c r="I271" s="56"/>
      <c r="J271" s="56"/>
      <c r="K271" s="56"/>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row>
    <row r="272" spans="1:112">
      <c r="A272" s="150" t="s">
        <v>408</v>
      </c>
      <c r="B272" s="54">
        <v>3300</v>
      </c>
      <c r="C272" s="44" t="s">
        <v>153</v>
      </c>
      <c r="D272" s="52"/>
      <c r="E272" s="52"/>
      <c r="F272" s="52"/>
      <c r="G272" s="52"/>
      <c r="H272" s="56"/>
      <c r="I272" s="56"/>
      <c r="J272" s="56"/>
      <c r="K272" s="56"/>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row>
    <row r="273" spans="1:112">
      <c r="A273" s="150" t="s">
        <v>408</v>
      </c>
      <c r="B273" s="54">
        <v>3310</v>
      </c>
      <c r="C273" s="44" t="s">
        <v>154</v>
      </c>
      <c r="D273" s="52"/>
      <c r="E273" s="52"/>
      <c r="F273" s="52"/>
      <c r="G273" s="52"/>
      <c r="H273" s="56"/>
      <c r="I273" s="56"/>
      <c r="J273" s="56"/>
      <c r="K273" s="56"/>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row>
    <row r="274" spans="1:112">
      <c r="A274" s="150" t="s">
        <v>408</v>
      </c>
      <c r="B274" s="54"/>
      <c r="D274" s="52" t="s">
        <v>38</v>
      </c>
      <c r="E274" s="52" t="s">
        <v>39</v>
      </c>
      <c r="F274" s="52" t="s">
        <v>40</v>
      </c>
      <c r="G274" s="52" t="s">
        <v>41</v>
      </c>
      <c r="H274" s="57" t="s">
        <v>303</v>
      </c>
      <c r="I274" s="57" t="s">
        <v>304</v>
      </c>
      <c r="J274" s="57" t="s">
        <v>305</v>
      </c>
      <c r="K274" s="57" t="s">
        <v>306</v>
      </c>
      <c r="L274" s="52" t="s">
        <v>307</v>
      </c>
      <c r="M274" s="52" t="s">
        <v>308</v>
      </c>
      <c r="N274" s="52" t="s">
        <v>309</v>
      </c>
      <c r="O274" s="52" t="s">
        <v>310</v>
      </c>
      <c r="P274" s="52" t="s">
        <v>311</v>
      </c>
      <c r="Q274" s="52" t="s">
        <v>312</v>
      </c>
      <c r="R274" s="52" t="s">
        <v>313</v>
      </c>
      <c r="S274" s="52" t="s">
        <v>314</v>
      </c>
      <c r="T274" s="52" t="s">
        <v>315</v>
      </c>
      <c r="U274" s="52" t="s">
        <v>316</v>
      </c>
      <c r="V274" s="52" t="s">
        <v>317</v>
      </c>
      <c r="W274" s="52" t="s">
        <v>318</v>
      </c>
      <c r="X274" s="52" t="s">
        <v>319</v>
      </c>
      <c r="Y274" s="52" t="s">
        <v>320</v>
      </c>
      <c r="Z274" s="52" t="s">
        <v>321</v>
      </c>
      <c r="AA274" s="52" t="s">
        <v>322</v>
      </c>
      <c r="AB274" s="52" t="s">
        <v>323</v>
      </c>
      <c r="AC274" s="52" t="s">
        <v>324</v>
      </c>
      <c r="AD274" s="52" t="s">
        <v>325</v>
      </c>
      <c r="AE274" s="52" t="s">
        <v>326</v>
      </c>
      <c r="AF274" s="52" t="s">
        <v>327</v>
      </c>
      <c r="AG274" s="52" t="s">
        <v>328</v>
      </c>
      <c r="AH274" s="52" t="s">
        <v>329</v>
      </c>
      <c r="AI274" s="52" t="s">
        <v>330</v>
      </c>
      <c r="AJ274" s="52" t="s">
        <v>331</v>
      </c>
      <c r="AK274" s="52" t="s">
        <v>332</v>
      </c>
      <c r="AL274" s="52" t="s">
        <v>333</v>
      </c>
      <c r="AM274" s="52" t="s">
        <v>334</v>
      </c>
      <c r="AN274" s="52" t="s">
        <v>335</v>
      </c>
      <c r="AO274" s="52" t="s">
        <v>336</v>
      </c>
      <c r="AP274" s="52" t="s">
        <v>337</v>
      </c>
      <c r="AQ274" s="52" t="s">
        <v>338</v>
      </c>
      <c r="AR274" s="52" t="s">
        <v>339</v>
      </c>
      <c r="AS274" s="52" t="s">
        <v>340</v>
      </c>
      <c r="AT274" s="52" t="s">
        <v>341</v>
      </c>
      <c r="AU274" s="52" t="s">
        <v>342</v>
      </c>
      <c r="AV274" s="52" t="s">
        <v>343</v>
      </c>
      <c r="AW274" s="52" t="s">
        <v>344</v>
      </c>
      <c r="AX274" s="52" t="s">
        <v>345</v>
      </c>
      <c r="AY274" s="52" t="s">
        <v>346</v>
      </c>
      <c r="AZ274" s="52" t="s">
        <v>347</v>
      </c>
      <c r="BA274" s="52" t="s">
        <v>348</v>
      </c>
      <c r="BB274" s="52" t="s">
        <v>349</v>
      </c>
      <c r="BC274" s="52" t="s">
        <v>350</v>
      </c>
      <c r="BD274" s="52" t="s">
        <v>351</v>
      </c>
      <c r="BE274" s="52" t="s">
        <v>352</v>
      </c>
      <c r="BF274" s="52" t="s">
        <v>353</v>
      </c>
      <c r="BG274" s="52" t="s">
        <v>354</v>
      </c>
      <c r="BH274" s="52" t="s">
        <v>355</v>
      </c>
      <c r="BI274" s="52" t="s">
        <v>356</v>
      </c>
      <c r="BJ274" s="52" t="s">
        <v>357</v>
      </c>
      <c r="BK274" s="52" t="s">
        <v>358</v>
      </c>
      <c r="BL274" s="52" t="s">
        <v>359</v>
      </c>
      <c r="BM274" s="52" t="s">
        <v>360</v>
      </c>
      <c r="BN274" s="52" t="s">
        <v>361</v>
      </c>
      <c r="BO274" s="52" t="s">
        <v>362</v>
      </c>
      <c r="BP274" s="52" t="s">
        <v>363</v>
      </c>
      <c r="BQ274" s="52" t="s">
        <v>364</v>
      </c>
      <c r="BR274" s="52" t="s">
        <v>365</v>
      </c>
      <c r="BS274" s="52" t="s">
        <v>366</v>
      </c>
      <c r="BT274" s="52" t="s">
        <v>367</v>
      </c>
      <c r="BU274" s="52" t="s">
        <v>368</v>
      </c>
      <c r="BV274" s="52" t="s">
        <v>369</v>
      </c>
      <c r="BW274" s="52" t="s">
        <v>370</v>
      </c>
      <c r="BX274" s="52" t="s">
        <v>371</v>
      </c>
      <c r="BY274" s="52" t="s">
        <v>372</v>
      </c>
      <c r="BZ274" s="52" t="s">
        <v>373</v>
      </c>
      <c r="CA274" s="52" t="s">
        <v>374</v>
      </c>
      <c r="CB274" s="52" t="s">
        <v>375</v>
      </c>
      <c r="CC274" s="52" t="s">
        <v>376</v>
      </c>
      <c r="CD274" s="52" t="s">
        <v>377</v>
      </c>
      <c r="CE274" s="52" t="s">
        <v>378</v>
      </c>
      <c r="CF274" s="52" t="s">
        <v>379</v>
      </c>
      <c r="CG274" s="52" t="s">
        <v>380</v>
      </c>
      <c r="CH274" s="52" t="s">
        <v>381</v>
      </c>
      <c r="CI274" s="52" t="s">
        <v>382</v>
      </c>
      <c r="CJ274" s="52" t="s">
        <v>383</v>
      </c>
      <c r="CK274" s="52" t="s">
        <v>384</v>
      </c>
      <c r="CL274" s="52" t="s">
        <v>385</v>
      </c>
      <c r="CM274" s="52" t="s">
        <v>386</v>
      </c>
      <c r="CN274" s="52" t="s">
        <v>387</v>
      </c>
      <c r="CO274" s="52" t="s">
        <v>388</v>
      </c>
      <c r="CP274" s="52" t="s">
        <v>389</v>
      </c>
      <c r="CQ274" s="52" t="s">
        <v>390</v>
      </c>
      <c r="CR274" s="52" t="s">
        <v>391</v>
      </c>
      <c r="CS274" s="52" t="s">
        <v>392</v>
      </c>
      <c r="CT274" s="52" t="s">
        <v>393</v>
      </c>
      <c r="CU274" s="52" t="s">
        <v>394</v>
      </c>
      <c r="CV274" s="52" t="s">
        <v>395</v>
      </c>
      <c r="CW274" s="52" t="s">
        <v>396</v>
      </c>
      <c r="CX274" s="52" t="s">
        <v>397</v>
      </c>
      <c r="CY274" s="52" t="s">
        <v>398</v>
      </c>
      <c r="CZ274" s="52" t="s">
        <v>399</v>
      </c>
      <c r="DA274" s="52" t="s">
        <v>400</v>
      </c>
      <c r="DB274" s="52" t="s">
        <v>401</v>
      </c>
      <c r="DC274" s="52" t="s">
        <v>29</v>
      </c>
      <c r="DD274" s="52" t="s">
        <v>402</v>
      </c>
      <c r="DE274" s="52" t="s">
        <v>403</v>
      </c>
      <c r="DF274" s="52" t="s">
        <v>404</v>
      </c>
      <c r="DG274" s="52" t="s">
        <v>405</v>
      </c>
      <c r="DH274" s="52"/>
    </row>
    <row r="275" spans="1:112">
      <c r="A275" s="150" t="s">
        <v>408</v>
      </c>
      <c r="B275" s="54"/>
      <c r="D275" s="52"/>
      <c r="E275" s="52"/>
      <c r="F275" s="52"/>
      <c r="G275" s="52"/>
      <c r="H275" s="56"/>
      <c r="I275" s="56"/>
      <c r="J275" s="56"/>
      <c r="K275" s="56"/>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row>
    <row r="276" spans="1:112">
      <c r="A276" s="150" t="s">
        <v>408</v>
      </c>
      <c r="B276" s="54">
        <v>3330</v>
      </c>
      <c r="C276" s="44" t="s">
        <v>171</v>
      </c>
      <c r="D276" s="52"/>
      <c r="E276" s="52"/>
      <c r="F276" s="52"/>
      <c r="G276" s="52"/>
      <c r="H276" s="56"/>
      <c r="I276" s="56"/>
      <c r="J276" s="56"/>
      <c r="K276" s="56"/>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row>
    <row r="277" spans="1:112">
      <c r="A277" s="150" t="s">
        <v>407</v>
      </c>
      <c r="B277" s="54">
        <v>3540</v>
      </c>
      <c r="C277" s="44" t="s">
        <v>192</v>
      </c>
      <c r="D277" s="52">
        <v>40131</v>
      </c>
      <c r="E277" s="52">
        <v>870358</v>
      </c>
      <c r="F277" s="52">
        <v>83483</v>
      </c>
      <c r="G277" s="52"/>
      <c r="H277" s="56">
        <v>201161</v>
      </c>
      <c r="I277" s="56">
        <v>125212</v>
      </c>
      <c r="J277" s="56">
        <v>92625</v>
      </c>
      <c r="K277" s="56">
        <v>83859</v>
      </c>
      <c r="L277" s="52">
        <v>399674</v>
      </c>
      <c r="M277" s="52"/>
      <c r="N277" s="52"/>
      <c r="O277" s="52">
        <v>47679</v>
      </c>
      <c r="P277" s="52"/>
      <c r="Q277" s="52">
        <v>7567</v>
      </c>
      <c r="R277" s="52">
        <v>32486</v>
      </c>
      <c r="S277" s="52">
        <v>91033</v>
      </c>
      <c r="T277" s="52"/>
      <c r="U277" s="52">
        <v>393142</v>
      </c>
      <c r="V277" s="52"/>
      <c r="W277" s="52">
        <v>725458</v>
      </c>
      <c r="X277" s="52">
        <v>91266</v>
      </c>
      <c r="Y277" s="52">
        <v>1443504</v>
      </c>
      <c r="Z277" s="52">
        <v>346758</v>
      </c>
      <c r="AA277" s="52">
        <v>227848</v>
      </c>
      <c r="AB277" s="52">
        <v>263804</v>
      </c>
      <c r="AC277" s="52">
        <v>2105</v>
      </c>
      <c r="AD277" s="52">
        <v>31686</v>
      </c>
      <c r="AE277" s="52">
        <v>76700</v>
      </c>
      <c r="AF277" s="52"/>
      <c r="AG277" s="52">
        <v>343951</v>
      </c>
      <c r="AH277" s="52">
        <v>486500</v>
      </c>
      <c r="AI277" s="52"/>
      <c r="AJ277" s="52">
        <v>4043</v>
      </c>
      <c r="AK277" s="52">
        <v>63383</v>
      </c>
      <c r="AL277" s="52">
        <v>51364</v>
      </c>
      <c r="AM277" s="52"/>
      <c r="AN277" s="52">
        <v>428138</v>
      </c>
      <c r="AO277" s="52">
        <v>96860</v>
      </c>
      <c r="AP277" s="52"/>
      <c r="AQ277" s="52">
        <v>157594</v>
      </c>
      <c r="AR277" s="52">
        <v>173571</v>
      </c>
      <c r="AS277" s="52">
        <v>460809</v>
      </c>
      <c r="AT277" s="52"/>
      <c r="AU277" s="52">
        <v>184894</v>
      </c>
      <c r="AV277" s="52">
        <v>18343</v>
      </c>
      <c r="AW277" s="52">
        <v>46573</v>
      </c>
      <c r="AX277" s="52">
        <v>380577</v>
      </c>
      <c r="AY277" s="52">
        <v>1870104</v>
      </c>
      <c r="AZ277" s="52">
        <v>335176</v>
      </c>
      <c r="BA277" s="52">
        <v>39708</v>
      </c>
      <c r="BB277" s="52">
        <v>42739</v>
      </c>
      <c r="BC277" s="52"/>
      <c r="BD277" s="52">
        <v>80457</v>
      </c>
      <c r="BE277" s="52">
        <v>1538</v>
      </c>
      <c r="BF277" s="52">
        <v>1073114</v>
      </c>
      <c r="BG277" s="52">
        <v>34411</v>
      </c>
      <c r="BH277" s="52">
        <v>350052</v>
      </c>
      <c r="BI277" s="52">
        <v>385419</v>
      </c>
      <c r="BJ277" s="52">
        <v>245565</v>
      </c>
      <c r="BK277" s="52">
        <v>54830</v>
      </c>
      <c r="BL277" s="52">
        <v>39675</v>
      </c>
      <c r="BM277" s="52">
        <v>359040</v>
      </c>
      <c r="BN277" s="52">
        <v>311070</v>
      </c>
      <c r="BO277" s="52">
        <v>80660</v>
      </c>
      <c r="BP277" s="52">
        <v>60586</v>
      </c>
      <c r="BQ277" s="52">
        <v>233913</v>
      </c>
      <c r="BR277" s="52">
        <v>47731</v>
      </c>
      <c r="BS277" s="52"/>
      <c r="BT277" s="52">
        <v>114042</v>
      </c>
      <c r="BU277" s="52"/>
      <c r="BV277" s="52">
        <v>18127</v>
      </c>
      <c r="BW277" s="52"/>
      <c r="BX277" s="52">
        <v>313284</v>
      </c>
      <c r="BY277" s="52">
        <v>210331</v>
      </c>
      <c r="BZ277" s="52">
        <v>332258</v>
      </c>
      <c r="CA277" s="52"/>
      <c r="CB277" s="52">
        <v>186582</v>
      </c>
      <c r="CC277" s="52">
        <v>121306</v>
      </c>
      <c r="CD277" s="52">
        <v>285411</v>
      </c>
      <c r="CE277" s="52"/>
      <c r="CF277" s="52">
        <v>480287</v>
      </c>
      <c r="CG277" s="52">
        <v>1115741</v>
      </c>
      <c r="CH277" s="52">
        <v>439440</v>
      </c>
      <c r="CI277" s="52">
        <v>89772</v>
      </c>
      <c r="CJ277" s="52">
        <v>118542</v>
      </c>
      <c r="CK277" s="52">
        <v>233778</v>
      </c>
      <c r="CL277" s="52">
        <v>82946</v>
      </c>
      <c r="CM277" s="52">
        <v>87181</v>
      </c>
      <c r="CN277" s="52">
        <v>153213</v>
      </c>
      <c r="CO277" s="52">
        <v>150884</v>
      </c>
      <c r="CP277" s="52">
        <v>352931</v>
      </c>
      <c r="CQ277" s="52"/>
      <c r="CR277" s="52"/>
      <c r="CS277" s="52"/>
      <c r="CT277" s="52">
        <v>464268</v>
      </c>
      <c r="CU277" s="52">
        <v>457400</v>
      </c>
      <c r="CV277" s="52"/>
      <c r="CW277" s="52">
        <v>196964</v>
      </c>
      <c r="CX277" s="52">
        <v>155400</v>
      </c>
      <c r="CY277" s="52">
        <v>174325</v>
      </c>
      <c r="CZ277" s="52">
        <v>95516</v>
      </c>
      <c r="DA277" s="52">
        <v>447985</v>
      </c>
      <c r="DB277" s="52">
        <v>81713</v>
      </c>
      <c r="DC277" s="52"/>
      <c r="DD277" s="52"/>
      <c r="DE277" s="52">
        <v>21179554</v>
      </c>
      <c r="DF277" s="52"/>
      <c r="DG277" s="52">
        <v>21179554</v>
      </c>
      <c r="DH277" s="52"/>
    </row>
    <row r="278" spans="1:112">
      <c r="A278" s="150" t="s">
        <v>407</v>
      </c>
      <c r="B278" s="54">
        <v>3546</v>
      </c>
      <c r="C278" s="44" t="s">
        <v>194</v>
      </c>
      <c r="D278" s="52">
        <v>413540</v>
      </c>
      <c r="E278" s="52">
        <v>2167453</v>
      </c>
      <c r="F278" s="52">
        <v>220626</v>
      </c>
      <c r="G278" s="52"/>
      <c r="H278" s="56">
        <v>488877</v>
      </c>
      <c r="I278" s="56">
        <v>324917</v>
      </c>
      <c r="J278" s="56">
        <v>397074</v>
      </c>
      <c r="K278" s="56">
        <v>229062</v>
      </c>
      <c r="L278" s="52">
        <v>1083744</v>
      </c>
      <c r="M278" s="52"/>
      <c r="N278" s="52"/>
      <c r="O278" s="52">
        <v>165078</v>
      </c>
      <c r="P278" s="52">
        <v>138875</v>
      </c>
      <c r="Q278" s="52">
        <v>123154</v>
      </c>
      <c r="R278" s="52">
        <v>111338</v>
      </c>
      <c r="S278" s="52">
        <v>413476</v>
      </c>
      <c r="T278" s="52"/>
      <c r="U278" s="52">
        <v>224891</v>
      </c>
      <c r="V278" s="52"/>
      <c r="W278" s="52">
        <v>2312036</v>
      </c>
      <c r="X278" s="52">
        <v>174374</v>
      </c>
      <c r="Y278" s="52">
        <v>3886323</v>
      </c>
      <c r="Z278" s="52">
        <v>879064</v>
      </c>
      <c r="AA278" s="52">
        <v>355288</v>
      </c>
      <c r="AB278" s="52">
        <v>845778</v>
      </c>
      <c r="AC278" s="52">
        <v>142135</v>
      </c>
      <c r="AD278" s="52">
        <v>354050</v>
      </c>
      <c r="AE278" s="52">
        <v>134359</v>
      </c>
      <c r="AF278" s="52"/>
      <c r="AG278" s="52">
        <v>779634</v>
      </c>
      <c r="AH278" s="52">
        <v>1162121</v>
      </c>
      <c r="AI278" s="52"/>
      <c r="AJ278" s="52">
        <v>106835</v>
      </c>
      <c r="AK278" s="52">
        <v>454542</v>
      </c>
      <c r="AL278" s="52">
        <v>166651</v>
      </c>
      <c r="AM278" s="52"/>
      <c r="AN278" s="52">
        <v>474639</v>
      </c>
      <c r="AO278" s="52">
        <v>273559</v>
      </c>
      <c r="AP278" s="52"/>
      <c r="AQ278" s="52">
        <v>421344</v>
      </c>
      <c r="AR278" s="52">
        <v>438769</v>
      </c>
      <c r="AS278" s="52">
        <v>1503527</v>
      </c>
      <c r="AT278" s="52">
        <v>194822</v>
      </c>
      <c r="AU278" s="52">
        <v>336687</v>
      </c>
      <c r="AV278" s="52">
        <v>140972</v>
      </c>
      <c r="AW278" s="52">
        <v>142544</v>
      </c>
      <c r="AX278" s="52">
        <v>919597</v>
      </c>
      <c r="AY278" s="52">
        <v>4619429</v>
      </c>
      <c r="AZ278" s="52">
        <v>738445</v>
      </c>
      <c r="BA278" s="52">
        <v>133468</v>
      </c>
      <c r="BB278" s="52">
        <v>175883</v>
      </c>
      <c r="BC278" s="52"/>
      <c r="BD278" s="52">
        <v>291377</v>
      </c>
      <c r="BE278" s="52">
        <v>182373</v>
      </c>
      <c r="BF278" s="52">
        <v>3137876</v>
      </c>
      <c r="BG278" s="52">
        <v>471914</v>
      </c>
      <c r="BH278" s="52">
        <v>1005474</v>
      </c>
      <c r="BI278" s="52">
        <v>878063</v>
      </c>
      <c r="BJ278" s="52">
        <v>701767</v>
      </c>
      <c r="BK278" s="52">
        <v>372480</v>
      </c>
      <c r="BL278" s="52">
        <v>288256</v>
      </c>
      <c r="BM278" s="52">
        <v>1079722</v>
      </c>
      <c r="BN278" s="52">
        <v>934666</v>
      </c>
      <c r="BO278" s="52">
        <v>177249</v>
      </c>
      <c r="BP278" s="52">
        <v>247636</v>
      </c>
      <c r="BQ278" s="52">
        <v>731609</v>
      </c>
      <c r="BR278" s="52">
        <v>163217</v>
      </c>
      <c r="BS278" s="52"/>
      <c r="BT278" s="52">
        <v>374238</v>
      </c>
      <c r="BU278" s="52">
        <v>286722</v>
      </c>
      <c r="BV278" s="52">
        <v>113197</v>
      </c>
      <c r="BW278" s="52"/>
      <c r="BX278" s="52">
        <v>692283</v>
      </c>
      <c r="BY278" s="52">
        <v>649309</v>
      </c>
      <c r="BZ278" s="52">
        <v>1038162</v>
      </c>
      <c r="CA278" s="52"/>
      <c r="CB278" s="52">
        <v>461848</v>
      </c>
      <c r="CC278" s="52">
        <v>370653</v>
      </c>
      <c r="CD278" s="52">
        <v>1016924</v>
      </c>
      <c r="CE278" s="52"/>
      <c r="CF278" s="52">
        <v>1275668</v>
      </c>
      <c r="CG278" s="52">
        <v>2901770</v>
      </c>
      <c r="CH278" s="52">
        <v>1276707</v>
      </c>
      <c r="CI278" s="52">
        <v>228490</v>
      </c>
      <c r="CJ278" s="52">
        <v>394093</v>
      </c>
      <c r="CK278" s="52">
        <v>757184</v>
      </c>
      <c r="CL278" s="52">
        <v>261506</v>
      </c>
      <c r="CM278" s="52">
        <v>262030</v>
      </c>
      <c r="CN278" s="52">
        <v>454940</v>
      </c>
      <c r="CO278" s="52">
        <v>848885</v>
      </c>
      <c r="CP278" s="52">
        <v>951064</v>
      </c>
      <c r="CQ278" s="52"/>
      <c r="CR278" s="52"/>
      <c r="CS278" s="52"/>
      <c r="CT278" s="52">
        <v>1215563</v>
      </c>
      <c r="CU278" s="52">
        <v>790667</v>
      </c>
      <c r="CV278" s="52"/>
      <c r="CW278" s="52">
        <v>533493</v>
      </c>
      <c r="CX278" s="52">
        <v>755996</v>
      </c>
      <c r="CY278" s="52">
        <v>460360</v>
      </c>
      <c r="CZ278" s="52">
        <v>273559</v>
      </c>
      <c r="DA278" s="52">
        <v>1625814</v>
      </c>
      <c r="DB278" s="52">
        <v>317928</v>
      </c>
      <c r="DC278" s="52"/>
      <c r="DD278" s="52"/>
      <c r="DE278" s="52">
        <v>60021712</v>
      </c>
      <c r="DF278" s="52"/>
      <c r="DG278" s="52">
        <v>60021712</v>
      </c>
      <c r="DH278" s="52"/>
    </row>
    <row r="279" spans="1:112">
      <c r="A279" s="150" t="s">
        <v>407</v>
      </c>
      <c r="B279" s="54">
        <v>3553</v>
      </c>
      <c r="C279" s="44" t="s">
        <v>198</v>
      </c>
      <c r="D279" s="44">
        <v>5942</v>
      </c>
      <c r="E279" s="44">
        <v>10835</v>
      </c>
      <c r="F279" s="44">
        <v>18367</v>
      </c>
      <c r="H279" s="50"/>
      <c r="I279" s="50"/>
      <c r="J279" s="50"/>
      <c r="K279" s="50"/>
      <c r="L279" s="44">
        <v>4201</v>
      </c>
      <c r="N279" s="44">
        <v>2541</v>
      </c>
      <c r="U279" s="44">
        <v>34015</v>
      </c>
      <c r="W279" s="44">
        <v>27725</v>
      </c>
      <c r="X279" s="44">
        <v>15990</v>
      </c>
      <c r="Y279" s="44">
        <v>38691</v>
      </c>
      <c r="Z279" s="44">
        <v>14308</v>
      </c>
      <c r="AA279" s="44">
        <v>2007</v>
      </c>
      <c r="AB279" s="44">
        <v>17740</v>
      </c>
      <c r="AF279" s="44">
        <v>74500</v>
      </c>
      <c r="AG279" s="44">
        <v>18222</v>
      </c>
      <c r="AH279" s="44">
        <v>3364</v>
      </c>
      <c r="AK279" s="44">
        <v>7170</v>
      </c>
      <c r="AN279" s="44">
        <v>59941</v>
      </c>
      <c r="AQ279" s="44">
        <v>9209</v>
      </c>
      <c r="AS279" s="44">
        <v>26041</v>
      </c>
      <c r="AU279" s="44">
        <v>16074</v>
      </c>
      <c r="AX279" s="44">
        <v>18032</v>
      </c>
      <c r="AY279" s="44">
        <v>41443</v>
      </c>
      <c r="AZ279" s="44">
        <v>5076</v>
      </c>
      <c r="BD279" s="44">
        <v>8021</v>
      </c>
      <c r="BF279" s="44">
        <v>14169</v>
      </c>
      <c r="BH279" s="44">
        <v>5841</v>
      </c>
      <c r="BI279" s="44">
        <v>28366</v>
      </c>
      <c r="BJ279" s="44">
        <v>10231</v>
      </c>
      <c r="BM279" s="44">
        <v>5437</v>
      </c>
      <c r="BN279" s="44">
        <v>2841</v>
      </c>
      <c r="BO279" s="44">
        <v>5528</v>
      </c>
      <c r="BQ279" s="44">
        <v>1679</v>
      </c>
      <c r="BR279" s="44">
        <v>2985</v>
      </c>
      <c r="BS279" s="44">
        <v>11761</v>
      </c>
      <c r="BX279" s="44">
        <v>10147</v>
      </c>
      <c r="BY279" s="44">
        <v>3100</v>
      </c>
      <c r="BZ279" s="44">
        <v>1930</v>
      </c>
      <c r="CF279" s="44">
        <v>3567</v>
      </c>
      <c r="CG279" s="44">
        <v>33380</v>
      </c>
      <c r="CH279" s="44">
        <v>3496</v>
      </c>
      <c r="CI279" s="44">
        <v>3703</v>
      </c>
      <c r="CP279" s="44">
        <v>16406</v>
      </c>
      <c r="CU279" s="44">
        <v>120342</v>
      </c>
      <c r="CX279" s="44">
        <v>15139</v>
      </c>
      <c r="CZ279" s="44">
        <v>16340</v>
      </c>
      <c r="DA279" s="44">
        <v>12605</v>
      </c>
      <c r="DE279" s="44">
        <v>808448</v>
      </c>
      <c r="DG279" s="52">
        <v>808448</v>
      </c>
    </row>
    <row r="280" spans="1:112">
      <c r="A280" s="150" t="s">
        <v>407</v>
      </c>
      <c r="B280" s="54">
        <v>3562</v>
      </c>
      <c r="C280" s="44" t="s">
        <v>201</v>
      </c>
      <c r="D280" s="52">
        <v>136622</v>
      </c>
      <c r="E280" s="52">
        <v>138275</v>
      </c>
      <c r="F280" s="52">
        <v>161012</v>
      </c>
      <c r="G280" s="52"/>
      <c r="H280" s="56"/>
      <c r="I280" s="56"/>
      <c r="J280" s="56"/>
      <c r="K280" s="56"/>
      <c r="L280" s="52">
        <v>245615</v>
      </c>
      <c r="M280" s="52"/>
      <c r="N280" s="52">
        <v>238749</v>
      </c>
      <c r="O280" s="52"/>
      <c r="P280" s="52"/>
      <c r="Q280" s="52"/>
      <c r="R280" s="52"/>
      <c r="S280" s="52"/>
      <c r="T280" s="52"/>
      <c r="U280" s="52">
        <v>182629</v>
      </c>
      <c r="V280" s="52"/>
      <c r="W280" s="52">
        <v>288329</v>
      </c>
      <c r="X280" s="52">
        <v>153467</v>
      </c>
      <c r="Y280" s="52">
        <v>357748</v>
      </c>
      <c r="Z280" s="52">
        <v>201027</v>
      </c>
      <c r="AA280" s="52">
        <v>80308</v>
      </c>
      <c r="AB280" s="52">
        <v>153536</v>
      </c>
      <c r="AC280" s="52"/>
      <c r="AD280" s="52"/>
      <c r="AE280" s="52"/>
      <c r="AF280" s="52"/>
      <c r="AG280" s="52">
        <v>164789</v>
      </c>
      <c r="AH280" s="52">
        <v>176979</v>
      </c>
      <c r="AI280" s="52"/>
      <c r="AJ280" s="52"/>
      <c r="AK280" s="52">
        <v>64038</v>
      </c>
      <c r="AL280" s="52"/>
      <c r="AM280" s="52"/>
      <c r="AN280" s="52">
        <v>578269</v>
      </c>
      <c r="AO280" s="52"/>
      <c r="AP280" s="52"/>
      <c r="AQ280" s="52">
        <v>92516</v>
      </c>
      <c r="AR280" s="52"/>
      <c r="AS280" s="52">
        <v>509739</v>
      </c>
      <c r="AT280" s="52"/>
      <c r="AU280" s="52">
        <v>131718</v>
      </c>
      <c r="AV280" s="52"/>
      <c r="AW280" s="52"/>
      <c r="AX280" s="52">
        <v>211133</v>
      </c>
      <c r="AY280" s="52">
        <v>669844</v>
      </c>
      <c r="AZ280" s="52">
        <v>173383</v>
      </c>
      <c r="BA280" s="52"/>
      <c r="BB280" s="52"/>
      <c r="BC280" s="52"/>
      <c r="BD280" s="52">
        <v>139226</v>
      </c>
      <c r="BE280" s="52"/>
      <c r="BF280" s="52">
        <v>216006</v>
      </c>
      <c r="BG280" s="52"/>
      <c r="BH280" s="52">
        <v>181566</v>
      </c>
      <c r="BI280" s="52">
        <v>152615</v>
      </c>
      <c r="BJ280" s="52">
        <v>295507</v>
      </c>
      <c r="BK280" s="52"/>
      <c r="BL280" s="52"/>
      <c r="BM280" s="52">
        <v>203884</v>
      </c>
      <c r="BN280" s="52">
        <v>285066</v>
      </c>
      <c r="BO280" s="52">
        <v>132510</v>
      </c>
      <c r="BP280" s="52"/>
      <c r="BQ280" s="52">
        <v>90977</v>
      </c>
      <c r="BR280" s="52">
        <v>141231</v>
      </c>
      <c r="BS280" s="52">
        <v>137704</v>
      </c>
      <c r="BT280" s="52"/>
      <c r="BU280" s="52"/>
      <c r="BV280" s="52"/>
      <c r="BW280" s="52"/>
      <c r="BX280" s="52">
        <v>209490</v>
      </c>
      <c r="BY280" s="52">
        <v>160889</v>
      </c>
      <c r="BZ280" s="52">
        <v>249018</v>
      </c>
      <c r="CA280" s="52"/>
      <c r="CB280" s="52"/>
      <c r="CC280" s="52"/>
      <c r="CD280" s="52"/>
      <c r="CE280" s="52"/>
      <c r="CF280" s="52">
        <v>182372</v>
      </c>
      <c r="CG280" s="52">
        <v>356150</v>
      </c>
      <c r="CH280" s="52">
        <v>167500</v>
      </c>
      <c r="CI280" s="52">
        <v>35460</v>
      </c>
      <c r="CJ280" s="52"/>
      <c r="CK280" s="52"/>
      <c r="CL280" s="52"/>
      <c r="CM280" s="52"/>
      <c r="CN280" s="52"/>
      <c r="CO280" s="52"/>
      <c r="CP280" s="52">
        <v>238941</v>
      </c>
      <c r="CQ280" s="52"/>
      <c r="CR280" s="52"/>
      <c r="CS280" s="52"/>
      <c r="CT280" s="52"/>
      <c r="CU280" s="52">
        <v>620554</v>
      </c>
      <c r="CV280" s="52"/>
      <c r="CW280" s="52">
        <v>368609</v>
      </c>
      <c r="CX280" s="52">
        <v>143518</v>
      </c>
      <c r="CY280" s="52"/>
      <c r="CZ280" s="52">
        <v>100864</v>
      </c>
      <c r="DA280" s="52">
        <v>211350</v>
      </c>
      <c r="DB280" s="52"/>
      <c r="DC280" s="52"/>
      <c r="DD280" s="52"/>
      <c r="DE280" s="52">
        <v>10130732</v>
      </c>
      <c r="DF280" s="52"/>
      <c r="DG280" s="52">
        <v>10130732</v>
      </c>
      <c r="DH280" s="52"/>
    </row>
    <row r="281" spans="1:112">
      <c r="A281" s="150" t="s">
        <v>408</v>
      </c>
      <c r="B281" s="54"/>
      <c r="D281" s="52" t="s">
        <v>38</v>
      </c>
      <c r="E281" s="52" t="s">
        <v>39</v>
      </c>
      <c r="F281" s="52" t="s">
        <v>40</v>
      </c>
      <c r="G281" s="52" t="s">
        <v>41</v>
      </c>
      <c r="H281" s="57" t="s">
        <v>303</v>
      </c>
      <c r="I281" s="57" t="s">
        <v>304</v>
      </c>
      <c r="J281" s="57" t="s">
        <v>305</v>
      </c>
      <c r="K281" s="57" t="s">
        <v>306</v>
      </c>
      <c r="L281" s="52" t="s">
        <v>307</v>
      </c>
      <c r="M281" s="52" t="s">
        <v>308</v>
      </c>
      <c r="N281" s="52" t="s">
        <v>309</v>
      </c>
      <c r="O281" s="52" t="s">
        <v>310</v>
      </c>
      <c r="P281" s="52" t="s">
        <v>311</v>
      </c>
      <c r="Q281" s="52" t="s">
        <v>312</v>
      </c>
      <c r="R281" s="52" t="s">
        <v>313</v>
      </c>
      <c r="S281" s="52" t="s">
        <v>314</v>
      </c>
      <c r="T281" s="52" t="s">
        <v>315</v>
      </c>
      <c r="U281" s="52" t="s">
        <v>316</v>
      </c>
      <c r="V281" s="52" t="s">
        <v>317</v>
      </c>
      <c r="W281" s="52" t="s">
        <v>318</v>
      </c>
      <c r="X281" s="52" t="s">
        <v>319</v>
      </c>
      <c r="Y281" s="52" t="s">
        <v>320</v>
      </c>
      <c r="Z281" s="52" t="s">
        <v>321</v>
      </c>
      <c r="AA281" s="52" t="s">
        <v>322</v>
      </c>
      <c r="AB281" s="52" t="s">
        <v>323</v>
      </c>
      <c r="AC281" s="52" t="s">
        <v>324</v>
      </c>
      <c r="AD281" s="52" t="s">
        <v>325</v>
      </c>
      <c r="AE281" s="52" t="s">
        <v>326</v>
      </c>
      <c r="AF281" s="52" t="s">
        <v>327</v>
      </c>
      <c r="AG281" s="52" t="s">
        <v>328</v>
      </c>
      <c r="AH281" s="52" t="s">
        <v>329</v>
      </c>
      <c r="AI281" s="52" t="s">
        <v>330</v>
      </c>
      <c r="AJ281" s="52" t="s">
        <v>331</v>
      </c>
      <c r="AK281" s="52" t="s">
        <v>332</v>
      </c>
      <c r="AL281" s="52" t="s">
        <v>333</v>
      </c>
      <c r="AM281" s="52" t="s">
        <v>334</v>
      </c>
      <c r="AN281" s="52" t="s">
        <v>335</v>
      </c>
      <c r="AO281" s="52" t="s">
        <v>336</v>
      </c>
      <c r="AP281" s="52" t="s">
        <v>337</v>
      </c>
      <c r="AQ281" s="52" t="s">
        <v>338</v>
      </c>
      <c r="AR281" s="52" t="s">
        <v>339</v>
      </c>
      <c r="AS281" s="52" t="s">
        <v>340</v>
      </c>
      <c r="AT281" s="52" t="s">
        <v>341</v>
      </c>
      <c r="AU281" s="52" t="s">
        <v>342</v>
      </c>
      <c r="AV281" s="52" t="s">
        <v>343</v>
      </c>
      <c r="AW281" s="52" t="s">
        <v>344</v>
      </c>
      <c r="AX281" s="52" t="s">
        <v>345</v>
      </c>
      <c r="AY281" s="52" t="s">
        <v>346</v>
      </c>
      <c r="AZ281" s="52" t="s">
        <v>347</v>
      </c>
      <c r="BA281" s="52" t="s">
        <v>348</v>
      </c>
      <c r="BB281" s="52" t="s">
        <v>349</v>
      </c>
      <c r="BC281" s="52" t="s">
        <v>350</v>
      </c>
      <c r="BD281" s="52" t="s">
        <v>351</v>
      </c>
      <c r="BE281" s="52" t="s">
        <v>352</v>
      </c>
      <c r="BF281" s="52" t="s">
        <v>353</v>
      </c>
      <c r="BG281" s="52" t="s">
        <v>354</v>
      </c>
      <c r="BH281" s="52" t="s">
        <v>355</v>
      </c>
      <c r="BI281" s="52" t="s">
        <v>356</v>
      </c>
      <c r="BJ281" s="52" t="s">
        <v>357</v>
      </c>
      <c r="BK281" s="52" t="s">
        <v>358</v>
      </c>
      <c r="BL281" s="52" t="s">
        <v>359</v>
      </c>
      <c r="BM281" s="52" t="s">
        <v>360</v>
      </c>
      <c r="BN281" s="52" t="s">
        <v>361</v>
      </c>
      <c r="BO281" s="52" t="s">
        <v>362</v>
      </c>
      <c r="BP281" s="52" t="s">
        <v>363</v>
      </c>
      <c r="BQ281" s="52" t="s">
        <v>364</v>
      </c>
      <c r="BR281" s="52" t="s">
        <v>365</v>
      </c>
      <c r="BS281" s="52" t="s">
        <v>366</v>
      </c>
      <c r="BT281" s="52" t="s">
        <v>367</v>
      </c>
      <c r="BU281" s="52" t="s">
        <v>368</v>
      </c>
      <c r="BV281" s="52" t="s">
        <v>369</v>
      </c>
      <c r="BW281" s="52" t="s">
        <v>370</v>
      </c>
      <c r="BX281" s="52" t="s">
        <v>371</v>
      </c>
      <c r="BY281" s="52" t="s">
        <v>372</v>
      </c>
      <c r="BZ281" s="52" t="s">
        <v>373</v>
      </c>
      <c r="CA281" s="52" t="s">
        <v>374</v>
      </c>
      <c r="CB281" s="52" t="s">
        <v>375</v>
      </c>
      <c r="CC281" s="52" t="s">
        <v>376</v>
      </c>
      <c r="CD281" s="52" t="s">
        <v>377</v>
      </c>
      <c r="CE281" s="52" t="s">
        <v>378</v>
      </c>
      <c r="CF281" s="52" t="s">
        <v>379</v>
      </c>
      <c r="CG281" s="52" t="s">
        <v>380</v>
      </c>
      <c r="CH281" s="52" t="s">
        <v>381</v>
      </c>
      <c r="CI281" s="52" t="s">
        <v>382</v>
      </c>
      <c r="CJ281" s="52" t="s">
        <v>383</v>
      </c>
      <c r="CK281" s="52" t="s">
        <v>384</v>
      </c>
      <c r="CL281" s="52" t="s">
        <v>385</v>
      </c>
      <c r="CM281" s="52" t="s">
        <v>386</v>
      </c>
      <c r="CN281" s="52" t="s">
        <v>387</v>
      </c>
      <c r="CO281" s="52" t="s">
        <v>388</v>
      </c>
      <c r="CP281" s="52" t="s">
        <v>389</v>
      </c>
      <c r="CQ281" s="52" t="s">
        <v>390</v>
      </c>
      <c r="CR281" s="52" t="s">
        <v>391</v>
      </c>
      <c r="CS281" s="52" t="s">
        <v>392</v>
      </c>
      <c r="CT281" s="52" t="s">
        <v>393</v>
      </c>
      <c r="CU281" s="52" t="s">
        <v>394</v>
      </c>
      <c r="CV281" s="52" t="s">
        <v>395</v>
      </c>
      <c r="CW281" s="52" t="s">
        <v>396</v>
      </c>
      <c r="CX281" s="52" t="s">
        <v>397</v>
      </c>
      <c r="CY281" s="52" t="s">
        <v>398</v>
      </c>
      <c r="CZ281" s="52" t="s">
        <v>399</v>
      </c>
      <c r="DA281" s="52" t="s">
        <v>400</v>
      </c>
      <c r="DB281" s="52" t="s">
        <v>401</v>
      </c>
      <c r="DC281" s="52" t="s">
        <v>29</v>
      </c>
      <c r="DD281" s="52" t="s">
        <v>402</v>
      </c>
      <c r="DE281" s="52" t="s">
        <v>403</v>
      </c>
      <c r="DF281" s="52" t="s">
        <v>404</v>
      </c>
      <c r="DG281" s="52" t="s">
        <v>405</v>
      </c>
      <c r="DH281" s="52"/>
    </row>
    <row r="282" spans="1:112">
      <c r="A282" s="150" t="s">
        <v>407</v>
      </c>
      <c r="B282" s="54">
        <v>3565</v>
      </c>
      <c r="C282" s="44" t="s">
        <v>203</v>
      </c>
      <c r="D282" s="52">
        <v>51258</v>
      </c>
      <c r="E282" s="52">
        <v>57991</v>
      </c>
      <c r="F282" s="52">
        <v>49556</v>
      </c>
      <c r="G282" s="52"/>
      <c r="H282" s="56"/>
      <c r="I282" s="56"/>
      <c r="J282" s="56"/>
      <c r="K282" s="56"/>
      <c r="L282" s="52"/>
      <c r="M282" s="52"/>
      <c r="N282" s="52">
        <v>50000</v>
      </c>
      <c r="O282" s="52"/>
      <c r="P282" s="52"/>
      <c r="Q282" s="52"/>
      <c r="R282" s="52"/>
      <c r="S282" s="52"/>
      <c r="T282" s="52"/>
      <c r="U282" s="52">
        <v>44826</v>
      </c>
      <c r="V282" s="52"/>
      <c r="W282" s="52">
        <v>48523</v>
      </c>
      <c r="X282" s="52">
        <v>51506</v>
      </c>
      <c r="Y282" s="52">
        <v>50000</v>
      </c>
      <c r="Z282" s="52">
        <v>46171</v>
      </c>
      <c r="AA282" s="52">
        <v>36517</v>
      </c>
      <c r="AB282" s="52">
        <v>50000</v>
      </c>
      <c r="AC282" s="52"/>
      <c r="AD282" s="52"/>
      <c r="AE282" s="52"/>
      <c r="AF282" s="52"/>
      <c r="AG282" s="52">
        <v>48384</v>
      </c>
      <c r="AH282" s="52">
        <v>48639</v>
      </c>
      <c r="AI282" s="52"/>
      <c r="AJ282" s="52"/>
      <c r="AK282" s="52">
        <v>41468</v>
      </c>
      <c r="AL282" s="52"/>
      <c r="AM282" s="52"/>
      <c r="AN282" s="52">
        <v>103498</v>
      </c>
      <c r="AO282" s="52"/>
      <c r="AP282" s="52"/>
      <c r="AQ282" s="52">
        <v>45897</v>
      </c>
      <c r="AR282" s="52"/>
      <c r="AS282" s="52">
        <v>81588</v>
      </c>
      <c r="AT282" s="52"/>
      <c r="AU282" s="52"/>
      <c r="AV282" s="52"/>
      <c r="AW282" s="52"/>
      <c r="AX282" s="52">
        <v>50000</v>
      </c>
      <c r="AY282" s="52">
        <v>50000</v>
      </c>
      <c r="AZ282" s="52">
        <v>50000</v>
      </c>
      <c r="BA282" s="52"/>
      <c r="BB282" s="52"/>
      <c r="BC282" s="52"/>
      <c r="BD282" s="52">
        <v>83688</v>
      </c>
      <c r="BE282" s="52"/>
      <c r="BF282" s="52">
        <v>59923</v>
      </c>
      <c r="BG282" s="52"/>
      <c r="BH282" s="52">
        <v>51931</v>
      </c>
      <c r="BI282" s="52">
        <v>27096</v>
      </c>
      <c r="BJ282" s="52">
        <v>52435</v>
      </c>
      <c r="BK282" s="52"/>
      <c r="BL282" s="52"/>
      <c r="BM282" s="52">
        <v>10000</v>
      </c>
      <c r="BN282" s="52">
        <v>64323</v>
      </c>
      <c r="BO282" s="52">
        <v>10000</v>
      </c>
      <c r="BP282" s="52"/>
      <c r="BQ282" s="52">
        <v>21699</v>
      </c>
      <c r="BR282" s="52">
        <v>65527</v>
      </c>
      <c r="BS282" s="52">
        <v>27672</v>
      </c>
      <c r="BT282" s="52"/>
      <c r="BU282" s="52"/>
      <c r="BV282" s="52"/>
      <c r="BW282" s="52"/>
      <c r="BX282" s="52">
        <v>44396</v>
      </c>
      <c r="BY282" s="52">
        <v>38568</v>
      </c>
      <c r="BZ282" s="52">
        <v>52663</v>
      </c>
      <c r="CA282" s="52"/>
      <c r="CB282" s="52"/>
      <c r="CC282" s="52"/>
      <c r="CD282" s="52"/>
      <c r="CE282" s="52"/>
      <c r="CF282" s="52">
        <v>43036</v>
      </c>
      <c r="CG282" s="52">
        <v>50000</v>
      </c>
      <c r="CH282" s="52">
        <v>18000</v>
      </c>
      <c r="CI282" s="52">
        <v>39876</v>
      </c>
      <c r="CJ282" s="52"/>
      <c r="CK282" s="52"/>
      <c r="CL282" s="52"/>
      <c r="CM282" s="52"/>
      <c r="CN282" s="52"/>
      <c r="CO282" s="52"/>
      <c r="CP282" s="52">
        <v>38794</v>
      </c>
      <c r="CQ282" s="52"/>
      <c r="CR282" s="52"/>
      <c r="CS282" s="52"/>
      <c r="CT282" s="52"/>
      <c r="CU282" s="52">
        <v>100000</v>
      </c>
      <c r="CV282" s="52"/>
      <c r="CW282" s="52">
        <v>39625</v>
      </c>
      <c r="CX282" s="52">
        <v>50000</v>
      </c>
      <c r="CY282" s="52"/>
      <c r="CZ282" s="52"/>
      <c r="DA282" s="52">
        <v>50000</v>
      </c>
      <c r="DB282" s="52"/>
      <c r="DC282" s="52"/>
      <c r="DD282" s="52"/>
      <c r="DE282" s="52">
        <v>2095074</v>
      </c>
      <c r="DF282" s="52"/>
      <c r="DG282" s="52">
        <v>2095074</v>
      </c>
      <c r="DH282" s="52"/>
    </row>
    <row r="283" spans="1:112">
      <c r="A283" s="150" t="s">
        <v>408</v>
      </c>
      <c r="B283" s="54">
        <v>3800</v>
      </c>
      <c r="C283" s="44" t="s">
        <v>228</v>
      </c>
      <c r="D283" s="52"/>
      <c r="E283" s="52"/>
      <c r="F283" s="52"/>
      <c r="G283" s="52"/>
      <c r="H283" s="56"/>
      <c r="I283" s="56"/>
      <c r="J283" s="56"/>
      <c r="K283" s="56"/>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row>
    <row r="284" spans="1:112">
      <c r="A284" s="150" t="s">
        <v>408</v>
      </c>
      <c r="B284" s="54">
        <v>3990</v>
      </c>
      <c r="C284" s="44" t="s">
        <v>234</v>
      </c>
      <c r="D284" s="52"/>
      <c r="E284" s="52"/>
      <c r="F284" s="52"/>
      <c r="G284" s="52"/>
      <c r="H284" s="56"/>
      <c r="I284" s="56"/>
      <c r="J284" s="56"/>
      <c r="K284" s="56"/>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row>
    <row r="285" spans="1:112">
      <c r="A285" s="150" t="s">
        <v>408</v>
      </c>
      <c r="B285" s="54"/>
      <c r="D285" s="52"/>
      <c r="E285" s="52"/>
      <c r="F285" s="52"/>
      <c r="G285" s="52"/>
      <c r="H285" s="56"/>
      <c r="I285" s="56"/>
      <c r="J285" s="56"/>
      <c r="K285" s="56"/>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row>
    <row r="286" spans="1:112">
      <c r="A286" s="150" t="s">
        <v>408</v>
      </c>
      <c r="B286" s="54" t="s">
        <v>90</v>
      </c>
      <c r="C286" s="44" t="s">
        <v>238</v>
      </c>
      <c r="D286" s="52">
        <v>18654097</v>
      </c>
      <c r="E286" s="52">
        <v>104927868</v>
      </c>
      <c r="F286" s="52">
        <v>11242454</v>
      </c>
      <c r="G286" s="52">
        <v>524098</v>
      </c>
      <c r="H286" s="56">
        <v>36870125</v>
      </c>
      <c r="I286" s="56">
        <v>17702542</v>
      </c>
      <c r="J286" s="56">
        <v>12580738</v>
      </c>
      <c r="K286" s="56">
        <v>11478574</v>
      </c>
      <c r="L286" s="52">
        <v>53409518</v>
      </c>
      <c r="M286" s="52">
        <v>677455</v>
      </c>
      <c r="N286" s="52">
        <v>1243249</v>
      </c>
      <c r="O286" s="52">
        <v>8557834</v>
      </c>
      <c r="P286" s="52">
        <v>5958221</v>
      </c>
      <c r="Q286" s="52">
        <v>5072720</v>
      </c>
      <c r="R286" s="52">
        <v>5193746</v>
      </c>
      <c r="S286" s="52">
        <v>14540605</v>
      </c>
      <c r="T286" s="52">
        <v>217178</v>
      </c>
      <c r="U286" s="52">
        <v>28053387</v>
      </c>
      <c r="V286" s="52">
        <v>183013</v>
      </c>
      <c r="W286" s="52">
        <v>122324302</v>
      </c>
      <c r="X286" s="52">
        <v>9172325</v>
      </c>
      <c r="Y286" s="52">
        <v>128541187</v>
      </c>
      <c r="Z286" s="52">
        <v>42800456</v>
      </c>
      <c r="AA286" s="52">
        <v>28926519</v>
      </c>
      <c r="AB286" s="52">
        <v>38780715</v>
      </c>
      <c r="AC286" s="52">
        <v>5635106</v>
      </c>
      <c r="AD286" s="52">
        <v>16885809</v>
      </c>
      <c r="AE286" s="52">
        <v>6573858</v>
      </c>
      <c r="AF286" s="52">
        <v>491728</v>
      </c>
      <c r="AG286" s="52">
        <v>31239338</v>
      </c>
      <c r="AH286" s="52">
        <v>53095241</v>
      </c>
      <c r="AI286" s="52">
        <v>748803</v>
      </c>
      <c r="AJ286" s="52">
        <v>4579669</v>
      </c>
      <c r="AK286" s="52">
        <v>17428535</v>
      </c>
      <c r="AL286" s="52">
        <v>7518630</v>
      </c>
      <c r="AM286" s="52">
        <v>353295</v>
      </c>
      <c r="AN286" s="52">
        <v>85250154</v>
      </c>
      <c r="AO286" s="52">
        <v>11661093</v>
      </c>
      <c r="AP286" s="52">
        <v>148045</v>
      </c>
      <c r="AQ286" s="52">
        <v>20698194</v>
      </c>
      <c r="AR286" s="52">
        <v>16017071</v>
      </c>
      <c r="AS286" s="52">
        <v>67849377</v>
      </c>
      <c r="AT286" s="52">
        <v>6245687</v>
      </c>
      <c r="AU286" s="52">
        <v>19906027</v>
      </c>
      <c r="AV286" s="52">
        <v>6430095</v>
      </c>
      <c r="AW286" s="52">
        <v>7687191</v>
      </c>
      <c r="AX286" s="52">
        <v>38725750</v>
      </c>
      <c r="AY286" s="52">
        <v>279061391</v>
      </c>
      <c r="AZ286" s="52">
        <v>42458501</v>
      </c>
      <c r="BA286" s="52">
        <v>5986637</v>
      </c>
      <c r="BB286" s="52">
        <v>5455921</v>
      </c>
      <c r="BC286" s="52">
        <v>592160</v>
      </c>
      <c r="BD286" s="52">
        <v>14354250</v>
      </c>
      <c r="BE286" s="52">
        <v>8434601</v>
      </c>
      <c r="BF286" s="52">
        <v>127393311</v>
      </c>
      <c r="BG286" s="52">
        <v>15208859</v>
      </c>
      <c r="BH286" s="52">
        <v>48789949</v>
      </c>
      <c r="BI286" s="52">
        <v>52440113</v>
      </c>
      <c r="BJ286" s="52">
        <v>28242771</v>
      </c>
      <c r="BK286" s="52">
        <v>16509835</v>
      </c>
      <c r="BL286" s="52">
        <v>17088122</v>
      </c>
      <c r="BM286" s="52">
        <v>91304906</v>
      </c>
      <c r="BN286" s="52">
        <v>42265658</v>
      </c>
      <c r="BO286" s="52">
        <v>10868863</v>
      </c>
      <c r="BP286" s="52">
        <v>18506569</v>
      </c>
      <c r="BQ286" s="52">
        <v>77028601</v>
      </c>
      <c r="BR286" s="52">
        <v>4579559</v>
      </c>
      <c r="BS286" s="52">
        <v>651931</v>
      </c>
      <c r="BT286" s="52">
        <v>14778860</v>
      </c>
      <c r="BU286" s="52">
        <v>10275974</v>
      </c>
      <c r="BV286" s="52">
        <v>5902586</v>
      </c>
      <c r="BW286" s="52">
        <v>452446</v>
      </c>
      <c r="BX286" s="52">
        <v>26425792</v>
      </c>
      <c r="BY286" s="52">
        <v>29779280</v>
      </c>
      <c r="BZ286" s="52">
        <v>41481188</v>
      </c>
      <c r="CA286" s="52"/>
      <c r="CB286" s="52">
        <v>18414455</v>
      </c>
      <c r="CC286" s="52">
        <v>20540012</v>
      </c>
      <c r="CD286" s="52">
        <v>37061360</v>
      </c>
      <c r="CE286" s="52">
        <v>20095</v>
      </c>
      <c r="CF286" s="52">
        <v>70066036</v>
      </c>
      <c r="CG286" s="52">
        <v>115006763</v>
      </c>
      <c r="CH286" s="52">
        <v>96245328</v>
      </c>
      <c r="CI286" s="52">
        <v>10955022</v>
      </c>
      <c r="CJ286" s="52">
        <v>22906337</v>
      </c>
      <c r="CK286" s="52">
        <v>40397515</v>
      </c>
      <c r="CL286" s="52">
        <v>14746972</v>
      </c>
      <c r="CM286" s="52">
        <v>13296318</v>
      </c>
      <c r="CN286" s="52">
        <v>27535052</v>
      </c>
      <c r="CO286" s="52">
        <v>42614268</v>
      </c>
      <c r="CP286" s="52">
        <v>40742680</v>
      </c>
      <c r="CQ286" s="52">
        <v>496154</v>
      </c>
      <c r="CR286" s="52">
        <v>316312</v>
      </c>
      <c r="CS286" s="52">
        <v>300675</v>
      </c>
      <c r="CT286" s="52">
        <v>42718877</v>
      </c>
      <c r="CU286" s="52">
        <v>41369109</v>
      </c>
      <c r="CV286" s="52"/>
      <c r="CW286" s="52">
        <v>24808289</v>
      </c>
      <c r="CX286" s="52">
        <v>28469389</v>
      </c>
      <c r="CY286" s="52">
        <v>23339328</v>
      </c>
      <c r="CZ286" s="52">
        <v>18463832</v>
      </c>
      <c r="DA286" s="52">
        <v>75448546</v>
      </c>
      <c r="DB286" s="52">
        <v>32077870</v>
      </c>
      <c r="DC286" s="52">
        <v>5801081</v>
      </c>
      <c r="DD286" s="52">
        <v>3489714</v>
      </c>
      <c r="DE286" s="52"/>
      <c r="DF286" s="52"/>
      <c r="DG286" s="52"/>
      <c r="DH286" s="52"/>
    </row>
    <row r="287" spans="1:112">
      <c r="A287" s="150" t="s">
        <v>408</v>
      </c>
      <c r="B287" s="54"/>
      <c r="D287" s="52"/>
      <c r="E287" s="52"/>
      <c r="F287" s="52"/>
      <c r="G287" s="52"/>
      <c r="H287" s="56"/>
      <c r="I287" s="56"/>
      <c r="J287" s="56"/>
      <c r="K287" s="56"/>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row>
    <row r="288" spans="1:112">
      <c r="A288" s="150" t="s">
        <v>408</v>
      </c>
      <c r="B288" s="54"/>
      <c r="D288" s="52" t="s">
        <v>38</v>
      </c>
      <c r="E288" s="52" t="s">
        <v>39</v>
      </c>
      <c r="F288" s="52" t="s">
        <v>40</v>
      </c>
      <c r="G288" s="52" t="s">
        <v>41</v>
      </c>
      <c r="H288" s="57" t="s">
        <v>303</v>
      </c>
      <c r="I288" s="57" t="s">
        <v>304</v>
      </c>
      <c r="J288" s="57" t="s">
        <v>305</v>
      </c>
      <c r="K288" s="57" t="s">
        <v>306</v>
      </c>
      <c r="L288" s="52" t="s">
        <v>307</v>
      </c>
      <c r="M288" s="52" t="s">
        <v>308</v>
      </c>
      <c r="N288" s="52" t="s">
        <v>309</v>
      </c>
      <c r="O288" s="52" t="s">
        <v>310</v>
      </c>
      <c r="P288" s="52" t="s">
        <v>311</v>
      </c>
      <c r="Q288" s="52" t="s">
        <v>312</v>
      </c>
      <c r="R288" s="52" t="s">
        <v>313</v>
      </c>
      <c r="S288" s="52" t="s">
        <v>314</v>
      </c>
      <c r="T288" s="52" t="s">
        <v>315</v>
      </c>
      <c r="U288" s="52" t="s">
        <v>316</v>
      </c>
      <c r="V288" s="52" t="s">
        <v>317</v>
      </c>
      <c r="W288" s="52" t="s">
        <v>318</v>
      </c>
      <c r="X288" s="52" t="s">
        <v>319</v>
      </c>
      <c r="Y288" s="52" t="s">
        <v>320</v>
      </c>
      <c r="Z288" s="52" t="s">
        <v>321</v>
      </c>
      <c r="AA288" s="52" t="s">
        <v>322</v>
      </c>
      <c r="AB288" s="52" t="s">
        <v>323</v>
      </c>
      <c r="AC288" s="52" t="s">
        <v>324</v>
      </c>
      <c r="AD288" s="52" t="s">
        <v>325</v>
      </c>
      <c r="AE288" s="52" t="s">
        <v>326</v>
      </c>
      <c r="AF288" s="52" t="s">
        <v>327</v>
      </c>
      <c r="AG288" s="52" t="s">
        <v>328</v>
      </c>
      <c r="AH288" s="52" t="s">
        <v>329</v>
      </c>
      <c r="AI288" s="52" t="s">
        <v>330</v>
      </c>
      <c r="AJ288" s="52" t="s">
        <v>331</v>
      </c>
      <c r="AK288" s="52" t="s">
        <v>332</v>
      </c>
      <c r="AL288" s="52" t="s">
        <v>333</v>
      </c>
      <c r="AM288" s="52" t="s">
        <v>334</v>
      </c>
      <c r="AN288" s="52" t="s">
        <v>335</v>
      </c>
      <c r="AO288" s="52" t="s">
        <v>336</v>
      </c>
      <c r="AP288" s="52" t="s">
        <v>337</v>
      </c>
      <c r="AQ288" s="52" t="s">
        <v>338</v>
      </c>
      <c r="AR288" s="52" t="s">
        <v>339</v>
      </c>
      <c r="AS288" s="52" t="s">
        <v>340</v>
      </c>
      <c r="AT288" s="52" t="s">
        <v>341</v>
      </c>
      <c r="AU288" s="52" t="s">
        <v>342</v>
      </c>
      <c r="AV288" s="52" t="s">
        <v>343</v>
      </c>
      <c r="AW288" s="52" t="s">
        <v>344</v>
      </c>
      <c r="AX288" s="52" t="s">
        <v>345</v>
      </c>
      <c r="AY288" s="52" t="s">
        <v>346</v>
      </c>
      <c r="AZ288" s="52" t="s">
        <v>347</v>
      </c>
      <c r="BA288" s="52" t="s">
        <v>348</v>
      </c>
      <c r="BB288" s="52" t="s">
        <v>349</v>
      </c>
      <c r="BC288" s="52" t="s">
        <v>350</v>
      </c>
      <c r="BD288" s="52" t="s">
        <v>351</v>
      </c>
      <c r="BE288" s="52" t="s">
        <v>352</v>
      </c>
      <c r="BF288" s="52" t="s">
        <v>353</v>
      </c>
      <c r="BG288" s="52" t="s">
        <v>354</v>
      </c>
      <c r="BH288" s="52" t="s">
        <v>355</v>
      </c>
      <c r="BI288" s="52" t="s">
        <v>356</v>
      </c>
      <c r="BJ288" s="52" t="s">
        <v>357</v>
      </c>
      <c r="BK288" s="52" t="s">
        <v>358</v>
      </c>
      <c r="BL288" s="52" t="s">
        <v>359</v>
      </c>
      <c r="BM288" s="52" t="s">
        <v>360</v>
      </c>
      <c r="BN288" s="52" t="s">
        <v>361</v>
      </c>
      <c r="BO288" s="52" t="s">
        <v>362</v>
      </c>
      <c r="BP288" s="52" t="s">
        <v>363</v>
      </c>
      <c r="BQ288" s="52" t="s">
        <v>364</v>
      </c>
      <c r="BR288" s="52" t="s">
        <v>365</v>
      </c>
      <c r="BS288" s="52" t="s">
        <v>366</v>
      </c>
      <c r="BT288" s="52" t="s">
        <v>367</v>
      </c>
      <c r="BU288" s="52" t="s">
        <v>368</v>
      </c>
      <c r="BV288" s="52" t="s">
        <v>369</v>
      </c>
      <c r="BW288" s="52" t="s">
        <v>370</v>
      </c>
      <c r="BX288" s="52" t="s">
        <v>371</v>
      </c>
      <c r="BY288" s="52" t="s">
        <v>372</v>
      </c>
      <c r="BZ288" s="52" t="s">
        <v>373</v>
      </c>
      <c r="CA288" s="52" t="s">
        <v>374</v>
      </c>
      <c r="CB288" s="52" t="s">
        <v>375</v>
      </c>
      <c r="CC288" s="52" t="s">
        <v>376</v>
      </c>
      <c r="CD288" s="52" t="s">
        <v>377</v>
      </c>
      <c r="CE288" s="52" t="s">
        <v>378</v>
      </c>
      <c r="CF288" s="52" t="s">
        <v>379</v>
      </c>
      <c r="CG288" s="52" t="s">
        <v>380</v>
      </c>
      <c r="CH288" s="52" t="s">
        <v>381</v>
      </c>
      <c r="CI288" s="52" t="s">
        <v>382</v>
      </c>
      <c r="CJ288" s="52" t="s">
        <v>383</v>
      </c>
      <c r="CK288" s="52" t="s">
        <v>384</v>
      </c>
      <c r="CL288" s="52" t="s">
        <v>385</v>
      </c>
      <c r="CM288" s="52" t="s">
        <v>386</v>
      </c>
      <c r="CN288" s="52" t="s">
        <v>387</v>
      </c>
      <c r="CO288" s="52" t="s">
        <v>388</v>
      </c>
      <c r="CP288" s="52" t="s">
        <v>389</v>
      </c>
      <c r="CQ288" s="52" t="s">
        <v>390</v>
      </c>
      <c r="CR288" s="52" t="s">
        <v>391</v>
      </c>
      <c r="CS288" s="52" t="s">
        <v>392</v>
      </c>
      <c r="CT288" s="52" t="s">
        <v>393</v>
      </c>
      <c r="CU288" s="52" t="s">
        <v>394</v>
      </c>
      <c r="CV288" s="52" t="s">
        <v>395</v>
      </c>
      <c r="CW288" s="52" t="s">
        <v>396</v>
      </c>
      <c r="CX288" s="52" t="s">
        <v>397</v>
      </c>
      <c r="CY288" s="52" t="s">
        <v>398</v>
      </c>
      <c r="CZ288" s="52" t="s">
        <v>399</v>
      </c>
      <c r="DA288" s="52" t="s">
        <v>400</v>
      </c>
      <c r="DB288" s="52" t="s">
        <v>401</v>
      </c>
      <c r="DC288" s="52" t="s">
        <v>29</v>
      </c>
      <c r="DD288" s="52" t="s">
        <v>402</v>
      </c>
      <c r="DE288" s="52" t="s">
        <v>403</v>
      </c>
      <c r="DF288" s="52" t="s">
        <v>404</v>
      </c>
      <c r="DG288" s="52" t="s">
        <v>405</v>
      </c>
      <c r="DH288" s="52"/>
    </row>
    <row r="289" spans="1:113">
      <c r="A289" s="150" t="s">
        <v>408</v>
      </c>
      <c r="B289" s="54"/>
      <c r="D289" s="52"/>
      <c r="E289" s="52"/>
      <c r="F289" s="52"/>
      <c r="G289" s="52"/>
      <c r="H289" s="56"/>
      <c r="I289" s="56"/>
      <c r="J289" s="56"/>
      <c r="K289" s="56"/>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row>
    <row r="290" spans="1:113">
      <c r="A290" s="150" t="s">
        <v>408</v>
      </c>
      <c r="B290" s="54">
        <v>4000</v>
      </c>
      <c r="C290" s="44" t="s">
        <v>239</v>
      </c>
      <c r="D290" s="52"/>
      <c r="E290" s="52"/>
      <c r="F290" s="52"/>
      <c r="G290" s="52"/>
      <c r="H290" s="56"/>
      <c r="I290" s="56"/>
      <c r="J290" s="56"/>
      <c r="K290" s="56"/>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f>SUM(DG240:DG297)</f>
        <v>103199277</v>
      </c>
    </row>
    <row r="291" spans="1:113">
      <c r="A291" s="150" t="s">
        <v>408</v>
      </c>
      <c r="B291" s="54">
        <v>4100</v>
      </c>
      <c r="C291" s="44" t="s">
        <v>240</v>
      </c>
      <c r="D291" s="52"/>
      <c r="E291" s="52"/>
      <c r="F291" s="52"/>
      <c r="G291" s="52"/>
      <c r="H291" s="56"/>
      <c r="I291" s="56"/>
      <c r="J291" s="56"/>
      <c r="K291" s="56"/>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row>
    <row r="292" spans="1:113">
      <c r="A292" s="150" t="s">
        <v>408</v>
      </c>
      <c r="B292" s="54">
        <v>4200</v>
      </c>
      <c r="C292" s="44" t="s">
        <v>100</v>
      </c>
      <c r="D292" s="52"/>
      <c r="E292" s="52"/>
      <c r="F292" s="52"/>
      <c r="G292" s="52"/>
      <c r="H292" s="56"/>
      <c r="I292" s="56"/>
      <c r="J292" s="56"/>
      <c r="K292" s="56"/>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row>
    <row r="293" spans="1:113">
      <c r="A293" s="150" t="s">
        <v>408</v>
      </c>
      <c r="B293" s="54">
        <v>4300</v>
      </c>
      <c r="C293" s="44" t="s">
        <v>245</v>
      </c>
      <c r="D293" s="52"/>
      <c r="E293" s="52"/>
      <c r="F293" s="52"/>
      <c r="G293" s="52"/>
      <c r="H293" s="56"/>
      <c r="I293" s="56"/>
      <c r="J293" s="56"/>
      <c r="K293" s="56"/>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row>
    <row r="294" spans="1:113">
      <c r="A294" s="150" t="s">
        <v>408</v>
      </c>
      <c r="B294" s="54">
        <v>4400</v>
      </c>
      <c r="C294" s="44" t="s">
        <v>122</v>
      </c>
      <c r="D294" s="52"/>
      <c r="E294" s="52"/>
      <c r="F294" s="52"/>
      <c r="G294" s="52"/>
      <c r="H294" s="56"/>
      <c r="I294" s="56"/>
      <c r="J294" s="56"/>
      <c r="K294" s="56"/>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row>
    <row r="295" spans="1:113">
      <c r="A295" s="150" t="s">
        <v>407</v>
      </c>
      <c r="B295" s="54">
        <v>4410</v>
      </c>
      <c r="C295" s="44" t="s">
        <v>123</v>
      </c>
      <c r="D295" s="52">
        <v>54705</v>
      </c>
      <c r="E295" s="52">
        <v>150431</v>
      </c>
      <c r="F295" s="52">
        <v>85084</v>
      </c>
      <c r="G295" s="52"/>
      <c r="H295" s="56"/>
      <c r="I295" s="56"/>
      <c r="J295" s="56"/>
      <c r="K295" s="56"/>
      <c r="L295" s="52">
        <v>127321</v>
      </c>
      <c r="M295" s="52"/>
      <c r="N295" s="52">
        <v>39128</v>
      </c>
      <c r="O295" s="52"/>
      <c r="P295" s="52"/>
      <c r="Q295" s="52"/>
      <c r="R295" s="52"/>
      <c r="S295" s="52"/>
      <c r="T295" s="52"/>
      <c r="U295" s="52">
        <v>128891</v>
      </c>
      <c r="V295" s="52"/>
      <c r="W295" s="52">
        <v>180720</v>
      </c>
      <c r="X295" s="52">
        <v>69250</v>
      </c>
      <c r="Y295" s="52">
        <v>242565</v>
      </c>
      <c r="Z295" s="52">
        <v>112013</v>
      </c>
      <c r="AA295" s="52">
        <v>49717</v>
      </c>
      <c r="AB295" s="52">
        <v>57273</v>
      </c>
      <c r="AC295" s="52"/>
      <c r="AD295" s="52"/>
      <c r="AE295" s="52"/>
      <c r="AF295" s="52">
        <v>127268</v>
      </c>
      <c r="AG295" s="52">
        <v>79788</v>
      </c>
      <c r="AH295" s="52">
        <v>92032</v>
      </c>
      <c r="AI295" s="52"/>
      <c r="AJ295" s="52"/>
      <c r="AK295" s="52">
        <v>22902</v>
      </c>
      <c r="AL295" s="52"/>
      <c r="AM295" s="52"/>
      <c r="AN295" s="52">
        <v>322804</v>
      </c>
      <c r="AO295" s="52"/>
      <c r="AP295" s="52"/>
      <c r="AQ295" s="52">
        <v>49675</v>
      </c>
      <c r="AR295" s="52"/>
      <c r="AS295" s="52">
        <v>389715</v>
      </c>
      <c r="AT295" s="52"/>
      <c r="AU295" s="52">
        <v>51798</v>
      </c>
      <c r="AV295" s="52"/>
      <c r="AW295" s="52"/>
      <c r="AX295" s="52">
        <v>97683</v>
      </c>
      <c r="AY295" s="52">
        <v>463192</v>
      </c>
      <c r="AZ295" s="52">
        <v>61959</v>
      </c>
      <c r="BA295" s="52"/>
      <c r="BB295" s="52"/>
      <c r="BC295" s="52"/>
      <c r="BD295" s="52">
        <v>52599</v>
      </c>
      <c r="BE295" s="52"/>
      <c r="BF295" s="52">
        <v>121069</v>
      </c>
      <c r="BG295" s="52"/>
      <c r="BH295" s="52">
        <v>100573</v>
      </c>
      <c r="BI295" s="52">
        <v>88918</v>
      </c>
      <c r="BJ295" s="52">
        <v>103975</v>
      </c>
      <c r="BK295" s="52"/>
      <c r="BL295" s="52"/>
      <c r="BM295" s="52">
        <v>97251</v>
      </c>
      <c r="BN295" s="52">
        <v>117864</v>
      </c>
      <c r="BO295" s="52">
        <v>47191</v>
      </c>
      <c r="BP295" s="52"/>
      <c r="BQ295" s="52">
        <v>93780</v>
      </c>
      <c r="BR295" s="52">
        <v>68522</v>
      </c>
      <c r="BS295" s="52">
        <v>46376</v>
      </c>
      <c r="BT295" s="52"/>
      <c r="BU295" s="52"/>
      <c r="BV295" s="52"/>
      <c r="BW295" s="52"/>
      <c r="BX295" s="52">
        <v>166354</v>
      </c>
      <c r="BY295" s="52">
        <v>89517</v>
      </c>
      <c r="BZ295" s="52">
        <v>76960</v>
      </c>
      <c r="CA295" s="52"/>
      <c r="CB295" s="52"/>
      <c r="CC295" s="52"/>
      <c r="CD295" s="52"/>
      <c r="CE295" s="52"/>
      <c r="CF295" s="52">
        <v>112389</v>
      </c>
      <c r="CG295" s="52">
        <v>297666</v>
      </c>
      <c r="CH295" s="52">
        <v>92066</v>
      </c>
      <c r="CI295" s="52">
        <v>24334</v>
      </c>
      <c r="CJ295" s="52"/>
      <c r="CK295" s="52"/>
      <c r="CL295" s="52"/>
      <c r="CM295" s="52"/>
      <c r="CN295" s="52"/>
      <c r="CO295" s="52"/>
      <c r="CP295" s="52">
        <v>135558</v>
      </c>
      <c r="CQ295" s="52"/>
      <c r="CR295" s="52"/>
      <c r="CS295" s="52"/>
      <c r="CT295" s="52"/>
      <c r="CU295" s="52">
        <v>547873</v>
      </c>
      <c r="CV295" s="52"/>
      <c r="CW295" s="52">
        <v>155265</v>
      </c>
      <c r="CX295" s="52">
        <v>51363</v>
      </c>
      <c r="CY295" s="52"/>
      <c r="CZ295" s="52">
        <v>58403</v>
      </c>
      <c r="DA295" s="52">
        <v>111829</v>
      </c>
      <c r="DB295" s="52"/>
      <c r="DC295" s="52"/>
      <c r="DD295" s="52">
        <v>117227</v>
      </c>
      <c r="DE295" s="52">
        <v>5913609</v>
      </c>
      <c r="DF295" s="52">
        <v>117227</v>
      </c>
      <c r="DG295" s="52">
        <v>6030836</v>
      </c>
      <c r="DH295" s="52"/>
    </row>
    <row r="296" spans="1:113">
      <c r="A296" s="150" t="s">
        <v>407</v>
      </c>
      <c r="B296" s="54">
        <v>4490</v>
      </c>
      <c r="C296" s="44" t="s">
        <v>259</v>
      </c>
      <c r="D296" s="52"/>
      <c r="E296" s="52"/>
      <c r="F296" s="52"/>
      <c r="G296" s="52"/>
      <c r="H296" s="56"/>
      <c r="I296" s="56"/>
      <c r="J296" s="56"/>
      <c r="K296" s="56"/>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v>26304</v>
      </c>
      <c r="DE296" s="52"/>
      <c r="DF296" s="52">
        <v>26304</v>
      </c>
      <c r="DG296" s="52">
        <v>26304</v>
      </c>
      <c r="DH296" s="52"/>
    </row>
    <row r="297" spans="1:113">
      <c r="A297" s="150" t="s">
        <v>408</v>
      </c>
      <c r="B297" s="54">
        <v>4500</v>
      </c>
      <c r="C297" s="44" t="s">
        <v>260</v>
      </c>
      <c r="D297" s="52"/>
      <c r="E297" s="52"/>
      <c r="F297" s="52"/>
      <c r="G297" s="52"/>
      <c r="H297" s="56"/>
      <c r="I297" s="56"/>
      <c r="J297" s="56"/>
      <c r="K297" s="56"/>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row>
    <row r="298" spans="1:113">
      <c r="A298" s="150" t="s">
        <v>408</v>
      </c>
      <c r="B298" s="54">
        <v>4800</v>
      </c>
      <c r="C298" s="44" t="s">
        <v>263</v>
      </c>
      <c r="D298" s="52"/>
      <c r="E298" s="52"/>
      <c r="F298" s="52"/>
      <c r="G298" s="52"/>
      <c r="H298" s="56"/>
      <c r="I298" s="56"/>
      <c r="J298" s="56"/>
      <c r="K298" s="56"/>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row>
    <row r="299" spans="1:113">
      <c r="A299" s="150" t="s">
        <v>408</v>
      </c>
      <c r="B299" s="54">
        <v>4900</v>
      </c>
      <c r="C299" s="44" t="s">
        <v>267</v>
      </c>
      <c r="D299" s="52"/>
      <c r="E299" s="52"/>
      <c r="F299" s="52"/>
      <c r="G299" s="52"/>
      <c r="H299" s="56"/>
      <c r="I299" s="56"/>
      <c r="J299" s="56"/>
      <c r="K299" s="56"/>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row>
    <row r="300" spans="1:113">
      <c r="A300" s="150" t="s">
        <v>408</v>
      </c>
      <c r="B300" s="54"/>
      <c r="D300" s="52" t="s">
        <v>38</v>
      </c>
      <c r="E300" s="52" t="s">
        <v>39</v>
      </c>
      <c r="F300" s="52" t="s">
        <v>40</v>
      </c>
      <c r="G300" s="52" t="s">
        <v>41</v>
      </c>
      <c r="H300" s="57" t="s">
        <v>303</v>
      </c>
      <c r="I300" s="57" t="s">
        <v>304</v>
      </c>
      <c r="J300" s="57" t="s">
        <v>305</v>
      </c>
      <c r="K300" s="57" t="s">
        <v>306</v>
      </c>
      <c r="L300" s="52" t="s">
        <v>307</v>
      </c>
      <c r="M300" s="52" t="s">
        <v>308</v>
      </c>
      <c r="N300" s="52" t="s">
        <v>309</v>
      </c>
      <c r="O300" s="52" t="s">
        <v>310</v>
      </c>
      <c r="P300" s="52" t="s">
        <v>311</v>
      </c>
      <c r="Q300" s="52" t="s">
        <v>312</v>
      </c>
      <c r="R300" s="52" t="s">
        <v>313</v>
      </c>
      <c r="S300" s="52" t="s">
        <v>314</v>
      </c>
      <c r="T300" s="52" t="s">
        <v>315</v>
      </c>
      <c r="U300" s="52" t="s">
        <v>316</v>
      </c>
      <c r="V300" s="52" t="s">
        <v>317</v>
      </c>
      <c r="W300" s="52" t="s">
        <v>318</v>
      </c>
      <c r="X300" s="52" t="s">
        <v>319</v>
      </c>
      <c r="Y300" s="52" t="s">
        <v>320</v>
      </c>
      <c r="Z300" s="52" t="s">
        <v>321</v>
      </c>
      <c r="AA300" s="52" t="s">
        <v>322</v>
      </c>
      <c r="AB300" s="52" t="s">
        <v>323</v>
      </c>
      <c r="AC300" s="52" t="s">
        <v>324</v>
      </c>
      <c r="AD300" s="52" t="s">
        <v>325</v>
      </c>
      <c r="AE300" s="52" t="s">
        <v>326</v>
      </c>
      <c r="AF300" s="52" t="s">
        <v>327</v>
      </c>
      <c r="AG300" s="52" t="s">
        <v>328</v>
      </c>
      <c r="AH300" s="52" t="s">
        <v>329</v>
      </c>
      <c r="AI300" s="52" t="s">
        <v>330</v>
      </c>
      <c r="AJ300" s="52" t="s">
        <v>331</v>
      </c>
      <c r="AK300" s="52" t="s">
        <v>332</v>
      </c>
      <c r="AL300" s="52" t="s">
        <v>333</v>
      </c>
      <c r="AM300" s="52" t="s">
        <v>334</v>
      </c>
      <c r="AN300" s="52" t="s">
        <v>335</v>
      </c>
      <c r="AO300" s="52" t="s">
        <v>336</v>
      </c>
      <c r="AP300" s="52" t="s">
        <v>337</v>
      </c>
      <c r="AQ300" s="52" t="s">
        <v>338</v>
      </c>
      <c r="AR300" s="52" t="s">
        <v>339</v>
      </c>
      <c r="AS300" s="52" t="s">
        <v>340</v>
      </c>
      <c r="AT300" s="52" t="s">
        <v>341</v>
      </c>
      <c r="AU300" s="52" t="s">
        <v>342</v>
      </c>
      <c r="AV300" s="52" t="s">
        <v>343</v>
      </c>
      <c r="AW300" s="52" t="s">
        <v>344</v>
      </c>
      <c r="AX300" s="52" t="s">
        <v>345</v>
      </c>
      <c r="AY300" s="52" t="s">
        <v>346</v>
      </c>
      <c r="AZ300" s="52" t="s">
        <v>347</v>
      </c>
      <c r="BA300" s="52" t="s">
        <v>348</v>
      </c>
      <c r="BB300" s="52" t="s">
        <v>349</v>
      </c>
      <c r="BC300" s="52" t="s">
        <v>350</v>
      </c>
      <c r="BD300" s="52" t="s">
        <v>351</v>
      </c>
      <c r="BE300" s="52" t="s">
        <v>352</v>
      </c>
      <c r="BF300" s="52" t="s">
        <v>353</v>
      </c>
      <c r="BG300" s="52" t="s">
        <v>354</v>
      </c>
      <c r="BH300" s="52" t="s">
        <v>355</v>
      </c>
      <c r="BI300" s="52" t="s">
        <v>356</v>
      </c>
      <c r="BJ300" s="52" t="s">
        <v>357</v>
      </c>
      <c r="BK300" s="52" t="s">
        <v>358</v>
      </c>
      <c r="BL300" s="52" t="s">
        <v>359</v>
      </c>
      <c r="BM300" s="52" t="s">
        <v>360</v>
      </c>
      <c r="BN300" s="52" t="s">
        <v>361</v>
      </c>
      <c r="BO300" s="52" t="s">
        <v>362</v>
      </c>
      <c r="BP300" s="52" t="s">
        <v>363</v>
      </c>
      <c r="BQ300" s="52" t="s">
        <v>364</v>
      </c>
      <c r="BR300" s="52" t="s">
        <v>365</v>
      </c>
      <c r="BS300" s="52" t="s">
        <v>366</v>
      </c>
      <c r="BT300" s="52" t="s">
        <v>367</v>
      </c>
      <c r="BU300" s="52" t="s">
        <v>368</v>
      </c>
      <c r="BV300" s="52" t="s">
        <v>369</v>
      </c>
      <c r="BW300" s="52" t="s">
        <v>370</v>
      </c>
      <c r="BX300" s="52" t="s">
        <v>371</v>
      </c>
      <c r="BY300" s="52" t="s">
        <v>372</v>
      </c>
      <c r="BZ300" s="52" t="s">
        <v>373</v>
      </c>
      <c r="CA300" s="52" t="s">
        <v>374</v>
      </c>
      <c r="CB300" s="52" t="s">
        <v>375</v>
      </c>
      <c r="CC300" s="52" t="s">
        <v>376</v>
      </c>
      <c r="CD300" s="52" t="s">
        <v>377</v>
      </c>
      <c r="CE300" s="52" t="s">
        <v>378</v>
      </c>
      <c r="CF300" s="52" t="s">
        <v>379</v>
      </c>
      <c r="CG300" s="52" t="s">
        <v>380</v>
      </c>
      <c r="CH300" s="52" t="s">
        <v>381</v>
      </c>
      <c r="CI300" s="52" t="s">
        <v>382</v>
      </c>
      <c r="CJ300" s="52" t="s">
        <v>383</v>
      </c>
      <c r="CK300" s="52" t="s">
        <v>384</v>
      </c>
      <c r="CL300" s="52" t="s">
        <v>385</v>
      </c>
      <c r="CM300" s="52" t="s">
        <v>386</v>
      </c>
      <c r="CN300" s="52" t="s">
        <v>387</v>
      </c>
      <c r="CO300" s="52" t="s">
        <v>388</v>
      </c>
      <c r="CP300" s="52" t="s">
        <v>389</v>
      </c>
      <c r="CQ300" s="52" t="s">
        <v>390</v>
      </c>
      <c r="CR300" s="52" t="s">
        <v>391</v>
      </c>
      <c r="CS300" s="52" t="s">
        <v>392</v>
      </c>
      <c r="CT300" s="52" t="s">
        <v>393</v>
      </c>
      <c r="CU300" s="52" t="s">
        <v>394</v>
      </c>
      <c r="CV300" s="52" t="s">
        <v>395</v>
      </c>
      <c r="CW300" s="52" t="s">
        <v>396</v>
      </c>
      <c r="CX300" s="52" t="s">
        <v>397</v>
      </c>
      <c r="CY300" s="52" t="s">
        <v>398</v>
      </c>
      <c r="CZ300" s="52" t="s">
        <v>399</v>
      </c>
      <c r="DA300" s="52" t="s">
        <v>400</v>
      </c>
      <c r="DB300" s="52" t="s">
        <v>401</v>
      </c>
      <c r="DC300" s="52" t="s">
        <v>29</v>
      </c>
      <c r="DD300" s="52" t="s">
        <v>402</v>
      </c>
      <c r="DE300" s="52" t="s">
        <v>403</v>
      </c>
      <c r="DF300" s="52" t="s">
        <v>404</v>
      </c>
      <c r="DG300" s="52" t="s">
        <v>405</v>
      </c>
      <c r="DH300" s="52"/>
    </row>
    <row r="301" spans="1:113">
      <c r="A301" s="150" t="s">
        <v>408</v>
      </c>
      <c r="B301" s="54"/>
      <c r="D301" s="52"/>
      <c r="E301" s="52"/>
      <c r="F301" s="52"/>
      <c r="G301" s="52"/>
      <c r="H301" s="56"/>
      <c r="I301" s="56"/>
      <c r="J301" s="56"/>
      <c r="K301" s="56"/>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row>
    <row r="302" spans="1:113">
      <c r="A302" s="150" t="s">
        <v>408</v>
      </c>
      <c r="B302" s="54"/>
      <c r="D302" s="52"/>
      <c r="E302" s="52"/>
      <c r="F302" s="52"/>
      <c r="G302" s="52"/>
      <c r="H302" s="56"/>
      <c r="I302" s="56"/>
      <c r="J302" s="56"/>
      <c r="K302" s="56"/>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row>
    <row r="303" spans="1:113">
      <c r="A303" s="150" t="s">
        <v>408</v>
      </c>
      <c r="B303" s="54" t="s">
        <v>90</v>
      </c>
      <c r="C303" s="44" t="s">
        <v>280</v>
      </c>
      <c r="D303" s="52">
        <v>3682976</v>
      </c>
      <c r="E303" s="52">
        <v>22741478</v>
      </c>
      <c r="F303" s="52">
        <v>3089402</v>
      </c>
      <c r="G303" s="52"/>
      <c r="H303" s="56">
        <v>4875036</v>
      </c>
      <c r="I303" s="56">
        <v>3074753</v>
      </c>
      <c r="J303" s="56">
        <v>2542156</v>
      </c>
      <c r="K303" s="56">
        <v>2598938</v>
      </c>
      <c r="L303" s="52">
        <v>12101614</v>
      </c>
      <c r="M303" s="52"/>
      <c r="N303" s="52">
        <v>125508</v>
      </c>
      <c r="O303" s="52">
        <v>2392397</v>
      </c>
      <c r="P303" s="52">
        <v>1951283</v>
      </c>
      <c r="Q303" s="52">
        <v>1657631</v>
      </c>
      <c r="R303" s="52">
        <v>1162577</v>
      </c>
      <c r="S303" s="52">
        <v>2514099</v>
      </c>
      <c r="T303" s="52">
        <v>12912</v>
      </c>
      <c r="U303" s="52">
        <v>20641146</v>
      </c>
      <c r="V303" s="52">
        <v>182481</v>
      </c>
      <c r="W303" s="52">
        <v>25047152</v>
      </c>
      <c r="X303" s="52">
        <v>2232822</v>
      </c>
      <c r="Y303" s="52">
        <v>52757514</v>
      </c>
      <c r="Z303" s="52">
        <v>9688812</v>
      </c>
      <c r="AA303" s="52">
        <v>7648343</v>
      </c>
      <c r="AB303" s="52">
        <v>8418108</v>
      </c>
      <c r="AC303" s="52">
        <v>1853363</v>
      </c>
      <c r="AD303" s="52">
        <v>5339019</v>
      </c>
      <c r="AE303" s="52">
        <v>1176265</v>
      </c>
      <c r="AF303" s="52">
        <v>137628</v>
      </c>
      <c r="AG303" s="52">
        <v>9528799</v>
      </c>
      <c r="AH303" s="52">
        <v>14069234</v>
      </c>
      <c r="AI303" s="52"/>
      <c r="AJ303" s="52">
        <v>1100460</v>
      </c>
      <c r="AK303" s="52">
        <v>5308915</v>
      </c>
      <c r="AL303" s="52">
        <v>1924563</v>
      </c>
      <c r="AM303" s="52">
        <v>139914</v>
      </c>
      <c r="AN303" s="52">
        <v>10635863</v>
      </c>
      <c r="AO303" s="52">
        <v>3430635</v>
      </c>
      <c r="AP303" s="52"/>
      <c r="AQ303" s="52">
        <v>3763177</v>
      </c>
      <c r="AR303" s="52">
        <v>5073637</v>
      </c>
      <c r="AS303" s="52">
        <v>16245407</v>
      </c>
      <c r="AT303" s="52">
        <v>1249002</v>
      </c>
      <c r="AU303" s="52">
        <v>8143064</v>
      </c>
      <c r="AV303" s="52">
        <v>1564610</v>
      </c>
      <c r="AW303" s="52">
        <v>1508866</v>
      </c>
      <c r="AX303" s="52">
        <v>11444257</v>
      </c>
      <c r="AY303" s="52">
        <v>53363867</v>
      </c>
      <c r="AZ303" s="52">
        <v>8674949</v>
      </c>
      <c r="BA303" s="52">
        <v>1134998</v>
      </c>
      <c r="BB303" s="52">
        <v>1071956</v>
      </c>
      <c r="BC303" s="52"/>
      <c r="BD303" s="52">
        <v>3376368</v>
      </c>
      <c r="BE303" s="52">
        <v>2340572</v>
      </c>
      <c r="BF303" s="52">
        <v>32429350</v>
      </c>
      <c r="BG303" s="52">
        <v>4897127</v>
      </c>
      <c r="BH303" s="52">
        <v>9162342</v>
      </c>
      <c r="BI303" s="52">
        <v>12883294</v>
      </c>
      <c r="BJ303" s="52">
        <v>6055048</v>
      </c>
      <c r="BK303" s="52">
        <v>4724125</v>
      </c>
      <c r="BL303" s="52">
        <v>4579687</v>
      </c>
      <c r="BM303" s="52">
        <v>11280560</v>
      </c>
      <c r="BN303" s="52">
        <v>8083158</v>
      </c>
      <c r="BO303" s="52">
        <v>2649385</v>
      </c>
      <c r="BP303" s="52">
        <v>4854189</v>
      </c>
      <c r="BQ303" s="52">
        <v>8686155</v>
      </c>
      <c r="BR303" s="52">
        <v>1612072</v>
      </c>
      <c r="BS303" s="52">
        <v>46376</v>
      </c>
      <c r="BT303" s="52">
        <v>4526664</v>
      </c>
      <c r="BU303" s="52">
        <v>4119091</v>
      </c>
      <c r="BV303" s="52">
        <v>1940989</v>
      </c>
      <c r="BW303" s="52">
        <v>500</v>
      </c>
      <c r="BX303" s="52">
        <v>7654127</v>
      </c>
      <c r="BY303" s="52">
        <v>7108791</v>
      </c>
      <c r="BZ303" s="52">
        <v>9682245</v>
      </c>
      <c r="CA303" s="52"/>
      <c r="CB303" s="52">
        <v>5076482</v>
      </c>
      <c r="CC303" s="52">
        <v>4672184</v>
      </c>
      <c r="CD303" s="52">
        <v>10022467</v>
      </c>
      <c r="CE303" s="52"/>
      <c r="CF303" s="52">
        <v>12359722</v>
      </c>
      <c r="CG303" s="52">
        <v>34551873</v>
      </c>
      <c r="CH303" s="52">
        <v>14579917</v>
      </c>
      <c r="CI303" s="52">
        <v>2258720</v>
      </c>
      <c r="CJ303" s="52">
        <v>3565798</v>
      </c>
      <c r="CK303" s="52">
        <v>5936673</v>
      </c>
      <c r="CL303" s="52">
        <v>2572299</v>
      </c>
      <c r="CM303" s="52">
        <v>2009981</v>
      </c>
      <c r="CN303" s="52">
        <v>4613850</v>
      </c>
      <c r="CO303" s="52">
        <v>6417352</v>
      </c>
      <c r="CP303" s="52">
        <v>10855782</v>
      </c>
      <c r="CQ303" s="52">
        <v>866</v>
      </c>
      <c r="CR303" s="52">
        <v>840</v>
      </c>
      <c r="CS303" s="52"/>
      <c r="CT303" s="52">
        <v>12357905</v>
      </c>
      <c r="CU303" s="52">
        <v>12300554</v>
      </c>
      <c r="CV303" s="52"/>
      <c r="CW303" s="52">
        <v>5143393</v>
      </c>
      <c r="CX303" s="52">
        <v>11124120</v>
      </c>
      <c r="CY303" s="52">
        <v>4815866</v>
      </c>
      <c r="CZ303" s="52">
        <v>2844980</v>
      </c>
      <c r="DA303" s="52">
        <v>11279750</v>
      </c>
      <c r="DB303" s="52">
        <v>3025378</v>
      </c>
      <c r="DC303" s="52">
        <v>2385970</v>
      </c>
      <c r="DD303" s="52">
        <v>1355712</v>
      </c>
      <c r="DE303" s="52"/>
      <c r="DF303" s="52"/>
      <c r="DG303" s="52"/>
      <c r="DH303" s="52"/>
    </row>
    <row r="304" spans="1:113">
      <c r="A304" s="150" t="s">
        <v>408</v>
      </c>
      <c r="B304" s="54"/>
      <c r="D304" s="52"/>
      <c r="E304" s="52"/>
      <c r="F304" s="52"/>
      <c r="G304" s="52"/>
      <c r="H304" s="56"/>
      <c r="I304" s="56"/>
      <c r="J304" s="56"/>
      <c r="K304" s="56"/>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row>
    <row r="305" spans="1:112">
      <c r="A305" s="150" t="s">
        <v>408</v>
      </c>
      <c r="B305" s="54">
        <v>5000</v>
      </c>
      <c r="C305" s="44" t="s">
        <v>281</v>
      </c>
      <c r="D305" s="52"/>
      <c r="E305" s="52"/>
      <c r="F305" s="52"/>
      <c r="G305" s="52"/>
      <c r="H305" s="56"/>
      <c r="I305" s="56"/>
      <c r="J305" s="56"/>
      <c r="K305" s="56"/>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row>
    <row r="306" spans="1:112">
      <c r="A306" s="150" t="s">
        <v>407</v>
      </c>
      <c r="B306" s="54">
        <v>5110</v>
      </c>
      <c r="C306" s="44" t="s">
        <v>282</v>
      </c>
      <c r="D306" s="52"/>
      <c r="E306" s="52">
        <v>521976</v>
      </c>
      <c r="F306" s="52"/>
      <c r="G306" s="52"/>
      <c r="H306" s="56"/>
      <c r="I306" s="56">
        <v>194939</v>
      </c>
      <c r="J306" s="56"/>
      <c r="K306" s="56"/>
      <c r="L306" s="52"/>
      <c r="M306" s="52"/>
      <c r="N306" s="52"/>
      <c r="O306" s="52">
        <v>10386</v>
      </c>
      <c r="P306" s="52"/>
      <c r="Q306" s="52"/>
      <c r="R306" s="52"/>
      <c r="S306" s="52"/>
      <c r="T306" s="52"/>
      <c r="U306" s="52">
        <v>3780735</v>
      </c>
      <c r="V306" s="52"/>
      <c r="W306" s="52">
        <v>4838201</v>
      </c>
      <c r="X306" s="52">
        <v>817413</v>
      </c>
      <c r="Y306" s="52">
        <v>107167</v>
      </c>
      <c r="Z306" s="52"/>
      <c r="AA306" s="52"/>
      <c r="AB306" s="52">
        <v>1139042</v>
      </c>
      <c r="AC306" s="52"/>
      <c r="AD306" s="52"/>
      <c r="AE306" s="52"/>
      <c r="AF306" s="52"/>
      <c r="AG306" s="52">
        <v>2725025</v>
      </c>
      <c r="AH306" s="52"/>
      <c r="AI306" s="52"/>
      <c r="AJ306" s="52"/>
      <c r="AK306" s="52"/>
      <c r="AL306" s="52"/>
      <c r="AM306" s="52"/>
      <c r="AN306" s="52">
        <v>7872</v>
      </c>
      <c r="AO306" s="52"/>
      <c r="AP306" s="52"/>
      <c r="AQ306" s="52"/>
      <c r="AR306" s="52"/>
      <c r="AS306" s="52"/>
      <c r="AT306" s="52"/>
      <c r="AU306" s="52"/>
      <c r="AV306" s="52"/>
      <c r="AW306" s="52"/>
      <c r="AX306" s="52">
        <v>354454</v>
      </c>
      <c r="AY306" s="52"/>
      <c r="AZ306" s="52">
        <v>3698178</v>
      </c>
      <c r="BA306" s="52"/>
      <c r="BB306" s="52"/>
      <c r="BC306" s="52"/>
      <c r="BD306" s="52"/>
      <c r="BE306" s="52"/>
      <c r="BF306" s="52">
        <v>3393526</v>
      </c>
      <c r="BG306" s="52">
        <v>91586</v>
      </c>
      <c r="BH306" s="52"/>
      <c r="BI306" s="52"/>
      <c r="BJ306" s="52">
        <v>7235</v>
      </c>
      <c r="BK306" s="52"/>
      <c r="BL306" s="52"/>
      <c r="BM306" s="52"/>
      <c r="BN306" s="52">
        <v>1834</v>
      </c>
      <c r="BO306" s="52"/>
      <c r="BP306" s="52"/>
      <c r="BQ306" s="52"/>
      <c r="BR306" s="52"/>
      <c r="BS306" s="52"/>
      <c r="BT306" s="52"/>
      <c r="BU306" s="52"/>
      <c r="BV306" s="52"/>
      <c r="BW306" s="52"/>
      <c r="BX306" s="52">
        <v>422760</v>
      </c>
      <c r="BY306" s="52"/>
      <c r="BZ306" s="52">
        <v>610873</v>
      </c>
      <c r="CA306" s="52"/>
      <c r="CB306" s="52"/>
      <c r="CC306" s="52">
        <v>319181</v>
      </c>
      <c r="CD306" s="52">
        <v>156682</v>
      </c>
      <c r="CE306" s="52"/>
      <c r="CF306" s="52">
        <v>18772977</v>
      </c>
      <c r="CG306" s="52">
        <v>1962828</v>
      </c>
      <c r="CH306" s="52">
        <v>1348330</v>
      </c>
      <c r="CI306" s="52"/>
      <c r="CJ306" s="52"/>
      <c r="CK306" s="52">
        <v>18120</v>
      </c>
      <c r="CL306" s="52">
        <v>79610</v>
      </c>
      <c r="CM306" s="52"/>
      <c r="CN306" s="52"/>
      <c r="CO306" s="52">
        <v>5</v>
      </c>
      <c r="CP306" s="52"/>
      <c r="CQ306" s="52"/>
      <c r="CR306" s="52"/>
      <c r="CS306" s="52"/>
      <c r="CT306" s="52">
        <v>1162398</v>
      </c>
      <c r="CU306" s="52">
        <v>1402904</v>
      </c>
      <c r="CV306" s="52"/>
      <c r="CW306" s="52">
        <v>653929</v>
      </c>
      <c r="CX306" s="52">
        <v>794070</v>
      </c>
      <c r="CY306" s="52"/>
      <c r="CZ306" s="52"/>
      <c r="DA306" s="52">
        <v>1401390</v>
      </c>
      <c r="DB306" s="52">
        <v>5006644</v>
      </c>
      <c r="DC306" s="52"/>
      <c r="DD306" s="52"/>
      <c r="DE306" s="52">
        <v>55802270</v>
      </c>
      <c r="DF306" s="52"/>
      <c r="DG306" s="52">
        <v>55802270</v>
      </c>
      <c r="DH306" s="52"/>
    </row>
    <row r="307" spans="1:112">
      <c r="A307" s="150" t="s">
        <v>407</v>
      </c>
      <c r="B307" s="54">
        <v>5120</v>
      </c>
      <c r="C307" s="44" t="s">
        <v>283</v>
      </c>
      <c r="D307" s="52"/>
      <c r="E307" s="52">
        <v>21740000</v>
      </c>
      <c r="F307" s="52"/>
      <c r="G307" s="52"/>
      <c r="H307" s="56"/>
      <c r="I307" s="56"/>
      <c r="J307" s="56"/>
      <c r="K307" s="56"/>
      <c r="L307" s="52">
        <v>7600000</v>
      </c>
      <c r="M307" s="52"/>
      <c r="N307" s="52"/>
      <c r="O307" s="52">
        <v>1300000</v>
      </c>
      <c r="P307" s="52"/>
      <c r="Q307" s="52"/>
      <c r="R307" s="52">
        <v>570000</v>
      </c>
      <c r="S307" s="52"/>
      <c r="T307" s="52"/>
      <c r="U307" s="52">
        <v>68710000</v>
      </c>
      <c r="V307" s="52"/>
      <c r="W307" s="52">
        <v>83656750</v>
      </c>
      <c r="X307" s="52">
        <v>32985000</v>
      </c>
      <c r="Y307" s="52"/>
      <c r="Z307" s="52"/>
      <c r="AA307" s="52"/>
      <c r="AB307" s="52">
        <v>175000</v>
      </c>
      <c r="AC307" s="52">
        <v>9630000</v>
      </c>
      <c r="AD307" s="52">
        <v>425000</v>
      </c>
      <c r="AE307" s="52"/>
      <c r="AF307" s="52"/>
      <c r="AG307" s="52"/>
      <c r="AH307" s="52">
        <v>3000000</v>
      </c>
      <c r="AI307" s="52"/>
      <c r="AJ307" s="52"/>
      <c r="AK307" s="52"/>
      <c r="AL307" s="52"/>
      <c r="AM307" s="52"/>
      <c r="AN307" s="52">
        <v>7277390</v>
      </c>
      <c r="AO307" s="52"/>
      <c r="AP307" s="52"/>
      <c r="AQ307" s="52"/>
      <c r="AR307" s="52">
        <v>2011213</v>
      </c>
      <c r="AS307" s="52"/>
      <c r="AT307" s="52"/>
      <c r="AU307" s="52">
        <v>1200000</v>
      </c>
      <c r="AV307" s="52"/>
      <c r="AW307" s="52"/>
      <c r="AX307" s="52">
        <v>16957208</v>
      </c>
      <c r="AY307" s="52"/>
      <c r="AZ307" s="52">
        <v>5200000</v>
      </c>
      <c r="BA307" s="52"/>
      <c r="BB307" s="52">
        <v>760000</v>
      </c>
      <c r="BC307" s="52"/>
      <c r="BD307" s="52">
        <v>1644400</v>
      </c>
      <c r="BE307" s="52">
        <v>200000</v>
      </c>
      <c r="BF307" s="52">
        <v>128710000</v>
      </c>
      <c r="BG307" s="52">
        <v>14965000</v>
      </c>
      <c r="BH307" s="52"/>
      <c r="BI307" s="52">
        <v>5500000</v>
      </c>
      <c r="BJ307" s="52">
        <v>1405000</v>
      </c>
      <c r="BK307" s="52">
        <v>20000000</v>
      </c>
      <c r="BL307" s="52">
        <v>5000000</v>
      </c>
      <c r="BM307" s="52">
        <v>1910000</v>
      </c>
      <c r="BN307" s="52">
        <v>3015000</v>
      </c>
      <c r="BO307" s="52"/>
      <c r="BP307" s="52"/>
      <c r="BQ307" s="52">
        <v>33725000</v>
      </c>
      <c r="BR307" s="52"/>
      <c r="BS307" s="52"/>
      <c r="BT307" s="52"/>
      <c r="BU307" s="52"/>
      <c r="BV307" s="52"/>
      <c r="BW307" s="52"/>
      <c r="BX307" s="52">
        <v>524946</v>
      </c>
      <c r="BY307" s="52"/>
      <c r="BZ307" s="52">
        <v>24500000</v>
      </c>
      <c r="CA307" s="52"/>
      <c r="CB307" s="52"/>
      <c r="CC307" s="52"/>
      <c r="CD307" s="52">
        <v>4204370</v>
      </c>
      <c r="CE307" s="52"/>
      <c r="CF307" s="52">
        <v>336165000</v>
      </c>
      <c r="CG307" s="52">
        <v>79000000</v>
      </c>
      <c r="CH307" s="52">
        <v>43500000</v>
      </c>
      <c r="CI307" s="52"/>
      <c r="CJ307" s="52"/>
      <c r="CK307" s="52">
        <v>5700000</v>
      </c>
      <c r="CL307" s="52">
        <v>18185000</v>
      </c>
      <c r="CM307" s="52">
        <v>2000000</v>
      </c>
      <c r="CN307" s="52"/>
      <c r="CO307" s="52">
        <v>12000000</v>
      </c>
      <c r="CP307" s="52"/>
      <c r="CQ307" s="52"/>
      <c r="CR307" s="52"/>
      <c r="CS307" s="52"/>
      <c r="CT307" s="52">
        <v>2000000</v>
      </c>
      <c r="CU307" s="52"/>
      <c r="CV307" s="52"/>
      <c r="CW307" s="52">
        <v>44215000</v>
      </c>
      <c r="CX307" s="52">
        <v>22870000</v>
      </c>
      <c r="CY307" s="52"/>
      <c r="CZ307" s="52"/>
      <c r="DA307" s="52">
        <v>63000000</v>
      </c>
      <c r="DB307" s="52"/>
      <c r="DC307" s="52"/>
      <c r="DD307" s="52"/>
      <c r="DE307" s="52">
        <v>1137136277</v>
      </c>
      <c r="DF307" s="52"/>
      <c r="DG307" s="52">
        <v>1137136277</v>
      </c>
      <c r="DH307" s="52"/>
    </row>
    <row r="308" spans="1:112">
      <c r="A308" s="150" t="s">
        <v>407</v>
      </c>
      <c r="B308" s="54">
        <v>5121</v>
      </c>
      <c r="C308" s="44" t="s">
        <v>284</v>
      </c>
      <c r="D308" s="52"/>
      <c r="E308" s="52"/>
      <c r="F308" s="52"/>
      <c r="G308" s="52"/>
      <c r="H308" s="56"/>
      <c r="I308" s="56"/>
      <c r="J308" s="56"/>
      <c r="K308" s="56"/>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v>32615000</v>
      </c>
      <c r="BO308" s="52"/>
      <c r="BP308" s="52"/>
      <c r="BQ308" s="52"/>
      <c r="BR308" s="52"/>
      <c r="BS308" s="52"/>
      <c r="BT308" s="52"/>
      <c r="BU308" s="52"/>
      <c r="BV308" s="52"/>
      <c r="BW308" s="52"/>
      <c r="BX308" s="52">
        <v>9280000</v>
      </c>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v>36580000</v>
      </c>
      <c r="CV308" s="52"/>
      <c r="CW308" s="52"/>
      <c r="CX308" s="52"/>
      <c r="CY308" s="52"/>
      <c r="CZ308" s="52"/>
      <c r="DA308" s="52"/>
      <c r="DB308" s="52"/>
      <c r="DC308" s="52"/>
      <c r="DD308" s="52"/>
      <c r="DE308" s="52">
        <v>78475000</v>
      </c>
      <c r="DF308" s="52"/>
      <c r="DG308" s="52">
        <v>78475000</v>
      </c>
      <c r="DH308" s="52"/>
    </row>
    <row r="309" spans="1:112">
      <c r="A309" s="150" t="s">
        <v>407</v>
      </c>
      <c r="B309" s="54">
        <v>5130</v>
      </c>
      <c r="C309" s="44" t="s">
        <v>285</v>
      </c>
      <c r="D309" s="52"/>
      <c r="E309" s="52"/>
      <c r="F309" s="52"/>
      <c r="G309" s="52"/>
      <c r="H309" s="56"/>
      <c r="I309" s="56">
        <v>24000000</v>
      </c>
      <c r="J309" s="56"/>
      <c r="K309" s="56"/>
      <c r="L309" s="52"/>
      <c r="M309" s="52"/>
      <c r="N309" s="52"/>
      <c r="O309" s="52"/>
      <c r="P309" s="52"/>
      <c r="Q309" s="52"/>
      <c r="R309" s="52"/>
      <c r="S309" s="52"/>
      <c r="T309" s="52"/>
      <c r="U309" s="52">
        <v>39095000</v>
      </c>
      <c r="V309" s="52"/>
      <c r="W309" s="52">
        <v>61673250</v>
      </c>
      <c r="X309" s="52"/>
      <c r="Y309" s="52"/>
      <c r="Z309" s="52"/>
      <c r="AA309" s="52"/>
      <c r="AB309" s="52">
        <v>546037</v>
      </c>
      <c r="AC309" s="52">
        <v>445000</v>
      </c>
      <c r="AD309" s="52"/>
      <c r="AE309" s="52"/>
      <c r="AF309" s="52"/>
      <c r="AG309" s="52">
        <v>97865000</v>
      </c>
      <c r="AH309" s="52"/>
      <c r="AI309" s="52"/>
      <c r="AJ309" s="52"/>
      <c r="AK309" s="52"/>
      <c r="AL309" s="52"/>
      <c r="AM309" s="52"/>
      <c r="AN309" s="52"/>
      <c r="AO309" s="52"/>
      <c r="AP309" s="52"/>
      <c r="AQ309" s="52"/>
      <c r="AR309" s="52"/>
      <c r="AS309" s="52"/>
      <c r="AT309" s="52"/>
      <c r="AU309" s="52"/>
      <c r="AV309" s="52"/>
      <c r="AW309" s="52"/>
      <c r="AX309" s="52"/>
      <c r="AY309" s="52"/>
      <c r="AZ309" s="52">
        <v>148880000</v>
      </c>
      <c r="BA309" s="52"/>
      <c r="BB309" s="52"/>
      <c r="BC309" s="52"/>
      <c r="BD309" s="52"/>
      <c r="BE309" s="52"/>
      <c r="BF309" s="52"/>
      <c r="BG309" s="52"/>
      <c r="BH309" s="52"/>
      <c r="BI309" s="52"/>
      <c r="BJ309" s="52">
        <v>9445000</v>
      </c>
      <c r="BK309" s="52"/>
      <c r="BL309" s="52"/>
      <c r="BM309" s="52"/>
      <c r="BN309" s="52"/>
      <c r="BO309" s="52"/>
      <c r="BP309" s="52"/>
      <c r="BQ309" s="52"/>
      <c r="BR309" s="52"/>
      <c r="BS309" s="52"/>
      <c r="BT309" s="52"/>
      <c r="BU309" s="52"/>
      <c r="BV309" s="52"/>
      <c r="BW309" s="52"/>
      <c r="BX309" s="52">
        <v>720000</v>
      </c>
      <c r="BY309" s="52"/>
      <c r="BZ309" s="52"/>
      <c r="CA309" s="52"/>
      <c r="CB309" s="52"/>
      <c r="CC309" s="52">
        <v>7645000</v>
      </c>
      <c r="CD309" s="52">
        <v>15315000</v>
      </c>
      <c r="CE309" s="52"/>
      <c r="CF309" s="52"/>
      <c r="CG309" s="52"/>
      <c r="CH309" s="52"/>
      <c r="CI309" s="52"/>
      <c r="CJ309" s="52"/>
      <c r="CK309" s="52"/>
      <c r="CL309" s="52"/>
      <c r="CM309" s="52"/>
      <c r="CN309" s="52"/>
      <c r="CO309" s="52"/>
      <c r="CP309" s="52"/>
      <c r="CQ309" s="52"/>
      <c r="CR309" s="52"/>
      <c r="CS309" s="52"/>
      <c r="CT309" s="52">
        <v>130000000</v>
      </c>
      <c r="CU309" s="52"/>
      <c r="CV309" s="52"/>
      <c r="CW309" s="52"/>
      <c r="CX309" s="52"/>
      <c r="CY309" s="52"/>
      <c r="CZ309" s="52"/>
      <c r="DA309" s="52"/>
      <c r="DB309" s="52">
        <v>19490000</v>
      </c>
      <c r="DC309" s="52"/>
      <c r="DD309" s="52"/>
      <c r="DE309" s="52">
        <v>555119287</v>
      </c>
      <c r="DF309" s="52"/>
      <c r="DG309" s="52">
        <v>555119287</v>
      </c>
      <c r="DH309" s="52"/>
    </row>
    <row r="310" spans="1:112">
      <c r="A310" s="150" t="s">
        <v>408</v>
      </c>
      <c r="B310" s="54">
        <v>5200</v>
      </c>
      <c r="C310" s="44" t="s">
        <v>286</v>
      </c>
      <c r="D310" s="52"/>
      <c r="E310" s="52"/>
      <c r="F310" s="52"/>
      <c r="G310" s="52"/>
      <c r="H310" s="56"/>
      <c r="I310" s="56"/>
      <c r="J310" s="56"/>
      <c r="K310" s="56"/>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row>
    <row r="311" spans="1:112">
      <c r="A311" s="150" t="s">
        <v>407</v>
      </c>
      <c r="B311" s="54">
        <v>5210</v>
      </c>
      <c r="C311" s="44" t="s">
        <v>287</v>
      </c>
      <c r="D311" s="52">
        <v>52456</v>
      </c>
      <c r="E311" s="52">
        <v>1078935</v>
      </c>
      <c r="F311" s="52"/>
      <c r="G311" s="52">
        <v>38537</v>
      </c>
      <c r="H311" s="56">
        <v>254665</v>
      </c>
      <c r="I311" s="56">
        <v>2706184</v>
      </c>
      <c r="J311" s="56">
        <v>81201</v>
      </c>
      <c r="K311" s="56">
        <v>82168</v>
      </c>
      <c r="L311" s="52">
        <v>413261</v>
      </c>
      <c r="M311" s="52">
        <v>31527</v>
      </c>
      <c r="N311" s="52"/>
      <c r="O311" s="52"/>
      <c r="P311" s="52">
        <v>294221</v>
      </c>
      <c r="Q311" s="52"/>
      <c r="R311" s="52">
        <v>238104</v>
      </c>
      <c r="S311" s="52"/>
      <c r="T311" s="52"/>
      <c r="U311" s="52">
        <v>396749</v>
      </c>
      <c r="V311" s="52"/>
      <c r="W311" s="52">
        <v>4172713</v>
      </c>
      <c r="X311" s="52">
        <v>430162</v>
      </c>
      <c r="Y311" s="52">
        <v>6510703</v>
      </c>
      <c r="Z311" s="52">
        <v>643608</v>
      </c>
      <c r="AA311" s="52">
        <v>10438</v>
      </c>
      <c r="AB311" s="52">
        <v>170263</v>
      </c>
      <c r="AC311" s="52">
        <v>45000</v>
      </c>
      <c r="AD311" s="52">
        <v>316550</v>
      </c>
      <c r="AE311" s="52">
        <v>93658</v>
      </c>
      <c r="AF311" s="52"/>
      <c r="AG311" s="52"/>
      <c r="AH311" s="52">
        <v>1584240</v>
      </c>
      <c r="AI311" s="52"/>
      <c r="AJ311" s="52">
        <v>31250</v>
      </c>
      <c r="AK311" s="52">
        <v>461297</v>
      </c>
      <c r="AL311" s="52">
        <v>11505</v>
      </c>
      <c r="AM311" s="52">
        <v>-559</v>
      </c>
      <c r="AN311" s="52">
        <v>4531797</v>
      </c>
      <c r="AO311" s="52">
        <v>195270</v>
      </c>
      <c r="AP311" s="52"/>
      <c r="AQ311" s="52">
        <v>369383</v>
      </c>
      <c r="AR311" s="52">
        <v>1317737</v>
      </c>
      <c r="AS311" s="52">
        <v>3986015</v>
      </c>
      <c r="AT311" s="52"/>
      <c r="AU311" s="52">
        <v>768828</v>
      </c>
      <c r="AV311" s="52">
        <v>241270</v>
      </c>
      <c r="AW311" s="52">
        <v>224800</v>
      </c>
      <c r="AX311" s="52">
        <v>1069780</v>
      </c>
      <c r="AY311" s="52">
        <v>1762092</v>
      </c>
      <c r="AZ311" s="52"/>
      <c r="BA311" s="52">
        <v>5011</v>
      </c>
      <c r="BB311" s="52">
        <v>41000</v>
      </c>
      <c r="BC311" s="52">
        <v>573110</v>
      </c>
      <c r="BD311" s="52">
        <v>629983</v>
      </c>
      <c r="BE311" s="52">
        <v>265474</v>
      </c>
      <c r="BF311" s="52">
        <v>1293223</v>
      </c>
      <c r="BG311" s="52">
        <v>198319</v>
      </c>
      <c r="BH311" s="52">
        <v>338572</v>
      </c>
      <c r="BI311" s="52">
        <v>229490</v>
      </c>
      <c r="BJ311" s="52"/>
      <c r="BK311" s="52">
        <v>138483</v>
      </c>
      <c r="BL311" s="52">
        <v>191593</v>
      </c>
      <c r="BM311" s="52">
        <v>5379633</v>
      </c>
      <c r="BN311" s="52">
        <v>838440</v>
      </c>
      <c r="BO311" s="52">
        <v>162469</v>
      </c>
      <c r="BP311" s="52">
        <v>1360267</v>
      </c>
      <c r="BQ311" s="52">
        <v>4030889</v>
      </c>
      <c r="BR311" s="52">
        <v>1520742</v>
      </c>
      <c r="BS311" s="52">
        <v>120355</v>
      </c>
      <c r="BT311" s="52">
        <v>871475</v>
      </c>
      <c r="BU311" s="52">
        <v>310767</v>
      </c>
      <c r="BV311" s="52">
        <v>199088</v>
      </c>
      <c r="BW311" s="52"/>
      <c r="BX311" s="52">
        <v>296153</v>
      </c>
      <c r="BY311" s="52"/>
      <c r="BZ311" s="52">
        <v>2109876</v>
      </c>
      <c r="CA311" s="52"/>
      <c r="CB311" s="52">
        <v>422447</v>
      </c>
      <c r="CC311" s="52">
        <v>211312</v>
      </c>
      <c r="CD311" s="52">
        <v>5772061</v>
      </c>
      <c r="CE311" s="52"/>
      <c r="CF311" s="52"/>
      <c r="CG311" s="52">
        <v>6528440</v>
      </c>
      <c r="CH311" s="52">
        <v>835154</v>
      </c>
      <c r="CI311" s="52">
        <v>1202551</v>
      </c>
      <c r="CJ311" s="52">
        <v>3710780</v>
      </c>
      <c r="CK311" s="52">
        <v>4777093</v>
      </c>
      <c r="CL311" s="52">
        <v>606142</v>
      </c>
      <c r="CM311" s="52">
        <v>1630040</v>
      </c>
      <c r="CN311" s="52">
        <v>8852434</v>
      </c>
      <c r="CO311" s="52">
        <v>5221485</v>
      </c>
      <c r="CP311" s="52">
        <v>5666966</v>
      </c>
      <c r="CQ311" s="52">
        <v>73473</v>
      </c>
      <c r="CR311" s="52">
        <v>144229</v>
      </c>
      <c r="CS311" s="52"/>
      <c r="CT311" s="52">
        <v>1768155</v>
      </c>
      <c r="CU311" s="52">
        <v>784250</v>
      </c>
      <c r="CV311" s="52"/>
      <c r="CW311" s="52">
        <v>762664</v>
      </c>
      <c r="CX311" s="52"/>
      <c r="CY311" s="52">
        <v>783985</v>
      </c>
      <c r="CZ311" s="52">
        <v>930189</v>
      </c>
      <c r="DA311" s="52">
        <v>3738716</v>
      </c>
      <c r="DB311" s="52">
        <v>76735554</v>
      </c>
      <c r="DC311" s="52"/>
      <c r="DD311" s="52"/>
      <c r="DE311" s="52">
        <v>186878340</v>
      </c>
      <c r="DF311" s="52"/>
      <c r="DG311" s="52">
        <v>186878340</v>
      </c>
      <c r="DH311" s="52"/>
    </row>
    <row r="312" spans="1:112">
      <c r="A312" s="150" t="s">
        <v>407</v>
      </c>
      <c r="B312" s="54">
        <v>5220</v>
      </c>
      <c r="C312" s="44" t="s">
        <v>288</v>
      </c>
      <c r="D312" s="52">
        <v>62974</v>
      </c>
      <c r="E312" s="52"/>
      <c r="F312" s="52"/>
      <c r="G312" s="52"/>
      <c r="H312" s="56"/>
      <c r="I312" s="56"/>
      <c r="J312" s="56"/>
      <c r="K312" s="56"/>
      <c r="L312" s="52"/>
      <c r="M312" s="52"/>
      <c r="N312" s="52"/>
      <c r="O312" s="52"/>
      <c r="P312" s="52">
        <v>23803</v>
      </c>
      <c r="Q312" s="52"/>
      <c r="R312" s="52"/>
      <c r="S312" s="52">
        <v>1641</v>
      </c>
      <c r="T312" s="52"/>
      <c r="U312" s="52">
        <v>831382</v>
      </c>
      <c r="V312" s="52"/>
      <c r="W312" s="52"/>
      <c r="X312" s="52"/>
      <c r="Y312" s="52"/>
      <c r="Z312" s="52">
        <v>17317</v>
      </c>
      <c r="AA312" s="52">
        <v>339792</v>
      </c>
      <c r="AB312" s="52">
        <v>134559</v>
      </c>
      <c r="AC312" s="52"/>
      <c r="AD312" s="52">
        <v>258732</v>
      </c>
      <c r="AE312" s="52"/>
      <c r="AF312" s="52"/>
      <c r="AG312" s="52">
        <v>90262</v>
      </c>
      <c r="AH312" s="52">
        <v>274364</v>
      </c>
      <c r="AI312" s="52"/>
      <c r="AJ312" s="52"/>
      <c r="AK312" s="52">
        <v>110021</v>
      </c>
      <c r="AL312" s="52"/>
      <c r="AM312" s="52"/>
      <c r="AN312" s="52">
        <v>31180</v>
      </c>
      <c r="AO312" s="52"/>
      <c r="AP312" s="52"/>
      <c r="AQ312" s="52"/>
      <c r="AR312" s="52">
        <v>126326</v>
      </c>
      <c r="AS312" s="52">
        <v>19126</v>
      </c>
      <c r="AT312" s="52"/>
      <c r="AU312" s="52"/>
      <c r="AV312" s="52"/>
      <c r="AW312" s="52">
        <v>150634</v>
      </c>
      <c r="AX312" s="52"/>
      <c r="AY312" s="52">
        <v>786366</v>
      </c>
      <c r="AZ312" s="52"/>
      <c r="BA312" s="52"/>
      <c r="BB312" s="52"/>
      <c r="BC312" s="52"/>
      <c r="BD312" s="52"/>
      <c r="BE312" s="52"/>
      <c r="BF312" s="52">
        <v>224773</v>
      </c>
      <c r="BG312" s="52"/>
      <c r="BH312" s="52"/>
      <c r="BI312" s="52"/>
      <c r="BJ312" s="52">
        <v>-118325</v>
      </c>
      <c r="BK312" s="52"/>
      <c r="BL312" s="52"/>
      <c r="BM312" s="52"/>
      <c r="BN312" s="52">
        <v>85000</v>
      </c>
      <c r="BO312" s="52"/>
      <c r="BP312" s="52"/>
      <c r="BQ312" s="52"/>
      <c r="BR312" s="52"/>
      <c r="BS312" s="52"/>
      <c r="BT312" s="52">
        <v>19417</v>
      </c>
      <c r="BU312" s="52">
        <v>61530</v>
      </c>
      <c r="BV312" s="52">
        <v>6444</v>
      </c>
      <c r="BW312" s="52"/>
      <c r="BX312" s="52">
        <v>73649</v>
      </c>
      <c r="BY312" s="52"/>
      <c r="BZ312" s="52">
        <v>147494</v>
      </c>
      <c r="CA312" s="52"/>
      <c r="CB312" s="52">
        <v>103085</v>
      </c>
      <c r="CC312" s="52">
        <v>2645</v>
      </c>
      <c r="CD312" s="52"/>
      <c r="CE312" s="52"/>
      <c r="CF312" s="52"/>
      <c r="CG312" s="52">
        <v>274212</v>
      </c>
      <c r="CH312" s="52"/>
      <c r="CI312" s="52"/>
      <c r="CJ312" s="52"/>
      <c r="CK312" s="52"/>
      <c r="CL312" s="52"/>
      <c r="CM312" s="52"/>
      <c r="CN312" s="52">
        <v>242560</v>
      </c>
      <c r="CO312" s="52">
        <v>394240</v>
      </c>
      <c r="CP312" s="52">
        <v>212218</v>
      </c>
      <c r="CQ312" s="52"/>
      <c r="CR312" s="52"/>
      <c r="CS312" s="52"/>
      <c r="CT312" s="52">
        <v>222977</v>
      </c>
      <c r="CU312" s="52">
        <v>1070190</v>
      </c>
      <c r="CV312" s="52"/>
      <c r="CW312" s="52"/>
      <c r="CX312" s="52"/>
      <c r="CY312" s="52"/>
      <c r="CZ312" s="52"/>
      <c r="DA312" s="52"/>
      <c r="DB312" s="52"/>
      <c r="DC312" s="52"/>
      <c r="DD312" s="52"/>
      <c r="DE312" s="52">
        <v>6280588</v>
      </c>
      <c r="DF312" s="52"/>
      <c r="DG312" s="52">
        <v>6280588</v>
      </c>
      <c r="DH312" s="52"/>
    </row>
    <row r="313" spans="1:112">
      <c r="A313" s="150" t="s">
        <v>407</v>
      </c>
      <c r="B313" s="54">
        <v>5230</v>
      </c>
      <c r="C313" s="44" t="s">
        <v>289</v>
      </c>
      <c r="D313" s="52">
        <v>654377</v>
      </c>
      <c r="E313" s="52">
        <v>3696039</v>
      </c>
      <c r="F313" s="52">
        <v>287750</v>
      </c>
      <c r="G313" s="52"/>
      <c r="H313" s="56">
        <v>1225271</v>
      </c>
      <c r="I313" s="56">
        <v>161355</v>
      </c>
      <c r="J313" s="56">
        <v>501399</v>
      </c>
      <c r="K313" s="56">
        <v>474362</v>
      </c>
      <c r="L313" s="52">
        <v>2313349</v>
      </c>
      <c r="M313" s="52"/>
      <c r="N313" s="52"/>
      <c r="O313" s="52">
        <v>282329</v>
      </c>
      <c r="P313" s="52">
        <v>788484</v>
      </c>
      <c r="Q313" s="52">
        <v>139034</v>
      </c>
      <c r="R313" s="52">
        <v>153392</v>
      </c>
      <c r="S313" s="52">
        <v>594940</v>
      </c>
      <c r="T313" s="52">
        <v>30348</v>
      </c>
      <c r="U313" s="52">
        <v>3212593</v>
      </c>
      <c r="V313" s="52">
        <v>68782</v>
      </c>
      <c r="W313" s="52">
        <v>4229168</v>
      </c>
      <c r="X313" s="52">
        <v>328160</v>
      </c>
      <c r="Y313" s="52">
        <v>6966489</v>
      </c>
      <c r="Z313" s="52">
        <v>2997222</v>
      </c>
      <c r="AA313" s="52">
        <v>1395247</v>
      </c>
      <c r="AB313" s="52">
        <v>1310477</v>
      </c>
      <c r="AC313" s="52">
        <v>561051</v>
      </c>
      <c r="AD313" s="52">
        <v>422223</v>
      </c>
      <c r="AE313" s="52">
        <v>179434</v>
      </c>
      <c r="AF313" s="52"/>
      <c r="AG313" s="52">
        <v>985944</v>
      </c>
      <c r="AH313" s="52">
        <v>1967754</v>
      </c>
      <c r="AI313" s="52"/>
      <c r="AJ313" s="52">
        <v>232535</v>
      </c>
      <c r="AK313" s="52">
        <v>557061</v>
      </c>
      <c r="AL313" s="52">
        <v>211838</v>
      </c>
      <c r="AM313" s="52">
        <v>-28111</v>
      </c>
      <c r="AN313" s="52">
        <v>3766192</v>
      </c>
      <c r="AO313" s="52">
        <v>403424</v>
      </c>
      <c r="AP313" s="52"/>
      <c r="AQ313" s="52">
        <v>715225</v>
      </c>
      <c r="AR313" s="52">
        <v>680503</v>
      </c>
      <c r="AS313" s="52">
        <v>2547434</v>
      </c>
      <c r="AT313" s="52">
        <v>200624</v>
      </c>
      <c r="AU313" s="52">
        <v>536920</v>
      </c>
      <c r="AV313" s="52">
        <v>558864</v>
      </c>
      <c r="AW313" s="52">
        <v>253262</v>
      </c>
      <c r="AX313" s="52">
        <v>1789612</v>
      </c>
      <c r="AY313" s="52">
        <v>10046666</v>
      </c>
      <c r="AZ313" s="52">
        <v>1733746</v>
      </c>
      <c r="BA313" s="52">
        <v>299265</v>
      </c>
      <c r="BB313" s="52">
        <v>358729</v>
      </c>
      <c r="BC313" s="52">
        <v>46658</v>
      </c>
      <c r="BD313" s="52">
        <v>486339</v>
      </c>
      <c r="BE313" s="52">
        <v>212419</v>
      </c>
      <c r="BF313" s="52">
        <v>5048041</v>
      </c>
      <c r="BG313" s="52">
        <v>456472</v>
      </c>
      <c r="BH313" s="52">
        <v>2224263</v>
      </c>
      <c r="BI313" s="52">
        <v>3303706</v>
      </c>
      <c r="BJ313" s="52">
        <v>832431</v>
      </c>
      <c r="BK313" s="52">
        <v>524204</v>
      </c>
      <c r="BL313" s="52">
        <v>1540030</v>
      </c>
      <c r="BM313" s="52">
        <v>4004971</v>
      </c>
      <c r="BN313" s="52">
        <v>1582390</v>
      </c>
      <c r="BO313" s="52"/>
      <c r="BP313" s="52">
        <v>695558</v>
      </c>
      <c r="BQ313" s="52">
        <v>2988644</v>
      </c>
      <c r="BR313" s="52">
        <v>226295</v>
      </c>
      <c r="BS313" s="52"/>
      <c r="BT313" s="52">
        <v>797561</v>
      </c>
      <c r="BU313" s="52">
        <v>420454</v>
      </c>
      <c r="BV313" s="52">
        <v>145590</v>
      </c>
      <c r="BW313" s="52"/>
      <c r="BX313" s="52">
        <v>741650</v>
      </c>
      <c r="BY313" s="52">
        <v>1010215</v>
      </c>
      <c r="BZ313" s="52">
        <v>2176575</v>
      </c>
      <c r="CA313" s="52"/>
      <c r="CB313" s="52">
        <v>717691</v>
      </c>
      <c r="CC313" s="52">
        <v>649963</v>
      </c>
      <c r="CD313" s="52">
        <v>1305515</v>
      </c>
      <c r="CE313" s="52">
        <v>16961</v>
      </c>
      <c r="CF313" s="52">
        <v>2555008</v>
      </c>
      <c r="CG313" s="52">
        <v>4686968</v>
      </c>
      <c r="CH313" s="52">
        <v>2265267</v>
      </c>
      <c r="CI313" s="52">
        <v>550808</v>
      </c>
      <c r="CJ313" s="52">
        <v>839340</v>
      </c>
      <c r="CK313" s="52">
        <v>2019895</v>
      </c>
      <c r="CL313" s="52">
        <v>796340</v>
      </c>
      <c r="CM313" s="52">
        <v>550103</v>
      </c>
      <c r="CN313" s="52">
        <v>1528421</v>
      </c>
      <c r="CO313" s="52">
        <v>2208302</v>
      </c>
      <c r="CP313" s="52"/>
      <c r="CQ313" s="52"/>
      <c r="CR313" s="52">
        <v>57466</v>
      </c>
      <c r="CS313" s="52">
        <v>47511</v>
      </c>
      <c r="CT313" s="52">
        <v>2377475</v>
      </c>
      <c r="CU313" s="52">
        <v>1488604</v>
      </c>
      <c r="CV313" s="52"/>
      <c r="CW313" s="52">
        <v>844154</v>
      </c>
      <c r="CX313" s="52">
        <v>816106</v>
      </c>
      <c r="CY313" s="52">
        <v>868660</v>
      </c>
      <c r="CZ313" s="52"/>
      <c r="DA313" s="52">
        <v>3390531</v>
      </c>
      <c r="DB313" s="52">
        <v>1416823</v>
      </c>
      <c r="DC313" s="52"/>
      <c r="DD313" s="52"/>
      <c r="DE313" s="52">
        <v>122253140</v>
      </c>
      <c r="DF313" s="52"/>
      <c r="DG313" s="52">
        <v>122253140</v>
      </c>
      <c r="DH313" s="52"/>
    </row>
    <row r="314" spans="1:112">
      <c r="A314" s="150" t="s">
        <v>407</v>
      </c>
      <c r="B314" s="54">
        <v>5240</v>
      </c>
      <c r="C314" s="44" t="s">
        <v>290</v>
      </c>
      <c r="D314" s="52"/>
      <c r="E314" s="52"/>
      <c r="F314" s="52"/>
      <c r="G314" s="52"/>
      <c r="H314" s="56"/>
      <c r="I314" s="56"/>
      <c r="J314" s="56"/>
      <c r="K314" s="56"/>
      <c r="L314" s="52"/>
      <c r="M314" s="52"/>
      <c r="N314" s="52"/>
      <c r="O314" s="52"/>
      <c r="P314" s="52"/>
      <c r="Q314" s="52"/>
      <c r="R314" s="52"/>
      <c r="S314" s="52"/>
      <c r="T314" s="52"/>
      <c r="U314" s="52">
        <v>830873</v>
      </c>
      <c r="V314" s="52"/>
      <c r="W314" s="52"/>
      <c r="X314" s="52"/>
      <c r="Y314" s="52">
        <v>24626514</v>
      </c>
      <c r="Z314" s="52"/>
      <c r="AA314" s="52"/>
      <c r="AB314" s="52">
        <v>169422</v>
      </c>
      <c r="AC314" s="52"/>
      <c r="AD314" s="52">
        <v>207878</v>
      </c>
      <c r="AE314" s="52">
        <v>84900</v>
      </c>
      <c r="AF314" s="52"/>
      <c r="AG314" s="52">
        <v>3145674</v>
      </c>
      <c r="AH314" s="52"/>
      <c r="AI314" s="52"/>
      <c r="AJ314" s="52"/>
      <c r="AK314" s="52"/>
      <c r="AL314" s="52"/>
      <c r="AM314" s="52"/>
      <c r="AN314" s="52">
        <v>4204415</v>
      </c>
      <c r="AO314" s="52"/>
      <c r="AP314" s="52"/>
      <c r="AQ314" s="52"/>
      <c r="AR314" s="52">
        <v>782741</v>
      </c>
      <c r="AS314" s="52"/>
      <c r="AT314" s="52"/>
      <c r="AU314" s="52"/>
      <c r="AV314" s="52"/>
      <c r="AW314" s="52"/>
      <c r="AX314" s="52"/>
      <c r="AY314" s="52">
        <v>73626110</v>
      </c>
      <c r="AZ314" s="52"/>
      <c r="BA314" s="52"/>
      <c r="BB314" s="52"/>
      <c r="BC314" s="52"/>
      <c r="BD314" s="52">
        <v>658682</v>
      </c>
      <c r="BE314" s="52">
        <v>191000</v>
      </c>
      <c r="BF314" s="52"/>
      <c r="BG314" s="52"/>
      <c r="BH314" s="52">
        <v>4634635</v>
      </c>
      <c r="BI314" s="52"/>
      <c r="BJ314" s="52">
        <v>74778</v>
      </c>
      <c r="BK314" s="52"/>
      <c r="BL314" s="52">
        <v>529192</v>
      </c>
      <c r="BM314" s="52">
        <v>1862828</v>
      </c>
      <c r="BN314" s="52"/>
      <c r="BO314" s="52"/>
      <c r="BP314" s="52"/>
      <c r="BQ314" s="52"/>
      <c r="BR314" s="52">
        <v>211245</v>
      </c>
      <c r="BS314" s="52"/>
      <c r="BT314" s="52"/>
      <c r="BU314" s="52"/>
      <c r="BV314" s="52"/>
      <c r="BW314" s="52"/>
      <c r="BX314" s="52">
        <v>162000</v>
      </c>
      <c r="BY314" s="52">
        <v>4545000</v>
      </c>
      <c r="BZ314" s="52"/>
      <c r="CA314" s="52"/>
      <c r="CB314" s="52">
        <v>276745</v>
      </c>
      <c r="CC314" s="52"/>
      <c r="CD314" s="52"/>
      <c r="CE314" s="52"/>
      <c r="CF314" s="52">
        <v>900000</v>
      </c>
      <c r="CG314" s="52">
        <v>2239605</v>
      </c>
      <c r="CH314" s="52"/>
      <c r="CI314" s="52"/>
      <c r="CJ314" s="52">
        <v>16312</v>
      </c>
      <c r="CK314" s="52"/>
      <c r="CL314" s="52">
        <v>435371</v>
      </c>
      <c r="CM314" s="52"/>
      <c r="CN314" s="52"/>
      <c r="CO314" s="52"/>
      <c r="CP314" s="52"/>
      <c r="CQ314" s="52"/>
      <c r="CR314" s="52"/>
      <c r="CS314" s="52"/>
      <c r="CT314" s="52"/>
      <c r="CU314" s="52"/>
      <c r="CV314" s="52"/>
      <c r="CW314" s="52">
        <v>37000</v>
      </c>
      <c r="CX314" s="52">
        <v>369034</v>
      </c>
      <c r="CY314" s="52">
        <v>1350000</v>
      </c>
      <c r="CZ314" s="52"/>
      <c r="DA314" s="52"/>
      <c r="DB314" s="52"/>
      <c r="DC314" s="52"/>
      <c r="DD314" s="52"/>
      <c r="DE314" s="52">
        <v>126171954</v>
      </c>
      <c r="DF314" s="52"/>
      <c r="DG314" s="52">
        <v>126171954</v>
      </c>
      <c r="DH314" s="52"/>
    </row>
    <row r="315" spans="1:112">
      <c r="A315" s="150" t="s">
        <v>407</v>
      </c>
      <c r="B315" s="54">
        <v>5250</v>
      </c>
      <c r="C315" s="44" t="s">
        <v>291</v>
      </c>
      <c r="D315" s="52"/>
      <c r="E315" s="52"/>
      <c r="F315" s="52"/>
      <c r="G315" s="52"/>
      <c r="H315" s="56"/>
      <c r="I315" s="56"/>
      <c r="J315" s="56"/>
      <c r="K315" s="56"/>
      <c r="L315" s="52"/>
      <c r="M315" s="52"/>
      <c r="N315" s="52"/>
      <c r="O315" s="52"/>
      <c r="P315" s="52"/>
      <c r="Q315" s="52">
        <v>11890</v>
      </c>
      <c r="R315" s="52"/>
      <c r="S315" s="52">
        <v>38759</v>
      </c>
      <c r="T315" s="52"/>
      <c r="U315" s="52">
        <v>733732</v>
      </c>
      <c r="V315" s="52"/>
      <c r="W315" s="52">
        <v>31268199</v>
      </c>
      <c r="X315" s="52">
        <v>2939822</v>
      </c>
      <c r="Y315" s="52">
        <v>19176784</v>
      </c>
      <c r="Z315" s="52">
        <v>2788314</v>
      </c>
      <c r="AA315" s="52">
        <v>34203</v>
      </c>
      <c r="AB315" s="52">
        <v>8897149</v>
      </c>
      <c r="AC315" s="52">
        <v>431005</v>
      </c>
      <c r="AD315" s="52"/>
      <c r="AE315" s="52"/>
      <c r="AF315" s="52"/>
      <c r="AG315" s="52">
        <v>9837088</v>
      </c>
      <c r="AH315" s="52"/>
      <c r="AI315" s="52"/>
      <c r="AJ315" s="52"/>
      <c r="AK315" s="52"/>
      <c r="AL315" s="52">
        <v>126045</v>
      </c>
      <c r="AM315" s="52"/>
      <c r="AN315" s="52">
        <v>48398185</v>
      </c>
      <c r="AO315" s="52"/>
      <c r="AP315" s="52"/>
      <c r="AQ315" s="52"/>
      <c r="AR315" s="52"/>
      <c r="AS315" s="52"/>
      <c r="AT315" s="52"/>
      <c r="AU315" s="52"/>
      <c r="AV315" s="52"/>
      <c r="AW315" s="52">
        <v>165000</v>
      </c>
      <c r="AX315" s="52">
        <v>1361147</v>
      </c>
      <c r="AY315" s="52">
        <v>8485000</v>
      </c>
      <c r="AZ315" s="52">
        <v>10828275</v>
      </c>
      <c r="BA315" s="52"/>
      <c r="BB315" s="52"/>
      <c r="BC315" s="52"/>
      <c r="BD315" s="52"/>
      <c r="BE315" s="52"/>
      <c r="BF315" s="52"/>
      <c r="BG315" s="52">
        <v>1106245</v>
      </c>
      <c r="BH315" s="52"/>
      <c r="BI315" s="52"/>
      <c r="BJ315" s="52">
        <v>9674582</v>
      </c>
      <c r="BK315" s="52">
        <v>2713076</v>
      </c>
      <c r="BL315" s="52">
        <v>20604</v>
      </c>
      <c r="BM315" s="52"/>
      <c r="BN315" s="52"/>
      <c r="BO315" s="52"/>
      <c r="BP315" s="52"/>
      <c r="BQ315" s="52">
        <v>1297178</v>
      </c>
      <c r="BR315" s="52"/>
      <c r="BS315" s="52"/>
      <c r="BT315" s="52">
        <v>38956</v>
      </c>
      <c r="BU315" s="52">
        <v>25072</v>
      </c>
      <c r="BV315" s="52"/>
      <c r="BW315" s="52"/>
      <c r="BX315" s="52"/>
      <c r="BY315" s="52"/>
      <c r="BZ315" s="52">
        <v>1045651</v>
      </c>
      <c r="CA315" s="52"/>
      <c r="CB315" s="52"/>
      <c r="CC315" s="52"/>
      <c r="CD315" s="52">
        <v>152878</v>
      </c>
      <c r="CE315" s="52"/>
      <c r="CF315" s="52">
        <v>32810808</v>
      </c>
      <c r="CG315" s="52"/>
      <c r="CH315" s="52">
        <v>88446</v>
      </c>
      <c r="CI315" s="52"/>
      <c r="CJ315" s="52">
        <v>66469</v>
      </c>
      <c r="CK315" s="52">
        <v>8233</v>
      </c>
      <c r="CL315" s="52">
        <v>2834268</v>
      </c>
      <c r="CM315" s="52">
        <v>100000</v>
      </c>
      <c r="CN315" s="52">
        <v>1636454</v>
      </c>
      <c r="CO315" s="52"/>
      <c r="CP315" s="52"/>
      <c r="CQ315" s="52"/>
      <c r="CR315" s="52"/>
      <c r="CS315" s="52"/>
      <c r="CT315" s="52">
        <v>6218788</v>
      </c>
      <c r="CU315" s="52">
        <v>4098751</v>
      </c>
      <c r="CV315" s="52"/>
      <c r="CW315" s="52">
        <v>3915596</v>
      </c>
      <c r="CX315" s="52">
        <v>3375587</v>
      </c>
      <c r="CY315" s="52">
        <v>263985</v>
      </c>
      <c r="CZ315" s="52"/>
      <c r="DA315" s="52"/>
      <c r="DB315" s="52">
        <v>10283280</v>
      </c>
      <c r="DC315" s="52"/>
      <c r="DD315" s="52"/>
      <c r="DE315" s="52">
        <v>227295504</v>
      </c>
      <c r="DF315" s="52"/>
      <c r="DG315" s="52">
        <v>227295504</v>
      </c>
      <c r="DH315" s="52"/>
    </row>
    <row r="316" spans="1:112">
      <c r="A316" s="150" t="s">
        <v>407</v>
      </c>
      <c r="B316" s="54">
        <v>5260</v>
      </c>
      <c r="C316" s="44" t="s">
        <v>292</v>
      </c>
      <c r="D316" s="52"/>
      <c r="E316" s="52"/>
      <c r="F316" s="52"/>
      <c r="G316" s="52"/>
      <c r="H316" s="56"/>
      <c r="I316" s="56"/>
      <c r="J316" s="56"/>
      <c r="K316" s="56">
        <v>40000</v>
      </c>
      <c r="L316" s="52"/>
      <c r="M316" s="52"/>
      <c r="N316" s="52"/>
      <c r="O316" s="52">
        <v>23515</v>
      </c>
      <c r="P316" s="52"/>
      <c r="Q316" s="52"/>
      <c r="R316" s="52"/>
      <c r="S316" s="52"/>
      <c r="T316" s="52"/>
      <c r="U316" s="52"/>
      <c r="V316" s="52"/>
      <c r="W316" s="52"/>
      <c r="X316" s="52"/>
      <c r="Y316" s="52"/>
      <c r="Z316" s="52"/>
      <c r="AA316" s="52"/>
      <c r="AB316" s="52"/>
      <c r="AC316" s="52"/>
      <c r="AD316" s="52"/>
      <c r="AE316" s="52">
        <v>6214</v>
      </c>
      <c r="AF316" s="52"/>
      <c r="AG316" s="52"/>
      <c r="AH316" s="52"/>
      <c r="AI316" s="52"/>
      <c r="AJ316" s="52"/>
      <c r="AK316" s="52"/>
      <c r="AL316" s="52"/>
      <c r="AM316" s="52"/>
      <c r="AN316" s="52">
        <v>380843</v>
      </c>
      <c r="AO316" s="52"/>
      <c r="AP316" s="52"/>
      <c r="AQ316" s="52"/>
      <c r="AR316" s="52"/>
      <c r="AS316" s="52"/>
      <c r="AT316" s="52"/>
      <c r="AU316" s="52"/>
      <c r="AV316" s="52"/>
      <c r="AW316" s="52"/>
      <c r="AX316" s="52"/>
      <c r="AY316" s="52">
        <v>1232000</v>
      </c>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v>118</v>
      </c>
      <c r="BV316" s="52"/>
      <c r="BW316" s="52"/>
      <c r="BX316" s="52"/>
      <c r="BY316" s="52">
        <v>162098</v>
      </c>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v>1844788</v>
      </c>
      <c r="DF316" s="52"/>
      <c r="DG316" s="52">
        <v>1844788</v>
      </c>
      <c r="DH316" s="52"/>
    </row>
    <row r="317" spans="1:112">
      <c r="A317" s="150" t="s">
        <v>407</v>
      </c>
      <c r="B317" s="54">
        <v>5270</v>
      </c>
      <c r="C317" s="44" t="s">
        <v>293</v>
      </c>
      <c r="D317" s="52"/>
      <c r="E317" s="52"/>
      <c r="F317" s="52"/>
      <c r="G317" s="52"/>
      <c r="H317" s="56"/>
      <c r="I317" s="56"/>
      <c r="J317" s="56"/>
      <c r="K317" s="56"/>
      <c r="L317" s="52"/>
      <c r="M317" s="52">
        <v>6915</v>
      </c>
      <c r="N317" s="52"/>
      <c r="O317" s="52"/>
      <c r="P317" s="52"/>
      <c r="Q317" s="52"/>
      <c r="R317" s="52"/>
      <c r="S317" s="52">
        <v>2812</v>
      </c>
      <c r="T317" s="52"/>
      <c r="U317" s="52"/>
      <c r="V317" s="52"/>
      <c r="W317" s="52"/>
      <c r="X317" s="52"/>
      <c r="Y317" s="52"/>
      <c r="Z317" s="52"/>
      <c r="AA317" s="52">
        <v>48717</v>
      </c>
      <c r="AB317" s="52"/>
      <c r="AC317" s="52"/>
      <c r="AD317" s="52"/>
      <c r="AE317" s="52"/>
      <c r="AF317" s="52"/>
      <c r="AG317" s="52"/>
      <c r="AH317" s="52"/>
      <c r="AI317" s="52"/>
      <c r="AJ317" s="52">
        <v>324</v>
      </c>
      <c r="AK317" s="52">
        <v>2404</v>
      </c>
      <c r="AL317" s="52"/>
      <c r="AM317" s="52"/>
      <c r="AN317" s="52">
        <v>54258</v>
      </c>
      <c r="AO317" s="52"/>
      <c r="AP317" s="52"/>
      <c r="AQ317" s="52"/>
      <c r="AR317" s="52"/>
      <c r="AS317" s="52"/>
      <c r="AT317" s="52"/>
      <c r="AU317" s="52"/>
      <c r="AV317" s="52">
        <v>2280</v>
      </c>
      <c r="AW317" s="52"/>
      <c r="AX317" s="52"/>
      <c r="AY317" s="52"/>
      <c r="AZ317" s="52"/>
      <c r="BA317" s="52"/>
      <c r="BB317" s="52"/>
      <c r="BC317" s="52"/>
      <c r="BD317" s="52">
        <v>7080</v>
      </c>
      <c r="BE317" s="52"/>
      <c r="BF317" s="52">
        <v>4723</v>
      </c>
      <c r="BG317" s="52"/>
      <c r="BH317" s="52">
        <v>25</v>
      </c>
      <c r="BI317" s="52"/>
      <c r="BJ317" s="52"/>
      <c r="BK317" s="52"/>
      <c r="BL317" s="52">
        <v>4346</v>
      </c>
      <c r="BM317" s="52"/>
      <c r="BN317" s="52"/>
      <c r="BO317" s="52"/>
      <c r="BP317" s="52">
        <v>134484</v>
      </c>
      <c r="BQ317" s="52"/>
      <c r="BR317" s="52">
        <v>15439</v>
      </c>
      <c r="BS317" s="52"/>
      <c r="BT317" s="52">
        <v>4392</v>
      </c>
      <c r="BU317" s="52">
        <v>32121</v>
      </c>
      <c r="BV317" s="52"/>
      <c r="BW317" s="52"/>
      <c r="BX317" s="52">
        <v>53429</v>
      </c>
      <c r="BY317" s="52"/>
      <c r="BZ317" s="52"/>
      <c r="CA317" s="52"/>
      <c r="CB317" s="52"/>
      <c r="CC317" s="52"/>
      <c r="CD317" s="52"/>
      <c r="CE317" s="52"/>
      <c r="CF317" s="52"/>
      <c r="CG317" s="52"/>
      <c r="CH317" s="52"/>
      <c r="CI317" s="52"/>
      <c r="CJ317" s="52">
        <v>395</v>
      </c>
      <c r="CK317" s="52">
        <v>132719</v>
      </c>
      <c r="CL317" s="52"/>
      <c r="CM317" s="52">
        <v>9567</v>
      </c>
      <c r="CN317" s="52">
        <v>18481</v>
      </c>
      <c r="CO317" s="52"/>
      <c r="CP317" s="52"/>
      <c r="CQ317" s="52"/>
      <c r="CR317" s="52"/>
      <c r="CS317" s="52"/>
      <c r="CT317" s="52">
        <v>7986</v>
      </c>
      <c r="CU317" s="52">
        <v>37441</v>
      </c>
      <c r="CV317" s="52"/>
      <c r="CW317" s="52"/>
      <c r="CX317" s="52">
        <v>33196</v>
      </c>
      <c r="CY317" s="52"/>
      <c r="CZ317" s="52"/>
      <c r="DA317" s="52"/>
      <c r="DB317" s="52"/>
      <c r="DC317" s="52"/>
      <c r="DD317" s="52"/>
      <c r="DE317" s="52">
        <v>613534</v>
      </c>
      <c r="DF317" s="52"/>
      <c r="DG317" s="52">
        <v>613534</v>
      </c>
      <c r="DH317" s="52"/>
    </row>
    <row r="318" spans="1:112">
      <c r="A318" s="150" t="s">
        <v>407</v>
      </c>
      <c r="B318" s="54">
        <v>5280</v>
      </c>
      <c r="C318" s="44" t="s">
        <v>294</v>
      </c>
      <c r="D318" s="52">
        <v>37627</v>
      </c>
      <c r="E318" s="52">
        <v>643615</v>
      </c>
      <c r="F318" s="52">
        <v>36655</v>
      </c>
      <c r="G318" s="52"/>
      <c r="H318" s="56">
        <v>156568</v>
      </c>
      <c r="I318" s="56">
        <v>78845</v>
      </c>
      <c r="J318" s="56">
        <v>63814</v>
      </c>
      <c r="K318" s="56">
        <v>6270</v>
      </c>
      <c r="L318" s="52">
        <v>220647</v>
      </c>
      <c r="M318" s="52"/>
      <c r="N318" s="52"/>
      <c r="O318" s="52">
        <v>47840</v>
      </c>
      <c r="P318" s="52">
        <v>33736</v>
      </c>
      <c r="Q318" s="52">
        <v>45021</v>
      </c>
      <c r="R318" s="52"/>
      <c r="S318" s="52">
        <v>53428</v>
      </c>
      <c r="T318" s="52"/>
      <c r="U318" s="52">
        <v>379882</v>
      </c>
      <c r="V318" s="52"/>
      <c r="W318" s="52">
        <v>1097955</v>
      </c>
      <c r="X318" s="52">
        <v>65034</v>
      </c>
      <c r="Y318" s="52">
        <v>2111040</v>
      </c>
      <c r="Z318" s="52">
        <v>186023</v>
      </c>
      <c r="AA318" s="52">
        <v>344799</v>
      </c>
      <c r="AB318" s="52">
        <v>205200</v>
      </c>
      <c r="AC318" s="52">
        <v>950</v>
      </c>
      <c r="AD318" s="52">
        <v>215534</v>
      </c>
      <c r="AE318" s="52">
        <v>35050</v>
      </c>
      <c r="AF318" s="52"/>
      <c r="AG318" s="52">
        <v>322221</v>
      </c>
      <c r="AH318" s="52">
        <v>92662</v>
      </c>
      <c r="AI318" s="52"/>
      <c r="AJ318" s="52">
        <v>52460</v>
      </c>
      <c r="AK318" s="52">
        <v>189666</v>
      </c>
      <c r="AL318" s="52">
        <v>40911</v>
      </c>
      <c r="AM318" s="52"/>
      <c r="AN318" s="52">
        <v>688</v>
      </c>
      <c r="AO318" s="52">
        <v>73997</v>
      </c>
      <c r="AP318" s="52"/>
      <c r="AQ318" s="52"/>
      <c r="AR318" s="52">
        <v>128059</v>
      </c>
      <c r="AS318" s="52">
        <v>526264</v>
      </c>
      <c r="AT318" s="52"/>
      <c r="AU318" s="52">
        <v>202894</v>
      </c>
      <c r="AV318" s="52">
        <v>50151</v>
      </c>
      <c r="AW318" s="52">
        <v>36422</v>
      </c>
      <c r="AX318" s="52">
        <v>548150</v>
      </c>
      <c r="AY318" s="52">
        <v>1011046</v>
      </c>
      <c r="AZ318" s="52">
        <v>269270</v>
      </c>
      <c r="BA318" s="52"/>
      <c r="BB318" s="52"/>
      <c r="BC318" s="52"/>
      <c r="BD318" s="52">
        <v>59675</v>
      </c>
      <c r="BE318" s="52">
        <v>113259</v>
      </c>
      <c r="BF318" s="52">
        <v>1603226</v>
      </c>
      <c r="BG318" s="52">
        <v>126127</v>
      </c>
      <c r="BH318" s="52">
        <v>383724</v>
      </c>
      <c r="BI318" s="52">
        <v>472586</v>
      </c>
      <c r="BJ318" s="52">
        <v>242545</v>
      </c>
      <c r="BK318" s="52">
        <v>76091</v>
      </c>
      <c r="BL318" s="52">
        <v>108332</v>
      </c>
      <c r="BM318" s="52">
        <v>668815</v>
      </c>
      <c r="BN318" s="52">
        <v>248711</v>
      </c>
      <c r="BO318" s="52">
        <v>71532</v>
      </c>
      <c r="BP318" s="52">
        <v>134713</v>
      </c>
      <c r="BQ318" s="52">
        <v>630104</v>
      </c>
      <c r="BR318" s="52">
        <v>20728</v>
      </c>
      <c r="BS318" s="52"/>
      <c r="BT318" s="52">
        <v>157815</v>
      </c>
      <c r="BU318" s="52">
        <v>84527</v>
      </c>
      <c r="BV318" s="52"/>
      <c r="BW318" s="52"/>
      <c r="BX318" s="52">
        <v>198820</v>
      </c>
      <c r="BY318" s="52">
        <v>135588</v>
      </c>
      <c r="BZ318" s="52">
        <v>171631</v>
      </c>
      <c r="CA318" s="52"/>
      <c r="CB318" s="52">
        <v>204067</v>
      </c>
      <c r="CC318" s="52">
        <v>56200</v>
      </c>
      <c r="CD318" s="52">
        <v>566200</v>
      </c>
      <c r="CE318" s="52"/>
      <c r="CF318" s="52">
        <v>209572</v>
      </c>
      <c r="CG318" s="52">
        <v>1506070</v>
      </c>
      <c r="CH318" s="52">
        <v>875023</v>
      </c>
      <c r="CI318" s="52">
        <v>37725</v>
      </c>
      <c r="CJ318" s="52"/>
      <c r="CK318" s="52">
        <v>350141</v>
      </c>
      <c r="CL318" s="52">
        <v>33752</v>
      </c>
      <c r="CM318" s="52">
        <v>53570</v>
      </c>
      <c r="CN318" s="52">
        <v>15230</v>
      </c>
      <c r="CO318" s="52">
        <v>155913</v>
      </c>
      <c r="CP318" s="52">
        <v>156261</v>
      </c>
      <c r="CQ318" s="52"/>
      <c r="CR318" s="52"/>
      <c r="CS318" s="52"/>
      <c r="CT318" s="52">
        <v>355937</v>
      </c>
      <c r="CU318" s="52">
        <v>255496</v>
      </c>
      <c r="CV318" s="52"/>
      <c r="CW318" s="52">
        <v>212481</v>
      </c>
      <c r="CX318" s="52">
        <v>282487</v>
      </c>
      <c r="CY318" s="52">
        <v>167086</v>
      </c>
      <c r="CZ318" s="52"/>
      <c r="DA318" s="52">
        <v>194406</v>
      </c>
      <c r="DB318" s="52">
        <v>49361</v>
      </c>
      <c r="DC318" s="52"/>
      <c r="DD318" s="52"/>
      <c r="DE318" s="52">
        <v>21055921</v>
      </c>
      <c r="DF318" s="52"/>
      <c r="DG318" s="52">
        <v>21055921</v>
      </c>
      <c r="DH318" s="52"/>
    </row>
    <row r="319" spans="1:112">
      <c r="A319" s="150" t="s">
        <v>407</v>
      </c>
      <c r="B319" s="54">
        <v>5300</v>
      </c>
      <c r="C319" s="44" t="s">
        <v>295</v>
      </c>
      <c r="D319" s="52"/>
      <c r="E319" s="52"/>
      <c r="F319" s="52"/>
      <c r="G319" s="52"/>
      <c r="H319" s="56">
        <v>6526</v>
      </c>
      <c r="I319" s="56"/>
      <c r="J319" s="56"/>
      <c r="K319" s="56"/>
      <c r="L319" s="52">
        <v>4747</v>
      </c>
      <c r="M319" s="52"/>
      <c r="N319" s="52"/>
      <c r="O319" s="52"/>
      <c r="P319" s="52"/>
      <c r="Q319" s="52"/>
      <c r="R319" s="52">
        <v>12291</v>
      </c>
      <c r="S319" s="52"/>
      <c r="T319" s="52"/>
      <c r="U319" s="52">
        <v>1075</v>
      </c>
      <c r="V319" s="52"/>
      <c r="W319" s="52">
        <v>40990</v>
      </c>
      <c r="X319" s="52"/>
      <c r="Y319" s="52">
        <v>39850</v>
      </c>
      <c r="Z319" s="52">
        <v>3500</v>
      </c>
      <c r="AA319" s="52"/>
      <c r="AB319" s="52">
        <v>-1334</v>
      </c>
      <c r="AC319" s="52"/>
      <c r="AD319" s="52"/>
      <c r="AE319" s="52"/>
      <c r="AF319" s="52"/>
      <c r="AG319" s="52">
        <v>10000</v>
      </c>
      <c r="AH319" s="52"/>
      <c r="AI319" s="52"/>
      <c r="AJ319" s="52"/>
      <c r="AK319" s="52"/>
      <c r="AL319" s="52"/>
      <c r="AM319" s="52"/>
      <c r="AN319" s="52">
        <v>2638710</v>
      </c>
      <c r="AO319" s="52">
        <v>2321</v>
      </c>
      <c r="AP319" s="52"/>
      <c r="AQ319" s="52"/>
      <c r="AR319" s="52"/>
      <c r="AS319" s="52"/>
      <c r="AT319" s="52"/>
      <c r="AU319" s="52"/>
      <c r="AV319" s="52"/>
      <c r="AW319" s="52"/>
      <c r="AX319" s="52">
        <v>140855</v>
      </c>
      <c r="AY319" s="52">
        <v>596186</v>
      </c>
      <c r="AZ319" s="52"/>
      <c r="BA319" s="52"/>
      <c r="BB319" s="52"/>
      <c r="BC319" s="52"/>
      <c r="BD319" s="52">
        <v>1843</v>
      </c>
      <c r="BE319" s="52"/>
      <c r="BF319" s="52">
        <v>180836</v>
      </c>
      <c r="BG319" s="52"/>
      <c r="BH319" s="52">
        <v>83000</v>
      </c>
      <c r="BI319" s="52">
        <v>4757000</v>
      </c>
      <c r="BJ319" s="52"/>
      <c r="BK319" s="52"/>
      <c r="BL319" s="52"/>
      <c r="BM319" s="52">
        <v>4360</v>
      </c>
      <c r="BN319" s="52">
        <v>19197</v>
      </c>
      <c r="BO319" s="52"/>
      <c r="BP319" s="52">
        <v>7985</v>
      </c>
      <c r="BQ319" s="52">
        <v>1222</v>
      </c>
      <c r="BR319" s="52">
        <v>442</v>
      </c>
      <c r="BS319" s="52"/>
      <c r="BT319" s="52"/>
      <c r="BU319" s="52"/>
      <c r="BV319" s="52">
        <v>6798</v>
      </c>
      <c r="BW319" s="52">
        <v>200256</v>
      </c>
      <c r="BX319" s="52"/>
      <c r="BY319" s="52"/>
      <c r="BZ319" s="52">
        <v>7787</v>
      </c>
      <c r="CA319" s="52"/>
      <c r="CB319" s="52"/>
      <c r="CC319" s="52"/>
      <c r="CD319" s="52">
        <v>134801</v>
      </c>
      <c r="CE319" s="52"/>
      <c r="CF319" s="52">
        <v>9458</v>
      </c>
      <c r="CG319" s="52">
        <v>25777</v>
      </c>
      <c r="CH319" s="52"/>
      <c r="CI319" s="52"/>
      <c r="CJ319" s="52">
        <v>79</v>
      </c>
      <c r="CK319" s="52">
        <v>1001475</v>
      </c>
      <c r="CL319" s="52">
        <v>22800</v>
      </c>
      <c r="CM319" s="52"/>
      <c r="CN319" s="52">
        <v>1827</v>
      </c>
      <c r="CO319" s="52">
        <v>14704</v>
      </c>
      <c r="CP319" s="52">
        <v>3769</v>
      </c>
      <c r="CQ319" s="52"/>
      <c r="CR319" s="52"/>
      <c r="CS319" s="52"/>
      <c r="CT319" s="52">
        <v>4765</v>
      </c>
      <c r="CU319" s="52"/>
      <c r="CV319" s="52"/>
      <c r="CW319" s="52"/>
      <c r="CX319" s="52">
        <v>3488</v>
      </c>
      <c r="CY319" s="52"/>
      <c r="CZ319" s="52"/>
      <c r="DA319" s="52"/>
      <c r="DB319" s="52">
        <v>49770</v>
      </c>
      <c r="DC319" s="52"/>
      <c r="DD319" s="52"/>
      <c r="DE319" s="52">
        <v>10039156</v>
      </c>
      <c r="DF319" s="52"/>
      <c r="DG319" s="52">
        <v>10039156</v>
      </c>
      <c r="DH319" s="52"/>
    </row>
    <row r="320" spans="1:112">
      <c r="A320" s="150" t="s">
        <v>407</v>
      </c>
      <c r="B320" s="54">
        <v>5400</v>
      </c>
      <c r="C320" s="44" t="s">
        <v>296</v>
      </c>
      <c r="D320" s="52"/>
      <c r="E320" s="52"/>
      <c r="F320" s="52"/>
      <c r="G320" s="52"/>
      <c r="H320" s="56"/>
      <c r="I320" s="56"/>
      <c r="J320" s="56"/>
      <c r="K320" s="56"/>
      <c r="L320" s="52"/>
      <c r="M320" s="52"/>
      <c r="N320" s="52"/>
      <c r="O320" s="52"/>
      <c r="P320" s="52"/>
      <c r="Q320" s="52"/>
      <c r="R320" s="52"/>
      <c r="S320" s="52"/>
      <c r="T320" s="52"/>
      <c r="U320" s="52"/>
      <c r="V320" s="52"/>
      <c r="W320" s="52"/>
      <c r="X320" s="52"/>
      <c r="Y320" s="52"/>
      <c r="Z320" s="52"/>
      <c r="AA320" s="52">
        <v>3000000</v>
      </c>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v>11844843</v>
      </c>
      <c r="DB320" s="52"/>
      <c r="DC320" s="52"/>
      <c r="DD320" s="52"/>
      <c r="DE320" s="52">
        <v>14844843</v>
      </c>
      <c r="DF320" s="52"/>
      <c r="DG320" s="52">
        <v>14844843</v>
      </c>
      <c r="DH320" s="52"/>
    </row>
    <row r="321" spans="1:112">
      <c r="A321" s="150" t="s">
        <v>407</v>
      </c>
      <c r="B321" s="54">
        <v>5500</v>
      </c>
      <c r="C321" s="44" t="s">
        <v>297</v>
      </c>
      <c r="D321" s="52"/>
      <c r="E321" s="52"/>
      <c r="F321" s="52"/>
      <c r="G321" s="52"/>
      <c r="H321" s="56">
        <v>616680</v>
      </c>
      <c r="I321" s="56"/>
      <c r="J321" s="56"/>
      <c r="K321" s="56"/>
      <c r="L321" s="52"/>
      <c r="M321" s="52"/>
      <c r="N321" s="52"/>
      <c r="O321" s="52"/>
      <c r="P321" s="52"/>
      <c r="Q321" s="52"/>
      <c r="R321" s="52"/>
      <c r="S321" s="52"/>
      <c r="T321" s="52"/>
      <c r="U321" s="52">
        <v>507312</v>
      </c>
      <c r="V321" s="52">
        <v>45890</v>
      </c>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v>668000</v>
      </c>
      <c r="AZ321" s="52"/>
      <c r="BA321" s="52"/>
      <c r="BB321" s="52"/>
      <c r="BC321" s="52"/>
      <c r="BD321" s="52"/>
      <c r="BE321" s="52"/>
      <c r="BF321" s="52"/>
      <c r="BG321" s="52">
        <v>445000</v>
      </c>
      <c r="BH321" s="52"/>
      <c r="BI321" s="52"/>
      <c r="BJ321" s="52"/>
      <c r="BK321" s="52"/>
      <c r="BL321" s="52"/>
      <c r="BM321" s="52"/>
      <c r="BN321" s="52"/>
      <c r="BO321" s="52"/>
      <c r="BP321" s="52"/>
      <c r="BQ321" s="52"/>
      <c r="BR321" s="52"/>
      <c r="BS321" s="52"/>
      <c r="BT321" s="52"/>
      <c r="BU321" s="52"/>
      <c r="BV321" s="52"/>
      <c r="BW321" s="52"/>
      <c r="BX321" s="52"/>
      <c r="BY321" s="52"/>
      <c r="BZ321" s="52"/>
      <c r="CA321" s="52"/>
      <c r="CB321" s="52"/>
      <c r="CC321" s="52">
        <v>400000</v>
      </c>
      <c r="CD321" s="52"/>
      <c r="CE321" s="52"/>
      <c r="CF321" s="52"/>
      <c r="CG321" s="52"/>
      <c r="CH321" s="52"/>
      <c r="CI321" s="52"/>
      <c r="CJ321" s="52">
        <v>674199</v>
      </c>
      <c r="CK321" s="52"/>
      <c r="CL321" s="52">
        <v>360000</v>
      </c>
      <c r="CM321" s="52"/>
      <c r="CN321" s="52"/>
      <c r="CO321" s="52">
        <v>402000</v>
      </c>
      <c r="CP321" s="52"/>
      <c r="CQ321" s="52"/>
      <c r="CR321" s="52"/>
      <c r="CS321" s="52"/>
      <c r="CT321" s="52"/>
      <c r="CU321" s="52"/>
      <c r="CV321" s="52"/>
      <c r="CW321" s="52"/>
      <c r="CX321" s="52"/>
      <c r="CY321" s="52"/>
      <c r="CZ321" s="52"/>
      <c r="DA321" s="52"/>
      <c r="DB321" s="52">
        <v>2309888</v>
      </c>
      <c r="DC321" s="52"/>
      <c r="DD321" s="52"/>
      <c r="DE321" s="52">
        <v>6428969</v>
      </c>
      <c r="DF321" s="52"/>
      <c r="DG321" s="52">
        <v>6428969</v>
      </c>
      <c r="DH321" s="52"/>
    </row>
    <row r="322" spans="1:112">
      <c r="A322" s="150" t="s">
        <v>407</v>
      </c>
      <c r="B322" s="54">
        <v>5600</v>
      </c>
      <c r="C322" s="44" t="s">
        <v>298</v>
      </c>
      <c r="D322" s="52"/>
      <c r="E322" s="52"/>
      <c r="F322" s="52"/>
      <c r="G322" s="52"/>
      <c r="H322" s="56"/>
      <c r="I322" s="56">
        <v>1021059</v>
      </c>
      <c r="J322" s="56"/>
      <c r="K322" s="56"/>
      <c r="L322" s="52">
        <v>410582</v>
      </c>
      <c r="M322" s="52"/>
      <c r="N322" s="52"/>
      <c r="O322" s="52"/>
      <c r="P322" s="52"/>
      <c r="Q322" s="52"/>
      <c r="R322" s="52"/>
      <c r="S322" s="52"/>
      <c r="T322" s="52"/>
      <c r="U322" s="52"/>
      <c r="V322" s="52"/>
      <c r="W322" s="52"/>
      <c r="X322" s="52"/>
      <c r="Y322" s="52"/>
      <c r="Z322" s="52"/>
      <c r="AA322" s="52"/>
      <c r="AB322" s="52">
        <v>23615000</v>
      </c>
      <c r="AC322" s="52"/>
      <c r="AD322" s="52"/>
      <c r="AE322" s="52"/>
      <c r="AF322" s="52"/>
      <c r="AG322" s="52"/>
      <c r="AH322" s="52"/>
      <c r="AI322" s="52"/>
      <c r="AJ322" s="52"/>
      <c r="AK322" s="52"/>
      <c r="AL322" s="52"/>
      <c r="AM322" s="52"/>
      <c r="AN322" s="52">
        <v>179888</v>
      </c>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v>66777</v>
      </c>
      <c r="BO322" s="52"/>
      <c r="BP322" s="52"/>
      <c r="BQ322" s="52"/>
      <c r="BR322" s="52"/>
      <c r="BS322" s="52"/>
      <c r="BT322" s="52"/>
      <c r="BU322" s="52"/>
      <c r="BV322" s="52">
        <v>176000</v>
      </c>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v>25469306</v>
      </c>
      <c r="DF322" s="52"/>
      <c r="DG322" s="52">
        <v>25469306</v>
      </c>
      <c r="DH322" s="52"/>
    </row>
    <row r="323" spans="1:112">
      <c r="A323" s="150" t="s">
        <v>408</v>
      </c>
      <c r="B323" s="54">
        <v>5900</v>
      </c>
      <c r="C323" s="44" t="s">
        <v>299</v>
      </c>
      <c r="D323" s="52"/>
      <c r="E323" s="52"/>
      <c r="F323" s="52"/>
      <c r="G323" s="52"/>
      <c r="H323" s="56"/>
      <c r="I323" s="56"/>
      <c r="J323" s="56"/>
      <c r="K323" s="56"/>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row>
    <row r="324" spans="1:112">
      <c r="A324" s="150" t="s">
        <v>407</v>
      </c>
      <c r="B324" s="54">
        <v>5999</v>
      </c>
      <c r="C324" s="44" t="s">
        <v>28</v>
      </c>
      <c r="D324" s="52"/>
      <c r="E324" s="52"/>
      <c r="F324" s="52"/>
      <c r="G324" s="52"/>
      <c r="H324" s="56"/>
      <c r="I324" s="56"/>
      <c r="J324" s="56"/>
      <c r="K324" s="56"/>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v>11555</v>
      </c>
      <c r="AS324" s="52"/>
      <c r="AT324" s="52"/>
      <c r="AU324" s="52"/>
      <c r="AV324" s="52"/>
      <c r="AW324" s="52"/>
      <c r="AX324" s="52"/>
      <c r="AY324" s="52">
        <v>140138</v>
      </c>
      <c r="AZ324" s="52">
        <v>115595</v>
      </c>
      <c r="BA324" s="52"/>
      <c r="BB324" s="52"/>
      <c r="BC324" s="52"/>
      <c r="BD324" s="52"/>
      <c r="BE324" s="52"/>
      <c r="BF324" s="52"/>
      <c r="BG324" s="52">
        <v>3835137</v>
      </c>
      <c r="BH324" s="52">
        <v>24533</v>
      </c>
      <c r="BI324" s="52"/>
      <c r="BJ324" s="52">
        <v>90549</v>
      </c>
      <c r="BK324" s="52"/>
      <c r="BL324" s="52"/>
      <c r="BM324" s="52"/>
      <c r="BN324" s="52"/>
      <c r="BO324" s="52"/>
      <c r="BP324" s="52"/>
      <c r="BQ324" s="52">
        <v>1989948</v>
      </c>
      <c r="BR324" s="52"/>
      <c r="BS324" s="52"/>
      <c r="BT324" s="52"/>
      <c r="BU324" s="52"/>
      <c r="BV324" s="52"/>
      <c r="BW324" s="52"/>
      <c r="BX324" s="52"/>
      <c r="BY324" s="52"/>
      <c r="BZ324" s="52">
        <v>2795</v>
      </c>
      <c r="CA324" s="52"/>
      <c r="CB324" s="52"/>
      <c r="CC324" s="52"/>
      <c r="CD324" s="52"/>
      <c r="CE324" s="52"/>
      <c r="CF324" s="52"/>
      <c r="CG324" s="52"/>
      <c r="CH324" s="52"/>
      <c r="CI324" s="52"/>
      <c r="CJ324" s="52"/>
      <c r="CK324" s="52"/>
      <c r="CL324" s="52"/>
      <c r="CM324" s="52"/>
      <c r="CN324" s="52"/>
      <c r="CO324" s="52"/>
      <c r="CP324" s="52"/>
      <c r="CQ324" s="52"/>
      <c r="CR324" s="52"/>
      <c r="CS324" s="52"/>
      <c r="CT324" s="52">
        <v>39447</v>
      </c>
      <c r="CU324" s="52"/>
      <c r="CV324" s="52"/>
      <c r="CW324" s="52"/>
      <c r="CX324" s="52"/>
      <c r="CY324" s="52"/>
      <c r="CZ324" s="52"/>
      <c r="DA324" s="52"/>
      <c r="DB324" s="52"/>
      <c r="DC324" s="52"/>
      <c r="DD324" s="52"/>
      <c r="DE324" s="52">
        <v>6249697</v>
      </c>
      <c r="DF324" s="52"/>
      <c r="DG324" s="52">
        <v>6249697</v>
      </c>
      <c r="DH324" s="52"/>
    </row>
    <row r="325" spans="1:112">
      <c r="A325" s="150"/>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row>
    <row r="326" spans="1:112">
      <c r="A326" s="150"/>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f>SUM(DG240:DG325)</f>
        <v>2685157851</v>
      </c>
      <c r="DH326" s="52"/>
    </row>
    <row r="327" spans="1:112">
      <c r="A327" s="150"/>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f>DG223</f>
        <v>6926094299</v>
      </c>
      <c r="DH327" s="52"/>
    </row>
    <row r="328" spans="1:112">
      <c r="A328" s="150"/>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f>DG326+DG327</f>
        <v>9611252150</v>
      </c>
      <c r="DH328" s="52"/>
    </row>
    <row r="329" spans="1:112">
      <c r="A329" s="150"/>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v>9611252150</v>
      </c>
      <c r="DH329" s="52"/>
    </row>
    <row r="330" spans="1:11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f>DG329-DG328</f>
        <v>0</v>
      </c>
      <c r="DH330" s="52"/>
    </row>
    <row r="331" spans="1:11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row>
    <row r="332" spans="1:11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row>
    <row r="333" spans="1:11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row>
    <row r="334" spans="1:11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row>
    <row r="335" spans="1:11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row>
    <row r="336" spans="1:11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row>
    <row r="337" spans="4:11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row>
    <row r="338" spans="4:11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row>
    <row r="339" spans="4:11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row>
    <row r="340" spans="4:11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row>
    <row r="341" spans="4:11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row>
    <row r="342" spans="4:11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row>
    <row r="343" spans="4:11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row>
    <row r="344" spans="4:11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J358"/>
  <sheetViews>
    <sheetView workbookViewId="0">
      <pane xSplit="3" ySplit="7" topLeftCell="DE16" activePane="bottomRight" state="frozen"/>
      <selection pane="topRight" activeCell="D1" sqref="D1"/>
      <selection pane="bottomLeft" activeCell="A8" sqref="A8"/>
      <selection pane="bottomRight"/>
    </sheetView>
  </sheetViews>
  <sheetFormatPr defaultRowHeight="11.25"/>
  <cols>
    <col min="1" max="1" width="9.33203125" style="46"/>
    <col min="2" max="2" width="9.33203125" style="44"/>
    <col min="3" max="3" width="41.5" style="44" customWidth="1"/>
    <col min="4" max="111" width="20.83203125" style="44" customWidth="1"/>
    <col min="112" max="112" width="14.33203125" style="44" customWidth="1"/>
    <col min="113" max="113" width="19.5" style="44" customWidth="1"/>
    <col min="114" max="16384" width="9.33203125" style="44"/>
  </cols>
  <sheetData>
    <row r="1" spans="1:113" ht="15.95" customHeight="1">
      <c r="A1" s="155" t="s">
        <v>695</v>
      </c>
      <c r="B1" s="152"/>
      <c r="C1" s="152"/>
      <c r="D1" s="152"/>
      <c r="E1" s="152"/>
      <c r="F1" s="152"/>
      <c r="G1" s="152"/>
      <c r="H1" s="152"/>
      <c r="I1" s="152"/>
      <c r="J1" s="152"/>
      <c r="K1" s="152"/>
    </row>
    <row r="2" spans="1:113" ht="15.95" customHeight="1">
      <c r="A2" s="156" t="s">
        <v>693</v>
      </c>
      <c r="B2" s="152"/>
      <c r="C2" s="152"/>
      <c r="D2" s="152"/>
      <c r="E2" s="152"/>
      <c r="F2" s="152"/>
      <c r="G2" s="152"/>
      <c r="H2" s="152"/>
      <c r="I2" s="152"/>
      <c r="J2" s="152"/>
      <c r="K2" s="152"/>
      <c r="L2" s="208" t="s">
        <v>711</v>
      </c>
      <c r="M2" s="208"/>
      <c r="N2" s="208"/>
      <c r="O2" s="208"/>
    </row>
    <row r="3" spans="1:113" ht="15.95" customHeight="1">
      <c r="A3" s="47"/>
    </row>
    <row r="5" spans="1:113">
      <c r="D5" s="48"/>
    </row>
    <row r="6" spans="1:113">
      <c r="A6" s="154" t="s">
        <v>685</v>
      </c>
      <c r="DH6" s="79" t="s">
        <v>477</v>
      </c>
      <c r="DI6" s="79" t="s">
        <v>479</v>
      </c>
    </row>
    <row r="7" spans="1:113" s="58" customFormat="1">
      <c r="A7" s="154" t="s">
        <v>686</v>
      </c>
      <c r="D7" s="58" t="s">
        <v>38</v>
      </c>
      <c r="E7" s="58" t="s">
        <v>39</v>
      </c>
      <c r="F7" s="58" t="s">
        <v>40</v>
      </c>
      <c r="G7" s="58" t="s">
        <v>41</v>
      </c>
      <c r="H7" s="59" t="s">
        <v>303</v>
      </c>
      <c r="I7" s="59" t="s">
        <v>304</v>
      </c>
      <c r="J7" s="59" t="s">
        <v>305</v>
      </c>
      <c r="K7" s="59" t="s">
        <v>306</v>
      </c>
      <c r="L7" s="58" t="s">
        <v>307</v>
      </c>
      <c r="M7" s="58" t="s">
        <v>308</v>
      </c>
      <c r="N7" s="58" t="s">
        <v>309</v>
      </c>
      <c r="O7" s="58" t="s">
        <v>310</v>
      </c>
      <c r="P7" s="58" t="s">
        <v>311</v>
      </c>
      <c r="Q7" s="58" t="s">
        <v>312</v>
      </c>
      <c r="R7" s="58" t="s">
        <v>313</v>
      </c>
      <c r="S7" s="58" t="s">
        <v>314</v>
      </c>
      <c r="T7" s="58" t="s">
        <v>315</v>
      </c>
      <c r="U7" s="58" t="s">
        <v>316</v>
      </c>
      <c r="V7" s="58" t="s">
        <v>317</v>
      </c>
      <c r="W7" s="58" t="s">
        <v>318</v>
      </c>
      <c r="X7" s="58" t="s">
        <v>319</v>
      </c>
      <c r="Y7" s="58" t="s">
        <v>320</v>
      </c>
      <c r="Z7" s="58" t="s">
        <v>321</v>
      </c>
      <c r="AA7" s="58" t="s">
        <v>322</v>
      </c>
      <c r="AB7" s="58" t="s">
        <v>323</v>
      </c>
      <c r="AC7" s="58" t="s">
        <v>324</v>
      </c>
      <c r="AD7" s="58" t="s">
        <v>325</v>
      </c>
      <c r="AE7" s="58" t="s">
        <v>326</v>
      </c>
      <c r="AF7" s="58" t="s">
        <v>327</v>
      </c>
      <c r="AG7" s="58" t="s">
        <v>328</v>
      </c>
      <c r="AH7" s="58" t="s">
        <v>329</v>
      </c>
      <c r="AI7" s="58" t="s">
        <v>330</v>
      </c>
      <c r="AJ7" s="58" t="s">
        <v>331</v>
      </c>
      <c r="AK7" s="58" t="s">
        <v>332</v>
      </c>
      <c r="AL7" s="58" t="s">
        <v>333</v>
      </c>
      <c r="AM7" s="58" t="s">
        <v>334</v>
      </c>
      <c r="AN7" s="58" t="s">
        <v>335</v>
      </c>
      <c r="AO7" s="58" t="s">
        <v>336</v>
      </c>
      <c r="AP7" s="58" t="s">
        <v>337</v>
      </c>
      <c r="AQ7" s="58" t="s">
        <v>338</v>
      </c>
      <c r="AR7" s="58" t="s">
        <v>339</v>
      </c>
      <c r="AS7" s="58" t="s">
        <v>340</v>
      </c>
      <c r="AT7" s="58" t="s">
        <v>341</v>
      </c>
      <c r="AU7" s="58" t="s">
        <v>342</v>
      </c>
      <c r="AV7" s="58" t="s">
        <v>343</v>
      </c>
      <c r="AW7" s="58" t="s">
        <v>344</v>
      </c>
      <c r="AX7" s="58" t="s">
        <v>345</v>
      </c>
      <c r="AY7" s="100" t="s">
        <v>346</v>
      </c>
      <c r="AZ7" s="58" t="s">
        <v>347</v>
      </c>
      <c r="BA7" s="58" t="s">
        <v>348</v>
      </c>
      <c r="BB7" s="58" t="s">
        <v>349</v>
      </c>
      <c r="BC7" s="58" t="s">
        <v>350</v>
      </c>
      <c r="BD7" s="58" t="s">
        <v>351</v>
      </c>
      <c r="BE7" s="58" t="s">
        <v>352</v>
      </c>
      <c r="BF7" s="58" t="s">
        <v>353</v>
      </c>
      <c r="BG7" s="58" t="s">
        <v>354</v>
      </c>
      <c r="BH7" s="58" t="s">
        <v>355</v>
      </c>
      <c r="BI7" s="58" t="s">
        <v>356</v>
      </c>
      <c r="BJ7" s="58" t="s">
        <v>357</v>
      </c>
      <c r="BK7" s="58" t="s">
        <v>358</v>
      </c>
      <c r="BL7" s="58" t="s">
        <v>359</v>
      </c>
      <c r="BM7" s="58" t="s">
        <v>360</v>
      </c>
      <c r="BN7" s="58" t="s">
        <v>361</v>
      </c>
      <c r="BO7" s="58" t="s">
        <v>362</v>
      </c>
      <c r="BP7" s="58" t="s">
        <v>363</v>
      </c>
      <c r="BQ7" s="58" t="s">
        <v>364</v>
      </c>
      <c r="BR7" s="58" t="s">
        <v>365</v>
      </c>
      <c r="BS7" s="58" t="s">
        <v>366</v>
      </c>
      <c r="BT7" s="58" t="s">
        <v>367</v>
      </c>
      <c r="BU7" s="58" t="s">
        <v>368</v>
      </c>
      <c r="BV7" s="58" t="s">
        <v>369</v>
      </c>
      <c r="BW7" s="58" t="s">
        <v>370</v>
      </c>
      <c r="BX7" s="58" t="s">
        <v>371</v>
      </c>
      <c r="BY7" s="58" t="s">
        <v>372</v>
      </c>
      <c r="BZ7" s="58" t="s">
        <v>373</v>
      </c>
      <c r="CA7" s="58" t="s">
        <v>374</v>
      </c>
      <c r="CB7" s="58" t="s">
        <v>375</v>
      </c>
      <c r="CC7" s="58" t="s">
        <v>376</v>
      </c>
      <c r="CD7" s="58" t="s">
        <v>377</v>
      </c>
      <c r="CE7" s="58" t="s">
        <v>378</v>
      </c>
      <c r="CF7" s="58" t="s">
        <v>379</v>
      </c>
      <c r="CG7" s="58" t="s">
        <v>380</v>
      </c>
      <c r="CH7" s="58" t="s">
        <v>381</v>
      </c>
      <c r="CI7" s="58" t="s">
        <v>382</v>
      </c>
      <c r="CJ7" s="58" t="s">
        <v>383</v>
      </c>
      <c r="CK7" s="58" t="s">
        <v>384</v>
      </c>
      <c r="CL7" s="58" t="s">
        <v>385</v>
      </c>
      <c r="CM7" s="58" t="s">
        <v>386</v>
      </c>
      <c r="CN7" s="58" t="s">
        <v>387</v>
      </c>
      <c r="CO7" s="58" t="s">
        <v>388</v>
      </c>
      <c r="CP7" s="58" t="s">
        <v>389</v>
      </c>
      <c r="CQ7" s="58" t="s">
        <v>390</v>
      </c>
      <c r="CR7" s="58" t="s">
        <v>391</v>
      </c>
      <c r="CS7" s="58" t="s">
        <v>392</v>
      </c>
      <c r="CT7" s="58" t="s">
        <v>393</v>
      </c>
      <c r="CU7" s="58" t="s">
        <v>394</v>
      </c>
      <c r="CV7" s="58" t="s">
        <v>395</v>
      </c>
      <c r="CW7" s="58" t="s">
        <v>396</v>
      </c>
      <c r="CX7" s="58" t="s">
        <v>397</v>
      </c>
      <c r="CY7" s="58" t="s">
        <v>398</v>
      </c>
      <c r="CZ7" s="58" t="s">
        <v>399</v>
      </c>
      <c r="DA7" s="58" t="s">
        <v>400</v>
      </c>
      <c r="DB7" s="58" t="s">
        <v>401</v>
      </c>
      <c r="DC7" s="58" t="s">
        <v>29</v>
      </c>
      <c r="DD7" s="58" t="s">
        <v>402</v>
      </c>
      <c r="DE7" s="58" t="s">
        <v>403</v>
      </c>
      <c r="DF7" s="58" t="s">
        <v>404</v>
      </c>
      <c r="DG7" s="58" t="s">
        <v>405</v>
      </c>
      <c r="DH7" s="79" t="s">
        <v>478</v>
      </c>
      <c r="DI7" s="79" t="s">
        <v>480</v>
      </c>
    </row>
    <row r="8" spans="1:113">
      <c r="D8" s="52"/>
      <c r="E8" s="52"/>
      <c r="F8" s="52"/>
      <c r="G8" s="52"/>
      <c r="H8" s="56"/>
      <c r="I8" s="56"/>
      <c r="J8" s="56"/>
      <c r="K8" s="56"/>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101"/>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row>
    <row r="9" spans="1:113">
      <c r="A9" s="150" t="s">
        <v>409</v>
      </c>
      <c r="B9" s="44">
        <v>1110</v>
      </c>
      <c r="C9" s="44" t="s">
        <v>44</v>
      </c>
      <c r="D9" s="52">
        <v>1520764</v>
      </c>
      <c r="E9" s="52">
        <v>60312472</v>
      </c>
      <c r="F9" s="52">
        <v>4709102</v>
      </c>
      <c r="G9" s="52"/>
      <c r="H9" s="56"/>
      <c r="I9" s="56"/>
      <c r="J9" s="56"/>
      <c r="K9" s="56"/>
      <c r="L9" s="52"/>
      <c r="M9" s="52"/>
      <c r="N9" s="52"/>
      <c r="O9" s="52">
        <v>3518785</v>
      </c>
      <c r="P9" s="52"/>
      <c r="Q9" s="52">
        <v>1608309</v>
      </c>
      <c r="R9" s="52">
        <v>1694415</v>
      </c>
      <c r="S9" s="52">
        <v>4983807</v>
      </c>
      <c r="T9" s="52"/>
      <c r="U9" s="52"/>
      <c r="V9" s="52"/>
      <c r="W9" s="52">
        <v>81057233</v>
      </c>
      <c r="X9" s="52"/>
      <c r="Y9" s="52">
        <v>237617163</v>
      </c>
      <c r="Z9" s="52">
        <v>20857424</v>
      </c>
      <c r="AA9" s="52">
        <v>15774043</v>
      </c>
      <c r="AB9" s="52">
        <v>13611432</v>
      </c>
      <c r="AC9" s="52"/>
      <c r="AD9" s="52"/>
      <c r="AE9" s="52"/>
      <c r="AF9" s="52"/>
      <c r="AG9" s="52">
        <v>3633589</v>
      </c>
      <c r="AH9" s="52">
        <v>31643785</v>
      </c>
      <c r="AI9" s="52">
        <v>1164045</v>
      </c>
      <c r="AJ9" s="52"/>
      <c r="AK9" s="52"/>
      <c r="AL9" s="52">
        <v>1669444</v>
      </c>
      <c r="AM9" s="52">
        <v>773207</v>
      </c>
      <c r="AN9" s="52">
        <v>47974404</v>
      </c>
      <c r="AO9" s="52">
        <v>9991137</v>
      </c>
      <c r="AP9" s="52"/>
      <c r="AQ9" s="52">
        <v>9211573</v>
      </c>
      <c r="AR9" s="52"/>
      <c r="AS9" s="52"/>
      <c r="AT9" s="52"/>
      <c r="AU9" s="52">
        <v>6118718</v>
      </c>
      <c r="AV9" s="52">
        <v>2340676</v>
      </c>
      <c r="AW9" s="52"/>
      <c r="AX9" s="52">
        <v>53912753</v>
      </c>
      <c r="AY9" s="101">
        <v>209875704</v>
      </c>
      <c r="AZ9" s="52"/>
      <c r="BA9" s="52"/>
      <c r="BB9" s="52"/>
      <c r="BC9" s="52"/>
      <c r="BD9" s="52"/>
      <c r="BE9" s="52"/>
      <c r="BF9" s="52">
        <v>189882593</v>
      </c>
      <c r="BG9" s="52"/>
      <c r="BH9" s="52"/>
      <c r="BI9" s="52">
        <v>27833046</v>
      </c>
      <c r="BJ9" s="52">
        <v>12598542</v>
      </c>
      <c r="BK9" s="52">
        <v>4931133</v>
      </c>
      <c r="BL9" s="52"/>
      <c r="BM9" s="52">
        <v>54022433</v>
      </c>
      <c r="BN9" s="52">
        <v>28570445</v>
      </c>
      <c r="BO9" s="52">
        <v>8785696</v>
      </c>
      <c r="BP9" s="52">
        <v>6370433</v>
      </c>
      <c r="BQ9" s="52">
        <v>75156901</v>
      </c>
      <c r="BR9" s="52"/>
      <c r="BS9" s="52">
        <v>1031638</v>
      </c>
      <c r="BT9" s="52"/>
      <c r="BU9" s="52"/>
      <c r="BV9" s="52"/>
      <c r="BW9" s="52">
        <v>829221</v>
      </c>
      <c r="BX9" s="52">
        <v>7589855</v>
      </c>
      <c r="BY9" s="52">
        <v>21368223</v>
      </c>
      <c r="BZ9" s="52"/>
      <c r="CA9" s="52"/>
      <c r="CB9" s="52">
        <v>8411421</v>
      </c>
      <c r="CC9" s="52">
        <v>9864404</v>
      </c>
      <c r="CD9" s="52">
        <v>22697920</v>
      </c>
      <c r="CE9" s="52"/>
      <c r="CF9" s="52">
        <v>41771782</v>
      </c>
      <c r="CG9" s="52"/>
      <c r="CH9" s="52"/>
      <c r="CI9" s="52"/>
      <c r="CJ9" s="52">
        <v>15002986</v>
      </c>
      <c r="CK9" s="52">
        <v>19399837</v>
      </c>
      <c r="CL9" s="52">
        <v>10606763</v>
      </c>
      <c r="CM9" s="52">
        <v>6064849</v>
      </c>
      <c r="CN9" s="52">
        <v>27007132</v>
      </c>
      <c r="CO9" s="52">
        <v>34914489</v>
      </c>
      <c r="CP9" s="52">
        <v>35418636</v>
      </c>
      <c r="CQ9" s="52">
        <v>1220480</v>
      </c>
      <c r="CR9" s="52">
        <v>1790126</v>
      </c>
      <c r="CS9" s="52"/>
      <c r="CT9" s="52"/>
      <c r="CU9" s="52"/>
      <c r="CV9" s="52"/>
      <c r="CW9" s="52">
        <v>7548390</v>
      </c>
      <c r="CX9" s="52">
        <v>6863244</v>
      </c>
      <c r="CY9" s="52">
        <v>8885582</v>
      </c>
      <c r="CZ9" s="52">
        <v>37156040</v>
      </c>
      <c r="DA9" s="52">
        <v>51613941</v>
      </c>
      <c r="DB9" s="52">
        <v>34135864</v>
      </c>
      <c r="DC9" s="52"/>
      <c r="DD9" s="52"/>
      <c r="DE9" s="52">
        <v>1644918029</v>
      </c>
      <c r="DF9" s="52"/>
      <c r="DG9" s="52">
        <v>1644918029</v>
      </c>
      <c r="DH9" s="52"/>
    </row>
    <row r="10" spans="1:113">
      <c r="A10" s="150" t="s">
        <v>409</v>
      </c>
      <c r="B10" s="44">
        <v>1140</v>
      </c>
      <c r="C10" s="44" t="s">
        <v>45</v>
      </c>
      <c r="D10" s="52">
        <v>132769</v>
      </c>
      <c r="E10" s="52">
        <v>2319640</v>
      </c>
      <c r="F10" s="52">
        <v>10538</v>
      </c>
      <c r="G10" s="52"/>
      <c r="H10" s="56"/>
      <c r="I10" s="56"/>
      <c r="J10" s="56"/>
      <c r="K10" s="56"/>
      <c r="L10" s="52"/>
      <c r="M10" s="52"/>
      <c r="N10" s="52"/>
      <c r="O10" s="52"/>
      <c r="P10" s="52"/>
      <c r="Q10" s="52">
        <v>22174</v>
      </c>
      <c r="R10" s="52">
        <v>315835</v>
      </c>
      <c r="S10" s="52"/>
      <c r="T10" s="52"/>
      <c r="U10" s="52"/>
      <c r="V10" s="52"/>
      <c r="W10" s="52">
        <v>283069</v>
      </c>
      <c r="X10" s="52"/>
      <c r="Y10" s="52">
        <v>7206803</v>
      </c>
      <c r="Z10" s="52"/>
      <c r="AA10" s="52"/>
      <c r="AB10" s="52">
        <v>69856</v>
      </c>
      <c r="AC10" s="52"/>
      <c r="AD10" s="52"/>
      <c r="AE10" s="52"/>
      <c r="AF10" s="52"/>
      <c r="AG10" s="52"/>
      <c r="AH10" s="52">
        <v>149802</v>
      </c>
      <c r="AI10" s="52"/>
      <c r="AJ10" s="52"/>
      <c r="AK10" s="52"/>
      <c r="AL10" s="52">
        <v>16783</v>
      </c>
      <c r="AM10" s="52">
        <v>7569</v>
      </c>
      <c r="AN10" s="52"/>
      <c r="AO10" s="52"/>
      <c r="AP10" s="52"/>
      <c r="AQ10" s="52">
        <v>63329</v>
      </c>
      <c r="AR10" s="52"/>
      <c r="AS10" s="52"/>
      <c r="AT10" s="52"/>
      <c r="AU10" s="52">
        <v>24835</v>
      </c>
      <c r="AV10" s="52">
        <v>7929</v>
      </c>
      <c r="AW10" s="52"/>
      <c r="AX10" s="52">
        <v>338274</v>
      </c>
      <c r="AY10" s="101"/>
      <c r="AZ10" s="52"/>
      <c r="BA10" s="52"/>
      <c r="BB10" s="52"/>
      <c r="BC10" s="52"/>
      <c r="BD10" s="52"/>
      <c r="BE10" s="52"/>
      <c r="BF10" s="52">
        <v>1847104</v>
      </c>
      <c r="BG10" s="52"/>
      <c r="BH10" s="52"/>
      <c r="BI10" s="52">
        <v>306014</v>
      </c>
      <c r="BJ10" s="52">
        <v>39250</v>
      </c>
      <c r="BK10" s="52">
        <v>352047</v>
      </c>
      <c r="BL10" s="52"/>
      <c r="BM10" s="52">
        <v>2948414</v>
      </c>
      <c r="BN10" s="52">
        <v>168908</v>
      </c>
      <c r="BO10" s="52">
        <v>123038</v>
      </c>
      <c r="BP10" s="52">
        <v>60715</v>
      </c>
      <c r="BQ10" s="52">
        <v>401443</v>
      </c>
      <c r="BR10" s="52"/>
      <c r="BS10" s="52">
        <v>13774</v>
      </c>
      <c r="BT10" s="52"/>
      <c r="BU10" s="52"/>
      <c r="BV10" s="52"/>
      <c r="BW10" s="52">
        <v>11472</v>
      </c>
      <c r="BX10" s="52">
        <v>98476</v>
      </c>
      <c r="BY10" s="52">
        <v>382847</v>
      </c>
      <c r="BZ10" s="52"/>
      <c r="CA10" s="52"/>
      <c r="CB10" s="52">
        <v>158859</v>
      </c>
      <c r="CC10" s="52">
        <v>92320</v>
      </c>
      <c r="CD10" s="52">
        <v>302645</v>
      </c>
      <c r="CE10" s="52"/>
      <c r="CF10" s="52">
        <v>356908</v>
      </c>
      <c r="CG10" s="52"/>
      <c r="CH10" s="52"/>
      <c r="CI10" s="52"/>
      <c r="CJ10" s="52"/>
      <c r="CK10" s="52"/>
      <c r="CL10" s="52"/>
      <c r="CM10" s="52"/>
      <c r="CN10" s="52"/>
      <c r="CO10" s="52">
        <v>53219</v>
      </c>
      <c r="CP10" s="52"/>
      <c r="CQ10" s="52"/>
      <c r="CR10" s="52">
        <v>118918</v>
      </c>
      <c r="CS10" s="52"/>
      <c r="CT10" s="52"/>
      <c r="CU10" s="52"/>
      <c r="CV10" s="52"/>
      <c r="CW10" s="52">
        <v>623388</v>
      </c>
      <c r="CX10" s="52"/>
      <c r="CY10" s="52">
        <v>436515</v>
      </c>
      <c r="CZ10" s="52">
        <v>765865</v>
      </c>
      <c r="DA10" s="52">
        <v>436456</v>
      </c>
      <c r="DB10" s="52">
        <v>117338</v>
      </c>
      <c r="DC10" s="52"/>
      <c r="DD10" s="52"/>
      <c r="DE10" s="52">
        <v>21185138</v>
      </c>
      <c r="DF10" s="52"/>
      <c r="DG10" s="52">
        <v>21185138</v>
      </c>
      <c r="DH10" s="52"/>
    </row>
    <row r="11" spans="1:113">
      <c r="A11" s="150" t="s">
        <v>409</v>
      </c>
      <c r="B11" s="44">
        <v>1190</v>
      </c>
      <c r="C11" s="44" t="s">
        <v>46</v>
      </c>
      <c r="D11" s="52"/>
      <c r="E11" s="52"/>
      <c r="F11" s="52"/>
      <c r="G11" s="52"/>
      <c r="H11" s="56"/>
      <c r="I11" s="56"/>
      <c r="J11" s="56"/>
      <c r="K11" s="56"/>
      <c r="L11" s="52"/>
      <c r="M11" s="52"/>
      <c r="N11" s="52"/>
      <c r="O11" s="52"/>
      <c r="P11" s="52"/>
      <c r="Q11" s="52"/>
      <c r="R11" s="52"/>
      <c r="S11" s="52"/>
      <c r="T11" s="52"/>
      <c r="U11" s="52"/>
      <c r="V11" s="52"/>
      <c r="W11" s="52"/>
      <c r="X11" s="52"/>
      <c r="Y11" s="52"/>
      <c r="Z11" s="52">
        <v>5051631</v>
      </c>
      <c r="AA11" s="52"/>
      <c r="AB11" s="52"/>
      <c r="AC11" s="52"/>
      <c r="AD11" s="52"/>
      <c r="AE11" s="52"/>
      <c r="AF11" s="52"/>
      <c r="AG11" s="52"/>
      <c r="AH11" s="52"/>
      <c r="AI11" s="52">
        <v>62076</v>
      </c>
      <c r="AJ11" s="52"/>
      <c r="AK11" s="52"/>
      <c r="AL11" s="52">
        <v>347531</v>
      </c>
      <c r="AM11" s="52">
        <v>162535</v>
      </c>
      <c r="AN11" s="52"/>
      <c r="AO11" s="52"/>
      <c r="AP11" s="52"/>
      <c r="AQ11" s="52"/>
      <c r="AR11" s="52"/>
      <c r="AS11" s="52"/>
      <c r="AT11" s="52"/>
      <c r="AU11" s="52"/>
      <c r="AV11" s="52"/>
      <c r="AW11" s="52"/>
      <c r="AX11" s="52"/>
      <c r="AY11" s="101"/>
      <c r="AZ11" s="52"/>
      <c r="BA11" s="52"/>
      <c r="BB11" s="52"/>
      <c r="BC11" s="52"/>
      <c r="BD11" s="52"/>
      <c r="BE11" s="52"/>
      <c r="BF11" s="52"/>
      <c r="BG11" s="52"/>
      <c r="BH11" s="52"/>
      <c r="BI11" s="52"/>
      <c r="BJ11" s="52"/>
      <c r="BK11" s="52"/>
      <c r="BL11" s="52"/>
      <c r="BM11" s="52">
        <v>25525556</v>
      </c>
      <c r="BN11" s="52"/>
      <c r="BO11" s="52"/>
      <c r="BP11" s="52"/>
      <c r="BQ11" s="52"/>
      <c r="BR11" s="52"/>
      <c r="BS11" s="52"/>
      <c r="BT11" s="52"/>
      <c r="BU11" s="52"/>
      <c r="BV11" s="52"/>
      <c r="BW11" s="52"/>
      <c r="BX11" s="52">
        <v>8497</v>
      </c>
      <c r="BY11" s="52"/>
      <c r="BZ11" s="52"/>
      <c r="CA11" s="52"/>
      <c r="CB11" s="52"/>
      <c r="CC11" s="52"/>
      <c r="CD11" s="52"/>
      <c r="CE11" s="52"/>
      <c r="CF11" s="52">
        <v>5595</v>
      </c>
      <c r="CG11" s="52"/>
      <c r="CH11" s="52"/>
      <c r="CI11" s="52"/>
      <c r="CJ11" s="52"/>
      <c r="CK11" s="52"/>
      <c r="CL11" s="52"/>
      <c r="CM11" s="52"/>
      <c r="CN11" s="52">
        <v>1781081</v>
      </c>
      <c r="CO11" s="52"/>
      <c r="CP11" s="52"/>
      <c r="CQ11" s="52"/>
      <c r="CR11" s="52"/>
      <c r="CS11" s="52"/>
      <c r="CT11" s="52"/>
      <c r="CU11" s="52"/>
      <c r="CV11" s="52"/>
      <c r="CW11" s="52"/>
      <c r="CX11" s="52"/>
      <c r="CY11" s="52"/>
      <c r="CZ11" s="52"/>
      <c r="DA11" s="52"/>
      <c r="DB11" s="52"/>
      <c r="DC11" s="52"/>
      <c r="DD11" s="52"/>
      <c r="DE11" s="52">
        <v>32944502</v>
      </c>
      <c r="DF11" s="52"/>
      <c r="DG11" s="52">
        <v>32944502</v>
      </c>
      <c r="DH11" s="52"/>
    </row>
    <row r="12" spans="1:113">
      <c r="A12" s="150" t="s">
        <v>409</v>
      </c>
      <c r="B12" s="44">
        <v>1210</v>
      </c>
      <c r="C12" s="44" t="s">
        <v>48</v>
      </c>
      <c r="D12" s="52">
        <v>6245819</v>
      </c>
      <c r="E12" s="52"/>
      <c r="F12" s="52"/>
      <c r="G12" s="52">
        <v>433216</v>
      </c>
      <c r="H12" s="56">
        <v>16421598</v>
      </c>
      <c r="I12" s="56">
        <v>7017799</v>
      </c>
      <c r="J12" s="56">
        <v>5213455</v>
      </c>
      <c r="K12" s="56">
        <v>12347769</v>
      </c>
      <c r="L12" s="52">
        <v>33664427</v>
      </c>
      <c r="M12" s="52">
        <v>868614</v>
      </c>
      <c r="N12" s="52">
        <v>2138478</v>
      </c>
      <c r="O12" s="52"/>
      <c r="P12" s="52">
        <v>2593235</v>
      </c>
      <c r="Q12" s="52"/>
      <c r="R12" s="52"/>
      <c r="S12" s="52"/>
      <c r="T12" s="52">
        <v>1111614</v>
      </c>
      <c r="U12" s="52">
        <v>153402920</v>
      </c>
      <c r="V12" s="52"/>
      <c r="W12" s="52"/>
      <c r="X12" s="52">
        <v>5828627</v>
      </c>
      <c r="Y12" s="52"/>
      <c r="Z12" s="52"/>
      <c r="AA12" s="52"/>
      <c r="AB12" s="52"/>
      <c r="AC12" s="52">
        <v>3254202</v>
      </c>
      <c r="AD12" s="52">
        <v>3919418</v>
      </c>
      <c r="AE12" s="52">
        <v>1414172</v>
      </c>
      <c r="AF12" s="52">
        <v>195242</v>
      </c>
      <c r="AG12" s="52">
        <v>13693942</v>
      </c>
      <c r="AH12" s="52"/>
      <c r="AI12" s="52"/>
      <c r="AJ12" s="52">
        <v>797062</v>
      </c>
      <c r="AK12" s="52">
        <v>3812551</v>
      </c>
      <c r="AL12" s="52"/>
      <c r="AM12" s="52"/>
      <c r="AN12" s="52"/>
      <c r="AO12" s="52"/>
      <c r="AP12" s="52">
        <v>2977217</v>
      </c>
      <c r="AQ12" s="52">
        <v>1735984</v>
      </c>
      <c r="AR12" s="52">
        <v>21351124</v>
      </c>
      <c r="AS12" s="52">
        <v>46691201</v>
      </c>
      <c r="AT12" s="52">
        <v>2458856</v>
      </c>
      <c r="AU12" s="52"/>
      <c r="AV12" s="52"/>
      <c r="AW12" s="52">
        <v>2852068</v>
      </c>
      <c r="AX12" s="52"/>
      <c r="AY12" s="101"/>
      <c r="AZ12" s="52">
        <v>30220203</v>
      </c>
      <c r="BA12" s="52">
        <v>2691050</v>
      </c>
      <c r="BB12" s="52">
        <v>7425961</v>
      </c>
      <c r="BC12" s="52">
        <v>1147565</v>
      </c>
      <c r="BD12" s="52">
        <v>5106272</v>
      </c>
      <c r="BE12" s="52">
        <v>3216142</v>
      </c>
      <c r="BF12" s="52"/>
      <c r="BG12" s="52">
        <v>9192444</v>
      </c>
      <c r="BH12" s="52">
        <v>24813543</v>
      </c>
      <c r="BI12" s="52"/>
      <c r="BJ12" s="52"/>
      <c r="BK12" s="52">
        <v>976985</v>
      </c>
      <c r="BL12" s="52">
        <v>4809755</v>
      </c>
      <c r="BM12" s="52"/>
      <c r="BN12" s="52"/>
      <c r="BO12" s="52"/>
      <c r="BP12" s="52"/>
      <c r="BQ12" s="52"/>
      <c r="BR12" s="52">
        <v>4962701</v>
      </c>
      <c r="BS12" s="52"/>
      <c r="BT12" s="52">
        <v>3857014</v>
      </c>
      <c r="BU12" s="52">
        <v>2488097</v>
      </c>
      <c r="BV12" s="52">
        <v>1333045</v>
      </c>
      <c r="BW12" s="52"/>
      <c r="BX12" s="52"/>
      <c r="BY12" s="52"/>
      <c r="BZ12" s="52">
        <v>54253011</v>
      </c>
      <c r="CA12" s="52"/>
      <c r="CB12" s="52">
        <v>1874414</v>
      </c>
      <c r="CC12" s="52">
        <v>604807</v>
      </c>
      <c r="CD12" s="52">
        <v>3222083</v>
      </c>
      <c r="CE12" s="52"/>
      <c r="CF12" s="52"/>
      <c r="CG12" s="52">
        <v>158166933</v>
      </c>
      <c r="CH12" s="52">
        <v>97862726</v>
      </c>
      <c r="CI12" s="52">
        <v>5417651</v>
      </c>
      <c r="CJ12" s="52"/>
      <c r="CK12" s="52"/>
      <c r="CL12" s="52"/>
      <c r="CM12" s="52"/>
      <c r="CN12" s="52"/>
      <c r="CO12" s="52"/>
      <c r="CP12" s="52"/>
      <c r="CQ12" s="52"/>
      <c r="CR12" s="52"/>
      <c r="CS12" s="52">
        <v>1742817</v>
      </c>
      <c r="CT12" s="52">
        <v>18310585</v>
      </c>
      <c r="CU12" s="52">
        <v>18715981</v>
      </c>
      <c r="CV12" s="52"/>
      <c r="CW12" s="52"/>
      <c r="CX12" s="52"/>
      <c r="CY12" s="52">
        <v>5888294</v>
      </c>
      <c r="CZ12" s="52">
        <v>3131088</v>
      </c>
      <c r="DA12" s="52">
        <v>9576458</v>
      </c>
      <c r="DB12" s="52"/>
      <c r="DC12" s="52"/>
      <c r="DD12" s="52"/>
      <c r="DE12" s="52">
        <v>833448235</v>
      </c>
      <c r="DF12" s="52"/>
      <c r="DG12" s="52">
        <v>833448235</v>
      </c>
      <c r="DH12" s="52"/>
    </row>
    <row r="13" spans="1:113">
      <c r="A13" s="150" t="s">
        <v>409</v>
      </c>
      <c r="B13" s="44">
        <v>1240</v>
      </c>
      <c r="C13" s="44" t="s">
        <v>49</v>
      </c>
      <c r="D13" s="52">
        <v>597511</v>
      </c>
      <c r="E13" s="52"/>
      <c r="F13" s="52"/>
      <c r="G13" s="52"/>
      <c r="H13" s="56">
        <v>880175</v>
      </c>
      <c r="I13" s="56">
        <v>621538</v>
      </c>
      <c r="J13" s="56"/>
      <c r="K13" s="56"/>
      <c r="L13" s="52">
        <v>1894677</v>
      </c>
      <c r="M13" s="52"/>
      <c r="N13" s="52">
        <v>154664</v>
      </c>
      <c r="O13" s="52"/>
      <c r="P13" s="52">
        <v>263749</v>
      </c>
      <c r="Q13" s="52"/>
      <c r="R13" s="52"/>
      <c r="S13" s="52"/>
      <c r="T13" s="52">
        <v>7827</v>
      </c>
      <c r="U13" s="52">
        <v>1108823</v>
      </c>
      <c r="V13" s="52"/>
      <c r="W13" s="52"/>
      <c r="X13" s="52">
        <v>314398</v>
      </c>
      <c r="Y13" s="52"/>
      <c r="Z13" s="52"/>
      <c r="AA13" s="52"/>
      <c r="AB13" s="52"/>
      <c r="AC13" s="52">
        <v>20715</v>
      </c>
      <c r="AD13" s="52">
        <v>58335</v>
      </c>
      <c r="AE13" s="52">
        <v>14132</v>
      </c>
      <c r="AF13" s="52"/>
      <c r="AG13" s="52"/>
      <c r="AH13" s="52"/>
      <c r="AI13" s="52"/>
      <c r="AJ13" s="52">
        <v>10867</v>
      </c>
      <c r="AK13" s="52">
        <v>45178</v>
      </c>
      <c r="AL13" s="52"/>
      <c r="AM13" s="52"/>
      <c r="AN13" s="52"/>
      <c r="AO13" s="52"/>
      <c r="AP13" s="52"/>
      <c r="AQ13" s="52"/>
      <c r="AR13" s="52">
        <v>128917</v>
      </c>
      <c r="AS13" s="52">
        <v>94545</v>
      </c>
      <c r="AT13" s="52">
        <v>8145</v>
      </c>
      <c r="AU13" s="52"/>
      <c r="AV13" s="52"/>
      <c r="AW13" s="52">
        <v>8204</v>
      </c>
      <c r="AX13" s="52"/>
      <c r="AY13" s="101"/>
      <c r="AZ13" s="52">
        <v>3144240</v>
      </c>
      <c r="BA13" s="52">
        <v>28733</v>
      </c>
      <c r="BB13" s="52">
        <v>20006</v>
      </c>
      <c r="BC13" s="52">
        <v>101865</v>
      </c>
      <c r="BD13" s="52">
        <v>36588</v>
      </c>
      <c r="BE13" s="52">
        <v>44176</v>
      </c>
      <c r="BF13" s="52"/>
      <c r="BG13" s="52">
        <v>147877</v>
      </c>
      <c r="BH13" s="52">
        <v>381137</v>
      </c>
      <c r="BI13" s="52"/>
      <c r="BJ13" s="52"/>
      <c r="BK13" s="52"/>
      <c r="BL13" s="52">
        <v>41064</v>
      </c>
      <c r="BM13" s="52"/>
      <c r="BN13" s="52"/>
      <c r="BO13" s="52"/>
      <c r="BP13" s="52"/>
      <c r="BQ13" s="52"/>
      <c r="BR13" s="52"/>
      <c r="BS13" s="52"/>
      <c r="BT13" s="52">
        <v>56050</v>
      </c>
      <c r="BU13" s="52">
        <v>36677</v>
      </c>
      <c r="BV13" s="52">
        <v>121914</v>
      </c>
      <c r="BW13" s="52"/>
      <c r="BX13" s="52"/>
      <c r="BY13" s="52"/>
      <c r="BZ13" s="52">
        <v>172869</v>
      </c>
      <c r="CA13" s="52"/>
      <c r="CB13" s="52"/>
      <c r="CC13" s="52"/>
      <c r="CD13" s="52"/>
      <c r="CE13" s="52"/>
      <c r="CF13" s="52"/>
      <c r="CG13" s="52">
        <v>1748</v>
      </c>
      <c r="CH13" s="52">
        <v>1202011</v>
      </c>
      <c r="CI13" s="52"/>
      <c r="CJ13" s="52"/>
      <c r="CK13" s="52"/>
      <c r="CL13" s="52"/>
      <c r="CM13" s="52"/>
      <c r="CN13" s="52"/>
      <c r="CO13" s="52"/>
      <c r="CP13" s="52"/>
      <c r="CQ13" s="52"/>
      <c r="CR13" s="52"/>
      <c r="CS13" s="52"/>
      <c r="CT13" s="52"/>
      <c r="CU13" s="52"/>
      <c r="CV13" s="52"/>
      <c r="CW13" s="52"/>
      <c r="CX13" s="52"/>
      <c r="CY13" s="52">
        <v>233092</v>
      </c>
      <c r="CZ13" s="52">
        <v>89758</v>
      </c>
      <c r="DA13" s="52"/>
      <c r="DB13" s="52"/>
      <c r="DC13" s="52"/>
      <c r="DD13" s="52"/>
      <c r="DE13" s="52">
        <v>12092205</v>
      </c>
      <c r="DF13" s="52"/>
      <c r="DG13" s="52">
        <v>12092205</v>
      </c>
      <c r="DH13" s="52"/>
    </row>
    <row r="14" spans="1:113">
      <c r="A14" s="150" t="s">
        <v>409</v>
      </c>
      <c r="B14" s="44">
        <v>1280</v>
      </c>
      <c r="C14" s="44" t="s">
        <v>50</v>
      </c>
      <c r="D14" s="52">
        <v>248250</v>
      </c>
      <c r="E14" s="52">
        <v>3228180</v>
      </c>
      <c r="F14" s="52">
        <v>30934</v>
      </c>
      <c r="G14" s="52">
        <v>16195</v>
      </c>
      <c r="H14" s="56">
        <v>281920</v>
      </c>
      <c r="I14" s="56">
        <v>110149</v>
      </c>
      <c r="J14" s="56">
        <v>663826</v>
      </c>
      <c r="K14" s="56">
        <v>987719</v>
      </c>
      <c r="L14" s="52">
        <v>705878</v>
      </c>
      <c r="M14" s="52">
        <v>32380</v>
      </c>
      <c r="N14" s="52">
        <v>37121</v>
      </c>
      <c r="O14" s="52"/>
      <c r="P14" s="52">
        <v>58802</v>
      </c>
      <c r="Q14" s="52">
        <v>337725</v>
      </c>
      <c r="R14" s="52"/>
      <c r="S14" s="52"/>
      <c r="T14" s="52"/>
      <c r="U14" s="52">
        <v>72555</v>
      </c>
      <c r="V14" s="52"/>
      <c r="W14" s="52">
        <v>11717128</v>
      </c>
      <c r="X14" s="52">
        <v>1501169</v>
      </c>
      <c r="Y14" s="52"/>
      <c r="Z14" s="52">
        <v>3487340</v>
      </c>
      <c r="AA14" s="52">
        <v>1808893</v>
      </c>
      <c r="AB14" s="52">
        <v>1012904</v>
      </c>
      <c r="AC14" s="52"/>
      <c r="AD14" s="52"/>
      <c r="AE14" s="52"/>
      <c r="AF14" s="52"/>
      <c r="AG14" s="52"/>
      <c r="AH14" s="52">
        <v>2270051</v>
      </c>
      <c r="AI14" s="52"/>
      <c r="AJ14" s="52"/>
      <c r="AK14" s="52"/>
      <c r="AL14" s="52"/>
      <c r="AM14" s="52"/>
      <c r="AN14" s="52">
        <v>2558555</v>
      </c>
      <c r="AO14" s="52">
        <v>136438</v>
      </c>
      <c r="AP14" s="52"/>
      <c r="AQ14" s="52"/>
      <c r="AR14" s="52">
        <v>81935</v>
      </c>
      <c r="AS14" s="52">
        <v>1352744</v>
      </c>
      <c r="AT14" s="52">
        <v>18213</v>
      </c>
      <c r="AU14" s="52">
        <v>512915</v>
      </c>
      <c r="AV14" s="52">
        <v>778498</v>
      </c>
      <c r="AW14" s="52">
        <v>75913</v>
      </c>
      <c r="AX14" s="52">
        <v>260827</v>
      </c>
      <c r="AY14" s="101">
        <v>14519384</v>
      </c>
      <c r="AZ14" s="52"/>
      <c r="BA14" s="52">
        <v>239598</v>
      </c>
      <c r="BB14" s="52"/>
      <c r="BC14" s="52"/>
      <c r="BD14" s="52">
        <v>175</v>
      </c>
      <c r="BE14" s="52"/>
      <c r="BF14" s="52">
        <v>3339957</v>
      </c>
      <c r="BG14" s="52">
        <v>424974</v>
      </c>
      <c r="BH14" s="52">
        <v>2160178</v>
      </c>
      <c r="BI14" s="52">
        <v>1429643</v>
      </c>
      <c r="BJ14" s="52">
        <v>262951</v>
      </c>
      <c r="BK14" s="52">
        <v>635032</v>
      </c>
      <c r="BL14" s="52">
        <v>151497</v>
      </c>
      <c r="BM14" s="52">
        <v>3660322</v>
      </c>
      <c r="BN14" s="52">
        <v>1228103</v>
      </c>
      <c r="BO14" s="52">
        <v>9708</v>
      </c>
      <c r="BP14" s="52">
        <v>449301</v>
      </c>
      <c r="BQ14" s="52">
        <v>78278</v>
      </c>
      <c r="BR14" s="52">
        <v>138537</v>
      </c>
      <c r="BS14" s="52"/>
      <c r="BT14" s="52">
        <v>107735</v>
      </c>
      <c r="BU14" s="52">
        <v>66565</v>
      </c>
      <c r="BV14" s="52"/>
      <c r="BW14" s="52"/>
      <c r="BX14" s="52">
        <v>2473128</v>
      </c>
      <c r="BY14" s="52">
        <v>1173323</v>
      </c>
      <c r="BZ14" s="52">
        <v>1913859</v>
      </c>
      <c r="CA14" s="52"/>
      <c r="CB14" s="52">
        <v>983273</v>
      </c>
      <c r="CC14" s="52">
        <v>164336</v>
      </c>
      <c r="CD14" s="52">
        <v>1488642</v>
      </c>
      <c r="CE14" s="52"/>
      <c r="CF14" s="52">
        <v>57293</v>
      </c>
      <c r="CG14" s="52">
        <v>6147665</v>
      </c>
      <c r="CH14" s="52">
        <v>955039</v>
      </c>
      <c r="CI14" s="52"/>
      <c r="CJ14" s="52"/>
      <c r="CK14" s="52">
        <v>66554</v>
      </c>
      <c r="CL14" s="52">
        <v>1296281</v>
      </c>
      <c r="CM14" s="52">
        <v>126483</v>
      </c>
      <c r="CN14" s="52">
        <v>4902610</v>
      </c>
      <c r="CO14" s="52">
        <v>1833006</v>
      </c>
      <c r="CP14" s="52">
        <v>42550</v>
      </c>
      <c r="CQ14" s="52">
        <v>2821</v>
      </c>
      <c r="CR14" s="52">
        <v>11374</v>
      </c>
      <c r="CS14" s="52"/>
      <c r="CT14" s="52">
        <v>286707</v>
      </c>
      <c r="CU14" s="52"/>
      <c r="CV14" s="52"/>
      <c r="CW14" s="52"/>
      <c r="CX14" s="52">
        <v>3398472</v>
      </c>
      <c r="CY14" s="52"/>
      <c r="CZ14" s="52">
        <v>194008</v>
      </c>
      <c r="DA14" s="52"/>
      <c r="DB14" s="52">
        <v>2423424</v>
      </c>
      <c r="DC14" s="52"/>
      <c r="DD14" s="52"/>
      <c r="DE14" s="52">
        <v>93227943</v>
      </c>
      <c r="DF14" s="52"/>
      <c r="DG14" s="52">
        <v>93227943</v>
      </c>
      <c r="DH14" s="52"/>
    </row>
    <row r="15" spans="1:113">
      <c r="A15" s="150" t="s">
        <v>409</v>
      </c>
      <c r="B15" s="44">
        <v>1290</v>
      </c>
      <c r="C15" s="44" t="s">
        <v>51</v>
      </c>
      <c r="D15" s="52">
        <v>-185981</v>
      </c>
      <c r="E15" s="52"/>
      <c r="F15" s="52"/>
      <c r="G15" s="52"/>
      <c r="H15" s="56">
        <v>2529411</v>
      </c>
      <c r="I15" s="56">
        <v>1058039</v>
      </c>
      <c r="J15" s="56"/>
      <c r="K15" s="56"/>
      <c r="L15" s="52">
        <v>3578859</v>
      </c>
      <c r="M15" s="52"/>
      <c r="N15" s="52"/>
      <c r="O15" s="52"/>
      <c r="P15" s="52"/>
      <c r="Q15" s="52"/>
      <c r="R15" s="52"/>
      <c r="S15" s="52"/>
      <c r="T15" s="52"/>
      <c r="U15" s="52"/>
      <c r="V15" s="52"/>
      <c r="W15" s="52"/>
      <c r="X15" s="52"/>
      <c r="Y15" s="52"/>
      <c r="Z15" s="52"/>
      <c r="AA15" s="52"/>
      <c r="AB15" s="52">
        <v>2678003</v>
      </c>
      <c r="AC15" s="52">
        <v>498106</v>
      </c>
      <c r="AD15" s="52"/>
      <c r="AE15" s="52">
        <v>592984</v>
      </c>
      <c r="AF15" s="52"/>
      <c r="AG15" s="52"/>
      <c r="AH15" s="52"/>
      <c r="AI15" s="52"/>
      <c r="AJ15" s="52">
        <v>191741</v>
      </c>
      <c r="AK15" s="52">
        <v>693689</v>
      </c>
      <c r="AL15" s="52"/>
      <c r="AM15" s="52"/>
      <c r="AN15" s="52"/>
      <c r="AO15" s="52"/>
      <c r="AP15" s="52"/>
      <c r="AQ15" s="52"/>
      <c r="AR15" s="52"/>
      <c r="AS15" s="52"/>
      <c r="AT15" s="52"/>
      <c r="AU15" s="52"/>
      <c r="AV15" s="52"/>
      <c r="AW15" s="52"/>
      <c r="AX15" s="52"/>
      <c r="AY15" s="101"/>
      <c r="AZ15" s="52"/>
      <c r="BA15" s="52"/>
      <c r="BB15" s="52"/>
      <c r="BC15" s="52"/>
      <c r="BD15" s="52"/>
      <c r="BE15" s="52"/>
      <c r="BF15" s="52"/>
      <c r="BG15" s="52"/>
      <c r="BH15" s="52"/>
      <c r="BI15" s="52"/>
      <c r="BJ15" s="52"/>
      <c r="BK15" s="52"/>
      <c r="BL15" s="52">
        <v>162622</v>
      </c>
      <c r="BM15" s="52"/>
      <c r="BN15" s="52"/>
      <c r="BO15" s="52"/>
      <c r="BP15" s="52"/>
      <c r="BQ15" s="52"/>
      <c r="BR15" s="52"/>
      <c r="BS15" s="52"/>
      <c r="BT15" s="52"/>
      <c r="BU15" s="52"/>
      <c r="BV15" s="52"/>
      <c r="BW15" s="52"/>
      <c r="BX15" s="52"/>
      <c r="BY15" s="52"/>
      <c r="BZ15" s="52"/>
      <c r="CA15" s="52"/>
      <c r="CB15" s="52"/>
      <c r="CC15" s="52">
        <v>2395955</v>
      </c>
      <c r="CD15" s="52"/>
      <c r="CE15" s="52"/>
      <c r="CF15" s="52"/>
      <c r="CG15" s="52"/>
      <c r="CH15" s="52"/>
      <c r="CI15" s="52"/>
      <c r="CJ15" s="52"/>
      <c r="CK15" s="52">
        <v>2896709</v>
      </c>
      <c r="CL15" s="52"/>
      <c r="CM15" s="52"/>
      <c r="CN15" s="52"/>
      <c r="CO15" s="52"/>
      <c r="CP15" s="52"/>
      <c r="CQ15" s="52"/>
      <c r="CR15" s="52"/>
      <c r="CS15" s="52"/>
      <c r="CT15" s="52"/>
      <c r="CU15" s="52"/>
      <c r="CV15" s="52"/>
      <c r="CW15" s="52"/>
      <c r="CX15" s="52"/>
      <c r="CY15" s="52"/>
      <c r="CZ15" s="52"/>
      <c r="DA15" s="52"/>
      <c r="DB15" s="52"/>
      <c r="DC15" s="52"/>
      <c r="DD15" s="52"/>
      <c r="DE15" s="52">
        <v>17090137</v>
      </c>
      <c r="DF15" s="52"/>
      <c r="DG15" s="52">
        <v>17090137</v>
      </c>
      <c r="DH15" s="52"/>
    </row>
    <row r="16" spans="1:113" ht="15">
      <c r="A16" s="150"/>
      <c r="C16" s="60" t="s">
        <v>413</v>
      </c>
      <c r="D16" s="61">
        <f>SUM(D9:D15)</f>
        <v>8559132</v>
      </c>
      <c r="E16" s="61">
        <f t="shared" ref="E16:BP16" si="0">SUM(E9:E15)</f>
        <v>65860292</v>
      </c>
      <c r="F16" s="61">
        <f t="shared" si="0"/>
        <v>4750574</v>
      </c>
      <c r="G16" s="61">
        <f t="shared" si="0"/>
        <v>449411</v>
      </c>
      <c r="H16" s="61">
        <f t="shared" si="0"/>
        <v>20113104</v>
      </c>
      <c r="I16" s="61">
        <f t="shared" si="0"/>
        <v>8807525</v>
      </c>
      <c r="J16" s="61">
        <f t="shared" si="0"/>
        <v>5877281</v>
      </c>
      <c r="K16" s="61">
        <f t="shared" si="0"/>
        <v>13335488</v>
      </c>
      <c r="L16" s="61">
        <f t="shared" si="0"/>
        <v>39843841</v>
      </c>
      <c r="M16" s="61">
        <f t="shared" si="0"/>
        <v>900994</v>
      </c>
      <c r="N16" s="61">
        <f t="shared" si="0"/>
        <v>2330263</v>
      </c>
      <c r="O16" s="61">
        <f t="shared" si="0"/>
        <v>3518785</v>
      </c>
      <c r="P16" s="61">
        <f t="shared" si="0"/>
        <v>2915786</v>
      </c>
      <c r="Q16" s="61">
        <f t="shared" si="0"/>
        <v>1968208</v>
      </c>
      <c r="R16" s="61">
        <f t="shared" si="0"/>
        <v>2010250</v>
      </c>
      <c r="S16" s="61">
        <f t="shared" si="0"/>
        <v>4983807</v>
      </c>
      <c r="T16" s="61">
        <f t="shared" si="0"/>
        <v>1119441</v>
      </c>
      <c r="U16" s="61">
        <f t="shared" si="0"/>
        <v>154584298</v>
      </c>
      <c r="V16" s="61">
        <f t="shared" si="0"/>
        <v>0</v>
      </c>
      <c r="W16" s="61">
        <f t="shared" si="0"/>
        <v>93057430</v>
      </c>
      <c r="X16" s="61">
        <f t="shared" si="0"/>
        <v>7644194</v>
      </c>
      <c r="Y16" s="61">
        <f t="shared" si="0"/>
        <v>244823966</v>
      </c>
      <c r="Z16" s="61">
        <f t="shared" si="0"/>
        <v>29396395</v>
      </c>
      <c r="AA16" s="61">
        <f t="shared" si="0"/>
        <v>17582936</v>
      </c>
      <c r="AB16" s="61">
        <f t="shared" si="0"/>
        <v>17372195</v>
      </c>
      <c r="AC16" s="61">
        <f t="shared" si="0"/>
        <v>3773023</v>
      </c>
      <c r="AD16" s="61">
        <f t="shared" si="0"/>
        <v>3977753</v>
      </c>
      <c r="AE16" s="61">
        <f t="shared" si="0"/>
        <v>2021288</v>
      </c>
      <c r="AF16" s="61">
        <f t="shared" si="0"/>
        <v>195242</v>
      </c>
      <c r="AG16" s="61">
        <f t="shared" si="0"/>
        <v>17327531</v>
      </c>
      <c r="AH16" s="61">
        <f t="shared" si="0"/>
        <v>34063638</v>
      </c>
      <c r="AI16" s="61">
        <f t="shared" si="0"/>
        <v>1226121</v>
      </c>
      <c r="AJ16" s="61">
        <f t="shared" si="0"/>
        <v>999670</v>
      </c>
      <c r="AK16" s="61">
        <f t="shared" si="0"/>
        <v>4551418</v>
      </c>
      <c r="AL16" s="61">
        <f t="shared" si="0"/>
        <v>2033758</v>
      </c>
      <c r="AM16" s="61">
        <f t="shared" si="0"/>
        <v>943311</v>
      </c>
      <c r="AN16" s="61">
        <f t="shared" si="0"/>
        <v>50532959</v>
      </c>
      <c r="AO16" s="61">
        <f t="shared" si="0"/>
        <v>10127575</v>
      </c>
      <c r="AP16" s="61">
        <f t="shared" si="0"/>
        <v>2977217</v>
      </c>
      <c r="AQ16" s="61">
        <f t="shared" si="0"/>
        <v>11010886</v>
      </c>
      <c r="AR16" s="61">
        <f t="shared" si="0"/>
        <v>21561976</v>
      </c>
      <c r="AS16" s="61">
        <f t="shared" si="0"/>
        <v>48138490</v>
      </c>
      <c r="AT16" s="61">
        <f t="shared" si="0"/>
        <v>2485214</v>
      </c>
      <c r="AU16" s="61">
        <f t="shared" si="0"/>
        <v>6656468</v>
      </c>
      <c r="AV16" s="61">
        <f t="shared" si="0"/>
        <v>3127103</v>
      </c>
      <c r="AW16" s="61">
        <f t="shared" si="0"/>
        <v>2936185</v>
      </c>
      <c r="AX16" s="61">
        <f t="shared" si="0"/>
        <v>54511854</v>
      </c>
      <c r="AY16" s="102">
        <f t="shared" si="0"/>
        <v>224395088</v>
      </c>
      <c r="AZ16" s="61">
        <f t="shared" si="0"/>
        <v>33364443</v>
      </c>
      <c r="BA16" s="61">
        <f t="shared" si="0"/>
        <v>2959381</v>
      </c>
      <c r="BB16" s="61">
        <f t="shared" si="0"/>
        <v>7445967</v>
      </c>
      <c r="BC16" s="61">
        <f t="shared" si="0"/>
        <v>1249430</v>
      </c>
      <c r="BD16" s="61">
        <f t="shared" si="0"/>
        <v>5143035</v>
      </c>
      <c r="BE16" s="61">
        <f t="shared" si="0"/>
        <v>3260318</v>
      </c>
      <c r="BF16" s="61">
        <f t="shared" si="0"/>
        <v>195069654</v>
      </c>
      <c r="BG16" s="61">
        <f t="shared" si="0"/>
        <v>9765295</v>
      </c>
      <c r="BH16" s="61">
        <f t="shared" si="0"/>
        <v>27354858</v>
      </c>
      <c r="BI16" s="61">
        <f t="shared" si="0"/>
        <v>29568703</v>
      </c>
      <c r="BJ16" s="61">
        <f t="shared" si="0"/>
        <v>12900743</v>
      </c>
      <c r="BK16" s="61">
        <f t="shared" si="0"/>
        <v>6895197</v>
      </c>
      <c r="BL16" s="61">
        <f t="shared" si="0"/>
        <v>5164938</v>
      </c>
      <c r="BM16" s="61">
        <f t="shared" si="0"/>
        <v>86156725</v>
      </c>
      <c r="BN16" s="61">
        <f t="shared" si="0"/>
        <v>29967456</v>
      </c>
      <c r="BO16" s="61">
        <f t="shared" si="0"/>
        <v>8918442</v>
      </c>
      <c r="BP16" s="61">
        <f t="shared" si="0"/>
        <v>6880449</v>
      </c>
      <c r="BQ16" s="61">
        <f t="shared" ref="BQ16:DG16" si="1">SUM(BQ9:BQ15)</f>
        <v>75636622</v>
      </c>
      <c r="BR16" s="61">
        <f t="shared" si="1"/>
        <v>5101238</v>
      </c>
      <c r="BS16" s="61">
        <f t="shared" si="1"/>
        <v>1045412</v>
      </c>
      <c r="BT16" s="61">
        <f t="shared" si="1"/>
        <v>4020799</v>
      </c>
      <c r="BU16" s="61">
        <f t="shared" si="1"/>
        <v>2591339</v>
      </c>
      <c r="BV16" s="61">
        <f t="shared" si="1"/>
        <v>1454959</v>
      </c>
      <c r="BW16" s="61">
        <f t="shared" si="1"/>
        <v>840693</v>
      </c>
      <c r="BX16" s="61">
        <f t="shared" si="1"/>
        <v>10169956</v>
      </c>
      <c r="BY16" s="61">
        <f t="shared" si="1"/>
        <v>22924393</v>
      </c>
      <c r="BZ16" s="61">
        <f t="shared" si="1"/>
        <v>56339739</v>
      </c>
      <c r="CA16" s="61">
        <f t="shared" si="1"/>
        <v>0</v>
      </c>
      <c r="CB16" s="61">
        <f t="shared" si="1"/>
        <v>11427967</v>
      </c>
      <c r="CC16" s="61">
        <f t="shared" si="1"/>
        <v>13121822</v>
      </c>
      <c r="CD16" s="61">
        <f t="shared" si="1"/>
        <v>27711290</v>
      </c>
      <c r="CE16" s="61">
        <f t="shared" si="1"/>
        <v>0</v>
      </c>
      <c r="CF16" s="61">
        <f t="shared" si="1"/>
        <v>42191578</v>
      </c>
      <c r="CG16" s="61">
        <f t="shared" si="1"/>
        <v>164316346</v>
      </c>
      <c r="CH16" s="61">
        <f t="shared" si="1"/>
        <v>100019776</v>
      </c>
      <c r="CI16" s="61">
        <f t="shared" si="1"/>
        <v>5417651</v>
      </c>
      <c r="CJ16" s="61">
        <f t="shared" si="1"/>
        <v>15002986</v>
      </c>
      <c r="CK16" s="61">
        <f t="shared" si="1"/>
        <v>22363100</v>
      </c>
      <c r="CL16" s="61">
        <f t="shared" si="1"/>
        <v>11903044</v>
      </c>
      <c r="CM16" s="61">
        <f t="shared" si="1"/>
        <v>6191332</v>
      </c>
      <c r="CN16" s="61">
        <f t="shared" si="1"/>
        <v>33690823</v>
      </c>
      <c r="CO16" s="61">
        <f t="shared" si="1"/>
        <v>36800714</v>
      </c>
      <c r="CP16" s="61">
        <f t="shared" si="1"/>
        <v>35461186</v>
      </c>
      <c r="CQ16" s="61">
        <f t="shared" si="1"/>
        <v>1223301</v>
      </c>
      <c r="CR16" s="61">
        <f t="shared" si="1"/>
        <v>1920418</v>
      </c>
      <c r="CS16" s="61">
        <f t="shared" si="1"/>
        <v>1742817</v>
      </c>
      <c r="CT16" s="61">
        <f t="shared" si="1"/>
        <v>18597292</v>
      </c>
      <c r="CU16" s="61">
        <f t="shared" si="1"/>
        <v>18715981</v>
      </c>
      <c r="CV16" s="61">
        <f t="shared" si="1"/>
        <v>0</v>
      </c>
      <c r="CW16" s="61">
        <f t="shared" si="1"/>
        <v>8171778</v>
      </c>
      <c r="CX16" s="61">
        <f t="shared" si="1"/>
        <v>10261716</v>
      </c>
      <c r="CY16" s="61">
        <f t="shared" si="1"/>
        <v>15443483</v>
      </c>
      <c r="CZ16" s="61">
        <f t="shared" si="1"/>
        <v>41336759</v>
      </c>
      <c r="DA16" s="61">
        <f t="shared" si="1"/>
        <v>61626855</v>
      </c>
      <c r="DB16" s="61">
        <f t="shared" si="1"/>
        <v>36676626</v>
      </c>
      <c r="DC16" s="61">
        <f t="shared" si="1"/>
        <v>0</v>
      </c>
      <c r="DD16" s="61">
        <f t="shared" si="1"/>
        <v>0</v>
      </c>
      <c r="DE16" s="61">
        <f t="shared" si="1"/>
        <v>2654906189</v>
      </c>
      <c r="DF16" s="61">
        <f t="shared" si="1"/>
        <v>0</v>
      </c>
      <c r="DG16" s="61">
        <f t="shared" si="1"/>
        <v>2654906189</v>
      </c>
      <c r="DH16" s="78">
        <v>0</v>
      </c>
      <c r="DI16" s="80">
        <f>DG16-DH16</f>
        <v>2654906189</v>
      </c>
    </row>
    <row r="17" spans="1:112">
      <c r="A17" s="150"/>
      <c r="D17" s="52"/>
      <c r="E17" s="52"/>
      <c r="F17" s="52"/>
      <c r="G17" s="52"/>
      <c r="H17" s="56"/>
      <c r="I17" s="56"/>
      <c r="J17" s="56"/>
      <c r="K17" s="56"/>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101"/>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row>
    <row r="18" spans="1:112">
      <c r="A18" s="150"/>
      <c r="C18" s="44" t="s">
        <v>569</v>
      </c>
      <c r="D18" s="52"/>
      <c r="E18" s="52"/>
      <c r="F18" s="52"/>
      <c r="G18" s="52"/>
      <c r="H18" s="56"/>
      <c r="I18" s="56"/>
      <c r="J18" s="56"/>
      <c r="K18" s="56"/>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78">
        <f>'5-Charters'!H107</f>
        <v>0</v>
      </c>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row>
    <row r="19" spans="1:112" ht="12">
      <c r="A19" s="150"/>
      <c r="C19" s="44" t="s">
        <v>570</v>
      </c>
      <c r="D19" s="52"/>
      <c r="E19" s="52"/>
      <c r="F19" s="52"/>
      <c r="G19" s="52"/>
      <c r="H19" s="56"/>
      <c r="I19" s="56"/>
      <c r="J19" s="56"/>
      <c r="K19" s="56"/>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103">
        <f>AY16-AY18</f>
        <v>224395088</v>
      </c>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row>
    <row r="20" spans="1:112">
      <c r="A20" s="150"/>
      <c r="D20" s="52"/>
      <c r="E20" s="52"/>
      <c r="F20" s="52"/>
      <c r="G20" s="52"/>
      <c r="H20" s="56"/>
      <c r="I20" s="56"/>
      <c r="J20" s="56"/>
      <c r="K20" s="56"/>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101"/>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row>
    <row r="21" spans="1:112">
      <c r="A21" s="150"/>
      <c r="D21" s="52"/>
      <c r="E21" s="52"/>
      <c r="F21" s="52"/>
      <c r="G21" s="52"/>
      <c r="H21" s="56"/>
      <c r="I21" s="56"/>
      <c r="J21" s="56"/>
      <c r="K21" s="56"/>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101"/>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row>
    <row r="22" spans="1:112">
      <c r="A22" s="150" t="s">
        <v>410</v>
      </c>
      <c r="B22" s="44">
        <v>1310</v>
      </c>
      <c r="C22" s="44" t="s">
        <v>53</v>
      </c>
      <c r="D22" s="52">
        <v>4600</v>
      </c>
      <c r="E22" s="52">
        <v>19069</v>
      </c>
      <c r="F22" s="52"/>
      <c r="G22" s="52"/>
      <c r="H22" s="56">
        <v>29796</v>
      </c>
      <c r="I22" s="56">
        <v>13270</v>
      </c>
      <c r="J22" s="56">
        <v>6586</v>
      </c>
      <c r="K22" s="56">
        <v>9507</v>
      </c>
      <c r="L22" s="52"/>
      <c r="M22" s="52"/>
      <c r="N22" s="52"/>
      <c r="O22" s="52">
        <v>44039</v>
      </c>
      <c r="P22" s="52"/>
      <c r="Q22" s="52"/>
      <c r="R22" s="52"/>
      <c r="S22" s="52"/>
      <c r="T22" s="52"/>
      <c r="U22" s="52">
        <v>40379</v>
      </c>
      <c r="V22" s="52"/>
      <c r="W22" s="52">
        <v>2424119</v>
      </c>
      <c r="X22" s="52"/>
      <c r="Y22" s="52">
        <v>29275</v>
      </c>
      <c r="Z22" s="52"/>
      <c r="AA22" s="52">
        <v>1517</v>
      </c>
      <c r="AB22" s="52">
        <v>61794</v>
      </c>
      <c r="AC22" s="52"/>
      <c r="AD22" s="52">
        <v>6214</v>
      </c>
      <c r="AE22" s="52">
        <v>100565</v>
      </c>
      <c r="AF22" s="52">
        <v>4201</v>
      </c>
      <c r="AG22" s="52"/>
      <c r="AH22" s="52"/>
      <c r="AI22" s="52"/>
      <c r="AJ22" s="52"/>
      <c r="AK22" s="52"/>
      <c r="AL22" s="52"/>
      <c r="AM22" s="52"/>
      <c r="AN22" s="52"/>
      <c r="AO22" s="52"/>
      <c r="AP22" s="52">
        <v>7752</v>
      </c>
      <c r="AQ22" s="52">
        <v>11617</v>
      </c>
      <c r="AR22" s="52">
        <v>1068</v>
      </c>
      <c r="AS22" s="52">
        <v>102253</v>
      </c>
      <c r="AT22" s="52"/>
      <c r="AU22" s="52">
        <v>7970</v>
      </c>
      <c r="AV22" s="52"/>
      <c r="AW22" s="52">
        <v>55215</v>
      </c>
      <c r="AX22" s="52">
        <v>25358</v>
      </c>
      <c r="AY22" s="101">
        <v>495128</v>
      </c>
      <c r="AZ22" s="52">
        <v>5400</v>
      </c>
      <c r="BA22" s="52">
        <v>7750</v>
      </c>
      <c r="BB22" s="52">
        <v>9080</v>
      </c>
      <c r="BC22" s="52"/>
      <c r="BD22" s="52">
        <v>28003</v>
      </c>
      <c r="BE22" s="52"/>
      <c r="BF22" s="52">
        <v>59417</v>
      </c>
      <c r="BG22" s="52"/>
      <c r="BH22" s="52"/>
      <c r="BI22" s="52">
        <v>37589</v>
      </c>
      <c r="BJ22" s="52"/>
      <c r="BK22" s="52">
        <v>4776</v>
      </c>
      <c r="BL22" s="52"/>
      <c r="BM22" s="52">
        <v>33968</v>
      </c>
      <c r="BN22" s="52">
        <v>33500</v>
      </c>
      <c r="BO22" s="52">
        <v>83297</v>
      </c>
      <c r="BP22" s="52">
        <v>36675</v>
      </c>
      <c r="BQ22" s="52">
        <v>287505</v>
      </c>
      <c r="BR22" s="52"/>
      <c r="BS22" s="52"/>
      <c r="BT22" s="52"/>
      <c r="BU22" s="52">
        <v>16296</v>
      </c>
      <c r="BV22" s="52"/>
      <c r="BW22" s="52">
        <v>35090</v>
      </c>
      <c r="BX22" s="52"/>
      <c r="BY22" s="52">
        <v>1700</v>
      </c>
      <c r="BZ22" s="52">
        <v>103074</v>
      </c>
      <c r="CA22" s="52"/>
      <c r="CB22" s="52"/>
      <c r="CC22" s="52">
        <v>25225</v>
      </c>
      <c r="CD22" s="52">
        <v>77335</v>
      </c>
      <c r="CE22" s="52"/>
      <c r="CF22" s="52">
        <v>240398</v>
      </c>
      <c r="CG22" s="52">
        <v>72550</v>
      </c>
      <c r="CH22" s="52">
        <v>90318</v>
      </c>
      <c r="CI22" s="52"/>
      <c r="CJ22" s="52">
        <v>5112</v>
      </c>
      <c r="CK22" s="52">
        <v>6335</v>
      </c>
      <c r="CL22" s="52">
        <v>42214</v>
      </c>
      <c r="CM22" s="52">
        <v>3550</v>
      </c>
      <c r="CN22" s="52">
        <v>3815</v>
      </c>
      <c r="CO22" s="52">
        <v>29962</v>
      </c>
      <c r="CP22" s="52">
        <v>47447</v>
      </c>
      <c r="CQ22" s="52"/>
      <c r="CR22" s="52"/>
      <c r="CS22" s="52"/>
      <c r="CT22" s="52">
        <v>1139</v>
      </c>
      <c r="CU22" s="52">
        <v>551267</v>
      </c>
      <c r="CV22" s="52"/>
      <c r="CW22" s="52"/>
      <c r="CX22" s="52"/>
      <c r="CY22" s="52"/>
      <c r="CZ22" s="52">
        <v>6218</v>
      </c>
      <c r="DA22" s="52">
        <v>280631</v>
      </c>
      <c r="DB22" s="52">
        <v>139833</v>
      </c>
      <c r="DC22" s="52"/>
      <c r="DD22" s="52"/>
      <c r="DE22" s="52">
        <v>5907761</v>
      </c>
      <c r="DF22" s="52"/>
      <c r="DG22" s="52">
        <v>5907761</v>
      </c>
      <c r="DH22" s="52"/>
    </row>
    <row r="23" spans="1:112">
      <c r="A23" s="150" t="s">
        <v>410</v>
      </c>
      <c r="B23" s="44">
        <v>1320</v>
      </c>
      <c r="C23" s="44" t="s">
        <v>54</v>
      </c>
      <c r="D23" s="52"/>
      <c r="E23" s="52">
        <v>12820</v>
      </c>
      <c r="F23" s="52">
        <v>47341</v>
      </c>
      <c r="G23" s="52"/>
      <c r="H23" s="56">
        <v>17317</v>
      </c>
      <c r="I23" s="56"/>
      <c r="J23" s="56"/>
      <c r="K23" s="56"/>
      <c r="L23" s="52">
        <v>76940</v>
      </c>
      <c r="M23" s="52"/>
      <c r="N23" s="52">
        <v>1221292</v>
      </c>
      <c r="O23" s="52"/>
      <c r="P23" s="52"/>
      <c r="Q23" s="52"/>
      <c r="R23" s="52"/>
      <c r="S23" s="52">
        <v>90802</v>
      </c>
      <c r="T23" s="52">
        <v>181167</v>
      </c>
      <c r="U23" s="52"/>
      <c r="V23" s="52">
        <v>2431388</v>
      </c>
      <c r="W23" s="52">
        <v>56192</v>
      </c>
      <c r="X23" s="52"/>
      <c r="Y23" s="52"/>
      <c r="Z23" s="52"/>
      <c r="AA23" s="52">
        <v>50000</v>
      </c>
      <c r="AB23" s="52">
        <v>16318</v>
      </c>
      <c r="AC23" s="52"/>
      <c r="AD23" s="52"/>
      <c r="AE23" s="52"/>
      <c r="AF23" s="52">
        <v>750617</v>
      </c>
      <c r="AG23" s="52">
        <v>11183</v>
      </c>
      <c r="AH23" s="52"/>
      <c r="AI23" s="52"/>
      <c r="AJ23" s="52"/>
      <c r="AK23" s="52"/>
      <c r="AL23" s="52"/>
      <c r="AM23" s="52"/>
      <c r="AN23" s="52"/>
      <c r="AO23" s="52">
        <v>14134</v>
      </c>
      <c r="AP23" s="52"/>
      <c r="AQ23" s="52"/>
      <c r="AR23" s="52"/>
      <c r="AS23" s="52">
        <v>78083</v>
      </c>
      <c r="AT23" s="52"/>
      <c r="AU23" s="52">
        <v>11617</v>
      </c>
      <c r="AV23" s="52">
        <v>3122</v>
      </c>
      <c r="AW23" s="52"/>
      <c r="AX23" s="52"/>
      <c r="AY23" s="101"/>
      <c r="AZ23" s="52"/>
      <c r="BA23" s="52"/>
      <c r="BB23" s="52"/>
      <c r="BC23" s="52"/>
      <c r="BD23" s="52"/>
      <c r="BE23" s="52"/>
      <c r="BF23" s="52"/>
      <c r="BG23" s="52"/>
      <c r="BH23" s="52">
        <v>24318</v>
      </c>
      <c r="BI23" s="52">
        <v>21353</v>
      </c>
      <c r="BJ23" s="52"/>
      <c r="BK23" s="52">
        <v>5787</v>
      </c>
      <c r="BL23" s="52"/>
      <c r="BM23" s="52">
        <v>197914</v>
      </c>
      <c r="BN23" s="52">
        <v>668225</v>
      </c>
      <c r="BO23" s="52"/>
      <c r="BP23" s="52"/>
      <c r="BQ23" s="52"/>
      <c r="BR23" s="52"/>
      <c r="BS23" s="52">
        <v>375077</v>
      </c>
      <c r="BT23" s="52"/>
      <c r="BU23" s="52"/>
      <c r="BV23" s="52"/>
      <c r="BW23" s="52">
        <v>329502</v>
      </c>
      <c r="BX23" s="52"/>
      <c r="BY23" s="52">
        <v>13989</v>
      </c>
      <c r="BZ23" s="52">
        <v>21750</v>
      </c>
      <c r="CA23" s="52"/>
      <c r="CB23" s="52"/>
      <c r="CC23" s="52">
        <v>6195</v>
      </c>
      <c r="CD23" s="52">
        <v>24622</v>
      </c>
      <c r="CE23" s="52">
        <v>759620</v>
      </c>
      <c r="CF23" s="52">
        <v>63211</v>
      </c>
      <c r="CG23" s="52">
        <v>396184</v>
      </c>
      <c r="CH23" s="52">
        <v>882</v>
      </c>
      <c r="CI23" s="52"/>
      <c r="CJ23" s="52"/>
      <c r="CK23" s="52">
        <v>81313</v>
      </c>
      <c r="CL23" s="52"/>
      <c r="CM23" s="52"/>
      <c r="CN23" s="52"/>
      <c r="CO23" s="52">
        <v>31574</v>
      </c>
      <c r="CP23" s="52">
        <v>663166</v>
      </c>
      <c r="CQ23" s="52">
        <v>407619</v>
      </c>
      <c r="CR23" s="52">
        <v>619986</v>
      </c>
      <c r="CS23" s="52">
        <v>544539</v>
      </c>
      <c r="CT23" s="52">
        <v>995368</v>
      </c>
      <c r="CU23" s="52"/>
      <c r="CV23" s="52"/>
      <c r="CW23" s="52"/>
      <c r="CX23" s="52">
        <v>22786</v>
      </c>
      <c r="CY23" s="52"/>
      <c r="CZ23" s="52"/>
      <c r="DA23" s="52">
        <v>15962</v>
      </c>
      <c r="DB23" s="52"/>
      <c r="DC23" s="52"/>
      <c r="DD23" s="52"/>
      <c r="DE23" s="52">
        <v>11361275</v>
      </c>
      <c r="DF23" s="52"/>
      <c r="DG23" s="52">
        <v>11361275</v>
      </c>
      <c r="DH23" s="52"/>
    </row>
    <row r="24" spans="1:112">
      <c r="A24" s="150" t="s">
        <v>410</v>
      </c>
      <c r="B24" s="44">
        <v>1350</v>
      </c>
      <c r="C24" s="44" t="s">
        <v>57</v>
      </c>
      <c r="D24" s="52">
        <v>2400</v>
      </c>
      <c r="E24" s="52"/>
      <c r="F24" s="52"/>
      <c r="G24" s="52"/>
      <c r="H24" s="56">
        <v>52183</v>
      </c>
      <c r="I24" s="56">
        <v>16242</v>
      </c>
      <c r="J24" s="56">
        <v>7992</v>
      </c>
      <c r="K24" s="56"/>
      <c r="L24" s="52"/>
      <c r="M24" s="52"/>
      <c r="N24" s="52"/>
      <c r="O24" s="52"/>
      <c r="P24" s="52">
        <v>250</v>
      </c>
      <c r="Q24" s="52"/>
      <c r="R24" s="52"/>
      <c r="S24" s="52">
        <v>29544</v>
      </c>
      <c r="T24" s="52"/>
      <c r="U24" s="52"/>
      <c r="V24" s="52">
        <v>780636</v>
      </c>
      <c r="W24" s="52"/>
      <c r="X24" s="52"/>
      <c r="Y24" s="52"/>
      <c r="Z24" s="52">
        <v>22803</v>
      </c>
      <c r="AA24" s="52"/>
      <c r="AB24" s="52">
        <v>18050</v>
      </c>
      <c r="AC24" s="52"/>
      <c r="AD24" s="52"/>
      <c r="AE24" s="52"/>
      <c r="AF24" s="52"/>
      <c r="AG24" s="52"/>
      <c r="AH24" s="52"/>
      <c r="AI24" s="52"/>
      <c r="AJ24" s="52">
        <v>900</v>
      </c>
      <c r="AK24" s="52">
        <v>5150</v>
      </c>
      <c r="AL24" s="52"/>
      <c r="AM24" s="52"/>
      <c r="AN24" s="52">
        <v>184486</v>
      </c>
      <c r="AO24" s="52">
        <v>12995</v>
      </c>
      <c r="AP24" s="52">
        <v>2925</v>
      </c>
      <c r="AQ24" s="52"/>
      <c r="AR24" s="52"/>
      <c r="AS24" s="52"/>
      <c r="AT24" s="52"/>
      <c r="AU24" s="52"/>
      <c r="AV24" s="52">
        <v>460</v>
      </c>
      <c r="AW24" s="52"/>
      <c r="AX24" s="52">
        <v>20638</v>
      </c>
      <c r="AY24" s="101">
        <v>278417</v>
      </c>
      <c r="AZ24" s="52"/>
      <c r="BA24" s="52">
        <v>7390</v>
      </c>
      <c r="BB24" s="52">
        <v>200</v>
      </c>
      <c r="BC24" s="52"/>
      <c r="BD24" s="52"/>
      <c r="BE24" s="52"/>
      <c r="BF24" s="52">
        <v>147814</v>
      </c>
      <c r="BG24" s="52">
        <v>8294</v>
      </c>
      <c r="BH24" s="52"/>
      <c r="BI24" s="52">
        <v>11420</v>
      </c>
      <c r="BJ24" s="52"/>
      <c r="BK24" s="52"/>
      <c r="BL24" s="52">
        <v>11980</v>
      </c>
      <c r="BM24" s="52"/>
      <c r="BN24" s="52">
        <v>38629</v>
      </c>
      <c r="BO24" s="52"/>
      <c r="BP24" s="52"/>
      <c r="BQ24" s="52">
        <v>75910</v>
      </c>
      <c r="BR24" s="52"/>
      <c r="BS24" s="52"/>
      <c r="BT24" s="52">
        <v>15033</v>
      </c>
      <c r="BU24" s="52">
        <v>3040</v>
      </c>
      <c r="BV24" s="52"/>
      <c r="BW24" s="52"/>
      <c r="BX24" s="52"/>
      <c r="BY24" s="52">
        <v>6250</v>
      </c>
      <c r="BZ24" s="52">
        <v>75695</v>
      </c>
      <c r="CA24" s="52"/>
      <c r="CB24" s="52">
        <v>74383</v>
      </c>
      <c r="CC24" s="52">
        <v>33386</v>
      </c>
      <c r="CD24" s="52">
        <v>16724</v>
      </c>
      <c r="CE24" s="52"/>
      <c r="CF24" s="52">
        <v>45210</v>
      </c>
      <c r="CG24" s="52">
        <v>61125</v>
      </c>
      <c r="CH24" s="52">
        <v>90223</v>
      </c>
      <c r="CI24" s="52"/>
      <c r="CJ24" s="52">
        <v>3400</v>
      </c>
      <c r="CK24" s="52">
        <v>3050</v>
      </c>
      <c r="CL24" s="52"/>
      <c r="CM24" s="52"/>
      <c r="CN24" s="52">
        <v>3575</v>
      </c>
      <c r="CO24" s="52">
        <v>1000</v>
      </c>
      <c r="CP24" s="52">
        <v>22365</v>
      </c>
      <c r="CQ24" s="52"/>
      <c r="CR24" s="52"/>
      <c r="CS24" s="52"/>
      <c r="CT24" s="52">
        <v>6942</v>
      </c>
      <c r="CU24" s="52">
        <v>11978</v>
      </c>
      <c r="CV24" s="52"/>
      <c r="CW24" s="52"/>
      <c r="CX24" s="52"/>
      <c r="CY24" s="52"/>
      <c r="CZ24" s="52"/>
      <c r="DA24" s="52">
        <v>123250</v>
      </c>
      <c r="DB24" s="52">
        <v>20749</v>
      </c>
      <c r="DC24" s="52"/>
      <c r="DD24" s="52"/>
      <c r="DE24" s="52">
        <v>2355086</v>
      </c>
      <c r="DF24" s="52"/>
      <c r="DG24" s="52">
        <v>2355086</v>
      </c>
      <c r="DH24" s="52"/>
    </row>
    <row r="25" spans="1:112">
      <c r="A25" s="150" t="s">
        <v>410</v>
      </c>
      <c r="B25" s="44">
        <v>1360</v>
      </c>
      <c r="C25" s="44" t="s">
        <v>58</v>
      </c>
      <c r="D25" s="52"/>
      <c r="E25" s="52"/>
      <c r="F25" s="52"/>
      <c r="G25" s="52"/>
      <c r="H25" s="56"/>
      <c r="I25" s="56"/>
      <c r="J25" s="56"/>
      <c r="K25" s="56"/>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101"/>
      <c r="AZ25" s="52"/>
      <c r="BA25" s="52"/>
      <c r="BB25" s="52"/>
      <c r="BC25" s="52"/>
      <c r="BD25" s="52"/>
      <c r="BE25" s="52"/>
      <c r="BF25" s="52">
        <v>400</v>
      </c>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v>104200</v>
      </c>
      <c r="CI25" s="52"/>
      <c r="CJ25" s="52"/>
      <c r="CK25" s="52"/>
      <c r="CL25" s="52"/>
      <c r="CM25" s="52"/>
      <c r="CN25" s="52"/>
      <c r="CO25" s="52"/>
      <c r="CP25" s="52"/>
      <c r="CQ25" s="52"/>
      <c r="CR25" s="52"/>
      <c r="CS25" s="52"/>
      <c r="CT25" s="52"/>
      <c r="CU25" s="52"/>
      <c r="CV25" s="52"/>
      <c r="CW25" s="52"/>
      <c r="CX25" s="52"/>
      <c r="CY25" s="52"/>
      <c r="CZ25" s="52"/>
      <c r="DA25" s="52"/>
      <c r="DB25" s="52"/>
      <c r="DC25" s="52"/>
      <c r="DD25" s="52"/>
      <c r="DE25" s="52">
        <v>104600</v>
      </c>
      <c r="DF25" s="52"/>
      <c r="DG25" s="52">
        <v>104600</v>
      </c>
      <c r="DH25" s="52"/>
    </row>
    <row r="26" spans="1:112">
      <c r="A26" s="150" t="s">
        <v>410</v>
      </c>
      <c r="B26" s="44">
        <v>1410</v>
      </c>
      <c r="C26" s="44" t="s">
        <v>53</v>
      </c>
      <c r="D26" s="52"/>
      <c r="E26" s="52"/>
      <c r="F26" s="52"/>
      <c r="G26" s="52"/>
      <c r="H26" s="56">
        <v>107802</v>
      </c>
      <c r="I26" s="56"/>
      <c r="J26" s="56"/>
      <c r="K26" s="56"/>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101"/>
      <c r="AZ26" s="52"/>
      <c r="BA26" s="52"/>
      <c r="BB26" s="52"/>
      <c r="BC26" s="52"/>
      <c r="BD26" s="52"/>
      <c r="BE26" s="52"/>
      <c r="BF26" s="52"/>
      <c r="BG26" s="52"/>
      <c r="BH26" s="52"/>
      <c r="BI26" s="52"/>
      <c r="BJ26" s="52">
        <v>40077</v>
      </c>
      <c r="BK26" s="52"/>
      <c r="BL26" s="52"/>
      <c r="BM26" s="52"/>
      <c r="BN26" s="52"/>
      <c r="BO26" s="52"/>
      <c r="BP26" s="52"/>
      <c r="BQ26" s="52"/>
      <c r="BR26" s="52"/>
      <c r="BS26" s="52"/>
      <c r="BT26" s="52"/>
      <c r="BU26" s="52"/>
      <c r="BV26" s="52">
        <v>3750</v>
      </c>
      <c r="BW26" s="52"/>
      <c r="BX26" s="52"/>
      <c r="BY26" s="52"/>
      <c r="BZ26" s="52">
        <v>157696</v>
      </c>
      <c r="CA26" s="52"/>
      <c r="CB26" s="52"/>
      <c r="CC26" s="52"/>
      <c r="CD26" s="52"/>
      <c r="CE26" s="52"/>
      <c r="CF26" s="52"/>
      <c r="CG26" s="52">
        <v>85349</v>
      </c>
      <c r="CH26" s="52"/>
      <c r="CI26" s="52"/>
      <c r="CJ26" s="52"/>
      <c r="CK26" s="52"/>
      <c r="CL26" s="52"/>
      <c r="CM26" s="52"/>
      <c r="CN26" s="52"/>
      <c r="CO26" s="52">
        <v>105</v>
      </c>
      <c r="CP26" s="52"/>
      <c r="CQ26" s="52"/>
      <c r="CR26" s="52"/>
      <c r="CS26" s="52"/>
      <c r="CT26" s="52"/>
      <c r="CU26" s="52"/>
      <c r="CV26" s="52"/>
      <c r="CW26" s="52"/>
      <c r="CX26" s="52"/>
      <c r="CY26" s="52"/>
      <c r="CZ26" s="52"/>
      <c r="DA26" s="52"/>
      <c r="DB26" s="52"/>
      <c r="DC26" s="52"/>
      <c r="DD26" s="52"/>
      <c r="DE26" s="52">
        <v>394779</v>
      </c>
      <c r="DF26" s="52"/>
      <c r="DG26" s="52">
        <v>394779</v>
      </c>
      <c r="DH26" s="52"/>
    </row>
    <row r="27" spans="1:112">
      <c r="A27" s="150" t="s">
        <v>410</v>
      </c>
      <c r="B27" s="44">
        <v>1415</v>
      </c>
      <c r="C27" s="44" t="s">
        <v>60</v>
      </c>
      <c r="D27" s="52"/>
      <c r="E27" s="52"/>
      <c r="F27" s="52"/>
      <c r="G27" s="52"/>
      <c r="H27" s="56">
        <v>28632</v>
      </c>
      <c r="I27" s="56"/>
      <c r="J27" s="56"/>
      <c r="K27" s="56"/>
      <c r="L27" s="52"/>
      <c r="M27" s="52"/>
      <c r="N27" s="52"/>
      <c r="O27" s="52"/>
      <c r="P27" s="52"/>
      <c r="Q27" s="52"/>
      <c r="R27" s="52"/>
      <c r="S27" s="52">
        <v>14420</v>
      </c>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101"/>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v>43052</v>
      </c>
      <c r="DF27" s="52"/>
      <c r="DG27" s="52">
        <v>43052</v>
      </c>
      <c r="DH27" s="52"/>
    </row>
    <row r="28" spans="1:112">
      <c r="A28" s="150" t="s">
        <v>410</v>
      </c>
      <c r="B28" s="44">
        <v>1420</v>
      </c>
      <c r="C28" s="44" t="s">
        <v>61</v>
      </c>
      <c r="D28" s="52"/>
      <c r="E28" s="52"/>
      <c r="F28" s="52"/>
      <c r="G28" s="52"/>
      <c r="H28" s="56"/>
      <c r="I28" s="56"/>
      <c r="J28" s="56"/>
      <c r="K28" s="56"/>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101"/>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row>
    <row r="29" spans="1:112">
      <c r="A29" s="150" t="s">
        <v>410</v>
      </c>
      <c r="B29" s="44">
        <v>1425</v>
      </c>
      <c r="C29" s="44" t="s">
        <v>58</v>
      </c>
      <c r="D29" s="52"/>
      <c r="E29" s="52"/>
      <c r="F29" s="52"/>
      <c r="G29" s="52"/>
      <c r="H29" s="56"/>
      <c r="I29" s="56"/>
      <c r="J29" s="56"/>
      <c r="K29" s="56"/>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101"/>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row>
    <row r="30" spans="1:112">
      <c r="A30" s="150" t="s">
        <v>410</v>
      </c>
      <c r="B30" s="44">
        <v>1510</v>
      </c>
      <c r="C30" s="44" t="s">
        <v>63</v>
      </c>
      <c r="D30" s="52">
        <v>134656</v>
      </c>
      <c r="E30" s="52">
        <v>1019518</v>
      </c>
      <c r="F30" s="52">
        <v>26508</v>
      </c>
      <c r="G30" s="52">
        <v>14227</v>
      </c>
      <c r="H30" s="56">
        <v>382520</v>
      </c>
      <c r="I30" s="56">
        <v>175851</v>
      </c>
      <c r="J30" s="56">
        <v>593746</v>
      </c>
      <c r="K30" s="56">
        <v>1393711</v>
      </c>
      <c r="L30" s="52">
        <v>995816</v>
      </c>
      <c r="M30" s="52">
        <v>24583</v>
      </c>
      <c r="N30" s="52">
        <v>101910</v>
      </c>
      <c r="O30" s="52">
        <v>86610</v>
      </c>
      <c r="P30" s="52">
        <v>31703</v>
      </c>
      <c r="Q30" s="52">
        <v>33738</v>
      </c>
      <c r="R30" s="52">
        <v>51617</v>
      </c>
      <c r="S30" s="52">
        <v>283442</v>
      </c>
      <c r="T30" s="52">
        <v>3750</v>
      </c>
      <c r="U30" s="52">
        <v>6091855</v>
      </c>
      <c r="V30" s="52">
        <v>17315</v>
      </c>
      <c r="W30" s="52">
        <v>9966532</v>
      </c>
      <c r="X30" s="52">
        <v>1039571</v>
      </c>
      <c r="Y30" s="52">
        <v>31663984</v>
      </c>
      <c r="Z30" s="52">
        <v>2551948</v>
      </c>
      <c r="AA30" s="52">
        <v>657255</v>
      </c>
      <c r="AB30" s="52">
        <v>775806</v>
      </c>
      <c r="AC30" s="52">
        <v>480114</v>
      </c>
      <c r="AD30" s="52">
        <v>157046</v>
      </c>
      <c r="AE30" s="52">
        <v>95143</v>
      </c>
      <c r="AF30" s="52">
        <v>77</v>
      </c>
      <c r="AG30" s="52">
        <v>2944533</v>
      </c>
      <c r="AH30" s="52">
        <v>2511589</v>
      </c>
      <c r="AI30" s="52">
        <v>61978</v>
      </c>
      <c r="AJ30" s="52">
        <v>25012</v>
      </c>
      <c r="AK30" s="52">
        <v>213591</v>
      </c>
      <c r="AL30" s="52">
        <v>146640</v>
      </c>
      <c r="AM30" s="52">
        <v>10776</v>
      </c>
      <c r="AN30" s="52">
        <v>6061613</v>
      </c>
      <c r="AO30" s="52">
        <v>328116</v>
      </c>
      <c r="AP30" s="52">
        <v>70250</v>
      </c>
      <c r="AQ30" s="52">
        <v>263705</v>
      </c>
      <c r="AR30" s="52">
        <v>455917</v>
      </c>
      <c r="AS30" s="52">
        <v>2392922</v>
      </c>
      <c r="AT30" s="52">
        <v>22739</v>
      </c>
      <c r="AU30" s="52">
        <v>447808</v>
      </c>
      <c r="AV30" s="52">
        <v>65072</v>
      </c>
      <c r="AW30" s="52">
        <v>173768</v>
      </c>
      <c r="AX30" s="52">
        <v>1222449</v>
      </c>
      <c r="AY30" s="101">
        <v>26367262</v>
      </c>
      <c r="AZ30" s="52">
        <v>3868814</v>
      </c>
      <c r="BA30" s="52">
        <v>140798</v>
      </c>
      <c r="BB30" s="52">
        <v>148978</v>
      </c>
      <c r="BC30" s="52">
        <v>15150</v>
      </c>
      <c r="BD30" s="52">
        <v>78885</v>
      </c>
      <c r="BE30" s="52">
        <v>99706</v>
      </c>
      <c r="BF30" s="52">
        <v>9414516</v>
      </c>
      <c r="BG30" s="52">
        <v>858451</v>
      </c>
      <c r="BH30" s="52">
        <v>6396413</v>
      </c>
      <c r="BI30" s="52">
        <v>2710836</v>
      </c>
      <c r="BJ30" s="52">
        <v>891984</v>
      </c>
      <c r="BK30" s="52">
        <v>1098339</v>
      </c>
      <c r="BL30" s="52">
        <v>256399</v>
      </c>
      <c r="BM30" s="52">
        <v>8581616</v>
      </c>
      <c r="BN30" s="52">
        <v>1636238</v>
      </c>
      <c r="BO30" s="52">
        <v>159922</v>
      </c>
      <c r="BP30" s="52">
        <v>414131</v>
      </c>
      <c r="BQ30" s="52">
        <v>1932695</v>
      </c>
      <c r="BR30" s="52">
        <v>121817</v>
      </c>
      <c r="BS30" s="52">
        <v>88904</v>
      </c>
      <c r="BT30" s="52">
        <v>317612</v>
      </c>
      <c r="BU30" s="52">
        <v>295666</v>
      </c>
      <c r="BV30" s="52">
        <v>93279</v>
      </c>
      <c r="BW30" s="52">
        <v>50194</v>
      </c>
      <c r="BX30" s="52">
        <v>125350</v>
      </c>
      <c r="BY30" s="52">
        <v>3580991</v>
      </c>
      <c r="BZ30" s="52">
        <v>1454347</v>
      </c>
      <c r="CA30" s="52"/>
      <c r="CB30" s="52">
        <v>412277</v>
      </c>
      <c r="CC30" s="52">
        <v>386574</v>
      </c>
      <c r="CD30" s="52">
        <v>1137980</v>
      </c>
      <c r="CE30" s="52">
        <v>2297</v>
      </c>
      <c r="CF30" s="52">
        <v>9208926</v>
      </c>
      <c r="CG30" s="52">
        <v>7846289</v>
      </c>
      <c r="CH30" s="52">
        <v>5121247</v>
      </c>
      <c r="CI30" s="52">
        <v>159958</v>
      </c>
      <c r="CJ30" s="52">
        <v>1053150</v>
      </c>
      <c r="CK30" s="52">
        <v>1413118</v>
      </c>
      <c r="CL30" s="52">
        <v>802732</v>
      </c>
      <c r="CM30" s="52">
        <v>520570</v>
      </c>
      <c r="CN30" s="52">
        <v>3698436</v>
      </c>
      <c r="CO30" s="52">
        <v>1076282</v>
      </c>
      <c r="CP30" s="52">
        <v>1152244</v>
      </c>
      <c r="CQ30" s="52">
        <v>3680</v>
      </c>
      <c r="CR30" s="52">
        <v>21482</v>
      </c>
      <c r="CS30" s="52">
        <v>19850</v>
      </c>
      <c r="CT30" s="52">
        <v>2016865</v>
      </c>
      <c r="CU30" s="52">
        <v>1476955</v>
      </c>
      <c r="CV30" s="52"/>
      <c r="CW30" s="52">
        <v>1460897</v>
      </c>
      <c r="CX30" s="52">
        <v>721203</v>
      </c>
      <c r="CY30" s="52">
        <v>760084</v>
      </c>
      <c r="CZ30" s="52">
        <v>1333915</v>
      </c>
      <c r="DA30" s="52">
        <v>3715398</v>
      </c>
      <c r="DB30" s="52">
        <v>3658618</v>
      </c>
      <c r="DC30" s="52"/>
      <c r="DD30" s="52"/>
      <c r="DE30" s="52">
        <v>196649350</v>
      </c>
      <c r="DF30" s="52"/>
      <c r="DG30" s="52">
        <v>196649350</v>
      </c>
      <c r="DH30" s="52"/>
    </row>
    <row r="31" spans="1:112">
      <c r="A31" s="150" t="s">
        <v>410</v>
      </c>
      <c r="B31" s="44">
        <v>1520</v>
      </c>
      <c r="C31" s="44" t="s">
        <v>64</v>
      </c>
      <c r="D31" s="52"/>
      <c r="E31" s="52">
        <v>156526</v>
      </c>
      <c r="F31" s="52"/>
      <c r="G31" s="52"/>
      <c r="H31" s="56"/>
      <c r="I31" s="56"/>
      <c r="J31" s="56"/>
      <c r="K31" s="56"/>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101"/>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v>156526</v>
      </c>
      <c r="DF31" s="52"/>
      <c r="DG31" s="52">
        <v>156526</v>
      </c>
      <c r="DH31" s="52"/>
    </row>
    <row r="32" spans="1:112">
      <c r="A32" s="150" t="s">
        <v>410</v>
      </c>
      <c r="B32" s="44">
        <v>1530</v>
      </c>
      <c r="C32" s="44" t="s">
        <v>65</v>
      </c>
      <c r="D32" s="52"/>
      <c r="E32" s="52"/>
      <c r="F32" s="52"/>
      <c r="G32" s="52"/>
      <c r="H32" s="56"/>
      <c r="I32" s="56"/>
      <c r="J32" s="56"/>
      <c r="K32" s="56"/>
      <c r="L32" s="52"/>
      <c r="M32" s="52"/>
      <c r="N32" s="52"/>
      <c r="O32" s="52"/>
      <c r="P32" s="52"/>
      <c r="Q32" s="52"/>
      <c r="R32" s="52"/>
      <c r="S32" s="52"/>
      <c r="T32" s="52"/>
      <c r="U32" s="52"/>
      <c r="V32" s="52"/>
      <c r="W32" s="52"/>
      <c r="X32" s="52"/>
      <c r="Y32" s="52"/>
      <c r="Z32" s="52">
        <v>22159</v>
      </c>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101">
        <v>123830</v>
      </c>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v>31128</v>
      </c>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v>177117</v>
      </c>
      <c r="DF32" s="52"/>
      <c r="DG32" s="52">
        <v>177117</v>
      </c>
      <c r="DH32" s="52"/>
    </row>
    <row r="33" spans="1:112">
      <c r="A33" s="150" t="s">
        <v>410</v>
      </c>
      <c r="B33" s="44">
        <v>1610</v>
      </c>
      <c r="C33" s="44" t="s">
        <v>67</v>
      </c>
      <c r="D33" s="52">
        <v>246083</v>
      </c>
      <c r="E33" s="52">
        <v>1413480</v>
      </c>
      <c r="F33" s="52">
        <v>30345</v>
      </c>
      <c r="G33" s="52"/>
      <c r="H33" s="56">
        <v>852482</v>
      </c>
      <c r="I33" s="56">
        <v>366676</v>
      </c>
      <c r="J33" s="56">
        <v>201824</v>
      </c>
      <c r="K33" s="56">
        <v>286322</v>
      </c>
      <c r="L33" s="52">
        <v>873370</v>
      </c>
      <c r="M33" s="52">
        <v>11557</v>
      </c>
      <c r="N33" s="52"/>
      <c r="O33" s="52">
        <v>69734</v>
      </c>
      <c r="P33" s="52">
        <v>12316</v>
      </c>
      <c r="Q33" s="52">
        <v>24769</v>
      </c>
      <c r="R33" s="52">
        <v>62933</v>
      </c>
      <c r="S33" s="52">
        <v>100630</v>
      </c>
      <c r="T33" s="52"/>
      <c r="U33" s="52">
        <v>1239577</v>
      </c>
      <c r="V33" s="52"/>
      <c r="W33" s="52">
        <v>2238786</v>
      </c>
      <c r="X33" s="52">
        <v>48354</v>
      </c>
      <c r="Y33" s="52">
        <v>1844001</v>
      </c>
      <c r="Z33" s="52">
        <v>628479</v>
      </c>
      <c r="AA33" s="52">
        <v>232350</v>
      </c>
      <c r="AB33" s="52">
        <v>446789</v>
      </c>
      <c r="AC33" s="52">
        <v>39</v>
      </c>
      <c r="AD33" s="52">
        <v>82123</v>
      </c>
      <c r="AE33" s="52">
        <v>39445</v>
      </c>
      <c r="AF33" s="52"/>
      <c r="AG33" s="52">
        <v>188805</v>
      </c>
      <c r="AH33" s="52">
        <v>521901</v>
      </c>
      <c r="AI33" s="52"/>
      <c r="AJ33" s="52">
        <v>40199</v>
      </c>
      <c r="AK33" s="52">
        <v>97296</v>
      </c>
      <c r="AL33" s="52">
        <v>70674</v>
      </c>
      <c r="AM33" s="52"/>
      <c r="AN33" s="52">
        <v>1477132</v>
      </c>
      <c r="AO33" s="52">
        <v>75687</v>
      </c>
      <c r="AP33" s="52"/>
      <c r="AQ33" s="52">
        <v>218188</v>
      </c>
      <c r="AR33" s="52">
        <v>132328</v>
      </c>
      <c r="AS33" s="52">
        <v>1002764</v>
      </c>
      <c r="AT33" s="52">
        <v>73929</v>
      </c>
      <c r="AU33" s="52">
        <v>51994</v>
      </c>
      <c r="AV33" s="52">
        <v>9318</v>
      </c>
      <c r="AW33" s="52">
        <v>116700</v>
      </c>
      <c r="AX33" s="52">
        <v>589941</v>
      </c>
      <c r="AY33" s="101">
        <v>5450673</v>
      </c>
      <c r="AZ33" s="52">
        <v>471484</v>
      </c>
      <c r="BA33" s="52">
        <v>85914</v>
      </c>
      <c r="BB33" s="52">
        <v>169699</v>
      </c>
      <c r="BC33" s="52"/>
      <c r="BD33" s="52">
        <v>144530</v>
      </c>
      <c r="BE33" s="52">
        <v>16626</v>
      </c>
      <c r="BF33" s="52">
        <v>3925632</v>
      </c>
      <c r="BG33" s="52">
        <v>67003</v>
      </c>
      <c r="BH33" s="52">
        <v>1154336</v>
      </c>
      <c r="BI33" s="52">
        <v>776698</v>
      </c>
      <c r="BJ33" s="52">
        <v>432990</v>
      </c>
      <c r="BK33" s="52">
        <v>234124</v>
      </c>
      <c r="BL33" s="52">
        <v>31658</v>
      </c>
      <c r="BM33" s="52">
        <v>2337800</v>
      </c>
      <c r="BN33" s="52">
        <v>642393</v>
      </c>
      <c r="BO33" s="52">
        <v>205793</v>
      </c>
      <c r="BP33" s="52">
        <v>256088</v>
      </c>
      <c r="BQ33" s="52">
        <v>2293609</v>
      </c>
      <c r="BR33" s="52">
        <v>28336</v>
      </c>
      <c r="BS33" s="52"/>
      <c r="BT33" s="52">
        <v>47668</v>
      </c>
      <c r="BU33" s="52">
        <v>50276</v>
      </c>
      <c r="BV33" s="52">
        <v>12527</v>
      </c>
      <c r="BW33" s="52"/>
      <c r="BX33" s="52">
        <v>153858</v>
      </c>
      <c r="BY33" s="52">
        <v>532300</v>
      </c>
      <c r="BZ33" s="52">
        <v>1184438</v>
      </c>
      <c r="CA33" s="52"/>
      <c r="CB33" s="52">
        <v>70177</v>
      </c>
      <c r="CC33" s="52">
        <v>273553</v>
      </c>
      <c r="CD33" s="52">
        <v>183112</v>
      </c>
      <c r="CE33" s="52"/>
      <c r="CF33" s="52">
        <v>1576485</v>
      </c>
      <c r="CG33" s="52">
        <v>1135626</v>
      </c>
      <c r="CH33" s="52">
        <v>2203713</v>
      </c>
      <c r="CI33" s="52">
        <v>78426</v>
      </c>
      <c r="CJ33" s="52">
        <v>438070</v>
      </c>
      <c r="CK33" s="52">
        <v>955997</v>
      </c>
      <c r="CL33" s="52">
        <v>296238</v>
      </c>
      <c r="CM33" s="52">
        <v>305564</v>
      </c>
      <c r="CN33" s="52">
        <v>653776</v>
      </c>
      <c r="CO33" s="52">
        <v>732955</v>
      </c>
      <c r="CP33" s="52">
        <v>481303</v>
      </c>
      <c r="CQ33" s="52"/>
      <c r="CR33" s="52"/>
      <c r="CS33" s="52"/>
      <c r="CT33" s="52">
        <v>365772</v>
      </c>
      <c r="CU33" s="52">
        <v>379982</v>
      </c>
      <c r="CV33" s="52"/>
      <c r="CW33" s="52">
        <v>276492</v>
      </c>
      <c r="CX33" s="52">
        <v>80504</v>
      </c>
      <c r="CY33" s="52">
        <v>367069</v>
      </c>
      <c r="CZ33" s="52">
        <v>781941</v>
      </c>
      <c r="DA33" s="52">
        <v>1216703</v>
      </c>
      <c r="DB33" s="52">
        <v>1067064</v>
      </c>
      <c r="DC33" s="52"/>
      <c r="DD33" s="52"/>
      <c r="DE33" s="52">
        <v>50646295</v>
      </c>
      <c r="DF33" s="52"/>
      <c r="DG33" s="52">
        <v>50646295</v>
      </c>
      <c r="DH33" s="52"/>
    </row>
    <row r="34" spans="1:112">
      <c r="A34" s="150" t="s">
        <v>410</v>
      </c>
      <c r="B34" s="44">
        <v>1620</v>
      </c>
      <c r="C34" s="44" t="s">
        <v>68</v>
      </c>
      <c r="D34" s="52">
        <v>953</v>
      </c>
      <c r="E34" s="52">
        <v>6381</v>
      </c>
      <c r="F34" s="52"/>
      <c r="G34" s="52"/>
      <c r="H34" s="56">
        <v>86755</v>
      </c>
      <c r="I34" s="56">
        <v>24708</v>
      </c>
      <c r="J34" s="56"/>
      <c r="K34" s="56"/>
      <c r="L34" s="52">
        <v>4743</v>
      </c>
      <c r="M34" s="52"/>
      <c r="N34" s="52"/>
      <c r="O34" s="52">
        <v>11556</v>
      </c>
      <c r="P34" s="52">
        <v>3477</v>
      </c>
      <c r="Q34" s="52">
        <v>9875</v>
      </c>
      <c r="R34" s="52">
        <v>2866</v>
      </c>
      <c r="S34" s="52">
        <v>17387</v>
      </c>
      <c r="T34" s="52"/>
      <c r="U34" s="52">
        <v>79818</v>
      </c>
      <c r="V34" s="52"/>
      <c r="W34" s="52">
        <v>42732</v>
      </c>
      <c r="X34" s="52">
        <v>8161</v>
      </c>
      <c r="Y34" s="52">
        <v>80564</v>
      </c>
      <c r="Z34" s="52">
        <v>18927</v>
      </c>
      <c r="AA34" s="52">
        <v>59270</v>
      </c>
      <c r="AB34" s="52">
        <v>2</v>
      </c>
      <c r="AC34" s="52"/>
      <c r="AD34" s="52"/>
      <c r="AE34" s="52">
        <v>5024</v>
      </c>
      <c r="AF34" s="52"/>
      <c r="AG34" s="52">
        <v>1000</v>
      </c>
      <c r="AH34" s="52">
        <v>28881</v>
      </c>
      <c r="AI34" s="52"/>
      <c r="AJ34" s="52"/>
      <c r="AK34" s="52">
        <v>235</v>
      </c>
      <c r="AL34" s="52">
        <v>250</v>
      </c>
      <c r="AM34" s="52"/>
      <c r="AN34" s="52">
        <v>128196</v>
      </c>
      <c r="AO34" s="52"/>
      <c r="AP34" s="52"/>
      <c r="AQ34" s="52">
        <v>1575</v>
      </c>
      <c r="AR34" s="52"/>
      <c r="AS34" s="52">
        <v>15230</v>
      </c>
      <c r="AT34" s="52">
        <v>869</v>
      </c>
      <c r="AU34" s="52"/>
      <c r="AV34" s="52">
        <v>1258</v>
      </c>
      <c r="AW34" s="52">
        <v>18937</v>
      </c>
      <c r="AX34" s="52">
        <v>22260</v>
      </c>
      <c r="AY34" s="101">
        <v>342432</v>
      </c>
      <c r="AZ34" s="52">
        <v>26906</v>
      </c>
      <c r="BA34" s="52">
        <v>5244</v>
      </c>
      <c r="BB34" s="52">
        <v>14683</v>
      </c>
      <c r="BC34" s="52"/>
      <c r="BD34" s="52">
        <v>18499</v>
      </c>
      <c r="BE34" s="52">
        <v>7722</v>
      </c>
      <c r="BF34" s="52">
        <v>28367</v>
      </c>
      <c r="BG34" s="52">
        <v>2570</v>
      </c>
      <c r="BH34" s="52">
        <v>154734</v>
      </c>
      <c r="BI34" s="52">
        <v>81645</v>
      </c>
      <c r="BJ34" s="52">
        <v>291</v>
      </c>
      <c r="BK34" s="52">
        <v>1663</v>
      </c>
      <c r="BL34" s="52">
        <v>77</v>
      </c>
      <c r="BM34" s="52">
        <v>199816</v>
      </c>
      <c r="BN34" s="52">
        <v>66419</v>
      </c>
      <c r="BO34" s="52">
        <v>5050</v>
      </c>
      <c r="BP34" s="52">
        <v>2974</v>
      </c>
      <c r="BQ34" s="52">
        <v>117514</v>
      </c>
      <c r="BR34" s="52">
        <v>7293</v>
      </c>
      <c r="BS34" s="52"/>
      <c r="BT34" s="52">
        <v>14032</v>
      </c>
      <c r="BU34" s="52">
        <v>1145</v>
      </c>
      <c r="BV34" s="52"/>
      <c r="BW34" s="52"/>
      <c r="BX34" s="52">
        <v>93</v>
      </c>
      <c r="BY34" s="52">
        <v>21885</v>
      </c>
      <c r="BZ34" s="52">
        <v>13501</v>
      </c>
      <c r="CA34" s="52"/>
      <c r="CB34" s="52">
        <v>12746</v>
      </c>
      <c r="CC34" s="52">
        <v>10695</v>
      </c>
      <c r="CD34" s="52">
        <v>23237</v>
      </c>
      <c r="CE34" s="52"/>
      <c r="CF34" s="52">
        <v>232536</v>
      </c>
      <c r="CG34" s="52">
        <v>9107</v>
      </c>
      <c r="CH34" s="52">
        <v>173475</v>
      </c>
      <c r="CI34" s="52">
        <v>86369</v>
      </c>
      <c r="CJ34" s="52">
        <v>1314</v>
      </c>
      <c r="CK34" s="52">
        <v>88332</v>
      </c>
      <c r="CL34" s="52"/>
      <c r="CM34" s="52">
        <v>23425</v>
      </c>
      <c r="CN34" s="52">
        <v>53962</v>
      </c>
      <c r="CO34" s="52">
        <v>54777</v>
      </c>
      <c r="CP34" s="52"/>
      <c r="CQ34" s="52"/>
      <c r="CR34" s="52"/>
      <c r="CS34" s="52"/>
      <c r="CT34" s="52">
        <v>224</v>
      </c>
      <c r="CU34" s="52"/>
      <c r="CV34" s="52"/>
      <c r="CW34" s="52">
        <v>12991</v>
      </c>
      <c r="CX34" s="52">
        <v>9281</v>
      </c>
      <c r="CY34" s="52">
        <v>22029</v>
      </c>
      <c r="CZ34" s="52">
        <v>39243</v>
      </c>
      <c r="DA34" s="52">
        <v>283905</v>
      </c>
      <c r="DB34" s="52">
        <v>42476</v>
      </c>
      <c r="DC34" s="52"/>
      <c r="DD34" s="52"/>
      <c r="DE34" s="52">
        <v>2996569</v>
      </c>
      <c r="DF34" s="52"/>
      <c r="DG34" s="52">
        <v>2996569</v>
      </c>
      <c r="DH34" s="52"/>
    </row>
    <row r="35" spans="1:112">
      <c r="A35" s="150" t="s">
        <v>410</v>
      </c>
      <c r="B35" s="44">
        <v>1630</v>
      </c>
      <c r="C35" s="44" t="s">
        <v>69</v>
      </c>
      <c r="D35" s="52">
        <v>39142</v>
      </c>
      <c r="E35" s="52">
        <v>161805</v>
      </c>
      <c r="F35" s="52">
        <v>20436</v>
      </c>
      <c r="G35" s="52"/>
      <c r="H35" s="56">
        <v>614736</v>
      </c>
      <c r="I35" s="56">
        <v>114919</v>
      </c>
      <c r="J35" s="56">
        <v>156186</v>
      </c>
      <c r="K35" s="56">
        <v>91170</v>
      </c>
      <c r="L35" s="52">
        <v>437833</v>
      </c>
      <c r="M35" s="52"/>
      <c r="N35" s="52"/>
      <c r="O35" s="52">
        <v>91768</v>
      </c>
      <c r="P35" s="52">
        <v>27950</v>
      </c>
      <c r="Q35" s="52">
        <v>15288</v>
      </c>
      <c r="R35" s="52">
        <v>475</v>
      </c>
      <c r="S35" s="52">
        <v>74594</v>
      </c>
      <c r="T35" s="52"/>
      <c r="U35" s="52">
        <v>537023</v>
      </c>
      <c r="V35" s="52"/>
      <c r="W35" s="52">
        <v>399631</v>
      </c>
      <c r="X35" s="52">
        <v>47168</v>
      </c>
      <c r="Y35" s="52">
        <v>3296713</v>
      </c>
      <c r="Z35" s="52">
        <v>307255</v>
      </c>
      <c r="AA35" s="52">
        <v>49626</v>
      </c>
      <c r="AB35" s="52">
        <v>102661</v>
      </c>
      <c r="AC35" s="52">
        <v>15349</v>
      </c>
      <c r="AD35" s="52">
        <v>69727</v>
      </c>
      <c r="AE35" s="52">
        <v>150732</v>
      </c>
      <c r="AF35" s="52"/>
      <c r="AG35" s="52">
        <v>88032</v>
      </c>
      <c r="AH35" s="52">
        <v>96330</v>
      </c>
      <c r="AI35" s="52"/>
      <c r="AJ35" s="52">
        <v>16053</v>
      </c>
      <c r="AK35" s="52">
        <v>51708</v>
      </c>
      <c r="AL35" s="52">
        <v>874</v>
      </c>
      <c r="AM35" s="52"/>
      <c r="AN35" s="52">
        <v>1106909</v>
      </c>
      <c r="AO35" s="52">
        <v>56477</v>
      </c>
      <c r="AP35" s="52"/>
      <c r="AQ35" s="52">
        <v>172122</v>
      </c>
      <c r="AR35" s="52">
        <v>68701</v>
      </c>
      <c r="AS35" s="52">
        <v>556005</v>
      </c>
      <c r="AT35" s="52">
        <v>4646</v>
      </c>
      <c r="AU35" s="52">
        <v>30763</v>
      </c>
      <c r="AV35" s="52">
        <v>26775</v>
      </c>
      <c r="AW35" s="52">
        <v>72411</v>
      </c>
      <c r="AX35" s="52">
        <v>260941</v>
      </c>
      <c r="AY35" s="101">
        <v>5214333</v>
      </c>
      <c r="AZ35" s="52">
        <v>600750</v>
      </c>
      <c r="BA35" s="52">
        <v>51740</v>
      </c>
      <c r="BB35" s="52">
        <v>25847</v>
      </c>
      <c r="BC35" s="52"/>
      <c r="BD35" s="52">
        <v>41896</v>
      </c>
      <c r="BE35" s="52">
        <v>2269</v>
      </c>
      <c r="BF35" s="52">
        <v>1379077</v>
      </c>
      <c r="BG35" s="52">
        <v>7482</v>
      </c>
      <c r="BH35" s="52">
        <v>173723</v>
      </c>
      <c r="BI35" s="52">
        <v>354227</v>
      </c>
      <c r="BJ35" s="52">
        <v>118897</v>
      </c>
      <c r="BK35" s="52">
        <v>88300</v>
      </c>
      <c r="BL35" s="52">
        <v>25014</v>
      </c>
      <c r="BM35" s="52">
        <v>2463539</v>
      </c>
      <c r="BN35" s="52">
        <v>232856</v>
      </c>
      <c r="BO35" s="52">
        <v>81663</v>
      </c>
      <c r="BP35" s="52">
        <v>13529</v>
      </c>
      <c r="BQ35" s="52">
        <v>1935871</v>
      </c>
      <c r="BR35" s="52">
        <v>2190</v>
      </c>
      <c r="BS35" s="52"/>
      <c r="BT35" s="52">
        <v>44455</v>
      </c>
      <c r="BU35" s="52">
        <v>27624</v>
      </c>
      <c r="BV35" s="52"/>
      <c r="BW35" s="52"/>
      <c r="BX35" s="52">
        <v>41249</v>
      </c>
      <c r="BY35" s="52">
        <v>250718</v>
      </c>
      <c r="BZ35" s="52">
        <v>200255</v>
      </c>
      <c r="CA35" s="52"/>
      <c r="CB35" s="52">
        <v>23878</v>
      </c>
      <c r="CC35" s="52">
        <v>31409</v>
      </c>
      <c r="CD35" s="52">
        <v>104242</v>
      </c>
      <c r="CE35" s="52"/>
      <c r="CF35" s="52">
        <v>310314</v>
      </c>
      <c r="CG35" s="52">
        <v>565404</v>
      </c>
      <c r="CH35" s="52">
        <v>277437</v>
      </c>
      <c r="CI35" s="52">
        <v>64644</v>
      </c>
      <c r="CJ35" s="52">
        <v>260928</v>
      </c>
      <c r="CK35" s="52">
        <v>275690</v>
      </c>
      <c r="CL35" s="52">
        <v>108205</v>
      </c>
      <c r="CM35" s="52">
        <v>40571</v>
      </c>
      <c r="CN35" s="52">
        <v>376169</v>
      </c>
      <c r="CO35" s="52">
        <v>433053</v>
      </c>
      <c r="CP35" s="52"/>
      <c r="CQ35" s="52"/>
      <c r="CR35" s="52"/>
      <c r="CS35" s="52"/>
      <c r="CT35" s="52">
        <v>273036</v>
      </c>
      <c r="CU35" s="52">
        <v>490225</v>
      </c>
      <c r="CV35" s="52"/>
      <c r="CW35" s="52">
        <v>133041</v>
      </c>
      <c r="CX35" s="52">
        <v>33866</v>
      </c>
      <c r="CY35" s="52">
        <v>347649</v>
      </c>
      <c r="CZ35" s="52">
        <v>399735</v>
      </c>
      <c r="DA35" s="52">
        <v>515229</v>
      </c>
      <c r="DB35" s="52">
        <v>685028</v>
      </c>
      <c r="DC35" s="52"/>
      <c r="DD35" s="52"/>
      <c r="DE35" s="52">
        <v>28558191</v>
      </c>
      <c r="DF35" s="52"/>
      <c r="DG35" s="52">
        <v>28558191</v>
      </c>
      <c r="DH35" s="52"/>
    </row>
    <row r="36" spans="1:112">
      <c r="A36" s="150" t="s">
        <v>410</v>
      </c>
      <c r="B36" s="44">
        <v>1640</v>
      </c>
      <c r="C36" s="44" t="s">
        <v>70</v>
      </c>
      <c r="D36" s="52">
        <v>58681</v>
      </c>
      <c r="E36" s="52">
        <v>240995</v>
      </c>
      <c r="F36" s="52">
        <v>40720</v>
      </c>
      <c r="G36" s="52"/>
      <c r="H36" s="56">
        <v>53286</v>
      </c>
      <c r="I36" s="56">
        <v>49161</v>
      </c>
      <c r="J36" s="56">
        <v>50977</v>
      </c>
      <c r="K36" s="56">
        <v>36317</v>
      </c>
      <c r="L36" s="52">
        <v>144626</v>
      </c>
      <c r="M36" s="52"/>
      <c r="N36" s="52"/>
      <c r="O36" s="52">
        <v>13859</v>
      </c>
      <c r="P36" s="52">
        <v>16079</v>
      </c>
      <c r="Q36" s="52">
        <v>25639</v>
      </c>
      <c r="R36" s="52">
        <v>17763</v>
      </c>
      <c r="S36" s="52">
        <v>36528</v>
      </c>
      <c r="T36" s="52"/>
      <c r="U36" s="52">
        <v>98847</v>
      </c>
      <c r="V36" s="52"/>
      <c r="W36" s="52">
        <v>252145</v>
      </c>
      <c r="X36" s="52">
        <v>19872</v>
      </c>
      <c r="Y36" s="52">
        <v>257485</v>
      </c>
      <c r="Z36" s="52">
        <v>159550</v>
      </c>
      <c r="AA36" s="52">
        <v>60745</v>
      </c>
      <c r="AB36" s="52">
        <v>100929</v>
      </c>
      <c r="AC36" s="52">
        <v>9964</v>
      </c>
      <c r="AD36" s="52">
        <v>49068</v>
      </c>
      <c r="AE36" s="52">
        <v>4464</v>
      </c>
      <c r="AF36" s="52"/>
      <c r="AG36" s="52">
        <v>80694</v>
      </c>
      <c r="AH36" s="52">
        <v>120792</v>
      </c>
      <c r="AI36" s="52"/>
      <c r="AJ36" s="52">
        <v>25030</v>
      </c>
      <c r="AK36" s="52">
        <v>52554</v>
      </c>
      <c r="AL36" s="52">
        <v>16560</v>
      </c>
      <c r="AM36" s="52"/>
      <c r="AN36" s="52">
        <v>84307</v>
      </c>
      <c r="AO36" s="52">
        <v>45033</v>
      </c>
      <c r="AP36" s="52"/>
      <c r="AQ36" s="52">
        <v>63217</v>
      </c>
      <c r="AR36" s="52">
        <v>71395</v>
      </c>
      <c r="AS36" s="52">
        <v>243331</v>
      </c>
      <c r="AT36" s="52">
        <v>15392</v>
      </c>
      <c r="AU36" s="52">
        <v>33589</v>
      </c>
      <c r="AV36" s="52">
        <v>7361</v>
      </c>
      <c r="AW36" s="52">
        <v>20628</v>
      </c>
      <c r="AX36" s="52">
        <v>139036</v>
      </c>
      <c r="AY36" s="101">
        <v>655456</v>
      </c>
      <c r="AZ36" s="52">
        <v>96833</v>
      </c>
      <c r="BA36" s="52">
        <v>14979</v>
      </c>
      <c r="BB36" s="52">
        <v>22311</v>
      </c>
      <c r="BC36" s="52"/>
      <c r="BD36" s="52">
        <v>47637</v>
      </c>
      <c r="BE36" s="52">
        <v>21611</v>
      </c>
      <c r="BF36" s="52">
        <v>422376</v>
      </c>
      <c r="BG36" s="52">
        <v>14777</v>
      </c>
      <c r="BH36" s="52">
        <v>165170</v>
      </c>
      <c r="BI36" s="52">
        <v>106614</v>
      </c>
      <c r="BJ36" s="52">
        <v>73788</v>
      </c>
      <c r="BK36" s="52">
        <v>71074</v>
      </c>
      <c r="BL36" s="52">
        <v>24029</v>
      </c>
      <c r="BM36" s="52">
        <v>276763</v>
      </c>
      <c r="BN36" s="52">
        <v>111699</v>
      </c>
      <c r="BO36" s="52">
        <v>32955</v>
      </c>
      <c r="BP36" s="52">
        <v>47293</v>
      </c>
      <c r="BQ36" s="52">
        <v>181136</v>
      </c>
      <c r="BR36" s="52">
        <v>11792</v>
      </c>
      <c r="BS36" s="52"/>
      <c r="BT36" s="52">
        <v>31004</v>
      </c>
      <c r="BU36" s="52">
        <v>35322</v>
      </c>
      <c r="BV36" s="52">
        <v>9726</v>
      </c>
      <c r="BW36" s="52"/>
      <c r="BX36" s="52">
        <v>45277</v>
      </c>
      <c r="BY36" s="52">
        <v>106335</v>
      </c>
      <c r="BZ36" s="52">
        <v>147078</v>
      </c>
      <c r="CA36" s="52"/>
      <c r="CB36" s="52">
        <v>33327</v>
      </c>
      <c r="CC36" s="52">
        <v>61989</v>
      </c>
      <c r="CD36" s="52">
        <v>144208</v>
      </c>
      <c r="CE36" s="52"/>
      <c r="CF36" s="52">
        <v>142647</v>
      </c>
      <c r="CG36" s="52">
        <v>172337</v>
      </c>
      <c r="CH36" s="52">
        <v>351935</v>
      </c>
      <c r="CI36" s="52">
        <v>48275</v>
      </c>
      <c r="CJ36" s="52">
        <v>56555</v>
      </c>
      <c r="CK36" s="52">
        <v>103133</v>
      </c>
      <c r="CL36" s="52">
        <v>38948</v>
      </c>
      <c r="CM36" s="52">
        <v>50452</v>
      </c>
      <c r="CN36" s="52">
        <v>71266</v>
      </c>
      <c r="CO36" s="52">
        <v>107062</v>
      </c>
      <c r="CP36" s="52">
        <v>126637</v>
      </c>
      <c r="CQ36" s="52"/>
      <c r="CR36" s="52"/>
      <c r="CS36" s="52"/>
      <c r="CT36" s="52">
        <v>110134</v>
      </c>
      <c r="CU36" s="52">
        <v>79995</v>
      </c>
      <c r="CV36" s="52"/>
      <c r="CW36" s="52">
        <v>61243</v>
      </c>
      <c r="CX36" s="52">
        <v>93724</v>
      </c>
      <c r="CY36" s="52">
        <v>23081</v>
      </c>
      <c r="CZ36" s="52">
        <v>39875</v>
      </c>
      <c r="DA36" s="52">
        <v>73833</v>
      </c>
      <c r="DB36" s="52">
        <v>78109</v>
      </c>
      <c r="DC36" s="52"/>
      <c r="DD36" s="52"/>
      <c r="DE36" s="52">
        <v>7658419</v>
      </c>
      <c r="DF36" s="52"/>
      <c r="DG36" s="52">
        <v>7658419</v>
      </c>
      <c r="DH36" s="52"/>
    </row>
    <row r="37" spans="1:112">
      <c r="A37" s="150" t="s">
        <v>410</v>
      </c>
      <c r="B37" s="44">
        <v>1650</v>
      </c>
      <c r="C37" s="44" t="s">
        <v>71</v>
      </c>
      <c r="D37" s="52">
        <v>137</v>
      </c>
      <c r="E37" s="52">
        <v>1959</v>
      </c>
      <c r="F37" s="52">
        <v>834</v>
      </c>
      <c r="G37" s="52"/>
      <c r="H37" s="56">
        <v>2977</v>
      </c>
      <c r="I37" s="56">
        <v>410</v>
      </c>
      <c r="J37" s="56"/>
      <c r="K37" s="56"/>
      <c r="L37" s="52">
        <v>525</v>
      </c>
      <c r="M37" s="52"/>
      <c r="N37" s="52"/>
      <c r="O37" s="52">
        <v>1368</v>
      </c>
      <c r="P37" s="52">
        <v>687</v>
      </c>
      <c r="Q37" s="52">
        <v>2410</v>
      </c>
      <c r="R37" s="52">
        <v>687</v>
      </c>
      <c r="S37" s="52">
        <v>718</v>
      </c>
      <c r="T37" s="52"/>
      <c r="U37" s="52">
        <v>5538</v>
      </c>
      <c r="V37" s="52"/>
      <c r="W37" s="52">
        <v>3272</v>
      </c>
      <c r="X37" s="52">
        <v>1603</v>
      </c>
      <c r="Y37" s="52">
        <v>12018</v>
      </c>
      <c r="Z37" s="52">
        <v>3033</v>
      </c>
      <c r="AA37" s="52">
        <v>2339</v>
      </c>
      <c r="AB37" s="52">
        <v>1263</v>
      </c>
      <c r="AC37" s="52">
        <v>153</v>
      </c>
      <c r="AD37" s="52">
        <v>1565</v>
      </c>
      <c r="AE37" s="52"/>
      <c r="AF37" s="52"/>
      <c r="AG37" s="52">
        <v>458</v>
      </c>
      <c r="AH37" s="52">
        <v>2017</v>
      </c>
      <c r="AI37" s="52"/>
      <c r="AJ37" s="52">
        <v>767</v>
      </c>
      <c r="AK37" s="52">
        <v>1034</v>
      </c>
      <c r="AL37" s="52">
        <v>665</v>
      </c>
      <c r="AM37" s="52"/>
      <c r="AN37" s="52">
        <v>4455</v>
      </c>
      <c r="AO37" s="52">
        <v>4596</v>
      </c>
      <c r="AP37" s="52"/>
      <c r="AQ37" s="52">
        <v>1799</v>
      </c>
      <c r="AR37" s="52">
        <v>7546</v>
      </c>
      <c r="AS37" s="52">
        <v>6385</v>
      </c>
      <c r="AT37" s="52">
        <v>24</v>
      </c>
      <c r="AU37" s="52">
        <v>6158</v>
      </c>
      <c r="AV37" s="52">
        <v>922</v>
      </c>
      <c r="AW37" s="52">
        <v>1536</v>
      </c>
      <c r="AX37" s="52">
        <v>3521</v>
      </c>
      <c r="AY37" s="101">
        <v>20763</v>
      </c>
      <c r="AZ37" s="52">
        <v>4017</v>
      </c>
      <c r="BA37" s="52">
        <v>119</v>
      </c>
      <c r="BB37" s="52">
        <v>450</v>
      </c>
      <c r="BC37" s="52"/>
      <c r="BD37" s="52">
        <v>2080</v>
      </c>
      <c r="BE37" s="52">
        <v>648</v>
      </c>
      <c r="BF37" s="52">
        <v>4952</v>
      </c>
      <c r="BG37" s="52">
        <v>150</v>
      </c>
      <c r="BH37" s="52">
        <v>9715</v>
      </c>
      <c r="BI37" s="52">
        <v>7877</v>
      </c>
      <c r="BJ37" s="52">
        <v>10630</v>
      </c>
      <c r="BK37" s="52">
        <v>424</v>
      </c>
      <c r="BL37" s="52">
        <v>2486</v>
      </c>
      <c r="BM37" s="52">
        <v>9683</v>
      </c>
      <c r="BN37" s="52">
        <v>9108</v>
      </c>
      <c r="BO37" s="52">
        <v>493</v>
      </c>
      <c r="BP37" s="52">
        <v>1620</v>
      </c>
      <c r="BQ37" s="52">
        <v>3581</v>
      </c>
      <c r="BR37" s="52"/>
      <c r="BS37" s="52"/>
      <c r="BT37" s="52">
        <v>4040</v>
      </c>
      <c r="BU37" s="52">
        <v>340</v>
      </c>
      <c r="BV37" s="52">
        <v>9150</v>
      </c>
      <c r="BW37" s="52"/>
      <c r="BX37" s="52">
        <v>863</v>
      </c>
      <c r="BY37" s="52">
        <v>4320</v>
      </c>
      <c r="BZ37" s="52">
        <v>5030</v>
      </c>
      <c r="CA37" s="52"/>
      <c r="CB37" s="52">
        <v>1999</v>
      </c>
      <c r="CC37" s="52">
        <v>234</v>
      </c>
      <c r="CD37" s="52">
        <v>11600</v>
      </c>
      <c r="CE37" s="52"/>
      <c r="CF37" s="52">
        <v>3128</v>
      </c>
      <c r="CG37" s="52">
        <v>1907</v>
      </c>
      <c r="CH37" s="52">
        <v>6131</v>
      </c>
      <c r="CI37" s="52">
        <v>1781</v>
      </c>
      <c r="CJ37" s="52">
        <v>1243</v>
      </c>
      <c r="CK37" s="52"/>
      <c r="CL37" s="52"/>
      <c r="CM37" s="52">
        <v>788</v>
      </c>
      <c r="CN37" s="52">
        <v>1074</v>
      </c>
      <c r="CO37" s="52">
        <v>4296</v>
      </c>
      <c r="CP37" s="52"/>
      <c r="CQ37" s="52"/>
      <c r="CR37" s="52"/>
      <c r="CS37" s="52"/>
      <c r="CT37" s="52">
        <v>5959</v>
      </c>
      <c r="CU37" s="52">
        <v>1752</v>
      </c>
      <c r="CV37" s="52"/>
      <c r="CW37" s="52">
        <v>286</v>
      </c>
      <c r="CX37" s="52">
        <v>7368</v>
      </c>
      <c r="CY37" s="52">
        <v>648</v>
      </c>
      <c r="CZ37" s="52">
        <v>1859</v>
      </c>
      <c r="DA37" s="52">
        <v>10025</v>
      </c>
      <c r="DB37" s="52">
        <v>1688</v>
      </c>
      <c r="DC37" s="52"/>
      <c r="DD37" s="52"/>
      <c r="DE37" s="52">
        <v>261684</v>
      </c>
      <c r="DF37" s="52"/>
      <c r="DG37" s="52">
        <v>261684</v>
      </c>
      <c r="DH37" s="52"/>
    </row>
    <row r="38" spans="1:112">
      <c r="A38" s="150" t="s">
        <v>410</v>
      </c>
      <c r="B38" s="44">
        <v>1660</v>
      </c>
      <c r="C38" s="44" t="s">
        <v>72</v>
      </c>
      <c r="D38" s="52">
        <v>4170</v>
      </c>
      <c r="E38" s="52">
        <v>10071</v>
      </c>
      <c r="F38" s="52">
        <v>25422</v>
      </c>
      <c r="G38" s="52"/>
      <c r="H38" s="56">
        <v>28845</v>
      </c>
      <c r="I38" s="56">
        <v>8908</v>
      </c>
      <c r="J38" s="56">
        <v>10678</v>
      </c>
      <c r="K38" s="56">
        <v>6664</v>
      </c>
      <c r="L38" s="52">
        <v>14790</v>
      </c>
      <c r="M38" s="52"/>
      <c r="N38" s="52"/>
      <c r="O38" s="52">
        <v>28963</v>
      </c>
      <c r="P38" s="52">
        <v>4771</v>
      </c>
      <c r="Q38" s="52">
        <v>13979</v>
      </c>
      <c r="R38" s="52">
        <v>1672</v>
      </c>
      <c r="S38" s="52">
        <v>27080</v>
      </c>
      <c r="T38" s="52"/>
      <c r="U38" s="52">
        <v>24112</v>
      </c>
      <c r="V38" s="52"/>
      <c r="W38" s="52">
        <v>58212</v>
      </c>
      <c r="X38" s="52">
        <v>10663</v>
      </c>
      <c r="Y38" s="52">
        <v>286955</v>
      </c>
      <c r="Z38" s="52">
        <v>14390</v>
      </c>
      <c r="AA38" s="52">
        <v>19534</v>
      </c>
      <c r="AB38" s="52">
        <v>9752</v>
      </c>
      <c r="AC38" s="52">
        <v>3196</v>
      </c>
      <c r="AD38" s="52">
        <v>122458</v>
      </c>
      <c r="AE38" s="52">
        <v>27298</v>
      </c>
      <c r="AF38" s="52"/>
      <c r="AG38" s="52">
        <v>15756</v>
      </c>
      <c r="AH38" s="52">
        <v>65156</v>
      </c>
      <c r="AI38" s="52"/>
      <c r="AJ38" s="52">
        <v>2454</v>
      </c>
      <c r="AK38" s="52">
        <v>17481</v>
      </c>
      <c r="AL38" s="52">
        <v>1628</v>
      </c>
      <c r="AM38" s="52"/>
      <c r="AN38" s="52">
        <v>150670</v>
      </c>
      <c r="AO38" s="52">
        <v>6289</v>
      </c>
      <c r="AP38" s="52"/>
      <c r="AQ38" s="52">
        <v>12236</v>
      </c>
      <c r="AR38" s="52">
        <v>21957</v>
      </c>
      <c r="AS38" s="52">
        <v>22446</v>
      </c>
      <c r="AT38" s="52">
        <v>3478</v>
      </c>
      <c r="AU38" s="52">
        <v>18795</v>
      </c>
      <c r="AV38" s="52"/>
      <c r="AW38" s="52">
        <v>7471</v>
      </c>
      <c r="AX38" s="52">
        <v>28990</v>
      </c>
      <c r="AY38" s="101">
        <v>188422</v>
      </c>
      <c r="AZ38" s="52">
        <v>66074</v>
      </c>
      <c r="BA38" s="52">
        <v>6034</v>
      </c>
      <c r="BB38" s="52">
        <v>11703</v>
      </c>
      <c r="BC38" s="52"/>
      <c r="BD38" s="52">
        <v>3564</v>
      </c>
      <c r="BE38" s="52">
        <v>5995</v>
      </c>
      <c r="BF38" s="52">
        <v>42076</v>
      </c>
      <c r="BG38" s="52">
        <v>14136</v>
      </c>
      <c r="BH38" s="52">
        <v>10209</v>
      </c>
      <c r="BI38" s="52">
        <v>60618</v>
      </c>
      <c r="BJ38" s="52">
        <v>7162</v>
      </c>
      <c r="BK38" s="52">
        <v>1906</v>
      </c>
      <c r="BL38" s="52">
        <v>16601</v>
      </c>
      <c r="BM38" s="52">
        <v>114697</v>
      </c>
      <c r="BN38" s="52">
        <v>23636</v>
      </c>
      <c r="BO38" s="52">
        <v>12324</v>
      </c>
      <c r="BP38" s="52">
        <v>430</v>
      </c>
      <c r="BQ38" s="52">
        <v>125116</v>
      </c>
      <c r="BR38" s="52">
        <v>1947</v>
      </c>
      <c r="BS38" s="52"/>
      <c r="BT38" s="52">
        <v>1836</v>
      </c>
      <c r="BU38" s="52">
        <v>3827</v>
      </c>
      <c r="BV38" s="52"/>
      <c r="BW38" s="52"/>
      <c r="BX38" s="52">
        <v>12935</v>
      </c>
      <c r="BY38" s="52">
        <v>19113</v>
      </c>
      <c r="BZ38" s="52">
        <v>21305</v>
      </c>
      <c r="CA38" s="52"/>
      <c r="CB38" s="52">
        <v>5644</v>
      </c>
      <c r="CC38" s="52">
        <v>7883</v>
      </c>
      <c r="CD38" s="52">
        <v>96460</v>
      </c>
      <c r="CE38" s="52"/>
      <c r="CF38" s="52">
        <v>31407</v>
      </c>
      <c r="CG38" s="52">
        <v>8771</v>
      </c>
      <c r="CH38" s="52">
        <v>33581</v>
      </c>
      <c r="CI38" s="52">
        <v>10752</v>
      </c>
      <c r="CJ38" s="52">
        <v>6900</v>
      </c>
      <c r="CK38" s="52">
        <v>6930</v>
      </c>
      <c r="CL38" s="52">
        <v>7065</v>
      </c>
      <c r="CM38" s="52">
        <v>6322</v>
      </c>
      <c r="CN38" s="52">
        <v>14618</v>
      </c>
      <c r="CO38" s="52">
        <v>13896</v>
      </c>
      <c r="CP38" s="52"/>
      <c r="CQ38" s="52"/>
      <c r="CR38" s="52"/>
      <c r="CS38" s="52"/>
      <c r="CT38" s="52">
        <v>50801</v>
      </c>
      <c r="CU38" s="52">
        <v>167125</v>
      </c>
      <c r="CV38" s="52"/>
      <c r="CW38" s="52">
        <v>23360</v>
      </c>
      <c r="CX38" s="52">
        <v>57699</v>
      </c>
      <c r="CY38" s="52">
        <v>13496</v>
      </c>
      <c r="CZ38" s="52">
        <v>26246</v>
      </c>
      <c r="DA38" s="52">
        <v>221941</v>
      </c>
      <c r="DB38" s="52">
        <v>16943</v>
      </c>
      <c r="DC38" s="52"/>
      <c r="DD38" s="52"/>
      <c r="DE38" s="52">
        <v>2736896</v>
      </c>
      <c r="DF38" s="52"/>
      <c r="DG38" s="52">
        <v>2736896</v>
      </c>
      <c r="DH38" s="52"/>
    </row>
    <row r="39" spans="1:112">
      <c r="A39" s="150" t="s">
        <v>410</v>
      </c>
      <c r="B39" s="44">
        <v>1710</v>
      </c>
      <c r="C39" s="44" t="s">
        <v>74</v>
      </c>
      <c r="D39" s="52">
        <v>380923</v>
      </c>
      <c r="E39" s="52">
        <v>799643</v>
      </c>
      <c r="F39" s="52">
        <v>56234</v>
      </c>
      <c r="G39" s="52"/>
      <c r="H39" s="56">
        <v>700203</v>
      </c>
      <c r="I39" s="56">
        <v>156233</v>
      </c>
      <c r="J39" s="56">
        <v>107447</v>
      </c>
      <c r="K39" s="56">
        <v>214246</v>
      </c>
      <c r="L39" s="52">
        <v>629657</v>
      </c>
      <c r="M39" s="52"/>
      <c r="N39" s="52"/>
      <c r="O39" s="52">
        <v>98026</v>
      </c>
      <c r="P39" s="52">
        <v>29797</v>
      </c>
      <c r="Q39" s="52">
        <v>57140</v>
      </c>
      <c r="R39" s="52">
        <v>41315</v>
      </c>
      <c r="S39" s="52">
        <v>90107</v>
      </c>
      <c r="T39" s="52"/>
      <c r="U39" s="52"/>
      <c r="V39" s="52"/>
      <c r="W39" s="52">
        <v>588838</v>
      </c>
      <c r="X39" s="52"/>
      <c r="Y39" s="52">
        <v>1522350</v>
      </c>
      <c r="Z39" s="52">
        <v>446424</v>
      </c>
      <c r="AA39" s="52">
        <v>160539</v>
      </c>
      <c r="AB39" s="52"/>
      <c r="AC39" s="52">
        <v>25868</v>
      </c>
      <c r="AD39" s="52">
        <v>147973</v>
      </c>
      <c r="AE39" s="52">
        <v>93575</v>
      </c>
      <c r="AF39" s="52"/>
      <c r="AG39" s="52">
        <v>167504</v>
      </c>
      <c r="AH39" s="52"/>
      <c r="AI39" s="52"/>
      <c r="AJ39" s="52">
        <v>68378</v>
      </c>
      <c r="AK39" s="52">
        <v>111443</v>
      </c>
      <c r="AL39" s="52">
        <v>61497</v>
      </c>
      <c r="AM39" s="52"/>
      <c r="AN39" s="52">
        <v>306881</v>
      </c>
      <c r="AO39" s="52">
        <v>33979</v>
      </c>
      <c r="AP39" s="52"/>
      <c r="AQ39" s="52"/>
      <c r="AR39" s="52">
        <v>90771</v>
      </c>
      <c r="AS39" s="52">
        <v>85299</v>
      </c>
      <c r="AT39" s="52">
        <v>9910</v>
      </c>
      <c r="AU39" s="52">
        <v>54968</v>
      </c>
      <c r="AV39" s="52">
        <v>39610</v>
      </c>
      <c r="AW39" s="52">
        <v>98288</v>
      </c>
      <c r="AX39" s="52">
        <v>338404</v>
      </c>
      <c r="AY39" s="101">
        <v>1472719</v>
      </c>
      <c r="AZ39" s="52">
        <v>351482</v>
      </c>
      <c r="BA39" s="52">
        <v>68973</v>
      </c>
      <c r="BB39" s="52"/>
      <c r="BC39" s="52"/>
      <c r="BD39" s="52"/>
      <c r="BE39" s="52">
        <v>34358</v>
      </c>
      <c r="BF39" s="52">
        <v>710214</v>
      </c>
      <c r="BG39" s="52">
        <v>55913</v>
      </c>
      <c r="BH39" s="52">
        <v>205922</v>
      </c>
      <c r="BI39" s="52">
        <v>307732</v>
      </c>
      <c r="BJ39" s="52">
        <v>13011</v>
      </c>
      <c r="BK39" s="52">
        <v>209188</v>
      </c>
      <c r="BL39" s="52">
        <v>72706</v>
      </c>
      <c r="BM39" s="52">
        <v>601218</v>
      </c>
      <c r="BN39" s="52">
        <v>165423</v>
      </c>
      <c r="BO39" s="52"/>
      <c r="BP39" s="52"/>
      <c r="BQ39" s="52">
        <v>394217</v>
      </c>
      <c r="BR39" s="52">
        <v>41924</v>
      </c>
      <c r="BS39" s="52"/>
      <c r="BT39" s="52">
        <v>56996</v>
      </c>
      <c r="BU39" s="52">
        <v>63691</v>
      </c>
      <c r="BV39" s="52">
        <v>9444</v>
      </c>
      <c r="BW39" s="52"/>
      <c r="BX39" s="52">
        <v>163408</v>
      </c>
      <c r="BY39" s="52">
        <v>259715</v>
      </c>
      <c r="BZ39" s="52">
        <v>336641</v>
      </c>
      <c r="CA39" s="52"/>
      <c r="CB39" s="52">
        <v>85290</v>
      </c>
      <c r="CC39" s="52">
        <v>24571</v>
      </c>
      <c r="CD39" s="52">
        <v>189793</v>
      </c>
      <c r="CE39" s="52"/>
      <c r="CF39" s="52">
        <v>1138826</v>
      </c>
      <c r="CG39" s="52">
        <v>319461</v>
      </c>
      <c r="CH39" s="52">
        <v>15761</v>
      </c>
      <c r="CI39" s="52">
        <v>153568</v>
      </c>
      <c r="CJ39" s="52">
        <v>162837</v>
      </c>
      <c r="CK39" s="52">
        <v>352363</v>
      </c>
      <c r="CL39" s="52">
        <v>103203</v>
      </c>
      <c r="CM39" s="52">
        <v>161129</v>
      </c>
      <c r="CN39" s="52">
        <v>539544</v>
      </c>
      <c r="CO39" s="52">
        <v>325492</v>
      </c>
      <c r="CP39" s="52">
        <v>185560</v>
      </c>
      <c r="CQ39" s="52"/>
      <c r="CR39" s="52"/>
      <c r="CS39" s="52"/>
      <c r="CT39" s="52">
        <v>165548</v>
      </c>
      <c r="CU39" s="52">
        <v>122774</v>
      </c>
      <c r="CV39" s="52"/>
      <c r="CW39" s="52">
        <v>244711</v>
      </c>
      <c r="CX39" s="52">
        <v>158075</v>
      </c>
      <c r="CY39" s="52">
        <v>21311</v>
      </c>
      <c r="CZ39" s="52">
        <v>156102</v>
      </c>
      <c r="DA39" s="52">
        <v>124577</v>
      </c>
      <c r="DB39" s="52">
        <v>251927</v>
      </c>
      <c r="DC39" s="52"/>
      <c r="DD39" s="52"/>
      <c r="DE39" s="52">
        <v>18410788</v>
      </c>
      <c r="DF39" s="52"/>
      <c r="DG39" s="52">
        <v>18410788</v>
      </c>
      <c r="DH39" s="52"/>
    </row>
    <row r="40" spans="1:112">
      <c r="A40" s="150" t="s">
        <v>410</v>
      </c>
      <c r="B40" s="44">
        <v>1720</v>
      </c>
      <c r="C40" s="44" t="s">
        <v>75</v>
      </c>
      <c r="D40" s="52">
        <v>54809</v>
      </c>
      <c r="E40" s="52">
        <v>21105</v>
      </c>
      <c r="F40" s="52"/>
      <c r="G40" s="52"/>
      <c r="H40" s="56">
        <v>226616</v>
      </c>
      <c r="I40" s="56">
        <v>9050</v>
      </c>
      <c r="J40" s="56">
        <v>38584</v>
      </c>
      <c r="K40" s="56">
        <v>3733</v>
      </c>
      <c r="L40" s="52">
        <v>10530</v>
      </c>
      <c r="M40" s="52"/>
      <c r="N40" s="52"/>
      <c r="O40" s="52"/>
      <c r="P40" s="52"/>
      <c r="Q40" s="52"/>
      <c r="R40" s="52">
        <v>8442</v>
      </c>
      <c r="S40" s="52">
        <v>1892</v>
      </c>
      <c r="T40" s="52"/>
      <c r="U40" s="52"/>
      <c r="V40" s="52"/>
      <c r="W40" s="52">
        <v>110612</v>
      </c>
      <c r="X40" s="52"/>
      <c r="Y40" s="52">
        <v>228887</v>
      </c>
      <c r="Z40" s="52">
        <v>37075</v>
      </c>
      <c r="AA40" s="52">
        <v>22427</v>
      </c>
      <c r="AB40" s="52"/>
      <c r="AC40" s="52">
        <v>2501</v>
      </c>
      <c r="AD40" s="52">
        <v>1310</v>
      </c>
      <c r="AE40" s="52">
        <v>113570</v>
      </c>
      <c r="AF40" s="52"/>
      <c r="AG40" s="52">
        <v>4638</v>
      </c>
      <c r="AH40" s="52"/>
      <c r="AI40" s="52"/>
      <c r="AJ40" s="52">
        <v>10</v>
      </c>
      <c r="AK40" s="52"/>
      <c r="AL40" s="52"/>
      <c r="AM40" s="52"/>
      <c r="AN40" s="52"/>
      <c r="AO40" s="52"/>
      <c r="AP40" s="52">
        <v>549</v>
      </c>
      <c r="AQ40" s="52"/>
      <c r="AR40" s="52">
        <v>1442</v>
      </c>
      <c r="AS40" s="52"/>
      <c r="AT40" s="52"/>
      <c r="AU40" s="52"/>
      <c r="AV40" s="52"/>
      <c r="AW40" s="52">
        <v>279062</v>
      </c>
      <c r="AX40" s="52">
        <v>15273</v>
      </c>
      <c r="AY40" s="101">
        <v>22623</v>
      </c>
      <c r="AZ40" s="52">
        <v>13972</v>
      </c>
      <c r="BA40" s="52">
        <v>10386</v>
      </c>
      <c r="BB40" s="52"/>
      <c r="BC40" s="52"/>
      <c r="BD40" s="52">
        <v>1944</v>
      </c>
      <c r="BE40" s="52"/>
      <c r="BF40" s="52">
        <v>629173</v>
      </c>
      <c r="BG40" s="52">
        <v>17593</v>
      </c>
      <c r="BH40" s="52">
        <v>49506</v>
      </c>
      <c r="BI40" s="52">
        <v>1309254</v>
      </c>
      <c r="BJ40" s="52">
        <v>396066</v>
      </c>
      <c r="BK40" s="52">
        <v>123568</v>
      </c>
      <c r="BL40" s="52"/>
      <c r="BM40" s="52"/>
      <c r="BN40" s="52">
        <v>2863</v>
      </c>
      <c r="BO40" s="52"/>
      <c r="BP40" s="52"/>
      <c r="BQ40" s="52">
        <v>42789</v>
      </c>
      <c r="BR40" s="52">
        <v>1712</v>
      </c>
      <c r="BS40" s="52"/>
      <c r="BT40" s="52"/>
      <c r="BU40" s="52"/>
      <c r="BV40" s="52">
        <v>43405</v>
      </c>
      <c r="BW40" s="52">
        <v>29304</v>
      </c>
      <c r="BX40" s="52"/>
      <c r="BY40" s="52">
        <v>39059</v>
      </c>
      <c r="BZ40" s="52">
        <v>1029363</v>
      </c>
      <c r="CA40" s="52"/>
      <c r="CB40" s="52"/>
      <c r="CC40" s="52">
        <v>137260</v>
      </c>
      <c r="CD40" s="52">
        <v>1119</v>
      </c>
      <c r="CE40" s="52"/>
      <c r="CF40" s="52">
        <v>198</v>
      </c>
      <c r="CG40" s="52">
        <v>704820</v>
      </c>
      <c r="CH40" s="52">
        <v>290263</v>
      </c>
      <c r="CI40" s="52">
        <v>22759</v>
      </c>
      <c r="CJ40" s="52">
        <v>18295</v>
      </c>
      <c r="CK40" s="52">
        <v>6489</v>
      </c>
      <c r="CL40" s="52">
        <v>20526</v>
      </c>
      <c r="CM40" s="52">
        <v>6290</v>
      </c>
      <c r="CN40" s="52">
        <v>40815</v>
      </c>
      <c r="CO40" s="52">
        <v>472477</v>
      </c>
      <c r="CP40" s="52">
        <v>22276</v>
      </c>
      <c r="CQ40" s="52"/>
      <c r="CR40" s="52"/>
      <c r="CS40" s="52"/>
      <c r="CT40" s="52">
        <v>1137</v>
      </c>
      <c r="CU40" s="52">
        <v>5431</v>
      </c>
      <c r="CV40" s="52"/>
      <c r="CW40" s="52">
        <v>292651</v>
      </c>
      <c r="CX40" s="52"/>
      <c r="CY40" s="52">
        <v>43210</v>
      </c>
      <c r="CZ40" s="52">
        <v>19474</v>
      </c>
      <c r="DA40" s="52">
        <v>807</v>
      </c>
      <c r="DB40" s="52"/>
      <c r="DC40" s="52"/>
      <c r="DD40" s="52"/>
      <c r="DE40" s="52">
        <v>7060994</v>
      </c>
      <c r="DF40" s="52"/>
      <c r="DG40" s="52">
        <v>7060994</v>
      </c>
      <c r="DH40" s="52"/>
    </row>
    <row r="41" spans="1:112">
      <c r="A41" s="150" t="s">
        <v>410</v>
      </c>
      <c r="B41" s="44">
        <v>1730</v>
      </c>
      <c r="C41" s="44" t="s">
        <v>76</v>
      </c>
      <c r="D41" s="52">
        <v>256402</v>
      </c>
      <c r="E41" s="52">
        <v>509151</v>
      </c>
      <c r="F41" s="52">
        <v>4616</v>
      </c>
      <c r="G41" s="52"/>
      <c r="H41" s="56">
        <v>1160731</v>
      </c>
      <c r="I41" s="56">
        <v>139673</v>
      </c>
      <c r="J41" s="56">
        <v>8181</v>
      </c>
      <c r="K41" s="56">
        <v>33612</v>
      </c>
      <c r="L41" s="52">
        <v>194997</v>
      </c>
      <c r="M41" s="52"/>
      <c r="N41" s="52"/>
      <c r="O41" s="52"/>
      <c r="P41" s="52"/>
      <c r="Q41" s="52">
        <v>6498</v>
      </c>
      <c r="R41" s="52">
        <v>38834</v>
      </c>
      <c r="S41" s="52">
        <v>2782</v>
      </c>
      <c r="T41" s="52">
        <v>21107</v>
      </c>
      <c r="U41" s="52">
        <v>188871</v>
      </c>
      <c r="V41" s="52">
        <v>131286</v>
      </c>
      <c r="W41" s="52">
        <v>640</v>
      </c>
      <c r="X41" s="52">
        <v>15877</v>
      </c>
      <c r="Y41" s="52">
        <v>53843</v>
      </c>
      <c r="Z41" s="52">
        <v>318128</v>
      </c>
      <c r="AA41" s="52">
        <v>10855</v>
      </c>
      <c r="AB41" s="52"/>
      <c r="AC41" s="52"/>
      <c r="AD41" s="52">
        <v>93743</v>
      </c>
      <c r="AE41" s="52">
        <v>133436</v>
      </c>
      <c r="AF41" s="52">
        <v>23564</v>
      </c>
      <c r="AG41" s="52"/>
      <c r="AH41" s="52"/>
      <c r="AI41" s="52"/>
      <c r="AJ41" s="52">
        <v>2242</v>
      </c>
      <c r="AK41" s="52"/>
      <c r="AL41" s="52">
        <v>1995</v>
      </c>
      <c r="AM41" s="52">
        <v>28207</v>
      </c>
      <c r="AN41" s="52">
        <v>14549</v>
      </c>
      <c r="AO41" s="52">
        <v>1245</v>
      </c>
      <c r="AP41" s="52"/>
      <c r="AQ41" s="52"/>
      <c r="AR41" s="52">
        <v>491</v>
      </c>
      <c r="AS41" s="52"/>
      <c r="AT41" s="52">
        <v>17060</v>
      </c>
      <c r="AU41" s="52">
        <v>104735</v>
      </c>
      <c r="AV41" s="52">
        <v>6454</v>
      </c>
      <c r="AW41" s="52">
        <v>167611</v>
      </c>
      <c r="AX41" s="52">
        <v>6576</v>
      </c>
      <c r="AY41" s="101">
        <v>277552</v>
      </c>
      <c r="AZ41" s="52">
        <v>18113</v>
      </c>
      <c r="BA41" s="52">
        <v>2184</v>
      </c>
      <c r="BB41" s="52"/>
      <c r="BC41" s="52"/>
      <c r="BD41" s="52">
        <v>125004</v>
      </c>
      <c r="BE41" s="52">
        <v>391</v>
      </c>
      <c r="BF41" s="52">
        <v>26372</v>
      </c>
      <c r="BG41" s="52">
        <v>7027</v>
      </c>
      <c r="BH41" s="52">
        <v>167866</v>
      </c>
      <c r="BI41" s="52">
        <v>618829</v>
      </c>
      <c r="BJ41" s="52">
        <v>4176</v>
      </c>
      <c r="BK41" s="52">
        <v>250609</v>
      </c>
      <c r="BL41" s="52">
        <v>2814</v>
      </c>
      <c r="BM41" s="52"/>
      <c r="BN41" s="52">
        <v>2427</v>
      </c>
      <c r="BO41" s="52"/>
      <c r="BP41" s="52">
        <v>13005</v>
      </c>
      <c r="BQ41" s="52"/>
      <c r="BR41" s="52">
        <v>420</v>
      </c>
      <c r="BS41" s="52"/>
      <c r="BT41" s="52"/>
      <c r="BU41" s="52"/>
      <c r="BV41" s="52">
        <v>22669</v>
      </c>
      <c r="BW41" s="52">
        <v>11274</v>
      </c>
      <c r="BX41" s="52">
        <v>110409</v>
      </c>
      <c r="BY41" s="52">
        <v>12398</v>
      </c>
      <c r="BZ41" s="52">
        <v>20149</v>
      </c>
      <c r="CA41" s="52"/>
      <c r="CB41" s="52"/>
      <c r="CC41" s="52">
        <v>283605</v>
      </c>
      <c r="CD41" s="52">
        <v>323615</v>
      </c>
      <c r="CE41" s="52"/>
      <c r="CF41" s="52">
        <v>560613</v>
      </c>
      <c r="CG41" s="52">
        <v>53439</v>
      </c>
      <c r="CH41" s="52">
        <v>4028</v>
      </c>
      <c r="CI41" s="52">
        <v>41772</v>
      </c>
      <c r="CJ41" s="52">
        <v>1708</v>
      </c>
      <c r="CK41" s="52">
        <v>205193</v>
      </c>
      <c r="CL41" s="52">
        <v>6469</v>
      </c>
      <c r="CM41" s="52"/>
      <c r="CN41" s="52">
        <v>60338</v>
      </c>
      <c r="CO41" s="52">
        <v>79818</v>
      </c>
      <c r="CP41" s="52">
        <v>91099</v>
      </c>
      <c r="CQ41" s="52"/>
      <c r="CR41" s="52">
        <v>231</v>
      </c>
      <c r="CS41" s="52"/>
      <c r="CT41" s="52">
        <v>119345</v>
      </c>
      <c r="CU41" s="52">
        <v>248365</v>
      </c>
      <c r="CV41" s="52"/>
      <c r="CW41" s="52">
        <v>12678</v>
      </c>
      <c r="CX41" s="52">
        <v>175411</v>
      </c>
      <c r="CY41" s="52">
        <v>111553</v>
      </c>
      <c r="CZ41" s="52"/>
      <c r="DA41" s="52">
        <v>4893</v>
      </c>
      <c r="DB41" s="52">
        <v>9982</v>
      </c>
      <c r="DC41" s="52"/>
      <c r="DD41" s="52"/>
      <c r="DE41" s="52">
        <v>7785835</v>
      </c>
      <c r="DF41" s="52"/>
      <c r="DG41" s="52">
        <v>7785835</v>
      </c>
      <c r="DH41" s="52"/>
    </row>
    <row r="42" spans="1:112">
      <c r="A42" s="150" t="s">
        <v>410</v>
      </c>
      <c r="B42" s="44">
        <v>1740</v>
      </c>
      <c r="C42" s="44" t="s">
        <v>77</v>
      </c>
      <c r="D42" s="52"/>
      <c r="E42" s="52">
        <v>1241725</v>
      </c>
      <c r="F42" s="52">
        <v>486</v>
      </c>
      <c r="G42" s="52"/>
      <c r="H42" s="56">
        <v>346995</v>
      </c>
      <c r="I42" s="56">
        <v>180356</v>
      </c>
      <c r="J42" s="56">
        <v>51582</v>
      </c>
      <c r="K42" s="56"/>
      <c r="L42" s="52">
        <v>1111058</v>
      </c>
      <c r="M42" s="52"/>
      <c r="N42" s="52"/>
      <c r="O42" s="52">
        <v>66471</v>
      </c>
      <c r="P42" s="52"/>
      <c r="Q42" s="52">
        <v>12765</v>
      </c>
      <c r="R42" s="52"/>
      <c r="S42" s="52">
        <v>33748</v>
      </c>
      <c r="T42" s="52">
        <v>58181</v>
      </c>
      <c r="U42" s="52"/>
      <c r="V42" s="52"/>
      <c r="W42" s="52">
        <v>161000</v>
      </c>
      <c r="X42" s="52">
        <v>28299</v>
      </c>
      <c r="Y42" s="52">
        <v>1599955</v>
      </c>
      <c r="Z42" s="52">
        <v>883516</v>
      </c>
      <c r="AA42" s="52">
        <v>328914</v>
      </c>
      <c r="AB42" s="52"/>
      <c r="AC42" s="52">
        <v>6146</v>
      </c>
      <c r="AD42" s="52">
        <v>70159</v>
      </c>
      <c r="AE42" s="52"/>
      <c r="AF42" s="52"/>
      <c r="AG42" s="52"/>
      <c r="AH42" s="52"/>
      <c r="AI42" s="52"/>
      <c r="AJ42" s="52"/>
      <c r="AK42" s="52"/>
      <c r="AL42" s="52">
        <v>350</v>
      </c>
      <c r="AM42" s="52"/>
      <c r="AN42" s="52">
        <v>353160</v>
      </c>
      <c r="AO42" s="52">
        <v>26748</v>
      </c>
      <c r="AP42" s="52"/>
      <c r="AQ42" s="52"/>
      <c r="AR42" s="52">
        <v>64659</v>
      </c>
      <c r="AS42" s="52"/>
      <c r="AT42" s="52">
        <v>68945</v>
      </c>
      <c r="AU42" s="52">
        <v>16039</v>
      </c>
      <c r="AV42" s="52">
        <v>11112</v>
      </c>
      <c r="AW42" s="52">
        <v>445</v>
      </c>
      <c r="AX42" s="52">
        <v>25713</v>
      </c>
      <c r="AY42" s="101">
        <v>162716</v>
      </c>
      <c r="AZ42" s="52">
        <v>141104</v>
      </c>
      <c r="BA42" s="52">
        <v>10376</v>
      </c>
      <c r="BB42" s="52"/>
      <c r="BC42" s="52"/>
      <c r="BD42" s="52">
        <v>158758</v>
      </c>
      <c r="BE42" s="52"/>
      <c r="BF42" s="52">
        <v>2141</v>
      </c>
      <c r="BG42" s="52">
        <v>13075</v>
      </c>
      <c r="BH42" s="52"/>
      <c r="BI42" s="52">
        <v>55369</v>
      </c>
      <c r="BJ42" s="52">
        <v>52846</v>
      </c>
      <c r="BK42" s="52"/>
      <c r="BL42" s="52">
        <v>262</v>
      </c>
      <c r="BM42" s="52">
        <v>884307</v>
      </c>
      <c r="BN42" s="52">
        <v>1963</v>
      </c>
      <c r="BO42" s="52"/>
      <c r="BP42" s="52">
        <v>73043</v>
      </c>
      <c r="BQ42" s="52">
        <v>1665183</v>
      </c>
      <c r="BR42" s="52">
        <v>2517</v>
      </c>
      <c r="BS42" s="52"/>
      <c r="BT42" s="52">
        <v>41428</v>
      </c>
      <c r="BU42" s="52">
        <v>2549</v>
      </c>
      <c r="BV42" s="52">
        <v>8089</v>
      </c>
      <c r="BW42" s="52"/>
      <c r="BX42" s="52">
        <v>62095</v>
      </c>
      <c r="BY42" s="52">
        <v>186270</v>
      </c>
      <c r="BZ42" s="52">
        <v>96511</v>
      </c>
      <c r="CA42" s="52"/>
      <c r="CB42" s="52">
        <v>1309</v>
      </c>
      <c r="CC42" s="52"/>
      <c r="CD42" s="52">
        <v>21777</v>
      </c>
      <c r="CE42" s="52"/>
      <c r="CF42" s="52">
        <v>937186</v>
      </c>
      <c r="CG42" s="52">
        <v>1557</v>
      </c>
      <c r="CH42" s="52">
        <v>3065346</v>
      </c>
      <c r="CI42" s="52">
        <v>153720</v>
      </c>
      <c r="CJ42" s="52">
        <v>96344</v>
      </c>
      <c r="CK42" s="52">
        <v>390416</v>
      </c>
      <c r="CL42" s="52">
        <v>120300</v>
      </c>
      <c r="CM42" s="52">
        <v>90964</v>
      </c>
      <c r="CN42" s="52">
        <v>377276</v>
      </c>
      <c r="CO42" s="52">
        <v>293691</v>
      </c>
      <c r="CP42" s="52">
        <v>18731</v>
      </c>
      <c r="CQ42" s="52"/>
      <c r="CR42" s="52">
        <v>9647</v>
      </c>
      <c r="CS42" s="52"/>
      <c r="CT42" s="52">
        <v>61195</v>
      </c>
      <c r="CU42" s="52">
        <v>65077</v>
      </c>
      <c r="CV42" s="52"/>
      <c r="CW42" s="52">
        <v>51744</v>
      </c>
      <c r="CX42" s="52">
        <v>77164</v>
      </c>
      <c r="CY42" s="52">
        <v>46119</v>
      </c>
      <c r="CZ42" s="52">
        <v>237128</v>
      </c>
      <c r="DA42" s="52">
        <v>6316</v>
      </c>
      <c r="DB42" s="52">
        <v>191211</v>
      </c>
      <c r="DC42" s="52"/>
      <c r="DD42" s="52"/>
      <c r="DE42" s="52">
        <v>16683347</v>
      </c>
      <c r="DF42" s="52"/>
      <c r="DG42" s="52">
        <v>16683347</v>
      </c>
      <c r="DH42" s="52"/>
    </row>
    <row r="43" spans="1:112">
      <c r="A43" s="150" t="s">
        <v>410</v>
      </c>
      <c r="B43" s="44">
        <v>1790</v>
      </c>
      <c r="C43" s="44" t="s">
        <v>78</v>
      </c>
      <c r="D43" s="52">
        <v>274541</v>
      </c>
      <c r="E43" s="52">
        <v>2384416</v>
      </c>
      <c r="F43" s="52">
        <v>167916</v>
      </c>
      <c r="G43" s="52"/>
      <c r="H43" s="56">
        <v>783691</v>
      </c>
      <c r="I43" s="56">
        <v>657967</v>
      </c>
      <c r="J43" s="56">
        <v>417239</v>
      </c>
      <c r="K43" s="56">
        <v>648494</v>
      </c>
      <c r="L43" s="52">
        <v>1083532</v>
      </c>
      <c r="M43" s="52">
        <v>7174</v>
      </c>
      <c r="N43" s="52"/>
      <c r="O43" s="52">
        <v>150316</v>
      </c>
      <c r="P43" s="52">
        <v>71099</v>
      </c>
      <c r="Q43" s="52">
        <v>158173</v>
      </c>
      <c r="R43" s="52">
        <v>161077</v>
      </c>
      <c r="S43" s="52">
        <v>303987</v>
      </c>
      <c r="T43" s="52">
        <v>2163</v>
      </c>
      <c r="U43" s="52"/>
      <c r="V43" s="52">
        <v>111</v>
      </c>
      <c r="W43" s="52">
        <v>2867929</v>
      </c>
      <c r="X43" s="52">
        <v>245864</v>
      </c>
      <c r="Y43" s="52">
        <v>4620878</v>
      </c>
      <c r="Z43" s="52">
        <v>841765</v>
      </c>
      <c r="AA43" s="52">
        <v>963951</v>
      </c>
      <c r="AB43" s="52">
        <v>2485583</v>
      </c>
      <c r="AC43" s="52">
        <v>60815</v>
      </c>
      <c r="AD43" s="52">
        <v>530867</v>
      </c>
      <c r="AE43" s="52">
        <v>57148</v>
      </c>
      <c r="AF43" s="52">
        <v>7137</v>
      </c>
      <c r="AG43" s="52">
        <v>714386</v>
      </c>
      <c r="AH43" s="52">
        <v>1936739</v>
      </c>
      <c r="AI43" s="52"/>
      <c r="AJ43" s="52">
        <v>171566</v>
      </c>
      <c r="AK43" s="52">
        <v>203924</v>
      </c>
      <c r="AL43" s="52">
        <v>310975</v>
      </c>
      <c r="AM43" s="52">
        <v>23845</v>
      </c>
      <c r="AN43" s="52">
        <v>1449698</v>
      </c>
      <c r="AO43" s="52">
        <v>270535</v>
      </c>
      <c r="AP43" s="52">
        <v>43652</v>
      </c>
      <c r="AQ43" s="52">
        <v>1134290</v>
      </c>
      <c r="AR43" s="52">
        <v>288034</v>
      </c>
      <c r="AS43" s="52">
        <v>2206041</v>
      </c>
      <c r="AT43" s="52">
        <v>181662</v>
      </c>
      <c r="AU43" s="52">
        <v>509743</v>
      </c>
      <c r="AV43" s="52">
        <v>106777</v>
      </c>
      <c r="AW43" s="52">
        <v>15090</v>
      </c>
      <c r="AX43" s="52">
        <v>1109345</v>
      </c>
      <c r="AY43" s="101">
        <v>14938652</v>
      </c>
      <c r="AZ43" s="52">
        <v>2086170</v>
      </c>
      <c r="BA43" s="52">
        <v>174515</v>
      </c>
      <c r="BB43" s="52">
        <v>510241</v>
      </c>
      <c r="BC43" s="52">
        <v>113673</v>
      </c>
      <c r="BD43" s="52">
        <v>700795</v>
      </c>
      <c r="BE43" s="52">
        <v>61536</v>
      </c>
      <c r="BF43" s="52">
        <v>5414834</v>
      </c>
      <c r="BG43" s="52">
        <v>117856</v>
      </c>
      <c r="BH43" s="52">
        <v>1123061</v>
      </c>
      <c r="BI43" s="52">
        <v>1761</v>
      </c>
      <c r="BJ43" s="52">
        <v>395462</v>
      </c>
      <c r="BK43" s="52">
        <v>53626</v>
      </c>
      <c r="BL43" s="52">
        <v>184128</v>
      </c>
      <c r="BM43" s="52">
        <v>3590996</v>
      </c>
      <c r="BN43" s="52">
        <v>1607261</v>
      </c>
      <c r="BO43" s="52">
        <v>956641</v>
      </c>
      <c r="BP43" s="52">
        <v>729275</v>
      </c>
      <c r="BQ43" s="52">
        <v>4274675</v>
      </c>
      <c r="BR43" s="52">
        <v>79473</v>
      </c>
      <c r="BS43" s="52"/>
      <c r="BT43" s="52">
        <v>239985</v>
      </c>
      <c r="BU43" s="52">
        <v>118335</v>
      </c>
      <c r="BV43" s="52">
        <v>31826</v>
      </c>
      <c r="BW43" s="52">
        <v>117076</v>
      </c>
      <c r="BX43" s="52">
        <v>343939</v>
      </c>
      <c r="BY43" s="52">
        <v>503629</v>
      </c>
      <c r="BZ43" s="52">
        <v>794856</v>
      </c>
      <c r="CA43" s="52"/>
      <c r="CB43" s="52">
        <v>526801</v>
      </c>
      <c r="CC43" s="52">
        <v>490522</v>
      </c>
      <c r="CD43" s="52">
        <v>256965</v>
      </c>
      <c r="CE43" s="52">
        <v>28697</v>
      </c>
      <c r="CF43" s="52">
        <v>1783443</v>
      </c>
      <c r="CG43" s="52">
        <v>2337707</v>
      </c>
      <c r="CH43" s="52">
        <v>4204176</v>
      </c>
      <c r="CI43" s="52">
        <v>381580</v>
      </c>
      <c r="CJ43" s="52">
        <v>728556</v>
      </c>
      <c r="CK43" s="52">
        <v>1565510</v>
      </c>
      <c r="CL43" s="52">
        <v>475228</v>
      </c>
      <c r="CM43" s="52">
        <v>493432</v>
      </c>
      <c r="CN43" s="52">
        <v>1164826</v>
      </c>
      <c r="CO43" s="52">
        <v>592774</v>
      </c>
      <c r="CP43" s="52">
        <v>690193</v>
      </c>
      <c r="CQ43" s="52">
        <v>53806</v>
      </c>
      <c r="CR43" s="52"/>
      <c r="CS43" s="52">
        <v>215400</v>
      </c>
      <c r="CT43" s="52">
        <v>772672</v>
      </c>
      <c r="CU43" s="52">
        <v>618226</v>
      </c>
      <c r="CV43" s="52"/>
      <c r="CW43" s="52">
        <v>7578</v>
      </c>
      <c r="CX43" s="52">
        <v>552384</v>
      </c>
      <c r="CY43" s="52">
        <v>771660</v>
      </c>
      <c r="CZ43" s="52">
        <v>638031</v>
      </c>
      <c r="DA43" s="52">
        <v>2927230</v>
      </c>
      <c r="DB43" s="52">
        <v>947352</v>
      </c>
      <c r="DC43" s="52"/>
      <c r="DD43" s="52"/>
      <c r="DE43" s="52">
        <v>93119161</v>
      </c>
      <c r="DF43" s="52"/>
      <c r="DG43" s="52">
        <v>93119161</v>
      </c>
      <c r="DH43" s="52"/>
    </row>
    <row r="44" spans="1:112">
      <c r="A44" s="150" t="s">
        <v>410</v>
      </c>
      <c r="B44" s="44">
        <v>1900</v>
      </c>
      <c r="C44" s="44" t="s">
        <v>79</v>
      </c>
      <c r="D44" s="52"/>
      <c r="E44" s="52"/>
      <c r="F44" s="52"/>
      <c r="G44" s="52"/>
      <c r="H44" s="56"/>
      <c r="I44" s="56"/>
      <c r="J44" s="56"/>
      <c r="K44" s="56"/>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101"/>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row>
    <row r="45" spans="1:112">
      <c r="A45" s="150" t="s">
        <v>410</v>
      </c>
      <c r="B45" s="44">
        <v>1910</v>
      </c>
      <c r="C45" s="44" t="s">
        <v>80</v>
      </c>
      <c r="D45" s="52"/>
      <c r="E45" s="52">
        <v>39477</v>
      </c>
      <c r="F45" s="52">
        <v>5515</v>
      </c>
      <c r="G45" s="52"/>
      <c r="H45" s="56">
        <v>10850</v>
      </c>
      <c r="I45" s="56">
        <v>5098</v>
      </c>
      <c r="J45" s="56"/>
      <c r="K45" s="56"/>
      <c r="L45" s="52">
        <v>37893</v>
      </c>
      <c r="M45" s="52"/>
      <c r="N45" s="52"/>
      <c r="O45" s="52">
        <v>540</v>
      </c>
      <c r="P45" s="52">
        <v>3690</v>
      </c>
      <c r="Q45" s="52"/>
      <c r="R45" s="52"/>
      <c r="S45" s="52">
        <v>1130</v>
      </c>
      <c r="T45" s="52"/>
      <c r="U45" s="52">
        <v>1555</v>
      </c>
      <c r="V45" s="52">
        <v>18392</v>
      </c>
      <c r="W45" s="52">
        <v>302338</v>
      </c>
      <c r="X45" s="52"/>
      <c r="Y45" s="52">
        <v>411122</v>
      </c>
      <c r="Z45" s="52">
        <v>6735</v>
      </c>
      <c r="AA45" s="52">
        <v>22796</v>
      </c>
      <c r="AB45" s="52">
        <v>4086</v>
      </c>
      <c r="AC45" s="52">
        <v>20409</v>
      </c>
      <c r="AD45" s="52">
        <v>14936</v>
      </c>
      <c r="AE45" s="52">
        <v>825</v>
      </c>
      <c r="AF45" s="52"/>
      <c r="AG45" s="52"/>
      <c r="AH45" s="52">
        <v>7661</v>
      </c>
      <c r="AI45" s="52"/>
      <c r="AJ45" s="52"/>
      <c r="AK45" s="52">
        <v>3000</v>
      </c>
      <c r="AL45" s="52">
        <v>150</v>
      </c>
      <c r="AM45" s="52"/>
      <c r="AN45" s="52">
        <v>12265</v>
      </c>
      <c r="AO45" s="52">
        <v>12515</v>
      </c>
      <c r="AP45" s="52"/>
      <c r="AQ45" s="52">
        <v>800</v>
      </c>
      <c r="AR45" s="52">
        <v>2358</v>
      </c>
      <c r="AS45" s="52">
        <v>43709</v>
      </c>
      <c r="AT45" s="52"/>
      <c r="AU45" s="52">
        <v>16326</v>
      </c>
      <c r="AV45" s="52"/>
      <c r="AW45" s="52">
        <v>560</v>
      </c>
      <c r="AX45" s="52">
        <v>35970</v>
      </c>
      <c r="AY45" s="101">
        <v>33981</v>
      </c>
      <c r="AZ45" s="52">
        <v>14770</v>
      </c>
      <c r="BA45" s="52"/>
      <c r="BB45" s="52"/>
      <c r="BC45" s="52"/>
      <c r="BD45" s="52">
        <v>760</v>
      </c>
      <c r="BE45" s="52">
        <v>8412</v>
      </c>
      <c r="BF45" s="52">
        <v>109152</v>
      </c>
      <c r="BG45" s="52"/>
      <c r="BH45" s="52">
        <v>25933</v>
      </c>
      <c r="BI45" s="52">
        <v>46588</v>
      </c>
      <c r="BJ45" s="52"/>
      <c r="BK45" s="52">
        <v>683</v>
      </c>
      <c r="BL45" s="52"/>
      <c r="BM45" s="52">
        <v>225915</v>
      </c>
      <c r="BN45" s="52"/>
      <c r="BO45" s="52">
        <v>50098</v>
      </c>
      <c r="BP45" s="52">
        <v>17870</v>
      </c>
      <c r="BQ45" s="52">
        <v>55418</v>
      </c>
      <c r="BR45" s="52">
        <v>11519</v>
      </c>
      <c r="BS45" s="52">
        <v>2700</v>
      </c>
      <c r="BT45" s="52">
        <v>14942</v>
      </c>
      <c r="BU45" s="52">
        <v>19660</v>
      </c>
      <c r="BV45" s="52">
        <v>3616</v>
      </c>
      <c r="BW45" s="52">
        <v>1550</v>
      </c>
      <c r="BX45" s="52">
        <v>5341</v>
      </c>
      <c r="BY45" s="52">
        <v>5854</v>
      </c>
      <c r="BZ45" s="52">
        <v>15836</v>
      </c>
      <c r="CA45" s="52"/>
      <c r="CB45" s="52">
        <v>20041</v>
      </c>
      <c r="CC45" s="52">
        <v>51510</v>
      </c>
      <c r="CD45" s="52">
        <v>20553</v>
      </c>
      <c r="CE45" s="52"/>
      <c r="CF45" s="52">
        <v>34581</v>
      </c>
      <c r="CG45" s="52">
        <v>44289</v>
      </c>
      <c r="CH45" s="52">
        <v>138410</v>
      </c>
      <c r="CI45" s="52"/>
      <c r="CJ45" s="52"/>
      <c r="CK45" s="52">
        <v>4000</v>
      </c>
      <c r="CL45" s="52"/>
      <c r="CM45" s="52">
        <v>3022</v>
      </c>
      <c r="CN45" s="52">
        <v>18175</v>
      </c>
      <c r="CO45" s="52">
        <v>86090</v>
      </c>
      <c r="CP45" s="52">
        <v>52928</v>
      </c>
      <c r="CQ45" s="52"/>
      <c r="CR45" s="52"/>
      <c r="CS45" s="52"/>
      <c r="CT45" s="52">
        <v>35725</v>
      </c>
      <c r="CU45" s="52">
        <v>60065</v>
      </c>
      <c r="CV45" s="52"/>
      <c r="CW45" s="52">
        <v>4581</v>
      </c>
      <c r="CX45" s="52">
        <v>140</v>
      </c>
      <c r="CY45" s="52">
        <v>1400</v>
      </c>
      <c r="CZ45" s="52">
        <v>25390</v>
      </c>
      <c r="DA45" s="52">
        <v>49843</v>
      </c>
      <c r="DB45" s="52">
        <v>28610</v>
      </c>
      <c r="DC45" s="52"/>
      <c r="DD45" s="52"/>
      <c r="DE45" s="52">
        <v>2392652</v>
      </c>
      <c r="DF45" s="52"/>
      <c r="DG45" s="52">
        <v>2392652</v>
      </c>
      <c r="DH45" s="52"/>
    </row>
    <row r="46" spans="1:112">
      <c r="A46" s="150" t="s">
        <v>410</v>
      </c>
      <c r="B46" s="44">
        <v>1920</v>
      </c>
      <c r="C46" s="44" t="s">
        <v>81</v>
      </c>
      <c r="D46" s="52">
        <v>10351</v>
      </c>
      <c r="E46" s="52">
        <v>430471</v>
      </c>
      <c r="F46" s="52">
        <v>5483</v>
      </c>
      <c r="G46" s="52">
        <v>300000</v>
      </c>
      <c r="H46" s="56">
        <v>123801</v>
      </c>
      <c r="I46" s="56">
        <v>187152</v>
      </c>
      <c r="J46" s="56"/>
      <c r="K46" s="56">
        <v>27106</v>
      </c>
      <c r="L46" s="52">
        <v>114319</v>
      </c>
      <c r="M46" s="52">
        <v>8178</v>
      </c>
      <c r="N46" s="52"/>
      <c r="O46" s="52">
        <v>11725</v>
      </c>
      <c r="P46" s="52">
        <v>86618</v>
      </c>
      <c r="Q46" s="52"/>
      <c r="R46" s="52">
        <v>536</v>
      </c>
      <c r="S46" s="52">
        <v>21130</v>
      </c>
      <c r="T46" s="52"/>
      <c r="U46" s="52">
        <v>18622</v>
      </c>
      <c r="V46" s="52"/>
      <c r="W46" s="52">
        <v>492671</v>
      </c>
      <c r="X46" s="52">
        <v>1200</v>
      </c>
      <c r="Y46" s="52">
        <v>586189</v>
      </c>
      <c r="Z46" s="52">
        <v>21535</v>
      </c>
      <c r="AA46" s="52">
        <v>44768</v>
      </c>
      <c r="AB46" s="52"/>
      <c r="AC46" s="52"/>
      <c r="AD46" s="52">
        <v>49394</v>
      </c>
      <c r="AE46" s="52">
        <v>16342</v>
      </c>
      <c r="AF46" s="52"/>
      <c r="AG46" s="52"/>
      <c r="AH46" s="52">
        <v>739569</v>
      </c>
      <c r="AI46" s="52"/>
      <c r="AJ46" s="52">
        <v>4227</v>
      </c>
      <c r="AK46" s="52">
        <v>13714</v>
      </c>
      <c r="AL46" s="52">
        <v>13586</v>
      </c>
      <c r="AM46" s="52">
        <v>14750</v>
      </c>
      <c r="AN46" s="52">
        <v>117372</v>
      </c>
      <c r="AO46" s="52"/>
      <c r="AP46" s="52"/>
      <c r="AQ46" s="52"/>
      <c r="AR46" s="52">
        <v>57941</v>
      </c>
      <c r="AS46" s="52">
        <v>400167</v>
      </c>
      <c r="AT46" s="52"/>
      <c r="AU46" s="52">
        <v>4537</v>
      </c>
      <c r="AV46" s="52">
        <v>2250</v>
      </c>
      <c r="AW46" s="52"/>
      <c r="AX46" s="52">
        <v>289173</v>
      </c>
      <c r="AY46" s="101">
        <v>5957518</v>
      </c>
      <c r="AZ46" s="52">
        <v>1150</v>
      </c>
      <c r="BA46" s="52"/>
      <c r="BB46" s="52">
        <v>26666</v>
      </c>
      <c r="BC46" s="52"/>
      <c r="BD46" s="52">
        <v>51858</v>
      </c>
      <c r="BE46" s="52">
        <v>14485</v>
      </c>
      <c r="BF46" s="52">
        <v>233344</v>
      </c>
      <c r="BG46" s="52"/>
      <c r="BH46" s="52">
        <v>147765</v>
      </c>
      <c r="BI46" s="52">
        <v>1268855</v>
      </c>
      <c r="BJ46" s="52">
        <v>13127</v>
      </c>
      <c r="BK46" s="52">
        <v>11908</v>
      </c>
      <c r="BL46" s="52">
        <v>24855</v>
      </c>
      <c r="BM46" s="52"/>
      <c r="BN46" s="52">
        <v>3000</v>
      </c>
      <c r="BO46" s="52"/>
      <c r="BP46" s="52">
        <v>648726</v>
      </c>
      <c r="BQ46" s="52">
        <v>144917</v>
      </c>
      <c r="BR46" s="52">
        <v>1387</v>
      </c>
      <c r="BS46" s="52">
        <v>250</v>
      </c>
      <c r="BT46" s="52">
        <v>82306</v>
      </c>
      <c r="BU46" s="52">
        <v>3891</v>
      </c>
      <c r="BV46" s="52">
        <v>8209</v>
      </c>
      <c r="BW46" s="52">
        <v>25969</v>
      </c>
      <c r="BX46" s="52">
        <v>181435</v>
      </c>
      <c r="BY46" s="52">
        <v>106848</v>
      </c>
      <c r="BZ46" s="52">
        <v>312479</v>
      </c>
      <c r="CA46" s="52"/>
      <c r="CB46" s="52">
        <v>5500</v>
      </c>
      <c r="CC46" s="52">
        <v>9255</v>
      </c>
      <c r="CD46" s="52">
        <v>16806</v>
      </c>
      <c r="CE46" s="52"/>
      <c r="CF46" s="52">
        <v>205995</v>
      </c>
      <c r="CG46" s="52">
        <v>12379</v>
      </c>
      <c r="CH46" s="52">
        <v>80191</v>
      </c>
      <c r="CI46" s="52"/>
      <c r="CJ46" s="52">
        <v>92854</v>
      </c>
      <c r="CK46" s="52">
        <v>14168</v>
      </c>
      <c r="CL46" s="52">
        <v>26039</v>
      </c>
      <c r="CM46" s="52">
        <v>2374512</v>
      </c>
      <c r="CN46" s="52">
        <v>5748</v>
      </c>
      <c r="CO46" s="52">
        <v>202887</v>
      </c>
      <c r="CP46" s="52">
        <v>269579</v>
      </c>
      <c r="CQ46" s="52">
        <v>33832</v>
      </c>
      <c r="CR46" s="52"/>
      <c r="CS46" s="52"/>
      <c r="CT46" s="52">
        <v>85609</v>
      </c>
      <c r="CU46" s="52">
        <v>13080</v>
      </c>
      <c r="CV46" s="52"/>
      <c r="CW46" s="52">
        <v>9636</v>
      </c>
      <c r="CX46" s="52">
        <v>2050</v>
      </c>
      <c r="CY46" s="52">
        <v>23131</v>
      </c>
      <c r="CZ46" s="52">
        <v>2200</v>
      </c>
      <c r="DA46" s="52">
        <v>38076</v>
      </c>
      <c r="DB46" s="52">
        <v>113516</v>
      </c>
      <c r="DC46" s="52"/>
      <c r="DD46" s="52"/>
      <c r="DE46" s="52">
        <v>17122868</v>
      </c>
      <c r="DF46" s="52"/>
      <c r="DG46" s="52">
        <v>17122868</v>
      </c>
      <c r="DH46" s="52"/>
    </row>
    <row r="47" spans="1:112">
      <c r="A47" s="150" t="s">
        <v>410</v>
      </c>
      <c r="B47" s="44">
        <v>1930</v>
      </c>
      <c r="C47" s="44" t="s">
        <v>82</v>
      </c>
      <c r="D47" s="52">
        <v>238093</v>
      </c>
      <c r="E47" s="52">
        <v>783662</v>
      </c>
      <c r="F47" s="52">
        <v>123308</v>
      </c>
      <c r="G47" s="52"/>
      <c r="H47" s="56">
        <v>250322</v>
      </c>
      <c r="I47" s="56">
        <v>339304</v>
      </c>
      <c r="J47" s="56">
        <v>348809</v>
      </c>
      <c r="K47" s="56">
        <v>197903</v>
      </c>
      <c r="L47" s="52">
        <v>1024193</v>
      </c>
      <c r="M47" s="52"/>
      <c r="N47" s="52"/>
      <c r="O47" s="52">
        <v>118057</v>
      </c>
      <c r="P47" s="52">
        <v>233135</v>
      </c>
      <c r="Q47" s="52">
        <v>35406</v>
      </c>
      <c r="R47" s="52">
        <v>89694</v>
      </c>
      <c r="S47" s="52">
        <v>274088</v>
      </c>
      <c r="T47" s="52"/>
      <c r="U47" s="52">
        <v>589615</v>
      </c>
      <c r="V47" s="52"/>
      <c r="W47" s="52">
        <v>1853575</v>
      </c>
      <c r="X47" s="52">
        <v>393959</v>
      </c>
      <c r="Y47" s="52">
        <v>2350405</v>
      </c>
      <c r="Z47" s="52">
        <v>808773</v>
      </c>
      <c r="AA47" s="52">
        <v>678057</v>
      </c>
      <c r="AB47" s="52">
        <v>418531</v>
      </c>
      <c r="AC47" s="52">
        <v>48749</v>
      </c>
      <c r="AD47" s="52">
        <v>528029</v>
      </c>
      <c r="AE47" s="52">
        <v>47717</v>
      </c>
      <c r="AF47" s="52"/>
      <c r="AG47" s="52">
        <v>590638</v>
      </c>
      <c r="AH47" s="52">
        <v>698851</v>
      </c>
      <c r="AI47" s="52"/>
      <c r="AJ47" s="52">
        <v>93836</v>
      </c>
      <c r="AK47" s="52">
        <v>145610</v>
      </c>
      <c r="AL47" s="52">
        <v>72044</v>
      </c>
      <c r="AM47" s="52"/>
      <c r="AN47" s="52">
        <v>396232</v>
      </c>
      <c r="AO47" s="52">
        <v>514672</v>
      </c>
      <c r="AP47" s="52"/>
      <c r="AQ47" s="52">
        <v>204151</v>
      </c>
      <c r="AR47" s="52">
        <v>513930</v>
      </c>
      <c r="AS47" s="52">
        <v>1453990</v>
      </c>
      <c r="AT47" s="52">
        <v>550350</v>
      </c>
      <c r="AU47" s="52">
        <v>294671</v>
      </c>
      <c r="AV47" s="52">
        <v>86627</v>
      </c>
      <c r="AW47" s="52">
        <v>1740184</v>
      </c>
      <c r="AX47" s="52">
        <v>1333471</v>
      </c>
      <c r="AY47" s="101">
        <v>3496993</v>
      </c>
      <c r="AZ47" s="52">
        <v>191334</v>
      </c>
      <c r="BA47" s="52">
        <v>128742</v>
      </c>
      <c r="BB47" s="52">
        <v>16760</v>
      </c>
      <c r="BC47" s="52"/>
      <c r="BD47" s="52">
        <v>170077</v>
      </c>
      <c r="BE47" s="52">
        <v>70043</v>
      </c>
      <c r="BF47" s="52">
        <v>4472998</v>
      </c>
      <c r="BG47" s="52">
        <v>499539</v>
      </c>
      <c r="BH47" s="52">
        <v>451070</v>
      </c>
      <c r="BI47" s="52">
        <v>567769</v>
      </c>
      <c r="BJ47" s="52">
        <v>540947</v>
      </c>
      <c r="BK47" s="52">
        <v>794363</v>
      </c>
      <c r="BL47" s="52">
        <v>300706</v>
      </c>
      <c r="BM47" s="52">
        <v>360538</v>
      </c>
      <c r="BN47" s="52">
        <v>429272</v>
      </c>
      <c r="BO47" s="52">
        <v>253791</v>
      </c>
      <c r="BP47" s="52">
        <v>193043</v>
      </c>
      <c r="BQ47" s="52">
        <v>417085</v>
      </c>
      <c r="BR47" s="52">
        <v>12552</v>
      </c>
      <c r="BS47" s="52"/>
      <c r="BT47" s="52">
        <v>1312128</v>
      </c>
      <c r="BU47" s="52">
        <v>1509980</v>
      </c>
      <c r="BV47" s="52">
        <v>106564</v>
      </c>
      <c r="BW47" s="52"/>
      <c r="BX47" s="52">
        <v>171</v>
      </c>
      <c r="BY47" s="52">
        <v>554201</v>
      </c>
      <c r="BZ47" s="52">
        <v>1594002</v>
      </c>
      <c r="CA47" s="52"/>
      <c r="CB47" s="52">
        <v>911362</v>
      </c>
      <c r="CC47" s="52">
        <v>114493</v>
      </c>
      <c r="CD47" s="52">
        <v>704507</v>
      </c>
      <c r="CE47" s="52"/>
      <c r="CF47" s="52">
        <v>1443111</v>
      </c>
      <c r="CG47" s="52">
        <v>100898</v>
      </c>
      <c r="CH47" s="52">
        <v>8227</v>
      </c>
      <c r="CI47" s="52">
        <v>87864</v>
      </c>
      <c r="CJ47" s="52">
        <v>589137</v>
      </c>
      <c r="CK47" s="52">
        <v>374281</v>
      </c>
      <c r="CL47" s="52">
        <v>256458</v>
      </c>
      <c r="CM47" s="52">
        <v>199092</v>
      </c>
      <c r="CN47" s="52">
        <v>268419</v>
      </c>
      <c r="CO47" s="52">
        <v>637906</v>
      </c>
      <c r="CP47" s="52">
        <v>3879610</v>
      </c>
      <c r="CQ47" s="52"/>
      <c r="CR47" s="52"/>
      <c r="CS47" s="52"/>
      <c r="CT47" s="52">
        <v>398887</v>
      </c>
      <c r="CU47" s="52">
        <v>667104</v>
      </c>
      <c r="CV47" s="52"/>
      <c r="CW47" s="52">
        <v>330357</v>
      </c>
      <c r="CX47" s="52">
        <v>1948021</v>
      </c>
      <c r="CY47" s="52">
        <v>471917</v>
      </c>
      <c r="CZ47" s="52">
        <v>295421</v>
      </c>
      <c r="DA47" s="52">
        <v>447408</v>
      </c>
      <c r="DB47" s="52">
        <v>298026</v>
      </c>
      <c r="DC47" s="52"/>
      <c r="DD47" s="52"/>
      <c r="DE47" s="52">
        <v>53339815</v>
      </c>
      <c r="DF47" s="52"/>
      <c r="DG47" s="52">
        <v>53339815</v>
      </c>
      <c r="DH47" s="52"/>
    </row>
    <row r="48" spans="1:112">
      <c r="A48" s="150" t="s">
        <v>410</v>
      </c>
      <c r="B48" s="44">
        <v>1931</v>
      </c>
      <c r="C48" s="44" t="s">
        <v>83</v>
      </c>
      <c r="D48" s="52"/>
      <c r="E48" s="52"/>
      <c r="F48" s="52">
        <v>51175</v>
      </c>
      <c r="G48" s="52"/>
      <c r="H48" s="56"/>
      <c r="I48" s="56"/>
      <c r="J48" s="56"/>
      <c r="K48" s="56"/>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101">
        <v>29570</v>
      </c>
      <c r="AZ48" s="52"/>
      <c r="BA48" s="52"/>
      <c r="BB48" s="52"/>
      <c r="BC48" s="52"/>
      <c r="BD48" s="52"/>
      <c r="BE48" s="52"/>
      <c r="BF48" s="52"/>
      <c r="BG48" s="52"/>
      <c r="BH48" s="52"/>
      <c r="BI48" s="52"/>
      <c r="BJ48" s="52">
        <v>56951</v>
      </c>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v>137696</v>
      </c>
      <c r="DF48" s="52"/>
      <c r="DG48" s="52">
        <v>137696</v>
      </c>
      <c r="DH48" s="52"/>
    </row>
    <row r="49" spans="1:113">
      <c r="A49" s="150" t="s">
        <v>410</v>
      </c>
      <c r="B49" s="44">
        <v>1950</v>
      </c>
      <c r="C49" s="44" t="s">
        <v>84</v>
      </c>
      <c r="D49" s="52">
        <v>47505</v>
      </c>
      <c r="E49" s="52">
        <v>62260</v>
      </c>
      <c r="F49" s="52"/>
      <c r="G49" s="52"/>
      <c r="H49" s="56">
        <v>21081</v>
      </c>
      <c r="I49" s="56"/>
      <c r="J49" s="56"/>
      <c r="K49" s="56"/>
      <c r="L49" s="52">
        <v>42532</v>
      </c>
      <c r="M49" s="52"/>
      <c r="N49" s="52">
        <v>4056</v>
      </c>
      <c r="O49" s="52"/>
      <c r="P49" s="52">
        <v>2818</v>
      </c>
      <c r="Q49" s="52"/>
      <c r="R49" s="52"/>
      <c r="S49" s="52"/>
      <c r="T49" s="52"/>
      <c r="U49" s="52">
        <v>8567</v>
      </c>
      <c r="V49" s="52"/>
      <c r="W49" s="52"/>
      <c r="X49" s="52">
        <v>47560</v>
      </c>
      <c r="Y49" s="52">
        <v>921293</v>
      </c>
      <c r="Z49" s="52">
        <v>20732</v>
      </c>
      <c r="AA49" s="52">
        <v>711</v>
      </c>
      <c r="AB49" s="52">
        <v>3383</v>
      </c>
      <c r="AC49" s="52"/>
      <c r="AD49" s="52">
        <v>18061</v>
      </c>
      <c r="AE49" s="52"/>
      <c r="AF49" s="52"/>
      <c r="AG49" s="52"/>
      <c r="AH49" s="52"/>
      <c r="AI49" s="52"/>
      <c r="AJ49" s="52">
        <v>549</v>
      </c>
      <c r="AK49" s="52">
        <v>11146</v>
      </c>
      <c r="AL49" s="52">
        <v>5722</v>
      </c>
      <c r="AM49" s="52"/>
      <c r="AN49" s="52"/>
      <c r="AO49" s="52">
        <v>67201</v>
      </c>
      <c r="AP49" s="52"/>
      <c r="AQ49" s="52"/>
      <c r="AR49" s="52">
        <v>25032</v>
      </c>
      <c r="AS49" s="52">
        <v>2256</v>
      </c>
      <c r="AT49" s="52"/>
      <c r="AU49" s="52">
        <v>340</v>
      </c>
      <c r="AV49" s="52"/>
      <c r="AW49" s="52"/>
      <c r="AX49" s="52">
        <v>1715</v>
      </c>
      <c r="AY49" s="101"/>
      <c r="AZ49" s="52"/>
      <c r="BA49" s="52">
        <v>2452</v>
      </c>
      <c r="BB49" s="52"/>
      <c r="BC49" s="52"/>
      <c r="BD49" s="52">
        <v>17886</v>
      </c>
      <c r="BE49" s="52">
        <v>52780</v>
      </c>
      <c r="BF49" s="52">
        <v>68530</v>
      </c>
      <c r="BG49" s="52">
        <v>2500</v>
      </c>
      <c r="BH49" s="52"/>
      <c r="BI49" s="52"/>
      <c r="BJ49" s="52">
        <v>39572</v>
      </c>
      <c r="BK49" s="52">
        <v>5359</v>
      </c>
      <c r="BL49" s="52">
        <v>135</v>
      </c>
      <c r="BM49" s="52">
        <v>12858</v>
      </c>
      <c r="BN49" s="52">
        <v>13675</v>
      </c>
      <c r="BO49" s="52"/>
      <c r="BP49" s="52"/>
      <c r="BQ49" s="52">
        <v>-4752</v>
      </c>
      <c r="BR49" s="52">
        <v>18046</v>
      </c>
      <c r="BS49" s="52">
        <v>60</v>
      </c>
      <c r="BT49" s="52">
        <v>1107</v>
      </c>
      <c r="BU49" s="52">
        <v>27202</v>
      </c>
      <c r="BV49" s="52">
        <v>848</v>
      </c>
      <c r="BW49" s="52"/>
      <c r="BX49" s="52">
        <v>1807</v>
      </c>
      <c r="BY49" s="52">
        <v>2683</v>
      </c>
      <c r="BZ49" s="52">
        <v>40326</v>
      </c>
      <c r="CA49" s="52"/>
      <c r="CB49" s="52"/>
      <c r="CC49" s="52">
        <v>98077</v>
      </c>
      <c r="CD49" s="52"/>
      <c r="CE49" s="52"/>
      <c r="CF49" s="52"/>
      <c r="CG49" s="52">
        <v>-131013</v>
      </c>
      <c r="CH49" s="52">
        <v>573614</v>
      </c>
      <c r="CI49" s="52"/>
      <c r="CJ49" s="52">
        <v>1022</v>
      </c>
      <c r="CK49" s="52"/>
      <c r="CL49" s="52"/>
      <c r="CM49" s="52"/>
      <c r="CN49" s="52">
        <v>65</v>
      </c>
      <c r="CO49" s="52">
        <v>1829</v>
      </c>
      <c r="CP49" s="52">
        <v>40018</v>
      </c>
      <c r="CQ49" s="52"/>
      <c r="CR49" s="52"/>
      <c r="CS49" s="52"/>
      <c r="CT49" s="52">
        <v>44311</v>
      </c>
      <c r="CU49" s="52">
        <v>92730</v>
      </c>
      <c r="CV49" s="52"/>
      <c r="CW49" s="52">
        <v>1140</v>
      </c>
      <c r="CX49" s="52">
        <v>3475</v>
      </c>
      <c r="CY49" s="52"/>
      <c r="CZ49" s="52"/>
      <c r="DA49" s="52"/>
      <c r="DB49" s="52">
        <v>522</v>
      </c>
      <c r="DC49" s="52"/>
      <c r="DD49" s="52"/>
      <c r="DE49" s="52">
        <v>2343384</v>
      </c>
      <c r="DF49" s="52"/>
      <c r="DG49" s="52">
        <v>2343384</v>
      </c>
      <c r="DH49" s="52"/>
    </row>
    <row r="50" spans="1:113">
      <c r="A50" s="150" t="s">
        <v>410</v>
      </c>
      <c r="B50" s="44">
        <v>1992</v>
      </c>
      <c r="C50" s="44" t="s">
        <v>86</v>
      </c>
      <c r="D50" s="52"/>
      <c r="E50" s="52"/>
      <c r="F50" s="52"/>
      <c r="G50" s="52"/>
      <c r="H50" s="56">
        <v>34546</v>
      </c>
      <c r="I50" s="56"/>
      <c r="J50" s="56"/>
      <c r="K50" s="56"/>
      <c r="L50" s="52"/>
      <c r="M50" s="52">
        <v>9932</v>
      </c>
      <c r="N50" s="52"/>
      <c r="O50" s="52"/>
      <c r="P50" s="52"/>
      <c r="Q50" s="52"/>
      <c r="R50" s="52"/>
      <c r="S50" s="52"/>
      <c r="T50" s="52"/>
      <c r="U50" s="52"/>
      <c r="V50" s="52"/>
      <c r="W50" s="52"/>
      <c r="X50" s="52"/>
      <c r="Y50" s="52">
        <v>422227</v>
      </c>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101">
        <v>8047</v>
      </c>
      <c r="AZ50" s="52"/>
      <c r="BA50" s="52"/>
      <c r="BB50" s="52"/>
      <c r="BC50" s="52"/>
      <c r="BD50" s="52"/>
      <c r="BE50" s="52"/>
      <c r="BF50" s="52"/>
      <c r="BG50" s="52"/>
      <c r="BH50" s="52"/>
      <c r="BI50" s="52"/>
      <c r="BJ50" s="52"/>
      <c r="BK50" s="52"/>
      <c r="BL50" s="52"/>
      <c r="BM50" s="52"/>
      <c r="BN50" s="52"/>
      <c r="BO50" s="52"/>
      <c r="BP50" s="52">
        <v>4565</v>
      </c>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v>37</v>
      </c>
      <c r="CV50" s="52"/>
      <c r="CW50" s="52"/>
      <c r="CX50" s="52"/>
      <c r="CY50" s="52"/>
      <c r="CZ50" s="52">
        <v>17139</v>
      </c>
      <c r="DA50" s="52"/>
      <c r="DB50" s="52"/>
      <c r="DC50" s="52"/>
      <c r="DD50" s="52"/>
      <c r="DE50" s="52">
        <v>496493</v>
      </c>
      <c r="DF50" s="52"/>
      <c r="DG50" s="52">
        <v>496493</v>
      </c>
      <c r="DH50" s="52"/>
    </row>
    <row r="51" spans="1:113">
      <c r="A51" s="150" t="s">
        <v>410</v>
      </c>
      <c r="B51" s="44">
        <v>1993</v>
      </c>
      <c r="C51" s="44" t="s">
        <v>87</v>
      </c>
      <c r="D51" s="52">
        <v>40028</v>
      </c>
      <c r="E51" s="52">
        <v>4960</v>
      </c>
      <c r="F51" s="52"/>
      <c r="G51" s="52"/>
      <c r="H51" s="56">
        <v>6657</v>
      </c>
      <c r="I51" s="56"/>
      <c r="J51" s="56">
        <v>2150</v>
      </c>
      <c r="K51" s="56"/>
      <c r="L51" s="52">
        <v>9720</v>
      </c>
      <c r="M51" s="52"/>
      <c r="N51" s="52"/>
      <c r="O51" s="52">
        <v>326</v>
      </c>
      <c r="P51" s="52"/>
      <c r="Q51" s="52"/>
      <c r="R51" s="52"/>
      <c r="S51" s="52"/>
      <c r="T51" s="52"/>
      <c r="U51" s="52">
        <v>34855</v>
      </c>
      <c r="V51" s="52"/>
      <c r="W51" s="52">
        <v>102357</v>
      </c>
      <c r="X51" s="52"/>
      <c r="Y51" s="52">
        <v>609444</v>
      </c>
      <c r="Z51" s="52">
        <v>1020</v>
      </c>
      <c r="AA51" s="52"/>
      <c r="AB51" s="52"/>
      <c r="AC51" s="52"/>
      <c r="AD51" s="52">
        <v>16017</v>
      </c>
      <c r="AE51" s="52"/>
      <c r="AF51" s="52"/>
      <c r="AG51" s="52"/>
      <c r="AH51" s="52"/>
      <c r="AI51" s="52"/>
      <c r="AJ51" s="52">
        <v>23908</v>
      </c>
      <c r="AK51" s="52">
        <v>15490</v>
      </c>
      <c r="AL51" s="52"/>
      <c r="AM51" s="52"/>
      <c r="AN51" s="52">
        <v>103196</v>
      </c>
      <c r="AO51" s="52">
        <v>50386</v>
      </c>
      <c r="AP51" s="52"/>
      <c r="AQ51" s="52"/>
      <c r="AR51" s="52"/>
      <c r="AS51" s="52">
        <v>10517</v>
      </c>
      <c r="AT51" s="52"/>
      <c r="AU51" s="52"/>
      <c r="AV51" s="52"/>
      <c r="AW51" s="52"/>
      <c r="AX51" s="52">
        <v>17222</v>
      </c>
      <c r="AY51" s="101">
        <v>88248</v>
      </c>
      <c r="AZ51" s="52">
        <v>32120</v>
      </c>
      <c r="BA51" s="52">
        <v>3412</v>
      </c>
      <c r="BB51" s="52"/>
      <c r="BC51" s="52"/>
      <c r="BD51" s="52">
        <v>920</v>
      </c>
      <c r="BE51" s="52">
        <v>1508</v>
      </c>
      <c r="BF51" s="52">
        <v>66724</v>
      </c>
      <c r="BG51" s="52">
        <v>8155</v>
      </c>
      <c r="BH51" s="52"/>
      <c r="BI51" s="52">
        <v>45600</v>
      </c>
      <c r="BJ51" s="52"/>
      <c r="BK51" s="52">
        <v>55899</v>
      </c>
      <c r="BL51" s="52"/>
      <c r="BM51" s="52">
        <v>269811</v>
      </c>
      <c r="BN51" s="52">
        <v>5593</v>
      </c>
      <c r="BO51" s="52"/>
      <c r="BP51" s="52">
        <v>24296</v>
      </c>
      <c r="BQ51" s="52"/>
      <c r="BR51" s="52">
        <v>73876</v>
      </c>
      <c r="BS51" s="52">
        <v>11003</v>
      </c>
      <c r="BT51" s="52"/>
      <c r="BU51" s="52"/>
      <c r="BV51" s="52">
        <v>126631</v>
      </c>
      <c r="BW51" s="52"/>
      <c r="BX51" s="52">
        <v>22594</v>
      </c>
      <c r="BY51" s="52">
        <v>25261</v>
      </c>
      <c r="BZ51" s="52">
        <v>40336</v>
      </c>
      <c r="CA51" s="52"/>
      <c r="CB51" s="52">
        <v>1009</v>
      </c>
      <c r="CC51" s="52"/>
      <c r="CD51" s="52">
        <v>806867</v>
      </c>
      <c r="CE51" s="52"/>
      <c r="CF51" s="52"/>
      <c r="CG51" s="52">
        <v>109350</v>
      </c>
      <c r="CH51" s="52">
        <v>7108</v>
      </c>
      <c r="CI51" s="52"/>
      <c r="CJ51" s="52">
        <v>12796</v>
      </c>
      <c r="CK51" s="52"/>
      <c r="CL51" s="52">
        <v>23866</v>
      </c>
      <c r="CM51" s="52"/>
      <c r="CN51" s="52">
        <v>52248</v>
      </c>
      <c r="CO51" s="52">
        <v>4207</v>
      </c>
      <c r="CP51" s="52">
        <v>23014</v>
      </c>
      <c r="CQ51" s="52"/>
      <c r="CR51" s="52"/>
      <c r="CS51" s="52"/>
      <c r="CT51" s="52">
        <v>28539</v>
      </c>
      <c r="CU51" s="52">
        <v>316</v>
      </c>
      <c r="CV51" s="52"/>
      <c r="CW51" s="52">
        <v>294231</v>
      </c>
      <c r="CX51" s="52"/>
      <c r="CY51" s="52"/>
      <c r="CZ51" s="52"/>
      <c r="DA51" s="52">
        <v>24663</v>
      </c>
      <c r="DB51" s="52">
        <v>62115</v>
      </c>
      <c r="DC51" s="52"/>
      <c r="DD51" s="52"/>
      <c r="DE51" s="52">
        <v>3400569</v>
      </c>
      <c r="DF51" s="52"/>
      <c r="DG51" s="52">
        <v>3400569</v>
      </c>
      <c r="DH51" s="52"/>
    </row>
    <row r="52" spans="1:113">
      <c r="A52" s="150" t="s">
        <v>410</v>
      </c>
      <c r="B52" s="44">
        <v>1994</v>
      </c>
      <c r="C52" s="44" t="s">
        <v>88</v>
      </c>
      <c r="D52" s="52"/>
      <c r="E52" s="52"/>
      <c r="F52" s="52"/>
      <c r="G52" s="52"/>
      <c r="H52" s="56"/>
      <c r="I52" s="56"/>
      <c r="J52" s="56"/>
      <c r="K52" s="56"/>
      <c r="L52" s="52"/>
      <c r="M52" s="52"/>
      <c r="N52" s="52"/>
      <c r="O52" s="52"/>
      <c r="P52" s="52"/>
      <c r="Q52" s="52"/>
      <c r="R52" s="52"/>
      <c r="S52" s="52"/>
      <c r="T52" s="52"/>
      <c r="U52" s="52"/>
      <c r="V52" s="52"/>
      <c r="W52" s="52">
        <v>4130</v>
      </c>
      <c r="X52" s="52"/>
      <c r="Y52" s="52"/>
      <c r="Z52" s="52"/>
      <c r="AA52" s="52"/>
      <c r="AB52" s="52">
        <v>99089</v>
      </c>
      <c r="AC52" s="52"/>
      <c r="AD52" s="52"/>
      <c r="AE52" s="52"/>
      <c r="AF52" s="52"/>
      <c r="AG52" s="52"/>
      <c r="AH52" s="52"/>
      <c r="AI52" s="52"/>
      <c r="AJ52" s="52"/>
      <c r="AK52" s="52"/>
      <c r="AL52" s="52"/>
      <c r="AM52" s="52"/>
      <c r="AN52" s="52"/>
      <c r="AO52" s="52"/>
      <c r="AP52" s="52"/>
      <c r="AQ52" s="52"/>
      <c r="AR52" s="52"/>
      <c r="AS52" s="52">
        <v>271790</v>
      </c>
      <c r="AT52" s="52"/>
      <c r="AU52" s="52"/>
      <c r="AV52" s="52"/>
      <c r="AW52" s="52"/>
      <c r="AX52" s="52"/>
      <c r="AY52" s="101"/>
      <c r="AZ52" s="52"/>
      <c r="BA52" s="52"/>
      <c r="BB52" s="52"/>
      <c r="BC52" s="52"/>
      <c r="BD52" s="52"/>
      <c r="BE52" s="52">
        <v>128105</v>
      </c>
      <c r="BF52" s="52">
        <v>53091</v>
      </c>
      <c r="BG52" s="52"/>
      <c r="BH52" s="52">
        <v>150000</v>
      </c>
      <c r="BI52" s="52"/>
      <c r="BJ52" s="52"/>
      <c r="BK52" s="52">
        <v>40</v>
      </c>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v>83782</v>
      </c>
      <c r="CV52" s="52"/>
      <c r="CW52" s="52"/>
      <c r="CX52" s="52"/>
      <c r="CY52" s="52"/>
      <c r="CZ52" s="52"/>
      <c r="DA52" s="52">
        <v>799051</v>
      </c>
      <c r="DB52" s="52"/>
      <c r="DC52" s="52"/>
      <c r="DD52" s="52"/>
      <c r="DE52" s="52">
        <v>1589078</v>
      </c>
      <c r="DF52" s="52"/>
      <c r="DG52" s="52">
        <v>1589078</v>
      </c>
      <c r="DH52" s="52"/>
    </row>
    <row r="53" spans="1:113">
      <c r="A53" s="150" t="s">
        <v>410</v>
      </c>
      <c r="B53" s="44">
        <v>1999</v>
      </c>
      <c r="C53" s="44" t="s">
        <v>89</v>
      </c>
      <c r="D53" s="52">
        <v>122035</v>
      </c>
      <c r="E53" s="52">
        <v>469459</v>
      </c>
      <c r="F53" s="52">
        <v>145772</v>
      </c>
      <c r="G53" s="52">
        <v>21532</v>
      </c>
      <c r="H53" s="56">
        <v>122757</v>
      </c>
      <c r="I53" s="56">
        <v>167828</v>
      </c>
      <c r="J53" s="56">
        <v>178729</v>
      </c>
      <c r="K53" s="56">
        <v>231764</v>
      </c>
      <c r="L53" s="52">
        <v>294441</v>
      </c>
      <c r="M53" s="52">
        <v>85590</v>
      </c>
      <c r="N53" s="52">
        <v>224824</v>
      </c>
      <c r="O53" s="52">
        <v>48399</v>
      </c>
      <c r="P53" s="52">
        <v>28544</v>
      </c>
      <c r="Q53" s="52">
        <v>56311</v>
      </c>
      <c r="R53" s="52">
        <v>350217</v>
      </c>
      <c r="S53" s="52">
        <v>74260</v>
      </c>
      <c r="T53" s="52">
        <v>5213</v>
      </c>
      <c r="U53" s="52">
        <v>4116544</v>
      </c>
      <c r="V53" s="52">
        <v>451165</v>
      </c>
      <c r="W53" s="52">
        <v>2094179</v>
      </c>
      <c r="X53" s="52">
        <v>93015</v>
      </c>
      <c r="Y53" s="52">
        <v>8579224</v>
      </c>
      <c r="Z53" s="52">
        <v>327087</v>
      </c>
      <c r="AA53" s="52">
        <v>534728</v>
      </c>
      <c r="AB53" s="52">
        <v>627432</v>
      </c>
      <c r="AC53" s="52">
        <v>351644</v>
      </c>
      <c r="AD53" s="52">
        <v>155508</v>
      </c>
      <c r="AE53" s="52">
        <v>113636</v>
      </c>
      <c r="AF53" s="52">
        <v>48590</v>
      </c>
      <c r="AG53" s="52">
        <v>642474</v>
      </c>
      <c r="AH53" s="52">
        <v>7213033</v>
      </c>
      <c r="AI53" s="52">
        <v>27</v>
      </c>
      <c r="AJ53" s="52">
        <v>350</v>
      </c>
      <c r="AK53" s="52">
        <v>1990</v>
      </c>
      <c r="AL53" s="52">
        <v>84227</v>
      </c>
      <c r="AM53" s="52"/>
      <c r="AN53" s="52">
        <v>4263449</v>
      </c>
      <c r="AO53" s="52">
        <v>10818</v>
      </c>
      <c r="AP53" s="52">
        <v>210</v>
      </c>
      <c r="AQ53" s="52">
        <v>108138</v>
      </c>
      <c r="AR53" s="52">
        <v>421925</v>
      </c>
      <c r="AS53" s="52">
        <v>785497</v>
      </c>
      <c r="AT53" s="52">
        <v>475219</v>
      </c>
      <c r="AU53" s="52">
        <v>110565</v>
      </c>
      <c r="AV53" s="52">
        <v>55986</v>
      </c>
      <c r="AW53" s="52">
        <v>497992</v>
      </c>
      <c r="AX53" s="52">
        <v>409361</v>
      </c>
      <c r="AY53" s="101">
        <v>2481594</v>
      </c>
      <c r="AZ53" s="52">
        <v>156617</v>
      </c>
      <c r="BA53" s="52">
        <v>60474</v>
      </c>
      <c r="BB53" s="52">
        <v>7074</v>
      </c>
      <c r="BC53" s="52"/>
      <c r="BD53" s="52">
        <v>92322</v>
      </c>
      <c r="BE53" s="52">
        <v>100019</v>
      </c>
      <c r="BF53" s="52">
        <v>2396192</v>
      </c>
      <c r="BG53" s="52">
        <v>76560</v>
      </c>
      <c r="BH53" s="52">
        <v>1176409</v>
      </c>
      <c r="BI53" s="52">
        <v>531063</v>
      </c>
      <c r="BJ53" s="52">
        <v>382188</v>
      </c>
      <c r="BK53" s="52">
        <v>132842</v>
      </c>
      <c r="BL53" s="52">
        <v>374077</v>
      </c>
      <c r="BM53" s="52">
        <v>757069</v>
      </c>
      <c r="BN53" s="52">
        <v>657938</v>
      </c>
      <c r="BO53" s="52">
        <v>80009</v>
      </c>
      <c r="BP53" s="52">
        <v>47183</v>
      </c>
      <c r="BQ53" s="52">
        <v>214746</v>
      </c>
      <c r="BR53" s="52">
        <v>315631</v>
      </c>
      <c r="BS53" s="52">
        <v>8123</v>
      </c>
      <c r="BT53" s="52">
        <v>71812</v>
      </c>
      <c r="BU53" s="52">
        <v>16430</v>
      </c>
      <c r="BV53" s="52">
        <v>56788</v>
      </c>
      <c r="BW53" s="52">
        <v>7512</v>
      </c>
      <c r="BX53" s="52">
        <v>90302</v>
      </c>
      <c r="BY53" s="52">
        <v>1392143</v>
      </c>
      <c r="BZ53" s="52">
        <v>431816</v>
      </c>
      <c r="CA53" s="52"/>
      <c r="CB53" s="52">
        <v>770250</v>
      </c>
      <c r="CC53" s="52">
        <v>25330</v>
      </c>
      <c r="CD53" s="52">
        <v>629660</v>
      </c>
      <c r="CE53" s="52"/>
      <c r="CF53" s="52">
        <v>308367</v>
      </c>
      <c r="CG53" s="52">
        <v>2476342</v>
      </c>
      <c r="CH53" s="52">
        <v>3011905</v>
      </c>
      <c r="CI53" s="52">
        <v>120400</v>
      </c>
      <c r="CJ53" s="52">
        <v>867224</v>
      </c>
      <c r="CK53" s="52">
        <v>356390</v>
      </c>
      <c r="CL53" s="52">
        <v>237330</v>
      </c>
      <c r="CM53" s="52">
        <v>44749</v>
      </c>
      <c r="CN53" s="52">
        <v>28851</v>
      </c>
      <c r="CO53" s="52">
        <v>296194</v>
      </c>
      <c r="CP53" s="52">
        <v>573294</v>
      </c>
      <c r="CQ53" s="52">
        <v>17585</v>
      </c>
      <c r="CR53" s="52">
        <v>154865</v>
      </c>
      <c r="CS53" s="52">
        <v>25308</v>
      </c>
      <c r="CT53" s="52">
        <v>543418</v>
      </c>
      <c r="CU53" s="52">
        <v>299589</v>
      </c>
      <c r="CV53" s="52"/>
      <c r="CW53" s="52">
        <v>425001</v>
      </c>
      <c r="CX53" s="52">
        <v>388582</v>
      </c>
      <c r="CY53" s="52">
        <v>185690</v>
      </c>
      <c r="CZ53" s="52">
        <v>202095</v>
      </c>
      <c r="DA53" s="52">
        <v>1958425</v>
      </c>
      <c r="DB53" s="52">
        <v>4007184</v>
      </c>
      <c r="DC53" s="52">
        <v>12497</v>
      </c>
      <c r="DD53" s="52"/>
      <c r="DE53" s="52">
        <v>65270649</v>
      </c>
      <c r="DF53" s="52">
        <v>12497</v>
      </c>
      <c r="DG53" s="52">
        <v>65283146</v>
      </c>
      <c r="DH53" s="52"/>
    </row>
    <row r="54" spans="1:113">
      <c r="A54" s="150" t="s">
        <v>410</v>
      </c>
      <c r="B54" s="44">
        <v>2100</v>
      </c>
      <c r="C54" s="44" t="s">
        <v>93</v>
      </c>
      <c r="D54" s="52"/>
      <c r="E54" s="52">
        <v>964440</v>
      </c>
      <c r="F54" s="52"/>
      <c r="G54" s="52"/>
      <c r="H54" s="56"/>
      <c r="I54" s="56"/>
      <c r="J54" s="56"/>
      <c r="K54" s="56"/>
      <c r="L54" s="52">
        <v>77771</v>
      </c>
      <c r="M54" s="52"/>
      <c r="N54" s="52"/>
      <c r="O54" s="52">
        <v>22619</v>
      </c>
      <c r="P54" s="52">
        <v>37338</v>
      </c>
      <c r="Q54" s="52">
        <v>58067</v>
      </c>
      <c r="R54" s="52"/>
      <c r="S54" s="52">
        <v>52650</v>
      </c>
      <c r="T54" s="52"/>
      <c r="U54" s="52"/>
      <c r="V54" s="52"/>
      <c r="W54" s="52">
        <v>56180</v>
      </c>
      <c r="X54" s="52"/>
      <c r="Y54" s="52">
        <v>123510</v>
      </c>
      <c r="Z54" s="52">
        <v>4099</v>
      </c>
      <c r="AA54" s="52">
        <v>1803083</v>
      </c>
      <c r="AB54" s="52">
        <v>201369</v>
      </c>
      <c r="AC54" s="52"/>
      <c r="AD54" s="52"/>
      <c r="AE54" s="52"/>
      <c r="AF54" s="52"/>
      <c r="AG54" s="52">
        <v>49449</v>
      </c>
      <c r="AH54" s="52"/>
      <c r="AI54" s="52">
        <v>2213625</v>
      </c>
      <c r="AJ54" s="52">
        <v>823890</v>
      </c>
      <c r="AK54" s="52">
        <v>1366477</v>
      </c>
      <c r="AL54" s="52">
        <v>588894</v>
      </c>
      <c r="AM54" s="52">
        <v>218419</v>
      </c>
      <c r="AN54" s="52">
        <v>1032712</v>
      </c>
      <c r="AO54" s="52">
        <v>30000</v>
      </c>
      <c r="AP54" s="52"/>
      <c r="AQ54" s="52">
        <v>93179</v>
      </c>
      <c r="AR54" s="52">
        <v>26147</v>
      </c>
      <c r="AS54" s="52">
        <v>39442</v>
      </c>
      <c r="AT54" s="52"/>
      <c r="AU54" s="52">
        <v>129222</v>
      </c>
      <c r="AV54" s="52"/>
      <c r="AW54" s="52">
        <v>1816</v>
      </c>
      <c r="AX54" s="52">
        <v>2808</v>
      </c>
      <c r="AY54" s="101">
        <v>4329237</v>
      </c>
      <c r="AZ54" s="52"/>
      <c r="BA54" s="52">
        <v>7494</v>
      </c>
      <c r="BB54" s="52"/>
      <c r="BC54" s="52">
        <v>502407</v>
      </c>
      <c r="BD54" s="52">
        <v>60084</v>
      </c>
      <c r="BE54" s="52"/>
      <c r="BF54" s="52">
        <v>1043570</v>
      </c>
      <c r="BG54" s="52">
        <v>3191079</v>
      </c>
      <c r="BH54" s="52"/>
      <c r="BI54" s="52">
        <v>571822</v>
      </c>
      <c r="BJ54" s="52"/>
      <c r="BK54" s="52"/>
      <c r="BL54" s="52">
        <v>393332</v>
      </c>
      <c r="BM54" s="52"/>
      <c r="BN54" s="52">
        <v>33542</v>
      </c>
      <c r="BO54" s="52">
        <v>81374</v>
      </c>
      <c r="BP54" s="52"/>
      <c r="BQ54" s="52"/>
      <c r="BR54" s="52"/>
      <c r="BS54" s="52">
        <v>147988</v>
      </c>
      <c r="BT54" s="52">
        <v>133499</v>
      </c>
      <c r="BU54" s="52">
        <v>63012</v>
      </c>
      <c r="BV54" s="52">
        <v>371960</v>
      </c>
      <c r="BW54" s="52">
        <v>151762</v>
      </c>
      <c r="BX54" s="52">
        <v>195526</v>
      </c>
      <c r="BY54" s="52"/>
      <c r="BZ54" s="52">
        <v>323976</v>
      </c>
      <c r="CA54" s="52"/>
      <c r="CB54" s="52">
        <v>800000</v>
      </c>
      <c r="CC54" s="52">
        <v>64101</v>
      </c>
      <c r="CD54" s="52">
        <v>79843</v>
      </c>
      <c r="CE54" s="52"/>
      <c r="CF54" s="52">
        <v>11578</v>
      </c>
      <c r="CG54" s="52"/>
      <c r="CH54" s="52"/>
      <c r="CI54" s="52"/>
      <c r="CJ54" s="52"/>
      <c r="CK54" s="52"/>
      <c r="CL54" s="52">
        <v>61003</v>
      </c>
      <c r="CM54" s="52">
        <v>146432</v>
      </c>
      <c r="CN54" s="52">
        <v>281112</v>
      </c>
      <c r="CO54" s="52">
        <v>640668</v>
      </c>
      <c r="CP54" s="52">
        <v>332265</v>
      </c>
      <c r="CQ54" s="52"/>
      <c r="CR54" s="52"/>
      <c r="CS54" s="52"/>
      <c r="CT54" s="52">
        <v>196966</v>
      </c>
      <c r="CU54" s="52">
        <v>10942</v>
      </c>
      <c r="CV54" s="52"/>
      <c r="CW54" s="52"/>
      <c r="CX54" s="52"/>
      <c r="CY54" s="52">
        <v>73719</v>
      </c>
      <c r="CZ54" s="52"/>
      <c r="DA54" s="52">
        <v>274549</v>
      </c>
      <c r="DB54" s="52">
        <v>20193</v>
      </c>
      <c r="DC54" s="52">
        <v>2527750</v>
      </c>
      <c r="DD54" s="52">
        <v>4375941</v>
      </c>
      <c r="DE54" s="52">
        <v>24612241</v>
      </c>
      <c r="DF54" s="52">
        <v>6903691</v>
      </c>
      <c r="DG54" s="52">
        <v>31515932</v>
      </c>
      <c r="DH54" s="52"/>
    </row>
    <row r="55" spans="1:113">
      <c r="A55" s="150" t="s">
        <v>410</v>
      </c>
      <c r="B55" s="44">
        <v>2200</v>
      </c>
      <c r="C55" s="44" t="s">
        <v>94</v>
      </c>
      <c r="D55" s="52"/>
      <c r="E55" s="52"/>
      <c r="F55" s="52"/>
      <c r="G55" s="52"/>
      <c r="H55" s="56"/>
      <c r="I55" s="56"/>
      <c r="J55" s="56"/>
      <c r="K55" s="56"/>
      <c r="L55" s="52"/>
      <c r="M55" s="52"/>
      <c r="N55" s="52"/>
      <c r="O55" s="52"/>
      <c r="P55" s="52"/>
      <c r="Q55" s="52"/>
      <c r="R55" s="52"/>
      <c r="S55" s="52"/>
      <c r="T55" s="52"/>
      <c r="U55" s="52"/>
      <c r="V55" s="52"/>
      <c r="W55" s="52"/>
      <c r="X55" s="52"/>
      <c r="Y55" s="52"/>
      <c r="Z55" s="52"/>
      <c r="AA55" s="52">
        <v>360617</v>
      </c>
      <c r="AB55" s="52"/>
      <c r="AC55" s="52"/>
      <c r="AD55" s="52"/>
      <c r="AE55" s="52"/>
      <c r="AF55" s="52"/>
      <c r="AG55" s="52"/>
      <c r="AH55" s="52"/>
      <c r="AI55" s="52"/>
      <c r="AJ55" s="52"/>
      <c r="AK55" s="52"/>
      <c r="AL55" s="52"/>
      <c r="AM55" s="52"/>
      <c r="AN55" s="52"/>
      <c r="AO55" s="52"/>
      <c r="AP55" s="52"/>
      <c r="AQ55" s="52">
        <v>1200</v>
      </c>
      <c r="AR55" s="52"/>
      <c r="AS55" s="52"/>
      <c r="AT55" s="52"/>
      <c r="AU55" s="52"/>
      <c r="AV55" s="52"/>
      <c r="AW55" s="52"/>
      <c r="AX55" s="52"/>
      <c r="AY55" s="101"/>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v>361817</v>
      </c>
      <c r="DF55" s="52"/>
      <c r="DG55" s="52">
        <v>361817</v>
      </c>
      <c r="DH55" s="52"/>
    </row>
    <row r="56" spans="1:113">
      <c r="A56" s="150" t="s">
        <v>410</v>
      </c>
      <c r="B56" s="44">
        <v>2300</v>
      </c>
      <c r="C56" s="44" t="s">
        <v>95</v>
      </c>
      <c r="D56" s="52">
        <v>182004</v>
      </c>
      <c r="E56" s="52"/>
      <c r="F56" s="52"/>
      <c r="G56" s="52"/>
      <c r="H56" s="56"/>
      <c r="I56" s="56"/>
      <c r="J56" s="56"/>
      <c r="K56" s="56"/>
      <c r="L56" s="52"/>
      <c r="M56" s="52"/>
      <c r="N56" s="52"/>
      <c r="O56" s="52">
        <v>107536</v>
      </c>
      <c r="P56" s="52"/>
      <c r="Q56" s="52">
        <v>122094</v>
      </c>
      <c r="R56" s="52">
        <v>20214</v>
      </c>
      <c r="S56" s="52"/>
      <c r="T56" s="52"/>
      <c r="U56" s="52"/>
      <c r="V56" s="52"/>
      <c r="W56" s="52"/>
      <c r="X56" s="52">
        <v>183963</v>
      </c>
      <c r="Y56" s="52"/>
      <c r="Z56" s="52">
        <v>9862</v>
      </c>
      <c r="AA56" s="52">
        <v>129315</v>
      </c>
      <c r="AB56" s="52">
        <v>104676</v>
      </c>
      <c r="AC56" s="52"/>
      <c r="AD56" s="52">
        <v>46464</v>
      </c>
      <c r="AE56" s="52">
        <v>33766</v>
      </c>
      <c r="AF56" s="52"/>
      <c r="AG56" s="52"/>
      <c r="AH56" s="52"/>
      <c r="AI56" s="52"/>
      <c r="AJ56" s="52"/>
      <c r="AK56" s="52"/>
      <c r="AL56" s="52">
        <v>107812</v>
      </c>
      <c r="AM56" s="52"/>
      <c r="AN56" s="52">
        <v>98200</v>
      </c>
      <c r="AO56" s="52">
        <v>93344</v>
      </c>
      <c r="AP56" s="52"/>
      <c r="AQ56" s="52"/>
      <c r="AR56" s="52">
        <v>94042</v>
      </c>
      <c r="AS56" s="52">
        <v>189533</v>
      </c>
      <c r="AT56" s="52">
        <v>22453</v>
      </c>
      <c r="AU56" s="52">
        <v>25000</v>
      </c>
      <c r="AV56" s="52">
        <v>43267</v>
      </c>
      <c r="AW56" s="52"/>
      <c r="AX56" s="52"/>
      <c r="AY56" s="101"/>
      <c r="AZ56" s="52"/>
      <c r="BA56" s="52">
        <v>34706</v>
      </c>
      <c r="BB56" s="52"/>
      <c r="BC56" s="52"/>
      <c r="BD56" s="52"/>
      <c r="BE56" s="52"/>
      <c r="BF56" s="52"/>
      <c r="BG56" s="52">
        <v>112841</v>
      </c>
      <c r="BH56" s="52"/>
      <c r="BI56" s="52"/>
      <c r="BJ56" s="52"/>
      <c r="BK56" s="52">
        <v>91758</v>
      </c>
      <c r="BL56" s="52"/>
      <c r="BM56" s="52">
        <v>151695</v>
      </c>
      <c r="BN56" s="52"/>
      <c r="BO56" s="52">
        <v>270559</v>
      </c>
      <c r="BP56" s="52"/>
      <c r="BQ56" s="52"/>
      <c r="BR56" s="52"/>
      <c r="BS56" s="52"/>
      <c r="BT56" s="52"/>
      <c r="BU56" s="52"/>
      <c r="BV56" s="52"/>
      <c r="BW56" s="52"/>
      <c r="BX56" s="52">
        <v>66665</v>
      </c>
      <c r="BY56" s="52">
        <v>51800</v>
      </c>
      <c r="BZ56" s="52"/>
      <c r="CA56" s="52"/>
      <c r="CB56" s="52"/>
      <c r="CC56" s="52"/>
      <c r="CD56" s="52"/>
      <c r="CE56" s="52"/>
      <c r="CF56" s="52">
        <v>272969</v>
      </c>
      <c r="CG56" s="52"/>
      <c r="CH56" s="52"/>
      <c r="CI56" s="52"/>
      <c r="CJ56" s="52">
        <v>571818</v>
      </c>
      <c r="CK56" s="52"/>
      <c r="CL56" s="52"/>
      <c r="CM56" s="52">
        <v>72450</v>
      </c>
      <c r="CN56" s="52">
        <v>1344213</v>
      </c>
      <c r="CO56" s="52"/>
      <c r="CP56" s="52">
        <v>582103</v>
      </c>
      <c r="CQ56" s="52"/>
      <c r="CR56" s="52"/>
      <c r="CS56" s="52"/>
      <c r="CT56" s="52">
        <v>116313</v>
      </c>
      <c r="CU56" s="52">
        <v>100584</v>
      </c>
      <c r="CV56" s="52"/>
      <c r="CW56" s="52">
        <v>162552</v>
      </c>
      <c r="CX56" s="52">
        <v>187908</v>
      </c>
      <c r="CY56" s="52">
        <v>33750</v>
      </c>
      <c r="CZ56" s="52"/>
      <c r="DA56" s="52">
        <v>58103</v>
      </c>
      <c r="DB56" s="52">
        <v>25750</v>
      </c>
      <c r="DC56" s="52"/>
      <c r="DD56" s="52"/>
      <c r="DE56" s="52">
        <v>5922082</v>
      </c>
      <c r="DF56" s="52"/>
      <c r="DG56" s="52">
        <v>5922082</v>
      </c>
      <c r="DH56" s="52"/>
    </row>
    <row r="57" spans="1:113">
      <c r="A57" s="150" t="s">
        <v>410</v>
      </c>
      <c r="B57" s="44">
        <v>2310</v>
      </c>
      <c r="C57" s="44" t="s">
        <v>96</v>
      </c>
      <c r="D57" s="52"/>
      <c r="E57" s="52"/>
      <c r="F57" s="52"/>
      <c r="G57" s="52"/>
      <c r="H57" s="56"/>
      <c r="I57" s="56"/>
      <c r="J57" s="56"/>
      <c r="K57" s="56"/>
      <c r="L57" s="52"/>
      <c r="M57" s="52"/>
      <c r="N57" s="52"/>
      <c r="O57" s="52"/>
      <c r="P57" s="52"/>
      <c r="Q57" s="52"/>
      <c r="R57" s="52"/>
      <c r="S57" s="52"/>
      <c r="T57" s="52"/>
      <c r="U57" s="52"/>
      <c r="V57" s="52"/>
      <c r="W57" s="52"/>
      <c r="X57" s="52"/>
      <c r="Y57" s="52"/>
      <c r="Z57" s="52"/>
      <c r="AA57" s="52"/>
      <c r="AB57" s="52"/>
      <c r="AC57" s="52"/>
      <c r="AD57" s="52">
        <v>465192</v>
      </c>
      <c r="AE57" s="52"/>
      <c r="AF57" s="52"/>
      <c r="AG57" s="52"/>
      <c r="AH57" s="52"/>
      <c r="AI57" s="52"/>
      <c r="AJ57" s="52"/>
      <c r="AK57" s="52"/>
      <c r="AL57" s="52"/>
      <c r="AM57" s="52"/>
      <c r="AN57" s="52"/>
      <c r="AO57" s="52"/>
      <c r="AP57" s="52"/>
      <c r="AQ57" s="52"/>
      <c r="AR57" s="52"/>
      <c r="AS57" s="52">
        <v>984917</v>
      </c>
      <c r="AT57" s="52"/>
      <c r="AU57" s="52"/>
      <c r="AV57" s="52"/>
      <c r="AW57" s="52"/>
      <c r="AX57" s="52"/>
      <c r="AY57" s="101"/>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v>135415</v>
      </c>
      <c r="CA57" s="52"/>
      <c r="CB57" s="52"/>
      <c r="CC57" s="52"/>
      <c r="CD57" s="52"/>
      <c r="CE57" s="52"/>
      <c r="CF57" s="52"/>
      <c r="CG57" s="52"/>
      <c r="CH57" s="52"/>
      <c r="CI57" s="52"/>
      <c r="CJ57" s="52"/>
      <c r="CK57" s="52">
        <v>18243</v>
      </c>
      <c r="CL57" s="52"/>
      <c r="CM57" s="52">
        <v>89899</v>
      </c>
      <c r="CN57" s="52"/>
      <c r="CO57" s="52"/>
      <c r="CP57" s="52"/>
      <c r="CQ57" s="52"/>
      <c r="CR57" s="52"/>
      <c r="CS57" s="52"/>
      <c r="CT57" s="52"/>
      <c r="CU57" s="52"/>
      <c r="CV57" s="52"/>
      <c r="CW57" s="52"/>
      <c r="CX57" s="52"/>
      <c r="CY57" s="52"/>
      <c r="CZ57" s="52"/>
      <c r="DA57" s="52"/>
      <c r="DB57" s="52">
        <v>37178</v>
      </c>
      <c r="DC57" s="52"/>
      <c r="DD57" s="52"/>
      <c r="DE57" s="52">
        <v>1730844</v>
      </c>
      <c r="DF57" s="52"/>
      <c r="DG57" s="52">
        <v>1730844</v>
      </c>
      <c r="DH57" s="52"/>
    </row>
    <row r="58" spans="1:113" ht="15">
      <c r="A58" s="150"/>
      <c r="C58" s="60" t="s">
        <v>414</v>
      </c>
      <c r="D58" s="61">
        <f>SUM(D22:D57)</f>
        <v>2097513</v>
      </c>
      <c r="E58" s="61">
        <f t="shared" ref="E58:BP58" si="2">SUM(E22:E57)</f>
        <v>10753393</v>
      </c>
      <c r="F58" s="61">
        <f t="shared" si="2"/>
        <v>752111</v>
      </c>
      <c r="G58" s="61">
        <f t="shared" si="2"/>
        <v>335759</v>
      </c>
      <c r="H58" s="61">
        <f t="shared" si="2"/>
        <v>6045581</v>
      </c>
      <c r="I58" s="61">
        <f t="shared" si="2"/>
        <v>2612806</v>
      </c>
      <c r="J58" s="61">
        <f t="shared" si="2"/>
        <v>2180710</v>
      </c>
      <c r="K58" s="61">
        <f t="shared" si="2"/>
        <v>3180549</v>
      </c>
      <c r="L58" s="61">
        <f t="shared" si="2"/>
        <v>7179286</v>
      </c>
      <c r="M58" s="61">
        <f t="shared" si="2"/>
        <v>147014</v>
      </c>
      <c r="N58" s="61">
        <f t="shared" si="2"/>
        <v>1552082</v>
      </c>
      <c r="O58" s="61">
        <f t="shared" si="2"/>
        <v>971912</v>
      </c>
      <c r="P58" s="61">
        <f t="shared" si="2"/>
        <v>590272</v>
      </c>
      <c r="Q58" s="61">
        <f t="shared" si="2"/>
        <v>632152</v>
      </c>
      <c r="R58" s="61">
        <f t="shared" si="2"/>
        <v>848342</v>
      </c>
      <c r="S58" s="61">
        <f t="shared" si="2"/>
        <v>1530919</v>
      </c>
      <c r="T58" s="61">
        <f t="shared" si="2"/>
        <v>271581</v>
      </c>
      <c r="U58" s="61">
        <f t="shared" si="2"/>
        <v>13075778</v>
      </c>
      <c r="V58" s="61">
        <f t="shared" si="2"/>
        <v>3830293</v>
      </c>
      <c r="W58" s="61">
        <f t="shared" si="2"/>
        <v>24076070</v>
      </c>
      <c r="X58" s="61">
        <f t="shared" si="2"/>
        <v>2185129</v>
      </c>
      <c r="Y58" s="61">
        <f t="shared" si="2"/>
        <v>59500322</v>
      </c>
      <c r="Z58" s="61">
        <f t="shared" si="2"/>
        <v>7455295</v>
      </c>
      <c r="AA58" s="61">
        <f t="shared" si="2"/>
        <v>6193397</v>
      </c>
      <c r="AB58" s="61">
        <f t="shared" si="2"/>
        <v>5477513</v>
      </c>
      <c r="AC58" s="61">
        <f t="shared" si="2"/>
        <v>1024947</v>
      </c>
      <c r="AD58" s="61">
        <f t="shared" si="2"/>
        <v>2625854</v>
      </c>
      <c r="AE58" s="61">
        <f t="shared" si="2"/>
        <v>1032686</v>
      </c>
      <c r="AF58" s="61">
        <f t="shared" si="2"/>
        <v>834186</v>
      </c>
      <c r="AG58" s="61">
        <f t="shared" si="2"/>
        <v>5499550</v>
      </c>
      <c r="AH58" s="61">
        <f t="shared" si="2"/>
        <v>13942519</v>
      </c>
      <c r="AI58" s="61">
        <f t="shared" si="2"/>
        <v>2275630</v>
      </c>
      <c r="AJ58" s="61">
        <f t="shared" si="2"/>
        <v>1299371</v>
      </c>
      <c r="AK58" s="61">
        <f t="shared" si="2"/>
        <v>2311843</v>
      </c>
      <c r="AL58" s="61">
        <f t="shared" si="2"/>
        <v>1484543</v>
      </c>
      <c r="AM58" s="61">
        <f t="shared" si="2"/>
        <v>295997</v>
      </c>
      <c r="AN58" s="61">
        <f t="shared" si="2"/>
        <v>17345482</v>
      </c>
      <c r="AO58" s="61">
        <f t="shared" si="2"/>
        <v>1654770</v>
      </c>
      <c r="AP58" s="61">
        <f t="shared" si="2"/>
        <v>125338</v>
      </c>
      <c r="AQ58" s="61">
        <f t="shared" si="2"/>
        <v>2286217</v>
      </c>
      <c r="AR58" s="61">
        <f t="shared" si="2"/>
        <v>2345684</v>
      </c>
      <c r="AS58" s="61">
        <f t="shared" si="2"/>
        <v>10892577</v>
      </c>
      <c r="AT58" s="61">
        <f t="shared" si="2"/>
        <v>1446676</v>
      </c>
      <c r="AU58" s="61">
        <f t="shared" si="2"/>
        <v>1874840</v>
      </c>
      <c r="AV58" s="61">
        <f t="shared" si="2"/>
        <v>466371</v>
      </c>
      <c r="AW58" s="61">
        <f t="shared" si="2"/>
        <v>3267714</v>
      </c>
      <c r="AX58" s="61">
        <f t="shared" si="2"/>
        <v>5898165</v>
      </c>
      <c r="AY58" s="102">
        <f t="shared" si="2"/>
        <v>72436166</v>
      </c>
      <c r="AZ58" s="61">
        <f t="shared" si="2"/>
        <v>8147110</v>
      </c>
      <c r="BA58" s="61">
        <f t="shared" si="2"/>
        <v>823682</v>
      </c>
      <c r="BB58" s="61">
        <f t="shared" si="2"/>
        <v>963692</v>
      </c>
      <c r="BC58" s="61">
        <f t="shared" si="2"/>
        <v>631230</v>
      </c>
      <c r="BD58" s="61">
        <f t="shared" si="2"/>
        <v>1745502</v>
      </c>
      <c r="BE58" s="61">
        <f t="shared" si="2"/>
        <v>626214</v>
      </c>
      <c r="BF58" s="61">
        <f t="shared" si="2"/>
        <v>30650962</v>
      </c>
      <c r="BG58" s="61">
        <f t="shared" si="2"/>
        <v>5075001</v>
      </c>
      <c r="BH58" s="61">
        <f t="shared" si="2"/>
        <v>11586150</v>
      </c>
      <c r="BI58" s="61">
        <f t="shared" si="2"/>
        <v>9493519</v>
      </c>
      <c r="BJ58" s="61">
        <f t="shared" si="2"/>
        <v>3470165</v>
      </c>
      <c r="BK58" s="61">
        <f t="shared" si="2"/>
        <v>3236236</v>
      </c>
      <c r="BL58" s="61">
        <f t="shared" si="2"/>
        <v>1721259</v>
      </c>
      <c r="BM58" s="61">
        <f t="shared" si="2"/>
        <v>21070203</v>
      </c>
      <c r="BN58" s="61">
        <f t="shared" si="2"/>
        <v>6385660</v>
      </c>
      <c r="BO58" s="61">
        <f t="shared" si="2"/>
        <v>2273969</v>
      </c>
      <c r="BP58" s="61">
        <f t="shared" si="2"/>
        <v>2523746</v>
      </c>
      <c r="BQ58" s="61">
        <f t="shared" ref="BQ58:DG58" si="3">SUM(BQ22:BQ57)</f>
        <v>14157215</v>
      </c>
      <c r="BR58" s="61">
        <f t="shared" si="3"/>
        <v>732432</v>
      </c>
      <c r="BS58" s="61">
        <f t="shared" si="3"/>
        <v>634105</v>
      </c>
      <c r="BT58" s="61">
        <f t="shared" si="3"/>
        <v>2429883</v>
      </c>
      <c r="BU58" s="61">
        <f t="shared" si="3"/>
        <v>2258286</v>
      </c>
      <c r="BV58" s="61">
        <f t="shared" si="3"/>
        <v>918481</v>
      </c>
      <c r="BW58" s="61">
        <f t="shared" si="3"/>
        <v>759233</v>
      </c>
      <c r="BX58" s="61">
        <f t="shared" si="3"/>
        <v>1623317</v>
      </c>
      <c r="BY58" s="61">
        <f t="shared" si="3"/>
        <v>7677462</v>
      </c>
      <c r="BZ58" s="61">
        <f t="shared" si="3"/>
        <v>8555875</v>
      </c>
      <c r="CA58" s="61">
        <f t="shared" si="3"/>
        <v>0</v>
      </c>
      <c r="CB58" s="61">
        <f t="shared" si="3"/>
        <v>3755993</v>
      </c>
      <c r="CC58" s="61">
        <f t="shared" si="3"/>
        <v>2135867</v>
      </c>
      <c r="CD58" s="61">
        <f t="shared" si="3"/>
        <v>4871025</v>
      </c>
      <c r="CE58" s="61">
        <f t="shared" si="3"/>
        <v>790614</v>
      </c>
      <c r="CF58" s="61">
        <f t="shared" si="3"/>
        <v>18551129</v>
      </c>
      <c r="CG58" s="61">
        <f t="shared" si="3"/>
        <v>16415006</v>
      </c>
      <c r="CH58" s="61">
        <f t="shared" si="3"/>
        <v>19852171</v>
      </c>
      <c r="CI58" s="61">
        <f t="shared" si="3"/>
        <v>1411868</v>
      </c>
      <c r="CJ58" s="61">
        <f t="shared" si="3"/>
        <v>4969263</v>
      </c>
      <c r="CK58" s="61">
        <f t="shared" si="3"/>
        <v>6220951</v>
      </c>
      <c r="CL58" s="61">
        <f t="shared" si="3"/>
        <v>2625824</v>
      </c>
      <c r="CM58" s="61">
        <f t="shared" si="3"/>
        <v>4633213</v>
      </c>
      <c r="CN58" s="61">
        <f t="shared" si="3"/>
        <v>9058321</v>
      </c>
      <c r="CO58" s="61">
        <f t="shared" si="3"/>
        <v>6118995</v>
      </c>
      <c r="CP58" s="61">
        <f t="shared" si="3"/>
        <v>9253832</v>
      </c>
      <c r="CQ58" s="61">
        <f t="shared" si="3"/>
        <v>516522</v>
      </c>
      <c r="CR58" s="61">
        <f t="shared" si="3"/>
        <v>806211</v>
      </c>
      <c r="CS58" s="61">
        <f t="shared" si="3"/>
        <v>805097</v>
      </c>
      <c r="CT58" s="61">
        <f t="shared" si="3"/>
        <v>6395905</v>
      </c>
      <c r="CU58" s="61">
        <f t="shared" si="3"/>
        <v>5547381</v>
      </c>
      <c r="CV58" s="61">
        <f t="shared" si="3"/>
        <v>0</v>
      </c>
      <c r="CW58" s="61">
        <f t="shared" si="3"/>
        <v>3805170</v>
      </c>
      <c r="CX58" s="61">
        <f t="shared" si="3"/>
        <v>4519641</v>
      </c>
      <c r="CY58" s="61">
        <f t="shared" si="3"/>
        <v>3317516</v>
      </c>
      <c r="CZ58" s="61">
        <f t="shared" si="3"/>
        <v>4222012</v>
      </c>
      <c r="DA58" s="61">
        <f t="shared" si="3"/>
        <v>13170818</v>
      </c>
      <c r="DB58" s="61">
        <f t="shared" si="3"/>
        <v>11704074</v>
      </c>
      <c r="DC58" s="61">
        <f t="shared" si="3"/>
        <v>2540247</v>
      </c>
      <c r="DD58" s="61">
        <f t="shared" si="3"/>
        <v>4375941</v>
      </c>
      <c r="DE58" s="61">
        <f t="shared" si="3"/>
        <v>631787913</v>
      </c>
      <c r="DF58" s="61">
        <f t="shared" si="3"/>
        <v>6916188</v>
      </c>
      <c r="DG58" s="61">
        <f t="shared" si="3"/>
        <v>638704101</v>
      </c>
      <c r="DH58" s="78">
        <f>'5-Charters'!Q42</f>
        <v>7770121.3008062951</v>
      </c>
      <c r="DI58" s="82">
        <f>DG58-DH58</f>
        <v>630933979.69919372</v>
      </c>
    </row>
    <row r="59" spans="1:113">
      <c r="A59" s="150"/>
      <c r="D59" s="52"/>
      <c r="E59" s="52"/>
      <c r="F59" s="52"/>
      <c r="G59" s="52"/>
      <c r="H59" s="56"/>
      <c r="I59" s="56"/>
      <c r="J59" s="56"/>
      <c r="K59" s="56"/>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101"/>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row>
    <row r="60" spans="1:113">
      <c r="A60" s="150"/>
      <c r="C60" s="44" t="s">
        <v>569</v>
      </c>
      <c r="D60" s="52"/>
      <c r="E60" s="52"/>
      <c r="F60" s="52"/>
      <c r="G60" s="52"/>
      <c r="H60" s="56"/>
      <c r="I60" s="56"/>
      <c r="J60" s="56"/>
      <c r="K60" s="56"/>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78">
        <f>'5-Charters'!H110</f>
        <v>5264621</v>
      </c>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row>
    <row r="61" spans="1:113" ht="12">
      <c r="A61" s="150"/>
      <c r="C61" s="44" t="s">
        <v>674</v>
      </c>
      <c r="D61" s="52"/>
      <c r="E61" s="52"/>
      <c r="F61" s="52"/>
      <c r="G61" s="52"/>
      <c r="H61" s="56"/>
      <c r="I61" s="56"/>
      <c r="J61" s="56"/>
      <c r="K61" s="56"/>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103">
        <f>AY58-AY60</f>
        <v>67171545</v>
      </c>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row>
    <row r="62" spans="1:113">
      <c r="A62" s="150"/>
      <c r="D62" s="52"/>
      <c r="E62" s="52"/>
      <c r="F62" s="52"/>
      <c r="G62" s="52"/>
      <c r="H62" s="56"/>
      <c r="I62" s="56"/>
      <c r="J62" s="56"/>
      <c r="K62" s="56"/>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101"/>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row>
    <row r="63" spans="1:113">
      <c r="A63" s="150"/>
      <c r="D63" s="52"/>
      <c r="E63" s="52"/>
      <c r="F63" s="52"/>
      <c r="G63" s="52"/>
      <c r="H63" s="56"/>
      <c r="I63" s="56"/>
      <c r="J63" s="56"/>
      <c r="K63" s="56"/>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101"/>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row>
    <row r="64" spans="1:113">
      <c r="A64" s="150"/>
      <c r="D64" s="52"/>
      <c r="E64" s="52"/>
      <c r="F64" s="52"/>
      <c r="G64" s="52"/>
      <c r="H64" s="56"/>
      <c r="I64" s="56"/>
      <c r="J64" s="56"/>
      <c r="K64" s="56"/>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101"/>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row>
    <row r="65" spans="1:112">
      <c r="A65" s="150" t="s">
        <v>411</v>
      </c>
      <c r="B65" s="44">
        <v>3112</v>
      </c>
      <c r="C65" s="44" t="s">
        <v>101</v>
      </c>
      <c r="D65" s="52"/>
      <c r="E65" s="52"/>
      <c r="F65" s="52"/>
      <c r="G65" s="52"/>
      <c r="H65" s="56"/>
      <c r="I65" s="56"/>
      <c r="J65" s="56"/>
      <c r="K65" s="56"/>
      <c r="L65" s="52"/>
      <c r="M65" s="52"/>
      <c r="N65" s="52"/>
      <c r="O65" s="52"/>
      <c r="P65" s="52"/>
      <c r="Q65" s="52"/>
      <c r="R65" s="52"/>
      <c r="S65" s="52"/>
      <c r="T65" s="52"/>
      <c r="U65" s="52"/>
      <c r="V65" s="52"/>
      <c r="W65" s="52"/>
      <c r="X65" s="52"/>
      <c r="Y65" s="52"/>
      <c r="Z65" s="52">
        <v>38919</v>
      </c>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101"/>
      <c r="AZ65" s="52"/>
      <c r="BA65" s="52"/>
      <c r="BB65" s="52"/>
      <c r="BC65" s="52"/>
      <c r="BD65" s="52"/>
      <c r="BE65" s="52"/>
      <c r="BF65" s="52"/>
      <c r="BG65" s="52"/>
      <c r="BH65" s="52">
        <v>46307</v>
      </c>
      <c r="BI65" s="52"/>
      <c r="BJ65" s="52"/>
      <c r="BK65" s="52"/>
      <c r="BL65" s="52">
        <v>1721</v>
      </c>
      <c r="BM65" s="52"/>
      <c r="BN65" s="52"/>
      <c r="BO65" s="52"/>
      <c r="BP65" s="52"/>
      <c r="BQ65" s="52"/>
      <c r="BR65" s="52"/>
      <c r="BS65" s="52"/>
      <c r="BT65" s="52"/>
      <c r="BU65" s="52"/>
      <c r="BV65" s="52"/>
      <c r="BW65" s="52"/>
      <c r="BX65" s="52"/>
      <c r="BY65" s="52"/>
      <c r="BZ65" s="52">
        <v>69721</v>
      </c>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v>156668</v>
      </c>
      <c r="DF65" s="52"/>
      <c r="DG65" s="52">
        <v>156668</v>
      </c>
      <c r="DH65" s="52"/>
    </row>
    <row r="66" spans="1:112">
      <c r="A66" s="150" t="s">
        <v>411</v>
      </c>
      <c r="B66" s="44">
        <v>3113</v>
      </c>
      <c r="C66" s="44" t="s">
        <v>102</v>
      </c>
      <c r="D66" s="52">
        <v>40261</v>
      </c>
      <c r="E66" s="52">
        <v>52274</v>
      </c>
      <c r="F66" s="52"/>
      <c r="G66" s="52"/>
      <c r="H66" s="56"/>
      <c r="I66" s="56">
        <v>10147</v>
      </c>
      <c r="J66" s="56">
        <v>14552</v>
      </c>
      <c r="K66" s="56">
        <v>5597</v>
      </c>
      <c r="L66" s="52">
        <v>10106</v>
      </c>
      <c r="M66" s="52"/>
      <c r="N66" s="52"/>
      <c r="O66" s="52"/>
      <c r="P66" s="52"/>
      <c r="Q66" s="52"/>
      <c r="R66" s="52"/>
      <c r="S66" s="52"/>
      <c r="T66" s="52">
        <v>7906</v>
      </c>
      <c r="U66" s="52"/>
      <c r="V66" s="52"/>
      <c r="W66" s="52"/>
      <c r="X66" s="52"/>
      <c r="Y66" s="52"/>
      <c r="Z66" s="52">
        <v>18139</v>
      </c>
      <c r="AA66" s="52">
        <v>4730</v>
      </c>
      <c r="AB66" s="52">
        <v>35428</v>
      </c>
      <c r="AC66" s="52"/>
      <c r="AD66" s="52"/>
      <c r="AE66" s="52"/>
      <c r="AF66" s="52">
        <v>10192</v>
      </c>
      <c r="AG66" s="52"/>
      <c r="AH66" s="52">
        <v>17217</v>
      </c>
      <c r="AI66" s="52"/>
      <c r="AJ66" s="52"/>
      <c r="AK66" s="52"/>
      <c r="AL66" s="52"/>
      <c r="AM66" s="52"/>
      <c r="AN66" s="52"/>
      <c r="AO66" s="52"/>
      <c r="AP66" s="52"/>
      <c r="AQ66" s="52">
        <v>20498</v>
      </c>
      <c r="AR66" s="52">
        <v>6959</v>
      </c>
      <c r="AS66" s="52"/>
      <c r="AT66" s="52"/>
      <c r="AU66" s="52"/>
      <c r="AV66" s="52"/>
      <c r="AW66" s="52">
        <v>12214</v>
      </c>
      <c r="AX66" s="52">
        <v>11732</v>
      </c>
      <c r="AY66" s="101"/>
      <c r="AZ66" s="52"/>
      <c r="BA66" s="52"/>
      <c r="BB66" s="52"/>
      <c r="BC66" s="52"/>
      <c r="BD66" s="52"/>
      <c r="BE66" s="52">
        <v>10039</v>
      </c>
      <c r="BF66" s="52">
        <v>37832</v>
      </c>
      <c r="BG66" s="52"/>
      <c r="BH66" s="52"/>
      <c r="BI66" s="52">
        <v>12085</v>
      </c>
      <c r="BJ66" s="52"/>
      <c r="BK66" s="52"/>
      <c r="BL66" s="52"/>
      <c r="BM66" s="52"/>
      <c r="BN66" s="52"/>
      <c r="BO66" s="52"/>
      <c r="BP66" s="52"/>
      <c r="BQ66" s="52"/>
      <c r="BR66" s="52"/>
      <c r="BS66" s="52"/>
      <c r="BT66" s="52"/>
      <c r="BU66" s="52"/>
      <c r="BV66" s="52"/>
      <c r="BW66" s="52">
        <v>11837</v>
      </c>
      <c r="BX66" s="52">
        <v>12447</v>
      </c>
      <c r="BY66" s="52"/>
      <c r="BZ66" s="52">
        <v>12355</v>
      </c>
      <c r="CA66" s="52"/>
      <c r="CB66" s="52">
        <v>9755</v>
      </c>
      <c r="CC66" s="52"/>
      <c r="CD66" s="52"/>
      <c r="CE66" s="52"/>
      <c r="CF66" s="52"/>
      <c r="CG66" s="52"/>
      <c r="CH66" s="52"/>
      <c r="CI66" s="52"/>
      <c r="CJ66" s="52"/>
      <c r="CK66" s="52"/>
      <c r="CL66" s="52"/>
      <c r="CM66" s="52"/>
      <c r="CN66" s="52"/>
      <c r="CO66" s="52"/>
      <c r="CP66" s="52"/>
      <c r="CQ66" s="52"/>
      <c r="CR66" s="52"/>
      <c r="CS66" s="52"/>
      <c r="CT66" s="52">
        <v>21552</v>
      </c>
      <c r="CU66" s="52"/>
      <c r="CV66" s="52"/>
      <c r="CW66" s="52">
        <v>12099</v>
      </c>
      <c r="CX66" s="52"/>
      <c r="CY66" s="52">
        <v>10125</v>
      </c>
      <c r="CZ66" s="52"/>
      <c r="DA66" s="52"/>
      <c r="DB66" s="52">
        <v>11116</v>
      </c>
      <c r="DC66" s="52"/>
      <c r="DD66" s="52"/>
      <c r="DE66" s="52">
        <v>439194</v>
      </c>
      <c r="DF66" s="52"/>
      <c r="DG66" s="52">
        <v>439194</v>
      </c>
      <c r="DH66" s="52"/>
    </row>
    <row r="67" spans="1:112">
      <c r="A67" s="150" t="s">
        <v>411</v>
      </c>
      <c r="B67" s="44">
        <v>3117</v>
      </c>
      <c r="C67" s="44" t="s">
        <v>103</v>
      </c>
      <c r="D67" s="52"/>
      <c r="E67" s="52">
        <v>14229</v>
      </c>
      <c r="F67" s="52">
        <v>921</v>
      </c>
      <c r="G67" s="52"/>
      <c r="H67" s="56"/>
      <c r="I67" s="56"/>
      <c r="J67" s="56"/>
      <c r="K67" s="56">
        <v>1107</v>
      </c>
      <c r="L67" s="52"/>
      <c r="M67" s="52"/>
      <c r="N67" s="52"/>
      <c r="O67" s="52">
        <v>982</v>
      </c>
      <c r="P67" s="52">
        <v>533</v>
      </c>
      <c r="Q67" s="52">
        <v>516</v>
      </c>
      <c r="R67" s="52">
        <v>593</v>
      </c>
      <c r="S67" s="52"/>
      <c r="T67" s="52"/>
      <c r="U67" s="52"/>
      <c r="V67" s="52"/>
      <c r="W67" s="52">
        <v>15061</v>
      </c>
      <c r="X67" s="52">
        <v>815</v>
      </c>
      <c r="Y67" s="52"/>
      <c r="Z67" s="52">
        <v>5192</v>
      </c>
      <c r="AA67" s="52">
        <v>3415</v>
      </c>
      <c r="AB67" s="52">
        <v>1498</v>
      </c>
      <c r="AC67" s="52"/>
      <c r="AD67" s="52"/>
      <c r="AE67" s="52">
        <v>843</v>
      </c>
      <c r="AF67" s="52"/>
      <c r="AG67" s="52"/>
      <c r="AH67" s="52"/>
      <c r="AI67" s="52"/>
      <c r="AJ67" s="52"/>
      <c r="AK67" s="52"/>
      <c r="AL67" s="52">
        <v>1011</v>
      </c>
      <c r="AM67" s="52"/>
      <c r="AN67" s="52">
        <v>11316</v>
      </c>
      <c r="AO67" s="52">
        <v>302</v>
      </c>
      <c r="AP67" s="52"/>
      <c r="AQ67" s="52"/>
      <c r="AR67" s="52"/>
      <c r="AS67" s="52">
        <v>9240</v>
      </c>
      <c r="AT67" s="52">
        <v>719</v>
      </c>
      <c r="AU67" s="52"/>
      <c r="AV67" s="52"/>
      <c r="AW67" s="52">
        <v>963</v>
      </c>
      <c r="AX67" s="52"/>
      <c r="AY67" s="101">
        <v>34171</v>
      </c>
      <c r="AZ67" s="52">
        <v>4936</v>
      </c>
      <c r="BA67" s="52">
        <v>832</v>
      </c>
      <c r="BB67" s="52"/>
      <c r="BC67" s="52"/>
      <c r="BD67" s="52">
        <v>1538</v>
      </c>
      <c r="BE67" s="52">
        <v>840</v>
      </c>
      <c r="BF67" s="52">
        <v>16440</v>
      </c>
      <c r="BG67" s="52">
        <v>1776</v>
      </c>
      <c r="BH67" s="52">
        <v>5955</v>
      </c>
      <c r="BI67" s="52">
        <v>1298</v>
      </c>
      <c r="BJ67" s="52"/>
      <c r="BK67" s="52">
        <v>2024</v>
      </c>
      <c r="BL67" s="52">
        <v>39815</v>
      </c>
      <c r="BM67" s="52">
        <v>11654</v>
      </c>
      <c r="BN67" s="52"/>
      <c r="BO67" s="52"/>
      <c r="BP67" s="52">
        <v>2053</v>
      </c>
      <c r="BQ67" s="52"/>
      <c r="BR67" s="52">
        <v>383</v>
      </c>
      <c r="BS67" s="52"/>
      <c r="BT67" s="52">
        <v>1825</v>
      </c>
      <c r="BU67" s="52">
        <v>1044</v>
      </c>
      <c r="BV67" s="52">
        <v>528</v>
      </c>
      <c r="BW67" s="52"/>
      <c r="BX67" s="52"/>
      <c r="BY67" s="52"/>
      <c r="BZ67" s="52"/>
      <c r="CA67" s="52"/>
      <c r="CB67" s="52">
        <v>2046</v>
      </c>
      <c r="CC67" s="52">
        <v>1575</v>
      </c>
      <c r="CD67" s="52"/>
      <c r="CE67" s="52"/>
      <c r="CF67" s="52"/>
      <c r="CG67" s="52"/>
      <c r="CH67" s="52">
        <v>9288</v>
      </c>
      <c r="CI67" s="52">
        <v>1381</v>
      </c>
      <c r="CJ67" s="52">
        <v>1183</v>
      </c>
      <c r="CK67" s="52">
        <v>4889</v>
      </c>
      <c r="CL67" s="52">
        <v>1778</v>
      </c>
      <c r="CM67" s="52"/>
      <c r="CN67" s="52"/>
      <c r="CO67" s="52">
        <v>2588</v>
      </c>
      <c r="CP67" s="52"/>
      <c r="CQ67" s="52"/>
      <c r="CR67" s="52"/>
      <c r="CS67" s="52"/>
      <c r="CT67" s="52"/>
      <c r="CU67" s="52"/>
      <c r="CV67" s="52"/>
      <c r="CW67" s="52">
        <v>1550</v>
      </c>
      <c r="CX67" s="52">
        <v>1067</v>
      </c>
      <c r="CY67" s="52">
        <v>2869</v>
      </c>
      <c r="CZ67" s="52">
        <v>3503</v>
      </c>
      <c r="DA67" s="52"/>
      <c r="DB67" s="52">
        <v>4137</v>
      </c>
      <c r="DC67" s="52">
        <v>1176</v>
      </c>
      <c r="DD67" s="52"/>
      <c r="DE67" s="52">
        <v>234222</v>
      </c>
      <c r="DF67" s="52">
        <v>1176</v>
      </c>
      <c r="DG67" s="52">
        <v>235398</v>
      </c>
      <c r="DH67" s="52"/>
    </row>
    <row r="68" spans="1:112">
      <c r="A68" s="150" t="s">
        <v>411</v>
      </c>
      <c r="B68" s="44">
        <v>3118</v>
      </c>
      <c r="C68" s="44" t="s">
        <v>104</v>
      </c>
      <c r="D68" s="52">
        <v>39117</v>
      </c>
      <c r="E68" s="52">
        <v>295744</v>
      </c>
      <c r="F68" s="52">
        <v>35842</v>
      </c>
      <c r="G68" s="52"/>
      <c r="H68" s="56">
        <v>79630</v>
      </c>
      <c r="I68" s="56">
        <v>79630</v>
      </c>
      <c r="J68" s="56">
        <v>39597</v>
      </c>
      <c r="K68" s="56">
        <v>39815</v>
      </c>
      <c r="L68" s="52">
        <v>159259</v>
      </c>
      <c r="M68" s="52"/>
      <c r="N68" s="52"/>
      <c r="O68" s="52">
        <v>39815</v>
      </c>
      <c r="P68" s="52"/>
      <c r="Q68" s="52"/>
      <c r="R68" s="52"/>
      <c r="S68" s="52">
        <v>62622</v>
      </c>
      <c r="T68" s="52"/>
      <c r="U68" s="52">
        <v>287280</v>
      </c>
      <c r="V68" s="52"/>
      <c r="W68" s="52">
        <v>398148</v>
      </c>
      <c r="X68" s="52">
        <v>32557</v>
      </c>
      <c r="Y68" s="52">
        <v>361807</v>
      </c>
      <c r="Z68" s="52">
        <v>79630</v>
      </c>
      <c r="AA68" s="52">
        <v>79630</v>
      </c>
      <c r="AB68" s="52">
        <v>153694</v>
      </c>
      <c r="AC68" s="52"/>
      <c r="AD68" s="52">
        <v>25751</v>
      </c>
      <c r="AE68" s="52">
        <v>39535</v>
      </c>
      <c r="AF68" s="52"/>
      <c r="AG68" s="52">
        <v>111013</v>
      </c>
      <c r="AH68" s="52">
        <v>77231</v>
      </c>
      <c r="AI68" s="52"/>
      <c r="AJ68" s="52">
        <v>33996</v>
      </c>
      <c r="AK68" s="52">
        <v>39815</v>
      </c>
      <c r="AL68" s="52">
        <v>39815</v>
      </c>
      <c r="AM68" s="52"/>
      <c r="AN68" s="52">
        <v>238889</v>
      </c>
      <c r="AO68" s="52">
        <v>39815</v>
      </c>
      <c r="AP68" s="52"/>
      <c r="AQ68" s="52">
        <v>39815</v>
      </c>
      <c r="AR68" s="52"/>
      <c r="AS68" s="52">
        <v>259562</v>
      </c>
      <c r="AT68" s="52"/>
      <c r="AU68" s="52">
        <v>78169</v>
      </c>
      <c r="AV68" s="52"/>
      <c r="AW68" s="52">
        <v>39815</v>
      </c>
      <c r="AX68" s="52">
        <v>67701</v>
      </c>
      <c r="AY68" s="101">
        <v>796296</v>
      </c>
      <c r="AZ68" s="52">
        <v>119444</v>
      </c>
      <c r="BA68" s="52">
        <v>39815</v>
      </c>
      <c r="BB68" s="52">
        <v>39815</v>
      </c>
      <c r="BC68" s="52"/>
      <c r="BD68" s="52">
        <v>79630</v>
      </c>
      <c r="BE68" s="52">
        <v>27194</v>
      </c>
      <c r="BF68" s="52">
        <v>398148</v>
      </c>
      <c r="BG68" s="52">
        <v>39815</v>
      </c>
      <c r="BH68" s="52">
        <v>79630</v>
      </c>
      <c r="BI68" s="52">
        <v>159259</v>
      </c>
      <c r="BJ68" s="52">
        <v>119444</v>
      </c>
      <c r="BK68" s="52">
        <v>39815</v>
      </c>
      <c r="BL68" s="52"/>
      <c r="BM68" s="52">
        <v>278704</v>
      </c>
      <c r="BN68" s="52">
        <v>159259</v>
      </c>
      <c r="BO68" s="52"/>
      <c r="BP68" s="52">
        <v>33576</v>
      </c>
      <c r="BQ68" s="52">
        <v>154767</v>
      </c>
      <c r="BR68" s="52"/>
      <c r="BS68" s="52"/>
      <c r="BT68" s="52">
        <v>37113</v>
      </c>
      <c r="BU68" s="52">
        <v>39815</v>
      </c>
      <c r="BV68" s="52"/>
      <c r="BW68" s="52"/>
      <c r="BX68" s="52">
        <v>39815</v>
      </c>
      <c r="BY68" s="52">
        <v>39815</v>
      </c>
      <c r="BZ68" s="52">
        <v>159259</v>
      </c>
      <c r="CA68" s="52"/>
      <c r="CB68" s="52">
        <v>39101</v>
      </c>
      <c r="CC68" s="52">
        <v>104011</v>
      </c>
      <c r="CD68" s="52">
        <v>110744</v>
      </c>
      <c r="CE68" s="52"/>
      <c r="CF68" s="52">
        <v>199486</v>
      </c>
      <c r="CG68" s="52">
        <v>318518</v>
      </c>
      <c r="CH68" s="52">
        <v>207312</v>
      </c>
      <c r="CI68" s="52">
        <v>39815</v>
      </c>
      <c r="CJ68" s="52">
        <v>79630</v>
      </c>
      <c r="CK68" s="52">
        <v>34391</v>
      </c>
      <c r="CL68" s="52">
        <v>39815</v>
      </c>
      <c r="CM68" s="52">
        <v>39815</v>
      </c>
      <c r="CN68" s="52">
        <v>79630</v>
      </c>
      <c r="CO68" s="52">
        <v>119444</v>
      </c>
      <c r="CP68" s="52">
        <v>139883</v>
      </c>
      <c r="CQ68" s="52"/>
      <c r="CR68" s="52"/>
      <c r="CS68" s="52"/>
      <c r="CT68" s="52">
        <v>77387</v>
      </c>
      <c r="CU68" s="52">
        <v>119444</v>
      </c>
      <c r="CV68" s="52"/>
      <c r="CW68" s="52">
        <v>79630</v>
      </c>
      <c r="CX68" s="52">
        <v>159259</v>
      </c>
      <c r="CY68" s="52">
        <v>39815</v>
      </c>
      <c r="CZ68" s="52">
        <v>119444</v>
      </c>
      <c r="DA68" s="52">
        <v>159861</v>
      </c>
      <c r="DB68" s="52">
        <v>119444</v>
      </c>
      <c r="DC68" s="52">
        <v>119444</v>
      </c>
      <c r="DD68" s="52"/>
      <c r="DE68" s="52">
        <v>8701046</v>
      </c>
      <c r="DF68" s="52">
        <v>119444</v>
      </c>
      <c r="DG68" s="52">
        <v>8820490</v>
      </c>
      <c r="DH68" s="52"/>
    </row>
    <row r="69" spans="1:112">
      <c r="A69" s="150" t="s">
        <v>411</v>
      </c>
      <c r="B69" s="44">
        <v>3121</v>
      </c>
      <c r="C69" s="44" t="s">
        <v>106</v>
      </c>
      <c r="D69" s="52"/>
      <c r="E69" s="52"/>
      <c r="F69" s="52"/>
      <c r="G69" s="52"/>
      <c r="H69" s="56"/>
      <c r="I69" s="56"/>
      <c r="J69" s="56"/>
      <c r="K69" s="56"/>
      <c r="L69" s="52"/>
      <c r="M69" s="52"/>
      <c r="N69" s="52"/>
      <c r="O69" s="52"/>
      <c r="P69" s="52"/>
      <c r="Q69" s="52"/>
      <c r="R69" s="52">
        <v>4457</v>
      </c>
      <c r="S69" s="52"/>
      <c r="T69" s="52"/>
      <c r="U69" s="52"/>
      <c r="V69" s="52"/>
      <c r="W69" s="52"/>
      <c r="X69" s="52"/>
      <c r="Y69" s="52"/>
      <c r="Z69" s="52"/>
      <c r="AA69" s="52"/>
      <c r="AB69" s="52"/>
      <c r="AC69" s="52"/>
      <c r="AD69" s="52"/>
      <c r="AE69" s="52"/>
      <c r="AF69" s="52"/>
      <c r="AG69" s="52"/>
      <c r="AH69" s="52">
        <v>191095</v>
      </c>
      <c r="AI69" s="52"/>
      <c r="AJ69" s="52"/>
      <c r="AK69" s="52">
        <v>9580</v>
      </c>
      <c r="AL69" s="52"/>
      <c r="AM69" s="52"/>
      <c r="AN69" s="52"/>
      <c r="AO69" s="52"/>
      <c r="AP69" s="52"/>
      <c r="AQ69" s="52"/>
      <c r="AR69" s="52"/>
      <c r="AS69" s="52"/>
      <c r="AT69" s="52"/>
      <c r="AU69" s="52"/>
      <c r="AV69" s="52"/>
      <c r="AW69" s="52"/>
      <c r="AX69" s="52"/>
      <c r="AY69" s="101"/>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v>22616</v>
      </c>
      <c r="CP69" s="52"/>
      <c r="CQ69" s="52"/>
      <c r="CR69" s="52"/>
      <c r="CS69" s="52"/>
      <c r="CT69" s="52"/>
      <c r="CU69" s="52"/>
      <c r="CV69" s="52"/>
      <c r="CW69" s="52"/>
      <c r="CX69" s="52"/>
      <c r="CY69" s="52"/>
      <c r="CZ69" s="52"/>
      <c r="DA69" s="52"/>
      <c r="DB69" s="52"/>
      <c r="DC69" s="52"/>
      <c r="DD69" s="52"/>
      <c r="DE69" s="52">
        <v>227748</v>
      </c>
      <c r="DF69" s="52"/>
      <c r="DG69" s="52">
        <v>227748</v>
      </c>
      <c r="DH69" s="52"/>
    </row>
    <row r="70" spans="1:112">
      <c r="A70" s="150" t="s">
        <v>411</v>
      </c>
      <c r="B70" s="44">
        <v>3122</v>
      </c>
      <c r="C70" s="44" t="s">
        <v>107</v>
      </c>
      <c r="D70" s="52"/>
      <c r="E70" s="52"/>
      <c r="F70" s="52"/>
      <c r="G70" s="52"/>
      <c r="H70" s="56"/>
      <c r="I70" s="56"/>
      <c r="J70" s="56"/>
      <c r="K70" s="56"/>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101"/>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v>523508</v>
      </c>
      <c r="CI70" s="52"/>
      <c r="CJ70" s="52"/>
      <c r="CK70" s="52"/>
      <c r="CL70" s="52"/>
      <c r="CM70" s="52"/>
      <c r="CN70" s="52"/>
      <c r="CO70" s="52"/>
      <c r="CP70" s="52">
        <v>2301</v>
      </c>
      <c r="CQ70" s="52"/>
      <c r="CR70" s="52"/>
      <c r="CS70" s="52"/>
      <c r="CT70" s="52"/>
      <c r="CU70" s="52"/>
      <c r="CV70" s="52"/>
      <c r="CW70" s="52"/>
      <c r="CX70" s="52"/>
      <c r="CY70" s="52"/>
      <c r="CZ70" s="52"/>
      <c r="DA70" s="52"/>
      <c r="DB70" s="52"/>
      <c r="DC70" s="52"/>
      <c r="DD70" s="52"/>
      <c r="DE70" s="52">
        <v>525809</v>
      </c>
      <c r="DF70" s="52"/>
      <c r="DG70" s="52">
        <v>525809</v>
      </c>
      <c r="DH70" s="52"/>
    </row>
    <row r="71" spans="1:112">
      <c r="A71" s="150" t="s">
        <v>411</v>
      </c>
      <c r="B71" s="44">
        <v>3123</v>
      </c>
      <c r="C71" s="44" t="s">
        <v>108</v>
      </c>
      <c r="D71" s="52"/>
      <c r="E71" s="52"/>
      <c r="F71" s="52"/>
      <c r="G71" s="52"/>
      <c r="H71" s="56"/>
      <c r="I71" s="56"/>
      <c r="J71" s="56"/>
      <c r="K71" s="56"/>
      <c r="L71" s="52"/>
      <c r="M71" s="52">
        <v>100000</v>
      </c>
      <c r="N71" s="52"/>
      <c r="O71" s="52"/>
      <c r="P71" s="52"/>
      <c r="Q71" s="52"/>
      <c r="R71" s="52"/>
      <c r="S71" s="52"/>
      <c r="T71" s="52"/>
      <c r="U71" s="52"/>
      <c r="V71" s="52"/>
      <c r="W71" s="52"/>
      <c r="X71" s="52"/>
      <c r="Y71" s="52"/>
      <c r="Z71" s="52"/>
      <c r="AA71" s="52"/>
      <c r="AB71" s="52"/>
      <c r="AC71" s="52"/>
      <c r="AD71" s="52"/>
      <c r="AE71" s="52"/>
      <c r="AF71" s="52"/>
      <c r="AG71" s="52"/>
      <c r="AH71" s="52"/>
      <c r="AI71" s="52"/>
      <c r="AJ71" s="52"/>
      <c r="AK71" s="52">
        <v>25781</v>
      </c>
      <c r="AL71" s="52"/>
      <c r="AM71" s="52"/>
      <c r="AN71" s="52"/>
      <c r="AO71" s="52"/>
      <c r="AP71" s="52"/>
      <c r="AQ71" s="52"/>
      <c r="AR71" s="52"/>
      <c r="AS71" s="52"/>
      <c r="AT71" s="52"/>
      <c r="AU71" s="52"/>
      <c r="AV71" s="52"/>
      <c r="AW71" s="52"/>
      <c r="AX71" s="52"/>
      <c r="AY71" s="101"/>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v>73827</v>
      </c>
      <c r="CQ71" s="52"/>
      <c r="CR71" s="52"/>
      <c r="CS71" s="52"/>
      <c r="CT71" s="52"/>
      <c r="CU71" s="52"/>
      <c r="CV71" s="52"/>
      <c r="CW71" s="52"/>
      <c r="CX71" s="52"/>
      <c r="CY71" s="52"/>
      <c r="CZ71" s="52"/>
      <c r="DA71" s="52"/>
      <c r="DB71" s="52"/>
      <c r="DC71" s="52"/>
      <c r="DD71" s="52"/>
      <c r="DE71" s="52">
        <v>199608</v>
      </c>
      <c r="DF71" s="52"/>
      <c r="DG71" s="52">
        <v>199608</v>
      </c>
      <c r="DH71" s="52"/>
    </row>
    <row r="72" spans="1:112">
      <c r="A72" s="150" t="s">
        <v>411</v>
      </c>
      <c r="B72" s="44">
        <v>3124</v>
      </c>
      <c r="C72" s="44" t="s">
        <v>109</v>
      </c>
      <c r="D72" s="52"/>
      <c r="E72" s="52"/>
      <c r="F72" s="52"/>
      <c r="G72" s="52"/>
      <c r="H72" s="56"/>
      <c r="I72" s="56"/>
      <c r="J72" s="56"/>
      <c r="K72" s="56"/>
      <c r="L72" s="52"/>
      <c r="M72" s="52"/>
      <c r="N72" s="52"/>
      <c r="O72" s="52"/>
      <c r="P72" s="52"/>
      <c r="Q72" s="52"/>
      <c r="R72" s="52"/>
      <c r="S72" s="52"/>
      <c r="T72" s="52"/>
      <c r="U72" s="52"/>
      <c r="V72" s="52"/>
      <c r="W72" s="52"/>
      <c r="X72" s="52">
        <v>226</v>
      </c>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101"/>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v>226</v>
      </c>
      <c r="DF72" s="52"/>
      <c r="DG72" s="52">
        <v>226</v>
      </c>
      <c r="DH72" s="52"/>
    </row>
    <row r="73" spans="1:112">
      <c r="A73" s="150" t="s">
        <v>411</v>
      </c>
      <c r="B73" s="44">
        <v>3125</v>
      </c>
      <c r="C73" s="44" t="s">
        <v>110</v>
      </c>
      <c r="D73" s="52"/>
      <c r="E73" s="52">
        <v>244281</v>
      </c>
      <c r="F73" s="52">
        <v>6149</v>
      </c>
      <c r="G73" s="52"/>
      <c r="H73" s="56">
        <v>93599</v>
      </c>
      <c r="I73" s="56"/>
      <c r="J73" s="56">
        <v>39507</v>
      </c>
      <c r="K73" s="56">
        <v>32362</v>
      </c>
      <c r="L73" s="52">
        <v>120924</v>
      </c>
      <c r="M73" s="52"/>
      <c r="N73" s="52">
        <v>62667</v>
      </c>
      <c r="O73" s="52">
        <v>36514</v>
      </c>
      <c r="P73" s="52">
        <v>10573</v>
      </c>
      <c r="Q73" s="52">
        <v>29412</v>
      </c>
      <c r="R73" s="52">
        <v>24584</v>
      </c>
      <c r="S73" s="52">
        <v>19336</v>
      </c>
      <c r="T73" s="52">
        <v>39202</v>
      </c>
      <c r="U73" s="52"/>
      <c r="V73" s="52"/>
      <c r="W73" s="52">
        <v>332932</v>
      </c>
      <c r="X73" s="52">
        <v>37866</v>
      </c>
      <c r="Y73" s="52">
        <v>374106</v>
      </c>
      <c r="Z73" s="52">
        <v>81121</v>
      </c>
      <c r="AA73" s="52">
        <v>72691</v>
      </c>
      <c r="AB73" s="52">
        <v>105199</v>
      </c>
      <c r="AC73" s="52"/>
      <c r="AD73" s="52">
        <v>20976</v>
      </c>
      <c r="AE73" s="52">
        <v>24022</v>
      </c>
      <c r="AF73" s="52"/>
      <c r="AG73" s="52">
        <v>86042</v>
      </c>
      <c r="AH73" s="52">
        <v>101159</v>
      </c>
      <c r="AI73" s="52"/>
      <c r="AJ73" s="52">
        <v>5699</v>
      </c>
      <c r="AK73" s="52">
        <v>36749</v>
      </c>
      <c r="AL73" s="52">
        <v>30698</v>
      </c>
      <c r="AM73" s="52">
        <v>38327</v>
      </c>
      <c r="AN73" s="52">
        <v>162886</v>
      </c>
      <c r="AO73" s="52">
        <v>33412</v>
      </c>
      <c r="AP73" s="52">
        <v>45791</v>
      </c>
      <c r="AQ73" s="52">
        <v>46288</v>
      </c>
      <c r="AR73" s="52">
        <v>71845</v>
      </c>
      <c r="AS73" s="52">
        <v>164296</v>
      </c>
      <c r="AT73" s="52">
        <v>31527</v>
      </c>
      <c r="AU73" s="52">
        <v>46490</v>
      </c>
      <c r="AV73" s="52">
        <v>38170</v>
      </c>
      <c r="AW73" s="52"/>
      <c r="AX73" s="52">
        <v>109889</v>
      </c>
      <c r="AY73" s="101"/>
      <c r="AZ73" s="52"/>
      <c r="BA73" s="52">
        <v>33269</v>
      </c>
      <c r="BB73" s="52">
        <v>22885</v>
      </c>
      <c r="BC73" s="52">
        <v>234989</v>
      </c>
      <c r="BD73" s="52">
        <v>47124</v>
      </c>
      <c r="BE73" s="52">
        <v>63678</v>
      </c>
      <c r="BF73" s="52">
        <v>284940</v>
      </c>
      <c r="BG73" s="52">
        <v>42183</v>
      </c>
      <c r="BH73" s="52">
        <v>78388</v>
      </c>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v>16131</v>
      </c>
      <c r="CM73" s="52"/>
      <c r="CN73" s="52"/>
      <c r="CO73" s="52"/>
      <c r="CP73" s="52"/>
      <c r="CQ73" s="52"/>
      <c r="CR73" s="52"/>
      <c r="CS73" s="52"/>
      <c r="CT73" s="52"/>
      <c r="CU73" s="52"/>
      <c r="CV73" s="52"/>
      <c r="CW73" s="52"/>
      <c r="CX73" s="52"/>
      <c r="CY73" s="52"/>
      <c r="CZ73" s="52"/>
      <c r="DA73" s="52"/>
      <c r="DB73" s="52"/>
      <c r="DC73" s="52"/>
      <c r="DD73" s="52"/>
      <c r="DE73" s="52">
        <v>3680878</v>
      </c>
      <c r="DF73" s="52"/>
      <c r="DG73" s="52">
        <v>3680878</v>
      </c>
      <c r="DH73" s="52"/>
    </row>
    <row r="74" spans="1:112">
      <c r="A74" s="150" t="s">
        <v>411</v>
      </c>
      <c r="B74" s="44">
        <v>3126</v>
      </c>
      <c r="C74" s="44" t="s">
        <v>111</v>
      </c>
      <c r="D74" s="52">
        <v>12754</v>
      </c>
      <c r="E74" s="52">
        <v>9472</v>
      </c>
      <c r="F74" s="52"/>
      <c r="G74" s="52"/>
      <c r="H74" s="56">
        <v>35500</v>
      </c>
      <c r="I74" s="56">
        <v>17116</v>
      </c>
      <c r="J74" s="56">
        <v>12374</v>
      </c>
      <c r="K74" s="56">
        <v>12799</v>
      </c>
      <c r="L74" s="52">
        <v>56087</v>
      </c>
      <c r="M74" s="52"/>
      <c r="N74" s="52"/>
      <c r="O74" s="52">
        <v>6985</v>
      </c>
      <c r="P74" s="52"/>
      <c r="Q74" s="52"/>
      <c r="R74" s="52">
        <v>2511</v>
      </c>
      <c r="S74" s="52">
        <v>11782</v>
      </c>
      <c r="T74" s="52"/>
      <c r="U74" s="52">
        <v>65272</v>
      </c>
      <c r="V74" s="52"/>
      <c r="W74" s="52">
        <v>118313</v>
      </c>
      <c r="X74" s="52">
        <v>6494</v>
      </c>
      <c r="Y74" s="52">
        <v>136305</v>
      </c>
      <c r="Z74" s="52">
        <v>37020</v>
      </c>
      <c r="AA74" s="52">
        <v>27326</v>
      </c>
      <c r="AB74" s="52">
        <v>24507</v>
      </c>
      <c r="AC74" s="52">
        <v>4506</v>
      </c>
      <c r="AD74" s="52">
        <v>7041</v>
      </c>
      <c r="AE74" s="52">
        <v>4980</v>
      </c>
      <c r="AF74" s="52"/>
      <c r="AG74" s="52">
        <v>28066</v>
      </c>
      <c r="AH74" s="52">
        <v>31188</v>
      </c>
      <c r="AI74" s="52"/>
      <c r="AJ74" s="52">
        <v>3720</v>
      </c>
      <c r="AK74" s="52">
        <v>6147</v>
      </c>
      <c r="AL74" s="52"/>
      <c r="AM74" s="52"/>
      <c r="AN74" s="52">
        <v>9772</v>
      </c>
      <c r="AO74" s="52">
        <v>10084</v>
      </c>
      <c r="AP74" s="52"/>
      <c r="AQ74" s="52">
        <v>18900</v>
      </c>
      <c r="AR74" s="52"/>
      <c r="AS74" s="52">
        <v>68135</v>
      </c>
      <c r="AT74" s="52">
        <v>5440</v>
      </c>
      <c r="AU74" s="52">
        <v>17555</v>
      </c>
      <c r="AV74" s="52">
        <v>4552</v>
      </c>
      <c r="AW74" s="52">
        <v>8077</v>
      </c>
      <c r="AX74" s="52">
        <v>23212</v>
      </c>
      <c r="AY74" s="101">
        <v>301844</v>
      </c>
      <c r="AZ74" s="52">
        <v>20935</v>
      </c>
      <c r="BA74" s="52">
        <v>5416</v>
      </c>
      <c r="BB74" s="52">
        <v>7529</v>
      </c>
      <c r="BC74" s="52"/>
      <c r="BD74" s="52">
        <v>20757</v>
      </c>
      <c r="BE74" s="52"/>
      <c r="BF74" s="52">
        <v>155897</v>
      </c>
      <c r="BG74" s="52"/>
      <c r="BH74" s="52">
        <v>47166</v>
      </c>
      <c r="BI74" s="52">
        <v>50631</v>
      </c>
      <c r="BJ74" s="52">
        <v>16764</v>
      </c>
      <c r="BK74" s="52"/>
      <c r="BL74" s="52">
        <v>11286</v>
      </c>
      <c r="BM74" s="52">
        <v>90099</v>
      </c>
      <c r="BN74" s="52">
        <v>30908</v>
      </c>
      <c r="BO74" s="52">
        <v>9666</v>
      </c>
      <c r="BP74" s="52">
        <v>18554</v>
      </c>
      <c r="BQ74" s="52">
        <v>69629</v>
      </c>
      <c r="BR74" s="52"/>
      <c r="BS74" s="52"/>
      <c r="BT74" s="52">
        <v>11765</v>
      </c>
      <c r="BU74" s="52">
        <v>8735</v>
      </c>
      <c r="BV74" s="52">
        <v>3777</v>
      </c>
      <c r="BW74" s="52"/>
      <c r="BX74" s="52">
        <v>22750</v>
      </c>
      <c r="BY74" s="52">
        <v>32098</v>
      </c>
      <c r="BZ74" s="52">
        <v>49064</v>
      </c>
      <c r="CA74" s="52"/>
      <c r="CB74" s="52"/>
      <c r="CC74" s="52">
        <v>18786</v>
      </c>
      <c r="CD74" s="52">
        <v>31189</v>
      </c>
      <c r="CE74" s="52"/>
      <c r="CF74" s="52">
        <v>75881</v>
      </c>
      <c r="CG74" s="52">
        <v>177501</v>
      </c>
      <c r="CH74" s="52">
        <v>96569</v>
      </c>
      <c r="CI74" s="52">
        <v>10169</v>
      </c>
      <c r="CJ74" s="52">
        <v>21229</v>
      </c>
      <c r="CK74" s="52">
        <v>30844</v>
      </c>
      <c r="CL74" s="52">
        <v>14155</v>
      </c>
      <c r="CM74" s="52">
        <v>11697</v>
      </c>
      <c r="CN74" s="52">
        <v>30813</v>
      </c>
      <c r="CO74" s="52">
        <v>43448</v>
      </c>
      <c r="CP74" s="52">
        <v>35848</v>
      </c>
      <c r="CQ74" s="52"/>
      <c r="CR74" s="52"/>
      <c r="CS74" s="52"/>
      <c r="CT74" s="52">
        <v>40824</v>
      </c>
      <c r="CU74" s="52">
        <v>35691</v>
      </c>
      <c r="CV74" s="52"/>
      <c r="CW74" s="52">
        <v>21889</v>
      </c>
      <c r="CX74" s="52">
        <v>10322</v>
      </c>
      <c r="CY74" s="52">
        <v>22264</v>
      </c>
      <c r="CZ74" s="52">
        <v>24808</v>
      </c>
      <c r="DA74" s="52">
        <v>74494</v>
      </c>
      <c r="DB74" s="52">
        <v>33167</v>
      </c>
      <c r="DC74" s="52"/>
      <c r="DD74" s="52"/>
      <c r="DE74" s="52">
        <v>2690850</v>
      </c>
      <c r="DF74" s="52"/>
      <c r="DG74" s="52">
        <v>2690850</v>
      </c>
      <c r="DH74" s="52"/>
    </row>
    <row r="75" spans="1:112">
      <c r="A75" s="150" t="s">
        <v>411</v>
      </c>
      <c r="B75" s="44">
        <v>3127</v>
      </c>
      <c r="C75" s="44" t="s">
        <v>112</v>
      </c>
      <c r="D75" s="52"/>
      <c r="E75" s="52">
        <v>37422</v>
      </c>
      <c r="F75" s="52"/>
      <c r="G75" s="52"/>
      <c r="H75" s="56">
        <v>37532</v>
      </c>
      <c r="I75" s="56">
        <v>17687</v>
      </c>
      <c r="J75" s="56"/>
      <c r="K75" s="56">
        <v>12851</v>
      </c>
      <c r="L75" s="52">
        <v>35619</v>
      </c>
      <c r="M75" s="52"/>
      <c r="N75" s="52"/>
      <c r="O75" s="52">
        <v>6814</v>
      </c>
      <c r="P75" s="52"/>
      <c r="Q75" s="52">
        <v>3894</v>
      </c>
      <c r="R75" s="52"/>
      <c r="S75" s="52">
        <v>11792</v>
      </c>
      <c r="T75" s="52"/>
      <c r="U75" s="52">
        <v>8535</v>
      </c>
      <c r="V75" s="52"/>
      <c r="W75" s="52">
        <v>119566</v>
      </c>
      <c r="X75" s="52">
        <v>8125</v>
      </c>
      <c r="Y75" s="52">
        <v>190363</v>
      </c>
      <c r="Z75" s="52">
        <v>41018</v>
      </c>
      <c r="AA75" s="52">
        <v>26980</v>
      </c>
      <c r="AB75" s="52">
        <v>35216</v>
      </c>
      <c r="AC75" s="52">
        <v>678</v>
      </c>
      <c r="AD75" s="52"/>
      <c r="AE75" s="52">
        <v>5565</v>
      </c>
      <c r="AF75" s="52"/>
      <c r="AG75" s="52"/>
      <c r="AH75" s="52">
        <v>5392</v>
      </c>
      <c r="AI75" s="52"/>
      <c r="AJ75" s="52">
        <v>3391</v>
      </c>
      <c r="AK75" s="52">
        <v>17320</v>
      </c>
      <c r="AL75" s="52">
        <v>7090</v>
      </c>
      <c r="AM75" s="52"/>
      <c r="AN75" s="52">
        <v>56314</v>
      </c>
      <c r="AO75" s="52">
        <v>1324</v>
      </c>
      <c r="AP75" s="52"/>
      <c r="AQ75" s="52">
        <v>18334</v>
      </c>
      <c r="AR75" s="52"/>
      <c r="AS75" s="52">
        <v>61327</v>
      </c>
      <c r="AT75" s="52">
        <v>5285</v>
      </c>
      <c r="AU75" s="52"/>
      <c r="AV75" s="52">
        <v>245</v>
      </c>
      <c r="AW75" s="52">
        <v>6633</v>
      </c>
      <c r="AX75" s="52">
        <v>44574</v>
      </c>
      <c r="AY75" s="101">
        <v>284016</v>
      </c>
      <c r="AZ75" s="52">
        <v>42142</v>
      </c>
      <c r="BA75" s="52">
        <v>5215</v>
      </c>
      <c r="BB75" s="52"/>
      <c r="BC75" s="52"/>
      <c r="BD75" s="52">
        <v>12385</v>
      </c>
      <c r="BE75" s="52">
        <v>5939</v>
      </c>
      <c r="BF75" s="52">
        <v>861</v>
      </c>
      <c r="BG75" s="52">
        <v>14439</v>
      </c>
      <c r="BH75" s="52">
        <v>45682</v>
      </c>
      <c r="BI75" s="52">
        <v>43560</v>
      </c>
      <c r="BJ75" s="52">
        <v>13893</v>
      </c>
      <c r="BK75" s="52">
        <v>13862</v>
      </c>
      <c r="BL75" s="52">
        <v>12204</v>
      </c>
      <c r="BM75" s="52">
        <v>28555</v>
      </c>
      <c r="BN75" s="52">
        <v>39521</v>
      </c>
      <c r="BO75" s="52">
        <v>9552</v>
      </c>
      <c r="BP75" s="52">
        <v>15241</v>
      </c>
      <c r="BQ75" s="52">
        <v>1231</v>
      </c>
      <c r="BR75" s="52">
        <v>2520</v>
      </c>
      <c r="BS75" s="52"/>
      <c r="BT75" s="52">
        <v>13536</v>
      </c>
      <c r="BU75" s="52">
        <v>9164</v>
      </c>
      <c r="BV75" s="52">
        <v>3660</v>
      </c>
      <c r="BW75" s="52"/>
      <c r="BX75" s="52">
        <v>22143</v>
      </c>
      <c r="BY75" s="52">
        <v>26663</v>
      </c>
      <c r="BZ75" s="52">
        <v>47210</v>
      </c>
      <c r="CA75" s="52"/>
      <c r="CB75" s="52">
        <v>14188</v>
      </c>
      <c r="CC75" s="52">
        <v>18418</v>
      </c>
      <c r="CD75" s="52">
        <v>31681</v>
      </c>
      <c r="CE75" s="52"/>
      <c r="CF75" s="52">
        <v>74139</v>
      </c>
      <c r="CG75" s="52">
        <v>62100</v>
      </c>
      <c r="CH75" s="52">
        <v>29620</v>
      </c>
      <c r="CI75" s="52">
        <v>10121</v>
      </c>
      <c r="CJ75" s="52">
        <v>21045</v>
      </c>
      <c r="CK75" s="52">
        <v>9338</v>
      </c>
      <c r="CL75" s="52">
        <v>13663</v>
      </c>
      <c r="CM75" s="52">
        <v>13436</v>
      </c>
      <c r="CN75" s="52">
        <v>29152</v>
      </c>
      <c r="CO75" s="52">
        <v>41537</v>
      </c>
      <c r="CP75" s="52">
        <v>33881</v>
      </c>
      <c r="CQ75" s="52"/>
      <c r="CR75" s="52"/>
      <c r="CS75" s="52"/>
      <c r="CT75" s="52">
        <v>36711</v>
      </c>
      <c r="CU75" s="52">
        <v>32253</v>
      </c>
      <c r="CV75" s="52"/>
      <c r="CW75" s="52">
        <v>22145</v>
      </c>
      <c r="CX75" s="52">
        <v>22427</v>
      </c>
      <c r="CY75" s="52">
        <v>22740</v>
      </c>
      <c r="CZ75" s="52">
        <v>22555</v>
      </c>
      <c r="DA75" s="52">
        <v>69844</v>
      </c>
      <c r="DB75" s="52">
        <v>29823</v>
      </c>
      <c r="DC75" s="52"/>
      <c r="DD75" s="52"/>
      <c r="DE75" s="52">
        <v>2200897</v>
      </c>
      <c r="DF75" s="52"/>
      <c r="DG75" s="52">
        <v>2200897</v>
      </c>
      <c r="DH75" s="52"/>
    </row>
    <row r="76" spans="1:112">
      <c r="A76" s="150" t="s">
        <v>411</v>
      </c>
      <c r="B76" s="44">
        <v>3128</v>
      </c>
      <c r="C76" s="44" t="s">
        <v>104</v>
      </c>
      <c r="D76" s="52">
        <v>7201</v>
      </c>
      <c r="E76" s="52"/>
      <c r="F76" s="52"/>
      <c r="G76" s="52"/>
      <c r="H76" s="56">
        <v>3233</v>
      </c>
      <c r="I76" s="56"/>
      <c r="J76" s="56"/>
      <c r="K76" s="56"/>
      <c r="L76" s="52"/>
      <c r="M76" s="52"/>
      <c r="N76" s="52"/>
      <c r="O76" s="52"/>
      <c r="P76" s="52"/>
      <c r="Q76" s="52"/>
      <c r="R76" s="52"/>
      <c r="S76" s="52"/>
      <c r="T76" s="52"/>
      <c r="U76" s="52"/>
      <c r="V76" s="52"/>
      <c r="W76" s="52">
        <v>109208</v>
      </c>
      <c r="X76" s="52">
        <v>2900</v>
      </c>
      <c r="Y76" s="52">
        <v>49346</v>
      </c>
      <c r="Z76" s="52"/>
      <c r="AA76" s="52">
        <v>7109</v>
      </c>
      <c r="AB76" s="52"/>
      <c r="AC76" s="52">
        <v>12000</v>
      </c>
      <c r="AD76" s="52"/>
      <c r="AE76" s="52"/>
      <c r="AF76" s="52"/>
      <c r="AG76" s="52"/>
      <c r="AH76" s="52"/>
      <c r="AI76" s="52"/>
      <c r="AJ76" s="52"/>
      <c r="AK76" s="52"/>
      <c r="AL76" s="52"/>
      <c r="AM76" s="52"/>
      <c r="AN76" s="52"/>
      <c r="AO76" s="52"/>
      <c r="AP76" s="52"/>
      <c r="AQ76" s="52"/>
      <c r="AR76" s="52"/>
      <c r="AS76" s="52">
        <v>29843</v>
      </c>
      <c r="AT76" s="52"/>
      <c r="AU76" s="52"/>
      <c r="AV76" s="52"/>
      <c r="AW76" s="52"/>
      <c r="AX76" s="52"/>
      <c r="AY76" s="101">
        <v>7000</v>
      </c>
      <c r="AZ76" s="52"/>
      <c r="BA76" s="52"/>
      <c r="BB76" s="52"/>
      <c r="BC76" s="52"/>
      <c r="BD76" s="52"/>
      <c r="BE76" s="52"/>
      <c r="BF76" s="52">
        <v>4512</v>
      </c>
      <c r="BG76" s="52"/>
      <c r="BH76" s="52"/>
      <c r="BI76" s="52">
        <v>7827</v>
      </c>
      <c r="BJ76" s="52"/>
      <c r="BK76" s="52">
        <v>887</v>
      </c>
      <c r="BL76" s="52"/>
      <c r="BM76" s="52">
        <v>22396</v>
      </c>
      <c r="BN76" s="52"/>
      <c r="BO76" s="52"/>
      <c r="BP76" s="52"/>
      <c r="BQ76" s="52"/>
      <c r="BR76" s="52"/>
      <c r="BS76" s="52"/>
      <c r="BT76" s="52"/>
      <c r="BU76" s="52"/>
      <c r="BV76" s="52"/>
      <c r="BW76" s="52"/>
      <c r="BX76" s="52"/>
      <c r="BY76" s="52">
        <v>7938</v>
      </c>
      <c r="BZ76" s="52">
        <v>34909</v>
      </c>
      <c r="CA76" s="52"/>
      <c r="CB76" s="52">
        <v>10214</v>
      </c>
      <c r="CC76" s="52"/>
      <c r="CD76" s="52"/>
      <c r="CE76" s="52"/>
      <c r="CF76" s="52">
        <v>2390</v>
      </c>
      <c r="CG76" s="52">
        <v>21201</v>
      </c>
      <c r="CH76" s="52"/>
      <c r="CI76" s="52"/>
      <c r="CJ76" s="52"/>
      <c r="CK76" s="52"/>
      <c r="CL76" s="52">
        <v>15800</v>
      </c>
      <c r="CM76" s="52"/>
      <c r="CN76" s="52"/>
      <c r="CO76" s="52"/>
      <c r="CP76" s="52"/>
      <c r="CQ76" s="52"/>
      <c r="CR76" s="52"/>
      <c r="CS76" s="52"/>
      <c r="CT76" s="52"/>
      <c r="CU76" s="52">
        <v>14789</v>
      </c>
      <c r="CV76" s="52"/>
      <c r="CW76" s="52"/>
      <c r="CX76" s="52">
        <v>26208</v>
      </c>
      <c r="CY76" s="52">
        <v>1798</v>
      </c>
      <c r="CZ76" s="52">
        <v>3087</v>
      </c>
      <c r="DA76" s="52">
        <v>6099</v>
      </c>
      <c r="DB76" s="52">
        <v>27800</v>
      </c>
      <c r="DC76" s="52"/>
      <c r="DD76" s="52"/>
      <c r="DE76" s="52">
        <v>435695</v>
      </c>
      <c r="DF76" s="52"/>
      <c r="DG76" s="52">
        <v>435695</v>
      </c>
      <c r="DH76" s="52"/>
    </row>
    <row r="77" spans="1:112">
      <c r="A77" s="150" t="s">
        <v>411</v>
      </c>
      <c r="B77" s="44">
        <v>3129</v>
      </c>
      <c r="C77" s="44" t="s">
        <v>113</v>
      </c>
      <c r="D77" s="52"/>
      <c r="E77" s="52"/>
      <c r="F77" s="52"/>
      <c r="G77" s="52"/>
      <c r="H77" s="56"/>
      <c r="I77" s="56"/>
      <c r="J77" s="56"/>
      <c r="K77" s="56"/>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101"/>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row>
    <row r="78" spans="1:112">
      <c r="A78" s="150" t="s">
        <v>411</v>
      </c>
      <c r="B78" s="44">
        <v>3131</v>
      </c>
      <c r="C78" s="44" t="s">
        <v>115</v>
      </c>
      <c r="D78" s="52">
        <v>764</v>
      </c>
      <c r="E78" s="52">
        <v>9534</v>
      </c>
      <c r="F78" s="52">
        <v>764</v>
      </c>
      <c r="G78" s="52"/>
      <c r="H78" s="56">
        <v>859</v>
      </c>
      <c r="I78" s="56">
        <v>5980</v>
      </c>
      <c r="J78" s="56">
        <v>859</v>
      </c>
      <c r="K78" s="56">
        <v>859</v>
      </c>
      <c r="L78" s="52">
        <v>5183</v>
      </c>
      <c r="M78" s="52"/>
      <c r="N78" s="52"/>
      <c r="O78" s="52">
        <v>764</v>
      </c>
      <c r="P78" s="52">
        <v>764</v>
      </c>
      <c r="Q78" s="52">
        <v>4146</v>
      </c>
      <c r="R78" s="52">
        <v>764</v>
      </c>
      <c r="S78" s="52">
        <v>764</v>
      </c>
      <c r="T78" s="52"/>
      <c r="U78" s="52">
        <v>3437</v>
      </c>
      <c r="V78" s="52"/>
      <c r="W78" s="52">
        <v>10378</v>
      </c>
      <c r="X78" s="52">
        <v>21019</v>
      </c>
      <c r="Y78" s="52">
        <v>22083</v>
      </c>
      <c r="Z78" s="52">
        <v>1719</v>
      </c>
      <c r="AA78" s="52">
        <v>18326</v>
      </c>
      <c r="AB78" s="52">
        <v>15108</v>
      </c>
      <c r="AC78" s="52">
        <v>764</v>
      </c>
      <c r="AD78" s="52">
        <v>764</v>
      </c>
      <c r="AE78" s="52">
        <v>764</v>
      </c>
      <c r="AF78" s="52"/>
      <c r="AG78" s="52">
        <v>1719</v>
      </c>
      <c r="AH78" s="52">
        <v>4496</v>
      </c>
      <c r="AI78" s="52"/>
      <c r="AJ78" s="52">
        <v>764</v>
      </c>
      <c r="AK78" s="52">
        <v>4847</v>
      </c>
      <c r="AL78" s="52">
        <v>764</v>
      </c>
      <c r="AM78" s="52"/>
      <c r="AN78" s="52">
        <v>12606</v>
      </c>
      <c r="AO78" s="52">
        <v>7633</v>
      </c>
      <c r="AP78" s="52"/>
      <c r="AQ78" s="52">
        <v>764</v>
      </c>
      <c r="AR78" s="52">
        <v>5525</v>
      </c>
      <c r="AS78" s="52">
        <v>4498</v>
      </c>
      <c r="AT78" s="52">
        <v>764</v>
      </c>
      <c r="AU78" s="52">
        <v>3099</v>
      </c>
      <c r="AV78" s="52">
        <v>764</v>
      </c>
      <c r="AW78" s="52">
        <v>764</v>
      </c>
      <c r="AX78" s="52">
        <v>3899</v>
      </c>
      <c r="AY78" s="101">
        <v>160603</v>
      </c>
      <c r="AZ78" s="52">
        <v>3280</v>
      </c>
      <c r="BA78" s="52">
        <v>5274</v>
      </c>
      <c r="BB78" s="52">
        <v>764</v>
      </c>
      <c r="BC78" s="52"/>
      <c r="BD78" s="52">
        <v>5249</v>
      </c>
      <c r="BE78" s="52">
        <v>5070</v>
      </c>
      <c r="BF78" s="52">
        <v>10232</v>
      </c>
      <c r="BG78" s="52">
        <v>3970</v>
      </c>
      <c r="BH78" s="52">
        <v>15496</v>
      </c>
      <c r="BI78" s="52">
        <v>11339</v>
      </c>
      <c r="BJ78" s="52">
        <v>29362</v>
      </c>
      <c r="BK78" s="52">
        <v>764</v>
      </c>
      <c r="BL78" s="52">
        <v>859</v>
      </c>
      <c r="BM78" s="52">
        <v>98145</v>
      </c>
      <c r="BN78" s="52">
        <v>5257</v>
      </c>
      <c r="BO78" s="52">
        <v>764</v>
      </c>
      <c r="BP78" s="52">
        <v>10952</v>
      </c>
      <c r="BQ78" s="52">
        <v>2578</v>
      </c>
      <c r="BR78" s="52">
        <v>764</v>
      </c>
      <c r="BS78" s="52"/>
      <c r="BT78" s="52">
        <v>764</v>
      </c>
      <c r="BU78" s="52"/>
      <c r="BV78" s="52">
        <v>764</v>
      </c>
      <c r="BW78" s="52"/>
      <c r="BX78" s="52">
        <v>859</v>
      </c>
      <c r="BY78" s="52">
        <v>859</v>
      </c>
      <c r="BZ78" s="52">
        <v>2731</v>
      </c>
      <c r="CA78" s="52"/>
      <c r="CB78" s="52">
        <v>764</v>
      </c>
      <c r="CC78" s="52">
        <v>859</v>
      </c>
      <c r="CD78" s="52">
        <v>2578</v>
      </c>
      <c r="CE78" s="52"/>
      <c r="CF78" s="52">
        <v>26157</v>
      </c>
      <c r="CG78" s="52">
        <v>7734</v>
      </c>
      <c r="CH78" s="52">
        <v>44131</v>
      </c>
      <c r="CI78" s="52">
        <v>765</v>
      </c>
      <c r="CJ78" s="52">
        <v>859</v>
      </c>
      <c r="CK78" s="52">
        <v>1617</v>
      </c>
      <c r="CL78" s="52">
        <v>18575</v>
      </c>
      <c r="CM78" s="52">
        <v>764</v>
      </c>
      <c r="CN78" s="52">
        <v>764</v>
      </c>
      <c r="CO78" s="52">
        <v>8874</v>
      </c>
      <c r="CP78" s="52">
        <v>5156</v>
      </c>
      <c r="CQ78" s="52"/>
      <c r="CR78" s="52"/>
      <c r="CS78" s="52"/>
      <c r="CT78" s="52">
        <v>26473</v>
      </c>
      <c r="CU78" s="52">
        <v>1719</v>
      </c>
      <c r="CV78" s="52"/>
      <c r="CW78" s="52">
        <v>23967</v>
      </c>
      <c r="CX78" s="52">
        <v>5329</v>
      </c>
      <c r="CY78" s="52">
        <v>8962</v>
      </c>
      <c r="CZ78" s="52">
        <v>764</v>
      </c>
      <c r="DA78" s="52">
        <v>8080</v>
      </c>
      <c r="DB78" s="52">
        <v>859</v>
      </c>
      <c r="DC78" s="52"/>
      <c r="DD78" s="52"/>
      <c r="DE78" s="52">
        <v>751721</v>
      </c>
      <c r="DF78" s="52"/>
      <c r="DG78" s="52">
        <v>751721</v>
      </c>
      <c r="DH78" s="52"/>
    </row>
    <row r="79" spans="1:112">
      <c r="A79" s="150" t="s">
        <v>411</v>
      </c>
      <c r="B79" s="44">
        <v>3132</v>
      </c>
      <c r="C79" s="44" t="s">
        <v>116</v>
      </c>
      <c r="D79" s="52">
        <v>1184</v>
      </c>
      <c r="E79" s="52"/>
      <c r="F79" s="52"/>
      <c r="G79" s="52"/>
      <c r="H79" s="56"/>
      <c r="I79" s="56"/>
      <c r="J79" s="56"/>
      <c r="K79" s="56"/>
      <c r="L79" s="52"/>
      <c r="M79" s="52"/>
      <c r="N79" s="52"/>
      <c r="O79" s="52">
        <v>1775</v>
      </c>
      <c r="P79" s="52"/>
      <c r="Q79" s="52"/>
      <c r="R79" s="52"/>
      <c r="S79" s="52"/>
      <c r="T79" s="52"/>
      <c r="U79" s="52">
        <v>9468</v>
      </c>
      <c r="V79" s="52"/>
      <c r="W79" s="52">
        <v>592</v>
      </c>
      <c r="X79" s="52">
        <v>7101</v>
      </c>
      <c r="Y79" s="52">
        <v>8285</v>
      </c>
      <c r="Z79" s="52">
        <v>1184</v>
      </c>
      <c r="AA79" s="52"/>
      <c r="AB79" s="52"/>
      <c r="AC79" s="52"/>
      <c r="AD79" s="52"/>
      <c r="AE79" s="52"/>
      <c r="AF79" s="52"/>
      <c r="AG79" s="52"/>
      <c r="AH79" s="52"/>
      <c r="AI79" s="52"/>
      <c r="AJ79" s="52"/>
      <c r="AK79" s="52"/>
      <c r="AL79" s="52"/>
      <c r="AM79" s="52"/>
      <c r="AN79" s="52">
        <v>2368</v>
      </c>
      <c r="AO79" s="52"/>
      <c r="AP79" s="52"/>
      <c r="AQ79" s="52">
        <v>7693</v>
      </c>
      <c r="AR79" s="52">
        <v>4734</v>
      </c>
      <c r="AS79" s="52">
        <v>3551</v>
      </c>
      <c r="AT79" s="52"/>
      <c r="AU79" s="52"/>
      <c r="AV79" s="52">
        <v>592</v>
      </c>
      <c r="AW79" s="52"/>
      <c r="AX79" s="52"/>
      <c r="AY79" s="101">
        <v>129002</v>
      </c>
      <c r="AZ79" s="52">
        <v>592</v>
      </c>
      <c r="BA79" s="52"/>
      <c r="BB79" s="52"/>
      <c r="BC79" s="52"/>
      <c r="BD79" s="52"/>
      <c r="BE79" s="52"/>
      <c r="BF79" s="52">
        <v>17161</v>
      </c>
      <c r="BG79" s="52"/>
      <c r="BH79" s="52"/>
      <c r="BI79" s="52"/>
      <c r="BJ79" s="52">
        <v>3551</v>
      </c>
      <c r="BK79" s="52"/>
      <c r="BL79" s="52">
        <v>1775</v>
      </c>
      <c r="BM79" s="52">
        <v>117160</v>
      </c>
      <c r="BN79" s="52"/>
      <c r="BO79" s="52"/>
      <c r="BP79" s="52">
        <v>1184</v>
      </c>
      <c r="BQ79" s="52">
        <v>6509</v>
      </c>
      <c r="BR79" s="52"/>
      <c r="BS79" s="52"/>
      <c r="BT79" s="52"/>
      <c r="BU79" s="52"/>
      <c r="BV79" s="52"/>
      <c r="BW79" s="52"/>
      <c r="BX79" s="52">
        <v>2367</v>
      </c>
      <c r="BY79" s="52"/>
      <c r="BZ79" s="52">
        <v>7693</v>
      </c>
      <c r="CA79" s="52"/>
      <c r="CB79" s="52"/>
      <c r="CC79" s="52">
        <v>7101</v>
      </c>
      <c r="CD79" s="52"/>
      <c r="CE79" s="52"/>
      <c r="CF79" s="52">
        <v>2367</v>
      </c>
      <c r="CG79" s="52">
        <v>10652</v>
      </c>
      <c r="CH79" s="52">
        <v>2367</v>
      </c>
      <c r="CI79" s="52"/>
      <c r="CJ79" s="52"/>
      <c r="CK79" s="52"/>
      <c r="CL79" s="52"/>
      <c r="CM79" s="52">
        <v>592</v>
      </c>
      <c r="CN79" s="52">
        <v>2367</v>
      </c>
      <c r="CO79" s="52"/>
      <c r="CP79" s="52">
        <v>2959</v>
      </c>
      <c r="CQ79" s="52"/>
      <c r="CR79" s="52"/>
      <c r="CS79" s="52"/>
      <c r="CT79" s="52">
        <v>4734</v>
      </c>
      <c r="CU79" s="52">
        <v>4142</v>
      </c>
      <c r="CV79" s="52"/>
      <c r="CW79" s="52">
        <v>1184</v>
      </c>
      <c r="CX79" s="52"/>
      <c r="CY79" s="52">
        <v>3551</v>
      </c>
      <c r="CZ79" s="52">
        <v>592</v>
      </c>
      <c r="DA79" s="52"/>
      <c r="DB79" s="52">
        <v>3551</v>
      </c>
      <c r="DC79" s="52"/>
      <c r="DD79" s="52"/>
      <c r="DE79" s="52">
        <v>381680</v>
      </c>
      <c r="DF79" s="52"/>
      <c r="DG79" s="52">
        <v>381680</v>
      </c>
      <c r="DH79" s="52"/>
    </row>
    <row r="80" spans="1:112">
      <c r="A80" s="150" t="s">
        <v>411</v>
      </c>
      <c r="B80" s="44">
        <v>3134</v>
      </c>
      <c r="C80" s="44" t="s">
        <v>117</v>
      </c>
      <c r="D80" s="52">
        <v>325933</v>
      </c>
      <c r="E80" s="52"/>
      <c r="F80" s="52">
        <v>271132</v>
      </c>
      <c r="G80" s="52"/>
      <c r="H80" s="56"/>
      <c r="I80" s="56"/>
      <c r="J80" s="56"/>
      <c r="K80" s="56"/>
      <c r="L80" s="52"/>
      <c r="M80" s="52"/>
      <c r="N80" s="52"/>
      <c r="O80" s="52">
        <v>170</v>
      </c>
      <c r="P80" s="52">
        <v>128866</v>
      </c>
      <c r="Q80" s="52">
        <v>73025</v>
      </c>
      <c r="R80" s="52">
        <v>98</v>
      </c>
      <c r="S80" s="52"/>
      <c r="T80" s="52"/>
      <c r="U80" s="52"/>
      <c r="V80" s="52"/>
      <c r="W80" s="52">
        <v>782131</v>
      </c>
      <c r="X80" s="52"/>
      <c r="Y80" s="52"/>
      <c r="Z80" s="52"/>
      <c r="AA80" s="52"/>
      <c r="AB80" s="52"/>
      <c r="AC80" s="52">
        <v>97835</v>
      </c>
      <c r="AD80" s="52">
        <v>320397</v>
      </c>
      <c r="AE80" s="52">
        <v>159451</v>
      </c>
      <c r="AF80" s="52"/>
      <c r="AG80" s="52"/>
      <c r="AH80" s="52"/>
      <c r="AI80" s="52"/>
      <c r="AJ80" s="52">
        <v>139267</v>
      </c>
      <c r="AK80" s="52">
        <v>529349</v>
      </c>
      <c r="AL80" s="52">
        <v>284952</v>
      </c>
      <c r="AM80" s="52"/>
      <c r="AN80" s="52"/>
      <c r="AO80" s="52"/>
      <c r="AP80" s="52"/>
      <c r="AQ80" s="52"/>
      <c r="AR80" s="52"/>
      <c r="AS80" s="52">
        <v>327807</v>
      </c>
      <c r="AT80" s="52">
        <v>235431</v>
      </c>
      <c r="AU80" s="52">
        <v>156175</v>
      </c>
      <c r="AV80" s="52">
        <v>202747</v>
      </c>
      <c r="AW80" s="52">
        <v>180937</v>
      </c>
      <c r="AX80" s="52"/>
      <c r="AY80" s="101"/>
      <c r="AZ80" s="52"/>
      <c r="BA80" s="52"/>
      <c r="BB80" s="52"/>
      <c r="BC80" s="52"/>
      <c r="BD80" s="52">
        <v>350710</v>
      </c>
      <c r="BE80" s="52">
        <v>128049</v>
      </c>
      <c r="BF80" s="52"/>
      <c r="BG80" s="52">
        <v>378766</v>
      </c>
      <c r="BH80" s="52"/>
      <c r="BI80" s="52"/>
      <c r="BJ80" s="52">
        <v>520638</v>
      </c>
      <c r="BK80" s="52">
        <v>239179</v>
      </c>
      <c r="BL80" s="52">
        <v>359205</v>
      </c>
      <c r="BM80" s="52"/>
      <c r="BN80" s="52"/>
      <c r="BO80" s="52"/>
      <c r="BP80" s="52">
        <v>493170</v>
      </c>
      <c r="BQ80" s="52"/>
      <c r="BR80" s="52"/>
      <c r="BS80" s="52"/>
      <c r="BT80" s="52"/>
      <c r="BU80" s="52">
        <v>387437</v>
      </c>
      <c r="BV80" s="52">
        <v>201557</v>
      </c>
      <c r="BW80" s="52"/>
      <c r="BX80" s="52"/>
      <c r="BY80" s="52"/>
      <c r="BZ80" s="52"/>
      <c r="CA80" s="52"/>
      <c r="CB80" s="52">
        <v>595408</v>
      </c>
      <c r="CC80" s="52">
        <v>499007</v>
      </c>
      <c r="CD80" s="52">
        <v>1033133</v>
      </c>
      <c r="CE80" s="52"/>
      <c r="CF80" s="52"/>
      <c r="CG80" s="52"/>
      <c r="CH80" s="52"/>
      <c r="CI80" s="52"/>
      <c r="CJ80" s="52"/>
      <c r="CK80" s="52"/>
      <c r="CL80" s="52"/>
      <c r="CM80" s="52"/>
      <c r="CN80" s="52"/>
      <c r="CO80" s="52"/>
      <c r="CP80" s="52"/>
      <c r="CQ80" s="52"/>
      <c r="CR80" s="52"/>
      <c r="CS80" s="52"/>
      <c r="CT80" s="52"/>
      <c r="CU80" s="52"/>
      <c r="CV80" s="52"/>
      <c r="CW80" s="52"/>
      <c r="CX80" s="52">
        <v>806192</v>
      </c>
      <c r="CY80" s="52"/>
      <c r="CZ80" s="52"/>
      <c r="DA80" s="52"/>
      <c r="DB80" s="52"/>
      <c r="DC80" s="52"/>
      <c r="DD80" s="52"/>
      <c r="DE80" s="52">
        <v>10208154</v>
      </c>
      <c r="DF80" s="52"/>
      <c r="DG80" s="52">
        <v>10208154</v>
      </c>
      <c r="DH80" s="52"/>
    </row>
    <row r="81" spans="1:112">
      <c r="A81" s="150" t="s">
        <v>411</v>
      </c>
      <c r="B81" s="44">
        <v>3135</v>
      </c>
      <c r="C81" s="44" t="s">
        <v>118</v>
      </c>
      <c r="D81" s="52"/>
      <c r="E81" s="52"/>
      <c r="F81" s="52"/>
      <c r="G81" s="52"/>
      <c r="H81" s="56"/>
      <c r="I81" s="56"/>
      <c r="J81" s="56"/>
      <c r="K81" s="56"/>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101"/>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v>16821</v>
      </c>
      <c r="CV81" s="52"/>
      <c r="CW81" s="52"/>
      <c r="CX81" s="52"/>
      <c r="CY81" s="52"/>
      <c r="CZ81" s="52"/>
      <c r="DA81" s="52"/>
      <c r="DB81" s="52"/>
      <c r="DC81" s="52"/>
      <c r="DD81" s="52"/>
      <c r="DE81" s="52">
        <v>16821</v>
      </c>
      <c r="DF81" s="52"/>
      <c r="DG81" s="52">
        <v>16821</v>
      </c>
      <c r="DH81" s="52"/>
    </row>
    <row r="82" spans="1:112">
      <c r="A82" s="150" t="s">
        <v>411</v>
      </c>
      <c r="B82" s="44">
        <v>3141</v>
      </c>
      <c r="C82" s="44" t="s">
        <v>120</v>
      </c>
      <c r="D82" s="52"/>
      <c r="E82" s="52"/>
      <c r="F82" s="52"/>
      <c r="G82" s="52"/>
      <c r="H82" s="56"/>
      <c r="I82" s="56"/>
      <c r="J82" s="56"/>
      <c r="K82" s="56"/>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101"/>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row>
    <row r="83" spans="1:112">
      <c r="A83" s="150" t="s">
        <v>411</v>
      </c>
      <c r="B83" s="44">
        <v>3142</v>
      </c>
      <c r="C83" s="44" t="s">
        <v>121</v>
      </c>
      <c r="D83" s="52">
        <v>3502</v>
      </c>
      <c r="E83" s="52">
        <v>14786</v>
      </c>
      <c r="F83" s="52">
        <v>1556</v>
      </c>
      <c r="G83" s="52">
        <v>17898</v>
      </c>
      <c r="H83" s="56"/>
      <c r="I83" s="56"/>
      <c r="J83" s="56"/>
      <c r="K83" s="56"/>
      <c r="L83" s="52"/>
      <c r="M83" s="52"/>
      <c r="N83" s="52"/>
      <c r="O83" s="52">
        <v>1556</v>
      </c>
      <c r="P83" s="52">
        <v>1167</v>
      </c>
      <c r="Q83" s="52">
        <v>778</v>
      </c>
      <c r="R83" s="52">
        <v>778</v>
      </c>
      <c r="S83" s="52">
        <v>1556</v>
      </c>
      <c r="T83" s="52"/>
      <c r="U83" s="52">
        <v>10895</v>
      </c>
      <c r="V83" s="52"/>
      <c r="W83" s="52">
        <v>12840</v>
      </c>
      <c r="X83" s="52">
        <v>1556</v>
      </c>
      <c r="Y83" s="52">
        <v>29571</v>
      </c>
      <c r="Z83" s="52">
        <v>7393</v>
      </c>
      <c r="AA83" s="52">
        <v>3502</v>
      </c>
      <c r="AB83" s="52">
        <v>6225</v>
      </c>
      <c r="AC83" s="52">
        <v>1167</v>
      </c>
      <c r="AD83" s="52">
        <v>1945</v>
      </c>
      <c r="AE83" s="52">
        <v>778</v>
      </c>
      <c r="AF83" s="52"/>
      <c r="AG83" s="52">
        <v>3891</v>
      </c>
      <c r="AH83" s="52">
        <v>7393</v>
      </c>
      <c r="AI83" s="52"/>
      <c r="AJ83" s="52">
        <v>778</v>
      </c>
      <c r="AK83" s="52">
        <v>2335</v>
      </c>
      <c r="AL83" s="52"/>
      <c r="AM83" s="52"/>
      <c r="AN83" s="52">
        <v>5447</v>
      </c>
      <c r="AO83" s="52">
        <v>1946</v>
      </c>
      <c r="AP83" s="52"/>
      <c r="AQ83" s="52">
        <v>2724</v>
      </c>
      <c r="AR83" s="52">
        <v>2724</v>
      </c>
      <c r="AS83" s="52">
        <v>7393</v>
      </c>
      <c r="AT83" s="52">
        <v>778</v>
      </c>
      <c r="AU83" s="52">
        <v>3502</v>
      </c>
      <c r="AV83" s="52">
        <v>389</v>
      </c>
      <c r="AW83" s="52">
        <v>1167</v>
      </c>
      <c r="AX83" s="52">
        <v>6615</v>
      </c>
      <c r="AY83" s="101">
        <v>33462</v>
      </c>
      <c r="AZ83" s="52">
        <v>5836</v>
      </c>
      <c r="BA83" s="52">
        <v>1167</v>
      </c>
      <c r="BB83" s="52">
        <v>1556</v>
      </c>
      <c r="BC83" s="52"/>
      <c r="BD83" s="52">
        <v>2724</v>
      </c>
      <c r="BE83" s="52">
        <v>1167</v>
      </c>
      <c r="BF83" s="52">
        <v>16731</v>
      </c>
      <c r="BG83" s="52">
        <v>1167</v>
      </c>
      <c r="BH83" s="52">
        <v>7004</v>
      </c>
      <c r="BI83" s="52">
        <v>7004</v>
      </c>
      <c r="BJ83" s="52">
        <v>3891</v>
      </c>
      <c r="BK83" s="52">
        <v>2724</v>
      </c>
      <c r="BL83" s="52">
        <v>2335</v>
      </c>
      <c r="BM83" s="52">
        <v>7393</v>
      </c>
      <c r="BN83" s="52">
        <v>6225</v>
      </c>
      <c r="BO83" s="52">
        <v>1556</v>
      </c>
      <c r="BP83" s="52">
        <v>1945</v>
      </c>
      <c r="BQ83" s="52"/>
      <c r="BR83" s="52">
        <v>778</v>
      </c>
      <c r="BS83" s="52"/>
      <c r="BT83" s="52">
        <v>1945</v>
      </c>
      <c r="BU83" s="52">
        <v>2335</v>
      </c>
      <c r="BV83" s="52">
        <v>1167</v>
      </c>
      <c r="BW83" s="52"/>
      <c r="BX83" s="52">
        <v>3502</v>
      </c>
      <c r="BY83" s="52">
        <v>4280</v>
      </c>
      <c r="BZ83" s="52">
        <v>7393</v>
      </c>
      <c r="CA83" s="52"/>
      <c r="CB83" s="52">
        <v>2335</v>
      </c>
      <c r="CC83" s="52">
        <v>2335</v>
      </c>
      <c r="CD83" s="52">
        <v>4669</v>
      </c>
      <c r="CE83" s="52"/>
      <c r="CF83" s="52">
        <v>10116</v>
      </c>
      <c r="CG83" s="52">
        <v>18677</v>
      </c>
      <c r="CH83" s="52">
        <v>9338</v>
      </c>
      <c r="CI83" s="52">
        <v>1556</v>
      </c>
      <c r="CJ83" s="52">
        <v>2724</v>
      </c>
      <c r="CK83" s="52">
        <v>5058</v>
      </c>
      <c r="CL83" s="52">
        <v>2724</v>
      </c>
      <c r="CM83" s="52">
        <v>1556</v>
      </c>
      <c r="CN83" s="52">
        <v>3502</v>
      </c>
      <c r="CO83" s="52">
        <v>5836</v>
      </c>
      <c r="CP83" s="52">
        <v>5447</v>
      </c>
      <c r="CQ83" s="52"/>
      <c r="CR83" s="52"/>
      <c r="CS83" s="52"/>
      <c r="CT83" s="52">
        <v>5836</v>
      </c>
      <c r="CU83" s="52">
        <v>4280</v>
      </c>
      <c r="CV83" s="52"/>
      <c r="CW83" s="52">
        <v>3502</v>
      </c>
      <c r="CX83" s="52">
        <v>4669</v>
      </c>
      <c r="CY83" s="52">
        <v>3113</v>
      </c>
      <c r="CZ83" s="52">
        <v>3113</v>
      </c>
      <c r="DA83" s="52">
        <v>8949</v>
      </c>
      <c r="DB83" s="52">
        <v>3113</v>
      </c>
      <c r="DC83" s="52"/>
      <c r="DD83" s="52"/>
      <c r="DE83" s="52">
        <v>404266</v>
      </c>
      <c r="DF83" s="52"/>
      <c r="DG83" s="52">
        <v>404266</v>
      </c>
      <c r="DH83" s="52"/>
    </row>
    <row r="84" spans="1:112">
      <c r="A84" s="150" t="s">
        <v>411</v>
      </c>
      <c r="B84" s="44">
        <v>3160</v>
      </c>
      <c r="C84" s="44" t="s">
        <v>127</v>
      </c>
      <c r="D84" s="52">
        <v>244234</v>
      </c>
      <c r="E84" s="52">
        <v>1563886</v>
      </c>
      <c r="F84" s="52">
        <v>196696</v>
      </c>
      <c r="G84" s="52"/>
      <c r="H84" s="56">
        <v>398537</v>
      </c>
      <c r="I84" s="56">
        <v>210353</v>
      </c>
      <c r="J84" s="56">
        <v>253620</v>
      </c>
      <c r="K84" s="56">
        <v>205152</v>
      </c>
      <c r="L84" s="52">
        <v>707555</v>
      </c>
      <c r="M84" s="52"/>
      <c r="N84" s="52"/>
      <c r="O84" s="52">
        <v>116421</v>
      </c>
      <c r="P84" s="52">
        <v>85868</v>
      </c>
      <c r="Q84" s="52">
        <v>47547</v>
      </c>
      <c r="R84" s="52">
        <v>64935</v>
      </c>
      <c r="S84" s="52">
        <v>180061</v>
      </c>
      <c r="T84" s="52"/>
      <c r="U84" s="52">
        <v>1087572</v>
      </c>
      <c r="V84" s="52"/>
      <c r="W84" s="52">
        <v>1810347</v>
      </c>
      <c r="X84" s="52">
        <v>171735</v>
      </c>
      <c r="Y84" s="52">
        <v>2275337</v>
      </c>
      <c r="Z84" s="52">
        <v>498475</v>
      </c>
      <c r="AA84" s="52">
        <v>459586</v>
      </c>
      <c r="AB84" s="52">
        <v>684660</v>
      </c>
      <c r="AC84" s="52">
        <v>137915</v>
      </c>
      <c r="AD84" s="52">
        <v>205818</v>
      </c>
      <c r="AE84" s="52">
        <v>102939</v>
      </c>
      <c r="AF84" s="52"/>
      <c r="AG84" s="52">
        <v>809278</v>
      </c>
      <c r="AH84" s="52">
        <v>998716</v>
      </c>
      <c r="AI84" s="52"/>
      <c r="AJ84" s="52">
        <v>105517</v>
      </c>
      <c r="AK84" s="52">
        <v>186851</v>
      </c>
      <c r="AL84" s="52">
        <v>101905</v>
      </c>
      <c r="AM84" s="52"/>
      <c r="AN84" s="52">
        <v>1127768</v>
      </c>
      <c r="AO84" s="52">
        <v>330053</v>
      </c>
      <c r="AP84" s="52"/>
      <c r="AQ84" s="52">
        <v>357016</v>
      </c>
      <c r="AR84" s="52">
        <v>448655</v>
      </c>
      <c r="AS84" s="52">
        <v>718997</v>
      </c>
      <c r="AT84" s="52">
        <v>91170</v>
      </c>
      <c r="AU84" s="52">
        <v>266639</v>
      </c>
      <c r="AV84" s="52">
        <v>74529</v>
      </c>
      <c r="AW84" s="52">
        <v>63470</v>
      </c>
      <c r="AX84" s="52">
        <v>736036</v>
      </c>
      <c r="AY84" s="101">
        <v>2791205</v>
      </c>
      <c r="AZ84" s="52">
        <v>478773</v>
      </c>
      <c r="BA84" s="52">
        <v>67279</v>
      </c>
      <c r="BB84" s="52">
        <v>72931</v>
      </c>
      <c r="BC84" s="52"/>
      <c r="BD84" s="52">
        <v>213566</v>
      </c>
      <c r="BE84" s="52">
        <v>135688</v>
      </c>
      <c r="BF84" s="52">
        <v>2231248</v>
      </c>
      <c r="BG84" s="52">
        <v>269668</v>
      </c>
      <c r="BH84" s="52">
        <v>737256</v>
      </c>
      <c r="BI84" s="52">
        <v>703539</v>
      </c>
      <c r="BJ84" s="52">
        <v>385075</v>
      </c>
      <c r="BK84" s="52">
        <v>209326</v>
      </c>
      <c r="BL84" s="52">
        <v>315331</v>
      </c>
      <c r="BM84" s="52">
        <v>1422282</v>
      </c>
      <c r="BN84" s="52">
        <v>543975</v>
      </c>
      <c r="BO84" s="52">
        <v>170655</v>
      </c>
      <c r="BP84" s="52">
        <v>279043</v>
      </c>
      <c r="BQ84" s="52">
        <v>697769</v>
      </c>
      <c r="BR84" s="52">
        <v>113595</v>
      </c>
      <c r="BS84" s="52"/>
      <c r="BT84" s="52">
        <v>218556</v>
      </c>
      <c r="BU84" s="52">
        <v>110705</v>
      </c>
      <c r="BV84" s="52">
        <v>135223</v>
      </c>
      <c r="BW84" s="52"/>
      <c r="BX84" s="52">
        <v>460288</v>
      </c>
      <c r="BY84" s="52">
        <v>446574</v>
      </c>
      <c r="BZ84" s="52">
        <v>775524</v>
      </c>
      <c r="CA84" s="52"/>
      <c r="CB84" s="52">
        <v>427172</v>
      </c>
      <c r="CC84" s="52">
        <v>356152</v>
      </c>
      <c r="CD84" s="52">
        <v>473442</v>
      </c>
      <c r="CE84" s="52"/>
      <c r="CF84" s="52">
        <v>1003486</v>
      </c>
      <c r="CG84" s="52">
        <v>1492491</v>
      </c>
      <c r="CH84" s="52">
        <v>798812</v>
      </c>
      <c r="CI84" s="52">
        <v>230140</v>
      </c>
      <c r="CJ84" s="52">
        <v>227450</v>
      </c>
      <c r="CK84" s="52">
        <v>407943</v>
      </c>
      <c r="CL84" s="52">
        <v>188067</v>
      </c>
      <c r="CM84" s="52">
        <v>154246</v>
      </c>
      <c r="CN84" s="52">
        <v>267577</v>
      </c>
      <c r="CO84" s="52">
        <v>403192</v>
      </c>
      <c r="CP84" s="52">
        <v>521944</v>
      </c>
      <c r="CQ84" s="52"/>
      <c r="CR84" s="52"/>
      <c r="CS84" s="52"/>
      <c r="CT84" s="52">
        <v>830852</v>
      </c>
      <c r="CU84" s="52">
        <v>289747</v>
      </c>
      <c r="CV84" s="52"/>
      <c r="CW84" s="52">
        <v>315559</v>
      </c>
      <c r="CX84" s="52">
        <v>638606</v>
      </c>
      <c r="CY84" s="52">
        <v>425627</v>
      </c>
      <c r="CZ84" s="52">
        <v>324683</v>
      </c>
      <c r="DA84" s="52">
        <v>770927</v>
      </c>
      <c r="DB84" s="52">
        <v>301542</v>
      </c>
      <c r="DC84" s="52"/>
      <c r="DD84" s="52"/>
      <c r="DE84" s="52">
        <v>42960580</v>
      </c>
      <c r="DF84" s="52"/>
      <c r="DG84" s="52">
        <v>42960580</v>
      </c>
      <c r="DH84" s="52"/>
    </row>
    <row r="85" spans="1:112">
      <c r="A85" s="150" t="s">
        <v>411</v>
      </c>
      <c r="B85" s="44">
        <v>3161</v>
      </c>
      <c r="C85" s="44" t="s">
        <v>128</v>
      </c>
      <c r="D85" s="52">
        <v>8709</v>
      </c>
      <c r="E85" s="52"/>
      <c r="F85" s="52">
        <v>6791</v>
      </c>
      <c r="G85" s="52"/>
      <c r="H85" s="56"/>
      <c r="I85" s="56">
        <v>3949</v>
      </c>
      <c r="J85" s="56"/>
      <c r="K85" s="56">
        <v>4131</v>
      </c>
      <c r="L85" s="52"/>
      <c r="M85" s="52"/>
      <c r="N85" s="52"/>
      <c r="O85" s="52">
        <v>3038</v>
      </c>
      <c r="P85" s="52"/>
      <c r="Q85" s="52">
        <v>4517</v>
      </c>
      <c r="R85" s="52">
        <v>2953</v>
      </c>
      <c r="S85" s="52">
        <v>3292</v>
      </c>
      <c r="T85" s="52"/>
      <c r="U85" s="52">
        <v>3012</v>
      </c>
      <c r="V85" s="52"/>
      <c r="W85" s="52"/>
      <c r="X85" s="52">
        <v>9417</v>
      </c>
      <c r="Y85" s="52">
        <v>119922</v>
      </c>
      <c r="Z85" s="52">
        <v>20444</v>
      </c>
      <c r="AA85" s="52"/>
      <c r="AB85" s="52">
        <v>22068</v>
      </c>
      <c r="AC85" s="52">
        <v>1892</v>
      </c>
      <c r="AD85" s="52">
        <v>5209</v>
      </c>
      <c r="AE85" s="52">
        <v>2195</v>
      </c>
      <c r="AF85" s="52"/>
      <c r="AG85" s="52">
        <v>2076</v>
      </c>
      <c r="AH85" s="52"/>
      <c r="AI85" s="52"/>
      <c r="AJ85" s="52">
        <v>3653</v>
      </c>
      <c r="AK85" s="52"/>
      <c r="AL85" s="52"/>
      <c r="AM85" s="52"/>
      <c r="AN85" s="52">
        <v>40083</v>
      </c>
      <c r="AO85" s="52">
        <v>16515</v>
      </c>
      <c r="AP85" s="52"/>
      <c r="AQ85" s="52"/>
      <c r="AR85" s="52"/>
      <c r="AS85" s="52"/>
      <c r="AT85" s="52"/>
      <c r="AU85" s="52"/>
      <c r="AV85" s="52"/>
      <c r="AW85" s="52"/>
      <c r="AX85" s="52">
        <v>34183</v>
      </c>
      <c r="AY85" s="101"/>
      <c r="AZ85" s="52"/>
      <c r="BA85" s="52"/>
      <c r="BB85" s="52"/>
      <c r="BC85" s="52"/>
      <c r="BD85" s="52">
        <v>21306</v>
      </c>
      <c r="BE85" s="52">
        <v>3856</v>
      </c>
      <c r="BF85" s="52">
        <v>76865</v>
      </c>
      <c r="BG85" s="52">
        <v>21847</v>
      </c>
      <c r="BH85" s="52"/>
      <c r="BI85" s="52">
        <v>16135</v>
      </c>
      <c r="BJ85" s="52"/>
      <c r="BK85" s="52"/>
      <c r="BL85" s="52">
        <v>15498</v>
      </c>
      <c r="BM85" s="52">
        <v>6880</v>
      </c>
      <c r="BN85" s="52">
        <v>23602</v>
      </c>
      <c r="BO85" s="52">
        <v>11141</v>
      </c>
      <c r="BP85" s="52">
        <v>8047</v>
      </c>
      <c r="BQ85" s="52">
        <v>11316</v>
      </c>
      <c r="BR85" s="52"/>
      <c r="BS85" s="52"/>
      <c r="BT85" s="52">
        <v>11529</v>
      </c>
      <c r="BU85" s="52">
        <v>4369</v>
      </c>
      <c r="BV85" s="52"/>
      <c r="BW85" s="52"/>
      <c r="BX85" s="52"/>
      <c r="BY85" s="52">
        <v>16043</v>
      </c>
      <c r="BZ85" s="52"/>
      <c r="CA85" s="52"/>
      <c r="CB85" s="52">
        <v>29903</v>
      </c>
      <c r="CC85" s="52">
        <v>2515</v>
      </c>
      <c r="CD85" s="52">
        <v>9021</v>
      </c>
      <c r="CE85" s="52"/>
      <c r="CF85" s="52">
        <v>27460</v>
      </c>
      <c r="CG85" s="52">
        <v>9281</v>
      </c>
      <c r="CH85" s="52"/>
      <c r="CI85" s="52">
        <v>3449</v>
      </c>
      <c r="CJ85" s="52">
        <v>7059</v>
      </c>
      <c r="CK85" s="52"/>
      <c r="CL85" s="52"/>
      <c r="CM85" s="52">
        <v>8030</v>
      </c>
      <c r="CN85" s="52">
        <v>2191</v>
      </c>
      <c r="CO85" s="52">
        <v>10552</v>
      </c>
      <c r="CP85" s="52">
        <v>4129</v>
      </c>
      <c r="CQ85" s="52"/>
      <c r="CR85" s="52"/>
      <c r="CS85" s="52"/>
      <c r="CT85" s="52">
        <v>34597</v>
      </c>
      <c r="CU85" s="52">
        <v>8481</v>
      </c>
      <c r="CV85" s="52"/>
      <c r="CW85" s="52"/>
      <c r="CX85" s="52">
        <v>16274</v>
      </c>
      <c r="CY85" s="52">
        <v>9676</v>
      </c>
      <c r="CZ85" s="52">
        <v>7220</v>
      </c>
      <c r="DA85" s="52">
        <v>16590</v>
      </c>
      <c r="DB85" s="52">
        <v>7318</v>
      </c>
      <c r="DC85" s="52"/>
      <c r="DD85" s="52"/>
      <c r="DE85" s="52">
        <v>780229</v>
      </c>
      <c r="DF85" s="52"/>
      <c r="DG85" s="52">
        <v>780229</v>
      </c>
      <c r="DH85" s="52"/>
    </row>
    <row r="86" spans="1:112">
      <c r="A86" s="150" t="s">
        <v>411</v>
      </c>
      <c r="B86" s="44">
        <v>3162</v>
      </c>
      <c r="C86" s="44" t="s">
        <v>129</v>
      </c>
      <c r="D86" s="52">
        <v>19185</v>
      </c>
      <c r="E86" s="52">
        <v>110156</v>
      </c>
      <c r="F86" s="52">
        <v>14853</v>
      </c>
      <c r="G86" s="52"/>
      <c r="H86" s="56">
        <v>26611</v>
      </c>
      <c r="I86" s="56">
        <v>15471</v>
      </c>
      <c r="J86" s="56">
        <v>19185</v>
      </c>
      <c r="K86" s="56">
        <v>13615</v>
      </c>
      <c r="L86" s="52">
        <v>51365</v>
      </c>
      <c r="M86" s="52"/>
      <c r="N86" s="52"/>
      <c r="O86" s="52">
        <v>9283</v>
      </c>
      <c r="P86" s="52">
        <v>7426</v>
      </c>
      <c r="Q86" s="52">
        <v>4332</v>
      </c>
      <c r="R86" s="52">
        <v>4951</v>
      </c>
      <c r="S86" s="52">
        <v>14234</v>
      </c>
      <c r="T86" s="52"/>
      <c r="U86" s="52">
        <v>79213</v>
      </c>
      <c r="V86" s="52"/>
      <c r="W86" s="52">
        <v>115726</v>
      </c>
      <c r="X86" s="52">
        <v>14235</v>
      </c>
      <c r="Y86" s="52">
        <v>170804</v>
      </c>
      <c r="Z86" s="52">
        <v>31562</v>
      </c>
      <c r="AA86" s="52">
        <v>30943</v>
      </c>
      <c r="AB86" s="52">
        <v>55697</v>
      </c>
      <c r="AC86" s="52">
        <v>9902</v>
      </c>
      <c r="AD86" s="52">
        <v>16090</v>
      </c>
      <c r="AE86" s="52">
        <v>9283</v>
      </c>
      <c r="AF86" s="52"/>
      <c r="AG86" s="52">
        <v>54459</v>
      </c>
      <c r="AH86" s="52">
        <v>66218</v>
      </c>
      <c r="AI86" s="52"/>
      <c r="AJ86" s="52">
        <v>7426</v>
      </c>
      <c r="AK86" s="52">
        <v>12996</v>
      </c>
      <c r="AL86" s="52">
        <v>7426</v>
      </c>
      <c r="AM86" s="52"/>
      <c r="AN86" s="52">
        <v>66836</v>
      </c>
      <c r="AO86" s="52">
        <v>20422</v>
      </c>
      <c r="AP86" s="52"/>
      <c r="AQ86" s="52">
        <v>29086</v>
      </c>
      <c r="AR86" s="52">
        <v>26611</v>
      </c>
      <c r="AS86" s="52">
        <v>41463</v>
      </c>
      <c r="AT86" s="52">
        <v>8045</v>
      </c>
      <c r="AU86" s="52">
        <v>18566</v>
      </c>
      <c r="AV86" s="52">
        <v>6807</v>
      </c>
      <c r="AW86" s="52">
        <v>6189</v>
      </c>
      <c r="AX86" s="52">
        <v>53840</v>
      </c>
      <c r="AY86" s="101">
        <v>180087</v>
      </c>
      <c r="AZ86" s="52">
        <v>32180</v>
      </c>
      <c r="BA86" s="52">
        <v>5570</v>
      </c>
      <c r="BB86" s="52">
        <v>5570</v>
      </c>
      <c r="BC86" s="52"/>
      <c r="BD86" s="52">
        <v>15471</v>
      </c>
      <c r="BE86" s="52">
        <v>9902</v>
      </c>
      <c r="BF86" s="52">
        <v>173279</v>
      </c>
      <c r="BG86" s="52">
        <v>23516</v>
      </c>
      <c r="BH86" s="52">
        <v>55697</v>
      </c>
      <c r="BI86" s="52">
        <v>42701</v>
      </c>
      <c r="BJ86" s="52">
        <v>30943</v>
      </c>
      <c r="BK86" s="52">
        <v>17947</v>
      </c>
      <c r="BL86" s="52">
        <v>25992</v>
      </c>
      <c r="BM86" s="52">
        <v>82927</v>
      </c>
      <c r="BN86" s="52">
        <v>42701</v>
      </c>
      <c r="BO86" s="52">
        <v>11139</v>
      </c>
      <c r="BP86" s="52">
        <v>22898</v>
      </c>
      <c r="BQ86" s="52">
        <v>57554</v>
      </c>
      <c r="BR86" s="52">
        <v>9283</v>
      </c>
      <c r="BS86" s="52"/>
      <c r="BT86" s="52">
        <v>13615</v>
      </c>
      <c r="BU86" s="52">
        <v>9283</v>
      </c>
      <c r="BV86" s="52">
        <v>9902</v>
      </c>
      <c r="BW86" s="52"/>
      <c r="BX86" s="52">
        <v>34656</v>
      </c>
      <c r="BY86" s="52">
        <v>35275</v>
      </c>
      <c r="BZ86" s="52">
        <v>53840</v>
      </c>
      <c r="CA86" s="52"/>
      <c r="CB86" s="52">
        <v>34656</v>
      </c>
      <c r="CC86" s="52">
        <v>37131</v>
      </c>
      <c r="CD86" s="52">
        <v>40226</v>
      </c>
      <c r="CE86" s="52"/>
      <c r="CF86" s="52">
        <v>63123</v>
      </c>
      <c r="CG86" s="52">
        <v>107062</v>
      </c>
      <c r="CH86" s="52">
        <v>51365</v>
      </c>
      <c r="CI86" s="52">
        <v>12996</v>
      </c>
      <c r="CJ86" s="52">
        <v>16090</v>
      </c>
      <c r="CK86" s="52">
        <v>27230</v>
      </c>
      <c r="CL86" s="52">
        <v>14234</v>
      </c>
      <c r="CM86" s="52">
        <v>12996</v>
      </c>
      <c r="CN86" s="52">
        <v>19803</v>
      </c>
      <c r="CO86" s="52">
        <v>25992</v>
      </c>
      <c r="CP86" s="52">
        <v>44558</v>
      </c>
      <c r="CQ86" s="52"/>
      <c r="CR86" s="52"/>
      <c r="CS86" s="52"/>
      <c r="CT86" s="52">
        <v>68693</v>
      </c>
      <c r="CU86" s="52">
        <v>24135</v>
      </c>
      <c r="CV86" s="52"/>
      <c r="CW86" s="52">
        <v>24135</v>
      </c>
      <c r="CX86" s="52">
        <v>45177</v>
      </c>
      <c r="CY86" s="52">
        <v>28467</v>
      </c>
      <c r="CZ86" s="52">
        <v>22279</v>
      </c>
      <c r="DA86" s="52">
        <v>50746</v>
      </c>
      <c r="DB86" s="52">
        <v>19803</v>
      </c>
      <c r="DC86" s="52"/>
      <c r="DD86" s="52"/>
      <c r="DE86" s="52">
        <v>3063337</v>
      </c>
      <c r="DF86" s="52"/>
      <c r="DG86" s="52">
        <v>3063337</v>
      </c>
      <c r="DH86" s="52"/>
    </row>
    <row r="87" spans="1:112">
      <c r="A87" s="150" t="s">
        <v>411</v>
      </c>
      <c r="B87" s="44">
        <v>3163</v>
      </c>
      <c r="C87" s="44" t="s">
        <v>130</v>
      </c>
      <c r="D87" s="52"/>
      <c r="E87" s="52"/>
      <c r="F87" s="52">
        <v>13135</v>
      </c>
      <c r="G87" s="52"/>
      <c r="H87" s="56"/>
      <c r="I87" s="56"/>
      <c r="J87" s="56"/>
      <c r="K87" s="56"/>
      <c r="L87" s="52"/>
      <c r="M87" s="52"/>
      <c r="N87" s="52"/>
      <c r="O87" s="52"/>
      <c r="P87" s="52">
        <v>4440</v>
      </c>
      <c r="Q87" s="52">
        <v>2220</v>
      </c>
      <c r="R87" s="52"/>
      <c r="S87" s="52"/>
      <c r="T87" s="52"/>
      <c r="U87" s="52"/>
      <c r="V87" s="52"/>
      <c r="W87" s="52">
        <v>29600</v>
      </c>
      <c r="X87" s="52"/>
      <c r="Y87" s="52"/>
      <c r="Z87" s="52"/>
      <c r="AA87" s="52"/>
      <c r="AB87" s="52"/>
      <c r="AC87" s="52">
        <v>7770</v>
      </c>
      <c r="AD87" s="52">
        <v>7585</v>
      </c>
      <c r="AE87" s="52">
        <v>5550</v>
      </c>
      <c r="AF87" s="52"/>
      <c r="AG87" s="52"/>
      <c r="AH87" s="52"/>
      <c r="AI87" s="52"/>
      <c r="AJ87" s="52">
        <v>2960</v>
      </c>
      <c r="AK87" s="52">
        <v>9065</v>
      </c>
      <c r="AL87" s="52">
        <v>5920</v>
      </c>
      <c r="AM87" s="52"/>
      <c r="AN87" s="52"/>
      <c r="AO87" s="52"/>
      <c r="AP87" s="52"/>
      <c r="AQ87" s="52"/>
      <c r="AR87" s="52"/>
      <c r="AS87" s="52">
        <v>13875</v>
      </c>
      <c r="AT87" s="52"/>
      <c r="AU87" s="52">
        <v>555</v>
      </c>
      <c r="AV87" s="52">
        <v>9065</v>
      </c>
      <c r="AW87" s="52">
        <v>5550</v>
      </c>
      <c r="AX87" s="52"/>
      <c r="AY87" s="101"/>
      <c r="AZ87" s="52"/>
      <c r="BA87" s="52"/>
      <c r="BB87" s="52"/>
      <c r="BC87" s="52"/>
      <c r="BD87" s="52">
        <v>11655</v>
      </c>
      <c r="BE87" s="52"/>
      <c r="BF87" s="52"/>
      <c r="BG87" s="52">
        <v>19610</v>
      </c>
      <c r="BH87" s="52"/>
      <c r="BI87" s="52"/>
      <c r="BJ87" s="52"/>
      <c r="BK87" s="52">
        <v>4070</v>
      </c>
      <c r="BL87" s="52">
        <v>12487</v>
      </c>
      <c r="BM87" s="52"/>
      <c r="BN87" s="52"/>
      <c r="BO87" s="52"/>
      <c r="BP87" s="52">
        <v>1480</v>
      </c>
      <c r="BQ87" s="52"/>
      <c r="BR87" s="52"/>
      <c r="BS87" s="52"/>
      <c r="BT87" s="52"/>
      <c r="BU87" s="52">
        <v>5735</v>
      </c>
      <c r="BV87" s="52">
        <v>8880</v>
      </c>
      <c r="BW87" s="52"/>
      <c r="BX87" s="52"/>
      <c r="BY87" s="52"/>
      <c r="BZ87" s="52"/>
      <c r="CA87" s="52"/>
      <c r="CB87" s="52"/>
      <c r="CC87" s="52">
        <v>3885</v>
      </c>
      <c r="CD87" s="52">
        <v>1110</v>
      </c>
      <c r="CE87" s="52"/>
      <c r="CF87" s="52"/>
      <c r="CG87" s="52"/>
      <c r="CH87" s="52"/>
      <c r="CI87" s="52"/>
      <c r="CJ87" s="52"/>
      <c r="CK87" s="52"/>
      <c r="CL87" s="52"/>
      <c r="CM87" s="52"/>
      <c r="CN87" s="52"/>
      <c r="CO87" s="52"/>
      <c r="CP87" s="52"/>
      <c r="CQ87" s="52"/>
      <c r="CR87" s="52"/>
      <c r="CS87" s="52"/>
      <c r="CT87" s="52"/>
      <c r="CU87" s="52"/>
      <c r="CV87" s="52"/>
      <c r="CW87" s="52"/>
      <c r="CX87" s="52">
        <v>23310</v>
      </c>
      <c r="CY87" s="52"/>
      <c r="CZ87" s="52"/>
      <c r="DA87" s="52"/>
      <c r="DB87" s="52"/>
      <c r="DC87" s="52"/>
      <c r="DD87" s="52"/>
      <c r="DE87" s="52">
        <v>209512</v>
      </c>
      <c r="DF87" s="52"/>
      <c r="DG87" s="52">
        <v>209512</v>
      </c>
      <c r="DH87" s="52"/>
    </row>
    <row r="88" spans="1:112">
      <c r="A88" s="150" t="s">
        <v>411</v>
      </c>
      <c r="B88" s="44">
        <v>3165</v>
      </c>
      <c r="C88" s="44" t="s">
        <v>131</v>
      </c>
      <c r="D88" s="52">
        <v>2205</v>
      </c>
      <c r="E88" s="52">
        <v>6299</v>
      </c>
      <c r="F88" s="52"/>
      <c r="G88" s="52"/>
      <c r="H88" s="56">
        <v>9149</v>
      </c>
      <c r="I88" s="56">
        <v>2942</v>
      </c>
      <c r="J88" s="56"/>
      <c r="K88" s="56"/>
      <c r="L88" s="52">
        <v>10247</v>
      </c>
      <c r="M88" s="52"/>
      <c r="N88" s="52"/>
      <c r="O88" s="52">
        <v>1298</v>
      </c>
      <c r="P88" s="52">
        <v>1360</v>
      </c>
      <c r="Q88" s="52">
        <v>522</v>
      </c>
      <c r="R88" s="52">
        <v>1460</v>
      </c>
      <c r="S88" s="52">
        <v>3534</v>
      </c>
      <c r="T88" s="52"/>
      <c r="U88" s="52">
        <v>4701</v>
      </c>
      <c r="V88" s="52"/>
      <c r="W88" s="52"/>
      <c r="X88" s="52"/>
      <c r="Y88" s="52">
        <v>14173</v>
      </c>
      <c r="Z88" s="52">
        <v>5485</v>
      </c>
      <c r="AA88" s="52">
        <v>1191</v>
      </c>
      <c r="AB88" s="52"/>
      <c r="AC88" s="52">
        <v>1536</v>
      </c>
      <c r="AD88" s="52"/>
      <c r="AE88" s="52">
        <v>1068</v>
      </c>
      <c r="AF88" s="52"/>
      <c r="AG88" s="52">
        <v>3457</v>
      </c>
      <c r="AH88" s="52">
        <v>5377</v>
      </c>
      <c r="AI88" s="52"/>
      <c r="AJ88" s="52">
        <v>1767</v>
      </c>
      <c r="AK88" s="52"/>
      <c r="AL88" s="52"/>
      <c r="AM88" s="52"/>
      <c r="AN88" s="52">
        <v>9018</v>
      </c>
      <c r="AO88" s="52">
        <v>1652</v>
      </c>
      <c r="AP88" s="52"/>
      <c r="AQ88" s="52"/>
      <c r="AR88" s="52">
        <v>1444</v>
      </c>
      <c r="AS88" s="52">
        <v>3841</v>
      </c>
      <c r="AT88" s="52"/>
      <c r="AU88" s="52"/>
      <c r="AV88" s="52"/>
      <c r="AW88" s="52"/>
      <c r="AX88" s="52">
        <v>1629</v>
      </c>
      <c r="AY88" s="101">
        <v>10201</v>
      </c>
      <c r="AZ88" s="52">
        <v>6007</v>
      </c>
      <c r="BA88" s="52">
        <v>1383</v>
      </c>
      <c r="BB88" s="52">
        <v>1306</v>
      </c>
      <c r="BC88" s="52"/>
      <c r="BD88" s="52"/>
      <c r="BE88" s="52">
        <v>922</v>
      </c>
      <c r="BF88" s="52">
        <v>9326</v>
      </c>
      <c r="BG88" s="52">
        <v>1306</v>
      </c>
      <c r="BH88" s="52">
        <v>2171</v>
      </c>
      <c r="BI88" s="52"/>
      <c r="BJ88" s="52"/>
      <c r="BK88" s="52"/>
      <c r="BL88" s="52">
        <v>2197</v>
      </c>
      <c r="BM88" s="52">
        <v>16708</v>
      </c>
      <c r="BN88" s="52">
        <v>1306</v>
      </c>
      <c r="BO88" s="52"/>
      <c r="BP88" s="52"/>
      <c r="BQ88" s="52">
        <v>2050</v>
      </c>
      <c r="BR88" s="52"/>
      <c r="BS88" s="52"/>
      <c r="BT88" s="52">
        <v>1191</v>
      </c>
      <c r="BU88" s="52"/>
      <c r="BV88" s="52">
        <v>1191</v>
      </c>
      <c r="BW88" s="52"/>
      <c r="BX88" s="52"/>
      <c r="BY88" s="52">
        <v>5427</v>
      </c>
      <c r="BZ88" s="52">
        <v>4878</v>
      </c>
      <c r="CA88" s="52"/>
      <c r="CB88" s="52"/>
      <c r="CC88" s="52">
        <v>3687</v>
      </c>
      <c r="CD88" s="52">
        <v>3572</v>
      </c>
      <c r="CE88" s="52"/>
      <c r="CF88" s="52">
        <v>13720</v>
      </c>
      <c r="CG88" s="52">
        <v>18336</v>
      </c>
      <c r="CH88" s="52"/>
      <c r="CI88" s="52"/>
      <c r="CJ88" s="52">
        <v>2842</v>
      </c>
      <c r="CK88" s="52">
        <v>6791</v>
      </c>
      <c r="CL88" s="52">
        <v>2919</v>
      </c>
      <c r="CM88" s="52">
        <v>1844</v>
      </c>
      <c r="CN88" s="52">
        <v>2957</v>
      </c>
      <c r="CO88" s="52">
        <v>576</v>
      </c>
      <c r="CP88" s="52">
        <v>2235</v>
      </c>
      <c r="CQ88" s="52"/>
      <c r="CR88" s="52"/>
      <c r="CS88" s="52"/>
      <c r="CT88" s="52">
        <v>3065</v>
      </c>
      <c r="CU88" s="52"/>
      <c r="CV88" s="52"/>
      <c r="CW88" s="52">
        <v>883</v>
      </c>
      <c r="CX88" s="52"/>
      <c r="CY88" s="52">
        <v>937</v>
      </c>
      <c r="CZ88" s="52">
        <v>230</v>
      </c>
      <c r="DA88" s="52">
        <v>5162</v>
      </c>
      <c r="DB88" s="52">
        <v>873</v>
      </c>
      <c r="DC88" s="52"/>
      <c r="DD88" s="52"/>
      <c r="DE88" s="52">
        <v>233554</v>
      </c>
      <c r="DF88" s="52"/>
      <c r="DG88" s="52">
        <v>233554</v>
      </c>
      <c r="DH88" s="52"/>
    </row>
    <row r="89" spans="1:112">
      <c r="A89" s="150" t="s">
        <v>411</v>
      </c>
      <c r="B89" s="44">
        <v>3170</v>
      </c>
      <c r="C89" s="44" t="s">
        <v>132</v>
      </c>
      <c r="D89" s="52">
        <v>29980</v>
      </c>
      <c r="E89" s="52"/>
      <c r="F89" s="52"/>
      <c r="G89" s="52"/>
      <c r="H89" s="56"/>
      <c r="I89" s="56"/>
      <c r="J89" s="56"/>
      <c r="K89" s="56"/>
      <c r="L89" s="52"/>
      <c r="M89" s="52"/>
      <c r="N89" s="52"/>
      <c r="O89" s="52">
        <v>7299</v>
      </c>
      <c r="P89" s="52">
        <v>766</v>
      </c>
      <c r="Q89" s="52"/>
      <c r="R89" s="52"/>
      <c r="S89" s="52"/>
      <c r="T89" s="52"/>
      <c r="U89" s="52">
        <v>81276</v>
      </c>
      <c r="V89" s="52"/>
      <c r="W89" s="52"/>
      <c r="X89" s="52"/>
      <c r="Y89" s="52"/>
      <c r="Z89" s="52"/>
      <c r="AA89" s="52">
        <v>427</v>
      </c>
      <c r="AB89" s="52"/>
      <c r="AC89" s="52"/>
      <c r="AD89" s="52"/>
      <c r="AE89" s="52"/>
      <c r="AF89" s="52"/>
      <c r="AG89" s="52"/>
      <c r="AH89" s="52"/>
      <c r="AI89" s="52"/>
      <c r="AJ89" s="52"/>
      <c r="AK89" s="52"/>
      <c r="AL89" s="52">
        <v>6964</v>
      </c>
      <c r="AM89" s="52"/>
      <c r="AN89" s="52"/>
      <c r="AO89" s="52"/>
      <c r="AP89" s="52"/>
      <c r="AQ89" s="52">
        <v>7082</v>
      </c>
      <c r="AR89" s="52"/>
      <c r="AS89" s="52"/>
      <c r="AT89" s="52"/>
      <c r="AU89" s="52">
        <v>17226</v>
      </c>
      <c r="AV89" s="52"/>
      <c r="AW89" s="52"/>
      <c r="AX89" s="52"/>
      <c r="AY89" s="101">
        <v>287837</v>
      </c>
      <c r="AZ89" s="52"/>
      <c r="BA89" s="52"/>
      <c r="BB89" s="52"/>
      <c r="BC89" s="52"/>
      <c r="BD89" s="52">
        <v>4850</v>
      </c>
      <c r="BE89" s="52"/>
      <c r="BF89" s="52"/>
      <c r="BG89" s="52"/>
      <c r="BH89" s="52"/>
      <c r="BI89" s="52">
        <v>7712</v>
      </c>
      <c r="BJ89" s="52"/>
      <c r="BK89" s="52"/>
      <c r="BL89" s="52"/>
      <c r="BM89" s="52"/>
      <c r="BN89" s="52"/>
      <c r="BO89" s="52"/>
      <c r="BP89" s="52"/>
      <c r="BQ89" s="52"/>
      <c r="BR89" s="52"/>
      <c r="BS89" s="52"/>
      <c r="BT89" s="52"/>
      <c r="BU89" s="52"/>
      <c r="BV89" s="52"/>
      <c r="BW89" s="52"/>
      <c r="BX89" s="52"/>
      <c r="BY89" s="52"/>
      <c r="BZ89" s="52">
        <v>47587</v>
      </c>
      <c r="CA89" s="52"/>
      <c r="CB89" s="52">
        <v>15153</v>
      </c>
      <c r="CC89" s="52"/>
      <c r="CD89" s="52"/>
      <c r="CE89" s="52"/>
      <c r="CF89" s="52"/>
      <c r="CG89" s="52"/>
      <c r="CH89" s="52"/>
      <c r="CI89" s="52">
        <v>9540</v>
      </c>
      <c r="CJ89" s="52"/>
      <c r="CK89" s="52">
        <v>39670</v>
      </c>
      <c r="CL89" s="52">
        <v>13751</v>
      </c>
      <c r="CM89" s="52">
        <v>13091</v>
      </c>
      <c r="CN89" s="52">
        <v>28808</v>
      </c>
      <c r="CO89" s="52"/>
      <c r="CP89" s="52"/>
      <c r="CQ89" s="52"/>
      <c r="CR89" s="52"/>
      <c r="CS89" s="52"/>
      <c r="CT89" s="52">
        <v>40805</v>
      </c>
      <c r="CU89" s="52"/>
      <c r="CV89" s="52"/>
      <c r="CW89" s="52"/>
      <c r="CX89" s="52"/>
      <c r="CY89" s="52"/>
      <c r="CZ89" s="52"/>
      <c r="DA89" s="52"/>
      <c r="DB89" s="52"/>
      <c r="DC89" s="52"/>
      <c r="DD89" s="52"/>
      <c r="DE89" s="52">
        <v>659824</v>
      </c>
      <c r="DF89" s="52"/>
      <c r="DG89" s="52">
        <v>659824</v>
      </c>
      <c r="DH89" s="52"/>
    </row>
    <row r="90" spans="1:112">
      <c r="A90" s="150" t="s">
        <v>411</v>
      </c>
      <c r="B90" s="44">
        <v>3172</v>
      </c>
      <c r="C90" s="44" t="s">
        <v>133</v>
      </c>
      <c r="D90" s="52">
        <v>261085</v>
      </c>
      <c r="E90" s="52"/>
      <c r="F90" s="52">
        <v>53761</v>
      </c>
      <c r="G90" s="52"/>
      <c r="H90" s="56"/>
      <c r="I90" s="56"/>
      <c r="J90" s="56"/>
      <c r="K90" s="56"/>
      <c r="L90" s="52"/>
      <c r="M90" s="52"/>
      <c r="N90" s="52"/>
      <c r="O90" s="52">
        <v>24883</v>
      </c>
      <c r="P90" s="52">
        <v>31934</v>
      </c>
      <c r="Q90" s="52">
        <v>11890</v>
      </c>
      <c r="R90" s="52">
        <v>8483</v>
      </c>
      <c r="S90" s="52"/>
      <c r="T90" s="52"/>
      <c r="U90" s="52">
        <v>108562</v>
      </c>
      <c r="V90" s="52"/>
      <c r="W90" s="52"/>
      <c r="X90" s="52"/>
      <c r="Y90" s="52">
        <v>420241</v>
      </c>
      <c r="Z90" s="52">
        <v>106211</v>
      </c>
      <c r="AA90" s="52">
        <v>130435</v>
      </c>
      <c r="AB90" s="52"/>
      <c r="AC90" s="52"/>
      <c r="AD90" s="52"/>
      <c r="AE90" s="52"/>
      <c r="AF90" s="52"/>
      <c r="AG90" s="52">
        <v>72656</v>
      </c>
      <c r="AH90" s="52"/>
      <c r="AI90" s="52"/>
      <c r="AJ90" s="52"/>
      <c r="AK90" s="52"/>
      <c r="AL90" s="52"/>
      <c r="AM90" s="52"/>
      <c r="AN90" s="52"/>
      <c r="AO90" s="52"/>
      <c r="AP90" s="52"/>
      <c r="AQ90" s="52">
        <v>215735</v>
      </c>
      <c r="AR90" s="52">
        <v>235300</v>
      </c>
      <c r="AS90" s="52"/>
      <c r="AT90" s="52">
        <v>69040</v>
      </c>
      <c r="AU90" s="52">
        <v>220644</v>
      </c>
      <c r="AV90" s="52"/>
      <c r="AW90" s="52"/>
      <c r="AX90" s="52">
        <v>255009</v>
      </c>
      <c r="AY90" s="101">
        <v>810110</v>
      </c>
      <c r="AZ90" s="52">
        <v>246323</v>
      </c>
      <c r="BA90" s="52">
        <v>18495</v>
      </c>
      <c r="BB90" s="52">
        <v>10453</v>
      </c>
      <c r="BC90" s="52"/>
      <c r="BD90" s="52">
        <v>104361</v>
      </c>
      <c r="BE90" s="52">
        <v>5504</v>
      </c>
      <c r="BF90" s="52"/>
      <c r="BG90" s="52"/>
      <c r="BH90" s="52">
        <v>119588</v>
      </c>
      <c r="BI90" s="52">
        <v>48212</v>
      </c>
      <c r="BJ90" s="52">
        <v>192359</v>
      </c>
      <c r="BK90" s="52"/>
      <c r="BL90" s="52"/>
      <c r="BM90" s="52">
        <v>263256</v>
      </c>
      <c r="BN90" s="52">
        <v>3215</v>
      </c>
      <c r="BO90" s="52"/>
      <c r="BP90" s="52">
        <v>101190</v>
      </c>
      <c r="BQ90" s="52"/>
      <c r="BR90" s="52"/>
      <c r="BS90" s="52"/>
      <c r="BT90" s="52">
        <v>38956</v>
      </c>
      <c r="BU90" s="52">
        <v>25072</v>
      </c>
      <c r="BV90" s="52"/>
      <c r="BW90" s="52"/>
      <c r="BX90" s="52">
        <v>410225</v>
      </c>
      <c r="BY90" s="52">
        <v>22022</v>
      </c>
      <c r="BZ90" s="52">
        <v>226055</v>
      </c>
      <c r="CA90" s="52"/>
      <c r="CB90" s="52">
        <v>122626</v>
      </c>
      <c r="CC90" s="52">
        <v>84306</v>
      </c>
      <c r="CD90" s="52"/>
      <c r="CE90" s="52"/>
      <c r="CF90" s="52"/>
      <c r="CG90" s="52">
        <v>368790</v>
      </c>
      <c r="CH90" s="52">
        <v>350926</v>
      </c>
      <c r="CI90" s="52">
        <v>32150</v>
      </c>
      <c r="CJ90" s="52">
        <v>66469</v>
      </c>
      <c r="CK90" s="52"/>
      <c r="CL90" s="52">
        <v>81567</v>
      </c>
      <c r="CM90" s="52">
        <v>31822</v>
      </c>
      <c r="CN90" s="52">
        <v>64924</v>
      </c>
      <c r="CO90" s="52">
        <v>653296</v>
      </c>
      <c r="CP90" s="52"/>
      <c r="CQ90" s="52"/>
      <c r="CR90" s="52"/>
      <c r="CS90" s="52"/>
      <c r="CT90" s="52">
        <v>134700</v>
      </c>
      <c r="CU90" s="52"/>
      <c r="CV90" s="52"/>
      <c r="CW90" s="52"/>
      <c r="CX90" s="52">
        <v>32240</v>
      </c>
      <c r="CY90" s="52"/>
      <c r="CZ90" s="52"/>
      <c r="DA90" s="52"/>
      <c r="DB90" s="52">
        <v>47748</v>
      </c>
      <c r="DC90" s="52"/>
      <c r="DD90" s="52"/>
      <c r="DE90" s="52">
        <v>6942829</v>
      </c>
      <c r="DF90" s="52"/>
      <c r="DG90" s="52">
        <v>6942829</v>
      </c>
      <c r="DH90" s="52"/>
    </row>
    <row r="91" spans="1:112">
      <c r="A91" s="150" t="s">
        <v>411</v>
      </c>
      <c r="B91" s="44">
        <v>3174</v>
      </c>
      <c r="C91" s="44" t="s">
        <v>134</v>
      </c>
      <c r="D91" s="52"/>
      <c r="E91" s="52"/>
      <c r="F91" s="52"/>
      <c r="G91" s="52"/>
      <c r="H91" s="56"/>
      <c r="I91" s="56"/>
      <c r="J91" s="56"/>
      <c r="K91" s="56"/>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101"/>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row>
    <row r="92" spans="1:112">
      <c r="A92" s="150" t="s">
        <v>411</v>
      </c>
      <c r="B92" s="44">
        <v>3180</v>
      </c>
      <c r="C92" s="44" t="s">
        <v>135</v>
      </c>
      <c r="D92" s="52">
        <v>2667801</v>
      </c>
      <c r="E92" s="52">
        <v>16820164</v>
      </c>
      <c r="F92" s="52">
        <v>1229404</v>
      </c>
      <c r="G92" s="52"/>
      <c r="H92" s="56">
        <v>6021648</v>
      </c>
      <c r="I92" s="56">
        <v>2872461</v>
      </c>
      <c r="J92" s="56">
        <v>2213535</v>
      </c>
      <c r="K92" s="56">
        <v>1555962</v>
      </c>
      <c r="L92" s="52">
        <v>8248525</v>
      </c>
      <c r="M92" s="52"/>
      <c r="N92" s="52"/>
      <c r="O92" s="52">
        <v>1325202</v>
      </c>
      <c r="P92" s="52">
        <v>760367</v>
      </c>
      <c r="Q92" s="52">
        <v>751865</v>
      </c>
      <c r="R92" s="52">
        <v>749259</v>
      </c>
      <c r="S92" s="52">
        <v>2048883</v>
      </c>
      <c r="T92" s="52"/>
      <c r="U92" s="52">
        <v>178357</v>
      </c>
      <c r="V92" s="52"/>
      <c r="W92" s="52">
        <v>19326294</v>
      </c>
      <c r="X92" s="52">
        <v>963294</v>
      </c>
      <c r="Y92" s="52">
        <v>13710198</v>
      </c>
      <c r="Z92" s="52">
        <v>6256085</v>
      </c>
      <c r="AA92" s="52">
        <v>4233474</v>
      </c>
      <c r="AB92" s="52">
        <v>5987554</v>
      </c>
      <c r="AC92" s="52">
        <v>694935</v>
      </c>
      <c r="AD92" s="52">
        <v>2508886</v>
      </c>
      <c r="AE92" s="52">
        <v>1052094</v>
      </c>
      <c r="AF92" s="52"/>
      <c r="AG92" s="52">
        <v>4335110</v>
      </c>
      <c r="AH92" s="52">
        <v>8190645</v>
      </c>
      <c r="AI92" s="52"/>
      <c r="AJ92" s="52">
        <v>674005</v>
      </c>
      <c r="AK92" s="52">
        <v>2755496</v>
      </c>
      <c r="AL92" s="52">
        <v>1227344</v>
      </c>
      <c r="AM92" s="52"/>
      <c r="AN92" s="52">
        <v>13915367</v>
      </c>
      <c r="AO92" s="52">
        <v>1522279</v>
      </c>
      <c r="AP92" s="52"/>
      <c r="AQ92" s="52">
        <v>3064917</v>
      </c>
      <c r="AR92" s="52">
        <v>1844829</v>
      </c>
      <c r="AS92" s="52">
        <v>10168308</v>
      </c>
      <c r="AT92" s="52">
        <v>948439</v>
      </c>
      <c r="AU92" s="52">
        <v>2972558</v>
      </c>
      <c r="AV92" s="52">
        <v>713011</v>
      </c>
      <c r="AW92" s="52">
        <v>1193797</v>
      </c>
      <c r="AX92" s="52">
        <v>4765447</v>
      </c>
      <c r="AY92" s="101">
        <v>40910830</v>
      </c>
      <c r="AZ92" s="52">
        <v>6397073</v>
      </c>
      <c r="BA92" s="52">
        <v>917117</v>
      </c>
      <c r="BB92" s="52">
        <v>808608</v>
      </c>
      <c r="BC92" s="52"/>
      <c r="BD92" s="52">
        <v>2123379</v>
      </c>
      <c r="BE92" s="52">
        <v>1068884</v>
      </c>
      <c r="BF92" s="52">
        <v>16778832</v>
      </c>
      <c r="BG92" s="52">
        <v>1891968</v>
      </c>
      <c r="BH92" s="52">
        <v>7235535</v>
      </c>
      <c r="BI92" s="52">
        <v>8034389</v>
      </c>
      <c r="BJ92" s="52">
        <v>4310670</v>
      </c>
      <c r="BK92" s="52">
        <v>2523008</v>
      </c>
      <c r="BL92" s="52">
        <v>2065863</v>
      </c>
      <c r="BM92" s="52">
        <v>14003403</v>
      </c>
      <c r="BN92" s="52">
        <v>5803376</v>
      </c>
      <c r="BO92" s="52">
        <v>1546513</v>
      </c>
      <c r="BP92" s="52">
        <v>2787380</v>
      </c>
      <c r="BQ92" s="52">
        <v>11113435</v>
      </c>
      <c r="BR92" s="52">
        <v>466391</v>
      </c>
      <c r="BS92" s="52"/>
      <c r="BT92" s="52">
        <v>2368868</v>
      </c>
      <c r="BU92" s="52">
        <v>1541749</v>
      </c>
      <c r="BV92" s="52">
        <v>703441</v>
      </c>
      <c r="BW92" s="52"/>
      <c r="BX92" s="52">
        <v>3706086</v>
      </c>
      <c r="BY92" s="52">
        <v>4249525</v>
      </c>
      <c r="BZ92" s="52">
        <v>5388670</v>
      </c>
      <c r="CA92" s="52"/>
      <c r="CB92" s="52">
        <v>2401573</v>
      </c>
      <c r="CC92" s="52">
        <v>3056678</v>
      </c>
      <c r="CD92" s="52">
        <v>4813856</v>
      </c>
      <c r="CE92" s="52"/>
      <c r="CF92" s="52">
        <v>10851436</v>
      </c>
      <c r="CG92" s="52">
        <v>14531253</v>
      </c>
      <c r="CH92" s="52">
        <v>14867188</v>
      </c>
      <c r="CI92" s="52">
        <v>1544931</v>
      </c>
      <c r="CJ92" s="52">
        <v>3434108</v>
      </c>
      <c r="CK92" s="52">
        <v>6606868</v>
      </c>
      <c r="CL92" s="52">
        <v>2143224</v>
      </c>
      <c r="CM92" s="52">
        <v>2102850</v>
      </c>
      <c r="CN92" s="52">
        <v>3964831</v>
      </c>
      <c r="CO92" s="52">
        <v>6215221</v>
      </c>
      <c r="CP92" s="52">
        <v>5267805</v>
      </c>
      <c r="CQ92" s="52"/>
      <c r="CR92" s="52"/>
      <c r="CS92" s="52">
        <v>29036</v>
      </c>
      <c r="CT92" s="52">
        <v>6792310</v>
      </c>
      <c r="CU92" s="52">
        <v>6439166</v>
      </c>
      <c r="CV92" s="52"/>
      <c r="CW92" s="52">
        <v>3699609</v>
      </c>
      <c r="CX92" s="52">
        <v>4348525</v>
      </c>
      <c r="CY92" s="52">
        <v>3802845</v>
      </c>
      <c r="CZ92" s="52">
        <v>2370730</v>
      </c>
      <c r="DA92" s="52">
        <v>11255293</v>
      </c>
      <c r="DB92" s="52">
        <v>4682050</v>
      </c>
      <c r="DC92" s="52">
        <v>1077362</v>
      </c>
      <c r="DD92" s="52">
        <v>551805</v>
      </c>
      <c r="DE92" s="52">
        <v>434434178</v>
      </c>
      <c r="DF92" s="52">
        <v>1629167</v>
      </c>
      <c r="DG92" s="52">
        <v>436063345</v>
      </c>
      <c r="DH92" s="52"/>
    </row>
    <row r="93" spans="1:112">
      <c r="A93" s="150" t="s">
        <v>411</v>
      </c>
      <c r="B93" s="44">
        <v>3181</v>
      </c>
      <c r="C93" s="44" t="s">
        <v>136</v>
      </c>
      <c r="D93" s="52">
        <v>389035</v>
      </c>
      <c r="E93" s="52">
        <v>2343349</v>
      </c>
      <c r="F93" s="52">
        <v>217993</v>
      </c>
      <c r="G93" s="52">
        <v>25908</v>
      </c>
      <c r="H93" s="56">
        <v>677615</v>
      </c>
      <c r="I93" s="56">
        <v>331400</v>
      </c>
      <c r="J93" s="56"/>
      <c r="K93" s="56">
        <v>282183</v>
      </c>
      <c r="L93" s="52">
        <v>1231768</v>
      </c>
      <c r="M93" s="52"/>
      <c r="N93" s="52">
        <v>43218</v>
      </c>
      <c r="O93" s="52">
        <v>178251</v>
      </c>
      <c r="P93" s="52">
        <v>142485</v>
      </c>
      <c r="Q93" s="52">
        <v>107586</v>
      </c>
      <c r="R93" s="52">
        <v>101173</v>
      </c>
      <c r="S93" s="52">
        <v>267894</v>
      </c>
      <c r="T93" s="52">
        <v>17135</v>
      </c>
      <c r="U93" s="52">
        <v>1794289</v>
      </c>
      <c r="V93" s="52">
        <v>43534</v>
      </c>
      <c r="W93" s="52">
        <v>2593034</v>
      </c>
      <c r="X93" s="52">
        <v>242362</v>
      </c>
      <c r="Y93" s="52">
        <v>4450170</v>
      </c>
      <c r="Z93" s="52">
        <v>997731</v>
      </c>
      <c r="AA93" s="52">
        <v>646246</v>
      </c>
      <c r="AB93" s="52">
        <v>746285</v>
      </c>
      <c r="AC93" s="52">
        <v>117898</v>
      </c>
      <c r="AD93" s="52">
        <v>282478</v>
      </c>
      <c r="AE93" s="52">
        <v>115789</v>
      </c>
      <c r="AF93" s="52"/>
      <c r="AG93" s="52">
        <v>630896</v>
      </c>
      <c r="AH93" s="52">
        <v>1141025</v>
      </c>
      <c r="AI93" s="52">
        <v>579480</v>
      </c>
      <c r="AJ93" s="52"/>
      <c r="AK93" s="52">
        <v>347688</v>
      </c>
      <c r="AL93" s="52"/>
      <c r="AM93" s="52"/>
      <c r="AN93" s="52">
        <v>1496045</v>
      </c>
      <c r="AO93" s="52">
        <v>227880</v>
      </c>
      <c r="AP93" s="52">
        <v>30409</v>
      </c>
      <c r="AQ93" s="52">
        <v>426222</v>
      </c>
      <c r="AR93" s="52">
        <v>522624</v>
      </c>
      <c r="AS93" s="52">
        <v>1602226</v>
      </c>
      <c r="AT93" s="52">
        <v>120972</v>
      </c>
      <c r="AU93" s="52">
        <v>396204</v>
      </c>
      <c r="AV93" s="52">
        <v>121825</v>
      </c>
      <c r="AW93" s="52">
        <v>164122</v>
      </c>
      <c r="AX93" s="52">
        <v>1180146</v>
      </c>
      <c r="AY93" s="101">
        <v>5636628</v>
      </c>
      <c r="AZ93" s="52">
        <v>945586</v>
      </c>
      <c r="BA93" s="52">
        <v>122724</v>
      </c>
      <c r="BB93" s="52">
        <v>163115</v>
      </c>
      <c r="BC93" s="52"/>
      <c r="BD93" s="52">
        <v>279381</v>
      </c>
      <c r="BE93" s="52">
        <v>154576</v>
      </c>
      <c r="BF93" s="52">
        <v>3535524</v>
      </c>
      <c r="BG93" s="52">
        <v>264884</v>
      </c>
      <c r="BH93" s="52">
        <v>992917</v>
      </c>
      <c r="BI93" s="52">
        <v>1050540</v>
      </c>
      <c r="BJ93" s="52">
        <v>559630</v>
      </c>
      <c r="BK93" s="52">
        <v>315222</v>
      </c>
      <c r="BL93" s="52">
        <v>299591</v>
      </c>
      <c r="BM93" s="52">
        <v>1823591</v>
      </c>
      <c r="BN93" s="52">
        <v>978485</v>
      </c>
      <c r="BO93" s="52">
        <v>273424</v>
      </c>
      <c r="BP93" s="52">
        <v>341589</v>
      </c>
      <c r="BQ93" s="52">
        <v>1866479</v>
      </c>
      <c r="BR93" s="52">
        <v>116527</v>
      </c>
      <c r="BS93" s="52">
        <v>15263</v>
      </c>
      <c r="BT93" s="52">
        <v>283746</v>
      </c>
      <c r="BU93" s="52">
        <v>204160</v>
      </c>
      <c r="BV93" s="52">
        <v>108388</v>
      </c>
      <c r="BW93" s="52">
        <v>21876</v>
      </c>
      <c r="BX93" s="52">
        <v>515225</v>
      </c>
      <c r="BY93" s="52">
        <v>634009</v>
      </c>
      <c r="BZ93" s="52">
        <v>1177316</v>
      </c>
      <c r="CA93" s="52"/>
      <c r="CB93" s="52">
        <v>403578</v>
      </c>
      <c r="CC93" s="52">
        <v>433994</v>
      </c>
      <c r="CD93" s="52">
        <v>948740</v>
      </c>
      <c r="CE93" s="52"/>
      <c r="CF93" s="52">
        <v>1482857</v>
      </c>
      <c r="CG93" s="52">
        <v>3286864</v>
      </c>
      <c r="CH93" s="52">
        <v>2038969</v>
      </c>
      <c r="CI93" s="52">
        <v>210556</v>
      </c>
      <c r="CJ93" s="52">
        <v>444552</v>
      </c>
      <c r="CK93" s="52">
        <v>718298</v>
      </c>
      <c r="CL93" s="52">
        <v>357206</v>
      </c>
      <c r="CM93" s="52">
        <v>251066</v>
      </c>
      <c r="CN93" s="52">
        <v>641145</v>
      </c>
      <c r="CO93" s="52">
        <v>821761</v>
      </c>
      <c r="CP93" s="52">
        <v>1122771</v>
      </c>
      <c r="CQ93" s="52"/>
      <c r="CR93" s="52">
        <v>32124</v>
      </c>
      <c r="CS93" s="52"/>
      <c r="CT93" s="52">
        <v>881999</v>
      </c>
      <c r="CU93" s="52">
        <v>854428</v>
      </c>
      <c r="CV93" s="52"/>
      <c r="CW93" s="52">
        <v>492719</v>
      </c>
      <c r="CX93" s="52">
        <v>597083</v>
      </c>
      <c r="CY93" s="52">
        <v>504478</v>
      </c>
      <c r="CZ93" s="52">
        <v>602257</v>
      </c>
      <c r="DA93" s="52">
        <v>1520460</v>
      </c>
      <c r="DB93" s="52">
        <v>646210</v>
      </c>
      <c r="DC93" s="52"/>
      <c r="DD93" s="52">
        <v>41948</v>
      </c>
      <c r="DE93" s="52">
        <v>69349084</v>
      </c>
      <c r="DF93" s="52">
        <v>41948</v>
      </c>
      <c r="DG93" s="52">
        <v>69391032</v>
      </c>
      <c r="DH93" s="52"/>
    </row>
    <row r="94" spans="1:112">
      <c r="A94" s="150" t="s">
        <v>411</v>
      </c>
      <c r="B94" s="44">
        <v>3183</v>
      </c>
      <c r="C94" s="44" t="s">
        <v>137</v>
      </c>
      <c r="D94" s="52"/>
      <c r="E94" s="52"/>
      <c r="F94" s="52"/>
      <c r="G94" s="52"/>
      <c r="H94" s="56"/>
      <c r="I94" s="56"/>
      <c r="J94" s="56"/>
      <c r="K94" s="56"/>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101"/>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row>
    <row r="95" spans="1:112">
      <c r="A95" s="150" t="s">
        <v>411</v>
      </c>
      <c r="B95" s="44">
        <v>3183</v>
      </c>
      <c r="C95" s="44" t="s">
        <v>137</v>
      </c>
      <c r="D95" s="52"/>
      <c r="E95" s="52"/>
      <c r="F95" s="52"/>
      <c r="G95" s="52"/>
      <c r="H95" s="56"/>
      <c r="I95" s="56"/>
      <c r="J95" s="56"/>
      <c r="K95" s="56"/>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101"/>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row>
    <row r="96" spans="1:112">
      <c r="A96" s="150" t="s">
        <v>411</v>
      </c>
      <c r="B96" s="44">
        <v>3185</v>
      </c>
      <c r="C96" s="44" t="s">
        <v>138</v>
      </c>
      <c r="D96" s="52"/>
      <c r="E96" s="52"/>
      <c r="F96" s="52"/>
      <c r="G96" s="52"/>
      <c r="H96" s="56"/>
      <c r="I96" s="56"/>
      <c r="J96" s="56"/>
      <c r="K96" s="56"/>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101"/>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row>
    <row r="97" spans="1:112">
      <c r="A97" s="150" t="s">
        <v>411</v>
      </c>
      <c r="B97" s="44">
        <v>3191</v>
      </c>
      <c r="C97" s="44" t="s">
        <v>140</v>
      </c>
      <c r="D97" s="52"/>
      <c r="E97" s="52">
        <v>7278</v>
      </c>
      <c r="F97" s="52"/>
      <c r="G97" s="52"/>
      <c r="H97" s="56"/>
      <c r="I97" s="56"/>
      <c r="J97" s="56"/>
      <c r="K97" s="56"/>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101"/>
      <c r="AZ97" s="52"/>
      <c r="BA97" s="52"/>
      <c r="BB97" s="52"/>
      <c r="BC97" s="52"/>
      <c r="BD97" s="52"/>
      <c r="BE97" s="52"/>
      <c r="BF97" s="52"/>
      <c r="BG97" s="52"/>
      <c r="BH97" s="52"/>
      <c r="BI97" s="52"/>
      <c r="BJ97" s="52">
        <v>10038</v>
      </c>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v>17316</v>
      </c>
      <c r="DF97" s="52"/>
      <c r="DG97" s="52">
        <v>17316</v>
      </c>
      <c r="DH97" s="52"/>
    </row>
    <row r="98" spans="1:112">
      <c r="A98" s="150" t="s">
        <v>411</v>
      </c>
      <c r="B98" s="44">
        <v>3192</v>
      </c>
      <c r="C98" s="44" t="s">
        <v>141</v>
      </c>
      <c r="D98" s="52"/>
      <c r="E98" s="52"/>
      <c r="F98" s="52"/>
      <c r="G98" s="52"/>
      <c r="H98" s="56"/>
      <c r="I98" s="56"/>
      <c r="J98" s="56"/>
      <c r="K98" s="56"/>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101"/>
      <c r="AZ98" s="52"/>
      <c r="BA98" s="52"/>
      <c r="BB98" s="52"/>
      <c r="BC98" s="52"/>
      <c r="BD98" s="52"/>
      <c r="BE98" s="52"/>
      <c r="BF98" s="52"/>
      <c r="BG98" s="52"/>
      <c r="BH98" s="52"/>
      <c r="BI98" s="52"/>
      <c r="BJ98" s="52"/>
      <c r="BK98" s="52"/>
      <c r="BL98" s="52"/>
      <c r="BM98" s="52"/>
      <c r="BN98" s="52"/>
      <c r="BO98" s="52"/>
      <c r="BP98" s="52"/>
      <c r="BQ98" s="52"/>
      <c r="BR98" s="52"/>
      <c r="BS98" s="52"/>
      <c r="BT98" s="52"/>
      <c r="BU98" s="52">
        <v>746</v>
      </c>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v>746</v>
      </c>
      <c r="DF98" s="52"/>
      <c r="DG98" s="52">
        <v>746</v>
      </c>
      <c r="DH98" s="52"/>
    </row>
    <row r="99" spans="1:112">
      <c r="A99" s="150" t="s">
        <v>411</v>
      </c>
      <c r="B99" s="44">
        <v>3193</v>
      </c>
      <c r="C99" s="44" t="s">
        <v>142</v>
      </c>
      <c r="D99" s="52">
        <v>3374</v>
      </c>
      <c r="E99" s="52">
        <v>9137</v>
      </c>
      <c r="F99" s="52"/>
      <c r="G99" s="52"/>
      <c r="H99" s="56">
        <v>1323</v>
      </c>
      <c r="I99" s="56">
        <v>1127</v>
      </c>
      <c r="J99" s="56">
        <v>668</v>
      </c>
      <c r="K99" s="56">
        <v>795</v>
      </c>
      <c r="L99" s="52"/>
      <c r="M99" s="52"/>
      <c r="N99" s="52"/>
      <c r="O99" s="52">
        <v>986</v>
      </c>
      <c r="P99" s="52">
        <v>1066</v>
      </c>
      <c r="Q99" s="52">
        <v>468</v>
      </c>
      <c r="R99" s="52"/>
      <c r="S99" s="52">
        <v>1641</v>
      </c>
      <c r="T99" s="52"/>
      <c r="U99" s="52"/>
      <c r="V99" s="52"/>
      <c r="W99" s="52">
        <v>7644</v>
      </c>
      <c r="X99" s="52"/>
      <c r="Y99" s="52">
        <v>11931</v>
      </c>
      <c r="Z99" s="52">
        <v>4032</v>
      </c>
      <c r="AA99" s="52"/>
      <c r="AB99" s="52">
        <v>3109</v>
      </c>
      <c r="AC99" s="52">
        <v>1972</v>
      </c>
      <c r="AD99" s="52"/>
      <c r="AE99" s="52">
        <v>515</v>
      </c>
      <c r="AF99" s="52"/>
      <c r="AG99" s="52">
        <v>2773</v>
      </c>
      <c r="AH99" s="52"/>
      <c r="AI99" s="52"/>
      <c r="AJ99" s="52">
        <v>613</v>
      </c>
      <c r="AK99" s="52"/>
      <c r="AL99" s="52">
        <v>607</v>
      </c>
      <c r="AM99" s="52"/>
      <c r="AN99" s="52">
        <v>3898</v>
      </c>
      <c r="AO99" s="52"/>
      <c r="AP99" s="52"/>
      <c r="AQ99" s="52"/>
      <c r="AR99" s="52"/>
      <c r="AS99" s="52">
        <v>11138</v>
      </c>
      <c r="AT99" s="52">
        <v>427</v>
      </c>
      <c r="AU99" s="52"/>
      <c r="AV99" s="52">
        <v>573</v>
      </c>
      <c r="AW99" s="52">
        <v>492</v>
      </c>
      <c r="AX99" s="52"/>
      <c r="AY99" s="101">
        <v>1944</v>
      </c>
      <c r="AZ99" s="52">
        <v>16534</v>
      </c>
      <c r="BA99" s="52">
        <v>337</v>
      </c>
      <c r="BB99" s="52"/>
      <c r="BC99" s="52"/>
      <c r="BD99" s="52"/>
      <c r="BE99" s="52">
        <v>1512</v>
      </c>
      <c r="BF99" s="52">
        <v>8957</v>
      </c>
      <c r="BG99" s="52">
        <v>2712</v>
      </c>
      <c r="BH99" s="52">
        <v>8742</v>
      </c>
      <c r="BI99" s="52">
        <v>136</v>
      </c>
      <c r="BJ99" s="52"/>
      <c r="BK99" s="52">
        <v>710</v>
      </c>
      <c r="BL99" s="52">
        <v>2354</v>
      </c>
      <c r="BM99" s="52">
        <v>6949</v>
      </c>
      <c r="BN99" s="52"/>
      <c r="BO99" s="52">
        <v>1051</v>
      </c>
      <c r="BP99" s="52"/>
      <c r="BQ99" s="52">
        <v>614</v>
      </c>
      <c r="BR99" s="52"/>
      <c r="BS99" s="52"/>
      <c r="BT99" s="52">
        <v>1242</v>
      </c>
      <c r="BU99" s="52">
        <v>596</v>
      </c>
      <c r="BV99" s="52">
        <v>344</v>
      </c>
      <c r="BW99" s="52"/>
      <c r="BX99" s="52"/>
      <c r="BY99" s="52">
        <v>6145</v>
      </c>
      <c r="BZ99" s="52">
        <v>1505</v>
      </c>
      <c r="CA99" s="52"/>
      <c r="CB99" s="52">
        <v>1487</v>
      </c>
      <c r="CC99" s="52">
        <v>1227</v>
      </c>
      <c r="CD99" s="52">
        <v>5804</v>
      </c>
      <c r="CE99" s="52"/>
      <c r="CF99" s="52">
        <v>5332</v>
      </c>
      <c r="CG99" s="52">
        <v>11630</v>
      </c>
      <c r="CH99" s="52">
        <v>15593</v>
      </c>
      <c r="CI99" s="52">
        <v>1130</v>
      </c>
      <c r="CJ99" s="52">
        <v>1313</v>
      </c>
      <c r="CK99" s="52">
        <v>2071</v>
      </c>
      <c r="CL99" s="52">
        <v>734</v>
      </c>
      <c r="CM99" s="52">
        <v>929</v>
      </c>
      <c r="CN99" s="52">
        <v>3026</v>
      </c>
      <c r="CO99" s="52">
        <v>7653</v>
      </c>
      <c r="CP99" s="52">
        <v>21735</v>
      </c>
      <c r="CQ99" s="52"/>
      <c r="CR99" s="52"/>
      <c r="CS99" s="52"/>
      <c r="CT99" s="52">
        <v>1380</v>
      </c>
      <c r="CU99" s="52"/>
      <c r="CV99" s="52"/>
      <c r="CW99" s="52"/>
      <c r="CX99" s="52"/>
      <c r="CY99" s="52"/>
      <c r="CZ99" s="52">
        <v>1127</v>
      </c>
      <c r="DA99" s="52">
        <v>4610</v>
      </c>
      <c r="DB99" s="52">
        <v>1334</v>
      </c>
      <c r="DC99" s="52"/>
      <c r="DD99" s="52"/>
      <c r="DE99" s="52">
        <v>220808</v>
      </c>
      <c r="DF99" s="52"/>
      <c r="DG99" s="52">
        <v>220808</v>
      </c>
      <c r="DH99" s="52"/>
    </row>
    <row r="100" spans="1:112">
      <c r="A100" s="150" t="s">
        <v>411</v>
      </c>
      <c r="B100" s="44">
        <v>3194</v>
      </c>
      <c r="C100" s="44" t="s">
        <v>143</v>
      </c>
      <c r="D100" s="52"/>
      <c r="E100" s="52"/>
      <c r="F100" s="52"/>
      <c r="G100" s="52"/>
      <c r="H100" s="56"/>
      <c r="I100" s="56"/>
      <c r="J100" s="56"/>
      <c r="K100" s="56"/>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101"/>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row>
    <row r="101" spans="1:112">
      <c r="A101" s="150" t="s">
        <v>411</v>
      </c>
      <c r="B101" s="44">
        <v>3195</v>
      </c>
      <c r="C101" s="44" t="s">
        <v>144</v>
      </c>
      <c r="D101" s="52"/>
      <c r="E101" s="52"/>
      <c r="F101" s="52"/>
      <c r="G101" s="52"/>
      <c r="H101" s="56"/>
      <c r="I101" s="56"/>
      <c r="J101" s="56"/>
      <c r="K101" s="56"/>
      <c r="L101" s="52">
        <v>7561</v>
      </c>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101"/>
      <c r="AZ101" s="52">
        <v>28000</v>
      </c>
      <c r="BA101" s="52"/>
      <c r="BB101" s="52"/>
      <c r="BC101" s="52"/>
      <c r="BD101" s="52"/>
      <c r="BE101" s="52"/>
      <c r="BF101" s="52"/>
      <c r="BG101" s="52"/>
      <c r="BH101" s="52"/>
      <c r="BI101" s="52"/>
      <c r="BJ101" s="52">
        <v>9300</v>
      </c>
      <c r="BK101" s="52">
        <v>28000</v>
      </c>
      <c r="BL101" s="52"/>
      <c r="BM101" s="52">
        <v>25415</v>
      </c>
      <c r="BN101" s="52">
        <v>56000</v>
      </c>
      <c r="BO101" s="52"/>
      <c r="BP101" s="52">
        <v>149943</v>
      </c>
      <c r="BQ101" s="52">
        <v>27001</v>
      </c>
      <c r="BR101" s="52"/>
      <c r="BS101" s="52"/>
      <c r="BT101" s="52"/>
      <c r="BU101" s="52"/>
      <c r="BV101" s="52">
        <v>21000</v>
      </c>
      <c r="BW101" s="52"/>
      <c r="BX101" s="52"/>
      <c r="BY101" s="52">
        <v>17792</v>
      </c>
      <c r="BZ101" s="52">
        <v>28000</v>
      </c>
      <c r="CA101" s="52"/>
      <c r="CB101" s="52"/>
      <c r="CC101" s="52"/>
      <c r="CD101" s="52">
        <v>28000</v>
      </c>
      <c r="CE101" s="52"/>
      <c r="CF101" s="52"/>
      <c r="CG101" s="52">
        <v>3745</v>
      </c>
      <c r="CH101" s="52">
        <v>81065</v>
      </c>
      <c r="CI101" s="52"/>
      <c r="CJ101" s="52">
        <v>28000</v>
      </c>
      <c r="CK101" s="52">
        <v>28000</v>
      </c>
      <c r="CL101" s="52"/>
      <c r="CM101" s="52"/>
      <c r="CN101" s="52"/>
      <c r="CO101" s="52">
        <v>27403</v>
      </c>
      <c r="CP101" s="52">
        <v>24999</v>
      </c>
      <c r="CQ101" s="52"/>
      <c r="CR101" s="52"/>
      <c r="CS101" s="52"/>
      <c r="CT101" s="52">
        <v>28000</v>
      </c>
      <c r="CU101" s="52">
        <v>26718</v>
      </c>
      <c r="CV101" s="52"/>
      <c r="CW101" s="52">
        <v>27538</v>
      </c>
      <c r="CX101" s="52"/>
      <c r="CY101" s="52"/>
      <c r="CZ101" s="52"/>
      <c r="DA101" s="52">
        <v>28000</v>
      </c>
      <c r="DB101" s="52"/>
      <c r="DC101" s="52"/>
      <c r="DD101" s="52"/>
      <c r="DE101" s="52">
        <v>729480</v>
      </c>
      <c r="DF101" s="52"/>
      <c r="DG101" s="52">
        <v>729480</v>
      </c>
      <c r="DH101" s="52"/>
    </row>
    <row r="102" spans="1:112">
      <c r="A102" s="150" t="s">
        <v>411</v>
      </c>
      <c r="B102" s="44">
        <v>3196</v>
      </c>
      <c r="C102" s="44" t="s">
        <v>145</v>
      </c>
      <c r="D102" s="52"/>
      <c r="E102" s="52"/>
      <c r="F102" s="52"/>
      <c r="G102" s="52"/>
      <c r="H102" s="56"/>
      <c r="I102" s="56"/>
      <c r="J102" s="56"/>
      <c r="K102" s="56"/>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101"/>
      <c r="AZ102" s="52"/>
      <c r="BA102" s="52"/>
      <c r="BB102" s="52"/>
      <c r="BC102" s="52"/>
      <c r="BD102" s="52"/>
      <c r="BE102" s="52"/>
      <c r="BF102" s="52"/>
      <c r="BG102" s="52"/>
      <c r="BH102" s="52"/>
      <c r="BI102" s="52"/>
      <c r="BJ102" s="52"/>
      <c r="BK102" s="52"/>
      <c r="BL102" s="52">
        <v>454</v>
      </c>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v>454</v>
      </c>
      <c r="DF102" s="52"/>
      <c r="DG102" s="52">
        <v>454</v>
      </c>
      <c r="DH102" s="52"/>
    </row>
    <row r="103" spans="1:112">
      <c r="A103" s="150" t="s">
        <v>411</v>
      </c>
      <c r="B103" s="44">
        <v>3198</v>
      </c>
      <c r="C103" s="44" t="s">
        <v>146</v>
      </c>
      <c r="D103" s="52"/>
      <c r="E103" s="52">
        <v>322</v>
      </c>
      <c r="F103" s="52">
        <v>9066</v>
      </c>
      <c r="G103" s="52"/>
      <c r="H103" s="56"/>
      <c r="I103" s="56"/>
      <c r="J103" s="56"/>
      <c r="K103" s="56"/>
      <c r="L103" s="52">
        <v>24348</v>
      </c>
      <c r="M103" s="52"/>
      <c r="N103" s="52"/>
      <c r="O103" s="52"/>
      <c r="P103" s="52">
        <v>4706</v>
      </c>
      <c r="Q103" s="52"/>
      <c r="R103" s="52">
        <v>896</v>
      </c>
      <c r="S103" s="52"/>
      <c r="T103" s="52"/>
      <c r="U103" s="52">
        <v>23930</v>
      </c>
      <c r="V103" s="52"/>
      <c r="W103" s="52"/>
      <c r="X103" s="52">
        <v>17070</v>
      </c>
      <c r="Y103" s="52"/>
      <c r="Z103" s="52">
        <v>19608</v>
      </c>
      <c r="AA103" s="52"/>
      <c r="AB103" s="52"/>
      <c r="AC103" s="52"/>
      <c r="AD103" s="52"/>
      <c r="AE103" s="52"/>
      <c r="AF103" s="52"/>
      <c r="AG103" s="52">
        <v>26794</v>
      </c>
      <c r="AH103" s="52">
        <v>135516</v>
      </c>
      <c r="AI103" s="52"/>
      <c r="AJ103" s="52">
        <v>813</v>
      </c>
      <c r="AK103" s="52"/>
      <c r="AL103" s="52"/>
      <c r="AM103" s="52"/>
      <c r="AN103" s="52"/>
      <c r="AO103" s="52"/>
      <c r="AP103" s="52"/>
      <c r="AQ103" s="52">
        <v>15419</v>
      </c>
      <c r="AR103" s="52"/>
      <c r="AS103" s="52"/>
      <c r="AT103" s="52"/>
      <c r="AU103" s="52">
        <v>20916</v>
      </c>
      <c r="AV103" s="52"/>
      <c r="AW103" s="52"/>
      <c r="AX103" s="52">
        <v>39380</v>
      </c>
      <c r="AY103" s="101">
        <v>155232</v>
      </c>
      <c r="AZ103" s="52">
        <v>36444</v>
      </c>
      <c r="BA103" s="52"/>
      <c r="BB103" s="52"/>
      <c r="BC103" s="52"/>
      <c r="BD103" s="52">
        <v>3591</v>
      </c>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v>74500</v>
      </c>
      <c r="CI103" s="52"/>
      <c r="CJ103" s="52"/>
      <c r="CK103" s="52"/>
      <c r="CL103" s="52"/>
      <c r="CM103" s="52"/>
      <c r="CN103" s="52"/>
      <c r="CO103" s="52"/>
      <c r="CP103" s="52">
        <v>32150</v>
      </c>
      <c r="CQ103" s="52"/>
      <c r="CR103" s="52"/>
      <c r="CS103" s="52"/>
      <c r="CT103" s="52"/>
      <c r="CU103" s="52"/>
      <c r="CV103" s="52"/>
      <c r="CW103" s="52"/>
      <c r="CX103" s="52"/>
      <c r="CY103" s="52"/>
      <c r="CZ103" s="52">
        <v>8025</v>
      </c>
      <c r="DA103" s="52"/>
      <c r="DB103" s="52"/>
      <c r="DC103" s="52"/>
      <c r="DD103" s="52"/>
      <c r="DE103" s="52">
        <v>648726</v>
      </c>
      <c r="DF103" s="52"/>
      <c r="DG103" s="52">
        <v>648726</v>
      </c>
      <c r="DH103" s="52"/>
    </row>
    <row r="104" spans="1:112">
      <c r="A104" s="150" t="s">
        <v>411</v>
      </c>
      <c r="B104" s="44">
        <v>3199</v>
      </c>
      <c r="C104" s="44" t="s">
        <v>147</v>
      </c>
      <c r="D104" s="52">
        <v>18535</v>
      </c>
      <c r="E104" s="52">
        <v>127290</v>
      </c>
      <c r="F104" s="52">
        <v>10723</v>
      </c>
      <c r="G104" s="52"/>
      <c r="H104" s="56">
        <v>60450</v>
      </c>
      <c r="I104" s="56">
        <v>20576</v>
      </c>
      <c r="J104" s="56">
        <v>90605</v>
      </c>
      <c r="K104" s="56">
        <v>28923</v>
      </c>
      <c r="L104" s="52">
        <v>185817</v>
      </c>
      <c r="M104" s="52">
        <v>1796</v>
      </c>
      <c r="N104" s="52"/>
      <c r="O104" s="52">
        <v>13897</v>
      </c>
      <c r="P104" s="52">
        <v>7272</v>
      </c>
      <c r="Q104" s="52">
        <v>5573</v>
      </c>
      <c r="R104" s="52">
        <v>6498</v>
      </c>
      <c r="S104" s="52">
        <v>76753</v>
      </c>
      <c r="T104" s="52"/>
      <c r="U104" s="52">
        <v>42057</v>
      </c>
      <c r="V104" s="52"/>
      <c r="W104" s="52">
        <v>473482</v>
      </c>
      <c r="X104" s="52">
        <v>8473</v>
      </c>
      <c r="Y104" s="52">
        <v>124290</v>
      </c>
      <c r="Z104" s="52">
        <v>50380</v>
      </c>
      <c r="AA104" s="52">
        <v>6408</v>
      </c>
      <c r="AB104" s="52">
        <v>48642</v>
      </c>
      <c r="AC104" s="52">
        <v>6767</v>
      </c>
      <c r="AD104" s="52">
        <v>17212</v>
      </c>
      <c r="AE104" s="52">
        <v>7468</v>
      </c>
      <c r="AF104" s="52"/>
      <c r="AG104" s="52">
        <v>29485</v>
      </c>
      <c r="AH104" s="52">
        <v>199854</v>
      </c>
      <c r="AI104" s="52"/>
      <c r="AJ104" s="52">
        <v>6912</v>
      </c>
      <c r="AK104" s="52">
        <v>25243</v>
      </c>
      <c r="AL104" s="52">
        <v>9766</v>
      </c>
      <c r="AM104" s="52"/>
      <c r="AN104" s="52">
        <v>114095</v>
      </c>
      <c r="AO104" s="52">
        <v>15324</v>
      </c>
      <c r="AP104" s="52"/>
      <c r="AQ104" s="52">
        <v>64778</v>
      </c>
      <c r="AR104" s="52">
        <v>16339</v>
      </c>
      <c r="AS104" s="52">
        <v>235163</v>
      </c>
      <c r="AT104" s="52">
        <v>6857</v>
      </c>
      <c r="AU104" s="52">
        <v>37258</v>
      </c>
      <c r="AV104" s="52">
        <v>6653</v>
      </c>
      <c r="AW104" s="52">
        <v>10129</v>
      </c>
      <c r="AX104" s="52">
        <v>34569</v>
      </c>
      <c r="AY104" s="101">
        <v>330452</v>
      </c>
      <c r="AZ104" s="52">
        <v>55925</v>
      </c>
      <c r="BA104" s="52">
        <v>6442</v>
      </c>
      <c r="BB104" s="52">
        <v>5684</v>
      </c>
      <c r="BC104" s="52"/>
      <c r="BD104" s="52">
        <v>17222</v>
      </c>
      <c r="BE104" s="52">
        <v>15708</v>
      </c>
      <c r="BF104" s="52">
        <v>215621</v>
      </c>
      <c r="BG104" s="52">
        <v>18464</v>
      </c>
      <c r="BH104" s="52">
        <v>186645</v>
      </c>
      <c r="BI104" s="52">
        <v>60001</v>
      </c>
      <c r="BJ104" s="52">
        <v>31206</v>
      </c>
      <c r="BK104" s="52">
        <v>17158</v>
      </c>
      <c r="BL104" s="52">
        <v>22254</v>
      </c>
      <c r="BM104" s="52">
        <v>110393</v>
      </c>
      <c r="BN104" s="52">
        <v>42472</v>
      </c>
      <c r="BO104" s="52">
        <v>10912</v>
      </c>
      <c r="BP104" s="52">
        <v>112941</v>
      </c>
      <c r="BQ104" s="52">
        <v>83622</v>
      </c>
      <c r="BR104" s="52">
        <v>2981</v>
      </c>
      <c r="BS104" s="52"/>
      <c r="BT104" s="52">
        <v>16250</v>
      </c>
      <c r="BU104" s="52">
        <v>12317</v>
      </c>
      <c r="BV104" s="52">
        <v>9197</v>
      </c>
      <c r="BW104" s="52"/>
      <c r="BX104" s="52">
        <v>28574</v>
      </c>
      <c r="BY104" s="52">
        <v>34646</v>
      </c>
      <c r="BZ104" s="52">
        <v>40120</v>
      </c>
      <c r="CA104" s="52"/>
      <c r="CB104" s="52">
        <v>135286</v>
      </c>
      <c r="CC104" s="52">
        <v>146703</v>
      </c>
      <c r="CD104" s="52">
        <v>258171</v>
      </c>
      <c r="CE104" s="52"/>
      <c r="CF104" s="52">
        <v>91112</v>
      </c>
      <c r="CG104" s="52">
        <v>130830</v>
      </c>
      <c r="CH104" s="52">
        <v>121232</v>
      </c>
      <c r="CI104" s="52">
        <v>11218</v>
      </c>
      <c r="CJ104" s="52">
        <v>29449</v>
      </c>
      <c r="CK104" s="52">
        <v>48899</v>
      </c>
      <c r="CL104" s="52">
        <v>88407</v>
      </c>
      <c r="CM104" s="52">
        <v>15328</v>
      </c>
      <c r="CN104" s="52">
        <v>43602</v>
      </c>
      <c r="CO104" s="52">
        <v>48404</v>
      </c>
      <c r="CP104" s="52">
        <v>49321</v>
      </c>
      <c r="CQ104" s="52"/>
      <c r="CR104" s="52"/>
      <c r="CS104" s="52"/>
      <c r="CT104" s="52">
        <v>59905</v>
      </c>
      <c r="CU104" s="52">
        <v>46114</v>
      </c>
      <c r="CV104" s="52"/>
      <c r="CW104" s="52">
        <v>35059</v>
      </c>
      <c r="CX104" s="52">
        <v>35012</v>
      </c>
      <c r="CY104" s="52">
        <v>26935</v>
      </c>
      <c r="CZ104" s="52">
        <v>3644</v>
      </c>
      <c r="DA104" s="52">
        <v>94907</v>
      </c>
      <c r="DB104" s="52">
        <v>38921</v>
      </c>
      <c r="DC104" s="52"/>
      <c r="DD104" s="52"/>
      <c r="DE104" s="52">
        <v>5297978</v>
      </c>
      <c r="DF104" s="52"/>
      <c r="DG104" s="52">
        <v>5297978</v>
      </c>
      <c r="DH104" s="52"/>
    </row>
    <row r="105" spans="1:112">
      <c r="A105" s="150" t="s">
        <v>411</v>
      </c>
      <c r="B105" s="44">
        <v>3220</v>
      </c>
      <c r="C105" s="44" t="s">
        <v>149</v>
      </c>
      <c r="D105" s="52"/>
      <c r="E105" s="52"/>
      <c r="F105" s="52"/>
      <c r="G105" s="52"/>
      <c r="H105" s="56"/>
      <c r="I105" s="56"/>
      <c r="J105" s="56"/>
      <c r="K105" s="56"/>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101"/>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row>
    <row r="106" spans="1:112">
      <c r="A106" s="150" t="s">
        <v>411</v>
      </c>
      <c r="B106" s="44">
        <v>3230</v>
      </c>
      <c r="C106" s="44" t="s">
        <v>150</v>
      </c>
      <c r="D106" s="52"/>
      <c r="E106" s="52"/>
      <c r="F106" s="52"/>
      <c r="G106" s="52"/>
      <c r="H106" s="56"/>
      <c r="I106" s="56"/>
      <c r="J106" s="56"/>
      <c r="K106" s="56"/>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101"/>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row>
    <row r="107" spans="1:112">
      <c r="A107" s="150" t="s">
        <v>411</v>
      </c>
      <c r="B107" s="44">
        <v>3299</v>
      </c>
      <c r="C107" s="44" t="s">
        <v>152</v>
      </c>
      <c r="D107" s="52"/>
      <c r="E107" s="52"/>
      <c r="F107" s="52"/>
      <c r="G107" s="52"/>
      <c r="H107" s="56"/>
      <c r="I107" s="56"/>
      <c r="J107" s="56"/>
      <c r="K107" s="56"/>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101"/>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row>
    <row r="108" spans="1:112">
      <c r="A108" s="150" t="s">
        <v>411</v>
      </c>
      <c r="B108" s="44">
        <v>3311</v>
      </c>
      <c r="C108" s="44" t="s">
        <v>155</v>
      </c>
      <c r="D108" s="52">
        <v>534325</v>
      </c>
      <c r="E108" s="52">
        <v>3950064</v>
      </c>
      <c r="F108" s="52">
        <v>315432</v>
      </c>
      <c r="G108" s="52"/>
      <c r="H108" s="56">
        <v>1551825</v>
      </c>
      <c r="I108" s="56">
        <v>581412</v>
      </c>
      <c r="J108" s="56">
        <v>390859</v>
      </c>
      <c r="K108" s="56">
        <v>344771</v>
      </c>
      <c r="L108" s="52">
        <v>1960051</v>
      </c>
      <c r="M108" s="52"/>
      <c r="N108" s="52"/>
      <c r="O108" s="52">
        <v>244592</v>
      </c>
      <c r="P108" s="52">
        <v>128688</v>
      </c>
      <c r="Q108" s="52">
        <v>166759</v>
      </c>
      <c r="R108" s="52">
        <v>138281</v>
      </c>
      <c r="S108" s="52">
        <v>402144</v>
      </c>
      <c r="T108" s="52"/>
      <c r="U108" s="52">
        <v>98615</v>
      </c>
      <c r="V108" s="52"/>
      <c r="W108" s="52">
        <v>4347561</v>
      </c>
      <c r="X108" s="52">
        <v>166699</v>
      </c>
      <c r="Y108" s="52">
        <v>3218943</v>
      </c>
      <c r="Z108" s="52">
        <v>1405890</v>
      </c>
      <c r="AA108" s="52">
        <v>928091</v>
      </c>
      <c r="AB108" s="52">
        <v>1344964</v>
      </c>
      <c r="AC108" s="52">
        <v>114638</v>
      </c>
      <c r="AD108" s="52">
        <v>538161</v>
      </c>
      <c r="AE108" s="52">
        <v>246732</v>
      </c>
      <c r="AF108" s="52"/>
      <c r="AG108" s="52">
        <v>978137</v>
      </c>
      <c r="AH108" s="52">
        <v>1640749</v>
      </c>
      <c r="AI108" s="52"/>
      <c r="AJ108" s="52">
        <v>147464</v>
      </c>
      <c r="AK108" s="52">
        <v>688073</v>
      </c>
      <c r="AL108" s="52">
        <v>286206</v>
      </c>
      <c r="AM108" s="52"/>
      <c r="AN108" s="52">
        <v>3309815</v>
      </c>
      <c r="AO108" s="52">
        <v>308475</v>
      </c>
      <c r="AP108" s="52"/>
      <c r="AQ108" s="52">
        <v>758205</v>
      </c>
      <c r="AR108" s="52">
        <v>335990</v>
      </c>
      <c r="AS108" s="52">
        <v>2402631</v>
      </c>
      <c r="AT108" s="52">
        <v>203244</v>
      </c>
      <c r="AU108" s="52">
        <v>682241</v>
      </c>
      <c r="AV108" s="52">
        <v>155807</v>
      </c>
      <c r="AW108" s="52">
        <v>259133</v>
      </c>
      <c r="AX108" s="52">
        <v>986803</v>
      </c>
      <c r="AY108" s="101">
        <v>9732726</v>
      </c>
      <c r="AZ108" s="52">
        <v>1488600</v>
      </c>
      <c r="BA108" s="52">
        <v>159443</v>
      </c>
      <c r="BB108" s="52">
        <v>185149</v>
      </c>
      <c r="BC108" s="52"/>
      <c r="BD108" s="52">
        <v>442144</v>
      </c>
      <c r="BE108" s="52">
        <v>183121</v>
      </c>
      <c r="BF108" s="52">
        <v>4486602</v>
      </c>
      <c r="BG108" s="52">
        <v>513511</v>
      </c>
      <c r="BH108" s="52">
        <v>1616428</v>
      </c>
      <c r="BI108" s="52">
        <v>1973342</v>
      </c>
      <c r="BJ108" s="52">
        <v>924409</v>
      </c>
      <c r="BK108" s="52">
        <v>463133</v>
      </c>
      <c r="BL108" s="52">
        <v>415038</v>
      </c>
      <c r="BM108" s="52">
        <v>3292132</v>
      </c>
      <c r="BN108" s="52">
        <v>1238392</v>
      </c>
      <c r="BO108" s="52">
        <v>301643</v>
      </c>
      <c r="BP108" s="52">
        <v>659659</v>
      </c>
      <c r="BQ108" s="52">
        <v>2196548</v>
      </c>
      <c r="BR108" s="52">
        <v>90759</v>
      </c>
      <c r="BS108" s="52"/>
      <c r="BT108" s="52">
        <v>523276</v>
      </c>
      <c r="BU108" s="52">
        <v>348191</v>
      </c>
      <c r="BV108" s="52">
        <v>98489</v>
      </c>
      <c r="BW108" s="52"/>
      <c r="BX108" s="52">
        <v>770590</v>
      </c>
      <c r="BY108" s="52">
        <v>976293</v>
      </c>
      <c r="BZ108" s="52">
        <v>1204940</v>
      </c>
      <c r="CA108" s="52"/>
      <c r="CB108" s="52">
        <v>480762</v>
      </c>
      <c r="CC108" s="52">
        <v>583835</v>
      </c>
      <c r="CD108" s="52">
        <v>1026807</v>
      </c>
      <c r="CE108" s="52"/>
      <c r="CF108" s="52">
        <v>2531769</v>
      </c>
      <c r="CG108" s="52">
        <v>3286875</v>
      </c>
      <c r="CH108" s="52">
        <v>3355429</v>
      </c>
      <c r="CI108" s="52">
        <v>510099</v>
      </c>
      <c r="CJ108" s="52">
        <v>783107</v>
      </c>
      <c r="CK108" s="52">
        <v>1621363</v>
      </c>
      <c r="CL108" s="52">
        <v>475898</v>
      </c>
      <c r="CM108" s="52">
        <v>381669</v>
      </c>
      <c r="CN108" s="52">
        <v>857775</v>
      </c>
      <c r="CO108" s="52">
        <v>1377125</v>
      </c>
      <c r="CP108" s="52">
        <v>1034532</v>
      </c>
      <c r="CQ108" s="52"/>
      <c r="CR108" s="52"/>
      <c r="CS108" s="52"/>
      <c r="CT108" s="52">
        <v>1527576</v>
      </c>
      <c r="CU108" s="52">
        <v>1485967</v>
      </c>
      <c r="CV108" s="52"/>
      <c r="CW108" s="52">
        <v>775604</v>
      </c>
      <c r="CX108" s="52">
        <v>845766</v>
      </c>
      <c r="CY108" s="52">
        <v>838850</v>
      </c>
      <c r="CZ108" s="52">
        <v>586561</v>
      </c>
      <c r="DA108" s="52">
        <v>2844555</v>
      </c>
      <c r="DB108" s="52">
        <v>1391211</v>
      </c>
      <c r="DC108" s="52"/>
      <c r="DD108" s="52"/>
      <c r="DE108" s="52">
        <v>99150163</v>
      </c>
      <c r="DF108" s="52"/>
      <c r="DG108" s="52">
        <v>99150163</v>
      </c>
      <c r="DH108" s="52"/>
    </row>
    <row r="109" spans="1:112">
      <c r="A109" s="150" t="s">
        <v>411</v>
      </c>
      <c r="B109" s="44">
        <v>3312</v>
      </c>
      <c r="C109" s="44" t="s">
        <v>156</v>
      </c>
      <c r="D109" s="52">
        <v>1531509</v>
      </c>
      <c r="E109" s="52">
        <v>10531383</v>
      </c>
      <c r="F109" s="52">
        <v>777498</v>
      </c>
      <c r="G109" s="52"/>
      <c r="H109" s="56">
        <v>4120062</v>
      </c>
      <c r="I109" s="56">
        <v>1562059</v>
      </c>
      <c r="J109" s="56">
        <v>1263674</v>
      </c>
      <c r="K109" s="56">
        <v>963337</v>
      </c>
      <c r="L109" s="52">
        <v>5057370</v>
      </c>
      <c r="M109" s="52"/>
      <c r="N109" s="52"/>
      <c r="O109" s="52">
        <v>693568</v>
      </c>
      <c r="P109" s="52">
        <v>403388</v>
      </c>
      <c r="Q109" s="52">
        <v>368945</v>
      </c>
      <c r="R109" s="52">
        <v>396457</v>
      </c>
      <c r="S109" s="52">
        <v>1273445</v>
      </c>
      <c r="T109" s="52"/>
      <c r="U109" s="52">
        <v>254225</v>
      </c>
      <c r="V109" s="52"/>
      <c r="W109" s="52">
        <v>12241228</v>
      </c>
      <c r="X109" s="52">
        <v>562533</v>
      </c>
      <c r="Y109" s="52">
        <v>8925765</v>
      </c>
      <c r="Z109" s="52">
        <v>4205612</v>
      </c>
      <c r="AA109" s="52">
        <v>2557001</v>
      </c>
      <c r="AB109" s="52">
        <v>3867463</v>
      </c>
      <c r="AC109" s="52">
        <v>304607</v>
      </c>
      <c r="AD109" s="52">
        <v>1328812</v>
      </c>
      <c r="AE109" s="52">
        <v>652667</v>
      </c>
      <c r="AF109" s="52"/>
      <c r="AG109" s="52">
        <v>2731490</v>
      </c>
      <c r="AH109" s="52">
        <v>4975915</v>
      </c>
      <c r="AI109" s="52"/>
      <c r="AJ109" s="52">
        <v>375879</v>
      </c>
      <c r="AK109" s="52">
        <v>1821687</v>
      </c>
      <c r="AL109" s="52">
        <v>782849</v>
      </c>
      <c r="AM109" s="52"/>
      <c r="AN109" s="52">
        <v>9737971</v>
      </c>
      <c r="AO109" s="52">
        <v>898655</v>
      </c>
      <c r="AP109" s="52"/>
      <c r="AQ109" s="52">
        <v>1851343</v>
      </c>
      <c r="AR109" s="52">
        <v>1015338</v>
      </c>
      <c r="AS109" s="52">
        <v>6333822</v>
      </c>
      <c r="AT109" s="52">
        <v>513524</v>
      </c>
      <c r="AU109" s="52">
        <v>1788543</v>
      </c>
      <c r="AV109" s="52">
        <v>461788</v>
      </c>
      <c r="AW109" s="52">
        <v>542317</v>
      </c>
      <c r="AX109" s="52">
        <v>3014296</v>
      </c>
      <c r="AY109" s="101">
        <v>27122848</v>
      </c>
      <c r="AZ109" s="52">
        <v>3973889</v>
      </c>
      <c r="BA109" s="52">
        <v>477689</v>
      </c>
      <c r="BB109" s="52">
        <v>530649</v>
      </c>
      <c r="BC109" s="52"/>
      <c r="BD109" s="52">
        <v>1362828</v>
      </c>
      <c r="BE109" s="52">
        <v>616648</v>
      </c>
      <c r="BF109" s="52">
        <v>11410786</v>
      </c>
      <c r="BG109" s="52">
        <v>1252297</v>
      </c>
      <c r="BH109" s="52">
        <v>4652546</v>
      </c>
      <c r="BI109" s="52">
        <v>5231952</v>
      </c>
      <c r="BJ109" s="52">
        <v>2848383</v>
      </c>
      <c r="BK109" s="52">
        <v>1294031</v>
      </c>
      <c r="BL109" s="52">
        <v>1290581</v>
      </c>
      <c r="BM109" s="52">
        <v>9276852</v>
      </c>
      <c r="BN109" s="52">
        <v>3469163</v>
      </c>
      <c r="BO109" s="52">
        <v>918396</v>
      </c>
      <c r="BP109" s="52">
        <v>1664670</v>
      </c>
      <c r="BQ109" s="52">
        <v>6861561</v>
      </c>
      <c r="BR109" s="52">
        <v>278219</v>
      </c>
      <c r="BS109" s="52"/>
      <c r="BT109" s="52">
        <v>1359898</v>
      </c>
      <c r="BU109" s="52">
        <v>898551</v>
      </c>
      <c r="BV109" s="52">
        <v>326006</v>
      </c>
      <c r="BW109" s="52"/>
      <c r="BX109" s="52">
        <v>2364652</v>
      </c>
      <c r="BY109" s="52">
        <v>2656213</v>
      </c>
      <c r="BZ109" s="52">
        <v>3294425</v>
      </c>
      <c r="CA109" s="52"/>
      <c r="CB109" s="52">
        <v>1340634</v>
      </c>
      <c r="CC109" s="52">
        <v>1884687</v>
      </c>
      <c r="CD109" s="52">
        <v>2918860</v>
      </c>
      <c r="CE109" s="52"/>
      <c r="CF109" s="52">
        <v>7196474</v>
      </c>
      <c r="CG109" s="52">
        <v>9537961</v>
      </c>
      <c r="CH109" s="52">
        <v>10123212</v>
      </c>
      <c r="CI109" s="52">
        <v>953624</v>
      </c>
      <c r="CJ109" s="52">
        <v>2075366</v>
      </c>
      <c r="CK109" s="52">
        <v>4583969</v>
      </c>
      <c r="CL109" s="52">
        <v>1216236</v>
      </c>
      <c r="CM109" s="52">
        <v>1391001</v>
      </c>
      <c r="CN109" s="52">
        <v>2601232</v>
      </c>
      <c r="CO109" s="52">
        <v>3759790</v>
      </c>
      <c r="CP109" s="52">
        <v>2768434</v>
      </c>
      <c r="CQ109" s="52"/>
      <c r="CR109" s="52"/>
      <c r="CS109" s="52"/>
      <c r="CT109" s="52">
        <v>4477871</v>
      </c>
      <c r="CU109" s="52">
        <v>4302282</v>
      </c>
      <c r="CV109" s="52"/>
      <c r="CW109" s="52">
        <v>2066747</v>
      </c>
      <c r="CX109" s="52">
        <v>2596421</v>
      </c>
      <c r="CY109" s="52">
        <v>2290327</v>
      </c>
      <c r="CZ109" s="52">
        <v>1691377</v>
      </c>
      <c r="DA109" s="52">
        <v>7452896</v>
      </c>
      <c r="DB109" s="52">
        <v>3533211</v>
      </c>
      <c r="DC109" s="52"/>
      <c r="DD109" s="52"/>
      <c r="DE109" s="52">
        <v>276884370</v>
      </c>
      <c r="DF109" s="52"/>
      <c r="DG109" s="52">
        <v>276884370</v>
      </c>
      <c r="DH109" s="52"/>
    </row>
    <row r="110" spans="1:112">
      <c r="A110" s="150" t="s">
        <v>411</v>
      </c>
      <c r="B110" s="44">
        <v>3313</v>
      </c>
      <c r="C110" s="44" t="s">
        <v>157</v>
      </c>
      <c r="D110" s="52">
        <v>2101670</v>
      </c>
      <c r="E110" s="52">
        <v>15256448</v>
      </c>
      <c r="F110" s="52">
        <v>971909</v>
      </c>
      <c r="G110" s="52"/>
      <c r="H110" s="56">
        <v>5535276</v>
      </c>
      <c r="I110" s="56">
        <v>2278198</v>
      </c>
      <c r="J110" s="56">
        <v>1554900</v>
      </c>
      <c r="K110" s="56">
        <v>1259558</v>
      </c>
      <c r="L110" s="52">
        <v>6583256</v>
      </c>
      <c r="M110" s="52"/>
      <c r="N110" s="52"/>
      <c r="O110" s="52">
        <v>972513</v>
      </c>
      <c r="P110" s="52">
        <v>523601</v>
      </c>
      <c r="Q110" s="52">
        <v>518364</v>
      </c>
      <c r="R110" s="52">
        <v>617713</v>
      </c>
      <c r="S110" s="52">
        <v>1680577</v>
      </c>
      <c r="T110" s="52"/>
      <c r="U110" s="52">
        <v>323743</v>
      </c>
      <c r="V110" s="52"/>
      <c r="W110" s="52">
        <v>16789110</v>
      </c>
      <c r="X110" s="52">
        <v>832584</v>
      </c>
      <c r="Y110" s="52">
        <v>10843354</v>
      </c>
      <c r="Z110" s="52">
        <v>5412219</v>
      </c>
      <c r="AA110" s="52">
        <v>3759045</v>
      </c>
      <c r="AB110" s="52">
        <v>5068160</v>
      </c>
      <c r="AC110" s="52">
        <v>439066</v>
      </c>
      <c r="AD110" s="52">
        <v>1909986</v>
      </c>
      <c r="AE110" s="52">
        <v>866141</v>
      </c>
      <c r="AF110" s="52"/>
      <c r="AG110" s="52">
        <v>3668328</v>
      </c>
      <c r="AH110" s="52">
        <v>6592546</v>
      </c>
      <c r="AI110" s="52"/>
      <c r="AJ110" s="52">
        <v>548347</v>
      </c>
      <c r="AK110" s="52">
        <v>2442946</v>
      </c>
      <c r="AL110" s="52">
        <v>1180308</v>
      </c>
      <c r="AM110" s="52"/>
      <c r="AN110" s="52">
        <v>13708366</v>
      </c>
      <c r="AO110" s="52">
        <v>1247686</v>
      </c>
      <c r="AP110" s="52"/>
      <c r="AQ110" s="52">
        <v>2513045</v>
      </c>
      <c r="AR110" s="52">
        <v>1346764</v>
      </c>
      <c r="AS110" s="52">
        <v>8221208</v>
      </c>
      <c r="AT110" s="52">
        <v>743393</v>
      </c>
      <c r="AU110" s="52">
        <v>2162070</v>
      </c>
      <c r="AV110" s="52">
        <v>559683</v>
      </c>
      <c r="AW110" s="52">
        <v>900294</v>
      </c>
      <c r="AX110" s="52">
        <v>3909398</v>
      </c>
      <c r="AY110" s="101">
        <v>35364615</v>
      </c>
      <c r="AZ110" s="52">
        <v>5383246</v>
      </c>
      <c r="BA110" s="52">
        <v>697600</v>
      </c>
      <c r="BB110" s="52">
        <v>716456</v>
      </c>
      <c r="BC110" s="52"/>
      <c r="BD110" s="52">
        <v>1896314</v>
      </c>
      <c r="BE110" s="52">
        <v>818514</v>
      </c>
      <c r="BF110" s="52">
        <v>14604104</v>
      </c>
      <c r="BG110" s="52">
        <v>1652245</v>
      </c>
      <c r="BH110" s="52">
        <v>6322640</v>
      </c>
      <c r="BI110" s="52">
        <v>6859085</v>
      </c>
      <c r="BJ110" s="52">
        <v>3532506</v>
      </c>
      <c r="BK110" s="52">
        <v>1896765</v>
      </c>
      <c r="BL110" s="52">
        <v>1746622</v>
      </c>
      <c r="BM110" s="52">
        <v>12772996</v>
      </c>
      <c r="BN110" s="52">
        <v>4718776</v>
      </c>
      <c r="BO110" s="52">
        <v>1214735</v>
      </c>
      <c r="BP110" s="52">
        <v>2363041</v>
      </c>
      <c r="BQ110" s="52">
        <v>10099141</v>
      </c>
      <c r="BR110" s="52">
        <v>377532</v>
      </c>
      <c r="BS110" s="52"/>
      <c r="BT110" s="52">
        <v>2013386</v>
      </c>
      <c r="BU110" s="52">
        <v>1179554</v>
      </c>
      <c r="BV110" s="52">
        <v>479590</v>
      </c>
      <c r="BW110" s="52"/>
      <c r="BX110" s="52">
        <v>3037696</v>
      </c>
      <c r="BY110" s="52">
        <v>3282079</v>
      </c>
      <c r="BZ110" s="52">
        <v>4197601</v>
      </c>
      <c r="CA110" s="52"/>
      <c r="CB110" s="52">
        <v>1765981</v>
      </c>
      <c r="CC110" s="52">
        <v>2640423</v>
      </c>
      <c r="CD110" s="52">
        <v>3661836</v>
      </c>
      <c r="CE110" s="52"/>
      <c r="CF110" s="52">
        <v>9626459</v>
      </c>
      <c r="CG110" s="52">
        <v>12750522</v>
      </c>
      <c r="CH110" s="52">
        <v>14839922</v>
      </c>
      <c r="CI110" s="52">
        <v>1285931</v>
      </c>
      <c r="CJ110" s="52">
        <v>3023982</v>
      </c>
      <c r="CK110" s="52">
        <v>6316438</v>
      </c>
      <c r="CL110" s="52">
        <v>1755927</v>
      </c>
      <c r="CM110" s="52">
        <v>1758044</v>
      </c>
      <c r="CN110" s="52">
        <v>3667098</v>
      </c>
      <c r="CO110" s="52">
        <v>5599199</v>
      </c>
      <c r="CP110" s="52">
        <v>4094140</v>
      </c>
      <c r="CQ110" s="52"/>
      <c r="CR110" s="52"/>
      <c r="CS110" s="52"/>
      <c r="CT110" s="52">
        <v>5489000</v>
      </c>
      <c r="CU110" s="52">
        <v>5432499</v>
      </c>
      <c r="CV110" s="52"/>
      <c r="CW110" s="52">
        <v>2858921</v>
      </c>
      <c r="CX110" s="52">
        <v>3037220</v>
      </c>
      <c r="CY110" s="52">
        <v>3149625</v>
      </c>
      <c r="CZ110" s="52">
        <v>2401305</v>
      </c>
      <c r="DA110" s="52">
        <v>9705200</v>
      </c>
      <c r="DB110" s="52">
        <v>4948628</v>
      </c>
      <c r="DC110" s="52"/>
      <c r="DD110" s="52"/>
      <c r="DE110" s="52">
        <v>372876912</v>
      </c>
      <c r="DF110" s="52"/>
      <c r="DG110" s="52">
        <v>372876912</v>
      </c>
      <c r="DH110" s="52"/>
    </row>
    <row r="111" spans="1:112">
      <c r="A111" s="150" t="s">
        <v>411</v>
      </c>
      <c r="B111" s="44">
        <v>3314</v>
      </c>
      <c r="C111" s="44" t="s">
        <v>158</v>
      </c>
      <c r="D111" s="52">
        <v>558227</v>
      </c>
      <c r="E111" s="52">
        <v>6112541</v>
      </c>
      <c r="F111" s="52">
        <v>563789</v>
      </c>
      <c r="G111" s="52"/>
      <c r="H111" s="56">
        <v>1645710</v>
      </c>
      <c r="I111" s="56">
        <v>353181</v>
      </c>
      <c r="J111" s="56">
        <v>291548</v>
      </c>
      <c r="K111" s="56">
        <v>379976</v>
      </c>
      <c r="L111" s="52">
        <v>3701433</v>
      </c>
      <c r="M111" s="52">
        <v>258004</v>
      </c>
      <c r="N111" s="52"/>
      <c r="O111" s="52">
        <v>459656</v>
      </c>
      <c r="P111" s="52">
        <v>173308</v>
      </c>
      <c r="Q111" s="52">
        <v>89621</v>
      </c>
      <c r="R111" s="52">
        <v>148590</v>
      </c>
      <c r="S111" s="52">
        <v>357421</v>
      </c>
      <c r="T111" s="52"/>
      <c r="U111" s="52">
        <v>100617</v>
      </c>
      <c r="V111" s="52"/>
      <c r="W111" s="52">
        <v>8073377</v>
      </c>
      <c r="X111" s="52">
        <v>174964</v>
      </c>
      <c r="Y111" s="52">
        <v>5353211</v>
      </c>
      <c r="Z111" s="52">
        <v>2581833</v>
      </c>
      <c r="AA111" s="52">
        <v>1974857</v>
      </c>
      <c r="AB111" s="52">
        <v>698371</v>
      </c>
      <c r="AC111" s="52">
        <v>274479</v>
      </c>
      <c r="AD111" s="52">
        <v>397721</v>
      </c>
      <c r="AE111" s="52">
        <v>365062</v>
      </c>
      <c r="AF111" s="52"/>
      <c r="AG111" s="52">
        <v>1704343</v>
      </c>
      <c r="AH111" s="52">
        <v>2164476</v>
      </c>
      <c r="AI111" s="52"/>
      <c r="AJ111" s="52">
        <v>381226</v>
      </c>
      <c r="AK111" s="52">
        <v>1360992</v>
      </c>
      <c r="AL111" s="52">
        <v>275460</v>
      </c>
      <c r="AM111" s="52"/>
      <c r="AN111" s="52">
        <v>4475224</v>
      </c>
      <c r="AO111" s="52">
        <v>641863</v>
      </c>
      <c r="AP111" s="52"/>
      <c r="AQ111" s="52">
        <v>1004308</v>
      </c>
      <c r="AR111" s="52">
        <v>721481</v>
      </c>
      <c r="AS111" s="52">
        <v>3962368</v>
      </c>
      <c r="AT111" s="52">
        <v>105224</v>
      </c>
      <c r="AU111" s="52">
        <v>758067</v>
      </c>
      <c r="AV111" s="52">
        <v>271207</v>
      </c>
      <c r="AW111" s="52">
        <v>504881</v>
      </c>
      <c r="AX111" s="52">
        <v>1518459</v>
      </c>
      <c r="AY111" s="101">
        <v>17953403</v>
      </c>
      <c r="AZ111" s="52">
        <v>3018064</v>
      </c>
      <c r="BA111" s="52">
        <v>143793</v>
      </c>
      <c r="BB111" s="52">
        <v>187445</v>
      </c>
      <c r="BC111" s="52"/>
      <c r="BD111" s="52">
        <v>370379</v>
      </c>
      <c r="BE111" s="52">
        <v>196003</v>
      </c>
      <c r="BF111" s="52">
        <v>8275353</v>
      </c>
      <c r="BG111" s="52">
        <v>242118</v>
      </c>
      <c r="BH111" s="52">
        <v>2945049</v>
      </c>
      <c r="BI111" s="52">
        <v>5081763</v>
      </c>
      <c r="BJ111" s="52">
        <v>675146</v>
      </c>
      <c r="BK111" s="52">
        <v>1332713</v>
      </c>
      <c r="BL111" s="52">
        <v>351339</v>
      </c>
      <c r="BM111" s="52">
        <v>5180331</v>
      </c>
      <c r="BN111" s="52">
        <v>1600095</v>
      </c>
      <c r="BO111" s="52">
        <v>616445</v>
      </c>
      <c r="BP111" s="52">
        <v>954798</v>
      </c>
      <c r="BQ111" s="52">
        <v>3231824</v>
      </c>
      <c r="BR111" s="52">
        <v>166030</v>
      </c>
      <c r="BS111" s="52"/>
      <c r="BT111" s="52">
        <v>989118</v>
      </c>
      <c r="BU111" s="52">
        <v>561890</v>
      </c>
      <c r="BV111" s="52">
        <v>220658</v>
      </c>
      <c r="BW111" s="52"/>
      <c r="BX111" s="52">
        <v>616287</v>
      </c>
      <c r="BY111" s="52">
        <v>1451796</v>
      </c>
      <c r="BZ111" s="52">
        <v>1403262</v>
      </c>
      <c r="CA111" s="52"/>
      <c r="CB111" s="52">
        <v>543589</v>
      </c>
      <c r="CC111" s="52">
        <v>893673</v>
      </c>
      <c r="CD111" s="52">
        <v>1460433</v>
      </c>
      <c r="CE111" s="52"/>
      <c r="CF111" s="52">
        <v>4421482</v>
      </c>
      <c r="CG111" s="52">
        <v>4629853</v>
      </c>
      <c r="CH111" s="52">
        <v>6129943</v>
      </c>
      <c r="CI111" s="52">
        <v>625389</v>
      </c>
      <c r="CJ111" s="52">
        <v>614005</v>
      </c>
      <c r="CK111" s="52">
        <v>2405722</v>
      </c>
      <c r="CL111" s="52">
        <v>1017708</v>
      </c>
      <c r="CM111" s="52">
        <v>1142665</v>
      </c>
      <c r="CN111" s="52">
        <v>2126079</v>
      </c>
      <c r="CO111" s="52">
        <v>3781259</v>
      </c>
      <c r="CP111" s="52">
        <v>2090579</v>
      </c>
      <c r="CQ111" s="52"/>
      <c r="CR111" s="52"/>
      <c r="CS111" s="52"/>
      <c r="CT111" s="52">
        <v>1420447</v>
      </c>
      <c r="CU111" s="52">
        <v>2989067</v>
      </c>
      <c r="CV111" s="52"/>
      <c r="CW111" s="52">
        <v>739000</v>
      </c>
      <c r="CX111" s="52">
        <v>471994</v>
      </c>
      <c r="CY111" s="52">
        <v>580508</v>
      </c>
      <c r="CZ111" s="52">
        <v>415575</v>
      </c>
      <c r="DA111" s="52">
        <v>5557802</v>
      </c>
      <c r="DB111" s="52">
        <v>1141256</v>
      </c>
      <c r="DC111" s="52"/>
      <c r="DD111" s="52">
        <v>1538395</v>
      </c>
      <c r="DE111" s="52">
        <v>157900206</v>
      </c>
      <c r="DF111" s="52">
        <v>1538395</v>
      </c>
      <c r="DG111" s="52">
        <v>159438601</v>
      </c>
      <c r="DH111" s="52"/>
    </row>
    <row r="112" spans="1:112">
      <c r="A112" s="150" t="s">
        <v>411</v>
      </c>
      <c r="B112" s="44">
        <v>3315</v>
      </c>
      <c r="C112" s="44" t="s">
        <v>159</v>
      </c>
      <c r="D112" s="52">
        <v>60237</v>
      </c>
      <c r="E112" s="52">
        <v>222385</v>
      </c>
      <c r="F112" s="52">
        <v>37015</v>
      </c>
      <c r="G112" s="52"/>
      <c r="H112" s="56">
        <v>48790</v>
      </c>
      <c r="I112" s="56">
        <v>31585</v>
      </c>
      <c r="J112" s="56">
        <v>25204</v>
      </c>
      <c r="K112" s="56">
        <v>22091</v>
      </c>
      <c r="L112" s="52">
        <v>107207</v>
      </c>
      <c r="M112" s="52"/>
      <c r="N112" s="52"/>
      <c r="O112" s="52">
        <v>21115</v>
      </c>
      <c r="P112" s="52">
        <v>19431</v>
      </c>
      <c r="Q112" s="52"/>
      <c r="R112" s="52"/>
      <c r="S112" s="52">
        <v>77242</v>
      </c>
      <c r="T112" s="52"/>
      <c r="U112" s="52">
        <v>4263</v>
      </c>
      <c r="V112" s="52"/>
      <c r="W112" s="52">
        <v>304167</v>
      </c>
      <c r="X112" s="52">
        <v>15417</v>
      </c>
      <c r="Y112" s="52">
        <v>288146</v>
      </c>
      <c r="Z112" s="52">
        <v>134514</v>
      </c>
      <c r="AA112" s="52">
        <v>77719</v>
      </c>
      <c r="AB112" s="52">
        <v>108435</v>
      </c>
      <c r="AC112" s="52"/>
      <c r="AD112" s="52">
        <v>52676</v>
      </c>
      <c r="AE112" s="52"/>
      <c r="AF112" s="52"/>
      <c r="AG112" s="52">
        <v>72053</v>
      </c>
      <c r="AH112" s="52">
        <v>182536</v>
      </c>
      <c r="AI112" s="52"/>
      <c r="AJ112" s="52">
        <v>38935</v>
      </c>
      <c r="AK112" s="52">
        <v>84142</v>
      </c>
      <c r="AL112" s="52">
        <v>59540</v>
      </c>
      <c r="AM112" s="52"/>
      <c r="AN112" s="52">
        <v>332586</v>
      </c>
      <c r="AO112" s="52">
        <v>57732</v>
      </c>
      <c r="AP112" s="52"/>
      <c r="AQ112" s="52">
        <v>26011</v>
      </c>
      <c r="AR112" s="52">
        <v>47569</v>
      </c>
      <c r="AS112" s="52">
        <v>312619</v>
      </c>
      <c r="AT112" s="52">
        <v>12007</v>
      </c>
      <c r="AU112" s="52">
        <v>133849</v>
      </c>
      <c r="AV112" s="52">
        <v>10266</v>
      </c>
      <c r="AW112" s="52">
        <v>42110</v>
      </c>
      <c r="AX112" s="52">
        <v>137024</v>
      </c>
      <c r="AY112" s="101">
        <v>899555</v>
      </c>
      <c r="AZ112" s="52">
        <v>146454</v>
      </c>
      <c r="BA112" s="52">
        <v>16308</v>
      </c>
      <c r="BB112" s="52">
        <v>7815</v>
      </c>
      <c r="BC112" s="52"/>
      <c r="BD112" s="52">
        <v>8778</v>
      </c>
      <c r="BE112" s="52">
        <v>25458</v>
      </c>
      <c r="BF112" s="52">
        <v>353856</v>
      </c>
      <c r="BG112" s="52">
        <v>62072</v>
      </c>
      <c r="BH112" s="52">
        <v>124498</v>
      </c>
      <c r="BI112" s="52">
        <v>211203</v>
      </c>
      <c r="BJ112" s="52">
        <v>36003</v>
      </c>
      <c r="BK112" s="52">
        <v>70512</v>
      </c>
      <c r="BL112" s="52">
        <v>60110</v>
      </c>
      <c r="BM112" s="52">
        <v>151600</v>
      </c>
      <c r="BN112" s="52">
        <v>111395</v>
      </c>
      <c r="BO112" s="52">
        <v>45797</v>
      </c>
      <c r="BP112" s="52">
        <v>42514</v>
      </c>
      <c r="BQ112" s="52">
        <v>112539</v>
      </c>
      <c r="BR112" s="52">
        <v>2609</v>
      </c>
      <c r="BS112" s="52"/>
      <c r="BT112" s="52">
        <v>51072</v>
      </c>
      <c r="BU112" s="52">
        <v>56787</v>
      </c>
      <c r="BV112" s="52">
        <v>28888</v>
      </c>
      <c r="BW112" s="52"/>
      <c r="BX112" s="52">
        <v>100874</v>
      </c>
      <c r="BY112" s="52">
        <v>48515</v>
      </c>
      <c r="BZ112" s="52">
        <v>51793</v>
      </c>
      <c r="CA112" s="52"/>
      <c r="CB112" s="52">
        <v>94762</v>
      </c>
      <c r="CC112" s="52">
        <v>54775</v>
      </c>
      <c r="CD112" s="52">
        <v>88275</v>
      </c>
      <c r="CE112" s="52"/>
      <c r="CF112" s="52">
        <v>136346</v>
      </c>
      <c r="CG112" s="52">
        <v>372858</v>
      </c>
      <c r="CH112" s="52">
        <v>267688</v>
      </c>
      <c r="CI112" s="52">
        <v>24412</v>
      </c>
      <c r="CJ112" s="52">
        <v>44053</v>
      </c>
      <c r="CK112" s="52">
        <v>43054</v>
      </c>
      <c r="CL112" s="52">
        <v>31087</v>
      </c>
      <c r="CM112" s="52"/>
      <c r="CN112" s="52">
        <v>16608</v>
      </c>
      <c r="CO112" s="52">
        <v>84856</v>
      </c>
      <c r="CP112" s="52">
        <v>446311</v>
      </c>
      <c r="CQ112" s="52"/>
      <c r="CR112" s="52"/>
      <c r="CS112" s="52"/>
      <c r="CT112" s="52">
        <v>185788</v>
      </c>
      <c r="CU112" s="52">
        <v>98256</v>
      </c>
      <c r="CV112" s="52"/>
      <c r="CW112" s="52">
        <v>67897</v>
      </c>
      <c r="CX112" s="52">
        <v>211069</v>
      </c>
      <c r="CY112" s="52">
        <v>81630</v>
      </c>
      <c r="CZ112" s="52">
        <v>49169</v>
      </c>
      <c r="DA112" s="52">
        <v>121403</v>
      </c>
      <c r="DB112" s="52">
        <v>26432</v>
      </c>
      <c r="DC112" s="52"/>
      <c r="DD112" s="52"/>
      <c r="DE112" s="52">
        <v>8580352</v>
      </c>
      <c r="DF112" s="52"/>
      <c r="DG112" s="52">
        <v>8580352</v>
      </c>
      <c r="DH112" s="52"/>
    </row>
    <row r="113" spans="1:112">
      <c r="A113" s="150" t="s">
        <v>411</v>
      </c>
      <c r="B113" s="44">
        <v>3316</v>
      </c>
      <c r="C113" s="44" t="s">
        <v>160</v>
      </c>
      <c r="D113" s="52">
        <v>772463</v>
      </c>
      <c r="E113" s="52">
        <v>3682100</v>
      </c>
      <c r="F113" s="52">
        <v>424342</v>
      </c>
      <c r="G113" s="52"/>
      <c r="H113" s="56">
        <v>1409767</v>
      </c>
      <c r="I113" s="56">
        <v>1229795</v>
      </c>
      <c r="J113" s="56">
        <v>575100</v>
      </c>
      <c r="K113" s="56">
        <v>460125</v>
      </c>
      <c r="L113" s="52">
        <v>2253292</v>
      </c>
      <c r="M113" s="52"/>
      <c r="N113" s="52"/>
      <c r="O113" s="52">
        <v>670123</v>
      </c>
      <c r="P113" s="52">
        <v>283246</v>
      </c>
      <c r="Q113" s="52">
        <v>331629</v>
      </c>
      <c r="R113" s="52">
        <v>327021</v>
      </c>
      <c r="S113" s="52">
        <v>663143</v>
      </c>
      <c r="T113" s="52"/>
      <c r="U113" s="52">
        <v>78669</v>
      </c>
      <c r="V113" s="52"/>
      <c r="W113" s="52">
        <v>4805094</v>
      </c>
      <c r="X113" s="52">
        <v>286729</v>
      </c>
      <c r="Y113" s="52">
        <v>1970593</v>
      </c>
      <c r="Z113" s="52">
        <v>1252928</v>
      </c>
      <c r="AA113" s="52">
        <v>794852</v>
      </c>
      <c r="AB113" s="52">
        <v>876205</v>
      </c>
      <c r="AC113" s="52">
        <v>142846</v>
      </c>
      <c r="AD113" s="52">
        <v>796894</v>
      </c>
      <c r="AE113" s="52">
        <v>189307</v>
      </c>
      <c r="AF113" s="52"/>
      <c r="AG113" s="52">
        <v>1048572</v>
      </c>
      <c r="AH113" s="52">
        <v>1583940</v>
      </c>
      <c r="AI113" s="52"/>
      <c r="AJ113" s="52">
        <v>112468</v>
      </c>
      <c r="AK113" s="52">
        <v>683249</v>
      </c>
      <c r="AL113" s="52">
        <v>248587</v>
      </c>
      <c r="AM113" s="52"/>
      <c r="AN113" s="52">
        <v>3116844</v>
      </c>
      <c r="AO113" s="52">
        <v>262654</v>
      </c>
      <c r="AP113" s="52"/>
      <c r="AQ113" s="52">
        <v>656800</v>
      </c>
      <c r="AR113" s="52">
        <v>651610</v>
      </c>
      <c r="AS113" s="52">
        <v>2065915</v>
      </c>
      <c r="AT113" s="52">
        <v>409462</v>
      </c>
      <c r="AU113" s="52">
        <v>1093134</v>
      </c>
      <c r="AV113" s="52">
        <v>158880</v>
      </c>
      <c r="AW113" s="52">
        <v>569818</v>
      </c>
      <c r="AX113" s="52">
        <v>1080698</v>
      </c>
      <c r="AY113" s="101">
        <v>9054053</v>
      </c>
      <c r="AZ113" s="52">
        <v>1242615</v>
      </c>
      <c r="BA113" s="52">
        <v>215413</v>
      </c>
      <c r="BB113" s="52">
        <v>119397</v>
      </c>
      <c r="BC113" s="52"/>
      <c r="BD113" s="52">
        <v>536426</v>
      </c>
      <c r="BE113" s="52">
        <v>221212</v>
      </c>
      <c r="BF113" s="52">
        <v>3734545</v>
      </c>
      <c r="BG113" s="52">
        <v>292658</v>
      </c>
      <c r="BH113" s="52">
        <v>1968673</v>
      </c>
      <c r="BI113" s="52">
        <v>1820033</v>
      </c>
      <c r="BJ113" s="52">
        <v>1431792</v>
      </c>
      <c r="BK113" s="52">
        <v>943169</v>
      </c>
      <c r="BL113" s="52">
        <v>778256</v>
      </c>
      <c r="BM113" s="52">
        <v>4247730</v>
      </c>
      <c r="BN113" s="52">
        <v>1648145</v>
      </c>
      <c r="BO113" s="52">
        <v>414524</v>
      </c>
      <c r="BP113" s="52">
        <v>814750</v>
      </c>
      <c r="BQ113" s="52">
        <v>2852594</v>
      </c>
      <c r="BR113" s="52">
        <v>105938</v>
      </c>
      <c r="BS113" s="52"/>
      <c r="BT113" s="52">
        <v>548288</v>
      </c>
      <c r="BU113" s="52">
        <v>397571</v>
      </c>
      <c r="BV113" s="52">
        <v>405355</v>
      </c>
      <c r="BW113" s="52"/>
      <c r="BX113" s="52">
        <v>804370</v>
      </c>
      <c r="BY113" s="52">
        <v>1435693</v>
      </c>
      <c r="BZ113" s="52">
        <v>867927</v>
      </c>
      <c r="CA113" s="52"/>
      <c r="CB113" s="52">
        <v>1081279</v>
      </c>
      <c r="CC113" s="52">
        <v>1099331</v>
      </c>
      <c r="CD113" s="52">
        <v>1648210</v>
      </c>
      <c r="CE113" s="52"/>
      <c r="CF113" s="52">
        <v>1692784</v>
      </c>
      <c r="CG113" s="52">
        <v>3527817</v>
      </c>
      <c r="CH113" s="52">
        <v>3009040</v>
      </c>
      <c r="CI113" s="52">
        <v>482473</v>
      </c>
      <c r="CJ113" s="52">
        <v>867255</v>
      </c>
      <c r="CK113" s="52">
        <v>1202598</v>
      </c>
      <c r="CL113" s="52">
        <v>616320</v>
      </c>
      <c r="CM113" s="52">
        <v>699008</v>
      </c>
      <c r="CN113" s="52">
        <v>1112944</v>
      </c>
      <c r="CO113" s="52">
        <v>1586526</v>
      </c>
      <c r="CP113" s="52">
        <v>1306185</v>
      </c>
      <c r="CQ113" s="52"/>
      <c r="CR113" s="52"/>
      <c r="CS113" s="52"/>
      <c r="CT113" s="52">
        <v>1656624</v>
      </c>
      <c r="CU113" s="52">
        <v>1464870</v>
      </c>
      <c r="CV113" s="52"/>
      <c r="CW113" s="52">
        <v>1061057</v>
      </c>
      <c r="CX113" s="52">
        <v>907612</v>
      </c>
      <c r="CY113" s="52">
        <v>1014092</v>
      </c>
      <c r="CZ113" s="52">
        <v>523735</v>
      </c>
      <c r="DA113" s="52">
        <v>2126753</v>
      </c>
      <c r="DB113" s="52">
        <v>1006205</v>
      </c>
      <c r="DC113" s="52"/>
      <c r="DD113" s="52"/>
      <c r="DE113" s="52">
        <v>104612739</v>
      </c>
      <c r="DF113" s="52"/>
      <c r="DG113" s="52">
        <v>104612739</v>
      </c>
      <c r="DH113" s="52"/>
    </row>
    <row r="114" spans="1:112">
      <c r="A114" s="150" t="s">
        <v>411</v>
      </c>
      <c r="B114" s="44">
        <v>3317</v>
      </c>
      <c r="C114" s="44" t="s">
        <v>161</v>
      </c>
      <c r="D114" s="52">
        <v>65476</v>
      </c>
      <c r="E114" s="52">
        <v>289208</v>
      </c>
      <c r="F114" s="52">
        <v>32200</v>
      </c>
      <c r="G114" s="52"/>
      <c r="H114" s="56">
        <v>91231</v>
      </c>
      <c r="I114" s="56">
        <v>28307</v>
      </c>
      <c r="J114" s="56">
        <v>24083</v>
      </c>
      <c r="K114" s="56">
        <v>23259</v>
      </c>
      <c r="L114" s="52">
        <v>151246</v>
      </c>
      <c r="M114" s="52"/>
      <c r="N114" s="52"/>
      <c r="O114" s="52">
        <v>25822</v>
      </c>
      <c r="P114" s="52">
        <v>8365</v>
      </c>
      <c r="Q114" s="52">
        <v>17772</v>
      </c>
      <c r="R114" s="52">
        <v>3066</v>
      </c>
      <c r="S114" s="52">
        <v>10121</v>
      </c>
      <c r="T114" s="52"/>
      <c r="U114" s="52">
        <v>4508</v>
      </c>
      <c r="V114" s="52"/>
      <c r="W114" s="52">
        <v>628322</v>
      </c>
      <c r="X114" s="52">
        <v>13279</v>
      </c>
      <c r="Y114" s="52">
        <v>261841</v>
      </c>
      <c r="Z114" s="52">
        <v>101524</v>
      </c>
      <c r="AA114" s="52">
        <v>120987</v>
      </c>
      <c r="AB114" s="52">
        <v>77862</v>
      </c>
      <c r="AC114" s="52">
        <v>21720</v>
      </c>
      <c r="AD114" s="52">
        <v>39110</v>
      </c>
      <c r="AE114" s="52">
        <v>28063</v>
      </c>
      <c r="AF114" s="52"/>
      <c r="AG114" s="52">
        <v>66441</v>
      </c>
      <c r="AH114" s="52">
        <v>231944</v>
      </c>
      <c r="AI114" s="52"/>
      <c r="AJ114" s="52">
        <v>8611</v>
      </c>
      <c r="AK114" s="52">
        <v>35858</v>
      </c>
      <c r="AL114" s="52">
        <v>8202</v>
      </c>
      <c r="AM114" s="52"/>
      <c r="AN114" s="52">
        <v>470008</v>
      </c>
      <c r="AO114" s="52">
        <v>26707</v>
      </c>
      <c r="AP114" s="52"/>
      <c r="AQ114" s="52">
        <v>22552</v>
      </c>
      <c r="AR114" s="52">
        <v>42240</v>
      </c>
      <c r="AS114" s="52">
        <v>356404</v>
      </c>
      <c r="AT114" s="52">
        <v>1160</v>
      </c>
      <c r="AU114" s="52">
        <v>43568</v>
      </c>
      <c r="AV114" s="52">
        <v>6543</v>
      </c>
      <c r="AW114" s="52">
        <v>17505</v>
      </c>
      <c r="AX114" s="52">
        <v>82796</v>
      </c>
      <c r="AY114" s="101">
        <v>954150</v>
      </c>
      <c r="AZ114" s="52">
        <v>159572</v>
      </c>
      <c r="BA114" s="52">
        <v>8352</v>
      </c>
      <c r="BB114" s="52">
        <v>2401</v>
      </c>
      <c r="BC114" s="52"/>
      <c r="BD114" s="52">
        <v>13984</v>
      </c>
      <c r="BE114" s="52">
        <v>14786</v>
      </c>
      <c r="BF114" s="52">
        <v>518790</v>
      </c>
      <c r="BG114" s="52">
        <v>78573</v>
      </c>
      <c r="BH114" s="52">
        <v>126169</v>
      </c>
      <c r="BI114" s="52">
        <v>57885</v>
      </c>
      <c r="BJ114" s="52">
        <v>79105</v>
      </c>
      <c r="BK114" s="52">
        <v>17072</v>
      </c>
      <c r="BL114" s="52">
        <v>20936</v>
      </c>
      <c r="BM114" s="52">
        <v>218825</v>
      </c>
      <c r="BN114" s="52">
        <v>86076</v>
      </c>
      <c r="BO114" s="52">
        <v>20547</v>
      </c>
      <c r="BP114" s="52">
        <v>64865</v>
      </c>
      <c r="BQ114" s="52">
        <v>95270</v>
      </c>
      <c r="BR114" s="52">
        <v>17541</v>
      </c>
      <c r="BS114" s="52"/>
      <c r="BT114" s="52">
        <v>33134</v>
      </c>
      <c r="BU114" s="52">
        <v>29165</v>
      </c>
      <c r="BV114" s="52">
        <v>2974</v>
      </c>
      <c r="BW114" s="52"/>
      <c r="BX114" s="52">
        <v>96698</v>
      </c>
      <c r="BY114" s="52">
        <v>44999</v>
      </c>
      <c r="BZ114" s="52">
        <v>147385</v>
      </c>
      <c r="CA114" s="52"/>
      <c r="CB114" s="52">
        <v>43735</v>
      </c>
      <c r="CC114" s="52">
        <v>61061</v>
      </c>
      <c r="CD114" s="52">
        <v>120690</v>
      </c>
      <c r="CE114" s="52"/>
      <c r="CF114" s="52">
        <v>119207</v>
      </c>
      <c r="CG114" s="52">
        <v>234031</v>
      </c>
      <c r="CH114" s="52">
        <v>208943</v>
      </c>
      <c r="CI114" s="52">
        <v>19444</v>
      </c>
      <c r="CJ114" s="52">
        <v>32013</v>
      </c>
      <c r="CK114" s="52">
        <v>62800</v>
      </c>
      <c r="CL114" s="52">
        <v>34545</v>
      </c>
      <c r="CM114" s="52">
        <v>38087</v>
      </c>
      <c r="CN114" s="52">
        <v>44645</v>
      </c>
      <c r="CO114" s="52">
        <v>86669</v>
      </c>
      <c r="CP114" s="52">
        <v>59881</v>
      </c>
      <c r="CQ114" s="52"/>
      <c r="CR114" s="52"/>
      <c r="CS114" s="52"/>
      <c r="CT114" s="52">
        <v>126930</v>
      </c>
      <c r="CU114" s="52">
        <v>96759</v>
      </c>
      <c r="CV114" s="52"/>
      <c r="CW114" s="52">
        <v>96390</v>
      </c>
      <c r="CX114" s="52">
        <v>108247</v>
      </c>
      <c r="CY114" s="52">
        <v>158680</v>
      </c>
      <c r="CZ114" s="52">
        <v>16515</v>
      </c>
      <c r="DA114" s="52">
        <v>379910</v>
      </c>
      <c r="DB114" s="52">
        <v>21267</v>
      </c>
      <c r="DC114" s="52"/>
      <c r="DD114" s="52"/>
      <c r="DE114" s="52">
        <v>8567614</v>
      </c>
      <c r="DF114" s="52"/>
      <c r="DG114" s="52">
        <v>8567614</v>
      </c>
      <c r="DH114" s="52"/>
    </row>
    <row r="115" spans="1:112">
      <c r="A115" s="150" t="s">
        <v>411</v>
      </c>
      <c r="B115" s="44">
        <v>3319</v>
      </c>
      <c r="C115" s="44" t="s">
        <v>162</v>
      </c>
      <c r="D115" s="52"/>
      <c r="E115" s="52"/>
      <c r="F115" s="52"/>
      <c r="G115" s="52"/>
      <c r="H115" s="56"/>
      <c r="I115" s="56"/>
      <c r="J115" s="56"/>
      <c r="K115" s="56"/>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101"/>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row>
    <row r="116" spans="1:112">
      <c r="A116" s="150" t="s">
        <v>411</v>
      </c>
      <c r="B116" s="44">
        <v>3320</v>
      </c>
      <c r="C116" s="44" t="s">
        <v>163</v>
      </c>
      <c r="D116" s="52"/>
      <c r="E116" s="52"/>
      <c r="F116" s="52"/>
      <c r="G116" s="52"/>
      <c r="H116" s="56"/>
      <c r="I116" s="56"/>
      <c r="J116" s="56"/>
      <c r="K116" s="56"/>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101"/>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row>
    <row r="117" spans="1:112">
      <c r="A117" s="150" t="s">
        <v>411</v>
      </c>
      <c r="B117" s="44">
        <v>3321</v>
      </c>
      <c r="C117" s="44" t="s">
        <v>164</v>
      </c>
      <c r="D117" s="52">
        <v>96201</v>
      </c>
      <c r="E117" s="52">
        <v>302057</v>
      </c>
      <c r="F117" s="52"/>
      <c r="G117" s="52"/>
      <c r="H117" s="56">
        <v>210599</v>
      </c>
      <c r="I117" s="56">
        <v>84094</v>
      </c>
      <c r="J117" s="56">
        <v>33854</v>
      </c>
      <c r="K117" s="56">
        <v>79717</v>
      </c>
      <c r="L117" s="52">
        <v>391559</v>
      </c>
      <c r="M117" s="52"/>
      <c r="N117" s="52"/>
      <c r="O117" s="52">
        <v>12373</v>
      </c>
      <c r="P117" s="52">
        <v>24249</v>
      </c>
      <c r="Q117" s="52">
        <v>12174</v>
      </c>
      <c r="R117" s="52">
        <v>11717</v>
      </c>
      <c r="S117" s="52">
        <v>20831</v>
      </c>
      <c r="T117" s="52"/>
      <c r="U117" s="52">
        <v>10120</v>
      </c>
      <c r="V117" s="52"/>
      <c r="W117" s="52">
        <v>546460</v>
      </c>
      <c r="X117" s="52">
        <v>16703</v>
      </c>
      <c r="Y117" s="52">
        <v>659754</v>
      </c>
      <c r="Z117" s="52">
        <v>40879</v>
      </c>
      <c r="AA117" s="52">
        <v>56803</v>
      </c>
      <c r="AB117" s="52">
        <v>88629</v>
      </c>
      <c r="AC117" s="52">
        <v>15452</v>
      </c>
      <c r="AD117" s="52">
        <v>46417</v>
      </c>
      <c r="AE117" s="52">
        <v>24678</v>
      </c>
      <c r="AF117" s="52"/>
      <c r="AG117" s="52">
        <v>111024</v>
      </c>
      <c r="AH117" s="52">
        <v>111570</v>
      </c>
      <c r="AI117" s="52"/>
      <c r="AJ117" s="52">
        <v>12964</v>
      </c>
      <c r="AK117" s="52">
        <v>5429</v>
      </c>
      <c r="AL117" s="52">
        <v>985</v>
      </c>
      <c r="AM117" s="52"/>
      <c r="AN117" s="52">
        <v>345519</v>
      </c>
      <c r="AO117" s="52">
        <v>39286</v>
      </c>
      <c r="AP117" s="52"/>
      <c r="AQ117" s="52">
        <v>92451</v>
      </c>
      <c r="AR117" s="52">
        <v>172078</v>
      </c>
      <c r="AS117" s="52">
        <v>320599</v>
      </c>
      <c r="AT117" s="52">
        <v>5587</v>
      </c>
      <c r="AU117" s="52">
        <v>20361</v>
      </c>
      <c r="AV117" s="52">
        <v>23806</v>
      </c>
      <c r="AW117" s="52">
        <v>3562</v>
      </c>
      <c r="AX117" s="52">
        <v>357009</v>
      </c>
      <c r="AY117" s="101">
        <v>1683416</v>
      </c>
      <c r="AZ117" s="52">
        <v>54842</v>
      </c>
      <c r="BA117" s="52">
        <v>2405</v>
      </c>
      <c r="BB117" s="52">
        <v>2206</v>
      </c>
      <c r="BC117" s="52"/>
      <c r="BD117" s="52">
        <v>7566</v>
      </c>
      <c r="BE117" s="52">
        <v>52500</v>
      </c>
      <c r="BF117" s="52">
        <v>680257</v>
      </c>
      <c r="BG117" s="52">
        <v>88934</v>
      </c>
      <c r="BH117" s="52">
        <v>158655</v>
      </c>
      <c r="BI117" s="52">
        <v>164554</v>
      </c>
      <c r="BJ117" s="52">
        <v>36868</v>
      </c>
      <c r="BK117" s="52">
        <v>74367</v>
      </c>
      <c r="BL117" s="52">
        <v>16023</v>
      </c>
      <c r="BM117" s="52">
        <v>350254</v>
      </c>
      <c r="BN117" s="52">
        <v>196220</v>
      </c>
      <c r="BO117" s="52">
        <v>30016</v>
      </c>
      <c r="BP117" s="52">
        <v>173967</v>
      </c>
      <c r="BQ117" s="52">
        <v>373068</v>
      </c>
      <c r="BR117" s="52">
        <v>20458</v>
      </c>
      <c r="BS117" s="52"/>
      <c r="BT117" s="52">
        <v>12932</v>
      </c>
      <c r="BU117" s="52">
        <v>32027</v>
      </c>
      <c r="BV117" s="52">
        <v>13949</v>
      </c>
      <c r="BW117" s="52"/>
      <c r="BX117" s="52">
        <v>105946</v>
      </c>
      <c r="BY117" s="52">
        <v>105339</v>
      </c>
      <c r="BZ117" s="52">
        <v>297248</v>
      </c>
      <c r="CA117" s="52"/>
      <c r="CB117" s="52">
        <v>114417</v>
      </c>
      <c r="CC117" s="52">
        <v>43107</v>
      </c>
      <c r="CD117" s="52">
        <v>124981</v>
      </c>
      <c r="CE117" s="52"/>
      <c r="CF117" s="52">
        <v>298810</v>
      </c>
      <c r="CG117" s="52">
        <v>892496</v>
      </c>
      <c r="CH117" s="52">
        <v>613410</v>
      </c>
      <c r="CI117" s="52">
        <v>25069</v>
      </c>
      <c r="CJ117" s="52">
        <v>98953</v>
      </c>
      <c r="CK117" s="52">
        <v>164231</v>
      </c>
      <c r="CL117" s="52">
        <v>81424</v>
      </c>
      <c r="CM117" s="52">
        <v>35562</v>
      </c>
      <c r="CN117" s="52">
        <v>157162</v>
      </c>
      <c r="CO117" s="52">
        <v>243925</v>
      </c>
      <c r="CP117" s="52">
        <v>502967</v>
      </c>
      <c r="CQ117" s="52"/>
      <c r="CR117" s="52"/>
      <c r="CS117" s="52"/>
      <c r="CT117" s="52">
        <v>230264</v>
      </c>
      <c r="CU117" s="52">
        <v>271881</v>
      </c>
      <c r="CV117" s="52"/>
      <c r="CW117" s="52">
        <v>42158</v>
      </c>
      <c r="CX117" s="52">
        <v>71422</v>
      </c>
      <c r="CY117" s="52">
        <v>71724</v>
      </c>
      <c r="CZ117" s="52">
        <v>70213</v>
      </c>
      <c r="DA117" s="52">
        <v>213254</v>
      </c>
      <c r="DB117" s="52">
        <v>38959</v>
      </c>
      <c r="DC117" s="52"/>
      <c r="DD117" s="52">
        <v>127625</v>
      </c>
      <c r="DE117" s="52">
        <v>13547956</v>
      </c>
      <c r="DF117" s="52">
        <v>127625</v>
      </c>
      <c r="DG117" s="52">
        <v>13675581</v>
      </c>
      <c r="DH117" s="52"/>
    </row>
    <row r="118" spans="1:112">
      <c r="A118" s="150" t="s">
        <v>411</v>
      </c>
      <c r="B118" s="44">
        <v>3322</v>
      </c>
      <c r="C118" s="44" t="s">
        <v>165</v>
      </c>
      <c r="D118" s="52">
        <v>91465</v>
      </c>
      <c r="E118" s="52">
        <v>866299</v>
      </c>
      <c r="F118" s="52">
        <v>71513</v>
      </c>
      <c r="G118" s="52"/>
      <c r="H118" s="56">
        <v>139660</v>
      </c>
      <c r="I118" s="56">
        <v>127603</v>
      </c>
      <c r="J118" s="56">
        <v>34040</v>
      </c>
      <c r="K118" s="56">
        <v>66201</v>
      </c>
      <c r="L118" s="52">
        <v>293257</v>
      </c>
      <c r="M118" s="52"/>
      <c r="N118" s="52"/>
      <c r="O118" s="52">
        <v>115081</v>
      </c>
      <c r="P118" s="52">
        <v>63095</v>
      </c>
      <c r="Q118" s="52">
        <v>103839</v>
      </c>
      <c r="R118" s="52">
        <v>3873</v>
      </c>
      <c r="S118" s="52">
        <v>74411</v>
      </c>
      <c r="T118" s="52"/>
      <c r="U118" s="52">
        <v>5477</v>
      </c>
      <c r="V118" s="52"/>
      <c r="W118" s="52">
        <v>394060</v>
      </c>
      <c r="X118" s="52">
        <v>71303</v>
      </c>
      <c r="Y118" s="52">
        <v>586663</v>
      </c>
      <c r="Z118" s="52">
        <v>71799</v>
      </c>
      <c r="AA118" s="52">
        <v>152693</v>
      </c>
      <c r="AB118" s="52">
        <v>189974</v>
      </c>
      <c r="AC118" s="52">
        <v>53043</v>
      </c>
      <c r="AD118" s="52">
        <v>162814</v>
      </c>
      <c r="AE118" s="52">
        <v>109384</v>
      </c>
      <c r="AF118" s="52"/>
      <c r="AG118" s="52">
        <v>211843</v>
      </c>
      <c r="AH118" s="52">
        <v>696357</v>
      </c>
      <c r="AI118" s="52"/>
      <c r="AJ118" s="52">
        <v>40924</v>
      </c>
      <c r="AK118" s="52">
        <v>291178</v>
      </c>
      <c r="AL118" s="52">
        <v>111981</v>
      </c>
      <c r="AM118" s="52"/>
      <c r="AN118" s="52">
        <v>301994</v>
      </c>
      <c r="AO118" s="52">
        <v>92029</v>
      </c>
      <c r="AP118" s="52"/>
      <c r="AQ118" s="52">
        <v>109263</v>
      </c>
      <c r="AR118" s="52">
        <v>37243</v>
      </c>
      <c r="AS118" s="52">
        <v>738860</v>
      </c>
      <c r="AT118" s="52">
        <v>15611</v>
      </c>
      <c r="AU118" s="52">
        <v>246551</v>
      </c>
      <c r="AV118" s="52">
        <v>68181</v>
      </c>
      <c r="AW118" s="52">
        <v>86882</v>
      </c>
      <c r="AX118" s="52">
        <v>175037</v>
      </c>
      <c r="AY118" s="101">
        <v>1181164</v>
      </c>
      <c r="AZ118" s="52">
        <v>292318</v>
      </c>
      <c r="BA118" s="52">
        <v>35330</v>
      </c>
      <c r="BB118" s="52">
        <v>21842</v>
      </c>
      <c r="BC118" s="52"/>
      <c r="BD118" s="52">
        <v>89166</v>
      </c>
      <c r="BE118" s="52">
        <v>148571</v>
      </c>
      <c r="BF118" s="52">
        <v>629653</v>
      </c>
      <c r="BG118" s="52">
        <v>136258</v>
      </c>
      <c r="BH118" s="52">
        <v>203325</v>
      </c>
      <c r="BI118" s="52">
        <v>320367</v>
      </c>
      <c r="BJ118" s="52">
        <v>159179</v>
      </c>
      <c r="BK118" s="52">
        <v>160357</v>
      </c>
      <c r="BL118" s="52">
        <v>224540</v>
      </c>
      <c r="BM118" s="52">
        <v>196152</v>
      </c>
      <c r="BN118" s="52">
        <v>176255</v>
      </c>
      <c r="BO118" s="52">
        <v>51431</v>
      </c>
      <c r="BP118" s="52">
        <v>92638</v>
      </c>
      <c r="BQ118" s="52">
        <v>120339</v>
      </c>
      <c r="BR118" s="52">
        <v>33541</v>
      </c>
      <c r="BS118" s="52"/>
      <c r="BT118" s="52">
        <v>162551</v>
      </c>
      <c r="BU118" s="52">
        <v>155218</v>
      </c>
      <c r="BV118" s="52">
        <v>34038</v>
      </c>
      <c r="BW118" s="52"/>
      <c r="BX118" s="52">
        <v>315710</v>
      </c>
      <c r="BY118" s="52">
        <v>201281</v>
      </c>
      <c r="BZ118" s="52">
        <v>179129</v>
      </c>
      <c r="CA118" s="52"/>
      <c r="CB118" s="52">
        <v>119579</v>
      </c>
      <c r="CC118" s="52">
        <v>87929</v>
      </c>
      <c r="CD118" s="52">
        <v>584024</v>
      </c>
      <c r="CE118" s="52"/>
      <c r="CF118" s="52">
        <v>388930</v>
      </c>
      <c r="CG118" s="52">
        <v>650743</v>
      </c>
      <c r="CH118" s="52">
        <v>334004</v>
      </c>
      <c r="CI118" s="52">
        <v>88725</v>
      </c>
      <c r="CJ118" s="52">
        <v>132559</v>
      </c>
      <c r="CK118" s="52">
        <v>196789</v>
      </c>
      <c r="CL118" s="52">
        <v>53566</v>
      </c>
      <c r="CM118" s="52">
        <v>76733</v>
      </c>
      <c r="CN118" s="52">
        <v>88149</v>
      </c>
      <c r="CO118" s="52">
        <v>191180</v>
      </c>
      <c r="CP118" s="52">
        <v>210454</v>
      </c>
      <c r="CQ118" s="52"/>
      <c r="CR118" s="52"/>
      <c r="CS118" s="52"/>
      <c r="CT118" s="52">
        <v>473944</v>
      </c>
      <c r="CU118" s="52">
        <v>251622</v>
      </c>
      <c r="CV118" s="52"/>
      <c r="CW118" s="52">
        <v>152127</v>
      </c>
      <c r="CX118" s="52">
        <v>901339</v>
      </c>
      <c r="CY118" s="52">
        <v>159497</v>
      </c>
      <c r="CZ118" s="52">
        <v>67215</v>
      </c>
      <c r="DA118" s="52">
        <v>155528</v>
      </c>
      <c r="DB118" s="52">
        <v>49890</v>
      </c>
      <c r="DC118" s="52"/>
      <c r="DD118" s="52">
        <v>136097</v>
      </c>
      <c r="DE118" s="52">
        <v>17806360</v>
      </c>
      <c r="DF118" s="52">
        <v>136097</v>
      </c>
      <c r="DG118" s="52">
        <v>17942457</v>
      </c>
      <c r="DH118" s="52"/>
    </row>
    <row r="119" spans="1:112">
      <c r="A119" s="150" t="s">
        <v>411</v>
      </c>
      <c r="B119" s="44">
        <v>3323</v>
      </c>
      <c r="C119" s="44" t="s">
        <v>166</v>
      </c>
      <c r="D119" s="52">
        <v>820110</v>
      </c>
      <c r="E119" s="52">
        <v>3927172</v>
      </c>
      <c r="F119" s="52">
        <v>221691</v>
      </c>
      <c r="G119" s="52"/>
      <c r="H119" s="56">
        <v>2058720</v>
      </c>
      <c r="I119" s="56">
        <v>1022221</v>
      </c>
      <c r="J119" s="56">
        <v>833873</v>
      </c>
      <c r="K119" s="56">
        <v>588106</v>
      </c>
      <c r="L119" s="52">
        <v>3227120</v>
      </c>
      <c r="M119" s="52"/>
      <c r="N119" s="52"/>
      <c r="O119" s="52">
        <v>362891</v>
      </c>
      <c r="P119" s="52">
        <v>112301</v>
      </c>
      <c r="Q119" s="52">
        <v>190239</v>
      </c>
      <c r="R119" s="52">
        <v>294396</v>
      </c>
      <c r="S119" s="52">
        <v>621194</v>
      </c>
      <c r="T119" s="52"/>
      <c r="U119" s="52">
        <v>94951</v>
      </c>
      <c r="V119" s="52"/>
      <c r="W119" s="52">
        <v>6204966</v>
      </c>
      <c r="X119" s="52">
        <v>100810</v>
      </c>
      <c r="Y119" s="52">
        <v>2704515</v>
      </c>
      <c r="Z119" s="52">
        <v>1300987</v>
      </c>
      <c r="AA119" s="52">
        <v>1210726</v>
      </c>
      <c r="AB119" s="52">
        <v>2425544</v>
      </c>
      <c r="AC119" s="52">
        <v>209350</v>
      </c>
      <c r="AD119" s="52">
        <v>949301</v>
      </c>
      <c r="AE119" s="52">
        <v>300721</v>
      </c>
      <c r="AF119" s="52"/>
      <c r="AG119" s="52">
        <v>1274563</v>
      </c>
      <c r="AH119" s="52">
        <v>3324815</v>
      </c>
      <c r="AI119" s="52"/>
      <c r="AJ119" s="52">
        <v>206175</v>
      </c>
      <c r="AK119" s="52">
        <v>288372</v>
      </c>
      <c r="AL119" s="52">
        <v>237116</v>
      </c>
      <c r="AM119" s="52"/>
      <c r="AN119" s="52">
        <v>3362589</v>
      </c>
      <c r="AO119" s="52">
        <v>447682</v>
      </c>
      <c r="AP119" s="52"/>
      <c r="AQ119" s="52">
        <v>1401496</v>
      </c>
      <c r="AR119" s="52">
        <v>535993</v>
      </c>
      <c r="AS119" s="52">
        <v>3449328</v>
      </c>
      <c r="AT119" s="52">
        <v>362677</v>
      </c>
      <c r="AU119" s="52">
        <v>917828</v>
      </c>
      <c r="AV119" s="52">
        <v>175704</v>
      </c>
      <c r="AW119" s="52">
        <v>533335</v>
      </c>
      <c r="AX119" s="52">
        <v>1380575</v>
      </c>
      <c r="AY119" s="101">
        <v>14981504</v>
      </c>
      <c r="AZ119" s="52">
        <v>2425867</v>
      </c>
      <c r="BA119" s="52">
        <v>446117</v>
      </c>
      <c r="BB119" s="52">
        <v>210419</v>
      </c>
      <c r="BC119" s="52"/>
      <c r="BD119" s="52">
        <v>334062</v>
      </c>
      <c r="BE119" s="52">
        <v>374584</v>
      </c>
      <c r="BF119" s="52">
        <v>7672324</v>
      </c>
      <c r="BG119" s="52">
        <v>443001</v>
      </c>
      <c r="BH119" s="52">
        <v>1817118</v>
      </c>
      <c r="BI119" s="52">
        <v>2137592</v>
      </c>
      <c r="BJ119" s="52">
        <v>1448954</v>
      </c>
      <c r="BK119" s="52">
        <v>852784</v>
      </c>
      <c r="BL119" s="52">
        <v>539369</v>
      </c>
      <c r="BM119" s="52">
        <v>3305132</v>
      </c>
      <c r="BN119" s="52">
        <v>1614159</v>
      </c>
      <c r="BO119" s="52">
        <v>522388</v>
      </c>
      <c r="BP119" s="52">
        <v>1108726</v>
      </c>
      <c r="BQ119" s="52">
        <v>2362926</v>
      </c>
      <c r="BR119" s="52">
        <v>117715</v>
      </c>
      <c r="BS119" s="52"/>
      <c r="BT119" s="52">
        <v>788034</v>
      </c>
      <c r="BU119" s="52">
        <v>716345</v>
      </c>
      <c r="BV119" s="52">
        <v>133267</v>
      </c>
      <c r="BW119" s="52"/>
      <c r="BX119" s="52">
        <v>1125440</v>
      </c>
      <c r="BY119" s="52">
        <v>1655364</v>
      </c>
      <c r="BZ119" s="52">
        <v>2346189</v>
      </c>
      <c r="CA119" s="52"/>
      <c r="CB119" s="52">
        <v>462001</v>
      </c>
      <c r="CC119" s="52">
        <v>484927</v>
      </c>
      <c r="CD119" s="52">
        <v>938005</v>
      </c>
      <c r="CE119" s="52"/>
      <c r="CF119" s="52">
        <v>3562722</v>
      </c>
      <c r="CG119" s="52">
        <v>2962600</v>
      </c>
      <c r="CH119" s="52">
        <v>3091714</v>
      </c>
      <c r="CI119" s="52">
        <v>362542</v>
      </c>
      <c r="CJ119" s="52">
        <v>1414186</v>
      </c>
      <c r="CK119" s="52">
        <v>1697554</v>
      </c>
      <c r="CL119" s="52">
        <v>740298</v>
      </c>
      <c r="CM119" s="52">
        <v>344583</v>
      </c>
      <c r="CN119" s="52">
        <v>1411191</v>
      </c>
      <c r="CO119" s="52">
        <v>1615564</v>
      </c>
      <c r="CP119" s="52">
        <v>1317326</v>
      </c>
      <c r="CQ119" s="52"/>
      <c r="CR119" s="52"/>
      <c r="CS119" s="52"/>
      <c r="CT119" s="52">
        <v>1895914</v>
      </c>
      <c r="CU119" s="52">
        <v>1817090</v>
      </c>
      <c r="CV119" s="52"/>
      <c r="CW119" s="52">
        <v>1754258</v>
      </c>
      <c r="CX119" s="52">
        <v>1567150</v>
      </c>
      <c r="CY119" s="52">
        <v>1213925</v>
      </c>
      <c r="CZ119" s="52">
        <v>596155</v>
      </c>
      <c r="DA119" s="52">
        <v>4360147</v>
      </c>
      <c r="DB119" s="52">
        <v>1184550</v>
      </c>
      <c r="DC119" s="52"/>
      <c r="DD119" s="52">
        <v>202377</v>
      </c>
      <c r="DE119" s="52">
        <v>131953935</v>
      </c>
      <c r="DF119" s="52">
        <v>202377</v>
      </c>
      <c r="DG119" s="52">
        <v>132156312</v>
      </c>
      <c r="DH119" s="52"/>
    </row>
    <row r="120" spans="1:112">
      <c r="A120" s="150" t="s">
        <v>411</v>
      </c>
      <c r="B120" s="44">
        <v>3324</v>
      </c>
      <c r="C120" s="44" t="s">
        <v>167</v>
      </c>
      <c r="D120" s="52">
        <v>19020</v>
      </c>
      <c r="E120" s="52">
        <v>141201</v>
      </c>
      <c r="F120" s="52"/>
      <c r="G120" s="52"/>
      <c r="H120" s="56">
        <v>4863</v>
      </c>
      <c r="I120" s="56">
        <v>547</v>
      </c>
      <c r="J120" s="56">
        <v>68309</v>
      </c>
      <c r="K120" s="56">
        <v>1828</v>
      </c>
      <c r="L120" s="52">
        <v>97171</v>
      </c>
      <c r="M120" s="52"/>
      <c r="N120" s="52"/>
      <c r="O120" s="52"/>
      <c r="P120" s="52"/>
      <c r="Q120" s="52">
        <v>5291</v>
      </c>
      <c r="R120" s="52">
        <v>8933</v>
      </c>
      <c r="S120" s="52">
        <v>5249</v>
      </c>
      <c r="T120" s="52"/>
      <c r="U120" s="52">
        <v>4198</v>
      </c>
      <c r="V120" s="52"/>
      <c r="W120" s="52">
        <v>389461</v>
      </c>
      <c r="X120" s="52">
        <v>7104</v>
      </c>
      <c r="Y120" s="52">
        <v>143142</v>
      </c>
      <c r="Z120" s="52">
        <v>14071</v>
      </c>
      <c r="AA120" s="52">
        <v>52315</v>
      </c>
      <c r="AB120" s="52">
        <v>35746</v>
      </c>
      <c r="AC120" s="52"/>
      <c r="AD120" s="52">
        <v>10108</v>
      </c>
      <c r="AE120" s="52"/>
      <c r="AF120" s="52"/>
      <c r="AG120" s="52">
        <v>56698</v>
      </c>
      <c r="AH120" s="52">
        <v>168356</v>
      </c>
      <c r="AI120" s="52"/>
      <c r="AJ120" s="52"/>
      <c r="AK120" s="52">
        <v>15543</v>
      </c>
      <c r="AL120" s="52">
        <v>5396</v>
      </c>
      <c r="AM120" s="52"/>
      <c r="AN120" s="52">
        <v>46638</v>
      </c>
      <c r="AO120" s="52">
        <v>4435</v>
      </c>
      <c r="AP120" s="52"/>
      <c r="AQ120" s="52">
        <v>15054</v>
      </c>
      <c r="AR120" s="52">
        <v>34166</v>
      </c>
      <c r="AS120" s="52">
        <v>53422</v>
      </c>
      <c r="AT120" s="52">
        <v>10504</v>
      </c>
      <c r="AU120" s="52">
        <v>8013</v>
      </c>
      <c r="AV120" s="52">
        <v>12371</v>
      </c>
      <c r="AW120" s="52">
        <v>5342</v>
      </c>
      <c r="AX120" s="52">
        <v>24767</v>
      </c>
      <c r="AY120" s="101">
        <v>185498</v>
      </c>
      <c r="AZ120" s="52">
        <v>38548</v>
      </c>
      <c r="BA120" s="52"/>
      <c r="BB120" s="52">
        <v>6564</v>
      </c>
      <c r="BC120" s="52"/>
      <c r="BD120" s="52">
        <v>5266</v>
      </c>
      <c r="BE120" s="52"/>
      <c r="BF120" s="52">
        <v>159179</v>
      </c>
      <c r="BG120" s="52">
        <v>12472</v>
      </c>
      <c r="BH120" s="52">
        <v>98576</v>
      </c>
      <c r="BI120" s="52">
        <v>118598</v>
      </c>
      <c r="BJ120" s="52">
        <v>33955</v>
      </c>
      <c r="BK120" s="52">
        <v>20235</v>
      </c>
      <c r="BL120" s="52">
        <v>6044</v>
      </c>
      <c r="BM120" s="52">
        <v>169555</v>
      </c>
      <c r="BN120" s="52">
        <v>25750</v>
      </c>
      <c r="BO120" s="52">
        <v>27261</v>
      </c>
      <c r="BP120" s="52">
        <v>10176</v>
      </c>
      <c r="BQ120" s="52">
        <v>86380</v>
      </c>
      <c r="BR120" s="52">
        <v>3287</v>
      </c>
      <c r="BS120" s="52"/>
      <c r="BT120" s="52">
        <v>20689</v>
      </c>
      <c r="BU120" s="52">
        <v>10346</v>
      </c>
      <c r="BV120" s="52">
        <v>15597</v>
      </c>
      <c r="BW120" s="52"/>
      <c r="BX120" s="52">
        <v>19734</v>
      </c>
      <c r="BY120" s="52">
        <v>30344</v>
      </c>
      <c r="BZ120" s="52">
        <v>61635</v>
      </c>
      <c r="CA120" s="52"/>
      <c r="CB120" s="52"/>
      <c r="CC120" s="52">
        <v>34527</v>
      </c>
      <c r="CD120" s="52">
        <v>42324</v>
      </c>
      <c r="CE120" s="52"/>
      <c r="CF120" s="52">
        <v>110732</v>
      </c>
      <c r="CG120" s="52">
        <v>305611</v>
      </c>
      <c r="CH120" s="52">
        <v>257254</v>
      </c>
      <c r="CI120" s="52">
        <v>7737</v>
      </c>
      <c r="CJ120" s="52">
        <v>39325</v>
      </c>
      <c r="CK120" s="52">
        <v>99722</v>
      </c>
      <c r="CL120" s="52">
        <v>40139</v>
      </c>
      <c r="CM120" s="52">
        <v>24538</v>
      </c>
      <c r="CN120" s="52">
        <v>34858</v>
      </c>
      <c r="CO120" s="52">
        <v>84748</v>
      </c>
      <c r="CP120" s="52">
        <v>42142</v>
      </c>
      <c r="CQ120" s="52"/>
      <c r="CR120" s="52"/>
      <c r="CS120" s="52"/>
      <c r="CT120" s="52">
        <v>60947</v>
      </c>
      <c r="CU120" s="52">
        <v>73226</v>
      </c>
      <c r="CV120" s="52"/>
      <c r="CW120" s="52">
        <v>70086</v>
      </c>
      <c r="CX120" s="52">
        <v>2518</v>
      </c>
      <c r="CY120" s="52">
        <v>9861</v>
      </c>
      <c r="CZ120" s="52">
        <v>15470</v>
      </c>
      <c r="DA120" s="52">
        <v>134769</v>
      </c>
      <c r="DB120" s="52">
        <v>67468</v>
      </c>
      <c r="DC120" s="52"/>
      <c r="DD120" s="52"/>
      <c r="DE120" s="52">
        <v>4192953</v>
      </c>
      <c r="DF120" s="52"/>
      <c r="DG120" s="52">
        <v>4192953</v>
      </c>
      <c r="DH120" s="52"/>
    </row>
    <row r="121" spans="1:112">
      <c r="A121" s="150" t="s">
        <v>411</v>
      </c>
      <c r="B121" s="44">
        <v>3325</v>
      </c>
      <c r="C121" s="44" t="s">
        <v>168</v>
      </c>
      <c r="D121" s="52">
        <v>19508</v>
      </c>
      <c r="E121" s="52">
        <v>89919</v>
      </c>
      <c r="F121" s="52">
        <v>9901</v>
      </c>
      <c r="G121" s="52"/>
      <c r="H121" s="56">
        <v>4863</v>
      </c>
      <c r="I121" s="56">
        <v>34542</v>
      </c>
      <c r="J121" s="56">
        <v>16644</v>
      </c>
      <c r="K121" s="56">
        <v>5297</v>
      </c>
      <c r="L121" s="52">
        <v>59100</v>
      </c>
      <c r="M121" s="52"/>
      <c r="N121" s="52"/>
      <c r="O121" s="52">
        <v>5320</v>
      </c>
      <c r="P121" s="52">
        <v>5058</v>
      </c>
      <c r="Q121" s="52"/>
      <c r="R121" s="52"/>
      <c r="S121" s="52">
        <v>13122</v>
      </c>
      <c r="T121" s="52"/>
      <c r="U121" s="52">
        <v>1542</v>
      </c>
      <c r="V121" s="52"/>
      <c r="W121" s="52">
        <v>106925</v>
      </c>
      <c r="X121" s="52">
        <v>3334</v>
      </c>
      <c r="Y121" s="52">
        <v>50363</v>
      </c>
      <c r="Z121" s="52">
        <v>34614</v>
      </c>
      <c r="AA121" s="52">
        <v>32406</v>
      </c>
      <c r="AB121" s="52">
        <v>5020</v>
      </c>
      <c r="AC121" s="52">
        <v>3960</v>
      </c>
      <c r="AD121" s="52">
        <v>10108</v>
      </c>
      <c r="AE121" s="52">
        <v>5612</v>
      </c>
      <c r="AF121" s="52"/>
      <c r="AG121" s="52">
        <v>49508</v>
      </c>
      <c r="AH121" s="52">
        <v>51911</v>
      </c>
      <c r="AI121" s="52"/>
      <c r="AJ121" s="52">
        <v>10698</v>
      </c>
      <c r="AK121" s="52">
        <v>5181</v>
      </c>
      <c r="AL121" s="52">
        <v>5396</v>
      </c>
      <c r="AM121" s="52"/>
      <c r="AN121" s="52">
        <v>16539</v>
      </c>
      <c r="AO121" s="52">
        <v>12418</v>
      </c>
      <c r="AP121" s="52"/>
      <c r="AQ121" s="52">
        <v>30109</v>
      </c>
      <c r="AR121" s="52">
        <v>29041</v>
      </c>
      <c r="AS121" s="52">
        <v>76279</v>
      </c>
      <c r="AT121" s="52"/>
      <c r="AU121" s="52">
        <v>19150</v>
      </c>
      <c r="AV121" s="52"/>
      <c r="AW121" s="52"/>
      <c r="AX121" s="52">
        <v>17646</v>
      </c>
      <c r="AY121" s="101">
        <v>55974</v>
      </c>
      <c r="AZ121" s="52">
        <v>4628</v>
      </c>
      <c r="BA121" s="52">
        <v>5136</v>
      </c>
      <c r="BB121" s="52">
        <v>2757</v>
      </c>
      <c r="BC121" s="52"/>
      <c r="BD121" s="52">
        <v>1106</v>
      </c>
      <c r="BE121" s="52"/>
      <c r="BF121" s="52">
        <v>88254</v>
      </c>
      <c r="BG121" s="52">
        <v>3991</v>
      </c>
      <c r="BH121" s="52">
        <v>45085</v>
      </c>
      <c r="BI121" s="52">
        <v>81561</v>
      </c>
      <c r="BJ121" s="52">
        <v>9914</v>
      </c>
      <c r="BK121" s="52">
        <v>6222</v>
      </c>
      <c r="BL121" s="52"/>
      <c r="BM121" s="52">
        <v>122258</v>
      </c>
      <c r="BN121" s="52">
        <v>28747</v>
      </c>
      <c r="BO121" s="52">
        <v>9175</v>
      </c>
      <c r="BP121" s="52">
        <v>16413</v>
      </c>
      <c r="BQ121" s="52">
        <v>71024</v>
      </c>
      <c r="BR121" s="52"/>
      <c r="BS121" s="52"/>
      <c r="BT121" s="52">
        <v>20482</v>
      </c>
      <c r="BU121" s="52">
        <v>828</v>
      </c>
      <c r="BV121" s="52">
        <v>1716</v>
      </c>
      <c r="BW121" s="52"/>
      <c r="BX121" s="52">
        <v>5112</v>
      </c>
      <c r="BY121" s="52">
        <v>12723</v>
      </c>
      <c r="BZ121" s="52">
        <v>67549</v>
      </c>
      <c r="CA121" s="52"/>
      <c r="CB121" s="52">
        <v>4762</v>
      </c>
      <c r="CC121" s="52">
        <v>5489</v>
      </c>
      <c r="CD121" s="52">
        <v>9112</v>
      </c>
      <c r="CE121" s="52"/>
      <c r="CF121" s="52">
        <v>70400</v>
      </c>
      <c r="CG121" s="52">
        <v>79984</v>
      </c>
      <c r="CH121" s="52">
        <v>118811</v>
      </c>
      <c r="CI121" s="52">
        <v>9732</v>
      </c>
      <c r="CJ121" s="52">
        <v>2556</v>
      </c>
      <c r="CK121" s="52">
        <v>17312</v>
      </c>
      <c r="CL121" s="52">
        <v>1439</v>
      </c>
      <c r="CM121" s="52">
        <v>8953</v>
      </c>
      <c r="CN121" s="52">
        <v>5558</v>
      </c>
      <c r="CO121" s="52">
        <v>17582</v>
      </c>
      <c r="CP121" s="52">
        <v>5847</v>
      </c>
      <c r="CQ121" s="52"/>
      <c r="CR121" s="52"/>
      <c r="CS121" s="52"/>
      <c r="CT121" s="52">
        <v>9577</v>
      </c>
      <c r="CU121" s="52">
        <v>24856</v>
      </c>
      <c r="CV121" s="52"/>
      <c r="CW121" s="52">
        <v>8488</v>
      </c>
      <c r="CX121" s="52">
        <v>11631</v>
      </c>
      <c r="CY121" s="52">
        <v>7299</v>
      </c>
      <c r="CZ121" s="52">
        <v>8817</v>
      </c>
      <c r="DA121" s="52">
        <v>87687</v>
      </c>
      <c r="DB121" s="52">
        <v>18296</v>
      </c>
      <c r="DC121" s="52"/>
      <c r="DD121" s="52"/>
      <c r="DE121" s="52">
        <v>2035877</v>
      </c>
      <c r="DF121" s="52"/>
      <c r="DG121" s="52">
        <v>2035877</v>
      </c>
      <c r="DH121" s="52"/>
    </row>
    <row r="122" spans="1:112">
      <c r="A122" s="150" t="s">
        <v>411</v>
      </c>
      <c r="B122" s="44">
        <v>3326</v>
      </c>
      <c r="C122" s="44" t="s">
        <v>169</v>
      </c>
      <c r="D122" s="52">
        <v>7743</v>
      </c>
      <c r="E122" s="52">
        <v>100266</v>
      </c>
      <c r="F122" s="52">
        <v>4930</v>
      </c>
      <c r="G122" s="52"/>
      <c r="H122" s="56">
        <v>69479</v>
      </c>
      <c r="I122" s="56">
        <v>28418</v>
      </c>
      <c r="J122" s="56">
        <v>3932</v>
      </c>
      <c r="K122" s="56">
        <v>22180</v>
      </c>
      <c r="L122" s="52">
        <v>84651</v>
      </c>
      <c r="M122" s="52"/>
      <c r="N122" s="52"/>
      <c r="O122" s="52">
        <v>8446</v>
      </c>
      <c r="P122" s="52">
        <v>11964</v>
      </c>
      <c r="Q122" s="52"/>
      <c r="R122" s="52">
        <v>1531</v>
      </c>
      <c r="S122" s="52">
        <v>29413</v>
      </c>
      <c r="T122" s="52"/>
      <c r="U122" s="52">
        <v>3739</v>
      </c>
      <c r="V122" s="52"/>
      <c r="W122" s="52">
        <v>154516</v>
      </c>
      <c r="X122" s="52">
        <v>7001</v>
      </c>
      <c r="Y122" s="52">
        <v>159840</v>
      </c>
      <c r="Z122" s="52">
        <v>23902</v>
      </c>
      <c r="AA122" s="52">
        <v>32383</v>
      </c>
      <c r="AB122" s="52">
        <v>46227</v>
      </c>
      <c r="AC122" s="52">
        <v>6359</v>
      </c>
      <c r="AD122" s="52"/>
      <c r="AE122" s="52">
        <v>3712</v>
      </c>
      <c r="AF122" s="52"/>
      <c r="AG122" s="52">
        <v>28719</v>
      </c>
      <c r="AH122" s="52">
        <v>33850</v>
      </c>
      <c r="AI122" s="52"/>
      <c r="AJ122" s="52">
        <v>6794</v>
      </c>
      <c r="AK122" s="52"/>
      <c r="AL122" s="52">
        <v>21118</v>
      </c>
      <c r="AM122" s="52"/>
      <c r="AN122" s="52">
        <v>86063</v>
      </c>
      <c r="AO122" s="52">
        <v>9540</v>
      </c>
      <c r="AP122" s="52"/>
      <c r="AQ122" s="52">
        <v>3983</v>
      </c>
      <c r="AR122" s="52">
        <v>16272</v>
      </c>
      <c r="AS122" s="52">
        <v>163753</v>
      </c>
      <c r="AT122" s="52">
        <v>4169</v>
      </c>
      <c r="AU122" s="52">
        <v>19001</v>
      </c>
      <c r="AV122" s="52">
        <v>6205</v>
      </c>
      <c r="AW122" s="52">
        <v>8184</v>
      </c>
      <c r="AX122" s="52">
        <v>27768</v>
      </c>
      <c r="AY122" s="101">
        <v>348788</v>
      </c>
      <c r="AZ122" s="52">
        <v>58626</v>
      </c>
      <c r="BA122" s="52">
        <v>11701</v>
      </c>
      <c r="BB122" s="52">
        <v>3465</v>
      </c>
      <c r="BC122" s="52"/>
      <c r="BD122" s="52">
        <v>19646</v>
      </c>
      <c r="BE122" s="52"/>
      <c r="BF122" s="52">
        <v>129533</v>
      </c>
      <c r="BG122" s="52">
        <v>9042</v>
      </c>
      <c r="BH122" s="52">
        <v>42422</v>
      </c>
      <c r="BI122" s="52">
        <v>81185</v>
      </c>
      <c r="BJ122" s="52">
        <v>42456</v>
      </c>
      <c r="BK122" s="52">
        <v>16062</v>
      </c>
      <c r="BL122" s="52">
        <v>10806</v>
      </c>
      <c r="BM122" s="52">
        <v>78328</v>
      </c>
      <c r="BN122" s="52">
        <v>28718</v>
      </c>
      <c r="BO122" s="52">
        <v>3816</v>
      </c>
      <c r="BP122" s="52">
        <v>31094</v>
      </c>
      <c r="BQ122" s="52">
        <v>68422</v>
      </c>
      <c r="BR122" s="52">
        <v>2609</v>
      </c>
      <c r="BS122" s="52"/>
      <c r="BT122" s="52">
        <v>19378</v>
      </c>
      <c r="BU122" s="52">
        <v>12740</v>
      </c>
      <c r="BV122" s="52"/>
      <c r="BW122" s="52"/>
      <c r="BX122" s="52">
        <v>12173</v>
      </c>
      <c r="BY122" s="52">
        <v>12157</v>
      </c>
      <c r="BZ122" s="52">
        <v>51610</v>
      </c>
      <c r="CA122" s="52"/>
      <c r="CB122" s="52"/>
      <c r="CC122" s="52">
        <v>11667</v>
      </c>
      <c r="CD122" s="52">
        <v>15189</v>
      </c>
      <c r="CE122" s="52"/>
      <c r="CF122" s="52">
        <v>115444</v>
      </c>
      <c r="CG122" s="52">
        <v>109983</v>
      </c>
      <c r="CH122" s="52">
        <v>102792</v>
      </c>
      <c r="CI122" s="52">
        <v>3863</v>
      </c>
      <c r="CJ122" s="52">
        <v>8038</v>
      </c>
      <c r="CK122" s="52">
        <v>36580</v>
      </c>
      <c r="CL122" s="52">
        <v>19820</v>
      </c>
      <c r="CM122" s="52">
        <v>3850</v>
      </c>
      <c r="CN122" s="52">
        <v>12391</v>
      </c>
      <c r="CO122" s="52">
        <v>29064</v>
      </c>
      <c r="CP122" s="52">
        <v>67727</v>
      </c>
      <c r="CQ122" s="52"/>
      <c r="CR122" s="52"/>
      <c r="CS122" s="52"/>
      <c r="CT122" s="52">
        <v>31995</v>
      </c>
      <c r="CU122" s="52">
        <v>61992</v>
      </c>
      <c r="CV122" s="52"/>
      <c r="CW122" s="52">
        <v>24206</v>
      </c>
      <c r="CX122" s="52">
        <v>15188</v>
      </c>
      <c r="CY122" s="52">
        <v>11888</v>
      </c>
      <c r="CZ122" s="52">
        <v>27754</v>
      </c>
      <c r="DA122" s="52">
        <v>83224</v>
      </c>
      <c r="DB122" s="52">
        <v>44296</v>
      </c>
      <c r="DC122" s="52"/>
      <c r="DD122" s="52">
        <v>6413</v>
      </c>
      <c r="DE122" s="52">
        <v>3177779</v>
      </c>
      <c r="DF122" s="52">
        <v>6413</v>
      </c>
      <c r="DG122" s="52">
        <v>3184192</v>
      </c>
      <c r="DH122" s="52"/>
    </row>
    <row r="123" spans="1:112">
      <c r="A123" s="150" t="s">
        <v>411</v>
      </c>
      <c r="B123" s="44">
        <v>3327</v>
      </c>
      <c r="C123" s="44" t="s">
        <v>170</v>
      </c>
      <c r="D123" s="52">
        <v>1738823</v>
      </c>
      <c r="E123" s="52">
        <v>8850300</v>
      </c>
      <c r="F123" s="52">
        <v>332186</v>
      </c>
      <c r="G123" s="52"/>
      <c r="H123" s="56">
        <v>3683326</v>
      </c>
      <c r="I123" s="56">
        <v>1874706</v>
      </c>
      <c r="J123" s="56">
        <v>1160970</v>
      </c>
      <c r="K123" s="56">
        <v>929787</v>
      </c>
      <c r="L123" s="52">
        <v>2789996</v>
      </c>
      <c r="M123" s="52"/>
      <c r="N123" s="52"/>
      <c r="O123" s="52">
        <v>673041</v>
      </c>
      <c r="P123" s="52">
        <v>480557</v>
      </c>
      <c r="Q123" s="52">
        <v>471106</v>
      </c>
      <c r="R123" s="52">
        <v>451219</v>
      </c>
      <c r="S123" s="52">
        <v>1364312</v>
      </c>
      <c r="T123" s="52"/>
      <c r="U123" s="52">
        <v>228058</v>
      </c>
      <c r="V123" s="52"/>
      <c r="W123" s="52">
        <v>8031495</v>
      </c>
      <c r="X123" s="52">
        <v>580598</v>
      </c>
      <c r="Y123" s="52">
        <v>5541189</v>
      </c>
      <c r="Z123" s="52">
        <v>3293378</v>
      </c>
      <c r="AA123" s="52">
        <v>1598969</v>
      </c>
      <c r="AB123" s="52">
        <v>4205429</v>
      </c>
      <c r="AC123" s="52">
        <v>311883</v>
      </c>
      <c r="AD123" s="52">
        <v>1642046</v>
      </c>
      <c r="AE123" s="52">
        <v>585805</v>
      </c>
      <c r="AF123" s="52"/>
      <c r="AG123" s="52">
        <v>1657710</v>
      </c>
      <c r="AH123" s="52">
        <v>3850262</v>
      </c>
      <c r="AI123" s="52"/>
      <c r="AJ123" s="52">
        <v>211708</v>
      </c>
      <c r="AK123" s="52">
        <v>770550</v>
      </c>
      <c r="AL123" s="52">
        <v>766418</v>
      </c>
      <c r="AM123" s="52"/>
      <c r="AN123" s="52">
        <v>7987371</v>
      </c>
      <c r="AO123" s="52">
        <v>636313</v>
      </c>
      <c r="AP123" s="52"/>
      <c r="AQ123" s="52">
        <v>1403288</v>
      </c>
      <c r="AR123" s="52">
        <v>659249</v>
      </c>
      <c r="AS123" s="52">
        <v>4633296</v>
      </c>
      <c r="AT123" s="52">
        <v>691172</v>
      </c>
      <c r="AU123" s="52">
        <v>1276378</v>
      </c>
      <c r="AV123" s="52">
        <v>316721</v>
      </c>
      <c r="AW123" s="52">
        <v>456732</v>
      </c>
      <c r="AX123" s="52">
        <v>2407573</v>
      </c>
      <c r="AY123" s="101">
        <v>16970007</v>
      </c>
      <c r="AZ123" s="52">
        <v>2179197</v>
      </c>
      <c r="BA123" s="52">
        <v>584347</v>
      </c>
      <c r="BB123" s="52">
        <v>553084</v>
      </c>
      <c r="BC123" s="52"/>
      <c r="BD123" s="52">
        <v>1582028</v>
      </c>
      <c r="BE123" s="52">
        <v>758072</v>
      </c>
      <c r="BF123" s="52">
        <v>5991248</v>
      </c>
      <c r="BG123" s="52">
        <v>1282531</v>
      </c>
      <c r="BH123" s="52">
        <v>3339646</v>
      </c>
      <c r="BI123" s="52">
        <v>2023291</v>
      </c>
      <c r="BJ123" s="52">
        <v>2487283</v>
      </c>
      <c r="BK123" s="52">
        <v>730072</v>
      </c>
      <c r="BL123" s="52">
        <v>1279900</v>
      </c>
      <c r="BM123" s="52">
        <v>7158241</v>
      </c>
      <c r="BN123" s="52">
        <v>3253912</v>
      </c>
      <c r="BO123" s="52">
        <v>723437</v>
      </c>
      <c r="BP123" s="52">
        <v>1253672</v>
      </c>
      <c r="BQ123" s="52">
        <v>7551785</v>
      </c>
      <c r="BR123" s="52">
        <v>215168</v>
      </c>
      <c r="BS123" s="52"/>
      <c r="BT123" s="52">
        <v>741454</v>
      </c>
      <c r="BU123" s="52">
        <v>697699</v>
      </c>
      <c r="BV123" s="52">
        <v>341004</v>
      </c>
      <c r="BW123" s="52"/>
      <c r="BX123" s="52">
        <v>2325753</v>
      </c>
      <c r="BY123" s="52">
        <v>1803042</v>
      </c>
      <c r="BZ123" s="52">
        <v>2733665</v>
      </c>
      <c r="CA123" s="52"/>
      <c r="CB123" s="52">
        <v>1504283</v>
      </c>
      <c r="CC123" s="52">
        <v>1852935</v>
      </c>
      <c r="CD123" s="52">
        <v>2572701</v>
      </c>
      <c r="CE123" s="52"/>
      <c r="CF123" s="52">
        <v>4755267</v>
      </c>
      <c r="CG123" s="52">
        <v>7223280</v>
      </c>
      <c r="CH123" s="52">
        <v>8253692</v>
      </c>
      <c r="CI123" s="52">
        <v>644131</v>
      </c>
      <c r="CJ123" s="52">
        <v>2412280</v>
      </c>
      <c r="CK123" s="52">
        <v>3645145</v>
      </c>
      <c r="CL123" s="52">
        <v>787304</v>
      </c>
      <c r="CM123" s="52">
        <v>1017804</v>
      </c>
      <c r="CN123" s="52">
        <v>1410956</v>
      </c>
      <c r="CO123" s="52">
        <v>2285702</v>
      </c>
      <c r="CP123" s="52">
        <v>1871882</v>
      </c>
      <c r="CQ123" s="52"/>
      <c r="CR123" s="52"/>
      <c r="CS123" s="52"/>
      <c r="CT123" s="52">
        <v>4209370</v>
      </c>
      <c r="CU123" s="52">
        <v>2309583</v>
      </c>
      <c r="CV123" s="52"/>
      <c r="CW123" s="52">
        <v>2052428</v>
      </c>
      <c r="CX123" s="52">
        <v>2821746</v>
      </c>
      <c r="CY123" s="52">
        <v>2649094</v>
      </c>
      <c r="CZ123" s="52">
        <v>2008645</v>
      </c>
      <c r="DA123" s="52">
        <v>4330791</v>
      </c>
      <c r="DB123" s="52">
        <v>3635178</v>
      </c>
      <c r="DC123" s="52"/>
      <c r="DD123" s="52">
        <v>262122</v>
      </c>
      <c r="DE123" s="52">
        <v>211357655</v>
      </c>
      <c r="DF123" s="52">
        <v>262122</v>
      </c>
      <c r="DG123" s="52">
        <v>211619777</v>
      </c>
      <c r="DH123" s="52"/>
    </row>
    <row r="124" spans="1:112">
      <c r="A124" s="150" t="s">
        <v>411</v>
      </c>
      <c r="B124" s="44">
        <v>3331</v>
      </c>
      <c r="C124" s="44" t="s">
        <v>172</v>
      </c>
      <c r="D124" s="52">
        <v>25421</v>
      </c>
      <c r="E124" s="52">
        <v>443481</v>
      </c>
      <c r="F124" s="52">
        <v>38212</v>
      </c>
      <c r="G124" s="52"/>
      <c r="H124" s="56">
        <v>90448</v>
      </c>
      <c r="I124" s="56">
        <v>35247</v>
      </c>
      <c r="J124" s="56">
        <v>48693</v>
      </c>
      <c r="K124" s="56">
        <v>8245</v>
      </c>
      <c r="L124" s="52">
        <v>102247</v>
      </c>
      <c r="M124" s="52"/>
      <c r="N124" s="52"/>
      <c r="O124" s="52">
        <v>21280</v>
      </c>
      <c r="P124" s="52">
        <v>14566</v>
      </c>
      <c r="Q124" s="52">
        <v>12451</v>
      </c>
      <c r="R124" s="52">
        <v>19541</v>
      </c>
      <c r="S124" s="52">
        <v>29970</v>
      </c>
      <c r="T124" s="52"/>
      <c r="U124" s="52">
        <v>7229</v>
      </c>
      <c r="V124" s="52"/>
      <c r="W124" s="52">
        <v>424992</v>
      </c>
      <c r="X124" s="52">
        <v>22377</v>
      </c>
      <c r="Y124" s="52">
        <v>361151</v>
      </c>
      <c r="Z124" s="52">
        <v>110457</v>
      </c>
      <c r="AA124" s="52">
        <v>56154</v>
      </c>
      <c r="AB124" s="52">
        <v>113463</v>
      </c>
      <c r="AC124" s="52">
        <v>3434</v>
      </c>
      <c r="AD124" s="52">
        <v>98405</v>
      </c>
      <c r="AE124" s="52">
        <v>27329</v>
      </c>
      <c r="AF124" s="52"/>
      <c r="AG124" s="52">
        <v>118480</v>
      </c>
      <c r="AH124" s="52">
        <v>187551</v>
      </c>
      <c r="AI124" s="52"/>
      <c r="AJ124" s="52">
        <v>26745</v>
      </c>
      <c r="AK124" s="52">
        <v>70824</v>
      </c>
      <c r="AL124" s="52">
        <v>27629</v>
      </c>
      <c r="AM124" s="52"/>
      <c r="AN124" s="52">
        <v>518149</v>
      </c>
      <c r="AO124" s="52">
        <v>30999</v>
      </c>
      <c r="AP124" s="52"/>
      <c r="AQ124" s="52">
        <v>35127</v>
      </c>
      <c r="AR124" s="52">
        <v>17186</v>
      </c>
      <c r="AS124" s="52">
        <v>275633</v>
      </c>
      <c r="AT124" s="52">
        <v>38814</v>
      </c>
      <c r="AU124" s="52">
        <v>60777</v>
      </c>
      <c r="AV124" s="52">
        <v>18744</v>
      </c>
      <c r="AW124" s="52">
        <v>20942</v>
      </c>
      <c r="AX124" s="52">
        <v>82411</v>
      </c>
      <c r="AY124" s="101">
        <v>905995</v>
      </c>
      <c r="AZ124" s="52">
        <v>85611</v>
      </c>
      <c r="BA124" s="52">
        <v>2465</v>
      </c>
      <c r="BB124" s="52">
        <v>3282</v>
      </c>
      <c r="BC124" s="52"/>
      <c r="BD124" s="52">
        <v>36703</v>
      </c>
      <c r="BE124" s="52"/>
      <c r="BF124" s="52">
        <v>341269</v>
      </c>
      <c r="BG124" s="52">
        <v>40243</v>
      </c>
      <c r="BH124" s="52">
        <v>223754</v>
      </c>
      <c r="BI124" s="52">
        <v>155105</v>
      </c>
      <c r="BJ124" s="52">
        <v>51652</v>
      </c>
      <c r="BK124" s="52">
        <v>27519</v>
      </c>
      <c r="BL124" s="52">
        <v>72370</v>
      </c>
      <c r="BM124" s="52">
        <v>288550</v>
      </c>
      <c r="BN124" s="52">
        <v>162052</v>
      </c>
      <c r="BO124" s="52">
        <v>11346</v>
      </c>
      <c r="BP124" s="52">
        <v>49238</v>
      </c>
      <c r="BQ124" s="52">
        <v>334105</v>
      </c>
      <c r="BR124" s="52"/>
      <c r="BS124" s="52"/>
      <c r="BT124" s="52">
        <v>111304</v>
      </c>
      <c r="BU124" s="52">
        <v>21984</v>
      </c>
      <c r="BV124" s="52">
        <v>10398</v>
      </c>
      <c r="BW124" s="52"/>
      <c r="BX124" s="52">
        <v>56129</v>
      </c>
      <c r="BY124" s="52">
        <v>76820</v>
      </c>
      <c r="BZ124" s="52">
        <v>79409</v>
      </c>
      <c r="CA124" s="52"/>
      <c r="CB124" s="52">
        <v>12667</v>
      </c>
      <c r="CC124" s="52">
        <v>45872</v>
      </c>
      <c r="CD124" s="52">
        <v>58771</v>
      </c>
      <c r="CE124" s="52"/>
      <c r="CF124" s="52">
        <v>133688</v>
      </c>
      <c r="CG124" s="52">
        <v>543387</v>
      </c>
      <c r="CH124" s="52">
        <v>703048</v>
      </c>
      <c r="CI124" s="52">
        <v>19465</v>
      </c>
      <c r="CJ124" s="52">
        <v>10814</v>
      </c>
      <c r="CK124" s="52">
        <v>52938</v>
      </c>
      <c r="CL124" s="52">
        <v>13937</v>
      </c>
      <c r="CM124" s="52">
        <v>40125</v>
      </c>
      <c r="CN124" s="52">
        <v>70330</v>
      </c>
      <c r="CO124" s="52">
        <v>42506</v>
      </c>
      <c r="CP124" s="52">
        <v>191478</v>
      </c>
      <c r="CQ124" s="52"/>
      <c r="CR124" s="52"/>
      <c r="CS124" s="52"/>
      <c r="CT124" s="52">
        <v>87579</v>
      </c>
      <c r="CU124" s="52">
        <v>137852</v>
      </c>
      <c r="CV124" s="52"/>
      <c r="CW124" s="52">
        <v>70036</v>
      </c>
      <c r="CX124" s="52">
        <v>87309</v>
      </c>
      <c r="CY124" s="52">
        <v>45578</v>
      </c>
      <c r="CZ124" s="52">
        <v>27260</v>
      </c>
      <c r="DA124" s="52">
        <v>224121</v>
      </c>
      <c r="DB124" s="52">
        <v>143856</v>
      </c>
      <c r="DC124" s="52"/>
      <c r="DD124" s="52"/>
      <c r="DE124" s="52">
        <v>9554724</v>
      </c>
      <c r="DF124" s="52"/>
      <c r="DG124" s="52">
        <v>9554724</v>
      </c>
      <c r="DH124" s="52"/>
    </row>
    <row r="125" spans="1:112">
      <c r="A125" s="150" t="s">
        <v>411</v>
      </c>
      <c r="B125" s="44">
        <v>3399</v>
      </c>
      <c r="C125" s="44" t="s">
        <v>173</v>
      </c>
      <c r="D125" s="52"/>
      <c r="E125" s="52"/>
      <c r="F125" s="52"/>
      <c r="G125" s="52"/>
      <c r="H125" s="56"/>
      <c r="I125" s="56"/>
      <c r="J125" s="56"/>
      <c r="K125" s="56"/>
      <c r="L125" s="52"/>
      <c r="M125" s="52"/>
      <c r="N125" s="52"/>
      <c r="O125" s="52"/>
      <c r="P125" s="52"/>
      <c r="Q125" s="52"/>
      <c r="R125" s="52"/>
      <c r="S125" s="52"/>
      <c r="T125" s="52"/>
      <c r="U125" s="52"/>
      <c r="V125" s="52"/>
      <c r="W125" s="52"/>
      <c r="X125" s="52"/>
      <c r="Y125" s="52"/>
      <c r="Z125" s="52"/>
      <c r="AA125" s="52">
        <v>27287</v>
      </c>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101">
        <v>575541</v>
      </c>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v>25176</v>
      </c>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v>3168294</v>
      </c>
      <c r="DD125" s="52"/>
      <c r="DE125" s="52">
        <v>628004</v>
      </c>
      <c r="DF125" s="52">
        <v>3168294</v>
      </c>
      <c r="DG125" s="52">
        <v>3796298</v>
      </c>
      <c r="DH125" s="52"/>
    </row>
    <row r="126" spans="1:112">
      <c r="A126" s="150" t="s">
        <v>411</v>
      </c>
      <c r="B126" s="44">
        <v>3501</v>
      </c>
      <c r="C126" s="44" t="s">
        <v>174</v>
      </c>
      <c r="D126" s="52">
        <v>133856</v>
      </c>
      <c r="E126" s="52">
        <v>845625</v>
      </c>
      <c r="F126" s="52">
        <v>32603</v>
      </c>
      <c r="G126" s="52"/>
      <c r="H126" s="56">
        <v>283107</v>
      </c>
      <c r="I126" s="56">
        <v>123380</v>
      </c>
      <c r="J126" s="56">
        <v>84210</v>
      </c>
      <c r="K126" s="56">
        <v>94255</v>
      </c>
      <c r="L126" s="52">
        <v>393777</v>
      </c>
      <c r="M126" s="52"/>
      <c r="N126" s="52"/>
      <c r="O126" s="52">
        <v>60743</v>
      </c>
      <c r="P126" s="52">
        <v>37944</v>
      </c>
      <c r="Q126" s="52">
        <v>37139</v>
      </c>
      <c r="R126" s="52">
        <v>35032</v>
      </c>
      <c r="S126" s="52">
        <v>95025</v>
      </c>
      <c r="T126" s="52"/>
      <c r="U126" s="52">
        <v>629943</v>
      </c>
      <c r="V126" s="52"/>
      <c r="W126" s="52">
        <v>947508</v>
      </c>
      <c r="X126" s="52">
        <v>60901</v>
      </c>
      <c r="Y126" s="52">
        <v>1469780</v>
      </c>
      <c r="Z126" s="52">
        <v>312582</v>
      </c>
      <c r="AA126" s="52">
        <v>153012</v>
      </c>
      <c r="AB126" s="52">
        <v>273245</v>
      </c>
      <c r="AC126" s="52">
        <v>82816</v>
      </c>
      <c r="AD126" s="52">
        <v>120033</v>
      </c>
      <c r="AE126" s="52">
        <v>41755</v>
      </c>
      <c r="AF126" s="52"/>
      <c r="AG126" s="52">
        <v>214602</v>
      </c>
      <c r="AH126" s="52">
        <v>383703</v>
      </c>
      <c r="AI126" s="52"/>
      <c r="AJ126" s="52">
        <v>32515</v>
      </c>
      <c r="AK126" s="52">
        <v>113176</v>
      </c>
      <c r="AL126" s="52">
        <v>47816</v>
      </c>
      <c r="AM126" s="52"/>
      <c r="AN126" s="52">
        <v>643768</v>
      </c>
      <c r="AO126" s="52">
        <v>78333</v>
      </c>
      <c r="AP126" s="52"/>
      <c r="AQ126" s="52">
        <v>163976</v>
      </c>
      <c r="AR126" s="52">
        <v>167801</v>
      </c>
      <c r="AS126" s="52">
        <v>516884</v>
      </c>
      <c r="AT126" s="52">
        <v>39994</v>
      </c>
      <c r="AU126" s="52">
        <v>91123</v>
      </c>
      <c r="AV126" s="52">
        <v>40462</v>
      </c>
      <c r="AW126" s="52">
        <v>52721</v>
      </c>
      <c r="AX126" s="52">
        <v>352125</v>
      </c>
      <c r="AY126" s="101">
        <v>1967890</v>
      </c>
      <c r="AZ126" s="52">
        <v>308013</v>
      </c>
      <c r="BA126" s="52">
        <v>37412</v>
      </c>
      <c r="BB126" s="52">
        <v>59696</v>
      </c>
      <c r="BC126" s="52"/>
      <c r="BD126" s="52">
        <v>87573</v>
      </c>
      <c r="BE126" s="52">
        <v>50225</v>
      </c>
      <c r="BF126" s="52">
        <v>1322742</v>
      </c>
      <c r="BG126" s="52">
        <v>98203</v>
      </c>
      <c r="BH126" s="52">
        <v>384903</v>
      </c>
      <c r="BI126" s="52">
        <v>387369</v>
      </c>
      <c r="BJ126" s="52">
        <v>192150</v>
      </c>
      <c r="BK126" s="52">
        <v>119805</v>
      </c>
      <c r="BL126" s="52">
        <v>87399</v>
      </c>
      <c r="BM126" s="52">
        <v>644726</v>
      </c>
      <c r="BN126" s="52">
        <v>308723</v>
      </c>
      <c r="BO126" s="52">
        <v>73431</v>
      </c>
      <c r="BP126" s="52">
        <v>113941</v>
      </c>
      <c r="BQ126" s="52">
        <v>588622</v>
      </c>
      <c r="BR126" s="52">
        <v>34866</v>
      </c>
      <c r="BS126" s="52"/>
      <c r="BT126" s="52">
        <v>102466</v>
      </c>
      <c r="BU126" s="52">
        <v>69565</v>
      </c>
      <c r="BV126" s="52">
        <v>35547</v>
      </c>
      <c r="BW126" s="52"/>
      <c r="BX126" s="52">
        <v>161184</v>
      </c>
      <c r="BY126" s="52">
        <v>190597</v>
      </c>
      <c r="BZ126" s="52">
        <v>362501</v>
      </c>
      <c r="CA126" s="52"/>
      <c r="CB126" s="52">
        <v>132626</v>
      </c>
      <c r="CC126" s="52">
        <v>146655</v>
      </c>
      <c r="CD126" s="52">
        <v>239180</v>
      </c>
      <c r="CE126" s="52"/>
      <c r="CF126" s="52">
        <v>545030</v>
      </c>
      <c r="CG126" s="52">
        <v>513196</v>
      </c>
      <c r="CH126" s="52"/>
      <c r="CI126" s="52">
        <v>65164</v>
      </c>
      <c r="CJ126" s="52">
        <v>159563</v>
      </c>
      <c r="CK126" s="52">
        <v>301841</v>
      </c>
      <c r="CL126" s="52">
        <v>104410</v>
      </c>
      <c r="CM126" s="52">
        <v>90805</v>
      </c>
      <c r="CN126" s="52">
        <v>212163</v>
      </c>
      <c r="CO126" s="52">
        <v>370900</v>
      </c>
      <c r="CP126" s="52">
        <v>285602</v>
      </c>
      <c r="CQ126" s="52"/>
      <c r="CR126" s="52"/>
      <c r="CS126" s="52"/>
      <c r="CT126" s="52">
        <v>323123</v>
      </c>
      <c r="CU126" s="52">
        <v>292088</v>
      </c>
      <c r="CV126" s="52"/>
      <c r="CW126" s="52">
        <v>167477</v>
      </c>
      <c r="CX126" s="52">
        <v>195801</v>
      </c>
      <c r="CY126" s="52">
        <v>173252</v>
      </c>
      <c r="CZ126" s="52">
        <v>182950</v>
      </c>
      <c r="DA126" s="52">
        <v>565045</v>
      </c>
      <c r="DB126" s="52">
        <v>247115</v>
      </c>
      <c r="DC126" s="52">
        <v>109142</v>
      </c>
      <c r="DD126" s="52">
        <v>97860</v>
      </c>
      <c r="DE126" s="52">
        <v>22390805</v>
      </c>
      <c r="DF126" s="52">
        <v>207002</v>
      </c>
      <c r="DG126" s="52">
        <v>22597807</v>
      </c>
      <c r="DH126" s="52"/>
    </row>
    <row r="127" spans="1:112">
      <c r="A127" s="150" t="s">
        <v>411</v>
      </c>
      <c r="B127" s="44">
        <v>3505</v>
      </c>
      <c r="C127" s="44" t="s">
        <v>175</v>
      </c>
      <c r="D127" s="52">
        <v>15816</v>
      </c>
      <c r="E127" s="52">
        <v>71814</v>
      </c>
      <c r="F127" s="52">
        <v>6110</v>
      </c>
      <c r="G127" s="52"/>
      <c r="H127" s="56">
        <v>22546</v>
      </c>
      <c r="I127" s="56">
        <v>13745</v>
      </c>
      <c r="J127" s="56">
        <v>9374</v>
      </c>
      <c r="K127" s="56">
        <v>10623</v>
      </c>
      <c r="L127" s="52">
        <v>19473</v>
      </c>
      <c r="M127" s="52"/>
      <c r="N127" s="52"/>
      <c r="O127" s="52">
        <v>8218</v>
      </c>
      <c r="P127" s="52">
        <v>7381</v>
      </c>
      <c r="Q127" s="52">
        <v>7025</v>
      </c>
      <c r="R127" s="52">
        <v>2147</v>
      </c>
      <c r="S127" s="52">
        <v>11917</v>
      </c>
      <c r="T127" s="52"/>
      <c r="U127" s="52">
        <v>50500</v>
      </c>
      <c r="V127" s="52"/>
      <c r="W127" s="52">
        <v>81944</v>
      </c>
      <c r="X127" s="52">
        <v>6642</v>
      </c>
      <c r="Y127" s="52">
        <v>119957</v>
      </c>
      <c r="Z127" s="52">
        <v>29908</v>
      </c>
      <c r="AA127" s="52">
        <v>3400</v>
      </c>
      <c r="AB127" s="52">
        <v>29735</v>
      </c>
      <c r="AC127" s="52">
        <v>7701</v>
      </c>
      <c r="AD127" s="52">
        <v>15898</v>
      </c>
      <c r="AE127" s="52">
        <v>3742</v>
      </c>
      <c r="AF127" s="52"/>
      <c r="AG127" s="52">
        <v>3487</v>
      </c>
      <c r="AH127" s="52">
        <v>3133</v>
      </c>
      <c r="AI127" s="52"/>
      <c r="AJ127" s="52">
        <v>6499</v>
      </c>
      <c r="AK127" s="52">
        <v>18871</v>
      </c>
      <c r="AL127" s="52">
        <v>8808</v>
      </c>
      <c r="AM127" s="52"/>
      <c r="AN127" s="52">
        <v>41596</v>
      </c>
      <c r="AO127" s="52">
        <v>8419</v>
      </c>
      <c r="AP127" s="52"/>
      <c r="AQ127" s="52">
        <v>3400</v>
      </c>
      <c r="AR127" s="52">
        <v>3275</v>
      </c>
      <c r="AS127" s="52">
        <v>13662</v>
      </c>
      <c r="AT127" s="52">
        <v>7290</v>
      </c>
      <c r="AU127" s="52">
        <v>3398</v>
      </c>
      <c r="AV127" s="52">
        <v>7491</v>
      </c>
      <c r="AW127" s="52">
        <v>7766</v>
      </c>
      <c r="AX127" s="52">
        <v>21366</v>
      </c>
      <c r="AY127" s="101">
        <v>20033</v>
      </c>
      <c r="AZ127" s="52">
        <v>4153</v>
      </c>
      <c r="BA127" s="52">
        <v>6973</v>
      </c>
      <c r="BB127" s="52">
        <v>3400</v>
      </c>
      <c r="BC127" s="52"/>
      <c r="BD127" s="52">
        <v>12745</v>
      </c>
      <c r="BE127" s="52">
        <v>9124</v>
      </c>
      <c r="BF127" s="52">
        <v>115174</v>
      </c>
      <c r="BG127" s="52">
        <v>31076</v>
      </c>
      <c r="BH127" s="52">
        <v>47180</v>
      </c>
      <c r="BI127" s="52">
        <v>34579</v>
      </c>
      <c r="BJ127" s="52">
        <v>21378</v>
      </c>
      <c r="BK127" s="52"/>
      <c r="BL127" s="52">
        <v>19797</v>
      </c>
      <c r="BM127" s="52">
        <v>41072</v>
      </c>
      <c r="BN127" s="52">
        <v>32569</v>
      </c>
      <c r="BO127" s="52">
        <v>10236</v>
      </c>
      <c r="BP127" s="52">
        <v>15765</v>
      </c>
      <c r="BQ127" s="52">
        <v>23293</v>
      </c>
      <c r="BR127" s="52">
        <v>11633</v>
      </c>
      <c r="BS127" s="52"/>
      <c r="BT127" s="52">
        <v>21338</v>
      </c>
      <c r="BU127" s="52">
        <v>22184</v>
      </c>
      <c r="BV127" s="52">
        <v>6699</v>
      </c>
      <c r="BW127" s="52"/>
      <c r="BX127" s="52">
        <v>23070</v>
      </c>
      <c r="BY127" s="52">
        <v>22122</v>
      </c>
      <c r="BZ127" s="52">
        <v>35440</v>
      </c>
      <c r="CA127" s="52"/>
      <c r="CB127" s="52">
        <v>23180</v>
      </c>
      <c r="CC127" s="52">
        <v>17339</v>
      </c>
      <c r="CD127" s="52">
        <v>28238</v>
      </c>
      <c r="CE127" s="52"/>
      <c r="CF127" s="52">
        <v>44444</v>
      </c>
      <c r="CG127" s="52">
        <v>71349</v>
      </c>
      <c r="CH127" s="52">
        <v>101119</v>
      </c>
      <c r="CI127" s="52">
        <v>10495</v>
      </c>
      <c r="CJ127" s="52">
        <v>30647</v>
      </c>
      <c r="CK127" s="52">
        <v>40990</v>
      </c>
      <c r="CL127" s="52">
        <v>13152</v>
      </c>
      <c r="CM127" s="52">
        <v>11684</v>
      </c>
      <c r="CN127" s="52">
        <v>2994</v>
      </c>
      <c r="CO127" s="52">
        <v>18671</v>
      </c>
      <c r="CP127" s="52">
        <v>66106</v>
      </c>
      <c r="CQ127" s="52"/>
      <c r="CR127" s="52"/>
      <c r="CS127" s="52"/>
      <c r="CT127" s="52">
        <v>48561</v>
      </c>
      <c r="CU127" s="52">
        <v>29242</v>
      </c>
      <c r="CV127" s="52"/>
      <c r="CW127" s="52">
        <v>19080</v>
      </c>
      <c r="CX127" s="52">
        <v>24924</v>
      </c>
      <c r="CY127" s="52">
        <v>17740</v>
      </c>
      <c r="CZ127" s="52">
        <v>25844</v>
      </c>
      <c r="DA127" s="52">
        <v>55951</v>
      </c>
      <c r="DB127" s="52">
        <v>13009</v>
      </c>
      <c r="DC127" s="52">
        <v>16387</v>
      </c>
      <c r="DD127" s="52"/>
      <c r="DE127" s="52">
        <v>2019869</v>
      </c>
      <c r="DF127" s="52">
        <v>16387</v>
      </c>
      <c r="DG127" s="52">
        <v>2036256</v>
      </c>
      <c r="DH127" s="52"/>
    </row>
    <row r="128" spans="1:112">
      <c r="A128" s="150" t="s">
        <v>411</v>
      </c>
      <c r="B128" s="44">
        <v>3507</v>
      </c>
      <c r="C128" s="44" t="s">
        <v>176</v>
      </c>
      <c r="D128" s="52"/>
      <c r="E128" s="52"/>
      <c r="F128" s="52"/>
      <c r="G128" s="52"/>
      <c r="H128" s="56"/>
      <c r="I128" s="56"/>
      <c r="J128" s="56"/>
      <c r="K128" s="56"/>
      <c r="L128" s="52"/>
      <c r="M128" s="52"/>
      <c r="N128" s="52"/>
      <c r="O128" s="52"/>
      <c r="P128" s="52">
        <v>1378</v>
      </c>
      <c r="Q128" s="52"/>
      <c r="R128" s="52"/>
      <c r="S128" s="52"/>
      <c r="T128" s="52"/>
      <c r="U128" s="52"/>
      <c r="V128" s="52"/>
      <c r="W128" s="52"/>
      <c r="X128" s="52"/>
      <c r="Y128" s="52"/>
      <c r="Z128" s="52"/>
      <c r="AA128" s="52"/>
      <c r="AB128" s="52"/>
      <c r="AC128" s="52"/>
      <c r="AD128" s="52">
        <v>152662</v>
      </c>
      <c r="AE128" s="52"/>
      <c r="AF128" s="52"/>
      <c r="AG128" s="52"/>
      <c r="AH128" s="52">
        <v>208419</v>
      </c>
      <c r="AI128" s="52"/>
      <c r="AJ128" s="52"/>
      <c r="AK128" s="52"/>
      <c r="AL128" s="52"/>
      <c r="AM128" s="52"/>
      <c r="AN128" s="52"/>
      <c r="AO128" s="52"/>
      <c r="AP128" s="52"/>
      <c r="AQ128" s="52"/>
      <c r="AR128" s="52"/>
      <c r="AS128" s="52"/>
      <c r="AT128" s="52"/>
      <c r="AU128" s="52"/>
      <c r="AV128" s="52"/>
      <c r="AW128" s="52"/>
      <c r="AX128" s="52"/>
      <c r="AY128" s="101"/>
      <c r="AZ128" s="52"/>
      <c r="BA128" s="52"/>
      <c r="BB128" s="52"/>
      <c r="BC128" s="52"/>
      <c r="BD128" s="52"/>
      <c r="BE128" s="52"/>
      <c r="BF128" s="52"/>
      <c r="BG128" s="52"/>
      <c r="BH128" s="52"/>
      <c r="BI128" s="52"/>
      <c r="BJ128" s="52">
        <v>204</v>
      </c>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v>78089</v>
      </c>
      <c r="CQ128" s="52"/>
      <c r="CR128" s="52"/>
      <c r="CS128" s="52"/>
      <c r="CT128" s="52"/>
      <c r="CU128" s="52"/>
      <c r="CV128" s="52"/>
      <c r="CW128" s="52"/>
      <c r="CX128" s="52"/>
      <c r="CY128" s="52"/>
      <c r="CZ128" s="52"/>
      <c r="DA128" s="52"/>
      <c r="DB128" s="52"/>
      <c r="DC128" s="52"/>
      <c r="DD128" s="52"/>
      <c r="DE128" s="52">
        <v>440752</v>
      </c>
      <c r="DF128" s="52"/>
      <c r="DG128" s="52">
        <v>440752</v>
      </c>
      <c r="DH128" s="52"/>
    </row>
    <row r="129" spans="1:112">
      <c r="A129" s="150" t="s">
        <v>411</v>
      </c>
      <c r="B129" s="44">
        <v>3509</v>
      </c>
      <c r="C129" s="44" t="s">
        <v>177</v>
      </c>
      <c r="D129" s="52"/>
      <c r="E129" s="52">
        <v>13480</v>
      </c>
      <c r="F129" s="52">
        <v>9481</v>
      </c>
      <c r="G129" s="52"/>
      <c r="H129" s="56"/>
      <c r="I129" s="56"/>
      <c r="J129" s="56"/>
      <c r="K129" s="56"/>
      <c r="L129" s="52">
        <v>5691</v>
      </c>
      <c r="M129" s="52"/>
      <c r="N129" s="52"/>
      <c r="O129" s="52"/>
      <c r="P129" s="52"/>
      <c r="Q129" s="52"/>
      <c r="R129" s="52"/>
      <c r="S129" s="52"/>
      <c r="T129" s="52"/>
      <c r="U129" s="52">
        <v>22789</v>
      </c>
      <c r="V129" s="52"/>
      <c r="W129" s="52">
        <v>42613</v>
      </c>
      <c r="X129" s="52"/>
      <c r="Y129" s="52">
        <v>20000</v>
      </c>
      <c r="Z129" s="52">
        <v>35284</v>
      </c>
      <c r="AA129" s="52">
        <v>13071</v>
      </c>
      <c r="AB129" s="52">
        <v>29535</v>
      </c>
      <c r="AC129" s="52"/>
      <c r="AD129" s="52">
        <v>1695</v>
      </c>
      <c r="AE129" s="52"/>
      <c r="AF129" s="52"/>
      <c r="AG129" s="52"/>
      <c r="AH129" s="52">
        <v>74700</v>
      </c>
      <c r="AI129" s="52"/>
      <c r="AJ129" s="52"/>
      <c r="AK129" s="52"/>
      <c r="AL129" s="52">
        <v>35000</v>
      </c>
      <c r="AM129" s="52"/>
      <c r="AN129" s="52">
        <v>14200</v>
      </c>
      <c r="AO129" s="52"/>
      <c r="AP129" s="52"/>
      <c r="AQ129" s="52">
        <v>3000</v>
      </c>
      <c r="AR129" s="52">
        <v>5000</v>
      </c>
      <c r="AS129" s="52">
        <v>55785</v>
      </c>
      <c r="AT129" s="52"/>
      <c r="AU129" s="52">
        <v>40239</v>
      </c>
      <c r="AV129" s="52"/>
      <c r="AW129" s="52"/>
      <c r="AX129" s="52"/>
      <c r="AY129" s="101">
        <v>39492</v>
      </c>
      <c r="AZ129" s="52"/>
      <c r="BA129" s="52">
        <v>2250</v>
      </c>
      <c r="BB129" s="52"/>
      <c r="BC129" s="52"/>
      <c r="BD129" s="52">
        <v>39938</v>
      </c>
      <c r="BE129" s="52">
        <v>37500</v>
      </c>
      <c r="BF129" s="52"/>
      <c r="BG129" s="52"/>
      <c r="BH129" s="52">
        <v>34564</v>
      </c>
      <c r="BI129" s="52">
        <v>30243</v>
      </c>
      <c r="BJ129" s="52">
        <v>14366</v>
      </c>
      <c r="BK129" s="52"/>
      <c r="BL129" s="52"/>
      <c r="BM129" s="52">
        <v>5000</v>
      </c>
      <c r="BN129" s="52">
        <v>24784</v>
      </c>
      <c r="BO129" s="52">
        <v>2000</v>
      </c>
      <c r="BP129" s="52">
        <v>2730</v>
      </c>
      <c r="BQ129" s="52">
        <v>8220</v>
      </c>
      <c r="BR129" s="52"/>
      <c r="BS129" s="52"/>
      <c r="BT129" s="52"/>
      <c r="BU129" s="52">
        <v>18774</v>
      </c>
      <c r="BV129" s="52"/>
      <c r="BW129" s="52"/>
      <c r="BX129" s="52"/>
      <c r="BY129" s="52">
        <v>16600</v>
      </c>
      <c r="BZ129" s="52">
        <v>5632</v>
      </c>
      <c r="CA129" s="52"/>
      <c r="CB129" s="52"/>
      <c r="CC129" s="52">
        <v>5000</v>
      </c>
      <c r="CD129" s="52">
        <v>45956</v>
      </c>
      <c r="CE129" s="52"/>
      <c r="CF129" s="52"/>
      <c r="CG129" s="52">
        <v>30644</v>
      </c>
      <c r="CH129" s="52">
        <v>49106</v>
      </c>
      <c r="CI129" s="52">
        <v>750</v>
      </c>
      <c r="CJ129" s="52"/>
      <c r="CK129" s="52">
        <v>5000</v>
      </c>
      <c r="CL129" s="52"/>
      <c r="CM129" s="52"/>
      <c r="CN129" s="52"/>
      <c r="CO129" s="52">
        <v>5900</v>
      </c>
      <c r="CP129" s="52">
        <v>5131</v>
      </c>
      <c r="CQ129" s="52"/>
      <c r="CR129" s="52"/>
      <c r="CS129" s="52"/>
      <c r="CT129" s="52">
        <v>5000</v>
      </c>
      <c r="CU129" s="52">
        <v>5000</v>
      </c>
      <c r="CV129" s="52"/>
      <c r="CW129" s="52">
        <v>26284</v>
      </c>
      <c r="CX129" s="52">
        <v>7780</v>
      </c>
      <c r="CY129" s="52">
        <v>2304</v>
      </c>
      <c r="CZ129" s="52"/>
      <c r="DA129" s="52">
        <v>29631</v>
      </c>
      <c r="DB129" s="52"/>
      <c r="DC129" s="52"/>
      <c r="DD129" s="52"/>
      <c r="DE129" s="52">
        <v>927142</v>
      </c>
      <c r="DF129" s="52"/>
      <c r="DG129" s="52">
        <v>927142</v>
      </c>
      <c r="DH129" s="52"/>
    </row>
    <row r="130" spans="1:112">
      <c r="A130" s="150" t="s">
        <v>411</v>
      </c>
      <c r="B130" s="44">
        <v>3513</v>
      </c>
      <c r="C130" s="44" t="s">
        <v>178</v>
      </c>
      <c r="D130" s="52">
        <v>62290</v>
      </c>
      <c r="E130" s="52">
        <v>75013</v>
      </c>
      <c r="F130" s="52">
        <v>38557</v>
      </c>
      <c r="G130" s="52"/>
      <c r="H130" s="56">
        <v>59036</v>
      </c>
      <c r="I130" s="56">
        <v>41403</v>
      </c>
      <c r="J130" s="56">
        <v>52017</v>
      </c>
      <c r="K130" s="56">
        <v>50622</v>
      </c>
      <c r="L130" s="52">
        <v>91306</v>
      </c>
      <c r="M130" s="52"/>
      <c r="N130" s="52"/>
      <c r="O130" s="52">
        <v>41488</v>
      </c>
      <c r="P130" s="52">
        <v>40416</v>
      </c>
      <c r="Q130" s="52">
        <v>40021</v>
      </c>
      <c r="R130" s="52">
        <v>40620</v>
      </c>
      <c r="S130" s="52">
        <v>46086</v>
      </c>
      <c r="T130" s="52"/>
      <c r="U130" s="52">
        <v>42437</v>
      </c>
      <c r="V130" s="52"/>
      <c r="W130" s="52">
        <v>158838</v>
      </c>
      <c r="X130" s="52">
        <v>45126</v>
      </c>
      <c r="Y130" s="52">
        <v>188928</v>
      </c>
      <c r="Z130" s="52">
        <v>82856</v>
      </c>
      <c r="AA130" s="52">
        <v>61011</v>
      </c>
      <c r="AB130" s="52">
        <v>70626</v>
      </c>
      <c r="AC130" s="52">
        <v>42856</v>
      </c>
      <c r="AD130" s="52">
        <v>50768</v>
      </c>
      <c r="AE130" s="52">
        <v>40922</v>
      </c>
      <c r="AF130" s="52"/>
      <c r="AG130" s="52">
        <v>67354</v>
      </c>
      <c r="AH130" s="52">
        <v>101237</v>
      </c>
      <c r="AI130" s="52"/>
      <c r="AJ130" s="52">
        <v>42456</v>
      </c>
      <c r="AK130" s="52">
        <v>76546</v>
      </c>
      <c r="AL130" s="52">
        <v>41770</v>
      </c>
      <c r="AM130" s="52"/>
      <c r="AN130" s="52">
        <v>80865</v>
      </c>
      <c r="AO130" s="52">
        <v>46227</v>
      </c>
      <c r="AP130" s="52"/>
      <c r="AQ130" s="52">
        <v>55029</v>
      </c>
      <c r="AR130" s="52">
        <v>44490</v>
      </c>
      <c r="AS130" s="52">
        <v>89065</v>
      </c>
      <c r="AT130" s="52">
        <v>40162</v>
      </c>
      <c r="AU130" s="52">
        <v>81258</v>
      </c>
      <c r="AV130" s="52">
        <v>11316</v>
      </c>
      <c r="AW130" s="52">
        <v>40529</v>
      </c>
      <c r="AX130" s="52">
        <v>89101</v>
      </c>
      <c r="AY130" s="101">
        <v>306923</v>
      </c>
      <c r="AZ130" s="52">
        <v>74722</v>
      </c>
      <c r="BA130" s="52">
        <v>32495</v>
      </c>
      <c r="BB130" s="52">
        <v>37048</v>
      </c>
      <c r="BC130" s="52"/>
      <c r="BD130" s="52">
        <v>66534</v>
      </c>
      <c r="BE130" s="52">
        <v>35137</v>
      </c>
      <c r="BF130" s="52">
        <v>181785</v>
      </c>
      <c r="BG130" s="52">
        <v>53617</v>
      </c>
      <c r="BH130" s="52">
        <v>72387</v>
      </c>
      <c r="BI130" s="52">
        <v>77300</v>
      </c>
      <c r="BJ130" s="52">
        <v>76465</v>
      </c>
      <c r="BK130" s="52">
        <v>48540</v>
      </c>
      <c r="BL130" s="52">
        <v>42493</v>
      </c>
      <c r="BM130" s="52">
        <v>74463</v>
      </c>
      <c r="BN130" s="52">
        <v>64858</v>
      </c>
      <c r="BO130" s="52">
        <v>58121</v>
      </c>
      <c r="BP130" s="52">
        <v>70991</v>
      </c>
      <c r="BQ130" s="52">
        <v>62848</v>
      </c>
      <c r="BR130" s="52">
        <v>24111</v>
      </c>
      <c r="BS130" s="52"/>
      <c r="BT130" s="52">
        <v>50898</v>
      </c>
      <c r="BU130" s="52">
        <v>56098</v>
      </c>
      <c r="BV130" s="52">
        <v>39598</v>
      </c>
      <c r="BW130" s="52"/>
      <c r="BX130" s="52">
        <v>93558</v>
      </c>
      <c r="BY130" s="52">
        <v>60189</v>
      </c>
      <c r="BZ130" s="52">
        <v>57358</v>
      </c>
      <c r="CA130" s="52"/>
      <c r="CB130" s="52">
        <v>56350</v>
      </c>
      <c r="CC130" s="52">
        <v>54407</v>
      </c>
      <c r="CD130" s="52">
        <v>117166</v>
      </c>
      <c r="CE130" s="52"/>
      <c r="CF130" s="52">
        <v>88885</v>
      </c>
      <c r="CG130" s="52">
        <v>154459</v>
      </c>
      <c r="CH130" s="52">
        <v>118547</v>
      </c>
      <c r="CI130" s="52">
        <v>44196</v>
      </c>
      <c r="CJ130" s="52">
        <v>51586</v>
      </c>
      <c r="CK130" s="52">
        <v>63828</v>
      </c>
      <c r="CL130" s="52">
        <v>45578</v>
      </c>
      <c r="CM130" s="52">
        <v>45691</v>
      </c>
      <c r="CN130" s="52">
        <v>54463</v>
      </c>
      <c r="CO130" s="52">
        <v>60728</v>
      </c>
      <c r="CP130" s="52">
        <v>73228</v>
      </c>
      <c r="CQ130" s="52"/>
      <c r="CR130" s="52"/>
      <c r="CS130" s="52"/>
      <c r="CT130" s="52">
        <v>111372</v>
      </c>
      <c r="CU130" s="52">
        <v>71768</v>
      </c>
      <c r="CV130" s="52"/>
      <c r="CW130" s="52">
        <v>63528</v>
      </c>
      <c r="CX130" s="52">
        <v>69441</v>
      </c>
      <c r="CY130" s="52">
        <v>54322</v>
      </c>
      <c r="CZ130" s="52">
        <v>46255</v>
      </c>
      <c r="DA130" s="52">
        <v>95115</v>
      </c>
      <c r="DB130" s="52">
        <v>44280</v>
      </c>
      <c r="DC130" s="52">
        <v>39075</v>
      </c>
      <c r="DD130" s="52"/>
      <c r="DE130" s="52">
        <v>5774378</v>
      </c>
      <c r="DF130" s="52">
        <v>39075</v>
      </c>
      <c r="DG130" s="52">
        <v>5813453</v>
      </c>
      <c r="DH130" s="52"/>
    </row>
    <row r="131" spans="1:112">
      <c r="A131" s="150" t="s">
        <v>411</v>
      </c>
      <c r="B131" s="44">
        <v>3515</v>
      </c>
      <c r="C131" s="44" t="s">
        <v>179</v>
      </c>
      <c r="D131" s="52">
        <v>1369</v>
      </c>
      <c r="E131" s="52">
        <v>39404</v>
      </c>
      <c r="F131" s="52"/>
      <c r="G131" s="52"/>
      <c r="H131" s="56">
        <v>16293</v>
      </c>
      <c r="I131" s="56">
        <v>810</v>
      </c>
      <c r="J131" s="56"/>
      <c r="K131" s="56">
        <v>3158</v>
      </c>
      <c r="L131" s="52">
        <v>8620</v>
      </c>
      <c r="M131" s="52"/>
      <c r="N131" s="52"/>
      <c r="O131" s="52">
        <v>1550</v>
      </c>
      <c r="P131" s="52">
        <v>1810</v>
      </c>
      <c r="Q131" s="52">
        <v>530</v>
      </c>
      <c r="R131" s="52">
        <v>6591</v>
      </c>
      <c r="S131" s="52">
        <v>310</v>
      </c>
      <c r="T131" s="52"/>
      <c r="U131" s="52">
        <v>69898</v>
      </c>
      <c r="V131" s="52"/>
      <c r="W131" s="52">
        <v>9150</v>
      </c>
      <c r="X131" s="52"/>
      <c r="Y131" s="52">
        <v>58585</v>
      </c>
      <c r="Z131" s="52">
        <v>7655</v>
      </c>
      <c r="AA131" s="52">
        <v>3188</v>
      </c>
      <c r="AB131" s="52">
        <v>3539</v>
      </c>
      <c r="AC131" s="52"/>
      <c r="AD131" s="52"/>
      <c r="AE131" s="52"/>
      <c r="AF131" s="52"/>
      <c r="AG131" s="52">
        <v>624</v>
      </c>
      <c r="AH131" s="52">
        <v>3294</v>
      </c>
      <c r="AI131" s="52"/>
      <c r="AJ131" s="52">
        <v>434</v>
      </c>
      <c r="AK131" s="52">
        <v>660</v>
      </c>
      <c r="AL131" s="52">
        <v>130</v>
      </c>
      <c r="AM131" s="52"/>
      <c r="AN131" s="52">
        <v>19690</v>
      </c>
      <c r="AO131" s="52"/>
      <c r="AP131" s="52"/>
      <c r="AQ131" s="52">
        <v>1506</v>
      </c>
      <c r="AR131" s="52"/>
      <c r="AS131" s="52">
        <v>56526</v>
      </c>
      <c r="AT131" s="52">
        <v>440</v>
      </c>
      <c r="AU131" s="52">
        <v>3879</v>
      </c>
      <c r="AV131" s="52">
        <v>750</v>
      </c>
      <c r="AW131" s="52">
        <v>1400</v>
      </c>
      <c r="AX131" s="52">
        <v>6960</v>
      </c>
      <c r="AY131" s="101">
        <v>190462</v>
      </c>
      <c r="AZ131" s="52">
        <v>8410</v>
      </c>
      <c r="BA131" s="52">
        <v>470</v>
      </c>
      <c r="BB131" s="52">
        <v>1770</v>
      </c>
      <c r="BC131" s="52"/>
      <c r="BD131" s="52">
        <v>660</v>
      </c>
      <c r="BE131" s="52"/>
      <c r="BF131" s="52">
        <v>41613</v>
      </c>
      <c r="BG131" s="52">
        <v>1327</v>
      </c>
      <c r="BH131" s="52">
        <v>2517</v>
      </c>
      <c r="BI131" s="52">
        <v>4213</v>
      </c>
      <c r="BJ131" s="52">
        <v>4100</v>
      </c>
      <c r="BK131" s="52">
        <v>2290</v>
      </c>
      <c r="BL131" s="52">
        <v>850</v>
      </c>
      <c r="BM131" s="52">
        <v>15575</v>
      </c>
      <c r="BN131" s="52">
        <v>14011</v>
      </c>
      <c r="BO131" s="52">
        <v>590</v>
      </c>
      <c r="BP131" s="52">
        <v>620</v>
      </c>
      <c r="BQ131" s="52">
        <v>51730</v>
      </c>
      <c r="BR131" s="52">
        <v>650</v>
      </c>
      <c r="BS131" s="52"/>
      <c r="BT131" s="52">
        <v>1900</v>
      </c>
      <c r="BU131" s="52">
        <v>609</v>
      </c>
      <c r="BV131" s="52">
        <v>470</v>
      </c>
      <c r="BW131" s="52"/>
      <c r="BX131" s="52">
        <v>1690</v>
      </c>
      <c r="BY131" s="52">
        <v>2480</v>
      </c>
      <c r="BZ131" s="52">
        <v>7747</v>
      </c>
      <c r="CA131" s="52"/>
      <c r="CB131" s="52">
        <v>1240</v>
      </c>
      <c r="CC131" s="52">
        <v>2480</v>
      </c>
      <c r="CD131" s="52">
        <v>10288</v>
      </c>
      <c r="CE131" s="52"/>
      <c r="CF131" s="52">
        <v>20956</v>
      </c>
      <c r="CG131" s="52">
        <v>56181</v>
      </c>
      <c r="CH131" s="52">
        <v>40440</v>
      </c>
      <c r="CI131" s="52">
        <v>470</v>
      </c>
      <c r="CJ131" s="52">
        <v>5970</v>
      </c>
      <c r="CK131" s="52">
        <v>6367</v>
      </c>
      <c r="CL131" s="52">
        <v>2550</v>
      </c>
      <c r="CM131" s="52">
        <v>5460</v>
      </c>
      <c r="CN131" s="52">
        <v>5759</v>
      </c>
      <c r="CO131" s="52">
        <v>19936</v>
      </c>
      <c r="CP131" s="52">
        <v>12294</v>
      </c>
      <c r="CQ131" s="52"/>
      <c r="CR131" s="52"/>
      <c r="CS131" s="52"/>
      <c r="CT131" s="52">
        <v>75</v>
      </c>
      <c r="CU131" s="52">
        <v>3633</v>
      </c>
      <c r="CV131" s="52"/>
      <c r="CW131" s="52">
        <v>3386</v>
      </c>
      <c r="CX131" s="52"/>
      <c r="CY131" s="52"/>
      <c r="CZ131" s="52">
        <v>2140</v>
      </c>
      <c r="DA131" s="52">
        <v>34680</v>
      </c>
      <c r="DB131" s="52">
        <v>6470</v>
      </c>
      <c r="DC131" s="52"/>
      <c r="DD131" s="52"/>
      <c r="DE131" s="52">
        <v>926282</v>
      </c>
      <c r="DF131" s="52"/>
      <c r="DG131" s="52">
        <v>926282</v>
      </c>
      <c r="DH131" s="52"/>
    </row>
    <row r="132" spans="1:112">
      <c r="A132" s="150" t="s">
        <v>411</v>
      </c>
      <c r="B132" s="44">
        <v>3517</v>
      </c>
      <c r="C132" s="44" t="s">
        <v>180</v>
      </c>
      <c r="D132" s="52">
        <v>1000</v>
      </c>
      <c r="E132" s="52">
        <v>7000</v>
      </c>
      <c r="F132" s="52"/>
      <c r="G132" s="52"/>
      <c r="H132" s="56">
        <v>1000</v>
      </c>
      <c r="I132" s="56">
        <v>500</v>
      </c>
      <c r="J132" s="56">
        <v>565</v>
      </c>
      <c r="K132" s="56"/>
      <c r="L132" s="52"/>
      <c r="M132" s="52"/>
      <c r="N132" s="52"/>
      <c r="O132" s="52"/>
      <c r="P132" s="52"/>
      <c r="Q132" s="52">
        <v>500</v>
      </c>
      <c r="R132" s="52">
        <v>2000</v>
      </c>
      <c r="S132" s="52">
        <v>500</v>
      </c>
      <c r="T132" s="52"/>
      <c r="U132" s="52">
        <v>7500</v>
      </c>
      <c r="V132" s="52"/>
      <c r="W132" s="52">
        <v>5000</v>
      </c>
      <c r="X132" s="52"/>
      <c r="Y132" s="52">
        <v>12500</v>
      </c>
      <c r="Z132" s="52">
        <v>4500</v>
      </c>
      <c r="AA132" s="52">
        <v>5325</v>
      </c>
      <c r="AB132" s="52">
        <v>3000</v>
      </c>
      <c r="AC132" s="52"/>
      <c r="AD132" s="52"/>
      <c r="AE132" s="52">
        <v>960</v>
      </c>
      <c r="AF132" s="52"/>
      <c r="AG132" s="52"/>
      <c r="AH132" s="52">
        <v>159</v>
      </c>
      <c r="AI132" s="52"/>
      <c r="AJ132" s="52">
        <v>1000</v>
      </c>
      <c r="AK132" s="52"/>
      <c r="AL132" s="52">
        <v>500</v>
      </c>
      <c r="AM132" s="52"/>
      <c r="AN132" s="52">
        <v>1500</v>
      </c>
      <c r="AO132" s="52"/>
      <c r="AP132" s="52"/>
      <c r="AQ132" s="52">
        <v>1528</v>
      </c>
      <c r="AR132" s="52">
        <v>117</v>
      </c>
      <c r="AS132" s="52">
        <v>2500</v>
      </c>
      <c r="AT132" s="52">
        <v>1500</v>
      </c>
      <c r="AU132" s="52">
        <v>500</v>
      </c>
      <c r="AV132" s="52">
        <v>1000</v>
      </c>
      <c r="AW132" s="52"/>
      <c r="AX132" s="52">
        <v>810</v>
      </c>
      <c r="AY132" s="101">
        <v>23500</v>
      </c>
      <c r="AZ132" s="52">
        <v>6000</v>
      </c>
      <c r="BA132" s="52">
        <v>660</v>
      </c>
      <c r="BB132" s="52">
        <v>500</v>
      </c>
      <c r="BC132" s="52"/>
      <c r="BD132" s="52"/>
      <c r="BE132" s="52"/>
      <c r="BF132" s="52">
        <v>17939</v>
      </c>
      <c r="BG132" s="52"/>
      <c r="BH132" s="52">
        <v>2517</v>
      </c>
      <c r="BI132" s="52"/>
      <c r="BJ132" s="52"/>
      <c r="BK132" s="52"/>
      <c r="BL132" s="52">
        <v>50</v>
      </c>
      <c r="BM132" s="52">
        <v>11000</v>
      </c>
      <c r="BN132" s="52">
        <v>3484</v>
      </c>
      <c r="BO132" s="52"/>
      <c r="BP132" s="52">
        <v>500</v>
      </c>
      <c r="BQ132" s="52">
        <v>5508</v>
      </c>
      <c r="BR132" s="52">
        <v>1065</v>
      </c>
      <c r="BS132" s="52"/>
      <c r="BT132" s="52">
        <v>1000</v>
      </c>
      <c r="BU132" s="52">
        <v>339</v>
      </c>
      <c r="BV132" s="52">
        <v>500</v>
      </c>
      <c r="BW132" s="52"/>
      <c r="BX132" s="52">
        <v>1000</v>
      </c>
      <c r="BY132" s="52">
        <v>3000</v>
      </c>
      <c r="BZ132" s="52">
        <v>4207</v>
      </c>
      <c r="CA132" s="52"/>
      <c r="CB132" s="52">
        <v>1000</v>
      </c>
      <c r="CC132" s="52">
        <v>1000</v>
      </c>
      <c r="CD132" s="52"/>
      <c r="CE132" s="52"/>
      <c r="CF132" s="52">
        <v>4500</v>
      </c>
      <c r="CG132" s="52">
        <v>14000</v>
      </c>
      <c r="CH132" s="52">
        <v>23323</v>
      </c>
      <c r="CI132" s="52"/>
      <c r="CJ132" s="52">
        <v>3000</v>
      </c>
      <c r="CK132" s="52">
        <v>500</v>
      </c>
      <c r="CL132" s="52">
        <v>500</v>
      </c>
      <c r="CM132" s="52">
        <v>1000</v>
      </c>
      <c r="CN132" s="52">
        <v>1000</v>
      </c>
      <c r="CO132" s="52"/>
      <c r="CP132" s="52">
        <v>2500</v>
      </c>
      <c r="CQ132" s="52"/>
      <c r="CR132" s="52"/>
      <c r="CS132" s="52"/>
      <c r="CT132" s="52">
        <v>1000</v>
      </c>
      <c r="CU132" s="52">
        <v>3000</v>
      </c>
      <c r="CV132" s="52"/>
      <c r="CW132" s="52">
        <v>1000</v>
      </c>
      <c r="CX132" s="52"/>
      <c r="CY132" s="52">
        <v>3891</v>
      </c>
      <c r="CZ132" s="52"/>
      <c r="DA132" s="52">
        <v>500</v>
      </c>
      <c r="DB132" s="52"/>
      <c r="DC132" s="52"/>
      <c r="DD132" s="52"/>
      <c r="DE132" s="52">
        <v>207447</v>
      </c>
      <c r="DF132" s="52"/>
      <c r="DG132" s="52">
        <v>207447</v>
      </c>
      <c r="DH132" s="52"/>
    </row>
    <row r="133" spans="1:112">
      <c r="A133" s="150" t="s">
        <v>411</v>
      </c>
      <c r="B133" s="44">
        <v>3520</v>
      </c>
      <c r="C133" s="44" t="s">
        <v>181</v>
      </c>
      <c r="D133" s="52">
        <v>99429</v>
      </c>
      <c r="E133" s="52">
        <v>1305719</v>
      </c>
      <c r="F133" s="52">
        <v>15000</v>
      </c>
      <c r="G133" s="52"/>
      <c r="H133" s="56">
        <v>378320</v>
      </c>
      <c r="I133" s="56">
        <v>197136</v>
      </c>
      <c r="J133" s="56">
        <v>95025</v>
      </c>
      <c r="K133" s="56">
        <v>114197</v>
      </c>
      <c r="L133" s="52">
        <v>378902</v>
      </c>
      <c r="M133" s="52"/>
      <c r="N133" s="52"/>
      <c r="O133" s="52">
        <v>39594</v>
      </c>
      <c r="P133" s="52">
        <v>38645</v>
      </c>
      <c r="Q133" s="52">
        <v>15421</v>
      </c>
      <c r="R133" s="52">
        <v>40438</v>
      </c>
      <c r="S133" s="52">
        <v>52514</v>
      </c>
      <c r="T133" s="52"/>
      <c r="U133" s="52">
        <v>868778</v>
      </c>
      <c r="V133" s="52"/>
      <c r="W133" s="52">
        <v>719776</v>
      </c>
      <c r="X133" s="52">
        <v>37268</v>
      </c>
      <c r="Y133" s="52">
        <v>1935102</v>
      </c>
      <c r="Z133" s="52">
        <v>408929</v>
      </c>
      <c r="AA133" s="52">
        <v>159219</v>
      </c>
      <c r="AB133" s="52">
        <v>224486</v>
      </c>
      <c r="AC133" s="52">
        <v>52540</v>
      </c>
      <c r="AD133" s="52">
        <v>66672</v>
      </c>
      <c r="AE133" s="52">
        <v>36567</v>
      </c>
      <c r="AF133" s="52"/>
      <c r="AG133" s="52">
        <v>134503</v>
      </c>
      <c r="AH133" s="52">
        <v>357596</v>
      </c>
      <c r="AI133" s="52"/>
      <c r="AJ133" s="52">
        <v>15000</v>
      </c>
      <c r="AK133" s="52">
        <v>51463</v>
      </c>
      <c r="AL133" s="52">
        <v>55431</v>
      </c>
      <c r="AM133" s="52"/>
      <c r="AN133" s="52">
        <v>918163</v>
      </c>
      <c r="AO133" s="52">
        <v>32926</v>
      </c>
      <c r="AP133" s="52"/>
      <c r="AQ133" s="52">
        <v>112113</v>
      </c>
      <c r="AR133" s="52">
        <v>118440</v>
      </c>
      <c r="AS133" s="52">
        <v>332180</v>
      </c>
      <c r="AT133" s="52">
        <v>22089</v>
      </c>
      <c r="AU133" s="52">
        <v>130689</v>
      </c>
      <c r="AV133" s="52">
        <v>20005</v>
      </c>
      <c r="AW133" s="52">
        <v>68768</v>
      </c>
      <c r="AX133" s="52">
        <v>433033</v>
      </c>
      <c r="AY133" s="101">
        <v>3455472</v>
      </c>
      <c r="AZ133" s="52">
        <v>371901</v>
      </c>
      <c r="BA133" s="52">
        <v>26335</v>
      </c>
      <c r="BB133" s="52">
        <v>51653</v>
      </c>
      <c r="BC133" s="52"/>
      <c r="BD133" s="52">
        <v>54181</v>
      </c>
      <c r="BE133" s="52">
        <v>15838</v>
      </c>
      <c r="BF133" s="52">
        <v>2226879</v>
      </c>
      <c r="BG133" s="52">
        <v>46264</v>
      </c>
      <c r="BH133" s="52">
        <v>605169</v>
      </c>
      <c r="BI133" s="52">
        <v>265071</v>
      </c>
      <c r="BJ133" s="52">
        <v>81382</v>
      </c>
      <c r="BK133" s="52">
        <v>123334</v>
      </c>
      <c r="BL133" s="52">
        <v>15838</v>
      </c>
      <c r="BM133" s="52">
        <v>1196512</v>
      </c>
      <c r="BN133" s="52">
        <v>437435</v>
      </c>
      <c r="BO133" s="52">
        <v>125867</v>
      </c>
      <c r="BP133" s="52">
        <v>82565</v>
      </c>
      <c r="BQ133" s="52">
        <v>1230830</v>
      </c>
      <c r="BR133" s="52">
        <v>13837</v>
      </c>
      <c r="BS133" s="52"/>
      <c r="BT133" s="52">
        <v>82940</v>
      </c>
      <c r="BU133" s="52">
        <v>43159</v>
      </c>
      <c r="BV133" s="52">
        <v>15000</v>
      </c>
      <c r="BW133" s="52"/>
      <c r="BX133" s="52">
        <v>129618</v>
      </c>
      <c r="BY133" s="52">
        <v>248400</v>
      </c>
      <c r="BZ133" s="52">
        <v>563068</v>
      </c>
      <c r="CA133" s="52"/>
      <c r="CB133" s="52">
        <v>50014</v>
      </c>
      <c r="CC133" s="52">
        <v>95442</v>
      </c>
      <c r="CD133" s="52">
        <v>60016</v>
      </c>
      <c r="CE133" s="52"/>
      <c r="CF133" s="52">
        <v>788962</v>
      </c>
      <c r="CG133" s="52">
        <v>1095338</v>
      </c>
      <c r="CH133" s="52">
        <v>988463</v>
      </c>
      <c r="CI133" s="52">
        <v>66685</v>
      </c>
      <c r="CJ133" s="52">
        <v>270072</v>
      </c>
      <c r="CK133" s="52">
        <v>242565</v>
      </c>
      <c r="CL133" s="52">
        <v>142538</v>
      </c>
      <c r="CM133" s="52">
        <v>57932</v>
      </c>
      <c r="CN133" s="52">
        <v>241731</v>
      </c>
      <c r="CO133" s="52">
        <v>510554</v>
      </c>
      <c r="CP133" s="52">
        <v>468042</v>
      </c>
      <c r="CQ133" s="52"/>
      <c r="CR133" s="52"/>
      <c r="CS133" s="52"/>
      <c r="CT133" s="52">
        <v>210890</v>
      </c>
      <c r="CU133" s="52">
        <v>323003</v>
      </c>
      <c r="CV133" s="52"/>
      <c r="CW133" s="52">
        <v>192569</v>
      </c>
      <c r="CX133" s="52">
        <v>81596</v>
      </c>
      <c r="CY133" s="52">
        <v>147007</v>
      </c>
      <c r="CZ133" s="52">
        <v>303831</v>
      </c>
      <c r="DA133" s="52">
        <v>579501</v>
      </c>
      <c r="DB133" s="52">
        <v>590575</v>
      </c>
      <c r="DC133" s="52"/>
      <c r="DD133" s="52"/>
      <c r="DE133" s="52">
        <v>29097950</v>
      </c>
      <c r="DF133" s="52"/>
      <c r="DG133" s="52">
        <v>29097950</v>
      </c>
      <c r="DH133" s="52"/>
    </row>
    <row r="134" spans="1:112">
      <c r="A134" s="150" t="s">
        <v>411</v>
      </c>
      <c r="B134" s="44">
        <v>3522</v>
      </c>
      <c r="C134" s="44" t="s">
        <v>182</v>
      </c>
      <c r="D134" s="52">
        <v>15671</v>
      </c>
      <c r="E134" s="52">
        <v>114176</v>
      </c>
      <c r="F134" s="52">
        <v>9501</v>
      </c>
      <c r="G134" s="52"/>
      <c r="H134" s="56">
        <v>38605</v>
      </c>
      <c r="I134" s="56">
        <v>22026</v>
      </c>
      <c r="J134" s="56">
        <v>11481</v>
      </c>
      <c r="K134" s="56">
        <v>16834</v>
      </c>
      <c r="L134" s="52">
        <v>71770</v>
      </c>
      <c r="M134" s="52"/>
      <c r="N134" s="52"/>
      <c r="O134" s="52">
        <v>5405</v>
      </c>
      <c r="P134" s="52"/>
      <c r="Q134" s="52">
        <v>5472</v>
      </c>
      <c r="R134" s="52">
        <v>7890</v>
      </c>
      <c r="S134" s="52">
        <v>15643</v>
      </c>
      <c r="T134" s="52"/>
      <c r="U134" s="52">
        <v>115182</v>
      </c>
      <c r="V134" s="52"/>
      <c r="W134" s="52">
        <v>165211</v>
      </c>
      <c r="X134" s="52">
        <v>4814</v>
      </c>
      <c r="Y134" s="52">
        <v>249092</v>
      </c>
      <c r="Z134" s="52">
        <v>91676</v>
      </c>
      <c r="AA134" s="52">
        <v>33983</v>
      </c>
      <c r="AB134" s="52">
        <v>50413</v>
      </c>
      <c r="AC134" s="52">
        <v>6743</v>
      </c>
      <c r="AD134" s="52">
        <v>5587</v>
      </c>
      <c r="AE134" s="52"/>
      <c r="AF134" s="52"/>
      <c r="AG134" s="52">
        <v>46238</v>
      </c>
      <c r="AH134" s="52">
        <v>59829</v>
      </c>
      <c r="AI134" s="52"/>
      <c r="AJ134" s="52"/>
      <c r="AK134" s="52">
        <v>20630</v>
      </c>
      <c r="AL134" s="52">
        <v>9480</v>
      </c>
      <c r="AM134" s="52"/>
      <c r="AN134" s="52">
        <v>151553</v>
      </c>
      <c r="AO134" s="52">
        <v>10085</v>
      </c>
      <c r="AP134" s="52"/>
      <c r="AQ134" s="52">
        <v>19335</v>
      </c>
      <c r="AR134" s="52">
        <v>21078</v>
      </c>
      <c r="AS134" s="52">
        <v>85547</v>
      </c>
      <c r="AT134" s="52">
        <v>7302</v>
      </c>
      <c r="AU134" s="52">
        <v>12657</v>
      </c>
      <c r="AV134" s="52">
        <v>4728</v>
      </c>
      <c r="AW134" s="52">
        <v>8786</v>
      </c>
      <c r="AX134" s="52">
        <v>53384</v>
      </c>
      <c r="AY134" s="101">
        <v>392983</v>
      </c>
      <c r="AZ134" s="52">
        <v>41154</v>
      </c>
      <c r="BA134" s="52">
        <v>2348</v>
      </c>
      <c r="BB134" s="52">
        <v>14151</v>
      </c>
      <c r="BC134" s="52"/>
      <c r="BD134" s="52">
        <v>21310</v>
      </c>
      <c r="BE134" s="52">
        <v>11716</v>
      </c>
      <c r="BF134" s="52">
        <v>128195</v>
      </c>
      <c r="BG134" s="52">
        <v>18553</v>
      </c>
      <c r="BH134" s="52">
        <v>58522</v>
      </c>
      <c r="BI134" s="52">
        <v>90317</v>
      </c>
      <c r="BJ134" s="52">
        <v>31541</v>
      </c>
      <c r="BK134" s="52"/>
      <c r="BL134" s="52">
        <v>15129</v>
      </c>
      <c r="BM134" s="52">
        <v>110236</v>
      </c>
      <c r="BN134" s="52">
        <v>33866</v>
      </c>
      <c r="BO134" s="52">
        <v>11488</v>
      </c>
      <c r="BP134" s="52">
        <v>1181</v>
      </c>
      <c r="BQ134" s="52">
        <v>78184</v>
      </c>
      <c r="BR134" s="52">
        <v>1740</v>
      </c>
      <c r="BS134" s="52"/>
      <c r="BT134" s="52">
        <v>18589</v>
      </c>
      <c r="BU134" s="52">
        <v>11725</v>
      </c>
      <c r="BV134" s="52">
        <v>5368</v>
      </c>
      <c r="BW134" s="52"/>
      <c r="BX134" s="52">
        <v>28892</v>
      </c>
      <c r="BY134" s="52">
        <v>34175</v>
      </c>
      <c r="BZ134" s="52">
        <v>64496</v>
      </c>
      <c r="CA134" s="52"/>
      <c r="CB134" s="52">
        <v>18485</v>
      </c>
      <c r="CC134" s="52">
        <v>25559</v>
      </c>
      <c r="CD134" s="52">
        <v>39959</v>
      </c>
      <c r="CE134" s="52"/>
      <c r="CF134" s="52">
        <v>98662</v>
      </c>
      <c r="CG134" s="52">
        <v>121299</v>
      </c>
      <c r="CH134" s="52">
        <v>117950</v>
      </c>
      <c r="CI134" s="52">
        <v>12678</v>
      </c>
      <c r="CJ134" s="52">
        <v>28555</v>
      </c>
      <c r="CK134" s="52">
        <v>55187</v>
      </c>
      <c r="CL134" s="52">
        <v>19307</v>
      </c>
      <c r="CM134" s="52">
        <v>11451</v>
      </c>
      <c r="CN134" s="52">
        <v>40519</v>
      </c>
      <c r="CO134" s="52">
        <v>43699</v>
      </c>
      <c r="CP134" s="52">
        <v>41111</v>
      </c>
      <c r="CQ134" s="52"/>
      <c r="CR134" s="52"/>
      <c r="CS134" s="52"/>
      <c r="CT134" s="52">
        <v>52903</v>
      </c>
      <c r="CU134" s="52">
        <v>33404</v>
      </c>
      <c r="CV134" s="52"/>
      <c r="CW134" s="52">
        <v>33686</v>
      </c>
      <c r="CX134" s="52">
        <v>33805</v>
      </c>
      <c r="CY134" s="52">
        <v>28534</v>
      </c>
      <c r="CZ134" s="52">
        <v>33521</v>
      </c>
      <c r="DA134" s="52">
        <v>80003</v>
      </c>
      <c r="DB134" s="52">
        <v>44049</v>
      </c>
      <c r="DC134" s="52"/>
      <c r="DD134" s="52"/>
      <c r="DE134" s="52">
        <v>3807992</v>
      </c>
      <c r="DF134" s="52"/>
      <c r="DG134" s="52">
        <v>3807992</v>
      </c>
      <c r="DH134" s="52"/>
    </row>
    <row r="135" spans="1:112">
      <c r="A135" s="150" t="s">
        <v>411</v>
      </c>
      <c r="B135" s="44">
        <v>3523</v>
      </c>
      <c r="C135" s="44" t="s">
        <v>183</v>
      </c>
      <c r="D135" s="52">
        <v>346</v>
      </c>
      <c r="E135" s="52">
        <v>2195</v>
      </c>
      <c r="F135" s="52"/>
      <c r="G135" s="52"/>
      <c r="H135" s="56">
        <v>980</v>
      </c>
      <c r="I135" s="56">
        <v>282</v>
      </c>
      <c r="J135" s="56">
        <v>141</v>
      </c>
      <c r="K135" s="56">
        <v>241</v>
      </c>
      <c r="L135" s="52">
        <v>916</v>
      </c>
      <c r="M135" s="52"/>
      <c r="N135" s="52"/>
      <c r="O135" s="52">
        <v>47</v>
      </c>
      <c r="P135" s="52">
        <v>23</v>
      </c>
      <c r="Q135" s="52"/>
      <c r="R135" s="52">
        <v>94</v>
      </c>
      <c r="S135" s="52">
        <v>88</v>
      </c>
      <c r="T135" s="52"/>
      <c r="U135" s="52">
        <v>1062</v>
      </c>
      <c r="V135" s="52"/>
      <c r="W135" s="52">
        <v>1426</v>
      </c>
      <c r="X135" s="52">
        <v>12</v>
      </c>
      <c r="Y135" s="52">
        <v>2700</v>
      </c>
      <c r="Z135" s="52">
        <v>522</v>
      </c>
      <c r="AA135" s="52">
        <v>200</v>
      </c>
      <c r="AB135" s="52">
        <v>362</v>
      </c>
      <c r="AC135" s="52">
        <v>12</v>
      </c>
      <c r="AD135" s="52">
        <v>129</v>
      </c>
      <c r="AE135" s="52">
        <v>82</v>
      </c>
      <c r="AF135" s="52"/>
      <c r="AG135" s="52">
        <v>158</v>
      </c>
      <c r="AH135" s="52"/>
      <c r="AI135" s="52"/>
      <c r="AJ135" s="52"/>
      <c r="AK135" s="52"/>
      <c r="AL135" s="52">
        <v>105</v>
      </c>
      <c r="AM135" s="52"/>
      <c r="AN135" s="52">
        <v>1784</v>
      </c>
      <c r="AO135" s="52">
        <v>65</v>
      </c>
      <c r="AP135" s="52"/>
      <c r="AQ135" s="52">
        <v>1488</v>
      </c>
      <c r="AR135" s="52"/>
      <c r="AS135" s="52">
        <v>710</v>
      </c>
      <c r="AT135" s="52">
        <v>59</v>
      </c>
      <c r="AU135" s="52"/>
      <c r="AV135" s="52">
        <v>18</v>
      </c>
      <c r="AW135" s="52">
        <v>153</v>
      </c>
      <c r="AX135" s="52">
        <v>599</v>
      </c>
      <c r="AY135" s="101">
        <v>5066</v>
      </c>
      <c r="AZ135" s="52">
        <v>781</v>
      </c>
      <c r="BA135" s="52">
        <v>35</v>
      </c>
      <c r="BB135" s="52">
        <v>158</v>
      </c>
      <c r="BC135" s="52"/>
      <c r="BD135" s="52">
        <v>164</v>
      </c>
      <c r="BE135" s="52"/>
      <c r="BF135" s="52">
        <v>3598</v>
      </c>
      <c r="BG135" s="52">
        <v>94</v>
      </c>
      <c r="BH135" s="52">
        <v>804</v>
      </c>
      <c r="BI135" s="52"/>
      <c r="BJ135" s="52">
        <v>340</v>
      </c>
      <c r="BK135" s="52">
        <v>270</v>
      </c>
      <c r="BL135" s="52">
        <v>35</v>
      </c>
      <c r="BM135" s="52">
        <v>2266</v>
      </c>
      <c r="BN135" s="52">
        <v>728</v>
      </c>
      <c r="BO135" s="52">
        <v>147</v>
      </c>
      <c r="BP135" s="52">
        <v>117</v>
      </c>
      <c r="BQ135" s="52">
        <v>1814</v>
      </c>
      <c r="BR135" s="52"/>
      <c r="BS135" s="52"/>
      <c r="BT135" s="52">
        <v>59</v>
      </c>
      <c r="BU135" s="52"/>
      <c r="BV135" s="52">
        <v>35</v>
      </c>
      <c r="BW135" s="52"/>
      <c r="BX135" s="52">
        <v>164</v>
      </c>
      <c r="BY135" s="52">
        <v>346</v>
      </c>
      <c r="BZ135" s="52">
        <v>1186</v>
      </c>
      <c r="CA135" s="52"/>
      <c r="CB135" s="52">
        <v>94</v>
      </c>
      <c r="CC135" s="52">
        <v>129</v>
      </c>
      <c r="CD135" s="52">
        <v>235</v>
      </c>
      <c r="CE135" s="52"/>
      <c r="CF135" s="52">
        <v>1450</v>
      </c>
      <c r="CG135" s="52"/>
      <c r="CH135" s="52"/>
      <c r="CI135" s="52">
        <v>70</v>
      </c>
      <c r="CJ135" s="52">
        <v>429</v>
      </c>
      <c r="CK135" s="52">
        <v>1350</v>
      </c>
      <c r="CL135" s="52">
        <v>305</v>
      </c>
      <c r="CM135" s="52">
        <v>294</v>
      </c>
      <c r="CN135" s="52">
        <v>610</v>
      </c>
      <c r="CO135" s="52"/>
      <c r="CP135" s="52">
        <v>622</v>
      </c>
      <c r="CQ135" s="52"/>
      <c r="CR135" s="52"/>
      <c r="CS135" s="52"/>
      <c r="CT135" s="52">
        <v>335</v>
      </c>
      <c r="CU135" s="52">
        <v>446</v>
      </c>
      <c r="CV135" s="52"/>
      <c r="CW135" s="52">
        <v>270</v>
      </c>
      <c r="CX135" s="52">
        <v>164</v>
      </c>
      <c r="CY135" s="52">
        <v>376</v>
      </c>
      <c r="CZ135" s="52">
        <v>716</v>
      </c>
      <c r="DA135" s="52">
        <v>1961</v>
      </c>
      <c r="DB135" s="52">
        <v>1291</v>
      </c>
      <c r="DC135" s="52"/>
      <c r="DD135" s="52"/>
      <c r="DE135" s="52">
        <v>46353</v>
      </c>
      <c r="DF135" s="52"/>
      <c r="DG135" s="52">
        <v>46353</v>
      </c>
      <c r="DH135" s="52"/>
    </row>
    <row r="136" spans="1:112">
      <c r="A136" s="150" t="s">
        <v>411</v>
      </c>
      <c r="B136" s="44">
        <v>3524</v>
      </c>
      <c r="C136" s="44" t="s">
        <v>184</v>
      </c>
      <c r="D136" s="52"/>
      <c r="E136" s="52"/>
      <c r="F136" s="52"/>
      <c r="G136" s="52"/>
      <c r="H136" s="56"/>
      <c r="I136" s="56"/>
      <c r="J136" s="56"/>
      <c r="K136" s="56"/>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101"/>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v>195</v>
      </c>
      <c r="CR136" s="52"/>
      <c r="CS136" s="52"/>
      <c r="CT136" s="52"/>
      <c r="CU136" s="52"/>
      <c r="CV136" s="52"/>
      <c r="CW136" s="52"/>
      <c r="CX136" s="52"/>
      <c r="CY136" s="52"/>
      <c r="CZ136" s="52"/>
      <c r="DA136" s="52"/>
      <c r="DB136" s="52"/>
      <c r="DC136" s="52"/>
      <c r="DD136" s="52"/>
      <c r="DE136" s="52">
        <v>195</v>
      </c>
      <c r="DF136" s="52"/>
      <c r="DG136" s="52">
        <v>195</v>
      </c>
      <c r="DH136" s="52"/>
    </row>
    <row r="137" spans="1:112">
      <c r="A137" s="150" t="s">
        <v>411</v>
      </c>
      <c r="B137" s="44">
        <v>3525</v>
      </c>
      <c r="C137" s="44" t="s">
        <v>185</v>
      </c>
      <c r="D137" s="52">
        <v>52176</v>
      </c>
      <c r="E137" s="52"/>
      <c r="F137" s="52"/>
      <c r="G137" s="52"/>
      <c r="H137" s="56"/>
      <c r="I137" s="56">
        <v>63621</v>
      </c>
      <c r="J137" s="56"/>
      <c r="K137" s="56"/>
      <c r="L137" s="52"/>
      <c r="M137" s="52"/>
      <c r="N137" s="52"/>
      <c r="O137" s="52"/>
      <c r="P137" s="52"/>
      <c r="Q137" s="52"/>
      <c r="R137" s="52"/>
      <c r="S137" s="52"/>
      <c r="T137" s="52"/>
      <c r="U137" s="52">
        <v>138240</v>
      </c>
      <c r="V137" s="52">
        <v>33932</v>
      </c>
      <c r="W137" s="52"/>
      <c r="X137" s="52"/>
      <c r="Y137" s="52"/>
      <c r="Z137" s="52"/>
      <c r="AA137" s="52"/>
      <c r="AB137" s="52"/>
      <c r="AC137" s="52"/>
      <c r="AD137" s="52"/>
      <c r="AE137" s="52"/>
      <c r="AF137" s="52">
        <v>55295</v>
      </c>
      <c r="AG137" s="52"/>
      <c r="AH137" s="52"/>
      <c r="AI137" s="52"/>
      <c r="AJ137" s="52"/>
      <c r="AK137" s="52"/>
      <c r="AL137" s="52"/>
      <c r="AM137" s="52">
        <v>23583</v>
      </c>
      <c r="AN137" s="52"/>
      <c r="AO137" s="52"/>
      <c r="AP137" s="52"/>
      <c r="AQ137" s="52"/>
      <c r="AR137" s="52"/>
      <c r="AS137" s="52"/>
      <c r="AT137" s="52"/>
      <c r="AU137" s="52"/>
      <c r="AV137" s="52"/>
      <c r="AW137" s="52">
        <v>31734</v>
      </c>
      <c r="AX137" s="52"/>
      <c r="AY137" s="101">
        <v>562823</v>
      </c>
      <c r="AZ137" s="52"/>
      <c r="BA137" s="52"/>
      <c r="BB137" s="52"/>
      <c r="BC137" s="52"/>
      <c r="BD137" s="52"/>
      <c r="BE137" s="52"/>
      <c r="BF137" s="52"/>
      <c r="BG137" s="52"/>
      <c r="BH137" s="52">
        <v>48341</v>
      </c>
      <c r="BI137" s="52">
        <v>110562</v>
      </c>
      <c r="BJ137" s="52">
        <v>69699</v>
      </c>
      <c r="BK137" s="52">
        <v>51471</v>
      </c>
      <c r="BL137" s="52">
        <v>41574</v>
      </c>
      <c r="BM137" s="52">
        <v>225871</v>
      </c>
      <c r="BN137" s="52">
        <v>113295</v>
      </c>
      <c r="BO137" s="52">
        <v>8962</v>
      </c>
      <c r="BP137" s="52">
        <v>51637</v>
      </c>
      <c r="BQ137" s="52">
        <v>166207</v>
      </c>
      <c r="BR137" s="52">
        <v>31616</v>
      </c>
      <c r="BS137" s="52"/>
      <c r="BT137" s="52">
        <v>45420</v>
      </c>
      <c r="BU137" s="52">
        <v>27671</v>
      </c>
      <c r="BV137" s="52">
        <v>31195</v>
      </c>
      <c r="BW137" s="52">
        <v>22252</v>
      </c>
      <c r="BX137" s="52">
        <v>63869</v>
      </c>
      <c r="BY137" s="52">
        <v>67699</v>
      </c>
      <c r="BZ137" s="52">
        <v>163289</v>
      </c>
      <c r="CA137" s="52"/>
      <c r="CB137" s="52">
        <v>83686</v>
      </c>
      <c r="CC137" s="52">
        <v>60290</v>
      </c>
      <c r="CD137" s="52">
        <v>81791</v>
      </c>
      <c r="CE137" s="52"/>
      <c r="CF137" s="52">
        <v>222429</v>
      </c>
      <c r="CG137" s="52">
        <v>222392</v>
      </c>
      <c r="CH137" s="52">
        <v>160147</v>
      </c>
      <c r="CI137" s="52">
        <v>43469</v>
      </c>
      <c r="CJ137" s="52">
        <v>45874</v>
      </c>
      <c r="CK137" s="52">
        <v>66150</v>
      </c>
      <c r="CL137" s="52">
        <v>13489</v>
      </c>
      <c r="CM137" s="52">
        <v>32724</v>
      </c>
      <c r="CN137" s="52">
        <v>73976</v>
      </c>
      <c r="CO137" s="52">
        <v>62453</v>
      </c>
      <c r="CP137" s="52">
        <v>69717</v>
      </c>
      <c r="CQ137" s="52">
        <v>47657</v>
      </c>
      <c r="CR137" s="52">
        <v>53503</v>
      </c>
      <c r="CS137" s="52">
        <v>56862</v>
      </c>
      <c r="CT137" s="52">
        <v>180697</v>
      </c>
      <c r="CU137" s="52">
        <v>83736</v>
      </c>
      <c r="CV137" s="52"/>
      <c r="CW137" s="52">
        <v>65653</v>
      </c>
      <c r="CX137" s="52">
        <v>96834</v>
      </c>
      <c r="CY137" s="52">
        <v>65445</v>
      </c>
      <c r="CZ137" s="52">
        <v>109729</v>
      </c>
      <c r="DA137" s="52">
        <v>187765</v>
      </c>
      <c r="DB137" s="52">
        <v>114267</v>
      </c>
      <c r="DC137" s="52">
        <v>63500</v>
      </c>
      <c r="DD137" s="52">
        <v>67435</v>
      </c>
      <c r="DE137" s="52">
        <v>4602769</v>
      </c>
      <c r="DF137" s="52">
        <v>130935</v>
      </c>
      <c r="DG137" s="52">
        <v>4733704</v>
      </c>
      <c r="DH137" s="52"/>
    </row>
    <row r="138" spans="1:112">
      <c r="A138" s="150" t="s">
        <v>411</v>
      </c>
      <c r="B138" s="44">
        <v>3527</v>
      </c>
      <c r="C138" s="44" t="s">
        <v>186</v>
      </c>
      <c r="D138" s="52">
        <v>3248</v>
      </c>
      <c r="E138" s="52">
        <v>7648</v>
      </c>
      <c r="F138" s="52"/>
      <c r="G138" s="52"/>
      <c r="H138" s="56">
        <v>11854</v>
      </c>
      <c r="I138" s="56"/>
      <c r="J138" s="56">
        <v>2395</v>
      </c>
      <c r="K138" s="56">
        <v>4241</v>
      </c>
      <c r="L138" s="52">
        <v>5191</v>
      </c>
      <c r="M138" s="52"/>
      <c r="N138" s="52"/>
      <c r="O138" s="52">
        <v>2754</v>
      </c>
      <c r="P138" s="52">
        <v>2325</v>
      </c>
      <c r="Q138" s="52">
        <v>2381</v>
      </c>
      <c r="R138" s="52">
        <v>2381</v>
      </c>
      <c r="S138" s="52">
        <v>2971</v>
      </c>
      <c r="T138" s="52"/>
      <c r="U138" s="52">
        <v>6727</v>
      </c>
      <c r="V138" s="52"/>
      <c r="W138" s="52">
        <v>7807</v>
      </c>
      <c r="X138" s="52"/>
      <c r="Y138" s="52">
        <v>12681</v>
      </c>
      <c r="Z138" s="52">
        <v>5372</v>
      </c>
      <c r="AA138" s="52">
        <v>3758</v>
      </c>
      <c r="AB138" s="52">
        <v>4051</v>
      </c>
      <c r="AC138" s="52">
        <v>2200</v>
      </c>
      <c r="AD138" s="52">
        <v>1430</v>
      </c>
      <c r="AE138" s="52">
        <v>2381</v>
      </c>
      <c r="AF138" s="52"/>
      <c r="AG138" s="52">
        <v>3764</v>
      </c>
      <c r="AH138" s="52">
        <v>4445</v>
      </c>
      <c r="AI138" s="52"/>
      <c r="AJ138" s="52">
        <v>545</v>
      </c>
      <c r="AK138" s="52">
        <v>3040</v>
      </c>
      <c r="AL138" s="52">
        <v>2699</v>
      </c>
      <c r="AM138" s="52"/>
      <c r="AN138" s="52">
        <v>7872</v>
      </c>
      <c r="AO138" s="52">
        <v>1070</v>
      </c>
      <c r="AP138" s="52"/>
      <c r="AQ138" s="52">
        <v>3318</v>
      </c>
      <c r="AR138" s="52">
        <v>450</v>
      </c>
      <c r="AS138" s="52">
        <v>4620</v>
      </c>
      <c r="AT138" s="52">
        <v>2659</v>
      </c>
      <c r="AU138" s="52"/>
      <c r="AV138" s="52"/>
      <c r="AW138" s="52">
        <v>2717</v>
      </c>
      <c r="AX138" s="52">
        <v>4696</v>
      </c>
      <c r="AY138" s="101">
        <v>253990</v>
      </c>
      <c r="AZ138" s="52">
        <v>4425</v>
      </c>
      <c r="BA138" s="52">
        <v>2681</v>
      </c>
      <c r="BB138" s="52">
        <v>2704</v>
      </c>
      <c r="BC138" s="52"/>
      <c r="BD138" s="52">
        <v>2978</v>
      </c>
      <c r="BE138" s="52"/>
      <c r="BF138" s="52">
        <v>10750</v>
      </c>
      <c r="BG138" s="52">
        <v>3043</v>
      </c>
      <c r="BH138" s="52">
        <v>2974</v>
      </c>
      <c r="BI138" s="52">
        <v>4819</v>
      </c>
      <c r="BJ138" s="52">
        <v>527</v>
      </c>
      <c r="BK138" s="52">
        <v>3372</v>
      </c>
      <c r="BL138" s="52">
        <v>5878</v>
      </c>
      <c r="BM138" s="52"/>
      <c r="BN138" s="52">
        <v>5699</v>
      </c>
      <c r="BO138" s="52">
        <v>2871</v>
      </c>
      <c r="BP138" s="52">
        <v>3112</v>
      </c>
      <c r="BQ138" s="52">
        <v>6177</v>
      </c>
      <c r="BR138" s="52">
        <v>2381</v>
      </c>
      <c r="BS138" s="52"/>
      <c r="BT138" s="52">
        <v>1760</v>
      </c>
      <c r="BU138" s="52">
        <v>1320</v>
      </c>
      <c r="BV138" s="52">
        <v>2381</v>
      </c>
      <c r="BW138" s="52"/>
      <c r="BX138" s="52"/>
      <c r="BY138" s="52">
        <v>3831</v>
      </c>
      <c r="BZ138" s="52">
        <v>5007</v>
      </c>
      <c r="CA138" s="52"/>
      <c r="CB138" s="52">
        <v>3538</v>
      </c>
      <c r="CC138" s="52">
        <v>3304</v>
      </c>
      <c r="CD138" s="52">
        <v>4201</v>
      </c>
      <c r="CE138" s="52"/>
      <c r="CF138" s="52">
        <v>5737</v>
      </c>
      <c r="CG138" s="52">
        <v>4761</v>
      </c>
      <c r="CH138" s="52">
        <v>4857</v>
      </c>
      <c r="CI138" s="52">
        <v>2890</v>
      </c>
      <c r="CJ138" s="52">
        <v>3480</v>
      </c>
      <c r="CK138" s="52">
        <v>4033</v>
      </c>
      <c r="CL138" s="52">
        <v>3031</v>
      </c>
      <c r="CM138" s="52">
        <v>2948</v>
      </c>
      <c r="CN138" s="52">
        <v>3883</v>
      </c>
      <c r="CO138" s="52">
        <v>4520</v>
      </c>
      <c r="CP138" s="52">
        <v>4584</v>
      </c>
      <c r="CQ138" s="52"/>
      <c r="CR138" s="52"/>
      <c r="CS138" s="52"/>
      <c r="CT138" s="52">
        <v>8498</v>
      </c>
      <c r="CU138" s="52">
        <v>5800</v>
      </c>
      <c r="CV138" s="52"/>
      <c r="CW138" s="52">
        <v>3471</v>
      </c>
      <c r="CX138" s="52">
        <v>2400</v>
      </c>
      <c r="CY138" s="52"/>
      <c r="CZ138" s="52">
        <v>3621</v>
      </c>
      <c r="DA138" s="52">
        <v>5869</v>
      </c>
      <c r="DB138" s="52">
        <v>3909</v>
      </c>
      <c r="DC138" s="52"/>
      <c r="DD138" s="52"/>
      <c r="DE138" s="52">
        <v>557706</v>
      </c>
      <c r="DF138" s="52"/>
      <c r="DG138" s="52">
        <v>557706</v>
      </c>
      <c r="DH138" s="52"/>
    </row>
    <row r="139" spans="1:112">
      <c r="A139" s="150" t="s">
        <v>411</v>
      </c>
      <c r="B139" s="44">
        <v>3529</v>
      </c>
      <c r="C139" s="44" t="s">
        <v>143</v>
      </c>
      <c r="D139" s="52">
        <v>9190</v>
      </c>
      <c r="E139" s="52">
        <v>47865</v>
      </c>
      <c r="F139" s="52">
        <v>1433</v>
      </c>
      <c r="G139" s="52"/>
      <c r="H139" s="56"/>
      <c r="I139" s="56"/>
      <c r="J139" s="56">
        <v>5972</v>
      </c>
      <c r="K139" s="56"/>
      <c r="L139" s="52"/>
      <c r="M139" s="52"/>
      <c r="N139" s="52"/>
      <c r="O139" s="52"/>
      <c r="P139" s="52">
        <v>40062</v>
      </c>
      <c r="Q139" s="52">
        <v>7650</v>
      </c>
      <c r="R139" s="52">
        <v>662</v>
      </c>
      <c r="S139" s="52">
        <v>9003</v>
      </c>
      <c r="T139" s="52"/>
      <c r="U139" s="52">
        <v>175925</v>
      </c>
      <c r="V139" s="52"/>
      <c r="W139" s="52">
        <v>41318</v>
      </c>
      <c r="X139" s="52">
        <v>8753</v>
      </c>
      <c r="Y139" s="52">
        <v>444981</v>
      </c>
      <c r="Z139" s="52">
        <v>47240</v>
      </c>
      <c r="AA139" s="52">
        <v>94510</v>
      </c>
      <c r="AB139" s="52">
        <v>32079</v>
      </c>
      <c r="AC139" s="52">
        <v>12759</v>
      </c>
      <c r="AD139" s="52">
        <v>7474</v>
      </c>
      <c r="AE139" s="52">
        <v>4096</v>
      </c>
      <c r="AF139" s="52"/>
      <c r="AG139" s="52">
        <v>84692</v>
      </c>
      <c r="AH139" s="52">
        <v>48939</v>
      </c>
      <c r="AI139" s="52"/>
      <c r="AJ139" s="52">
        <v>4833</v>
      </c>
      <c r="AK139" s="52">
        <v>20949</v>
      </c>
      <c r="AL139" s="52"/>
      <c r="AM139" s="52"/>
      <c r="AN139" s="52"/>
      <c r="AO139" s="52">
        <v>10237</v>
      </c>
      <c r="AP139" s="52"/>
      <c r="AQ139" s="52">
        <v>7509</v>
      </c>
      <c r="AR139" s="52">
        <v>66320</v>
      </c>
      <c r="AS139" s="52">
        <v>76427</v>
      </c>
      <c r="AT139" s="52"/>
      <c r="AU139" s="52">
        <v>56805</v>
      </c>
      <c r="AV139" s="52">
        <v>7104</v>
      </c>
      <c r="AW139" s="52"/>
      <c r="AX139" s="52">
        <v>18663</v>
      </c>
      <c r="AY139" s="101">
        <v>190731</v>
      </c>
      <c r="AZ139" s="52">
        <v>11975</v>
      </c>
      <c r="BA139" s="52">
        <v>13167</v>
      </c>
      <c r="BB139" s="52"/>
      <c r="BC139" s="52"/>
      <c r="BD139" s="52">
        <v>37</v>
      </c>
      <c r="BE139" s="52">
        <v>1005</v>
      </c>
      <c r="BF139" s="52">
        <v>15526</v>
      </c>
      <c r="BG139" s="52">
        <v>18638</v>
      </c>
      <c r="BH139" s="52">
        <v>34853</v>
      </c>
      <c r="BI139" s="52">
        <v>23090</v>
      </c>
      <c r="BJ139" s="52">
        <v>2685</v>
      </c>
      <c r="BK139" s="52">
        <v>20099</v>
      </c>
      <c r="BL139" s="52">
        <v>58234</v>
      </c>
      <c r="BM139" s="52"/>
      <c r="BN139" s="52">
        <v>20000</v>
      </c>
      <c r="BO139" s="52">
        <v>9500</v>
      </c>
      <c r="BP139" s="52">
        <v>9680</v>
      </c>
      <c r="BQ139" s="52"/>
      <c r="BR139" s="52">
        <v>7877</v>
      </c>
      <c r="BS139" s="52"/>
      <c r="BT139" s="52">
        <v>174</v>
      </c>
      <c r="BU139" s="52">
        <v>5824</v>
      </c>
      <c r="BV139" s="52"/>
      <c r="BW139" s="52"/>
      <c r="BX139" s="52">
        <v>55033</v>
      </c>
      <c r="BY139" s="52">
        <v>7850</v>
      </c>
      <c r="BZ139" s="52"/>
      <c r="CA139" s="52"/>
      <c r="CB139" s="52">
        <v>52469</v>
      </c>
      <c r="CC139" s="52">
        <v>66465</v>
      </c>
      <c r="CD139" s="52">
        <v>43456</v>
      </c>
      <c r="CE139" s="52"/>
      <c r="CF139" s="52"/>
      <c r="CG139" s="52">
        <v>156030</v>
      </c>
      <c r="CH139" s="52"/>
      <c r="CI139" s="52"/>
      <c r="CJ139" s="52"/>
      <c r="CK139" s="52"/>
      <c r="CL139" s="52"/>
      <c r="CM139" s="52"/>
      <c r="CN139" s="52"/>
      <c r="CO139" s="52">
        <v>7173</v>
      </c>
      <c r="CP139" s="52">
        <v>56480</v>
      </c>
      <c r="CQ139" s="52"/>
      <c r="CR139" s="52"/>
      <c r="CS139" s="52"/>
      <c r="CT139" s="52">
        <v>21954</v>
      </c>
      <c r="CU139" s="52">
        <v>697</v>
      </c>
      <c r="CV139" s="52"/>
      <c r="CW139" s="52">
        <v>35949</v>
      </c>
      <c r="CX139" s="52">
        <v>10806</v>
      </c>
      <c r="CY139" s="52"/>
      <c r="CZ139" s="52"/>
      <c r="DA139" s="52">
        <v>15428</v>
      </c>
      <c r="DB139" s="52"/>
      <c r="DC139" s="52"/>
      <c r="DD139" s="52"/>
      <c r="DE139" s="52">
        <v>2366335</v>
      </c>
      <c r="DF139" s="52"/>
      <c r="DG139" s="52">
        <v>2366335</v>
      </c>
      <c r="DH139" s="52"/>
    </row>
    <row r="140" spans="1:112">
      <c r="A140" s="150" t="s">
        <v>411</v>
      </c>
      <c r="B140" s="44">
        <v>3530</v>
      </c>
      <c r="C140" s="44" t="s">
        <v>187</v>
      </c>
      <c r="D140" s="52">
        <v>26878</v>
      </c>
      <c r="E140" s="52">
        <v>85069</v>
      </c>
      <c r="F140" s="52">
        <v>9624</v>
      </c>
      <c r="G140" s="52"/>
      <c r="H140" s="56">
        <v>17346</v>
      </c>
      <c r="I140" s="56">
        <v>18824</v>
      </c>
      <c r="J140" s="56">
        <v>10045</v>
      </c>
      <c r="K140" s="56">
        <v>9050</v>
      </c>
      <c r="L140" s="52">
        <v>48176</v>
      </c>
      <c r="M140" s="52"/>
      <c r="N140" s="52"/>
      <c r="O140" s="52">
        <v>9548</v>
      </c>
      <c r="P140" s="52">
        <v>4525</v>
      </c>
      <c r="Q140" s="52"/>
      <c r="R140" s="52"/>
      <c r="S140" s="52">
        <v>32338</v>
      </c>
      <c r="T140" s="52"/>
      <c r="U140" s="52">
        <v>67890</v>
      </c>
      <c r="V140" s="52"/>
      <c r="W140" s="52">
        <v>133758</v>
      </c>
      <c r="X140" s="52">
        <v>8605</v>
      </c>
      <c r="Y140" s="52">
        <v>257591</v>
      </c>
      <c r="Z140" s="52">
        <v>74826</v>
      </c>
      <c r="AA140" s="52">
        <v>29027</v>
      </c>
      <c r="AB140" s="52">
        <v>45777</v>
      </c>
      <c r="AC140" s="52"/>
      <c r="AD140" s="52">
        <v>11493</v>
      </c>
      <c r="AE140" s="52"/>
      <c r="AF140" s="52"/>
      <c r="AG140" s="52">
        <v>31992</v>
      </c>
      <c r="AH140" s="52">
        <v>80228</v>
      </c>
      <c r="AI140" s="52"/>
      <c r="AJ140" s="52">
        <v>17632</v>
      </c>
      <c r="AK140" s="52">
        <v>38619</v>
      </c>
      <c r="AL140" s="52">
        <v>23424</v>
      </c>
      <c r="AM140" s="52"/>
      <c r="AN140" s="52">
        <v>119761</v>
      </c>
      <c r="AO140" s="52">
        <v>28643</v>
      </c>
      <c r="AP140" s="52"/>
      <c r="AQ140" s="52">
        <v>16697</v>
      </c>
      <c r="AR140" s="52">
        <v>7551</v>
      </c>
      <c r="AS140" s="52">
        <v>156274</v>
      </c>
      <c r="AT140" s="52">
        <v>5671</v>
      </c>
      <c r="AU140" s="52">
        <v>21317</v>
      </c>
      <c r="AV140" s="52">
        <v>5732</v>
      </c>
      <c r="AW140" s="52">
        <v>9517</v>
      </c>
      <c r="AX140" s="52">
        <v>86170</v>
      </c>
      <c r="AY140" s="101">
        <v>451575</v>
      </c>
      <c r="AZ140" s="52">
        <v>67859</v>
      </c>
      <c r="BA140" s="52">
        <v>3706</v>
      </c>
      <c r="BB140" s="52"/>
      <c r="BC140" s="52"/>
      <c r="BD140" s="52">
        <v>5717</v>
      </c>
      <c r="BE140" s="52">
        <v>14374</v>
      </c>
      <c r="BF140" s="52">
        <v>196851</v>
      </c>
      <c r="BG140" s="52">
        <v>29212</v>
      </c>
      <c r="BH140" s="52">
        <v>54372</v>
      </c>
      <c r="BI140" s="52">
        <v>105733</v>
      </c>
      <c r="BJ140" s="52">
        <v>10498</v>
      </c>
      <c r="BK140" s="52">
        <v>27874</v>
      </c>
      <c r="BL140" s="52">
        <v>24007</v>
      </c>
      <c r="BM140" s="52">
        <v>70952</v>
      </c>
      <c r="BN140" s="52">
        <v>51630</v>
      </c>
      <c r="BO140" s="52">
        <v>14329</v>
      </c>
      <c r="BP140" s="52">
        <v>3576</v>
      </c>
      <c r="BQ140" s="52">
        <v>54058</v>
      </c>
      <c r="BR140" s="52"/>
      <c r="BS140" s="52"/>
      <c r="BT140" s="52">
        <v>20800</v>
      </c>
      <c r="BU140" s="52">
        <v>24797</v>
      </c>
      <c r="BV140" s="52"/>
      <c r="BW140" s="52"/>
      <c r="BX140" s="52">
        <v>31268</v>
      </c>
      <c r="BY140" s="52">
        <v>22399</v>
      </c>
      <c r="BZ140" s="52">
        <v>22474</v>
      </c>
      <c r="CA140" s="52"/>
      <c r="CB140" s="52">
        <v>34148</v>
      </c>
      <c r="CC140" s="52">
        <v>13892</v>
      </c>
      <c r="CD140" s="52">
        <v>35114</v>
      </c>
      <c r="CE140" s="52"/>
      <c r="CF140" s="52">
        <v>64043</v>
      </c>
      <c r="CG140" s="52">
        <v>130275</v>
      </c>
      <c r="CH140" s="52">
        <v>77445</v>
      </c>
      <c r="CI140" s="52">
        <v>4072</v>
      </c>
      <c r="CJ140" s="52">
        <v>16893</v>
      </c>
      <c r="CK140" s="52">
        <v>37762</v>
      </c>
      <c r="CL140" s="52">
        <v>14887</v>
      </c>
      <c r="CM140" s="52"/>
      <c r="CN140" s="52">
        <v>12248</v>
      </c>
      <c r="CO140" s="52">
        <v>29412</v>
      </c>
      <c r="CP140" s="52">
        <v>264027</v>
      </c>
      <c r="CQ140" s="52"/>
      <c r="CR140" s="52"/>
      <c r="CS140" s="52"/>
      <c r="CT140" s="52">
        <v>77980</v>
      </c>
      <c r="CU140" s="52">
        <v>37120</v>
      </c>
      <c r="CV140" s="52"/>
      <c r="CW140" s="52">
        <v>28251</v>
      </c>
      <c r="CX140" s="52">
        <v>69711</v>
      </c>
      <c r="CY140" s="52">
        <v>31586</v>
      </c>
      <c r="CZ140" s="52">
        <v>20634</v>
      </c>
      <c r="DA140" s="52">
        <v>51766</v>
      </c>
      <c r="DB140" s="52">
        <v>16154</v>
      </c>
      <c r="DC140" s="52"/>
      <c r="DD140" s="52"/>
      <c r="DE140" s="52">
        <v>3925099</v>
      </c>
      <c r="DF140" s="52"/>
      <c r="DG140" s="52">
        <v>3925099</v>
      </c>
      <c r="DH140" s="52"/>
    </row>
    <row r="141" spans="1:112">
      <c r="A141" s="150" t="s">
        <v>411</v>
      </c>
      <c r="B141" s="44">
        <v>3532</v>
      </c>
      <c r="C141" s="44" t="s">
        <v>188</v>
      </c>
      <c r="D141" s="52">
        <v>443377</v>
      </c>
      <c r="E141" s="52">
        <v>708249</v>
      </c>
      <c r="F141" s="52">
        <v>22100</v>
      </c>
      <c r="G141" s="52">
        <v>8940</v>
      </c>
      <c r="H141" s="56">
        <v>586648</v>
      </c>
      <c r="I141" s="56">
        <v>214560</v>
      </c>
      <c r="J141" s="56">
        <v>178800</v>
      </c>
      <c r="K141" s="56">
        <v>151509</v>
      </c>
      <c r="L141" s="52">
        <v>820111</v>
      </c>
      <c r="M141" s="52">
        <v>10719</v>
      </c>
      <c r="N141" s="52">
        <v>53640</v>
      </c>
      <c r="O141" s="52">
        <v>53640</v>
      </c>
      <c r="P141" s="52"/>
      <c r="Q141" s="52">
        <v>17880</v>
      </c>
      <c r="R141" s="52">
        <v>8940</v>
      </c>
      <c r="S141" s="52">
        <v>100128</v>
      </c>
      <c r="T141" s="52"/>
      <c r="U141" s="52">
        <v>911880</v>
      </c>
      <c r="V141" s="52"/>
      <c r="W141" s="52">
        <v>1554013</v>
      </c>
      <c r="X141" s="52">
        <v>107070</v>
      </c>
      <c r="Y141" s="52">
        <v>2929638</v>
      </c>
      <c r="Z141" s="52">
        <v>268200</v>
      </c>
      <c r="AA141" s="52">
        <v>443496</v>
      </c>
      <c r="AB141" s="52">
        <v>544668</v>
      </c>
      <c r="AC141" s="52">
        <v>26820</v>
      </c>
      <c r="AD141" s="52">
        <v>205620</v>
      </c>
      <c r="AE141" s="52">
        <v>89400</v>
      </c>
      <c r="AF141" s="52">
        <v>17880</v>
      </c>
      <c r="AG141" s="52">
        <v>168992</v>
      </c>
      <c r="AH141" s="52">
        <v>522425</v>
      </c>
      <c r="AI141" s="52"/>
      <c r="AJ141" s="52">
        <v>8892</v>
      </c>
      <c r="AK141" s="52">
        <v>133735</v>
      </c>
      <c r="AL141" s="52">
        <v>35760</v>
      </c>
      <c r="AM141" s="52"/>
      <c r="AN141" s="52">
        <v>992340</v>
      </c>
      <c r="AO141" s="52">
        <v>35760</v>
      </c>
      <c r="AP141" s="52"/>
      <c r="AQ141" s="52">
        <v>250320</v>
      </c>
      <c r="AR141" s="52">
        <v>160872</v>
      </c>
      <c r="AS141" s="52">
        <v>688379</v>
      </c>
      <c r="AT141" s="52">
        <v>37548</v>
      </c>
      <c r="AU141" s="52">
        <v>71520</v>
      </c>
      <c r="AV141" s="52">
        <v>15245</v>
      </c>
      <c r="AW141" s="52">
        <v>169860</v>
      </c>
      <c r="AX141" s="52">
        <v>929760</v>
      </c>
      <c r="AY141" s="101">
        <v>3197189</v>
      </c>
      <c r="AZ141" s="52">
        <v>627588</v>
      </c>
      <c r="BA141" s="52">
        <v>107280</v>
      </c>
      <c r="BB141" s="52">
        <v>62580</v>
      </c>
      <c r="BC141" s="52">
        <v>17880</v>
      </c>
      <c r="BD141" s="52">
        <v>160920</v>
      </c>
      <c r="BE141" s="52">
        <v>35760</v>
      </c>
      <c r="BF141" s="52">
        <v>1529351</v>
      </c>
      <c r="BG141" s="52">
        <v>11593</v>
      </c>
      <c r="BH141" s="52">
        <v>891127</v>
      </c>
      <c r="BI141" s="52">
        <v>560261</v>
      </c>
      <c r="BJ141" s="52">
        <v>178617</v>
      </c>
      <c r="BK141" s="52">
        <v>143040</v>
      </c>
      <c r="BL141" s="52">
        <v>39336</v>
      </c>
      <c r="BM141" s="52">
        <v>1465313</v>
      </c>
      <c r="BN141" s="52">
        <v>905175</v>
      </c>
      <c r="BO141" s="52">
        <v>151980</v>
      </c>
      <c r="BP141" s="52">
        <v>240210</v>
      </c>
      <c r="BQ141" s="52">
        <v>2215417</v>
      </c>
      <c r="BR141" s="52">
        <v>44700</v>
      </c>
      <c r="BS141" s="52"/>
      <c r="BT141" s="52">
        <v>107280</v>
      </c>
      <c r="BU141" s="52">
        <v>35760</v>
      </c>
      <c r="BV141" s="52">
        <v>62580</v>
      </c>
      <c r="BW141" s="52"/>
      <c r="BX141" s="52">
        <v>172307</v>
      </c>
      <c r="BY141" s="52">
        <v>376902</v>
      </c>
      <c r="BZ141" s="52">
        <v>802670</v>
      </c>
      <c r="CA141" s="52"/>
      <c r="CB141" s="52"/>
      <c r="CC141" s="52">
        <v>80460</v>
      </c>
      <c r="CD141" s="52">
        <v>151980</v>
      </c>
      <c r="CE141" s="52"/>
      <c r="CF141" s="52">
        <v>910977</v>
      </c>
      <c r="CG141" s="52">
        <v>1790631</v>
      </c>
      <c r="CH141" s="52">
        <v>3338920</v>
      </c>
      <c r="CI141" s="52">
        <v>26820</v>
      </c>
      <c r="CJ141" s="52">
        <v>165296</v>
      </c>
      <c r="CK141" s="52">
        <v>492945</v>
      </c>
      <c r="CL141" s="52">
        <v>196680</v>
      </c>
      <c r="CM141" s="52">
        <v>125160</v>
      </c>
      <c r="CN141" s="52">
        <v>363477</v>
      </c>
      <c r="CO141" s="52">
        <v>415898</v>
      </c>
      <c r="CP141" s="52">
        <v>461484</v>
      </c>
      <c r="CQ141" s="52">
        <v>44700</v>
      </c>
      <c r="CR141" s="52">
        <v>8940</v>
      </c>
      <c r="CS141" s="52">
        <v>17880</v>
      </c>
      <c r="CT141" s="52">
        <v>187328</v>
      </c>
      <c r="CU141" s="52">
        <v>480972</v>
      </c>
      <c r="CV141" s="52"/>
      <c r="CW141" s="52">
        <v>139619</v>
      </c>
      <c r="CX141" s="52">
        <v>44700</v>
      </c>
      <c r="CY141" s="52">
        <v>209031</v>
      </c>
      <c r="CZ141" s="52">
        <v>411240</v>
      </c>
      <c r="DA141" s="52">
        <v>1622060</v>
      </c>
      <c r="DB141" s="52">
        <v>986610</v>
      </c>
      <c r="DC141" s="52">
        <v>54769</v>
      </c>
      <c r="DD141" s="52"/>
      <c r="DE141" s="52">
        <v>41515958</v>
      </c>
      <c r="DF141" s="52">
        <v>54769</v>
      </c>
      <c r="DG141" s="52">
        <v>41570727</v>
      </c>
      <c r="DH141" s="52"/>
    </row>
    <row r="142" spans="1:112">
      <c r="A142" s="150" t="s">
        <v>411</v>
      </c>
      <c r="B142" s="44">
        <v>3533</v>
      </c>
      <c r="C142" s="44" t="s">
        <v>189</v>
      </c>
      <c r="D142" s="52">
        <v>1077</v>
      </c>
      <c r="E142" s="52">
        <v>1077</v>
      </c>
      <c r="F142" s="52"/>
      <c r="G142" s="52"/>
      <c r="H142" s="56">
        <v>1077</v>
      </c>
      <c r="I142" s="56">
        <v>1077</v>
      </c>
      <c r="J142" s="56">
        <v>1077</v>
      </c>
      <c r="K142" s="56">
        <v>1077</v>
      </c>
      <c r="L142" s="52">
        <v>1077</v>
      </c>
      <c r="M142" s="52"/>
      <c r="N142" s="52"/>
      <c r="O142" s="52"/>
      <c r="P142" s="52">
        <v>1077</v>
      </c>
      <c r="Q142" s="52">
        <v>1077</v>
      </c>
      <c r="R142" s="52">
        <v>1077</v>
      </c>
      <c r="S142" s="52">
        <v>1077</v>
      </c>
      <c r="T142" s="52"/>
      <c r="U142" s="52">
        <v>1077</v>
      </c>
      <c r="V142" s="52"/>
      <c r="W142" s="52">
        <v>1077</v>
      </c>
      <c r="X142" s="52">
        <v>1077</v>
      </c>
      <c r="Y142" s="52">
        <v>1077</v>
      </c>
      <c r="Z142" s="52">
        <v>1077</v>
      </c>
      <c r="AA142" s="52">
        <v>1077</v>
      </c>
      <c r="AB142" s="52">
        <v>1073</v>
      </c>
      <c r="AC142" s="52">
        <v>1077</v>
      </c>
      <c r="AD142" s="52">
        <v>1077</v>
      </c>
      <c r="AE142" s="52">
        <v>1077</v>
      </c>
      <c r="AF142" s="52"/>
      <c r="AG142" s="52">
        <v>1076</v>
      </c>
      <c r="AH142" s="52">
        <v>10765</v>
      </c>
      <c r="AI142" s="52"/>
      <c r="AJ142" s="52">
        <v>1077</v>
      </c>
      <c r="AK142" s="52">
        <v>1077</v>
      </c>
      <c r="AL142" s="52">
        <v>1076</v>
      </c>
      <c r="AM142" s="52"/>
      <c r="AN142" s="52">
        <v>1076</v>
      </c>
      <c r="AO142" s="52">
        <v>1076</v>
      </c>
      <c r="AP142" s="52"/>
      <c r="AQ142" s="52">
        <v>1077</v>
      </c>
      <c r="AR142" s="52">
        <v>1077</v>
      </c>
      <c r="AS142" s="52">
        <v>1077</v>
      </c>
      <c r="AT142" s="52">
        <v>1077</v>
      </c>
      <c r="AU142" s="52"/>
      <c r="AV142" s="52">
        <v>1077</v>
      </c>
      <c r="AW142" s="52">
        <v>1076</v>
      </c>
      <c r="AX142" s="52">
        <v>1077</v>
      </c>
      <c r="AY142" s="101">
        <v>1077</v>
      </c>
      <c r="AZ142" s="52">
        <v>1077</v>
      </c>
      <c r="BA142" s="52">
        <v>1077</v>
      </c>
      <c r="BB142" s="52">
        <v>1077</v>
      </c>
      <c r="BC142" s="52"/>
      <c r="BD142" s="52">
        <v>1077</v>
      </c>
      <c r="BE142" s="52">
        <v>1077</v>
      </c>
      <c r="BF142" s="52">
        <v>1077</v>
      </c>
      <c r="BG142" s="52">
        <v>1076</v>
      </c>
      <c r="BH142" s="52">
        <v>26913</v>
      </c>
      <c r="BI142" s="52">
        <v>1077</v>
      </c>
      <c r="BJ142" s="52">
        <v>1077</v>
      </c>
      <c r="BK142" s="52">
        <v>1077</v>
      </c>
      <c r="BL142" s="52">
        <v>1077</v>
      </c>
      <c r="BM142" s="52">
        <v>1077</v>
      </c>
      <c r="BN142" s="52">
        <v>1077</v>
      </c>
      <c r="BO142" s="52">
        <v>1077</v>
      </c>
      <c r="BP142" s="52">
        <v>1077</v>
      </c>
      <c r="BQ142" s="52">
        <v>1077</v>
      </c>
      <c r="BR142" s="52">
        <v>1077</v>
      </c>
      <c r="BS142" s="52"/>
      <c r="BT142" s="52">
        <v>1077</v>
      </c>
      <c r="BU142" s="52">
        <v>1076</v>
      </c>
      <c r="BV142" s="52">
        <v>1076</v>
      </c>
      <c r="BW142" s="52"/>
      <c r="BX142" s="52">
        <v>1077</v>
      </c>
      <c r="BY142" s="52">
        <v>1077</v>
      </c>
      <c r="BZ142" s="52">
        <v>1077</v>
      </c>
      <c r="CA142" s="52"/>
      <c r="CB142" s="52">
        <v>45776</v>
      </c>
      <c r="CC142" s="52">
        <v>1077</v>
      </c>
      <c r="CD142" s="52">
        <v>1077</v>
      </c>
      <c r="CE142" s="52"/>
      <c r="CF142" s="52">
        <v>1077</v>
      </c>
      <c r="CG142" s="52">
        <v>10765</v>
      </c>
      <c r="CH142" s="52">
        <v>10765</v>
      </c>
      <c r="CI142" s="52">
        <v>1077</v>
      </c>
      <c r="CJ142" s="52"/>
      <c r="CK142" s="52">
        <v>1077</v>
      </c>
      <c r="CL142" s="52">
        <v>1077</v>
      </c>
      <c r="CM142" s="52">
        <v>1077</v>
      </c>
      <c r="CN142" s="52">
        <v>1077</v>
      </c>
      <c r="CO142" s="52">
        <v>1077</v>
      </c>
      <c r="CP142" s="52">
        <v>10765</v>
      </c>
      <c r="CQ142" s="52"/>
      <c r="CR142" s="52"/>
      <c r="CS142" s="52"/>
      <c r="CT142" s="52">
        <v>1077</v>
      </c>
      <c r="CU142" s="52">
        <v>1077</v>
      </c>
      <c r="CV142" s="52"/>
      <c r="CW142" s="52">
        <v>1077</v>
      </c>
      <c r="CX142" s="52">
        <v>1077</v>
      </c>
      <c r="CY142" s="52">
        <v>1077</v>
      </c>
      <c r="CZ142" s="52">
        <v>1077</v>
      </c>
      <c r="DA142" s="52">
        <v>1077</v>
      </c>
      <c r="DB142" s="52">
        <v>1077</v>
      </c>
      <c r="DC142" s="52">
        <v>1077</v>
      </c>
      <c r="DD142" s="52"/>
      <c r="DE142" s="52">
        <v>196512</v>
      </c>
      <c r="DF142" s="52">
        <v>1077</v>
      </c>
      <c r="DG142" s="52">
        <v>197589</v>
      </c>
      <c r="DH142" s="52"/>
    </row>
    <row r="143" spans="1:112">
      <c r="A143" s="150" t="s">
        <v>411</v>
      </c>
      <c r="B143" s="44">
        <v>3534</v>
      </c>
      <c r="C143" s="44" t="s">
        <v>190</v>
      </c>
      <c r="D143" s="52">
        <v>37893</v>
      </c>
      <c r="E143" s="52">
        <v>86532</v>
      </c>
      <c r="F143" s="52">
        <v>11412</v>
      </c>
      <c r="G143" s="52"/>
      <c r="H143" s="56">
        <v>46062</v>
      </c>
      <c r="I143" s="56">
        <v>25100</v>
      </c>
      <c r="J143" s="56">
        <v>22755</v>
      </c>
      <c r="K143" s="56">
        <v>23591</v>
      </c>
      <c r="L143" s="52">
        <v>80638</v>
      </c>
      <c r="M143" s="52"/>
      <c r="N143" s="52"/>
      <c r="O143" s="52">
        <v>18481</v>
      </c>
      <c r="P143" s="52">
        <v>36391</v>
      </c>
      <c r="Q143" s="52">
        <v>7987</v>
      </c>
      <c r="R143" s="52">
        <v>11714</v>
      </c>
      <c r="S143" s="52">
        <v>23600</v>
      </c>
      <c r="T143" s="52"/>
      <c r="U143" s="52">
        <v>71323</v>
      </c>
      <c r="V143" s="52"/>
      <c r="W143" s="52">
        <v>70615</v>
      </c>
      <c r="X143" s="52">
        <v>16933</v>
      </c>
      <c r="Y143" s="52">
        <v>239015</v>
      </c>
      <c r="Z143" s="52">
        <v>72123</v>
      </c>
      <c r="AA143" s="52">
        <v>41093</v>
      </c>
      <c r="AB143" s="52">
        <v>55222</v>
      </c>
      <c r="AC143" s="52">
        <v>9056</v>
      </c>
      <c r="AD143" s="52">
        <v>23388</v>
      </c>
      <c r="AE143" s="52">
        <v>19100</v>
      </c>
      <c r="AF143" s="52"/>
      <c r="AG143" s="52">
        <v>24693</v>
      </c>
      <c r="AH143" s="52">
        <v>74277</v>
      </c>
      <c r="AI143" s="52"/>
      <c r="AJ143" s="52">
        <v>14807</v>
      </c>
      <c r="AK143" s="52">
        <v>23680</v>
      </c>
      <c r="AL143" s="52">
        <v>20000</v>
      </c>
      <c r="AM143" s="52"/>
      <c r="AN143" s="52">
        <v>113379</v>
      </c>
      <c r="AO143" s="52">
        <v>14708</v>
      </c>
      <c r="AP143" s="52"/>
      <c r="AQ143" s="52">
        <v>28034</v>
      </c>
      <c r="AR143" s="52">
        <v>41614</v>
      </c>
      <c r="AS143" s="52">
        <v>151513</v>
      </c>
      <c r="AT143" s="52">
        <v>19100</v>
      </c>
      <c r="AU143" s="52">
        <v>24996</v>
      </c>
      <c r="AV143" s="52">
        <v>30554</v>
      </c>
      <c r="AW143" s="52">
        <v>20100</v>
      </c>
      <c r="AX143" s="52">
        <v>49902</v>
      </c>
      <c r="AY143" s="101">
        <v>284683</v>
      </c>
      <c r="AZ143" s="52">
        <v>34070</v>
      </c>
      <c r="BA143" s="52">
        <v>17683</v>
      </c>
      <c r="BB143" s="52">
        <v>13070</v>
      </c>
      <c r="BC143" s="52"/>
      <c r="BD143" s="52">
        <v>26000</v>
      </c>
      <c r="BE143" s="52">
        <v>41923</v>
      </c>
      <c r="BF143" s="52">
        <v>195197</v>
      </c>
      <c r="BG143" s="52">
        <v>22390</v>
      </c>
      <c r="BH143" s="52">
        <v>45308</v>
      </c>
      <c r="BI143" s="52">
        <v>66008</v>
      </c>
      <c r="BJ143" s="52">
        <v>31910</v>
      </c>
      <c r="BK143" s="52">
        <v>32857</v>
      </c>
      <c r="BL143" s="52">
        <v>58166</v>
      </c>
      <c r="BM143" s="52">
        <v>77680</v>
      </c>
      <c r="BN143" s="52">
        <v>47274</v>
      </c>
      <c r="BO143" s="52">
        <v>19690</v>
      </c>
      <c r="BP143" s="52">
        <v>31125</v>
      </c>
      <c r="BQ143" s="52">
        <v>68703</v>
      </c>
      <c r="BR143" s="52">
        <v>17822</v>
      </c>
      <c r="BS143" s="52"/>
      <c r="BT143" s="52">
        <v>26538</v>
      </c>
      <c r="BU143" s="52">
        <v>21953</v>
      </c>
      <c r="BV143" s="52">
        <v>18700</v>
      </c>
      <c r="BW143" s="52"/>
      <c r="BX143" s="52">
        <v>21346</v>
      </c>
      <c r="BY143" s="52">
        <v>15760</v>
      </c>
      <c r="BZ143" s="52">
        <v>52195</v>
      </c>
      <c r="CA143" s="52"/>
      <c r="CB143" s="52">
        <v>4546</v>
      </c>
      <c r="CC143" s="52">
        <v>22839</v>
      </c>
      <c r="CD143" s="52">
        <v>20447</v>
      </c>
      <c r="CE143" s="52"/>
      <c r="CF143" s="52">
        <v>35704</v>
      </c>
      <c r="CG143" s="52">
        <v>206817</v>
      </c>
      <c r="CH143" s="52">
        <v>84733</v>
      </c>
      <c r="CI143" s="52">
        <v>22200</v>
      </c>
      <c r="CJ143" s="52">
        <v>30700</v>
      </c>
      <c r="CK143" s="52">
        <v>37800</v>
      </c>
      <c r="CL143" s="52">
        <v>24900</v>
      </c>
      <c r="CM143" s="52">
        <v>22880</v>
      </c>
      <c r="CN143" s="52">
        <v>36500</v>
      </c>
      <c r="CO143" s="52">
        <v>50167</v>
      </c>
      <c r="CP143" s="52">
        <v>29333</v>
      </c>
      <c r="CQ143" s="52"/>
      <c r="CR143" s="52"/>
      <c r="CS143" s="52"/>
      <c r="CT143" s="52">
        <v>103811</v>
      </c>
      <c r="CU143" s="52">
        <v>37048</v>
      </c>
      <c r="CV143" s="52"/>
      <c r="CW143" s="52">
        <v>36068</v>
      </c>
      <c r="CX143" s="52">
        <v>23726</v>
      </c>
      <c r="CY143" s="52">
        <v>45127</v>
      </c>
      <c r="CZ143" s="52">
        <v>38396</v>
      </c>
      <c r="DA143" s="52">
        <v>113402</v>
      </c>
      <c r="DB143" s="52">
        <v>35500</v>
      </c>
      <c r="DC143" s="52">
        <v>11100</v>
      </c>
      <c r="DD143" s="52">
        <v>8800</v>
      </c>
      <c r="DE143" s="52">
        <v>4052076</v>
      </c>
      <c r="DF143" s="52">
        <v>19900</v>
      </c>
      <c r="DG143" s="52">
        <v>4071976</v>
      </c>
      <c r="DH143" s="52"/>
    </row>
    <row r="144" spans="1:112">
      <c r="A144" s="150" t="s">
        <v>411</v>
      </c>
      <c r="B144" s="44">
        <v>3535</v>
      </c>
      <c r="C144" s="44" t="s">
        <v>191</v>
      </c>
      <c r="D144" s="52"/>
      <c r="E144" s="52"/>
      <c r="F144" s="52"/>
      <c r="G144" s="52"/>
      <c r="H144" s="56"/>
      <c r="I144" s="56"/>
      <c r="J144" s="56"/>
      <c r="K144" s="56"/>
      <c r="L144" s="52">
        <v>50000</v>
      </c>
      <c r="M144" s="52"/>
      <c r="N144" s="52"/>
      <c r="O144" s="52"/>
      <c r="P144" s="52"/>
      <c r="Q144" s="52"/>
      <c r="R144" s="52"/>
      <c r="S144" s="52"/>
      <c r="T144" s="52"/>
      <c r="U144" s="52"/>
      <c r="V144" s="52"/>
      <c r="W144" s="52"/>
      <c r="X144" s="52"/>
      <c r="Y144" s="52"/>
      <c r="Z144" s="52">
        <v>30000</v>
      </c>
      <c r="AA144" s="52"/>
      <c r="AB144" s="52"/>
      <c r="AC144" s="52"/>
      <c r="AD144" s="52"/>
      <c r="AE144" s="52"/>
      <c r="AF144" s="52"/>
      <c r="AG144" s="52"/>
      <c r="AH144" s="52"/>
      <c r="AI144" s="52"/>
      <c r="AJ144" s="52"/>
      <c r="AK144" s="52"/>
      <c r="AL144" s="52"/>
      <c r="AM144" s="52"/>
      <c r="AN144" s="52"/>
      <c r="AO144" s="52">
        <v>50000</v>
      </c>
      <c r="AP144" s="52"/>
      <c r="AQ144" s="52"/>
      <c r="AR144" s="52"/>
      <c r="AS144" s="52"/>
      <c r="AT144" s="52"/>
      <c r="AU144" s="52"/>
      <c r="AV144" s="52"/>
      <c r="AW144" s="52"/>
      <c r="AX144" s="52"/>
      <c r="AY144" s="101"/>
      <c r="AZ144" s="52">
        <v>60000</v>
      </c>
      <c r="BA144" s="52"/>
      <c r="BB144" s="52"/>
      <c r="BC144" s="52"/>
      <c r="BD144" s="52">
        <v>9525</v>
      </c>
      <c r="BE144" s="52"/>
      <c r="BF144" s="52"/>
      <c r="BG144" s="52"/>
      <c r="BH144" s="52"/>
      <c r="BI144" s="52">
        <v>58199</v>
      </c>
      <c r="BJ144" s="52">
        <v>15290</v>
      </c>
      <c r="BK144" s="52">
        <v>10000</v>
      </c>
      <c r="BL144" s="52"/>
      <c r="BM144" s="52">
        <v>58238</v>
      </c>
      <c r="BN144" s="52">
        <v>51996</v>
      </c>
      <c r="BO144" s="52"/>
      <c r="BP144" s="52">
        <v>337839</v>
      </c>
      <c r="BQ144" s="52">
        <v>59124</v>
      </c>
      <c r="BR144" s="52"/>
      <c r="BS144" s="52"/>
      <c r="BT144" s="52"/>
      <c r="BU144" s="52">
        <v>10000</v>
      </c>
      <c r="BV144" s="52"/>
      <c r="BW144" s="52"/>
      <c r="BX144" s="52"/>
      <c r="BY144" s="52">
        <v>50000</v>
      </c>
      <c r="BZ144" s="52">
        <v>10000</v>
      </c>
      <c r="CA144" s="52"/>
      <c r="CB144" s="52"/>
      <c r="CC144" s="52"/>
      <c r="CD144" s="52"/>
      <c r="CE144" s="52"/>
      <c r="CF144" s="52"/>
      <c r="CG144" s="52">
        <v>7882</v>
      </c>
      <c r="CH144" s="52">
        <v>50000</v>
      </c>
      <c r="CI144" s="52"/>
      <c r="CJ144" s="52">
        <v>60000</v>
      </c>
      <c r="CK144" s="52">
        <v>10000</v>
      </c>
      <c r="CL144" s="52"/>
      <c r="CM144" s="52"/>
      <c r="CN144" s="52">
        <v>50000</v>
      </c>
      <c r="CO144" s="52"/>
      <c r="CP144" s="52">
        <v>83191</v>
      </c>
      <c r="CQ144" s="52"/>
      <c r="CR144" s="52"/>
      <c r="CS144" s="52"/>
      <c r="CT144" s="52">
        <v>10000</v>
      </c>
      <c r="CU144" s="52">
        <v>50000</v>
      </c>
      <c r="CV144" s="52"/>
      <c r="CW144" s="52">
        <v>10000</v>
      </c>
      <c r="CX144" s="52"/>
      <c r="CY144" s="52"/>
      <c r="CZ144" s="52"/>
      <c r="DA144" s="52"/>
      <c r="DB144" s="52"/>
      <c r="DC144" s="52"/>
      <c r="DD144" s="52"/>
      <c r="DE144" s="52">
        <v>1191284</v>
      </c>
      <c r="DF144" s="52"/>
      <c r="DG144" s="52">
        <v>1191284</v>
      </c>
      <c r="DH144" s="52"/>
    </row>
    <row r="145" spans="1:112">
      <c r="A145" s="150" t="s">
        <v>411</v>
      </c>
      <c r="B145" s="44">
        <v>3542</v>
      </c>
      <c r="C145" s="44" t="s">
        <v>193</v>
      </c>
      <c r="D145" s="52">
        <v>23711</v>
      </c>
      <c r="E145" s="52">
        <v>112524</v>
      </c>
      <c r="F145" s="52">
        <v>11382</v>
      </c>
      <c r="G145" s="52"/>
      <c r="H145" s="56">
        <v>46434</v>
      </c>
      <c r="I145" s="56">
        <v>34167</v>
      </c>
      <c r="J145" s="56">
        <v>57946</v>
      </c>
      <c r="K145" s="56">
        <v>10295</v>
      </c>
      <c r="L145" s="52">
        <v>60879</v>
      </c>
      <c r="M145" s="52"/>
      <c r="N145" s="52"/>
      <c r="O145" s="52">
        <v>20772</v>
      </c>
      <c r="P145" s="52">
        <v>4442</v>
      </c>
      <c r="Q145" s="52">
        <v>8002</v>
      </c>
      <c r="R145" s="52">
        <v>11617</v>
      </c>
      <c r="S145" s="52">
        <v>35755</v>
      </c>
      <c r="T145" s="52"/>
      <c r="U145" s="52"/>
      <c r="V145" s="52"/>
      <c r="W145" s="52">
        <v>192008</v>
      </c>
      <c r="X145" s="52">
        <v>16235</v>
      </c>
      <c r="Y145" s="52">
        <v>148884</v>
      </c>
      <c r="Z145" s="52">
        <v>40342</v>
      </c>
      <c r="AA145" s="52">
        <v>41300</v>
      </c>
      <c r="AB145" s="52">
        <v>31815</v>
      </c>
      <c r="AC145" s="52">
        <v>5434</v>
      </c>
      <c r="AD145" s="52">
        <v>23917</v>
      </c>
      <c r="AE145" s="52">
        <v>14174</v>
      </c>
      <c r="AF145" s="52"/>
      <c r="AG145" s="52">
        <v>34578</v>
      </c>
      <c r="AH145" s="52">
        <v>70317</v>
      </c>
      <c r="AI145" s="52"/>
      <c r="AJ145" s="52">
        <v>6520</v>
      </c>
      <c r="AK145" s="52">
        <v>27069</v>
      </c>
      <c r="AL145" s="52">
        <v>12823</v>
      </c>
      <c r="AM145" s="52"/>
      <c r="AN145" s="52">
        <v>129266</v>
      </c>
      <c r="AO145" s="52">
        <v>17128</v>
      </c>
      <c r="AP145" s="52"/>
      <c r="AQ145" s="52">
        <v>38966</v>
      </c>
      <c r="AR145" s="52">
        <v>13412</v>
      </c>
      <c r="AS145" s="52">
        <v>92259</v>
      </c>
      <c r="AT145" s="52">
        <v>8496</v>
      </c>
      <c r="AU145" s="52">
        <v>7487</v>
      </c>
      <c r="AV145" s="52">
        <v>5388</v>
      </c>
      <c r="AW145" s="52">
        <v>21373</v>
      </c>
      <c r="AX145" s="52">
        <v>41148</v>
      </c>
      <c r="AY145" s="101">
        <v>308628</v>
      </c>
      <c r="AZ145" s="52">
        <v>55687</v>
      </c>
      <c r="BA145" s="52">
        <v>11543</v>
      </c>
      <c r="BB145" s="52">
        <v>8669</v>
      </c>
      <c r="BC145" s="52"/>
      <c r="BD145" s="52">
        <v>26502</v>
      </c>
      <c r="BE145" s="52">
        <v>15746</v>
      </c>
      <c r="BF145" s="52">
        <v>192024</v>
      </c>
      <c r="BG145" s="52">
        <v>14716</v>
      </c>
      <c r="BH145" s="52">
        <v>74029</v>
      </c>
      <c r="BI145" s="52">
        <v>60162</v>
      </c>
      <c r="BJ145" s="52">
        <v>83742</v>
      </c>
      <c r="BK145" s="52">
        <v>38970</v>
      </c>
      <c r="BL145" s="52">
        <v>28429</v>
      </c>
      <c r="BM145" s="52">
        <v>163999</v>
      </c>
      <c r="BN145" s="52">
        <v>68683</v>
      </c>
      <c r="BO145" s="52">
        <v>23089</v>
      </c>
      <c r="BP145" s="52">
        <v>31861</v>
      </c>
      <c r="BQ145" s="52">
        <v>114536</v>
      </c>
      <c r="BR145" s="52"/>
      <c r="BS145" s="52"/>
      <c r="BT145" s="52">
        <v>19140</v>
      </c>
      <c r="BU145" s="52">
        <v>25892</v>
      </c>
      <c r="BV145" s="52">
        <v>15745</v>
      </c>
      <c r="BW145" s="52"/>
      <c r="BX145" s="52">
        <v>27317</v>
      </c>
      <c r="BY145" s="52">
        <v>58861</v>
      </c>
      <c r="BZ145" s="52">
        <v>40727</v>
      </c>
      <c r="CA145" s="52"/>
      <c r="CB145" s="52">
        <v>32260</v>
      </c>
      <c r="CC145" s="52">
        <v>37344</v>
      </c>
      <c r="CD145" s="52">
        <v>51250</v>
      </c>
      <c r="CE145" s="52"/>
      <c r="CF145" s="52">
        <v>66711</v>
      </c>
      <c r="CG145" s="52">
        <v>69856</v>
      </c>
      <c r="CH145" s="52">
        <v>138586</v>
      </c>
      <c r="CI145" s="52">
        <v>17783</v>
      </c>
      <c r="CJ145" s="52">
        <v>25007</v>
      </c>
      <c r="CK145" s="52">
        <v>41519</v>
      </c>
      <c r="CL145" s="52">
        <v>16268</v>
      </c>
      <c r="CM145" s="52">
        <v>39633</v>
      </c>
      <c r="CN145" s="52">
        <v>48541</v>
      </c>
      <c r="CO145" s="52">
        <v>51274</v>
      </c>
      <c r="CP145" s="52">
        <v>78716</v>
      </c>
      <c r="CQ145" s="52"/>
      <c r="CR145" s="52"/>
      <c r="CS145" s="52"/>
      <c r="CT145" s="52">
        <v>48409</v>
      </c>
      <c r="CU145" s="52">
        <v>15436</v>
      </c>
      <c r="CV145" s="52"/>
      <c r="CW145" s="52">
        <v>40802</v>
      </c>
      <c r="CX145" s="52">
        <v>47748</v>
      </c>
      <c r="CY145" s="52">
        <v>36455</v>
      </c>
      <c r="CZ145" s="52">
        <v>28972</v>
      </c>
      <c r="DA145" s="52">
        <v>62570</v>
      </c>
      <c r="DB145" s="52">
        <v>37974</v>
      </c>
      <c r="DC145" s="52"/>
      <c r="DD145" s="52"/>
      <c r="DE145" s="52">
        <v>4020076</v>
      </c>
      <c r="DF145" s="52"/>
      <c r="DG145" s="52">
        <v>4020076</v>
      </c>
      <c r="DH145" s="52"/>
    </row>
    <row r="146" spans="1:112">
      <c r="A146" s="150" t="s">
        <v>411</v>
      </c>
      <c r="B146" s="44">
        <v>3548</v>
      </c>
      <c r="C146" s="44" t="s">
        <v>195</v>
      </c>
      <c r="D146" s="52">
        <v>294872</v>
      </c>
      <c r="E146" s="52">
        <v>2550747</v>
      </c>
      <c r="F146" s="52">
        <v>223752</v>
      </c>
      <c r="G146" s="52"/>
      <c r="H146" s="56">
        <v>463920</v>
      </c>
      <c r="I146" s="56">
        <v>241914</v>
      </c>
      <c r="J146" s="56">
        <v>299151</v>
      </c>
      <c r="K146" s="56">
        <v>191166</v>
      </c>
      <c r="L146" s="52">
        <v>602973</v>
      </c>
      <c r="M146" s="52"/>
      <c r="N146" s="52"/>
      <c r="O146" s="52">
        <v>134631</v>
      </c>
      <c r="P146" s="52">
        <v>157805</v>
      </c>
      <c r="Q146" s="52">
        <v>110894</v>
      </c>
      <c r="R146" s="52">
        <v>95485</v>
      </c>
      <c r="S146" s="52">
        <v>330190</v>
      </c>
      <c r="T146" s="52"/>
      <c r="U146" s="52">
        <v>1142212</v>
      </c>
      <c r="V146" s="52"/>
      <c r="W146" s="52">
        <v>2084208</v>
      </c>
      <c r="X146" s="52">
        <v>98439</v>
      </c>
      <c r="Y146" s="52">
        <v>3102861</v>
      </c>
      <c r="Z146" s="52">
        <v>859169</v>
      </c>
      <c r="AA146" s="52">
        <v>511142</v>
      </c>
      <c r="AB146" s="52">
        <v>809431</v>
      </c>
      <c r="AC146" s="52">
        <v>201057</v>
      </c>
      <c r="AD146" s="52">
        <v>347921</v>
      </c>
      <c r="AE146" s="52">
        <v>104108</v>
      </c>
      <c r="AF146" s="52"/>
      <c r="AG146" s="52">
        <v>393068</v>
      </c>
      <c r="AH146" s="52">
        <v>1967990</v>
      </c>
      <c r="AI146" s="52"/>
      <c r="AJ146" s="52">
        <v>102220</v>
      </c>
      <c r="AK146" s="52">
        <v>571421</v>
      </c>
      <c r="AL146" s="52">
        <v>143190</v>
      </c>
      <c r="AM146" s="52"/>
      <c r="AN146" s="52">
        <v>791957</v>
      </c>
      <c r="AO146" s="52">
        <v>273584</v>
      </c>
      <c r="AP146" s="52"/>
      <c r="AQ146" s="52">
        <v>464466</v>
      </c>
      <c r="AR146" s="52">
        <v>470452</v>
      </c>
      <c r="AS146" s="52">
        <v>1144070</v>
      </c>
      <c r="AT146" s="52">
        <v>109156</v>
      </c>
      <c r="AU146" s="52">
        <v>379130</v>
      </c>
      <c r="AV146" s="52">
        <v>171217</v>
      </c>
      <c r="AW146" s="52">
        <v>99068</v>
      </c>
      <c r="AX146" s="52">
        <v>1023692</v>
      </c>
      <c r="AY146" s="101">
        <v>4500166</v>
      </c>
      <c r="AZ146" s="52">
        <v>759215</v>
      </c>
      <c r="BA146" s="52">
        <v>135087</v>
      </c>
      <c r="BB146" s="52">
        <v>109002</v>
      </c>
      <c r="BC146" s="52"/>
      <c r="BD146" s="52">
        <v>280574</v>
      </c>
      <c r="BE146" s="52">
        <v>169053</v>
      </c>
      <c r="BF146" s="52">
        <v>2513115</v>
      </c>
      <c r="BG146" s="52">
        <v>375202</v>
      </c>
      <c r="BH146" s="52">
        <v>836015</v>
      </c>
      <c r="BI146" s="52">
        <v>678797</v>
      </c>
      <c r="BJ146" s="52">
        <v>482436</v>
      </c>
      <c r="BK146" s="52">
        <v>349257</v>
      </c>
      <c r="BL146" s="52">
        <v>552765</v>
      </c>
      <c r="BM146" s="52">
        <v>759289</v>
      </c>
      <c r="BN146" s="52">
        <v>574778</v>
      </c>
      <c r="BO146" s="52">
        <v>189286</v>
      </c>
      <c r="BP146" s="52">
        <v>117482</v>
      </c>
      <c r="BQ146" s="52">
        <v>534907</v>
      </c>
      <c r="BR146" s="52">
        <v>172186</v>
      </c>
      <c r="BS146" s="52"/>
      <c r="BT146" s="52">
        <v>354445</v>
      </c>
      <c r="BU146" s="52">
        <v>287221</v>
      </c>
      <c r="BV146" s="52">
        <v>130329</v>
      </c>
      <c r="BW146" s="52"/>
      <c r="BX146" s="52">
        <v>719605</v>
      </c>
      <c r="BY146" s="52">
        <v>497289</v>
      </c>
      <c r="BZ146" s="52">
        <v>772549</v>
      </c>
      <c r="CA146" s="52"/>
      <c r="CB146" s="52">
        <v>427653</v>
      </c>
      <c r="CC146" s="52">
        <v>361992</v>
      </c>
      <c r="CD146" s="52">
        <v>802785</v>
      </c>
      <c r="CE146" s="52"/>
      <c r="CF146" s="52">
        <v>1000973</v>
      </c>
      <c r="CG146" s="52">
        <v>2846180</v>
      </c>
      <c r="CH146" s="52">
        <v>1058939</v>
      </c>
      <c r="CI146" s="52">
        <v>216220</v>
      </c>
      <c r="CJ146" s="52">
        <v>282505</v>
      </c>
      <c r="CK146" s="52">
        <v>474944</v>
      </c>
      <c r="CL146" s="52">
        <v>201309</v>
      </c>
      <c r="CM146" s="52">
        <v>192689</v>
      </c>
      <c r="CN146" s="52">
        <v>290840</v>
      </c>
      <c r="CO146" s="52">
        <v>609859</v>
      </c>
      <c r="CP146" s="52">
        <v>722000</v>
      </c>
      <c r="CQ146" s="52"/>
      <c r="CR146" s="52"/>
      <c r="CS146" s="52"/>
      <c r="CT146" s="52">
        <v>915769</v>
      </c>
      <c r="CU146" s="52">
        <v>906498</v>
      </c>
      <c r="CV146" s="52"/>
      <c r="CW146" s="52">
        <v>406333</v>
      </c>
      <c r="CX146" s="52">
        <v>860178</v>
      </c>
      <c r="CY146" s="52">
        <v>344806</v>
      </c>
      <c r="CZ146" s="52">
        <v>232048</v>
      </c>
      <c r="DA146" s="52">
        <v>1148062</v>
      </c>
      <c r="DB146" s="52">
        <v>276536</v>
      </c>
      <c r="DC146" s="52">
        <v>283818</v>
      </c>
      <c r="DD146" s="52">
        <v>109547</v>
      </c>
      <c r="DE146" s="52">
        <v>54491897</v>
      </c>
      <c r="DF146" s="52">
        <v>393365</v>
      </c>
      <c r="DG146" s="52">
        <v>54885262</v>
      </c>
      <c r="DH146" s="52"/>
    </row>
    <row r="147" spans="1:112">
      <c r="A147" s="150" t="s">
        <v>411</v>
      </c>
      <c r="B147" s="44">
        <v>3549</v>
      </c>
      <c r="C147" s="44" t="s">
        <v>196</v>
      </c>
      <c r="D147" s="52"/>
      <c r="E147" s="52">
        <v>67392</v>
      </c>
      <c r="F147" s="52">
        <v>12747</v>
      </c>
      <c r="G147" s="52"/>
      <c r="H147" s="56"/>
      <c r="I147" s="56"/>
      <c r="J147" s="56">
        <v>20221</v>
      </c>
      <c r="K147" s="56"/>
      <c r="L147" s="52">
        <v>149073</v>
      </c>
      <c r="M147" s="52"/>
      <c r="N147" s="52"/>
      <c r="O147" s="52">
        <v>10490</v>
      </c>
      <c r="P147" s="52">
        <v>7235</v>
      </c>
      <c r="Q147" s="52"/>
      <c r="R147" s="52"/>
      <c r="S147" s="52"/>
      <c r="T147" s="52"/>
      <c r="U147" s="52">
        <v>116040</v>
      </c>
      <c r="V147" s="52"/>
      <c r="W147" s="52"/>
      <c r="X147" s="52"/>
      <c r="Y147" s="52">
        <v>243228</v>
      </c>
      <c r="Z147" s="52">
        <v>48239</v>
      </c>
      <c r="AA147" s="52"/>
      <c r="AB147" s="52"/>
      <c r="AC147" s="52"/>
      <c r="AD147" s="52">
        <v>6652</v>
      </c>
      <c r="AE147" s="52"/>
      <c r="AF147" s="52"/>
      <c r="AG147" s="52">
        <v>21315</v>
      </c>
      <c r="AH147" s="52">
        <v>72662</v>
      </c>
      <c r="AI147" s="52"/>
      <c r="AJ147" s="52"/>
      <c r="AK147" s="52">
        <v>8377</v>
      </c>
      <c r="AL147" s="52"/>
      <c r="AM147" s="52"/>
      <c r="AN147" s="52"/>
      <c r="AO147" s="52">
        <v>17563</v>
      </c>
      <c r="AP147" s="52"/>
      <c r="AQ147" s="52"/>
      <c r="AR147" s="52">
        <v>16481</v>
      </c>
      <c r="AS147" s="52">
        <v>117777</v>
      </c>
      <c r="AT147" s="52"/>
      <c r="AU147" s="52">
        <v>10659</v>
      </c>
      <c r="AV147" s="52"/>
      <c r="AW147" s="52"/>
      <c r="AX147" s="52"/>
      <c r="AY147" s="101"/>
      <c r="AZ147" s="52">
        <v>111618</v>
      </c>
      <c r="BA147" s="52"/>
      <c r="BB147" s="52"/>
      <c r="BC147" s="52"/>
      <c r="BD147" s="52">
        <v>21318</v>
      </c>
      <c r="BE147" s="52"/>
      <c r="BF147" s="52">
        <v>94637</v>
      </c>
      <c r="BG147" s="52">
        <v>3692</v>
      </c>
      <c r="BH147" s="52"/>
      <c r="BI147" s="52">
        <v>24958</v>
      </c>
      <c r="BJ147" s="52">
        <v>38609</v>
      </c>
      <c r="BK147" s="52">
        <v>21089</v>
      </c>
      <c r="BL147" s="52">
        <v>5017</v>
      </c>
      <c r="BM147" s="52"/>
      <c r="BN147" s="52">
        <v>106654</v>
      </c>
      <c r="BO147" s="52"/>
      <c r="BP147" s="52">
        <v>16625</v>
      </c>
      <c r="BQ147" s="52">
        <v>204696</v>
      </c>
      <c r="BR147" s="52"/>
      <c r="BS147" s="52"/>
      <c r="BT147" s="52"/>
      <c r="BU147" s="52">
        <v>5018</v>
      </c>
      <c r="BV147" s="52">
        <v>10036</v>
      </c>
      <c r="BW147" s="52"/>
      <c r="BX147" s="52">
        <v>4887</v>
      </c>
      <c r="BY147" s="52">
        <v>45004</v>
      </c>
      <c r="BZ147" s="52">
        <v>139798</v>
      </c>
      <c r="CA147" s="52"/>
      <c r="CB147" s="52"/>
      <c r="CC147" s="52"/>
      <c r="CD147" s="52"/>
      <c r="CE147" s="52"/>
      <c r="CF147" s="52">
        <v>179699</v>
      </c>
      <c r="CG147" s="52">
        <v>126424</v>
      </c>
      <c r="CH147" s="52">
        <v>8106</v>
      </c>
      <c r="CI147" s="52"/>
      <c r="CJ147" s="52">
        <v>75845</v>
      </c>
      <c r="CK147" s="52"/>
      <c r="CL147" s="52"/>
      <c r="CM147" s="52"/>
      <c r="CN147" s="52"/>
      <c r="CO147" s="52"/>
      <c r="CP147" s="52">
        <v>112010</v>
      </c>
      <c r="CQ147" s="52"/>
      <c r="CR147" s="52"/>
      <c r="CS147" s="52"/>
      <c r="CT147" s="52"/>
      <c r="CU147" s="52">
        <v>103424</v>
      </c>
      <c r="CV147" s="52"/>
      <c r="CW147" s="52">
        <v>107588</v>
      </c>
      <c r="CX147" s="52">
        <v>10036</v>
      </c>
      <c r="CY147" s="52">
        <v>68402</v>
      </c>
      <c r="CZ147" s="52">
        <v>28854</v>
      </c>
      <c r="DA147" s="52">
        <v>237680</v>
      </c>
      <c r="DB147" s="52">
        <v>45004</v>
      </c>
      <c r="DC147" s="52"/>
      <c r="DD147" s="52"/>
      <c r="DE147" s="52">
        <v>2902879</v>
      </c>
      <c r="DF147" s="52"/>
      <c r="DG147" s="52">
        <v>2902879</v>
      </c>
      <c r="DH147" s="52"/>
    </row>
    <row r="148" spans="1:112">
      <c r="A148" s="150" t="s">
        <v>411</v>
      </c>
      <c r="B148" s="44">
        <v>3550</v>
      </c>
      <c r="C148" s="44" t="s">
        <v>197</v>
      </c>
      <c r="D148" s="52">
        <v>548974</v>
      </c>
      <c r="E148" s="52">
        <v>3100704</v>
      </c>
      <c r="F148" s="52">
        <v>241401</v>
      </c>
      <c r="G148" s="52">
        <v>24614</v>
      </c>
      <c r="H148" s="56">
        <v>1027912</v>
      </c>
      <c r="I148" s="56">
        <v>446940</v>
      </c>
      <c r="J148" s="56">
        <v>336135</v>
      </c>
      <c r="K148" s="56">
        <v>397955</v>
      </c>
      <c r="L148" s="52">
        <v>1686215</v>
      </c>
      <c r="M148" s="52">
        <v>38901</v>
      </c>
      <c r="N148" s="52">
        <v>47753</v>
      </c>
      <c r="O148" s="52">
        <v>234543</v>
      </c>
      <c r="P148" s="52">
        <v>153775</v>
      </c>
      <c r="Q148" s="52">
        <v>112049</v>
      </c>
      <c r="R148" s="52">
        <v>126687</v>
      </c>
      <c r="S148" s="52">
        <v>347440</v>
      </c>
      <c r="T148" s="52">
        <v>25460</v>
      </c>
      <c r="U148" s="52">
        <v>2695128</v>
      </c>
      <c r="V148" s="52">
        <v>57703</v>
      </c>
      <c r="W148" s="52">
        <v>3547960</v>
      </c>
      <c r="X148" s="52">
        <v>275302</v>
      </c>
      <c r="Y148" s="52">
        <v>6222837</v>
      </c>
      <c r="Z148" s="52">
        <v>1354474</v>
      </c>
      <c r="AA148" s="52">
        <v>824719</v>
      </c>
      <c r="AB148" s="52">
        <v>1099394</v>
      </c>
      <c r="AC148" s="52">
        <v>141600</v>
      </c>
      <c r="AD148" s="52">
        <v>354214</v>
      </c>
      <c r="AE148" s="52">
        <v>150532</v>
      </c>
      <c r="AF148" s="52">
        <v>23813</v>
      </c>
      <c r="AG148" s="52">
        <v>827133</v>
      </c>
      <c r="AH148" s="52">
        <v>1514634</v>
      </c>
      <c r="AI148" s="52"/>
      <c r="AJ148" s="52">
        <v>105705</v>
      </c>
      <c r="AK148" s="52">
        <v>391975</v>
      </c>
      <c r="AL148" s="52">
        <v>175452</v>
      </c>
      <c r="AM148" s="52"/>
      <c r="AN148" s="52">
        <v>2412445</v>
      </c>
      <c r="AO148" s="52">
        <v>338443</v>
      </c>
      <c r="AP148" s="52">
        <v>41563</v>
      </c>
      <c r="AQ148" s="52">
        <v>600021</v>
      </c>
      <c r="AR148" s="52">
        <v>570892</v>
      </c>
      <c r="AS148" s="52">
        <v>2137109</v>
      </c>
      <c r="AT148" s="52">
        <v>168309</v>
      </c>
      <c r="AU148" s="52">
        <v>450436</v>
      </c>
      <c r="AV148" s="52">
        <v>131484</v>
      </c>
      <c r="AW148" s="52">
        <v>212468</v>
      </c>
      <c r="AX148" s="52">
        <v>1501352</v>
      </c>
      <c r="AY148" s="101">
        <v>8428411</v>
      </c>
      <c r="AZ148" s="52">
        <v>1229093</v>
      </c>
      <c r="BA148" s="52">
        <v>170950</v>
      </c>
      <c r="BB148" s="52">
        <v>222798</v>
      </c>
      <c r="BC148" s="52">
        <v>39143</v>
      </c>
      <c r="BD148" s="52">
        <v>384531</v>
      </c>
      <c r="BE148" s="52">
        <v>178204</v>
      </c>
      <c r="BF148" s="52">
        <v>4667234</v>
      </c>
      <c r="BG148" s="52">
        <v>340133</v>
      </c>
      <c r="BH148" s="52">
        <v>1353462</v>
      </c>
      <c r="BI148" s="52">
        <v>1488555</v>
      </c>
      <c r="BJ148" s="52">
        <v>783226</v>
      </c>
      <c r="BK148" s="52">
        <v>439768</v>
      </c>
      <c r="BL148" s="52">
        <v>339484</v>
      </c>
      <c r="BM148" s="52">
        <v>2889880</v>
      </c>
      <c r="BN148" s="52">
        <v>1327508</v>
      </c>
      <c r="BO148" s="52">
        <v>318556</v>
      </c>
      <c r="BP148" s="52">
        <v>412178</v>
      </c>
      <c r="BQ148" s="52">
        <v>2507252</v>
      </c>
      <c r="BR148" s="52">
        <v>140661</v>
      </c>
      <c r="BS148" s="52"/>
      <c r="BT148" s="52">
        <v>347039</v>
      </c>
      <c r="BU148" s="52">
        <v>238304</v>
      </c>
      <c r="BV148" s="52">
        <v>122139</v>
      </c>
      <c r="BW148" s="52">
        <v>21903</v>
      </c>
      <c r="BX148" s="52">
        <v>622190</v>
      </c>
      <c r="BY148" s="52">
        <v>847496</v>
      </c>
      <c r="BZ148" s="52">
        <v>1564636</v>
      </c>
      <c r="CA148" s="52"/>
      <c r="CB148" s="52">
        <v>435647</v>
      </c>
      <c r="CC148" s="52">
        <v>545271</v>
      </c>
      <c r="CD148" s="52">
        <v>1095231</v>
      </c>
      <c r="CE148" s="52">
        <v>14229</v>
      </c>
      <c r="CF148" s="52">
        <v>2143463</v>
      </c>
      <c r="CG148" s="52">
        <v>3932020</v>
      </c>
      <c r="CH148" s="52">
        <v>3074303</v>
      </c>
      <c r="CI148" s="52">
        <v>249039</v>
      </c>
      <c r="CJ148" s="52">
        <v>704144</v>
      </c>
      <c r="CK148" s="52">
        <v>1055459</v>
      </c>
      <c r="CL148" s="52">
        <v>527481</v>
      </c>
      <c r="CM148" s="52">
        <v>349724</v>
      </c>
      <c r="CN148" s="52">
        <v>965798</v>
      </c>
      <c r="CO148" s="52">
        <v>1379464</v>
      </c>
      <c r="CP148" s="52">
        <v>1338155</v>
      </c>
      <c r="CQ148" s="52">
        <v>39445</v>
      </c>
      <c r="CR148" s="52">
        <v>48210</v>
      </c>
      <c r="CS148" s="52">
        <v>39858</v>
      </c>
      <c r="CT148" s="52">
        <v>1121727</v>
      </c>
      <c r="CU148" s="52">
        <v>1137343</v>
      </c>
      <c r="CV148" s="52"/>
      <c r="CW148" s="52">
        <v>708183</v>
      </c>
      <c r="CX148" s="52">
        <v>684653</v>
      </c>
      <c r="CY148" s="52">
        <v>728742</v>
      </c>
      <c r="CZ148" s="52">
        <v>1009423</v>
      </c>
      <c r="DA148" s="52">
        <v>2210313</v>
      </c>
      <c r="DB148" s="52">
        <v>1091584</v>
      </c>
      <c r="DC148" s="52">
        <v>245359</v>
      </c>
      <c r="DD148" s="52">
        <v>160487</v>
      </c>
      <c r="DE148" s="52">
        <v>95278198</v>
      </c>
      <c r="DF148" s="52">
        <v>405846</v>
      </c>
      <c r="DG148" s="52">
        <v>95684044</v>
      </c>
      <c r="DH148" s="52"/>
    </row>
    <row r="149" spans="1:112">
      <c r="A149" s="150" t="s">
        <v>411</v>
      </c>
      <c r="B149" s="44">
        <v>3555</v>
      </c>
      <c r="C149" s="44" t="s">
        <v>199</v>
      </c>
      <c r="D149" s="52">
        <v>105403</v>
      </c>
      <c r="E149" s="52">
        <v>595335</v>
      </c>
      <c r="F149" s="52">
        <v>46349</v>
      </c>
      <c r="G149" s="52">
        <v>4726</v>
      </c>
      <c r="H149" s="56">
        <v>197359</v>
      </c>
      <c r="I149" s="56">
        <v>85812</v>
      </c>
      <c r="J149" s="56">
        <v>64538</v>
      </c>
      <c r="K149" s="56">
        <v>76407</v>
      </c>
      <c r="L149" s="52">
        <v>323753</v>
      </c>
      <c r="M149" s="52">
        <v>6467</v>
      </c>
      <c r="N149" s="52">
        <v>9169</v>
      </c>
      <c r="O149" s="52">
        <v>45032</v>
      </c>
      <c r="P149" s="52">
        <v>29525</v>
      </c>
      <c r="Q149" s="52">
        <v>21513</v>
      </c>
      <c r="R149" s="52">
        <v>24324</v>
      </c>
      <c r="S149" s="52">
        <v>66708</v>
      </c>
      <c r="T149" s="52">
        <v>4888</v>
      </c>
      <c r="U149" s="52">
        <v>517465</v>
      </c>
      <c r="V149" s="52">
        <v>11079</v>
      </c>
      <c r="W149" s="52">
        <v>681208</v>
      </c>
      <c r="X149" s="52">
        <v>52858</v>
      </c>
      <c r="Y149" s="52">
        <v>1194785</v>
      </c>
      <c r="Z149" s="52">
        <v>260059</v>
      </c>
      <c r="AA149" s="52">
        <v>158346</v>
      </c>
      <c r="AB149" s="52">
        <v>211083</v>
      </c>
      <c r="AC149" s="52">
        <v>27187</v>
      </c>
      <c r="AD149" s="52">
        <v>68009</v>
      </c>
      <c r="AE149" s="52">
        <v>28902</v>
      </c>
      <c r="AF149" s="52">
        <v>4572</v>
      </c>
      <c r="AG149" s="52">
        <v>158810</v>
      </c>
      <c r="AH149" s="52">
        <v>290810</v>
      </c>
      <c r="AI149" s="52"/>
      <c r="AJ149" s="52">
        <v>20295</v>
      </c>
      <c r="AK149" s="52">
        <v>75259</v>
      </c>
      <c r="AL149" s="52">
        <v>33687</v>
      </c>
      <c r="AM149" s="52">
        <v>4528</v>
      </c>
      <c r="AN149" s="52">
        <v>463189</v>
      </c>
      <c r="AO149" s="52">
        <v>64981</v>
      </c>
      <c r="AP149" s="52">
        <v>7980</v>
      </c>
      <c r="AQ149" s="52">
        <v>115204</v>
      </c>
      <c r="AR149" s="52">
        <v>109611</v>
      </c>
      <c r="AS149" s="52">
        <v>410325</v>
      </c>
      <c r="AT149" s="52">
        <v>32315</v>
      </c>
      <c r="AU149" s="52">
        <v>86484</v>
      </c>
      <c r="AV149" s="52">
        <v>25245</v>
      </c>
      <c r="AW149" s="52">
        <v>40794</v>
      </c>
      <c r="AX149" s="52">
        <v>288260</v>
      </c>
      <c r="AY149" s="101">
        <v>1618255</v>
      </c>
      <c r="AZ149" s="52">
        <v>235986</v>
      </c>
      <c r="BA149" s="52">
        <v>32822</v>
      </c>
      <c r="BB149" s="52">
        <v>42777</v>
      </c>
      <c r="BC149" s="52">
        <v>7515</v>
      </c>
      <c r="BD149" s="52">
        <v>73830</v>
      </c>
      <c r="BE149" s="52">
        <v>34215</v>
      </c>
      <c r="BF149" s="52">
        <v>896109</v>
      </c>
      <c r="BG149" s="52">
        <v>65306</v>
      </c>
      <c r="BH149" s="52">
        <v>259865</v>
      </c>
      <c r="BI149" s="52">
        <v>285803</v>
      </c>
      <c r="BJ149" s="52">
        <v>49205</v>
      </c>
      <c r="BK149" s="52">
        <v>84436</v>
      </c>
      <c r="BL149" s="52">
        <v>65181</v>
      </c>
      <c r="BM149" s="52">
        <v>554857</v>
      </c>
      <c r="BN149" s="52">
        <v>254882</v>
      </c>
      <c r="BO149" s="52">
        <v>61163</v>
      </c>
      <c r="BP149" s="52">
        <v>79138</v>
      </c>
      <c r="BQ149" s="52">
        <v>481392</v>
      </c>
      <c r="BR149" s="52">
        <v>27007</v>
      </c>
      <c r="BS149" s="52"/>
      <c r="BT149" s="52">
        <v>66631</v>
      </c>
      <c r="BU149" s="52">
        <v>45754</v>
      </c>
      <c r="BV149" s="52">
        <v>23451</v>
      </c>
      <c r="BW149" s="52">
        <v>4205</v>
      </c>
      <c r="BX149" s="52">
        <v>119460</v>
      </c>
      <c r="BY149" s="52">
        <v>162719</v>
      </c>
      <c r="BZ149" s="52">
        <v>300410</v>
      </c>
      <c r="CA149" s="52"/>
      <c r="CB149" s="52">
        <v>83644</v>
      </c>
      <c r="CC149" s="52">
        <v>104692</v>
      </c>
      <c r="CD149" s="52">
        <v>210284</v>
      </c>
      <c r="CE149" s="52">
        <v>2732</v>
      </c>
      <c r="CF149" s="52">
        <v>411545</v>
      </c>
      <c r="CG149" s="52">
        <v>754948</v>
      </c>
      <c r="CH149" s="52">
        <v>590266</v>
      </c>
      <c r="CI149" s="52">
        <v>47815</v>
      </c>
      <c r="CJ149" s="52">
        <v>135196</v>
      </c>
      <c r="CK149" s="52">
        <v>202648</v>
      </c>
      <c r="CL149" s="52"/>
      <c r="CM149" s="52">
        <v>67147</v>
      </c>
      <c r="CN149" s="52">
        <v>185433</v>
      </c>
      <c r="CO149" s="52">
        <v>264857</v>
      </c>
      <c r="CP149" s="52">
        <v>256926</v>
      </c>
      <c r="CQ149" s="52">
        <v>7573</v>
      </c>
      <c r="CR149" s="52">
        <v>9256</v>
      </c>
      <c r="CS149" s="52">
        <v>7653</v>
      </c>
      <c r="CT149" s="52">
        <v>215372</v>
      </c>
      <c r="CU149" s="52">
        <v>218370</v>
      </c>
      <c r="CV149" s="52"/>
      <c r="CW149" s="52">
        <v>135971</v>
      </c>
      <c r="CX149" s="52">
        <v>131453</v>
      </c>
      <c r="CY149" s="52">
        <v>139918</v>
      </c>
      <c r="CZ149" s="52"/>
      <c r="DA149" s="52">
        <v>424380</v>
      </c>
      <c r="DB149" s="52">
        <v>209584</v>
      </c>
      <c r="DC149" s="52">
        <v>47109</v>
      </c>
      <c r="DD149" s="52">
        <v>30814</v>
      </c>
      <c r="DE149" s="52">
        <v>17900675</v>
      </c>
      <c r="DF149" s="52">
        <v>77923</v>
      </c>
      <c r="DG149" s="52">
        <v>17978598</v>
      </c>
      <c r="DH149" s="52"/>
    </row>
    <row r="150" spans="1:112">
      <c r="A150" s="150" t="s">
        <v>411</v>
      </c>
      <c r="B150" s="44">
        <v>3561</v>
      </c>
      <c r="C150" s="44" t="s">
        <v>200</v>
      </c>
      <c r="D150" s="52"/>
      <c r="E150" s="52"/>
      <c r="F150" s="52"/>
      <c r="G150" s="52"/>
      <c r="H150" s="56"/>
      <c r="I150" s="56"/>
      <c r="J150" s="56"/>
      <c r="K150" s="56"/>
      <c r="L150" s="52"/>
      <c r="M150" s="52"/>
      <c r="N150" s="52"/>
      <c r="O150" s="52"/>
      <c r="P150" s="52"/>
      <c r="Q150" s="52"/>
      <c r="R150" s="52"/>
      <c r="S150" s="52"/>
      <c r="T150" s="52"/>
      <c r="U150" s="52"/>
      <c r="V150" s="52"/>
      <c r="W150" s="52">
        <v>205596</v>
      </c>
      <c r="X150" s="52"/>
      <c r="Y150" s="52"/>
      <c r="Z150" s="52"/>
      <c r="AA150" s="52"/>
      <c r="AB150" s="52"/>
      <c r="AC150" s="52"/>
      <c r="AD150" s="52"/>
      <c r="AE150" s="52"/>
      <c r="AF150" s="52"/>
      <c r="AG150" s="52">
        <v>146877</v>
      </c>
      <c r="AH150" s="52"/>
      <c r="AI150" s="52"/>
      <c r="AJ150" s="52"/>
      <c r="AK150" s="52"/>
      <c r="AL150" s="52"/>
      <c r="AM150" s="52"/>
      <c r="AN150" s="52"/>
      <c r="AO150" s="52"/>
      <c r="AP150" s="52"/>
      <c r="AQ150" s="52"/>
      <c r="AR150" s="52"/>
      <c r="AS150" s="52"/>
      <c r="AT150" s="52"/>
      <c r="AU150" s="52"/>
      <c r="AV150" s="52"/>
      <c r="AW150" s="52"/>
      <c r="AX150" s="52"/>
      <c r="AY150" s="101"/>
      <c r="AZ150" s="52"/>
      <c r="BA150" s="52"/>
      <c r="BB150" s="52"/>
      <c r="BC150" s="52"/>
      <c r="BD150" s="52"/>
      <c r="BE150" s="52"/>
      <c r="BF150" s="52"/>
      <c r="BG150" s="52"/>
      <c r="BH150" s="52"/>
      <c r="BI150" s="52"/>
      <c r="BJ150" s="52"/>
      <c r="BK150" s="52">
        <v>274676</v>
      </c>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v>200915</v>
      </c>
      <c r="CO150" s="52"/>
      <c r="CP150" s="52"/>
      <c r="CQ150" s="52"/>
      <c r="CR150" s="52"/>
      <c r="CS150" s="52"/>
      <c r="CT150" s="52"/>
      <c r="CU150" s="52"/>
      <c r="CV150" s="52"/>
      <c r="CW150" s="52"/>
      <c r="CX150" s="52"/>
      <c r="CY150" s="52"/>
      <c r="CZ150" s="52"/>
      <c r="DA150" s="52"/>
      <c r="DB150" s="52"/>
      <c r="DC150" s="52"/>
      <c r="DD150" s="52"/>
      <c r="DE150" s="52">
        <v>828064</v>
      </c>
      <c r="DF150" s="52"/>
      <c r="DG150" s="52">
        <v>828064</v>
      </c>
      <c r="DH150" s="52"/>
    </row>
    <row r="151" spans="1:112">
      <c r="A151" s="150" t="s">
        <v>411</v>
      </c>
      <c r="B151" s="44">
        <v>3564</v>
      </c>
      <c r="C151" s="44" t="s">
        <v>202</v>
      </c>
      <c r="D151" s="52">
        <v>21513</v>
      </c>
      <c r="E151" s="52">
        <v>59847</v>
      </c>
      <c r="F151" s="52">
        <v>44440</v>
      </c>
      <c r="G151" s="52"/>
      <c r="H151" s="56"/>
      <c r="I151" s="56"/>
      <c r="J151" s="56"/>
      <c r="K151" s="56"/>
      <c r="L151" s="52">
        <v>52448</v>
      </c>
      <c r="M151" s="52"/>
      <c r="N151" s="52">
        <v>47690</v>
      </c>
      <c r="O151" s="52"/>
      <c r="P151" s="52"/>
      <c r="Q151" s="52"/>
      <c r="R151" s="52"/>
      <c r="S151" s="52"/>
      <c r="T151" s="52"/>
      <c r="U151" s="52">
        <v>96934</v>
      </c>
      <c r="V151" s="52"/>
      <c r="W151" s="52">
        <v>89256</v>
      </c>
      <c r="X151" s="52">
        <v>31260</v>
      </c>
      <c r="Y151" s="52">
        <v>204879</v>
      </c>
      <c r="Z151" s="52">
        <v>68935</v>
      </c>
      <c r="AA151" s="52">
        <v>49411</v>
      </c>
      <c r="AB151" s="52">
        <v>34222</v>
      </c>
      <c r="AC151" s="52"/>
      <c r="AD151" s="52"/>
      <c r="AE151" s="52"/>
      <c r="AF151" s="52">
        <v>44635</v>
      </c>
      <c r="AG151" s="52">
        <v>47525</v>
      </c>
      <c r="AH151" s="52">
        <v>53007</v>
      </c>
      <c r="AI151" s="52"/>
      <c r="AJ151" s="52"/>
      <c r="AK151" s="52">
        <v>12893</v>
      </c>
      <c r="AL151" s="52"/>
      <c r="AM151" s="52"/>
      <c r="AN151" s="52">
        <v>107189</v>
      </c>
      <c r="AO151" s="52"/>
      <c r="AP151" s="52"/>
      <c r="AQ151" s="52">
        <v>4872</v>
      </c>
      <c r="AR151" s="52">
        <v>441</v>
      </c>
      <c r="AS151" s="52">
        <v>79078</v>
      </c>
      <c r="AT151" s="52"/>
      <c r="AU151" s="52">
        <v>35876</v>
      </c>
      <c r="AV151" s="52"/>
      <c r="AW151" s="52"/>
      <c r="AX151" s="52">
        <v>41590</v>
      </c>
      <c r="AY151" s="101">
        <v>238673</v>
      </c>
      <c r="AZ151" s="52">
        <v>30954</v>
      </c>
      <c r="BA151" s="52"/>
      <c r="BB151" s="52"/>
      <c r="BC151" s="52"/>
      <c r="BD151" s="52">
        <v>3381</v>
      </c>
      <c r="BE151" s="52"/>
      <c r="BF151" s="52">
        <v>27240</v>
      </c>
      <c r="BG151" s="52"/>
      <c r="BH151" s="52"/>
      <c r="BI151" s="52">
        <v>10360</v>
      </c>
      <c r="BJ151" s="52">
        <v>2869</v>
      </c>
      <c r="BK151" s="52"/>
      <c r="BL151" s="52"/>
      <c r="BM151" s="52">
        <v>5747</v>
      </c>
      <c r="BN151" s="52">
        <v>24467</v>
      </c>
      <c r="BO151" s="52"/>
      <c r="BP151" s="52"/>
      <c r="BQ151" s="52">
        <v>1853</v>
      </c>
      <c r="BR151" s="52">
        <v>1931</v>
      </c>
      <c r="BS151" s="52"/>
      <c r="BT151" s="52"/>
      <c r="BU151" s="52"/>
      <c r="BV151" s="52"/>
      <c r="BW151" s="52"/>
      <c r="BX151" s="52"/>
      <c r="BY151" s="52">
        <v>6001</v>
      </c>
      <c r="BZ151" s="52">
        <v>13491</v>
      </c>
      <c r="CA151" s="52"/>
      <c r="CB151" s="52"/>
      <c r="CC151" s="52"/>
      <c r="CD151" s="52"/>
      <c r="CE151" s="52"/>
      <c r="CF151" s="52">
        <v>3201</v>
      </c>
      <c r="CG151" s="52">
        <v>10136</v>
      </c>
      <c r="CH151" s="52"/>
      <c r="CI151" s="52">
        <v>999</v>
      </c>
      <c r="CJ151" s="52"/>
      <c r="CK151" s="52"/>
      <c r="CL151" s="52"/>
      <c r="CM151" s="52"/>
      <c r="CN151" s="52"/>
      <c r="CO151" s="52"/>
      <c r="CP151" s="52">
        <v>63070</v>
      </c>
      <c r="CQ151" s="52"/>
      <c r="CR151" s="52"/>
      <c r="CS151" s="52"/>
      <c r="CT151" s="52"/>
      <c r="CU151" s="52"/>
      <c r="CV151" s="52"/>
      <c r="CW151" s="52">
        <v>13899</v>
      </c>
      <c r="CX151" s="52"/>
      <c r="CY151" s="52"/>
      <c r="CZ151" s="52"/>
      <c r="DA151" s="52">
        <v>10971</v>
      </c>
      <c r="DB151" s="52"/>
      <c r="DC151" s="52"/>
      <c r="DD151" s="52"/>
      <c r="DE151" s="52">
        <v>1697184</v>
      </c>
      <c r="DF151" s="52"/>
      <c r="DG151" s="52">
        <v>1697184</v>
      </c>
      <c r="DH151" s="52"/>
    </row>
    <row r="152" spans="1:112">
      <c r="A152" s="150" t="s">
        <v>411</v>
      </c>
      <c r="B152" s="44">
        <v>3568</v>
      </c>
      <c r="C152" s="44" t="s">
        <v>204</v>
      </c>
      <c r="D152" s="52">
        <v>75000</v>
      </c>
      <c r="E152" s="52">
        <v>405080</v>
      </c>
      <c r="F152" s="52">
        <v>2211232</v>
      </c>
      <c r="G152" s="52"/>
      <c r="H152" s="56"/>
      <c r="I152" s="56"/>
      <c r="J152" s="56">
        <v>130730</v>
      </c>
      <c r="K152" s="56"/>
      <c r="L152" s="52"/>
      <c r="M152" s="52"/>
      <c r="N152" s="52"/>
      <c r="O152" s="52">
        <v>192222</v>
      </c>
      <c r="P152" s="52">
        <v>257029</v>
      </c>
      <c r="Q152" s="52">
        <v>147884</v>
      </c>
      <c r="R152" s="52">
        <v>106249</v>
      </c>
      <c r="S152" s="52">
        <v>299204</v>
      </c>
      <c r="T152" s="52"/>
      <c r="U152" s="52">
        <v>632876</v>
      </c>
      <c r="V152" s="52"/>
      <c r="W152" s="52">
        <v>702788</v>
      </c>
      <c r="X152" s="52">
        <v>724891</v>
      </c>
      <c r="Y152" s="52">
        <v>2876079</v>
      </c>
      <c r="Z152" s="52">
        <v>1021640</v>
      </c>
      <c r="AA152" s="52">
        <v>586022</v>
      </c>
      <c r="AB152" s="52">
        <v>811500</v>
      </c>
      <c r="AC152" s="52">
        <v>428554</v>
      </c>
      <c r="AD152" s="52">
        <v>288386</v>
      </c>
      <c r="AE152" s="52">
        <v>75556</v>
      </c>
      <c r="AF152" s="52"/>
      <c r="AG152" s="52">
        <v>800169</v>
      </c>
      <c r="AH152" s="52">
        <v>684227</v>
      </c>
      <c r="AI152" s="52"/>
      <c r="AJ152" s="52">
        <v>190015</v>
      </c>
      <c r="AK152" s="52">
        <v>696510</v>
      </c>
      <c r="AL152" s="52">
        <v>121193</v>
      </c>
      <c r="AM152" s="52"/>
      <c r="AN152" s="52"/>
      <c r="AO152" s="52">
        <v>554486</v>
      </c>
      <c r="AP152" s="52"/>
      <c r="AQ152" s="52">
        <v>157694</v>
      </c>
      <c r="AR152" s="52">
        <v>1036082</v>
      </c>
      <c r="AS152" s="52">
        <v>623139</v>
      </c>
      <c r="AT152" s="52">
        <v>10000</v>
      </c>
      <c r="AU152" s="52">
        <v>843975</v>
      </c>
      <c r="AV152" s="52">
        <v>915002</v>
      </c>
      <c r="AW152" s="52"/>
      <c r="AX152" s="52">
        <v>338663</v>
      </c>
      <c r="AY152" s="101">
        <v>1349996</v>
      </c>
      <c r="AZ152" s="52">
        <v>279604</v>
      </c>
      <c r="BA152" s="52">
        <v>10000</v>
      </c>
      <c r="BB152" s="52"/>
      <c r="BC152" s="52"/>
      <c r="BD152" s="52">
        <v>188361</v>
      </c>
      <c r="BE152" s="52">
        <v>1067973</v>
      </c>
      <c r="BF152" s="52">
        <v>211007</v>
      </c>
      <c r="BG152" s="52">
        <v>715377</v>
      </c>
      <c r="BH152" s="52">
        <v>244255</v>
      </c>
      <c r="BI152" s="52">
        <v>564221</v>
      </c>
      <c r="BJ152" s="52">
        <v>91416</v>
      </c>
      <c r="BK152" s="52">
        <v>99199</v>
      </c>
      <c r="BL152" s="52">
        <v>633243</v>
      </c>
      <c r="BM152" s="52"/>
      <c r="BN152" s="52">
        <v>193281</v>
      </c>
      <c r="BO152" s="52">
        <v>113473</v>
      </c>
      <c r="BP152" s="52">
        <v>177602</v>
      </c>
      <c r="BQ152" s="52"/>
      <c r="BR152" s="52">
        <v>118310</v>
      </c>
      <c r="BS152" s="52"/>
      <c r="BT152" s="52">
        <v>326706</v>
      </c>
      <c r="BU152" s="52">
        <v>101517</v>
      </c>
      <c r="BV152" s="52">
        <v>858993</v>
      </c>
      <c r="BW152" s="52"/>
      <c r="BX152" s="52">
        <v>969453</v>
      </c>
      <c r="BY152" s="52">
        <v>585596</v>
      </c>
      <c r="BZ152" s="52">
        <v>684</v>
      </c>
      <c r="CA152" s="52"/>
      <c r="CB152" s="52">
        <v>444434</v>
      </c>
      <c r="CC152" s="52">
        <v>798799</v>
      </c>
      <c r="CD152" s="52">
        <v>930339</v>
      </c>
      <c r="CE152" s="52"/>
      <c r="CF152" s="52"/>
      <c r="CG152" s="52">
        <v>2212526</v>
      </c>
      <c r="CH152" s="52">
        <v>5409</v>
      </c>
      <c r="CI152" s="52">
        <v>216683</v>
      </c>
      <c r="CJ152" s="52"/>
      <c r="CK152" s="52"/>
      <c r="CL152" s="52"/>
      <c r="CM152" s="52"/>
      <c r="CN152" s="52"/>
      <c r="CO152" s="52">
        <v>169865</v>
      </c>
      <c r="CP152" s="52">
        <v>542732</v>
      </c>
      <c r="CQ152" s="52"/>
      <c r="CR152" s="52"/>
      <c r="CS152" s="52"/>
      <c r="CT152" s="52">
        <v>318874</v>
      </c>
      <c r="CU152" s="52">
        <v>577696</v>
      </c>
      <c r="CV152" s="52"/>
      <c r="CW152" s="52">
        <v>335136</v>
      </c>
      <c r="CX152" s="52">
        <v>481322</v>
      </c>
      <c r="CY152" s="52"/>
      <c r="CZ152" s="52"/>
      <c r="DA152" s="52">
        <v>249097</v>
      </c>
      <c r="DB152" s="52"/>
      <c r="DC152" s="52"/>
      <c r="DD152" s="52"/>
      <c r="DE152" s="52">
        <v>35127256</v>
      </c>
      <c r="DF152" s="52"/>
      <c r="DG152" s="52">
        <v>35127256</v>
      </c>
      <c r="DH152" s="52"/>
    </row>
    <row r="153" spans="1:112">
      <c r="A153" s="150" t="s">
        <v>411</v>
      </c>
      <c r="B153" s="44">
        <v>3569</v>
      </c>
      <c r="C153" s="44" t="s">
        <v>205</v>
      </c>
      <c r="D153" s="52"/>
      <c r="E153" s="52"/>
      <c r="F153" s="52"/>
      <c r="G153" s="52"/>
      <c r="H153" s="56"/>
      <c r="I153" s="56"/>
      <c r="J153" s="56"/>
      <c r="K153" s="56"/>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101"/>
      <c r="AZ153" s="52"/>
      <c r="BA153" s="52"/>
      <c r="BB153" s="52"/>
      <c r="BC153" s="52"/>
      <c r="BD153" s="52"/>
      <c r="BE153" s="52"/>
      <c r="BF153" s="52"/>
      <c r="BG153" s="52"/>
      <c r="BH153" s="52"/>
      <c r="BI153" s="52"/>
      <c r="BJ153" s="52"/>
      <c r="BK153" s="52">
        <v>68710</v>
      </c>
      <c r="BL153" s="52"/>
      <c r="BM153" s="52"/>
      <c r="BN153" s="52"/>
      <c r="BO153" s="52"/>
      <c r="BP153" s="52"/>
      <c r="BQ153" s="52"/>
      <c r="BR153" s="52"/>
      <c r="BS153" s="52"/>
      <c r="BT153" s="52"/>
      <c r="BU153" s="52"/>
      <c r="BV153" s="52"/>
      <c r="BW153" s="52"/>
      <c r="BX153" s="52"/>
      <c r="BY153" s="52"/>
      <c r="BZ153" s="52"/>
      <c r="CA153" s="52"/>
      <c r="CB153" s="52">
        <v>352118</v>
      </c>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v>420828</v>
      </c>
      <c r="DF153" s="52"/>
      <c r="DG153" s="52">
        <v>420828</v>
      </c>
      <c r="DH153" s="52"/>
    </row>
    <row r="154" spans="1:112">
      <c r="A154" s="150" t="s">
        <v>411</v>
      </c>
      <c r="B154" s="44">
        <v>3570</v>
      </c>
      <c r="C154" s="44" t="s">
        <v>206</v>
      </c>
      <c r="D154" s="52">
        <v>24794</v>
      </c>
      <c r="E154" s="52">
        <v>69215</v>
      </c>
      <c r="F154" s="52">
        <v>76363</v>
      </c>
      <c r="G154" s="52"/>
      <c r="H154" s="56"/>
      <c r="I154" s="56"/>
      <c r="J154" s="56">
        <v>24794</v>
      </c>
      <c r="K154" s="56"/>
      <c r="L154" s="52"/>
      <c r="M154" s="52"/>
      <c r="N154" s="52"/>
      <c r="O154" s="52">
        <v>9586</v>
      </c>
      <c r="P154" s="52">
        <v>65407</v>
      </c>
      <c r="Q154" s="52">
        <v>42246</v>
      </c>
      <c r="R154" s="52">
        <v>529</v>
      </c>
      <c r="S154" s="52">
        <v>40175</v>
      </c>
      <c r="T154" s="52"/>
      <c r="U154" s="52">
        <v>125558</v>
      </c>
      <c r="V154" s="52"/>
      <c r="W154" s="52">
        <v>115129</v>
      </c>
      <c r="X154" s="52">
        <v>54559</v>
      </c>
      <c r="Y154" s="52">
        <v>694117</v>
      </c>
      <c r="Z154" s="52">
        <v>181006</v>
      </c>
      <c r="AA154" s="52">
        <v>102643</v>
      </c>
      <c r="AB154" s="52">
        <v>13481</v>
      </c>
      <c r="AC154" s="52">
        <v>52579</v>
      </c>
      <c r="AD154" s="52">
        <v>20821</v>
      </c>
      <c r="AE154" s="52">
        <v>11413</v>
      </c>
      <c r="AF154" s="52"/>
      <c r="AG154" s="52">
        <v>95605</v>
      </c>
      <c r="AH154" s="52">
        <v>167129</v>
      </c>
      <c r="AI154" s="52"/>
      <c r="AJ154" s="52">
        <v>52061</v>
      </c>
      <c r="AK154" s="52">
        <v>14508</v>
      </c>
      <c r="AL154" s="52"/>
      <c r="AM154" s="52"/>
      <c r="AN154" s="52"/>
      <c r="AO154" s="52">
        <v>54547</v>
      </c>
      <c r="AP154" s="52"/>
      <c r="AQ154" s="52">
        <v>24794</v>
      </c>
      <c r="AR154" s="52">
        <v>114508</v>
      </c>
      <c r="AS154" s="52">
        <v>78361</v>
      </c>
      <c r="AT154" s="52"/>
      <c r="AU154" s="52">
        <v>69709</v>
      </c>
      <c r="AV154" s="52">
        <v>89259</v>
      </c>
      <c r="AW154" s="52"/>
      <c r="AX154" s="52">
        <v>56151</v>
      </c>
      <c r="AY154" s="101">
        <v>335980</v>
      </c>
      <c r="AZ154" s="52">
        <v>28011</v>
      </c>
      <c r="BA154" s="52"/>
      <c r="BB154" s="52"/>
      <c r="BC154" s="52"/>
      <c r="BD154" s="52">
        <v>36930</v>
      </c>
      <c r="BE154" s="52"/>
      <c r="BF154" s="52">
        <v>8133</v>
      </c>
      <c r="BG154" s="52"/>
      <c r="BH154" s="52">
        <v>27431</v>
      </c>
      <c r="BI154" s="52">
        <v>85522</v>
      </c>
      <c r="BJ154" s="52">
        <v>13890</v>
      </c>
      <c r="BK154" s="52">
        <v>23351</v>
      </c>
      <c r="BL154" s="52">
        <v>165569</v>
      </c>
      <c r="BM154" s="52"/>
      <c r="BN154" s="52">
        <v>16393</v>
      </c>
      <c r="BO154" s="52">
        <v>21762</v>
      </c>
      <c r="BP154" s="52"/>
      <c r="BQ154" s="52"/>
      <c r="BR154" s="52">
        <v>49553</v>
      </c>
      <c r="BS154" s="52"/>
      <c r="BT154" s="52"/>
      <c r="BU154" s="52">
        <v>27729</v>
      </c>
      <c r="BV154" s="52"/>
      <c r="BW154" s="52"/>
      <c r="BX154" s="52">
        <v>177111</v>
      </c>
      <c r="BY154" s="52">
        <v>119568</v>
      </c>
      <c r="BZ154" s="52"/>
      <c r="CA154" s="52"/>
      <c r="CB154" s="52">
        <v>7845</v>
      </c>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v>3685825</v>
      </c>
      <c r="DF154" s="52"/>
      <c r="DG154" s="52">
        <v>3685825</v>
      </c>
      <c r="DH154" s="52"/>
    </row>
    <row r="155" spans="1:112">
      <c r="A155" s="150" t="s">
        <v>411</v>
      </c>
      <c r="B155" s="44">
        <v>3575</v>
      </c>
      <c r="C155" s="44" t="s">
        <v>207</v>
      </c>
      <c r="D155" s="52">
        <v>51529</v>
      </c>
      <c r="E155" s="52">
        <v>85719</v>
      </c>
      <c r="F155" s="52">
        <v>769</v>
      </c>
      <c r="G155" s="52"/>
      <c r="H155" s="56">
        <v>89135</v>
      </c>
      <c r="I155" s="56">
        <v>19783</v>
      </c>
      <c r="J155" s="56">
        <v>9241</v>
      </c>
      <c r="K155" s="56"/>
      <c r="L155" s="52">
        <v>83977</v>
      </c>
      <c r="M155" s="52"/>
      <c r="N155" s="52"/>
      <c r="O155" s="52">
        <v>6000</v>
      </c>
      <c r="P155" s="52">
        <v>1671</v>
      </c>
      <c r="Q155" s="52"/>
      <c r="R155" s="52"/>
      <c r="S155" s="52"/>
      <c r="T155" s="52"/>
      <c r="U155" s="52">
        <v>7453</v>
      </c>
      <c r="V155" s="52"/>
      <c r="W155" s="52">
        <v>39898</v>
      </c>
      <c r="X155" s="52"/>
      <c r="Y155" s="52">
        <v>35898</v>
      </c>
      <c r="Z155" s="52">
        <v>3781</v>
      </c>
      <c r="AA155" s="52">
        <v>13998</v>
      </c>
      <c r="AB155" s="52"/>
      <c r="AC155" s="52">
        <v>778</v>
      </c>
      <c r="AD155" s="52">
        <v>4000</v>
      </c>
      <c r="AE155" s="52"/>
      <c r="AF155" s="52"/>
      <c r="AG155" s="52"/>
      <c r="AH155" s="52">
        <v>8153</v>
      </c>
      <c r="AI155" s="52"/>
      <c r="AJ155" s="52"/>
      <c r="AK155" s="52">
        <v>8289</v>
      </c>
      <c r="AL155" s="52"/>
      <c r="AM155" s="52"/>
      <c r="AN155" s="52">
        <v>53500</v>
      </c>
      <c r="AO155" s="52"/>
      <c r="AP155" s="52"/>
      <c r="AQ155" s="52">
        <v>7754</v>
      </c>
      <c r="AR155" s="52"/>
      <c r="AS155" s="52">
        <v>4266</v>
      </c>
      <c r="AT155" s="52"/>
      <c r="AU155" s="52">
        <v>6917</v>
      </c>
      <c r="AV155" s="52"/>
      <c r="AW155" s="52">
        <v>8000</v>
      </c>
      <c r="AX155" s="52">
        <v>21978</v>
      </c>
      <c r="AY155" s="101">
        <v>26485</v>
      </c>
      <c r="AZ155" s="52">
        <v>5938</v>
      </c>
      <c r="BA155" s="52"/>
      <c r="BB155" s="52"/>
      <c r="BC155" s="52"/>
      <c r="BD155" s="52">
        <v>6000</v>
      </c>
      <c r="BE155" s="52"/>
      <c r="BF155" s="52">
        <v>19495</v>
      </c>
      <c r="BG155" s="52"/>
      <c r="BH155" s="52">
        <v>25382</v>
      </c>
      <c r="BI155" s="52">
        <v>14007</v>
      </c>
      <c r="BJ155" s="52">
        <v>7211</v>
      </c>
      <c r="BK155" s="52"/>
      <c r="BL155" s="52">
        <v>2000</v>
      </c>
      <c r="BM155" s="52">
        <v>30139</v>
      </c>
      <c r="BN155" s="52">
        <v>4703</v>
      </c>
      <c r="BO155" s="52"/>
      <c r="BP155" s="52">
        <v>6883</v>
      </c>
      <c r="BQ155" s="52">
        <v>46871</v>
      </c>
      <c r="BR155" s="52">
        <v>10000</v>
      </c>
      <c r="BS155" s="52"/>
      <c r="BT155" s="52"/>
      <c r="BU155" s="52">
        <v>2000</v>
      </c>
      <c r="BV155" s="52">
        <v>6000</v>
      </c>
      <c r="BW155" s="52"/>
      <c r="BX155" s="52"/>
      <c r="BY155" s="52">
        <v>28528</v>
      </c>
      <c r="BZ155" s="52">
        <v>41229</v>
      </c>
      <c r="CA155" s="52"/>
      <c r="CB155" s="52">
        <v>9082</v>
      </c>
      <c r="CC155" s="52">
        <v>928</v>
      </c>
      <c r="CD155" s="52">
        <v>71393</v>
      </c>
      <c r="CE155" s="52"/>
      <c r="CF155" s="52">
        <v>71768</v>
      </c>
      <c r="CG155" s="52">
        <v>17594</v>
      </c>
      <c r="CH155" s="52">
        <v>55124</v>
      </c>
      <c r="CI155" s="52">
        <v>8000</v>
      </c>
      <c r="CJ155" s="52">
        <v>12000</v>
      </c>
      <c r="CK155" s="52">
        <v>8000</v>
      </c>
      <c r="CL155" s="52"/>
      <c r="CM155" s="52">
        <v>6354</v>
      </c>
      <c r="CN155" s="52">
        <v>1672</v>
      </c>
      <c r="CO155" s="52">
        <v>53711</v>
      </c>
      <c r="CP155" s="52">
        <v>1980</v>
      </c>
      <c r="CQ155" s="52"/>
      <c r="CR155" s="52"/>
      <c r="CS155" s="52"/>
      <c r="CT155" s="52">
        <v>31274</v>
      </c>
      <c r="CU155" s="52">
        <v>870</v>
      </c>
      <c r="CV155" s="52"/>
      <c r="CW155" s="52">
        <v>6000</v>
      </c>
      <c r="CX155" s="52"/>
      <c r="CY155" s="52">
        <v>11963</v>
      </c>
      <c r="CZ155" s="52"/>
      <c r="DA155" s="52">
        <v>20000</v>
      </c>
      <c r="DB155" s="52">
        <v>16500</v>
      </c>
      <c r="DC155" s="52">
        <v>13914</v>
      </c>
      <c r="DD155" s="52"/>
      <c r="DE155" s="52">
        <v>1259571</v>
      </c>
      <c r="DF155" s="52">
        <v>13914</v>
      </c>
      <c r="DG155" s="52">
        <v>1273485</v>
      </c>
      <c r="DH155" s="52"/>
    </row>
    <row r="156" spans="1:112">
      <c r="A156" s="150" t="s">
        <v>411</v>
      </c>
      <c r="B156" s="44">
        <v>3577</v>
      </c>
      <c r="C156" s="44" t="s">
        <v>208</v>
      </c>
      <c r="D156" s="52">
        <v>71500</v>
      </c>
      <c r="E156" s="52">
        <v>427500</v>
      </c>
      <c r="F156" s="52">
        <v>33250</v>
      </c>
      <c r="G156" s="52">
        <v>4250</v>
      </c>
      <c r="H156" s="56">
        <v>138250</v>
      </c>
      <c r="I156" s="56">
        <v>60000</v>
      </c>
      <c r="J156" s="56">
        <v>47250</v>
      </c>
      <c r="K156" s="56">
        <v>53500</v>
      </c>
      <c r="L156" s="52">
        <v>235500</v>
      </c>
      <c r="M156" s="52">
        <v>3000</v>
      </c>
      <c r="N156" s="52">
        <v>6500</v>
      </c>
      <c r="O156" s="52">
        <v>31250</v>
      </c>
      <c r="P156" s="52">
        <v>18250</v>
      </c>
      <c r="Q156" s="52">
        <v>15250</v>
      </c>
      <c r="R156" s="52">
        <v>18750</v>
      </c>
      <c r="S156" s="52">
        <v>47000</v>
      </c>
      <c r="T156" s="52">
        <v>3500</v>
      </c>
      <c r="U156" s="52">
        <v>370750</v>
      </c>
      <c r="V156" s="52">
        <v>8250</v>
      </c>
      <c r="W156" s="52">
        <v>463000</v>
      </c>
      <c r="X156" s="52">
        <v>35500</v>
      </c>
      <c r="Y156" s="52">
        <v>853250</v>
      </c>
      <c r="Z156" s="52">
        <v>174500</v>
      </c>
      <c r="AA156" s="52">
        <v>114500</v>
      </c>
      <c r="AB156" s="52">
        <v>139500</v>
      </c>
      <c r="AC156" s="52">
        <v>18750</v>
      </c>
      <c r="AD156" s="52">
        <v>53000</v>
      </c>
      <c r="AE156" s="52">
        <v>20500</v>
      </c>
      <c r="AF156" s="52">
        <v>2750</v>
      </c>
      <c r="AG156" s="52">
        <v>110250</v>
      </c>
      <c r="AH156" s="52">
        <v>211750</v>
      </c>
      <c r="AI156" s="52"/>
      <c r="AJ156" s="52">
        <v>15500</v>
      </c>
      <c r="AK156" s="52">
        <v>56250</v>
      </c>
      <c r="AL156" s="52">
        <v>25750</v>
      </c>
      <c r="AM156" s="52">
        <v>3000</v>
      </c>
      <c r="AN156" s="52">
        <v>336250</v>
      </c>
      <c r="AO156" s="52">
        <v>43750</v>
      </c>
      <c r="AP156" s="52">
        <v>5250</v>
      </c>
      <c r="AQ156" s="52">
        <v>74000</v>
      </c>
      <c r="AR156" s="52">
        <v>74750</v>
      </c>
      <c r="AS156" s="52">
        <v>277250</v>
      </c>
      <c r="AT156" s="52">
        <v>22250</v>
      </c>
      <c r="AU156" s="52">
        <v>63500</v>
      </c>
      <c r="AV156" s="52">
        <v>17750</v>
      </c>
      <c r="AW156" s="52">
        <v>27000</v>
      </c>
      <c r="AX156" s="52">
        <v>193500</v>
      </c>
      <c r="AY156" s="101">
        <v>1169343</v>
      </c>
      <c r="AZ156" s="52">
        <v>171250</v>
      </c>
      <c r="BA156" s="52">
        <v>23750</v>
      </c>
      <c r="BB156" s="52">
        <v>29250</v>
      </c>
      <c r="BC156" s="52">
        <v>5250</v>
      </c>
      <c r="BD156" s="52">
        <v>50750</v>
      </c>
      <c r="BE156" s="52">
        <v>24250</v>
      </c>
      <c r="BF156" s="52">
        <v>611750</v>
      </c>
      <c r="BG156" s="52">
        <v>41750</v>
      </c>
      <c r="BH156" s="52">
        <v>180750</v>
      </c>
      <c r="BI156" s="52">
        <v>205400</v>
      </c>
      <c r="BJ156" s="52">
        <v>96250</v>
      </c>
      <c r="BK156" s="52">
        <v>52750</v>
      </c>
      <c r="BL156" s="52">
        <v>46250</v>
      </c>
      <c r="BM156" s="52">
        <v>334750</v>
      </c>
      <c r="BN156" s="52">
        <v>172250</v>
      </c>
      <c r="BO156" s="52">
        <v>41750</v>
      </c>
      <c r="BP156" s="52">
        <v>57500</v>
      </c>
      <c r="BQ156" s="52">
        <v>321750</v>
      </c>
      <c r="BR156" s="52">
        <v>19250</v>
      </c>
      <c r="BS156" s="52"/>
      <c r="BT156" s="52">
        <v>52250</v>
      </c>
      <c r="BU156" s="52">
        <v>33250</v>
      </c>
      <c r="BV156" s="52">
        <v>16000</v>
      </c>
      <c r="BW156" s="52">
        <v>2750</v>
      </c>
      <c r="BX156" s="52">
        <v>77500</v>
      </c>
      <c r="BY156" s="52">
        <v>121250</v>
      </c>
      <c r="BZ156" s="52">
        <v>214500</v>
      </c>
      <c r="CA156" s="52"/>
      <c r="CB156" s="52">
        <v>62000</v>
      </c>
      <c r="CC156" s="52">
        <v>76250</v>
      </c>
      <c r="CD156" s="52">
        <v>142000</v>
      </c>
      <c r="CE156" s="52">
        <v>2000</v>
      </c>
      <c r="CF156" s="52">
        <v>280500</v>
      </c>
      <c r="CG156" s="52">
        <v>518750</v>
      </c>
      <c r="CH156" s="52">
        <v>414500</v>
      </c>
      <c r="CI156" s="52">
        <v>37250</v>
      </c>
      <c r="CJ156" s="52">
        <v>93500</v>
      </c>
      <c r="CK156" s="52">
        <v>140334</v>
      </c>
      <c r="CL156" s="52">
        <v>54750</v>
      </c>
      <c r="CM156" s="52">
        <v>47500</v>
      </c>
      <c r="CN156" s="52">
        <v>127750</v>
      </c>
      <c r="CO156" s="52">
        <v>183500</v>
      </c>
      <c r="CP156" s="52">
        <v>176250</v>
      </c>
      <c r="CQ156" s="52">
        <v>5250</v>
      </c>
      <c r="CR156" s="52">
        <v>6250</v>
      </c>
      <c r="CS156" s="52">
        <v>5000</v>
      </c>
      <c r="CT156" s="52">
        <v>147500</v>
      </c>
      <c r="CU156" s="52">
        <v>153750</v>
      </c>
      <c r="CV156" s="52"/>
      <c r="CW156" s="52">
        <v>91250</v>
      </c>
      <c r="CX156" s="52">
        <v>96500</v>
      </c>
      <c r="CY156" s="52">
        <v>93000</v>
      </c>
      <c r="CZ156" s="52">
        <v>107250</v>
      </c>
      <c r="DA156" s="52">
        <v>298500</v>
      </c>
      <c r="DB156" s="52">
        <v>145500</v>
      </c>
      <c r="DC156" s="52">
        <v>23750</v>
      </c>
      <c r="DD156" s="52">
        <v>19000</v>
      </c>
      <c r="DE156" s="52">
        <v>12706577</v>
      </c>
      <c r="DF156" s="52">
        <v>42750</v>
      </c>
      <c r="DG156" s="52">
        <v>12749327</v>
      </c>
      <c r="DH156" s="52"/>
    </row>
    <row r="157" spans="1:112">
      <c r="A157" s="150" t="s">
        <v>411</v>
      </c>
      <c r="B157" s="44">
        <v>3578</v>
      </c>
      <c r="C157" s="44" t="s">
        <v>209</v>
      </c>
      <c r="D157" s="52"/>
      <c r="E157" s="52"/>
      <c r="F157" s="52">
        <v>5818</v>
      </c>
      <c r="G157" s="52"/>
      <c r="H157" s="56">
        <v>11995</v>
      </c>
      <c r="I157" s="56"/>
      <c r="J157" s="56"/>
      <c r="K157" s="56"/>
      <c r="L157" s="52">
        <v>11257</v>
      </c>
      <c r="M157" s="52"/>
      <c r="N157" s="52"/>
      <c r="O157" s="52">
        <v>4432</v>
      </c>
      <c r="P157" s="52">
        <v>6468</v>
      </c>
      <c r="Q157" s="52"/>
      <c r="R157" s="52"/>
      <c r="S157" s="52">
        <v>3500</v>
      </c>
      <c r="T157" s="52"/>
      <c r="U157" s="52">
        <v>19240</v>
      </c>
      <c r="V157" s="52"/>
      <c r="W157" s="52">
        <v>64881</v>
      </c>
      <c r="X157" s="52">
        <v>2110</v>
      </c>
      <c r="Y157" s="52">
        <v>49128</v>
      </c>
      <c r="Z157" s="52">
        <v>13357</v>
      </c>
      <c r="AA157" s="52">
        <v>6572</v>
      </c>
      <c r="AB157" s="52">
        <v>16288</v>
      </c>
      <c r="AC157" s="52">
        <v>12000</v>
      </c>
      <c r="AD157" s="52"/>
      <c r="AE157" s="52"/>
      <c r="AF157" s="52"/>
      <c r="AG157" s="52"/>
      <c r="AH157" s="52">
        <v>14837</v>
      </c>
      <c r="AI157" s="52"/>
      <c r="AJ157" s="52"/>
      <c r="AK157" s="52"/>
      <c r="AL157" s="52"/>
      <c r="AM157" s="52"/>
      <c r="AN157" s="52">
        <v>7565</v>
      </c>
      <c r="AO157" s="52">
        <v>8681</v>
      </c>
      <c r="AP157" s="52"/>
      <c r="AQ157" s="52"/>
      <c r="AR157" s="52">
        <v>5000</v>
      </c>
      <c r="AS157" s="52">
        <v>28343</v>
      </c>
      <c r="AT157" s="52"/>
      <c r="AU157" s="52">
        <v>2695</v>
      </c>
      <c r="AV157" s="52">
        <v>5276</v>
      </c>
      <c r="AW157" s="52"/>
      <c r="AX157" s="52">
        <v>7900</v>
      </c>
      <c r="AY157" s="101">
        <v>51415</v>
      </c>
      <c r="AZ157" s="52">
        <v>12986</v>
      </c>
      <c r="BA157" s="52"/>
      <c r="BB157" s="52">
        <v>9532</v>
      </c>
      <c r="BC157" s="52"/>
      <c r="BD157" s="52"/>
      <c r="BE157" s="52">
        <v>2945</v>
      </c>
      <c r="BF157" s="52">
        <v>11274</v>
      </c>
      <c r="BG157" s="52">
        <v>3500</v>
      </c>
      <c r="BH157" s="52"/>
      <c r="BI157" s="52">
        <v>17291</v>
      </c>
      <c r="BJ157" s="52">
        <v>7863</v>
      </c>
      <c r="BK157" s="52">
        <v>5000</v>
      </c>
      <c r="BL157" s="52">
        <v>3139</v>
      </c>
      <c r="BM157" s="52">
        <v>25639</v>
      </c>
      <c r="BN157" s="52"/>
      <c r="BO157" s="52">
        <v>7175</v>
      </c>
      <c r="BP157" s="52">
        <v>3652</v>
      </c>
      <c r="BQ157" s="52">
        <v>31867</v>
      </c>
      <c r="BR157" s="52">
        <v>18408</v>
      </c>
      <c r="BS157" s="52"/>
      <c r="BT157" s="52"/>
      <c r="BU157" s="52"/>
      <c r="BV157" s="52"/>
      <c r="BW157" s="52"/>
      <c r="BX157" s="52"/>
      <c r="BY157" s="52">
        <v>25821</v>
      </c>
      <c r="BZ157" s="52">
        <v>35436</v>
      </c>
      <c r="CA157" s="52"/>
      <c r="CB157" s="52">
        <v>3566</v>
      </c>
      <c r="CC157" s="52"/>
      <c r="CD157" s="52">
        <v>1310</v>
      </c>
      <c r="CE157" s="52"/>
      <c r="CF157" s="52">
        <v>4823</v>
      </c>
      <c r="CG157" s="52">
        <v>62586</v>
      </c>
      <c r="CH157" s="52">
        <v>16635</v>
      </c>
      <c r="CI157" s="52"/>
      <c r="CJ157" s="52"/>
      <c r="CK157" s="52"/>
      <c r="CL157" s="52">
        <v>7900</v>
      </c>
      <c r="CM157" s="52"/>
      <c r="CN157" s="52">
        <v>4976</v>
      </c>
      <c r="CO157" s="52">
        <v>2431</v>
      </c>
      <c r="CP157" s="52"/>
      <c r="CQ157" s="52"/>
      <c r="CR157" s="52"/>
      <c r="CS157" s="52"/>
      <c r="CT157" s="52"/>
      <c r="CU157" s="52">
        <v>5531</v>
      </c>
      <c r="CV157" s="52"/>
      <c r="CW157" s="52">
        <v>10313</v>
      </c>
      <c r="CX157" s="52">
        <v>25445</v>
      </c>
      <c r="CY157" s="52">
        <v>8266</v>
      </c>
      <c r="CZ157" s="52">
        <v>3354</v>
      </c>
      <c r="DA157" s="52">
        <v>30257</v>
      </c>
      <c r="DB157" s="52">
        <v>15073</v>
      </c>
      <c r="DC157" s="52"/>
      <c r="DD157" s="52"/>
      <c r="DE157" s="52">
        <v>782752</v>
      </c>
      <c r="DF157" s="52"/>
      <c r="DG157" s="52">
        <v>782752</v>
      </c>
      <c r="DH157" s="52"/>
    </row>
    <row r="158" spans="1:112">
      <c r="A158" s="150" t="s">
        <v>411</v>
      </c>
      <c r="B158" s="44">
        <v>3582</v>
      </c>
      <c r="C158" s="44" t="s">
        <v>210</v>
      </c>
      <c r="D158" s="52">
        <v>16573</v>
      </c>
      <c r="E158" s="52">
        <v>111309</v>
      </c>
      <c r="F158" s="52">
        <v>7601</v>
      </c>
      <c r="G158" s="52"/>
      <c r="H158" s="56">
        <v>37566</v>
      </c>
      <c r="I158" s="56">
        <v>17111</v>
      </c>
      <c r="J158" s="56">
        <v>12138</v>
      </c>
      <c r="K158" s="56">
        <v>12534</v>
      </c>
      <c r="L158" s="52">
        <v>53576</v>
      </c>
      <c r="M158" s="52"/>
      <c r="N158" s="52"/>
      <c r="O158" s="52">
        <v>7397</v>
      </c>
      <c r="P158" s="52">
        <v>4522</v>
      </c>
      <c r="Q158" s="52">
        <v>4239</v>
      </c>
      <c r="R158" s="52">
        <v>4248</v>
      </c>
      <c r="S158" s="52">
        <v>12175</v>
      </c>
      <c r="T158" s="52"/>
      <c r="U158" s="52">
        <v>82365</v>
      </c>
      <c r="V158" s="52"/>
      <c r="W158" s="52">
        <v>122409</v>
      </c>
      <c r="X158" s="52">
        <v>8197</v>
      </c>
      <c r="Y158" s="52">
        <v>192443</v>
      </c>
      <c r="Z158" s="52">
        <v>41191</v>
      </c>
      <c r="AA158" s="52">
        <v>27340</v>
      </c>
      <c r="AB158" s="52">
        <v>35975</v>
      </c>
      <c r="AC158" s="52">
        <v>5120</v>
      </c>
      <c r="AD158" s="52">
        <v>15155</v>
      </c>
      <c r="AE158" s="52">
        <v>5721</v>
      </c>
      <c r="AF158" s="52"/>
      <c r="AG158" s="52">
        <v>28905</v>
      </c>
      <c r="AH158" s="52">
        <v>52636</v>
      </c>
      <c r="AI158" s="52"/>
      <c r="AJ158" s="52">
        <v>3981</v>
      </c>
      <c r="AK158" s="52">
        <v>16366</v>
      </c>
      <c r="AL158" s="52">
        <v>7057</v>
      </c>
      <c r="AM158" s="52"/>
      <c r="AN158" s="52">
        <v>83521</v>
      </c>
      <c r="AO158" s="52">
        <v>10470</v>
      </c>
      <c r="AP158" s="52"/>
      <c r="AQ158" s="52">
        <v>18258</v>
      </c>
      <c r="AR158" s="52">
        <v>15893</v>
      </c>
      <c r="AS158" s="52">
        <v>66161</v>
      </c>
      <c r="AT158" s="52">
        <v>5344</v>
      </c>
      <c r="AU158" s="52">
        <v>17456</v>
      </c>
      <c r="AV158" s="52">
        <v>4821</v>
      </c>
      <c r="AW158" s="52">
        <v>6749</v>
      </c>
      <c r="AX158" s="52">
        <v>45797</v>
      </c>
      <c r="AY158" s="101">
        <v>291692</v>
      </c>
      <c r="AZ158" s="52">
        <v>41589</v>
      </c>
      <c r="BA158" s="52">
        <v>5379</v>
      </c>
      <c r="BB158" s="52">
        <v>7583</v>
      </c>
      <c r="BC158" s="52"/>
      <c r="BD158" s="52">
        <v>12382</v>
      </c>
      <c r="BE158" s="52">
        <v>6404</v>
      </c>
      <c r="BF158" s="52">
        <v>147152</v>
      </c>
      <c r="BG158" s="52">
        <v>13913</v>
      </c>
      <c r="BH158" s="52">
        <v>46121</v>
      </c>
      <c r="BI158" s="52">
        <v>50468</v>
      </c>
      <c r="BJ158" s="52">
        <v>26364</v>
      </c>
      <c r="BK158" s="52">
        <v>15074</v>
      </c>
      <c r="BL158" s="52">
        <v>12680</v>
      </c>
      <c r="BM158" s="52">
        <v>86723</v>
      </c>
      <c r="BN158" s="52">
        <v>40090</v>
      </c>
      <c r="BO158" s="52">
        <v>9909</v>
      </c>
      <c r="BP158" s="52">
        <v>15452</v>
      </c>
      <c r="BQ158" s="52">
        <v>73794</v>
      </c>
      <c r="BR158" s="52">
        <v>4386</v>
      </c>
      <c r="BS158" s="52"/>
      <c r="BT158" s="52">
        <v>14334</v>
      </c>
      <c r="BU158" s="52">
        <v>9191</v>
      </c>
      <c r="BV158" s="52">
        <v>4066</v>
      </c>
      <c r="BW158" s="52"/>
      <c r="BX158" s="52">
        <v>22240</v>
      </c>
      <c r="BY158" s="52">
        <v>26349</v>
      </c>
      <c r="BZ158" s="52">
        <v>48224</v>
      </c>
      <c r="CA158" s="52"/>
      <c r="CB158" s="52">
        <v>15356</v>
      </c>
      <c r="CC158" s="52">
        <v>19166</v>
      </c>
      <c r="CD158" s="52">
        <v>31698</v>
      </c>
      <c r="CE158" s="52"/>
      <c r="CF158" s="52">
        <v>74047</v>
      </c>
      <c r="CG158" s="52">
        <v>114108</v>
      </c>
      <c r="CH158" s="52">
        <v>92017</v>
      </c>
      <c r="CI158" s="52">
        <v>9667</v>
      </c>
      <c r="CJ158" s="52">
        <v>20935</v>
      </c>
      <c r="CK158" s="52">
        <v>40202</v>
      </c>
      <c r="CL158" s="52">
        <v>13935</v>
      </c>
      <c r="CM158" s="52">
        <v>13267</v>
      </c>
      <c r="CN158" s="52">
        <v>29194</v>
      </c>
      <c r="CO158" s="52">
        <v>43652</v>
      </c>
      <c r="CP158" s="52">
        <v>37023</v>
      </c>
      <c r="CQ158" s="52"/>
      <c r="CR158" s="52"/>
      <c r="CS158" s="52"/>
      <c r="CT158" s="52">
        <v>41352</v>
      </c>
      <c r="CU158" s="52">
        <v>40023</v>
      </c>
      <c r="CV158" s="52"/>
      <c r="CW158" s="52">
        <v>22035</v>
      </c>
      <c r="CX158" s="52">
        <v>26163</v>
      </c>
      <c r="CY158" s="52">
        <v>22722</v>
      </c>
      <c r="CZ158" s="52">
        <v>23729</v>
      </c>
      <c r="DA158" s="52">
        <v>74027</v>
      </c>
      <c r="DB158" s="52">
        <v>30978</v>
      </c>
      <c r="DC158" s="52">
        <v>7820</v>
      </c>
      <c r="DD158" s="52">
        <v>3773</v>
      </c>
      <c r="DE158" s="52">
        <v>3087175</v>
      </c>
      <c r="DF158" s="52">
        <v>11593</v>
      </c>
      <c r="DG158" s="52">
        <v>3098768</v>
      </c>
      <c r="DH158" s="52"/>
    </row>
    <row r="159" spans="1:112">
      <c r="A159" s="150" t="s">
        <v>411</v>
      </c>
      <c r="B159" s="44">
        <v>3583</v>
      </c>
      <c r="C159" s="44" t="s">
        <v>211</v>
      </c>
      <c r="D159" s="52">
        <v>190461</v>
      </c>
      <c r="E159" s="52">
        <v>980508</v>
      </c>
      <c r="F159" s="52">
        <v>131458</v>
      </c>
      <c r="G159" s="52"/>
      <c r="H159" s="56">
        <v>227037</v>
      </c>
      <c r="I159" s="56">
        <v>84356</v>
      </c>
      <c r="J159" s="56">
        <v>100726</v>
      </c>
      <c r="K159" s="56">
        <v>114304</v>
      </c>
      <c r="L159" s="52">
        <v>303381</v>
      </c>
      <c r="M159" s="52"/>
      <c r="N159" s="52"/>
      <c r="O159" s="52">
        <v>54986</v>
      </c>
      <c r="P159" s="52">
        <v>143997</v>
      </c>
      <c r="Q159" s="52">
        <v>41299</v>
      </c>
      <c r="R159" s="52">
        <v>56016</v>
      </c>
      <c r="S159" s="52">
        <v>335016</v>
      </c>
      <c r="T159" s="52"/>
      <c r="U159" s="52">
        <v>888863</v>
      </c>
      <c r="V159" s="52"/>
      <c r="W159" s="52">
        <v>1369515</v>
      </c>
      <c r="X159" s="52">
        <v>112403</v>
      </c>
      <c r="Y159" s="52">
        <v>2413818</v>
      </c>
      <c r="Z159" s="52">
        <v>869577</v>
      </c>
      <c r="AA159" s="52">
        <v>364783</v>
      </c>
      <c r="AB159" s="52">
        <v>383437</v>
      </c>
      <c r="AC159" s="52">
        <v>57199</v>
      </c>
      <c r="AD159" s="52">
        <v>102385</v>
      </c>
      <c r="AE159" s="52">
        <v>13208</v>
      </c>
      <c r="AF159" s="52"/>
      <c r="AG159" s="52">
        <v>923644</v>
      </c>
      <c r="AH159" s="52"/>
      <c r="AI159" s="52"/>
      <c r="AJ159" s="52">
        <v>62732</v>
      </c>
      <c r="AK159" s="52">
        <v>227542</v>
      </c>
      <c r="AL159" s="52">
        <v>89066</v>
      </c>
      <c r="AM159" s="52"/>
      <c r="AN159" s="52">
        <v>398211</v>
      </c>
      <c r="AO159" s="52">
        <v>115318</v>
      </c>
      <c r="AP159" s="52"/>
      <c r="AQ159" s="52">
        <v>201308</v>
      </c>
      <c r="AR159" s="52">
        <v>303799</v>
      </c>
      <c r="AS159" s="52">
        <v>670334</v>
      </c>
      <c r="AT159" s="52">
        <v>52241</v>
      </c>
      <c r="AU159" s="52">
        <v>330955</v>
      </c>
      <c r="AV159" s="52">
        <v>29161</v>
      </c>
      <c r="AW159" s="52">
        <v>49457</v>
      </c>
      <c r="AX159" s="52">
        <v>396997</v>
      </c>
      <c r="AY159" s="101">
        <v>2864310</v>
      </c>
      <c r="AZ159" s="52">
        <v>312088</v>
      </c>
      <c r="BA159" s="52">
        <v>30765</v>
      </c>
      <c r="BB159" s="52">
        <v>53731</v>
      </c>
      <c r="BC159" s="52"/>
      <c r="BD159" s="52">
        <v>116123</v>
      </c>
      <c r="BE159" s="52">
        <v>114098</v>
      </c>
      <c r="BF159" s="52">
        <v>1045741</v>
      </c>
      <c r="BG159" s="52">
        <v>254324</v>
      </c>
      <c r="BH159" s="52">
        <v>590521</v>
      </c>
      <c r="BI159" s="52">
        <v>619947</v>
      </c>
      <c r="BJ159" s="52">
        <v>15409</v>
      </c>
      <c r="BK159" s="52">
        <v>280751</v>
      </c>
      <c r="BL159" s="52">
        <v>228768</v>
      </c>
      <c r="BM159" s="52">
        <v>647890</v>
      </c>
      <c r="BN159" s="52">
        <v>357629</v>
      </c>
      <c r="BO159" s="52">
        <v>89152</v>
      </c>
      <c r="BP159" s="52">
        <v>198159</v>
      </c>
      <c r="BQ159" s="52">
        <v>405721</v>
      </c>
      <c r="BR159" s="52">
        <v>44885</v>
      </c>
      <c r="BS159" s="52"/>
      <c r="BT159" s="52">
        <v>256466</v>
      </c>
      <c r="BU159" s="52">
        <v>152815</v>
      </c>
      <c r="BV159" s="52">
        <v>76648</v>
      </c>
      <c r="BW159" s="52"/>
      <c r="BX159" s="52">
        <v>237221</v>
      </c>
      <c r="BY159" s="52">
        <v>270319</v>
      </c>
      <c r="BZ159" s="52">
        <v>341830</v>
      </c>
      <c r="CA159" s="52"/>
      <c r="CB159" s="52">
        <v>287034</v>
      </c>
      <c r="CC159" s="52">
        <v>214218</v>
      </c>
      <c r="CD159" s="52">
        <v>330301</v>
      </c>
      <c r="CE159" s="52"/>
      <c r="CF159" s="52">
        <v>551281</v>
      </c>
      <c r="CG159" s="52">
        <v>1323471</v>
      </c>
      <c r="CH159" s="52">
        <v>997576</v>
      </c>
      <c r="CI159" s="52">
        <v>118612</v>
      </c>
      <c r="CJ159" s="52">
        <v>134883</v>
      </c>
      <c r="CK159" s="52">
        <v>252582</v>
      </c>
      <c r="CL159" s="52">
        <v>122187</v>
      </c>
      <c r="CM159" s="52">
        <v>153627</v>
      </c>
      <c r="CN159" s="52">
        <v>296388</v>
      </c>
      <c r="CO159" s="52">
        <v>488046</v>
      </c>
      <c r="CP159" s="52">
        <v>425011</v>
      </c>
      <c r="CQ159" s="52"/>
      <c r="CR159" s="52"/>
      <c r="CS159" s="52"/>
      <c r="CT159" s="52">
        <v>664439</v>
      </c>
      <c r="CU159" s="52">
        <v>120779</v>
      </c>
      <c r="CV159" s="52"/>
      <c r="CW159" s="52">
        <v>147988</v>
      </c>
      <c r="CX159" s="52">
        <v>115881</v>
      </c>
      <c r="CY159" s="52">
        <v>158839</v>
      </c>
      <c r="CZ159" s="52"/>
      <c r="DA159" s="52">
        <v>666134</v>
      </c>
      <c r="DB159" s="52">
        <v>137024</v>
      </c>
      <c r="DC159" s="52"/>
      <c r="DD159" s="52"/>
      <c r="DE159" s="52">
        <v>30501110</v>
      </c>
      <c r="DF159" s="52"/>
      <c r="DG159" s="52">
        <v>30501110</v>
      </c>
      <c r="DH159" s="52"/>
    </row>
    <row r="160" spans="1:112">
      <c r="A160" s="150" t="s">
        <v>411</v>
      </c>
      <c r="B160" s="44">
        <v>3588</v>
      </c>
      <c r="C160" s="44" t="s">
        <v>212</v>
      </c>
      <c r="D160" s="52">
        <v>28820</v>
      </c>
      <c r="E160" s="52">
        <v>89056</v>
      </c>
      <c r="F160" s="52">
        <v>6942</v>
      </c>
      <c r="G160" s="52"/>
      <c r="H160" s="56">
        <v>69817</v>
      </c>
      <c r="I160" s="56">
        <v>2959</v>
      </c>
      <c r="J160" s="56">
        <v>6082</v>
      </c>
      <c r="K160" s="56">
        <v>25327</v>
      </c>
      <c r="L160" s="52">
        <v>54175</v>
      </c>
      <c r="M160" s="52"/>
      <c r="N160" s="52">
        <v>20064</v>
      </c>
      <c r="O160" s="52">
        <v>3377</v>
      </c>
      <c r="P160" s="52"/>
      <c r="Q160" s="52">
        <v>1166</v>
      </c>
      <c r="R160" s="52">
        <v>5929</v>
      </c>
      <c r="S160" s="52">
        <v>12382</v>
      </c>
      <c r="T160" s="52">
        <v>8176</v>
      </c>
      <c r="U160" s="52">
        <v>23217</v>
      </c>
      <c r="V160" s="52">
        <v>6939</v>
      </c>
      <c r="W160" s="52">
        <v>30487</v>
      </c>
      <c r="X160" s="52">
        <v>7954</v>
      </c>
      <c r="Y160" s="52">
        <v>231307</v>
      </c>
      <c r="Z160" s="52">
        <v>14392</v>
      </c>
      <c r="AA160" s="52">
        <v>858</v>
      </c>
      <c r="AB160" s="52">
        <v>44496</v>
      </c>
      <c r="AC160" s="52">
        <v>1846</v>
      </c>
      <c r="AD160" s="52">
        <v>15029</v>
      </c>
      <c r="AE160" s="52"/>
      <c r="AF160" s="52"/>
      <c r="AG160" s="52">
        <v>18309</v>
      </c>
      <c r="AH160" s="52">
        <v>21567</v>
      </c>
      <c r="AI160" s="52"/>
      <c r="AJ160" s="52"/>
      <c r="AK160" s="52">
        <v>17769</v>
      </c>
      <c r="AL160" s="52">
        <v>12587</v>
      </c>
      <c r="AM160" s="52">
        <v>4901</v>
      </c>
      <c r="AN160" s="52">
        <v>120016</v>
      </c>
      <c r="AO160" s="52"/>
      <c r="AP160" s="52"/>
      <c r="AQ160" s="52">
        <v>19181</v>
      </c>
      <c r="AR160" s="52">
        <v>1547</v>
      </c>
      <c r="AS160" s="52">
        <v>18161</v>
      </c>
      <c r="AT160" s="52">
        <v>6715</v>
      </c>
      <c r="AU160" s="52">
        <v>2395</v>
      </c>
      <c r="AV160" s="52"/>
      <c r="AW160" s="52"/>
      <c r="AX160" s="52">
        <v>28477</v>
      </c>
      <c r="AY160" s="101">
        <v>291907</v>
      </c>
      <c r="AZ160" s="52">
        <v>12262</v>
      </c>
      <c r="BA160" s="52">
        <v>9523</v>
      </c>
      <c r="BB160" s="52">
        <v>13133</v>
      </c>
      <c r="BC160" s="52">
        <v>26693</v>
      </c>
      <c r="BD160" s="52">
        <v>13350</v>
      </c>
      <c r="BE160" s="52"/>
      <c r="BF160" s="52">
        <v>130179</v>
      </c>
      <c r="BG160" s="52">
        <v>5614</v>
      </c>
      <c r="BH160" s="52">
        <v>43226</v>
      </c>
      <c r="BI160" s="52">
        <v>22001</v>
      </c>
      <c r="BJ160" s="52">
        <v>5383</v>
      </c>
      <c r="BK160" s="52">
        <v>6286</v>
      </c>
      <c r="BL160" s="52">
        <v>9748</v>
      </c>
      <c r="BM160" s="52">
        <v>157448</v>
      </c>
      <c r="BN160" s="52">
        <v>14220</v>
      </c>
      <c r="BO160" s="52"/>
      <c r="BP160" s="52">
        <v>11301</v>
      </c>
      <c r="BQ160" s="52">
        <v>169045</v>
      </c>
      <c r="BR160" s="52"/>
      <c r="BS160" s="52"/>
      <c r="BT160" s="52"/>
      <c r="BU160" s="52"/>
      <c r="BV160" s="52"/>
      <c r="BW160" s="52"/>
      <c r="BX160" s="52">
        <v>10533</v>
      </c>
      <c r="BY160" s="52">
        <v>22070</v>
      </c>
      <c r="BZ160" s="52">
        <v>54113</v>
      </c>
      <c r="CA160" s="52"/>
      <c r="CB160" s="52"/>
      <c r="CC160" s="52">
        <v>7306</v>
      </c>
      <c r="CD160" s="52">
        <v>36942</v>
      </c>
      <c r="CE160" s="52">
        <v>1134</v>
      </c>
      <c r="CF160" s="52">
        <v>91992</v>
      </c>
      <c r="CG160" s="52">
        <v>80712</v>
      </c>
      <c r="CH160" s="52">
        <v>109657</v>
      </c>
      <c r="CI160" s="52">
        <v>3665</v>
      </c>
      <c r="CJ160" s="52">
        <v>28674</v>
      </c>
      <c r="CK160" s="52">
        <v>51941</v>
      </c>
      <c r="CL160" s="52">
        <v>14220</v>
      </c>
      <c r="CM160" s="52">
        <v>10549</v>
      </c>
      <c r="CN160" s="52">
        <v>22376</v>
      </c>
      <c r="CO160" s="52">
        <v>2057</v>
      </c>
      <c r="CP160" s="52">
        <v>25725</v>
      </c>
      <c r="CQ160" s="52">
        <v>15349</v>
      </c>
      <c r="CR160" s="52">
        <v>21452</v>
      </c>
      <c r="CS160" s="52">
        <v>17439</v>
      </c>
      <c r="CT160" s="52">
        <v>20055</v>
      </c>
      <c r="CU160" s="52"/>
      <c r="CV160" s="52"/>
      <c r="CW160" s="52">
        <v>9524</v>
      </c>
      <c r="CX160" s="52">
        <v>23402</v>
      </c>
      <c r="CY160" s="52">
        <v>21810</v>
      </c>
      <c r="CZ160" s="52">
        <v>50866</v>
      </c>
      <c r="DA160" s="52">
        <v>54134</v>
      </c>
      <c r="DB160" s="52">
        <v>78695</v>
      </c>
      <c r="DC160" s="52">
        <v>20064</v>
      </c>
      <c r="DD160" s="52">
        <v>13560</v>
      </c>
      <c r="DE160" s="52">
        <v>2810133</v>
      </c>
      <c r="DF160" s="52">
        <v>33624</v>
      </c>
      <c r="DG160" s="52">
        <v>2843757</v>
      </c>
      <c r="DH160" s="52"/>
    </row>
    <row r="161" spans="1:112">
      <c r="A161" s="150" t="s">
        <v>411</v>
      </c>
      <c r="B161" s="44">
        <v>3590</v>
      </c>
      <c r="C161" s="44" t="s">
        <v>213</v>
      </c>
      <c r="D161" s="52"/>
      <c r="E161" s="52">
        <v>619056</v>
      </c>
      <c r="F161" s="52"/>
      <c r="G161" s="52"/>
      <c r="H161" s="56"/>
      <c r="I161" s="56"/>
      <c r="J161" s="56"/>
      <c r="K161" s="56"/>
      <c r="L161" s="52"/>
      <c r="M161" s="52"/>
      <c r="N161" s="52"/>
      <c r="O161" s="52">
        <v>16586</v>
      </c>
      <c r="P161" s="52">
        <v>35278</v>
      </c>
      <c r="Q161" s="52">
        <v>49390</v>
      </c>
      <c r="R161" s="52">
        <v>54878</v>
      </c>
      <c r="S161" s="52"/>
      <c r="T161" s="52"/>
      <c r="U161" s="52"/>
      <c r="V161" s="52"/>
      <c r="W161" s="52"/>
      <c r="X161" s="52"/>
      <c r="Y161" s="52"/>
      <c r="Z161" s="52"/>
      <c r="AA161" s="52">
        <v>105049</v>
      </c>
      <c r="AB161" s="52"/>
      <c r="AC161" s="52"/>
      <c r="AD161" s="52"/>
      <c r="AE161" s="52"/>
      <c r="AF161" s="52"/>
      <c r="AG161" s="52"/>
      <c r="AH161" s="52"/>
      <c r="AI161" s="52"/>
      <c r="AJ161" s="52">
        <v>42000</v>
      </c>
      <c r="AK161" s="52"/>
      <c r="AL161" s="52"/>
      <c r="AM161" s="52"/>
      <c r="AN161" s="52"/>
      <c r="AO161" s="52"/>
      <c r="AP161" s="52"/>
      <c r="AQ161" s="52"/>
      <c r="AR161" s="52">
        <v>141410</v>
      </c>
      <c r="AS161" s="52">
        <v>179834</v>
      </c>
      <c r="AT161" s="52"/>
      <c r="AU161" s="52"/>
      <c r="AV161" s="52"/>
      <c r="AW161" s="52"/>
      <c r="AX161" s="52"/>
      <c r="AY161" s="101"/>
      <c r="AZ161" s="52">
        <v>268667</v>
      </c>
      <c r="BA161" s="52">
        <v>69493</v>
      </c>
      <c r="BB161" s="52">
        <v>97979</v>
      </c>
      <c r="BC161" s="52"/>
      <c r="BD161" s="52"/>
      <c r="BE161" s="52">
        <v>23356</v>
      </c>
      <c r="BF161" s="52"/>
      <c r="BG161" s="52">
        <v>65961</v>
      </c>
      <c r="BH161" s="52">
        <v>155346</v>
      </c>
      <c r="BI161" s="52">
        <v>652045</v>
      </c>
      <c r="BJ161" s="52"/>
      <c r="BK161" s="52"/>
      <c r="BL161" s="52"/>
      <c r="BM161" s="52">
        <v>560234</v>
      </c>
      <c r="BN161" s="52"/>
      <c r="BO161" s="52"/>
      <c r="BP161" s="52"/>
      <c r="BQ161" s="52"/>
      <c r="BR161" s="52"/>
      <c r="BS161" s="52"/>
      <c r="BT161" s="52"/>
      <c r="BU161" s="52"/>
      <c r="BV161" s="52"/>
      <c r="BW161" s="52"/>
      <c r="BX161" s="52"/>
      <c r="BY161" s="52"/>
      <c r="BZ161" s="52">
        <v>311528</v>
      </c>
      <c r="CA161" s="52"/>
      <c r="CB161" s="52">
        <v>198400</v>
      </c>
      <c r="CC161" s="52"/>
      <c r="CD161" s="52"/>
      <c r="CE161" s="52"/>
      <c r="CF161" s="52"/>
      <c r="CG161" s="52"/>
      <c r="CH161" s="52">
        <v>594433</v>
      </c>
      <c r="CI161" s="52">
        <v>13841</v>
      </c>
      <c r="CJ161" s="52"/>
      <c r="CK161" s="52"/>
      <c r="CL161" s="52">
        <v>180046</v>
      </c>
      <c r="CM161" s="52">
        <v>171407</v>
      </c>
      <c r="CN161" s="52">
        <v>377190</v>
      </c>
      <c r="CO161" s="52">
        <v>563981</v>
      </c>
      <c r="CP161" s="52"/>
      <c r="CQ161" s="52"/>
      <c r="CR161" s="52"/>
      <c r="CS161" s="52"/>
      <c r="CT161" s="52">
        <v>267133</v>
      </c>
      <c r="CU161" s="52">
        <v>132891</v>
      </c>
      <c r="CV161" s="52"/>
      <c r="CW161" s="52">
        <v>26706</v>
      </c>
      <c r="CX161" s="52">
        <v>191860</v>
      </c>
      <c r="CY161" s="52"/>
      <c r="CZ161" s="52"/>
      <c r="DA161" s="52"/>
      <c r="DB161" s="52">
        <v>248920</v>
      </c>
      <c r="DC161" s="52"/>
      <c r="DD161" s="52"/>
      <c r="DE161" s="52">
        <v>6414898</v>
      </c>
      <c r="DF161" s="52"/>
      <c r="DG161" s="52">
        <v>6414898</v>
      </c>
      <c r="DH161" s="52"/>
    </row>
    <row r="162" spans="1:112">
      <c r="A162" s="150" t="s">
        <v>411</v>
      </c>
      <c r="B162" s="44">
        <v>3591</v>
      </c>
      <c r="C162" s="44" t="s">
        <v>140</v>
      </c>
      <c r="D162" s="52">
        <v>29852</v>
      </c>
      <c r="E162" s="52">
        <v>201465</v>
      </c>
      <c r="F162" s="52">
        <v>20500</v>
      </c>
      <c r="G162" s="52"/>
      <c r="H162" s="56">
        <v>72519</v>
      </c>
      <c r="I162" s="56">
        <v>41000</v>
      </c>
      <c r="J162" s="56">
        <v>20500</v>
      </c>
      <c r="K162" s="56">
        <v>20500</v>
      </c>
      <c r="L162" s="52">
        <v>61500</v>
      </c>
      <c r="M162" s="52"/>
      <c r="N162" s="52"/>
      <c r="O162" s="52">
        <v>20500</v>
      </c>
      <c r="P162" s="52">
        <v>17524</v>
      </c>
      <c r="Q162" s="52">
        <v>18880</v>
      </c>
      <c r="R162" s="52">
        <v>20500</v>
      </c>
      <c r="S162" s="52">
        <v>20500</v>
      </c>
      <c r="T162" s="52"/>
      <c r="U162" s="52"/>
      <c r="V162" s="52"/>
      <c r="W162" s="52">
        <v>183648</v>
      </c>
      <c r="X162" s="52">
        <v>19923</v>
      </c>
      <c r="Y162" s="52">
        <v>361761</v>
      </c>
      <c r="Z162" s="52">
        <v>82000</v>
      </c>
      <c r="AA162" s="52">
        <v>53399</v>
      </c>
      <c r="AB162" s="52">
        <v>70573</v>
      </c>
      <c r="AC162" s="52">
        <v>18294</v>
      </c>
      <c r="AD162" s="52">
        <v>20500</v>
      </c>
      <c r="AE162" s="52">
        <v>20500</v>
      </c>
      <c r="AF162" s="52"/>
      <c r="AG162" s="52">
        <v>61500</v>
      </c>
      <c r="AH162" s="52">
        <v>52151</v>
      </c>
      <c r="AI162" s="52"/>
      <c r="AJ162" s="52">
        <v>20500</v>
      </c>
      <c r="AK162" s="52">
        <v>20500</v>
      </c>
      <c r="AL162" s="52">
        <v>20500</v>
      </c>
      <c r="AM162" s="52"/>
      <c r="AN162" s="52">
        <v>116862</v>
      </c>
      <c r="AO162" s="52">
        <v>25654</v>
      </c>
      <c r="AP162" s="52"/>
      <c r="AQ162" s="52">
        <v>40136</v>
      </c>
      <c r="AR162" s="52">
        <v>41000</v>
      </c>
      <c r="AS162" s="52">
        <v>61500</v>
      </c>
      <c r="AT162" s="52">
        <v>20500</v>
      </c>
      <c r="AU162" s="52">
        <v>41834</v>
      </c>
      <c r="AV162" s="52">
        <v>20500</v>
      </c>
      <c r="AW162" s="52">
        <v>20500</v>
      </c>
      <c r="AX162" s="52">
        <v>82000</v>
      </c>
      <c r="AY162" s="101">
        <v>355984</v>
      </c>
      <c r="AZ162" s="52">
        <v>61500</v>
      </c>
      <c r="BA162" s="52">
        <v>17892</v>
      </c>
      <c r="BB162" s="52">
        <v>20500</v>
      </c>
      <c r="BC162" s="52"/>
      <c r="BD162" s="52">
        <v>20500</v>
      </c>
      <c r="BE162" s="52">
        <v>20500</v>
      </c>
      <c r="BF162" s="52">
        <v>176162</v>
      </c>
      <c r="BG162" s="52">
        <v>29326</v>
      </c>
      <c r="BH162" s="52">
        <v>82000</v>
      </c>
      <c r="BI162" s="52">
        <v>98449</v>
      </c>
      <c r="BJ162" s="52">
        <v>142496</v>
      </c>
      <c r="BK162" s="52">
        <v>20500</v>
      </c>
      <c r="BL162" s="52">
        <v>34118</v>
      </c>
      <c r="BM162" s="52">
        <v>104052</v>
      </c>
      <c r="BN162" s="52">
        <v>82000</v>
      </c>
      <c r="BO162" s="52">
        <v>20500</v>
      </c>
      <c r="BP162" s="52">
        <v>20500</v>
      </c>
      <c r="BQ162" s="52">
        <v>61500</v>
      </c>
      <c r="BR162" s="52"/>
      <c r="BS162" s="52"/>
      <c r="BT162" s="52">
        <v>20500</v>
      </c>
      <c r="BU162" s="52">
        <v>20500</v>
      </c>
      <c r="BV162" s="52">
        <v>20500</v>
      </c>
      <c r="BW162" s="52"/>
      <c r="BX162" s="52">
        <v>46536</v>
      </c>
      <c r="BY162" s="52">
        <v>45503</v>
      </c>
      <c r="BZ162" s="52">
        <v>87507</v>
      </c>
      <c r="CA162" s="52"/>
      <c r="CB162" s="52">
        <v>26806</v>
      </c>
      <c r="CC162" s="52">
        <v>36304</v>
      </c>
      <c r="CD162" s="52">
        <v>53211</v>
      </c>
      <c r="CE162" s="52"/>
      <c r="CF162" s="52">
        <v>102500</v>
      </c>
      <c r="CG162" s="52">
        <v>193124</v>
      </c>
      <c r="CH162" s="52">
        <v>102500</v>
      </c>
      <c r="CI162" s="52">
        <v>20500</v>
      </c>
      <c r="CJ162" s="52">
        <v>48149</v>
      </c>
      <c r="CK162" s="52">
        <v>41000</v>
      </c>
      <c r="CL162" s="52">
        <v>29598</v>
      </c>
      <c r="CM162" s="52">
        <v>20500</v>
      </c>
      <c r="CN162" s="52">
        <v>41000</v>
      </c>
      <c r="CO162" s="52">
        <v>61500</v>
      </c>
      <c r="CP162" s="52">
        <v>61500</v>
      </c>
      <c r="CQ162" s="52"/>
      <c r="CR162" s="52"/>
      <c r="CS162" s="52"/>
      <c r="CT162" s="52">
        <v>69384</v>
      </c>
      <c r="CU162" s="52">
        <v>67746</v>
      </c>
      <c r="CV162" s="52"/>
      <c r="CW162" s="52">
        <v>28860</v>
      </c>
      <c r="CX162" s="52">
        <v>36315</v>
      </c>
      <c r="CY162" s="52">
        <v>20500</v>
      </c>
      <c r="CZ162" s="52">
        <v>20500</v>
      </c>
      <c r="DA162" s="52">
        <v>82270</v>
      </c>
      <c r="DB162" s="52">
        <v>61500</v>
      </c>
      <c r="DC162" s="52">
        <v>20500</v>
      </c>
      <c r="DD162" s="52"/>
      <c r="DE162" s="52">
        <v>4876767</v>
      </c>
      <c r="DF162" s="52">
        <v>20500</v>
      </c>
      <c r="DG162" s="52">
        <v>4897267</v>
      </c>
      <c r="DH162" s="52"/>
    </row>
    <row r="163" spans="1:112">
      <c r="A163" s="150" t="s">
        <v>411</v>
      </c>
      <c r="B163" s="44">
        <v>3592</v>
      </c>
      <c r="C163" s="44" t="s">
        <v>214</v>
      </c>
      <c r="D163" s="52">
        <v>21829</v>
      </c>
      <c r="E163" s="52">
        <v>152133</v>
      </c>
      <c r="F163" s="52">
        <v>4456</v>
      </c>
      <c r="G163" s="52"/>
      <c r="H163" s="56">
        <v>46242</v>
      </c>
      <c r="I163" s="56">
        <v>23236</v>
      </c>
      <c r="J163" s="56">
        <v>15397</v>
      </c>
      <c r="K163" s="56">
        <v>6872</v>
      </c>
      <c r="L163" s="52">
        <v>64135</v>
      </c>
      <c r="M163" s="52"/>
      <c r="N163" s="52"/>
      <c r="O163" s="52">
        <v>46410</v>
      </c>
      <c r="P163" s="52">
        <v>5308</v>
      </c>
      <c r="Q163" s="52">
        <v>6368</v>
      </c>
      <c r="R163" s="52">
        <v>5301</v>
      </c>
      <c r="S163" s="52">
        <v>17378</v>
      </c>
      <c r="T163" s="52"/>
      <c r="U163" s="52"/>
      <c r="V163" s="52">
        <v>21576</v>
      </c>
      <c r="W163" s="52">
        <v>207003</v>
      </c>
      <c r="X163" s="52">
        <v>999</v>
      </c>
      <c r="Y163" s="52">
        <v>106366</v>
      </c>
      <c r="Z163" s="52">
        <v>51579</v>
      </c>
      <c r="AA163" s="52">
        <v>31330</v>
      </c>
      <c r="AB163" s="52">
        <v>85569</v>
      </c>
      <c r="AC163" s="52">
        <v>32250</v>
      </c>
      <c r="AD163" s="52"/>
      <c r="AE163" s="52">
        <v>8577</v>
      </c>
      <c r="AF163" s="52"/>
      <c r="AG163" s="52">
        <v>41011</v>
      </c>
      <c r="AH163" s="52">
        <v>65426</v>
      </c>
      <c r="AI163" s="52"/>
      <c r="AJ163" s="52">
        <v>6856</v>
      </c>
      <c r="AK163" s="52">
        <v>23093</v>
      </c>
      <c r="AL163" s="52">
        <v>9968</v>
      </c>
      <c r="AM163" s="52"/>
      <c r="AN163" s="52">
        <v>123968</v>
      </c>
      <c r="AO163" s="52">
        <v>13245</v>
      </c>
      <c r="AP163" s="52"/>
      <c r="AQ163" s="52">
        <v>17673</v>
      </c>
      <c r="AR163" s="52">
        <v>15808</v>
      </c>
      <c r="AS163" s="52">
        <v>77293</v>
      </c>
      <c r="AT163" s="52">
        <v>7633</v>
      </c>
      <c r="AU163" s="52">
        <v>23042</v>
      </c>
      <c r="AV163" s="52">
        <v>6222</v>
      </c>
      <c r="AW163" s="52">
        <v>9908</v>
      </c>
      <c r="AX163" s="52">
        <v>53808</v>
      </c>
      <c r="AY163" s="101">
        <v>361986</v>
      </c>
      <c r="AZ163" s="52"/>
      <c r="BA163" s="52">
        <v>7532</v>
      </c>
      <c r="BB163" s="52">
        <v>6131</v>
      </c>
      <c r="BC163" s="52">
        <v>51844</v>
      </c>
      <c r="BD163" s="52">
        <v>16971</v>
      </c>
      <c r="BE163" s="52">
        <v>29981</v>
      </c>
      <c r="BF163" s="52">
        <v>134135</v>
      </c>
      <c r="BG163" s="52">
        <v>9799</v>
      </c>
      <c r="BH163" s="52">
        <v>58501</v>
      </c>
      <c r="BI163" s="52">
        <v>63847</v>
      </c>
      <c r="BJ163" s="52">
        <v>31694</v>
      </c>
      <c r="BK163" s="52">
        <v>20638</v>
      </c>
      <c r="BL163" s="52">
        <v>12463</v>
      </c>
      <c r="BM163" s="52">
        <v>121312</v>
      </c>
      <c r="BN163" s="52">
        <v>46674</v>
      </c>
      <c r="BO163" s="52">
        <v>12749</v>
      </c>
      <c r="BP163" s="52">
        <v>57770</v>
      </c>
      <c r="BQ163" s="52">
        <v>82595</v>
      </c>
      <c r="BR163" s="52">
        <v>8524</v>
      </c>
      <c r="BS163" s="52"/>
      <c r="BT163" s="52"/>
      <c r="BU163" s="52"/>
      <c r="BV163" s="52"/>
      <c r="BW163" s="52">
        <v>38583</v>
      </c>
      <c r="BX163" s="52">
        <v>29907</v>
      </c>
      <c r="BY163" s="52">
        <v>34012</v>
      </c>
      <c r="BZ163" s="52">
        <v>44083</v>
      </c>
      <c r="CA163" s="52"/>
      <c r="CB163" s="52">
        <v>24691</v>
      </c>
      <c r="CC163" s="52">
        <v>24896</v>
      </c>
      <c r="CD163" s="52">
        <v>38500</v>
      </c>
      <c r="CE163" s="52"/>
      <c r="CF163" s="52">
        <v>87819</v>
      </c>
      <c r="CG163" s="52">
        <v>123269</v>
      </c>
      <c r="CH163" s="52">
        <v>103401</v>
      </c>
      <c r="CI163" s="52">
        <v>12400</v>
      </c>
      <c r="CJ163" s="52">
        <v>27242</v>
      </c>
      <c r="CK163" s="52">
        <v>51638</v>
      </c>
      <c r="CL163" s="52">
        <v>17262</v>
      </c>
      <c r="CM163" s="52">
        <v>17108</v>
      </c>
      <c r="CN163" s="52">
        <v>79799</v>
      </c>
      <c r="CO163" s="52">
        <v>36488</v>
      </c>
      <c r="CP163" s="52">
        <v>54334</v>
      </c>
      <c r="CQ163" s="52"/>
      <c r="CR163" s="52"/>
      <c r="CS163" s="52"/>
      <c r="CT163" s="52">
        <v>51066</v>
      </c>
      <c r="CU163" s="52">
        <v>52113</v>
      </c>
      <c r="CV163" s="52"/>
      <c r="CW163" s="52">
        <v>30200</v>
      </c>
      <c r="CX163" s="52">
        <v>72218</v>
      </c>
      <c r="CY163" s="52">
        <v>30282</v>
      </c>
      <c r="CZ163" s="52">
        <v>17414</v>
      </c>
      <c r="DA163" s="52">
        <v>118587</v>
      </c>
      <c r="DB163" s="52">
        <v>34803</v>
      </c>
      <c r="DC163" s="52">
        <v>7115</v>
      </c>
      <c r="DD163" s="52"/>
      <c r="DE163" s="52">
        <v>3842529</v>
      </c>
      <c r="DF163" s="52">
        <v>7115</v>
      </c>
      <c r="DG163" s="52">
        <v>3849644</v>
      </c>
      <c r="DH163" s="52"/>
    </row>
    <row r="164" spans="1:112">
      <c r="A164" s="150" t="s">
        <v>411</v>
      </c>
      <c r="B164" s="44">
        <v>3593</v>
      </c>
      <c r="C164" s="44" t="s">
        <v>215</v>
      </c>
      <c r="D164" s="52">
        <v>198618</v>
      </c>
      <c r="E164" s="52">
        <v>1175535</v>
      </c>
      <c r="F164" s="52">
        <v>476072</v>
      </c>
      <c r="G164" s="52"/>
      <c r="H164" s="56">
        <v>280877</v>
      </c>
      <c r="I164" s="56">
        <v>161355</v>
      </c>
      <c r="J164" s="56"/>
      <c r="K164" s="56">
        <v>110382</v>
      </c>
      <c r="L164" s="52">
        <v>557887</v>
      </c>
      <c r="M164" s="52"/>
      <c r="N164" s="52"/>
      <c r="O164" s="52">
        <v>80853</v>
      </c>
      <c r="P164" s="52">
        <v>380858</v>
      </c>
      <c r="Q164" s="52">
        <v>91755</v>
      </c>
      <c r="R164" s="52">
        <v>38463</v>
      </c>
      <c r="S164" s="52">
        <v>138154</v>
      </c>
      <c r="T164" s="52"/>
      <c r="U164" s="52">
        <v>831382</v>
      </c>
      <c r="V164" s="52"/>
      <c r="W164" s="52">
        <v>1288378</v>
      </c>
      <c r="X164" s="52">
        <v>126201</v>
      </c>
      <c r="Y164" s="52">
        <v>1918330</v>
      </c>
      <c r="Z164" s="52">
        <v>818853</v>
      </c>
      <c r="AA164" s="52">
        <v>303375</v>
      </c>
      <c r="AB164" s="52">
        <v>440474</v>
      </c>
      <c r="AC164" s="52">
        <v>380858</v>
      </c>
      <c r="AD164" s="52">
        <v>188274</v>
      </c>
      <c r="AE164" s="52">
        <v>60464</v>
      </c>
      <c r="AF164" s="52"/>
      <c r="AG164" s="52">
        <v>715311</v>
      </c>
      <c r="AH164" s="52">
        <v>679870</v>
      </c>
      <c r="AI164" s="52"/>
      <c r="AJ164" s="52">
        <v>51676</v>
      </c>
      <c r="AK164" s="52">
        <v>271737</v>
      </c>
      <c r="AL164" s="52">
        <v>84369</v>
      </c>
      <c r="AM164" s="52"/>
      <c r="AN164" s="52">
        <v>571597</v>
      </c>
      <c r="AO164" s="52">
        <v>134943</v>
      </c>
      <c r="AP164" s="52"/>
      <c r="AQ164" s="52">
        <v>214437</v>
      </c>
      <c r="AR164" s="52">
        <v>220764</v>
      </c>
      <c r="AS164" s="52">
        <v>741740</v>
      </c>
      <c r="AT164" s="52"/>
      <c r="AU164" s="52">
        <v>251425</v>
      </c>
      <c r="AV164" s="52">
        <v>434477</v>
      </c>
      <c r="AW164" s="52">
        <v>68901</v>
      </c>
      <c r="AX164" s="52">
        <v>525546</v>
      </c>
      <c r="AY164" s="101">
        <v>2456052</v>
      </c>
      <c r="AZ164" s="52">
        <v>453129</v>
      </c>
      <c r="BA164" s="52">
        <v>54410</v>
      </c>
      <c r="BB164" s="52">
        <v>59761</v>
      </c>
      <c r="BC164" s="52"/>
      <c r="BD164" s="52">
        <v>147996</v>
      </c>
      <c r="BE164" s="52">
        <v>74115</v>
      </c>
      <c r="BF164" s="52">
        <v>1619525</v>
      </c>
      <c r="BG164" s="52">
        <v>761715</v>
      </c>
      <c r="BH164" s="52">
        <v>498017</v>
      </c>
      <c r="BI164" s="52">
        <v>474573</v>
      </c>
      <c r="BJ164" s="52">
        <v>275983</v>
      </c>
      <c r="BK164" s="52">
        <v>168737</v>
      </c>
      <c r="BL164" s="52">
        <v>904538</v>
      </c>
      <c r="BM164" s="52">
        <v>548747</v>
      </c>
      <c r="BN164" s="52">
        <v>487580</v>
      </c>
      <c r="BO164" s="52">
        <v>113546</v>
      </c>
      <c r="BP164" s="52">
        <v>204242</v>
      </c>
      <c r="BQ164" s="52">
        <v>332201</v>
      </c>
      <c r="BR164" s="52">
        <v>56246</v>
      </c>
      <c r="BS164" s="52"/>
      <c r="BT164" s="52">
        <v>203891</v>
      </c>
      <c r="BU164" s="52">
        <v>136396</v>
      </c>
      <c r="BV164" s="52">
        <v>252837</v>
      </c>
      <c r="BW164" s="52"/>
      <c r="BX164" s="52">
        <v>340638</v>
      </c>
      <c r="BY164" s="52">
        <v>313921</v>
      </c>
      <c r="BZ164" s="52">
        <v>524491</v>
      </c>
      <c r="CA164" s="52"/>
      <c r="CB164" s="52">
        <v>188341</v>
      </c>
      <c r="CC164" s="52">
        <v>241857</v>
      </c>
      <c r="CD164" s="52">
        <v>506211</v>
      </c>
      <c r="CE164" s="52"/>
      <c r="CF164" s="52">
        <v>642959</v>
      </c>
      <c r="CG164" s="52">
        <v>1658689</v>
      </c>
      <c r="CH164" s="52">
        <v>768105</v>
      </c>
      <c r="CI164" s="52">
        <v>237222</v>
      </c>
      <c r="CJ164" s="52">
        <v>206703</v>
      </c>
      <c r="CK164" s="52">
        <v>359269</v>
      </c>
      <c r="CL164" s="52">
        <v>131826</v>
      </c>
      <c r="CM164" s="52">
        <v>133232</v>
      </c>
      <c r="CN164" s="52">
        <v>242560</v>
      </c>
      <c r="CO164" s="52">
        <v>387041</v>
      </c>
      <c r="CP164" s="52">
        <v>411650</v>
      </c>
      <c r="CQ164" s="52"/>
      <c r="CR164" s="52"/>
      <c r="CS164" s="52"/>
      <c r="CT164" s="52">
        <v>491716</v>
      </c>
      <c r="CU164" s="52">
        <v>523788</v>
      </c>
      <c r="CV164" s="52"/>
      <c r="CW164" s="52">
        <v>266816</v>
      </c>
      <c r="CX164" s="52">
        <v>429225</v>
      </c>
      <c r="CY164" s="52"/>
      <c r="CZ164" s="52">
        <v>140263</v>
      </c>
      <c r="DA164" s="52">
        <v>660184</v>
      </c>
      <c r="DB164" s="52">
        <v>115655</v>
      </c>
      <c r="DC164" s="52"/>
      <c r="DD164" s="52"/>
      <c r="DE164" s="52">
        <v>35220790</v>
      </c>
      <c r="DF164" s="52"/>
      <c r="DG164" s="52">
        <v>35220790</v>
      </c>
      <c r="DH164" s="52"/>
    </row>
    <row r="165" spans="1:112">
      <c r="A165" s="150" t="s">
        <v>411</v>
      </c>
      <c r="B165" s="44">
        <v>3595</v>
      </c>
      <c r="C165" s="44" t="s">
        <v>216</v>
      </c>
      <c r="D165" s="52"/>
      <c r="E165" s="52">
        <v>14784</v>
      </c>
      <c r="F165" s="52">
        <v>11043</v>
      </c>
      <c r="G165" s="52"/>
      <c r="H165" s="56"/>
      <c r="I165" s="56"/>
      <c r="J165" s="56"/>
      <c r="K165" s="56"/>
      <c r="L165" s="52"/>
      <c r="M165" s="52"/>
      <c r="N165" s="52"/>
      <c r="O165" s="52"/>
      <c r="P165" s="52">
        <v>36417</v>
      </c>
      <c r="Q165" s="52">
        <v>24199</v>
      </c>
      <c r="R165" s="52"/>
      <c r="S165" s="52"/>
      <c r="T165" s="52"/>
      <c r="U165" s="52">
        <v>74484</v>
      </c>
      <c r="V165" s="52"/>
      <c r="W165" s="52">
        <v>32072</v>
      </c>
      <c r="X165" s="52"/>
      <c r="Y165" s="52">
        <v>460445</v>
      </c>
      <c r="Z165" s="52"/>
      <c r="AA165" s="52">
        <v>87313</v>
      </c>
      <c r="AB165" s="52">
        <v>13840</v>
      </c>
      <c r="AC165" s="52">
        <v>23503</v>
      </c>
      <c r="AD165" s="52"/>
      <c r="AE165" s="52">
        <v>31634</v>
      </c>
      <c r="AF165" s="52"/>
      <c r="AG165" s="52">
        <v>20200</v>
      </c>
      <c r="AH165" s="52">
        <v>66048</v>
      </c>
      <c r="AI165" s="52"/>
      <c r="AJ165" s="52">
        <v>9129</v>
      </c>
      <c r="AK165" s="52"/>
      <c r="AL165" s="52"/>
      <c r="AM165" s="52"/>
      <c r="AN165" s="52"/>
      <c r="AO165" s="52">
        <v>16455</v>
      </c>
      <c r="AP165" s="52"/>
      <c r="AQ165" s="52"/>
      <c r="AR165" s="52">
        <v>43104</v>
      </c>
      <c r="AS165" s="52">
        <v>31883</v>
      </c>
      <c r="AT165" s="52"/>
      <c r="AU165" s="52">
        <v>31674</v>
      </c>
      <c r="AV165" s="52">
        <v>33111</v>
      </c>
      <c r="AW165" s="52"/>
      <c r="AX165" s="52">
        <v>43613</v>
      </c>
      <c r="AY165" s="101">
        <v>92906</v>
      </c>
      <c r="AZ165" s="52">
        <v>29335</v>
      </c>
      <c r="BA165" s="52">
        <v>15674</v>
      </c>
      <c r="BB165" s="52"/>
      <c r="BC165" s="52"/>
      <c r="BD165" s="52">
        <v>39124</v>
      </c>
      <c r="BE165" s="52">
        <v>225</v>
      </c>
      <c r="BF165" s="52"/>
      <c r="BG165" s="52">
        <v>1165</v>
      </c>
      <c r="BH165" s="52">
        <v>32919</v>
      </c>
      <c r="BI165" s="52">
        <v>3790</v>
      </c>
      <c r="BJ165" s="52"/>
      <c r="BK165" s="52">
        <v>41669</v>
      </c>
      <c r="BL165" s="52">
        <v>118853</v>
      </c>
      <c r="BM165" s="52"/>
      <c r="BN165" s="52"/>
      <c r="BO165" s="52"/>
      <c r="BP165" s="52">
        <v>43868</v>
      </c>
      <c r="BQ165" s="52"/>
      <c r="BR165" s="52">
        <v>10614</v>
      </c>
      <c r="BS165" s="52"/>
      <c r="BT165" s="52">
        <v>1473</v>
      </c>
      <c r="BU165" s="52"/>
      <c r="BV165" s="52"/>
      <c r="BW165" s="52"/>
      <c r="BX165" s="52">
        <v>130978</v>
      </c>
      <c r="BY165" s="52">
        <v>20012</v>
      </c>
      <c r="BZ165" s="52"/>
      <c r="CA165" s="52"/>
      <c r="CB165" s="52"/>
      <c r="CC165" s="52">
        <v>34340</v>
      </c>
      <c r="CD165" s="52">
        <v>64560</v>
      </c>
      <c r="CE165" s="52"/>
      <c r="CF165" s="52"/>
      <c r="CG165" s="52">
        <v>185211</v>
      </c>
      <c r="CH165" s="52"/>
      <c r="CI165" s="52">
        <v>46346</v>
      </c>
      <c r="CJ165" s="52"/>
      <c r="CK165" s="52"/>
      <c r="CL165" s="52"/>
      <c r="CM165" s="52"/>
      <c r="CN165" s="52"/>
      <c r="CO165" s="52"/>
      <c r="CP165" s="52">
        <v>7468</v>
      </c>
      <c r="CQ165" s="52"/>
      <c r="CR165" s="52"/>
      <c r="CS165" s="52"/>
      <c r="CT165" s="52">
        <v>13542</v>
      </c>
      <c r="CU165" s="52"/>
      <c r="CV165" s="52"/>
      <c r="CW165" s="52">
        <v>24958</v>
      </c>
      <c r="CX165" s="52">
        <v>10768</v>
      </c>
      <c r="CY165" s="52"/>
      <c r="CZ165" s="52"/>
      <c r="DA165" s="52"/>
      <c r="DB165" s="52"/>
      <c r="DC165" s="52"/>
      <c r="DD165" s="52"/>
      <c r="DE165" s="52">
        <v>2074749</v>
      </c>
      <c r="DF165" s="52"/>
      <c r="DG165" s="52">
        <v>2074749</v>
      </c>
      <c r="DH165" s="52"/>
    </row>
    <row r="166" spans="1:112">
      <c r="A166" s="150" t="s">
        <v>411</v>
      </c>
      <c r="B166" s="44">
        <v>3596</v>
      </c>
      <c r="C166" s="44" t="s">
        <v>217</v>
      </c>
      <c r="D166" s="52">
        <v>89623</v>
      </c>
      <c r="E166" s="52">
        <v>308978</v>
      </c>
      <c r="F166" s="52">
        <v>84326</v>
      </c>
      <c r="G166" s="52">
        <v>350000</v>
      </c>
      <c r="H166" s="56">
        <v>110896</v>
      </c>
      <c r="I166" s="56">
        <v>21843</v>
      </c>
      <c r="J166" s="56">
        <v>11127</v>
      </c>
      <c r="K166" s="56">
        <v>6671</v>
      </c>
      <c r="L166" s="52">
        <v>33665</v>
      </c>
      <c r="M166" s="52"/>
      <c r="N166" s="52"/>
      <c r="O166" s="52">
        <v>3044</v>
      </c>
      <c r="P166" s="52">
        <v>48975</v>
      </c>
      <c r="Q166" s="52">
        <v>64214</v>
      </c>
      <c r="R166" s="52">
        <v>55257</v>
      </c>
      <c r="S166" s="52">
        <v>62631</v>
      </c>
      <c r="T166" s="52"/>
      <c r="U166" s="52"/>
      <c r="V166" s="52"/>
      <c r="W166" s="52">
        <v>262736</v>
      </c>
      <c r="X166" s="52">
        <v>114098</v>
      </c>
      <c r="Y166" s="52">
        <v>319975</v>
      </c>
      <c r="Z166" s="52">
        <v>218202</v>
      </c>
      <c r="AA166" s="52">
        <v>159102</v>
      </c>
      <c r="AB166" s="52">
        <v>167603</v>
      </c>
      <c r="AC166" s="52">
        <v>36786</v>
      </c>
      <c r="AD166" s="52">
        <v>84582</v>
      </c>
      <c r="AE166" s="52">
        <v>52981</v>
      </c>
      <c r="AF166" s="52"/>
      <c r="AG166" s="52">
        <v>260125</v>
      </c>
      <c r="AH166" s="52">
        <v>280834</v>
      </c>
      <c r="AI166" s="52"/>
      <c r="AJ166" s="52">
        <v>146744</v>
      </c>
      <c r="AK166" s="52">
        <v>24699</v>
      </c>
      <c r="AL166" s="52">
        <v>7342</v>
      </c>
      <c r="AM166" s="52"/>
      <c r="AN166" s="52">
        <v>308082</v>
      </c>
      <c r="AO166" s="52">
        <v>96550</v>
      </c>
      <c r="AP166" s="52"/>
      <c r="AQ166" s="52">
        <v>169863</v>
      </c>
      <c r="AR166" s="52">
        <v>124081</v>
      </c>
      <c r="AS166" s="52">
        <v>174278</v>
      </c>
      <c r="AT166" s="52">
        <v>65712</v>
      </c>
      <c r="AU166" s="52">
        <v>106836</v>
      </c>
      <c r="AV166" s="52">
        <v>53871</v>
      </c>
      <c r="AW166" s="52">
        <v>48529</v>
      </c>
      <c r="AX166" s="52">
        <v>155580</v>
      </c>
      <c r="AY166" s="101">
        <v>275638</v>
      </c>
      <c r="AZ166" s="52">
        <v>143906</v>
      </c>
      <c r="BA166" s="52">
        <v>52757</v>
      </c>
      <c r="BB166" s="52">
        <v>51405</v>
      </c>
      <c r="BC166" s="52"/>
      <c r="BD166" s="52">
        <v>72764</v>
      </c>
      <c r="BE166" s="52">
        <v>46608</v>
      </c>
      <c r="BF166" s="52">
        <v>310363</v>
      </c>
      <c r="BG166" s="52">
        <v>93667</v>
      </c>
      <c r="BH166" s="52">
        <v>299082</v>
      </c>
      <c r="BI166" s="52">
        <v>142040</v>
      </c>
      <c r="BJ166" s="52">
        <v>128602</v>
      </c>
      <c r="BK166" s="52">
        <v>80201</v>
      </c>
      <c r="BL166" s="52">
        <v>174528</v>
      </c>
      <c r="BM166" s="52">
        <v>160191</v>
      </c>
      <c r="BN166" s="52">
        <v>180494</v>
      </c>
      <c r="BO166" s="52">
        <v>84233</v>
      </c>
      <c r="BP166" s="52">
        <v>105913</v>
      </c>
      <c r="BQ166" s="52">
        <v>160591</v>
      </c>
      <c r="BR166" s="52">
        <v>86094</v>
      </c>
      <c r="BS166" s="52">
        <v>195626</v>
      </c>
      <c r="BT166" s="52">
        <v>68328</v>
      </c>
      <c r="BU166" s="52">
        <v>6387</v>
      </c>
      <c r="BV166" s="52">
        <v>7102</v>
      </c>
      <c r="BW166" s="52"/>
      <c r="BX166" s="52">
        <v>155680</v>
      </c>
      <c r="BY166" s="52">
        <v>203791</v>
      </c>
      <c r="BZ166" s="52">
        <v>235104</v>
      </c>
      <c r="CA166" s="52"/>
      <c r="CB166" s="52">
        <v>83617</v>
      </c>
      <c r="CC166" s="52">
        <v>168391</v>
      </c>
      <c r="CD166" s="52">
        <v>140512</v>
      </c>
      <c r="CE166" s="52"/>
      <c r="CF166" s="52">
        <v>185311</v>
      </c>
      <c r="CG166" s="52">
        <v>304323</v>
      </c>
      <c r="CH166" s="52">
        <v>46494</v>
      </c>
      <c r="CI166" s="52">
        <v>118131</v>
      </c>
      <c r="CJ166" s="52">
        <v>95492</v>
      </c>
      <c r="CK166" s="52">
        <v>101341</v>
      </c>
      <c r="CL166" s="52">
        <v>99485</v>
      </c>
      <c r="CM166" s="52">
        <v>63517</v>
      </c>
      <c r="CN166" s="52">
        <v>96155</v>
      </c>
      <c r="CO166" s="52">
        <v>144198</v>
      </c>
      <c r="CP166" s="52">
        <v>165316</v>
      </c>
      <c r="CQ166" s="52"/>
      <c r="CR166" s="52"/>
      <c r="CS166" s="52"/>
      <c r="CT166" s="52">
        <v>177526</v>
      </c>
      <c r="CU166" s="52">
        <v>195911</v>
      </c>
      <c r="CV166" s="52"/>
      <c r="CW166" s="52">
        <v>174676</v>
      </c>
      <c r="CX166" s="52">
        <v>153946</v>
      </c>
      <c r="CY166" s="52">
        <v>90791</v>
      </c>
      <c r="CZ166" s="52">
        <v>103529</v>
      </c>
      <c r="DA166" s="52">
        <v>115315</v>
      </c>
      <c r="DB166" s="52">
        <v>118576</v>
      </c>
      <c r="DC166" s="52"/>
      <c r="DD166" s="52"/>
      <c r="DE166" s="52">
        <v>11154089</v>
      </c>
      <c r="DF166" s="52"/>
      <c r="DG166" s="52">
        <v>11154089</v>
      </c>
      <c r="DH166" s="52"/>
    </row>
    <row r="167" spans="1:112">
      <c r="A167" s="150" t="s">
        <v>411</v>
      </c>
      <c r="B167" s="44">
        <v>3598</v>
      </c>
      <c r="C167" s="44" t="s">
        <v>218</v>
      </c>
      <c r="D167" s="52">
        <v>2588</v>
      </c>
      <c r="E167" s="52">
        <v>16564</v>
      </c>
      <c r="F167" s="52"/>
      <c r="G167" s="52"/>
      <c r="H167" s="56">
        <v>4137</v>
      </c>
      <c r="I167" s="56">
        <v>2225</v>
      </c>
      <c r="J167" s="56">
        <v>2593</v>
      </c>
      <c r="K167" s="56">
        <v>2176</v>
      </c>
      <c r="L167" s="52">
        <v>7488</v>
      </c>
      <c r="M167" s="52"/>
      <c r="N167" s="52"/>
      <c r="O167" s="52">
        <v>1235</v>
      </c>
      <c r="P167" s="52">
        <v>912</v>
      </c>
      <c r="Q167" s="52">
        <v>503</v>
      </c>
      <c r="R167" s="52">
        <v>688</v>
      </c>
      <c r="S167" s="52">
        <v>1910</v>
      </c>
      <c r="T167" s="52"/>
      <c r="U167" s="52">
        <v>10558</v>
      </c>
      <c r="V167" s="52"/>
      <c r="W167" s="52">
        <v>18808</v>
      </c>
      <c r="X167" s="52"/>
      <c r="Y167" s="52">
        <v>-146</v>
      </c>
      <c r="Z167" s="52">
        <v>5271</v>
      </c>
      <c r="AA167" s="52">
        <v>4646</v>
      </c>
      <c r="AB167" s="52">
        <v>7268</v>
      </c>
      <c r="AC167" s="52"/>
      <c r="AD167" s="52">
        <v>2180</v>
      </c>
      <c r="AE167" s="52">
        <v>1093</v>
      </c>
      <c r="AF167" s="52"/>
      <c r="AG167" s="52">
        <v>8614</v>
      </c>
      <c r="AH167" s="52">
        <v>10002</v>
      </c>
      <c r="AI167" s="52"/>
      <c r="AJ167" s="52">
        <v>1123</v>
      </c>
      <c r="AK167" s="52">
        <v>1976</v>
      </c>
      <c r="AL167" s="52">
        <v>1080</v>
      </c>
      <c r="AM167" s="52"/>
      <c r="AN167" s="52">
        <v>11934</v>
      </c>
      <c r="AO167" s="52">
        <v>3515</v>
      </c>
      <c r="AP167" s="52"/>
      <c r="AQ167" s="52">
        <v>3791</v>
      </c>
      <c r="AR167" s="52">
        <v>4360</v>
      </c>
      <c r="AS167" s="52">
        <v>14833</v>
      </c>
      <c r="AT167" s="52">
        <v>967</v>
      </c>
      <c r="AU167" s="52">
        <v>2829</v>
      </c>
      <c r="AV167" s="52">
        <v>790</v>
      </c>
      <c r="AW167" s="52">
        <v>669</v>
      </c>
      <c r="AX167" s="52">
        <v>7783</v>
      </c>
      <c r="AY167" s="101">
        <v>28063</v>
      </c>
      <c r="AZ167" s="52">
        <v>5087</v>
      </c>
      <c r="BA167" s="52">
        <v>714</v>
      </c>
      <c r="BB167" s="52">
        <v>769</v>
      </c>
      <c r="BC167" s="52"/>
      <c r="BD167" s="52">
        <v>2266</v>
      </c>
      <c r="BE167" s="52">
        <v>1451</v>
      </c>
      <c r="BF167" s="52">
        <v>23640</v>
      </c>
      <c r="BG167" s="52">
        <v>2864</v>
      </c>
      <c r="BH167" s="52">
        <v>7700</v>
      </c>
      <c r="BI167" s="52">
        <v>7479</v>
      </c>
      <c r="BJ167" s="52">
        <v>4105</v>
      </c>
      <c r="BK167" s="52">
        <v>2227</v>
      </c>
      <c r="BL167" s="52">
        <v>3355</v>
      </c>
      <c r="BM167" s="52">
        <v>15083</v>
      </c>
      <c r="BN167" s="52">
        <v>5759</v>
      </c>
      <c r="BO167" s="52">
        <v>1818</v>
      </c>
      <c r="BP167" s="52">
        <v>2962</v>
      </c>
      <c r="BQ167" s="52">
        <v>7301</v>
      </c>
      <c r="BR167" s="52">
        <v>1211</v>
      </c>
      <c r="BS167" s="52"/>
      <c r="BT167" s="52">
        <v>2317</v>
      </c>
      <c r="BU167" s="52">
        <v>1038</v>
      </c>
      <c r="BV167" s="52">
        <v>1425</v>
      </c>
      <c r="BW167" s="52"/>
      <c r="BX167" s="52">
        <v>4891</v>
      </c>
      <c r="BY167" s="52">
        <v>4735</v>
      </c>
      <c r="BZ167" s="52">
        <v>8249</v>
      </c>
      <c r="CA167" s="52"/>
      <c r="CB167" s="52">
        <v>4235</v>
      </c>
      <c r="CC167" s="52">
        <v>3805</v>
      </c>
      <c r="CD167" s="52">
        <v>5017</v>
      </c>
      <c r="CE167" s="52"/>
      <c r="CF167" s="52">
        <v>10659</v>
      </c>
      <c r="CG167" s="52">
        <v>15800</v>
      </c>
      <c r="CH167" s="52">
        <v>8298</v>
      </c>
      <c r="CI167" s="52">
        <v>2447</v>
      </c>
      <c r="CJ167" s="52">
        <v>2402</v>
      </c>
      <c r="CK167" s="52">
        <v>4303</v>
      </c>
      <c r="CL167" s="52">
        <v>1902</v>
      </c>
      <c r="CM167" s="52">
        <v>1650</v>
      </c>
      <c r="CN167" s="52">
        <v>2831</v>
      </c>
      <c r="CO167" s="52">
        <v>4248</v>
      </c>
      <c r="CP167" s="52">
        <v>5530</v>
      </c>
      <c r="CQ167" s="52"/>
      <c r="CR167" s="52"/>
      <c r="CS167" s="52"/>
      <c r="CT167" s="52">
        <v>8828</v>
      </c>
      <c r="CU167" s="52"/>
      <c r="CV167" s="52"/>
      <c r="CW167" s="52">
        <v>3344</v>
      </c>
      <c r="CX167" s="52">
        <v>6793</v>
      </c>
      <c r="CY167" s="52">
        <v>4519</v>
      </c>
      <c r="CZ167" s="52">
        <v>3436</v>
      </c>
      <c r="DA167" s="52">
        <v>8135</v>
      </c>
      <c r="DB167" s="52">
        <v>3200</v>
      </c>
      <c r="DC167" s="52"/>
      <c r="DD167" s="52"/>
      <c r="DE167" s="52">
        <v>424854</v>
      </c>
      <c r="DF167" s="52"/>
      <c r="DG167" s="52">
        <v>424854</v>
      </c>
      <c r="DH167" s="52"/>
    </row>
    <row r="168" spans="1:112">
      <c r="A168" s="150" t="s">
        <v>411</v>
      </c>
      <c r="B168" s="44">
        <v>3599</v>
      </c>
      <c r="C168" s="44" t="s">
        <v>219</v>
      </c>
      <c r="D168" s="52"/>
      <c r="E168" s="52"/>
      <c r="F168" s="52">
        <v>13250</v>
      </c>
      <c r="G168" s="52"/>
      <c r="H168" s="56"/>
      <c r="I168" s="56">
        <v>4500</v>
      </c>
      <c r="J168" s="56"/>
      <c r="K168" s="56"/>
      <c r="L168" s="52"/>
      <c r="M168" s="52"/>
      <c r="N168" s="52"/>
      <c r="O168" s="52"/>
      <c r="P168" s="52">
        <v>1169</v>
      </c>
      <c r="Q168" s="52"/>
      <c r="R168" s="52"/>
      <c r="S168" s="52">
        <v>4475</v>
      </c>
      <c r="T168" s="52"/>
      <c r="U168" s="52">
        <v>191528</v>
      </c>
      <c r="V168" s="52"/>
      <c r="W168" s="52">
        <v>1000</v>
      </c>
      <c r="X168" s="52"/>
      <c r="Y168" s="52">
        <v>1555</v>
      </c>
      <c r="Z168" s="52">
        <v>2700</v>
      </c>
      <c r="AA168" s="52">
        <v>4500</v>
      </c>
      <c r="AB168" s="52">
        <v>150</v>
      </c>
      <c r="AC168" s="52"/>
      <c r="AD168" s="52"/>
      <c r="AE168" s="52">
        <v>982</v>
      </c>
      <c r="AF168" s="52"/>
      <c r="AG168" s="52">
        <v>13542</v>
      </c>
      <c r="AH168" s="52"/>
      <c r="AI168" s="52"/>
      <c r="AJ168" s="52"/>
      <c r="AK168" s="52">
        <v>1745</v>
      </c>
      <c r="AL168" s="52"/>
      <c r="AM168" s="52"/>
      <c r="AN168" s="52">
        <v>14948</v>
      </c>
      <c r="AO168" s="52">
        <v>862</v>
      </c>
      <c r="AP168" s="52"/>
      <c r="AQ168" s="52">
        <v>10000</v>
      </c>
      <c r="AR168" s="52"/>
      <c r="AS168" s="52">
        <v>24646</v>
      </c>
      <c r="AT168" s="52">
        <v>1000</v>
      </c>
      <c r="AU168" s="52"/>
      <c r="AV168" s="52"/>
      <c r="AW168" s="52"/>
      <c r="AX168" s="52"/>
      <c r="AY168" s="101">
        <v>14000</v>
      </c>
      <c r="AZ168" s="52">
        <v>58</v>
      </c>
      <c r="BA168" s="52"/>
      <c r="BB168" s="52"/>
      <c r="BC168" s="52"/>
      <c r="BD168" s="52"/>
      <c r="BE168" s="52">
        <v>2455</v>
      </c>
      <c r="BF168" s="52">
        <v>14000</v>
      </c>
      <c r="BG168" s="52"/>
      <c r="BH168" s="52">
        <v>4500</v>
      </c>
      <c r="BI168" s="52"/>
      <c r="BJ168" s="52"/>
      <c r="BK168" s="52">
        <v>33019</v>
      </c>
      <c r="BL168" s="52">
        <v>3551</v>
      </c>
      <c r="BM168" s="52">
        <v>9500</v>
      </c>
      <c r="BN168" s="52"/>
      <c r="BO168" s="52">
        <v>130</v>
      </c>
      <c r="BP168" s="52"/>
      <c r="BQ168" s="52">
        <v>12034</v>
      </c>
      <c r="BR168" s="52"/>
      <c r="BS168" s="52"/>
      <c r="BT168" s="52"/>
      <c r="BU168" s="52"/>
      <c r="BV168" s="52"/>
      <c r="BW168" s="52"/>
      <c r="BX168" s="52">
        <v>12988</v>
      </c>
      <c r="BY168" s="52"/>
      <c r="BZ168" s="52">
        <v>9150</v>
      </c>
      <c r="CA168" s="52"/>
      <c r="CB168" s="52"/>
      <c r="CC168" s="52">
        <v>16000</v>
      </c>
      <c r="CD168" s="52"/>
      <c r="CE168" s="52"/>
      <c r="CF168" s="52">
        <v>475</v>
      </c>
      <c r="CG168" s="52">
        <v>150</v>
      </c>
      <c r="CH168" s="52">
        <v>2983</v>
      </c>
      <c r="CI168" s="52"/>
      <c r="CJ168" s="52"/>
      <c r="CK168" s="52">
        <v>1200</v>
      </c>
      <c r="CL168" s="52"/>
      <c r="CM168" s="52"/>
      <c r="CN168" s="52">
        <v>9000</v>
      </c>
      <c r="CO168" s="52">
        <v>4500</v>
      </c>
      <c r="CP168" s="52">
        <v>8126</v>
      </c>
      <c r="CQ168" s="52"/>
      <c r="CR168" s="52"/>
      <c r="CS168" s="52"/>
      <c r="CT168" s="52">
        <v>585</v>
      </c>
      <c r="CU168" s="52"/>
      <c r="CV168" s="52"/>
      <c r="CW168" s="52"/>
      <c r="CX168" s="52">
        <v>2488</v>
      </c>
      <c r="CY168" s="52"/>
      <c r="CZ168" s="52">
        <v>3500</v>
      </c>
      <c r="DA168" s="52">
        <v>47500</v>
      </c>
      <c r="DB168" s="52"/>
      <c r="DC168" s="52"/>
      <c r="DD168" s="52"/>
      <c r="DE168" s="52">
        <v>504444</v>
      </c>
      <c r="DF168" s="52"/>
      <c r="DG168" s="52">
        <v>504444</v>
      </c>
      <c r="DH168" s="52"/>
    </row>
    <row r="169" spans="1:112">
      <c r="A169" s="150" t="s">
        <v>411</v>
      </c>
      <c r="B169" s="44">
        <v>3600</v>
      </c>
      <c r="C169" s="44" t="s">
        <v>220</v>
      </c>
      <c r="D169" s="52"/>
      <c r="E169" s="52"/>
      <c r="F169" s="52"/>
      <c r="G169" s="52"/>
      <c r="H169" s="56"/>
      <c r="I169" s="56"/>
      <c r="J169" s="56"/>
      <c r="K169" s="56"/>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101"/>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row>
    <row r="170" spans="1:112">
      <c r="A170" s="150" t="s">
        <v>411</v>
      </c>
      <c r="B170" s="44">
        <v>3603</v>
      </c>
      <c r="C170" s="44" t="s">
        <v>221</v>
      </c>
      <c r="D170" s="52"/>
      <c r="E170" s="52">
        <v>18081</v>
      </c>
      <c r="F170" s="52"/>
      <c r="G170" s="52"/>
      <c r="H170" s="56"/>
      <c r="I170" s="56"/>
      <c r="J170" s="56"/>
      <c r="K170" s="56"/>
      <c r="L170" s="52"/>
      <c r="M170" s="52"/>
      <c r="N170" s="52"/>
      <c r="O170" s="52"/>
      <c r="P170" s="52"/>
      <c r="Q170" s="52"/>
      <c r="R170" s="52"/>
      <c r="S170" s="52"/>
      <c r="T170" s="52"/>
      <c r="U170" s="52"/>
      <c r="V170" s="52"/>
      <c r="W170" s="52"/>
      <c r="X170" s="52"/>
      <c r="Y170" s="52"/>
      <c r="Z170" s="52"/>
      <c r="AA170" s="52"/>
      <c r="AB170" s="52"/>
      <c r="AC170" s="52">
        <v>5000</v>
      </c>
      <c r="AD170" s="52"/>
      <c r="AE170" s="52"/>
      <c r="AF170" s="52"/>
      <c r="AG170" s="52"/>
      <c r="AH170" s="52">
        <v>9703</v>
      </c>
      <c r="AI170" s="52"/>
      <c r="AJ170" s="52"/>
      <c r="AK170" s="52"/>
      <c r="AL170" s="52"/>
      <c r="AM170" s="52"/>
      <c r="AN170" s="52"/>
      <c r="AO170" s="52"/>
      <c r="AP170" s="52"/>
      <c r="AQ170" s="52"/>
      <c r="AR170" s="52">
        <v>52745</v>
      </c>
      <c r="AS170" s="52">
        <v>15315</v>
      </c>
      <c r="AT170" s="52"/>
      <c r="AU170" s="52"/>
      <c r="AV170" s="52"/>
      <c r="AW170" s="52"/>
      <c r="AX170" s="52"/>
      <c r="AY170" s="101"/>
      <c r="AZ170" s="52"/>
      <c r="BA170" s="52"/>
      <c r="BB170" s="52"/>
      <c r="BC170" s="52"/>
      <c r="BD170" s="52"/>
      <c r="BE170" s="52"/>
      <c r="BF170" s="52"/>
      <c r="BG170" s="52">
        <v>138271</v>
      </c>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v>6418</v>
      </c>
      <c r="CQ170" s="52"/>
      <c r="CR170" s="52"/>
      <c r="CS170" s="52"/>
      <c r="CT170" s="52"/>
      <c r="CU170" s="52"/>
      <c r="CV170" s="52"/>
      <c r="CW170" s="52"/>
      <c r="CX170" s="52"/>
      <c r="CY170" s="52"/>
      <c r="CZ170" s="52"/>
      <c r="DA170" s="52"/>
      <c r="DB170" s="52"/>
      <c r="DC170" s="52"/>
      <c r="DD170" s="52"/>
      <c r="DE170" s="52">
        <v>245533</v>
      </c>
      <c r="DF170" s="52"/>
      <c r="DG170" s="52">
        <v>245533</v>
      </c>
      <c r="DH170" s="52"/>
    </row>
    <row r="171" spans="1:112">
      <c r="A171" s="150" t="s">
        <v>411</v>
      </c>
      <c r="B171" s="44">
        <v>3604</v>
      </c>
      <c r="C171" s="44" t="s">
        <v>222</v>
      </c>
      <c r="D171" s="52"/>
      <c r="E171" s="52"/>
      <c r="F171" s="52"/>
      <c r="G171" s="52"/>
      <c r="H171" s="56"/>
      <c r="I171" s="56"/>
      <c r="J171" s="56"/>
      <c r="K171" s="56"/>
      <c r="L171" s="52"/>
      <c r="M171" s="52"/>
      <c r="N171" s="52"/>
      <c r="O171" s="52"/>
      <c r="P171" s="52"/>
      <c r="Q171" s="52"/>
      <c r="R171" s="52"/>
      <c r="S171" s="52"/>
      <c r="T171" s="52"/>
      <c r="U171" s="52"/>
      <c r="V171" s="52"/>
      <c r="W171" s="52"/>
      <c r="X171" s="52"/>
      <c r="Y171" s="52"/>
      <c r="Z171" s="52"/>
      <c r="AA171" s="52"/>
      <c r="AB171" s="52"/>
      <c r="AC171" s="52"/>
      <c r="AD171" s="52">
        <v>221</v>
      </c>
      <c r="AE171" s="52"/>
      <c r="AF171" s="52"/>
      <c r="AG171" s="52"/>
      <c r="AH171" s="52">
        <v>16437</v>
      </c>
      <c r="AI171" s="52"/>
      <c r="AJ171" s="52"/>
      <c r="AK171" s="52">
        <v>799</v>
      </c>
      <c r="AL171" s="52"/>
      <c r="AM171" s="52"/>
      <c r="AN171" s="52"/>
      <c r="AO171" s="52"/>
      <c r="AP171" s="52"/>
      <c r="AQ171" s="52"/>
      <c r="AR171" s="52">
        <v>47875</v>
      </c>
      <c r="AS171" s="52"/>
      <c r="AT171" s="52"/>
      <c r="AU171" s="52"/>
      <c r="AV171" s="52"/>
      <c r="AW171" s="52"/>
      <c r="AX171" s="52"/>
      <c r="AY171" s="101"/>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v>39815</v>
      </c>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v>15778</v>
      </c>
      <c r="CV171" s="52"/>
      <c r="CW171" s="52"/>
      <c r="CX171" s="52"/>
      <c r="CY171" s="52"/>
      <c r="CZ171" s="52"/>
      <c r="DA171" s="52"/>
      <c r="DB171" s="52"/>
      <c r="DC171" s="52"/>
      <c r="DD171" s="52"/>
      <c r="DE171" s="52">
        <v>120925</v>
      </c>
      <c r="DF171" s="52"/>
      <c r="DG171" s="52">
        <v>120925</v>
      </c>
      <c r="DH171" s="52"/>
    </row>
    <row r="172" spans="1:112">
      <c r="A172" s="150" t="s">
        <v>411</v>
      </c>
      <c r="B172" s="44">
        <v>3605</v>
      </c>
      <c r="C172" s="44" t="s">
        <v>223</v>
      </c>
      <c r="D172" s="52"/>
      <c r="E172" s="52"/>
      <c r="F172" s="52"/>
      <c r="G172" s="52"/>
      <c r="H172" s="56"/>
      <c r="I172" s="56"/>
      <c r="J172" s="56"/>
      <c r="K172" s="56"/>
      <c r="L172" s="52"/>
      <c r="M172" s="52"/>
      <c r="N172" s="52"/>
      <c r="O172" s="52"/>
      <c r="P172" s="52"/>
      <c r="Q172" s="52"/>
      <c r="R172" s="52"/>
      <c r="S172" s="52"/>
      <c r="T172" s="52"/>
      <c r="U172" s="52"/>
      <c r="V172" s="52"/>
      <c r="W172" s="52"/>
      <c r="X172" s="52"/>
      <c r="Y172" s="52"/>
      <c r="Z172" s="52"/>
      <c r="AA172" s="52"/>
      <c r="AB172" s="52"/>
      <c r="AC172" s="52">
        <v>234</v>
      </c>
      <c r="AD172" s="52"/>
      <c r="AE172" s="52"/>
      <c r="AF172" s="52"/>
      <c r="AG172" s="52"/>
      <c r="AH172" s="52"/>
      <c r="AI172" s="52"/>
      <c r="AJ172" s="52"/>
      <c r="AK172" s="52"/>
      <c r="AL172" s="52"/>
      <c r="AM172" s="52"/>
      <c r="AN172" s="52"/>
      <c r="AO172" s="52"/>
      <c r="AP172" s="52">
        <v>16469</v>
      </c>
      <c r="AQ172" s="52"/>
      <c r="AR172" s="52">
        <v>284</v>
      </c>
      <c r="AS172" s="52">
        <v>751</v>
      </c>
      <c r="AT172" s="52"/>
      <c r="AU172" s="52"/>
      <c r="AV172" s="52"/>
      <c r="AW172" s="52"/>
      <c r="AX172" s="52"/>
      <c r="AY172" s="101"/>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v>4298</v>
      </c>
      <c r="CQ172" s="52"/>
      <c r="CR172" s="52"/>
      <c r="CS172" s="52"/>
      <c r="CT172" s="52"/>
      <c r="CU172" s="52"/>
      <c r="CV172" s="52"/>
      <c r="CW172" s="52"/>
      <c r="CX172" s="52"/>
      <c r="CY172" s="52"/>
      <c r="CZ172" s="52">
        <v>1438</v>
      </c>
      <c r="DA172" s="52"/>
      <c r="DB172" s="52"/>
      <c r="DC172" s="52"/>
      <c r="DD172" s="52"/>
      <c r="DE172" s="52">
        <v>23474</v>
      </c>
      <c r="DF172" s="52"/>
      <c r="DG172" s="52">
        <v>23474</v>
      </c>
      <c r="DH172" s="52"/>
    </row>
    <row r="173" spans="1:112">
      <c r="A173" s="150" t="s">
        <v>411</v>
      </c>
      <c r="B173" s="44">
        <v>3606</v>
      </c>
      <c r="C173" s="44" t="s">
        <v>224</v>
      </c>
      <c r="D173" s="52"/>
      <c r="E173" s="52"/>
      <c r="F173" s="52"/>
      <c r="G173" s="52"/>
      <c r="H173" s="56"/>
      <c r="I173" s="56"/>
      <c r="J173" s="56"/>
      <c r="K173" s="56"/>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v>4000</v>
      </c>
      <c r="AU173" s="52"/>
      <c r="AV173" s="52"/>
      <c r="AW173" s="52"/>
      <c r="AX173" s="52"/>
      <c r="AY173" s="101">
        <v>62400</v>
      </c>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v>54530</v>
      </c>
      <c r="DB173" s="52"/>
      <c r="DC173" s="52"/>
      <c r="DD173" s="52"/>
      <c r="DE173" s="52">
        <v>120930</v>
      </c>
      <c r="DF173" s="52"/>
      <c r="DG173" s="52">
        <v>120930</v>
      </c>
      <c r="DH173" s="52"/>
    </row>
    <row r="174" spans="1:112">
      <c r="A174" s="150" t="s">
        <v>411</v>
      </c>
      <c r="B174" s="44">
        <v>3607</v>
      </c>
      <c r="C174" s="44" t="s">
        <v>225</v>
      </c>
      <c r="D174" s="52">
        <v>5986</v>
      </c>
      <c r="E174" s="52">
        <v>66910</v>
      </c>
      <c r="F174" s="52"/>
      <c r="G174" s="52"/>
      <c r="H174" s="56">
        <v>27508</v>
      </c>
      <c r="I174" s="56">
        <v>9400</v>
      </c>
      <c r="J174" s="56">
        <v>1830</v>
      </c>
      <c r="K174" s="56">
        <v>2469</v>
      </c>
      <c r="L174" s="52">
        <v>23804</v>
      </c>
      <c r="M174" s="52"/>
      <c r="N174" s="52"/>
      <c r="O174" s="52">
        <v>4900</v>
      </c>
      <c r="P174" s="52">
        <v>2768</v>
      </c>
      <c r="Q174" s="52">
        <v>4000</v>
      </c>
      <c r="R174" s="52">
        <v>1791</v>
      </c>
      <c r="S174" s="52"/>
      <c r="T174" s="52"/>
      <c r="U174" s="52">
        <v>46400</v>
      </c>
      <c r="V174" s="52"/>
      <c r="W174" s="52">
        <v>57681</v>
      </c>
      <c r="X174" s="52">
        <v>5200</v>
      </c>
      <c r="Y174" s="52">
        <v>125631</v>
      </c>
      <c r="Z174" s="52">
        <v>34946</v>
      </c>
      <c r="AA174" s="52">
        <v>9026</v>
      </c>
      <c r="AB174" s="52">
        <v>31431</v>
      </c>
      <c r="AC174" s="52">
        <v>4230</v>
      </c>
      <c r="AD174" s="52">
        <v>7330</v>
      </c>
      <c r="AE174" s="52">
        <v>4200</v>
      </c>
      <c r="AF174" s="52"/>
      <c r="AG174" s="52">
        <v>20351</v>
      </c>
      <c r="AH174" s="52">
        <v>45301</v>
      </c>
      <c r="AI174" s="52"/>
      <c r="AJ174" s="52">
        <v>4100</v>
      </c>
      <c r="AK174" s="52"/>
      <c r="AL174" s="52">
        <v>5100</v>
      </c>
      <c r="AM174" s="52"/>
      <c r="AN174" s="52">
        <v>79600</v>
      </c>
      <c r="AO174" s="52">
        <v>8646</v>
      </c>
      <c r="AP174" s="52"/>
      <c r="AQ174" s="52">
        <v>13268</v>
      </c>
      <c r="AR174" s="52">
        <v>18252</v>
      </c>
      <c r="AS174" s="52">
        <v>29018</v>
      </c>
      <c r="AT174" s="52">
        <v>111500</v>
      </c>
      <c r="AU174" s="52">
        <v>7039</v>
      </c>
      <c r="AV174" s="52">
        <v>11014</v>
      </c>
      <c r="AW174" s="52">
        <v>4300</v>
      </c>
      <c r="AX174" s="52">
        <v>32180</v>
      </c>
      <c r="AY174" s="101">
        <v>191683</v>
      </c>
      <c r="AZ174" s="52">
        <v>19034</v>
      </c>
      <c r="BA174" s="52">
        <v>3903</v>
      </c>
      <c r="BB174" s="52">
        <v>4628</v>
      </c>
      <c r="BC174" s="52"/>
      <c r="BD174" s="52">
        <v>7500</v>
      </c>
      <c r="BE174" s="52">
        <v>8500</v>
      </c>
      <c r="BF174" s="52">
        <v>38709</v>
      </c>
      <c r="BG174" s="52"/>
      <c r="BH174" s="52">
        <v>54094</v>
      </c>
      <c r="BI174" s="52">
        <v>20658</v>
      </c>
      <c r="BJ174" s="52">
        <v>14507</v>
      </c>
      <c r="BK174" s="52">
        <v>10336</v>
      </c>
      <c r="BL174" s="52">
        <v>17578</v>
      </c>
      <c r="BM174" s="52">
        <v>47800</v>
      </c>
      <c r="BN174" s="52">
        <v>14264</v>
      </c>
      <c r="BO174" s="52">
        <v>10010</v>
      </c>
      <c r="BP174" s="52">
        <v>9300</v>
      </c>
      <c r="BQ174" s="52">
        <v>42188</v>
      </c>
      <c r="BR174" s="52"/>
      <c r="BS174" s="52"/>
      <c r="BT174" s="52">
        <v>8700</v>
      </c>
      <c r="BU174" s="52">
        <v>6060</v>
      </c>
      <c r="BV174" s="52">
        <v>7200</v>
      </c>
      <c r="BW174" s="52"/>
      <c r="BX174" s="52">
        <v>20429</v>
      </c>
      <c r="BY174" s="52">
        <v>14800</v>
      </c>
      <c r="BZ174" s="52">
        <v>25932</v>
      </c>
      <c r="CA174" s="52"/>
      <c r="CB174" s="52">
        <v>894</v>
      </c>
      <c r="CC174" s="52">
        <v>15000</v>
      </c>
      <c r="CD174" s="52">
        <v>19702</v>
      </c>
      <c r="CE174" s="52"/>
      <c r="CF174" s="52">
        <v>20640</v>
      </c>
      <c r="CG174" s="52">
        <v>70753</v>
      </c>
      <c r="CH174" s="52">
        <v>114621</v>
      </c>
      <c r="CI174" s="52">
        <v>6300</v>
      </c>
      <c r="CJ174" s="52"/>
      <c r="CK174" s="52"/>
      <c r="CL174" s="52">
        <v>8700</v>
      </c>
      <c r="CM174" s="52">
        <v>8400</v>
      </c>
      <c r="CN174" s="52">
        <v>14813</v>
      </c>
      <c r="CO174" s="52">
        <v>34178</v>
      </c>
      <c r="CP174" s="52">
        <v>8113</v>
      </c>
      <c r="CQ174" s="52"/>
      <c r="CR174" s="52"/>
      <c r="CS174" s="52"/>
      <c r="CT174" s="52">
        <v>30765</v>
      </c>
      <c r="CU174" s="52">
        <v>26489</v>
      </c>
      <c r="CV174" s="52"/>
      <c r="CW174" s="52">
        <v>16730</v>
      </c>
      <c r="CX174" s="52">
        <v>35186</v>
      </c>
      <c r="CY174" s="52">
        <v>9355</v>
      </c>
      <c r="CZ174" s="52">
        <v>25550</v>
      </c>
      <c r="DA174" s="52"/>
      <c r="DB174" s="52">
        <v>18300</v>
      </c>
      <c r="DC174" s="52">
        <v>4300</v>
      </c>
      <c r="DD174" s="52"/>
      <c r="DE174" s="52">
        <v>1949412</v>
      </c>
      <c r="DF174" s="52">
        <v>4300</v>
      </c>
      <c r="DG174" s="52">
        <v>1953712</v>
      </c>
      <c r="DH174" s="52"/>
    </row>
    <row r="175" spans="1:112">
      <c r="A175" s="150" t="s">
        <v>411</v>
      </c>
      <c r="B175" s="44">
        <v>3608</v>
      </c>
      <c r="C175" s="44" t="s">
        <v>209</v>
      </c>
      <c r="D175" s="52"/>
      <c r="E175" s="52"/>
      <c r="F175" s="52"/>
      <c r="G175" s="52"/>
      <c r="H175" s="56"/>
      <c r="I175" s="56"/>
      <c r="J175" s="56"/>
      <c r="K175" s="56"/>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101"/>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v>1590</v>
      </c>
      <c r="DA175" s="52"/>
      <c r="DB175" s="52"/>
      <c r="DC175" s="52"/>
      <c r="DD175" s="52"/>
      <c r="DE175" s="52">
        <v>1590</v>
      </c>
      <c r="DF175" s="52"/>
      <c r="DG175" s="52">
        <v>1590</v>
      </c>
      <c r="DH175" s="52"/>
    </row>
    <row r="176" spans="1:112">
      <c r="A176" s="150" t="s">
        <v>411</v>
      </c>
      <c r="B176" s="44">
        <v>3610</v>
      </c>
      <c r="C176" s="44" t="s">
        <v>226</v>
      </c>
      <c r="D176" s="52">
        <v>179023</v>
      </c>
      <c r="E176" s="52">
        <v>1559252</v>
      </c>
      <c r="F176" s="52">
        <v>36710</v>
      </c>
      <c r="G176" s="52"/>
      <c r="H176" s="56">
        <v>465306</v>
      </c>
      <c r="I176" s="56">
        <v>264783</v>
      </c>
      <c r="J176" s="56">
        <v>293238</v>
      </c>
      <c r="K176" s="56">
        <v>269588</v>
      </c>
      <c r="L176" s="52">
        <v>758198</v>
      </c>
      <c r="M176" s="52"/>
      <c r="N176" s="52"/>
      <c r="O176" s="52">
        <v>183373</v>
      </c>
      <c r="P176" s="52">
        <v>67878</v>
      </c>
      <c r="Q176" s="52">
        <v>111545</v>
      </c>
      <c r="R176" s="52">
        <v>117852</v>
      </c>
      <c r="S176" s="52">
        <v>244400</v>
      </c>
      <c r="T176" s="52"/>
      <c r="U176" s="52">
        <v>993761</v>
      </c>
      <c r="V176" s="52"/>
      <c r="W176" s="52">
        <v>1330157</v>
      </c>
      <c r="X176" s="52">
        <v>267635</v>
      </c>
      <c r="Y176" s="52">
        <v>1956060</v>
      </c>
      <c r="Z176" s="52">
        <v>757999</v>
      </c>
      <c r="AA176" s="52">
        <v>497149</v>
      </c>
      <c r="AB176" s="52">
        <v>544447</v>
      </c>
      <c r="AC176" s="52">
        <v>226423</v>
      </c>
      <c r="AD176" s="52">
        <v>260905</v>
      </c>
      <c r="AE176" s="52">
        <v>114900</v>
      </c>
      <c r="AF176" s="52"/>
      <c r="AG176" s="52">
        <v>564554</v>
      </c>
      <c r="AH176" s="52"/>
      <c r="AI176" s="52"/>
      <c r="AJ176" s="52">
        <v>121528</v>
      </c>
      <c r="AK176" s="52">
        <v>286481</v>
      </c>
      <c r="AL176" s="52">
        <v>160200</v>
      </c>
      <c r="AM176" s="52"/>
      <c r="AN176" s="52">
        <v>832375</v>
      </c>
      <c r="AO176" s="52">
        <v>238211</v>
      </c>
      <c r="AP176" s="52"/>
      <c r="AQ176" s="52">
        <v>360937</v>
      </c>
      <c r="AR176" s="52">
        <v>334385</v>
      </c>
      <c r="AS176" s="52">
        <v>983644</v>
      </c>
      <c r="AT176" s="52"/>
      <c r="AU176" s="52">
        <v>272860</v>
      </c>
      <c r="AV176" s="52">
        <v>198653</v>
      </c>
      <c r="AW176" s="52">
        <v>127000</v>
      </c>
      <c r="AX176" s="52">
        <v>509088</v>
      </c>
      <c r="AY176" s="101">
        <v>3995169</v>
      </c>
      <c r="AZ176" s="52">
        <v>720927</v>
      </c>
      <c r="BA176" s="52">
        <v>120217</v>
      </c>
      <c r="BB176" s="52">
        <v>115918</v>
      </c>
      <c r="BC176" s="52"/>
      <c r="BD176" s="52">
        <v>192347</v>
      </c>
      <c r="BE176" s="52">
        <v>225200</v>
      </c>
      <c r="BF176" s="52">
        <v>1910221</v>
      </c>
      <c r="BG176" s="52">
        <v>254564</v>
      </c>
      <c r="BH176" s="52">
        <v>789216</v>
      </c>
      <c r="BI176" s="52">
        <v>573792</v>
      </c>
      <c r="BJ176" s="52">
        <v>751605</v>
      </c>
      <c r="BK176" s="52">
        <v>268134</v>
      </c>
      <c r="BL176" s="52">
        <v>228619</v>
      </c>
      <c r="BM176" s="52">
        <v>1291791</v>
      </c>
      <c r="BN176" s="52">
        <v>768984</v>
      </c>
      <c r="BO176" s="52">
        <v>167000</v>
      </c>
      <c r="BP176" s="52">
        <v>445714</v>
      </c>
      <c r="BQ176" s="52">
        <v>1428188</v>
      </c>
      <c r="BR176" s="52">
        <v>110676</v>
      </c>
      <c r="BS176" s="52"/>
      <c r="BT176" s="52">
        <v>279013</v>
      </c>
      <c r="BU176" s="52">
        <v>187499</v>
      </c>
      <c r="BV176" s="52">
        <v>155500</v>
      </c>
      <c r="BW176" s="52"/>
      <c r="BX176" s="52">
        <v>405466</v>
      </c>
      <c r="BY176" s="52">
        <v>393600</v>
      </c>
      <c r="BZ176" s="52">
        <v>922732</v>
      </c>
      <c r="CA176" s="52"/>
      <c r="CB176" s="52">
        <v>330695</v>
      </c>
      <c r="CC176" s="52">
        <v>307824</v>
      </c>
      <c r="CD176" s="52">
        <v>428163</v>
      </c>
      <c r="CE176" s="52"/>
      <c r="CF176" s="52">
        <v>1023865</v>
      </c>
      <c r="CG176" s="52">
        <v>1350249</v>
      </c>
      <c r="CH176" s="52">
        <v>1144102</v>
      </c>
      <c r="CI176" s="52">
        <v>166600</v>
      </c>
      <c r="CJ176" s="52">
        <v>445000</v>
      </c>
      <c r="CK176" s="52">
        <v>553018</v>
      </c>
      <c r="CL176" s="52">
        <v>265200</v>
      </c>
      <c r="CM176" s="52">
        <v>204039</v>
      </c>
      <c r="CN176" s="52">
        <v>437118</v>
      </c>
      <c r="CO176" s="52">
        <v>611000</v>
      </c>
      <c r="CP176" s="52">
        <v>511897</v>
      </c>
      <c r="CQ176" s="52"/>
      <c r="CR176" s="52"/>
      <c r="CS176" s="52"/>
      <c r="CT176" s="52">
        <v>670907</v>
      </c>
      <c r="CU176" s="52">
        <v>615922</v>
      </c>
      <c r="CV176" s="52"/>
      <c r="CW176" s="52">
        <v>467408</v>
      </c>
      <c r="CX176" s="52">
        <v>366189</v>
      </c>
      <c r="CY176" s="52">
        <v>312111</v>
      </c>
      <c r="CZ176" s="52">
        <v>312390</v>
      </c>
      <c r="DA176" s="52">
        <v>1105895</v>
      </c>
      <c r="DB176" s="52">
        <v>419700</v>
      </c>
      <c r="DC176" s="52"/>
      <c r="DD176" s="52"/>
      <c r="DE176" s="52">
        <v>45241882</v>
      </c>
      <c r="DF176" s="52"/>
      <c r="DG176" s="52">
        <v>45241882</v>
      </c>
      <c r="DH176" s="52"/>
    </row>
    <row r="177" spans="1:113">
      <c r="A177" s="150" t="s">
        <v>411</v>
      </c>
      <c r="B177" s="44">
        <v>3615</v>
      </c>
      <c r="C177" s="44" t="s">
        <v>204</v>
      </c>
      <c r="D177" s="52"/>
      <c r="E177" s="52"/>
      <c r="F177" s="52"/>
      <c r="G177" s="52"/>
      <c r="H177" s="56"/>
      <c r="I177" s="56"/>
      <c r="J177" s="56"/>
      <c r="K177" s="56"/>
      <c r="L177" s="52"/>
      <c r="M177" s="52"/>
      <c r="N177" s="52"/>
      <c r="O177" s="52"/>
      <c r="P177" s="52"/>
      <c r="Q177" s="52"/>
      <c r="R177" s="52"/>
      <c r="S177" s="52"/>
      <c r="T177" s="52"/>
      <c r="U177" s="52"/>
      <c r="V177" s="52"/>
      <c r="W177" s="52"/>
      <c r="X177" s="52"/>
      <c r="Y177" s="52">
        <v>3060193</v>
      </c>
      <c r="Z177" s="52"/>
      <c r="AA177" s="52"/>
      <c r="AB177" s="52"/>
      <c r="AC177" s="52"/>
      <c r="AD177" s="52"/>
      <c r="AE177" s="52"/>
      <c r="AF177" s="52"/>
      <c r="AG177" s="52">
        <v>419930</v>
      </c>
      <c r="AH177" s="52"/>
      <c r="AI177" s="52"/>
      <c r="AJ177" s="52"/>
      <c r="AK177" s="52"/>
      <c r="AL177" s="52"/>
      <c r="AM177" s="52"/>
      <c r="AN177" s="52"/>
      <c r="AO177" s="52"/>
      <c r="AP177" s="52"/>
      <c r="AQ177" s="52"/>
      <c r="AR177" s="52"/>
      <c r="AS177" s="52"/>
      <c r="AT177" s="52"/>
      <c r="AU177" s="52"/>
      <c r="AV177" s="52"/>
      <c r="AW177" s="52"/>
      <c r="AX177" s="52"/>
      <c r="AY177" s="101">
        <v>1537605</v>
      </c>
      <c r="AZ177" s="52"/>
      <c r="BA177" s="52"/>
      <c r="BB177" s="52"/>
      <c r="BC177" s="52"/>
      <c r="BD177" s="52"/>
      <c r="BE177" s="52"/>
      <c r="BF177" s="52"/>
      <c r="BG177" s="52">
        <v>611701</v>
      </c>
      <c r="BH177" s="52"/>
      <c r="BI177" s="52"/>
      <c r="BJ177" s="52"/>
      <c r="BK177" s="52"/>
      <c r="BL177" s="52">
        <v>882730</v>
      </c>
      <c r="BM177" s="52"/>
      <c r="BN177" s="52"/>
      <c r="BO177" s="52"/>
      <c r="BP177" s="52"/>
      <c r="BQ177" s="52"/>
      <c r="BR177" s="52"/>
      <c r="BS177" s="52"/>
      <c r="BT177" s="52"/>
      <c r="BU177" s="52"/>
      <c r="BV177" s="52"/>
      <c r="BW177" s="52"/>
      <c r="BX177" s="52">
        <v>942060</v>
      </c>
      <c r="BY177" s="52"/>
      <c r="BZ177" s="52"/>
      <c r="CA177" s="52"/>
      <c r="CB177" s="52"/>
      <c r="CC177" s="52"/>
      <c r="CD177" s="52"/>
      <c r="CE177" s="52"/>
      <c r="CF177" s="52"/>
      <c r="CG177" s="52">
        <v>1412027</v>
      </c>
      <c r="CH177" s="52"/>
      <c r="CI177" s="52"/>
      <c r="CJ177" s="52"/>
      <c r="CK177" s="52"/>
      <c r="CL177" s="52"/>
      <c r="CM177" s="52"/>
      <c r="CN177" s="52"/>
      <c r="CO177" s="52"/>
      <c r="CP177" s="52">
        <v>303864</v>
      </c>
      <c r="CQ177" s="52"/>
      <c r="CR177" s="52"/>
      <c r="CS177" s="52"/>
      <c r="CT177" s="52"/>
      <c r="CU177" s="52"/>
      <c r="CV177" s="52"/>
      <c r="CW177" s="52"/>
      <c r="CX177" s="52"/>
      <c r="CY177" s="52"/>
      <c r="CZ177" s="52"/>
      <c r="DA177" s="52"/>
      <c r="DB177" s="52"/>
      <c r="DC177" s="52"/>
      <c r="DD177" s="52"/>
      <c r="DE177" s="52">
        <v>9170110</v>
      </c>
      <c r="DF177" s="52"/>
      <c r="DG177" s="52">
        <v>9170110</v>
      </c>
      <c r="DH177" s="52"/>
    </row>
    <row r="178" spans="1:113">
      <c r="A178" s="150" t="s">
        <v>411</v>
      </c>
      <c r="B178" s="44">
        <v>3699</v>
      </c>
      <c r="C178" s="44" t="s">
        <v>227</v>
      </c>
      <c r="D178" s="52"/>
      <c r="E178" s="52">
        <v>80</v>
      </c>
      <c r="F178" s="52">
        <v>4476</v>
      </c>
      <c r="G178" s="52"/>
      <c r="H178" s="56">
        <v>24911</v>
      </c>
      <c r="I178" s="56"/>
      <c r="J178" s="56">
        <v>2400</v>
      </c>
      <c r="K178" s="56"/>
      <c r="L178" s="52">
        <v>475</v>
      </c>
      <c r="M178" s="52"/>
      <c r="N178" s="52"/>
      <c r="O178" s="52">
        <v>1193</v>
      </c>
      <c r="P178" s="52"/>
      <c r="Q178" s="52"/>
      <c r="R178" s="52">
        <v>2803</v>
      </c>
      <c r="S178" s="52"/>
      <c r="T178" s="52"/>
      <c r="U178" s="52"/>
      <c r="V178" s="52"/>
      <c r="W178" s="52"/>
      <c r="X178" s="52"/>
      <c r="Y178" s="52">
        <v>5366</v>
      </c>
      <c r="Z178" s="52"/>
      <c r="AA178" s="52"/>
      <c r="AB178" s="52">
        <v>9571</v>
      </c>
      <c r="AC178" s="52">
        <v>4149</v>
      </c>
      <c r="AD178" s="52"/>
      <c r="AE178" s="52"/>
      <c r="AF178" s="52"/>
      <c r="AG178" s="52">
        <v>21227</v>
      </c>
      <c r="AH178" s="52">
        <v>11853</v>
      </c>
      <c r="AI178" s="52"/>
      <c r="AJ178" s="52">
        <v>1267</v>
      </c>
      <c r="AK178" s="52"/>
      <c r="AL178" s="52"/>
      <c r="AM178" s="52"/>
      <c r="AN178" s="52"/>
      <c r="AO178" s="52">
        <v>7399</v>
      </c>
      <c r="AP178" s="52"/>
      <c r="AQ178" s="52"/>
      <c r="AR178" s="52"/>
      <c r="AS178" s="52"/>
      <c r="AT178" s="52"/>
      <c r="AU178" s="52"/>
      <c r="AV178" s="52"/>
      <c r="AW178" s="52"/>
      <c r="AX178" s="52">
        <v>793</v>
      </c>
      <c r="AY178" s="101"/>
      <c r="AZ178" s="52">
        <v>2689</v>
      </c>
      <c r="BA178" s="52"/>
      <c r="BB178" s="52"/>
      <c r="BC178" s="52"/>
      <c r="BD178" s="52">
        <v>22</v>
      </c>
      <c r="BE178" s="52"/>
      <c r="BF178" s="52">
        <v>7539</v>
      </c>
      <c r="BG178" s="52"/>
      <c r="BH178" s="52">
        <v>15119</v>
      </c>
      <c r="BI178" s="52"/>
      <c r="BJ178" s="52"/>
      <c r="BK178" s="52"/>
      <c r="BL178" s="52">
        <v>4500</v>
      </c>
      <c r="BM178" s="52">
        <v>899</v>
      </c>
      <c r="BN178" s="52">
        <v>7000</v>
      </c>
      <c r="BO178" s="52"/>
      <c r="BP178" s="52">
        <v>170612</v>
      </c>
      <c r="BQ178" s="52"/>
      <c r="BR178" s="52"/>
      <c r="BS178" s="52"/>
      <c r="BT178" s="52">
        <v>3693</v>
      </c>
      <c r="BU178" s="52">
        <v>1129</v>
      </c>
      <c r="BV178" s="52"/>
      <c r="BW178" s="52"/>
      <c r="BX178" s="52">
        <v>6300</v>
      </c>
      <c r="BY178" s="52">
        <v>2533</v>
      </c>
      <c r="BZ178" s="52">
        <v>2353</v>
      </c>
      <c r="CA178" s="52"/>
      <c r="CB178" s="52"/>
      <c r="CC178" s="52">
        <v>1461</v>
      </c>
      <c r="CD178" s="52"/>
      <c r="CE178" s="52"/>
      <c r="CF178" s="52">
        <v>3370</v>
      </c>
      <c r="CG178" s="52">
        <v>432898</v>
      </c>
      <c r="CH178" s="52">
        <v>17772</v>
      </c>
      <c r="CI178" s="52">
        <v>47254</v>
      </c>
      <c r="CJ178" s="52"/>
      <c r="CK178" s="52"/>
      <c r="CL178" s="52"/>
      <c r="CM178" s="52"/>
      <c r="CN178" s="52"/>
      <c r="CO178" s="52">
        <v>24303</v>
      </c>
      <c r="CP178" s="52">
        <v>209553</v>
      </c>
      <c r="CQ178" s="52"/>
      <c r="CR178" s="52"/>
      <c r="CS178" s="52"/>
      <c r="CT178" s="52">
        <v>59298</v>
      </c>
      <c r="CU178" s="52">
        <v>26717</v>
      </c>
      <c r="CV178" s="52"/>
      <c r="CW178" s="52">
        <v>90247</v>
      </c>
      <c r="CX178" s="52">
        <v>54874</v>
      </c>
      <c r="CY178" s="52">
        <v>4695</v>
      </c>
      <c r="CZ178" s="52"/>
      <c r="DA178" s="52">
        <v>39740</v>
      </c>
      <c r="DB178" s="52"/>
      <c r="DC178" s="52"/>
      <c r="DD178" s="52"/>
      <c r="DE178" s="52">
        <v>1334533</v>
      </c>
      <c r="DF178" s="52"/>
      <c r="DG178" s="52">
        <v>1334533</v>
      </c>
      <c r="DH178" s="52"/>
    </row>
    <row r="179" spans="1:113">
      <c r="A179" s="150" t="s">
        <v>411</v>
      </c>
      <c r="B179" s="44">
        <v>3810</v>
      </c>
      <c r="C179" s="44" t="s">
        <v>229</v>
      </c>
      <c r="D179" s="52">
        <v>1321955</v>
      </c>
      <c r="E179" s="52">
        <v>8147500</v>
      </c>
      <c r="F179" s="52">
        <v>413385</v>
      </c>
      <c r="G179" s="52">
        <v>45432</v>
      </c>
      <c r="H179" s="56">
        <v>1717987</v>
      </c>
      <c r="I179" s="56">
        <v>958028</v>
      </c>
      <c r="J179" s="56">
        <v>539881</v>
      </c>
      <c r="K179" s="56">
        <v>1045976</v>
      </c>
      <c r="L179" s="52">
        <v>3707699</v>
      </c>
      <c r="M179" s="52">
        <v>181347</v>
      </c>
      <c r="N179" s="52">
        <v>411803</v>
      </c>
      <c r="O179" s="52">
        <v>474587</v>
      </c>
      <c r="P179" s="52">
        <v>349410</v>
      </c>
      <c r="Q179" s="52">
        <v>183447</v>
      </c>
      <c r="R179" s="52">
        <v>232270</v>
      </c>
      <c r="S179" s="52">
        <v>597820</v>
      </c>
      <c r="T179" s="52"/>
      <c r="U179" s="52">
        <v>7036261</v>
      </c>
      <c r="V179" s="52"/>
      <c r="W179" s="52">
        <v>8124018</v>
      </c>
      <c r="X179" s="52">
        <v>785314</v>
      </c>
      <c r="Y179" s="52">
        <v>16955782</v>
      </c>
      <c r="Z179" s="52">
        <v>2842750</v>
      </c>
      <c r="AA179" s="52">
        <v>2027221</v>
      </c>
      <c r="AB179" s="52">
        <v>1858326</v>
      </c>
      <c r="AC179" s="52">
        <v>322096</v>
      </c>
      <c r="AD179" s="52">
        <v>581142</v>
      </c>
      <c r="AE179" s="52">
        <v>288106</v>
      </c>
      <c r="AF179" s="52">
        <v>41143</v>
      </c>
      <c r="AG179" s="52">
        <v>2098075</v>
      </c>
      <c r="AH179" s="52">
        <v>3748257</v>
      </c>
      <c r="AI179" s="52">
        <v>53077</v>
      </c>
      <c r="AJ179" s="52">
        <v>142946</v>
      </c>
      <c r="AK179" s="52">
        <v>517989</v>
      </c>
      <c r="AL179" s="52">
        <v>184116</v>
      </c>
      <c r="AM179" s="52">
        <v>185463</v>
      </c>
      <c r="AN179" s="52">
        <v>6075787</v>
      </c>
      <c r="AO179" s="52">
        <v>888604</v>
      </c>
      <c r="AP179" s="52"/>
      <c r="AQ179" s="52">
        <v>1553034</v>
      </c>
      <c r="AR179" s="52">
        <v>1395634</v>
      </c>
      <c r="AS179" s="52">
        <v>4230371</v>
      </c>
      <c r="AT179" s="52">
        <v>290640</v>
      </c>
      <c r="AU179" s="52">
        <v>802083</v>
      </c>
      <c r="AV179" s="52">
        <v>309117</v>
      </c>
      <c r="AW179" s="52">
        <v>276138</v>
      </c>
      <c r="AX179" s="52">
        <v>4615361</v>
      </c>
      <c r="AY179" s="101">
        <v>23410334</v>
      </c>
      <c r="AZ179" s="52">
        <v>2163644</v>
      </c>
      <c r="BA179" s="52">
        <v>325627</v>
      </c>
      <c r="BB179" s="52">
        <v>164380</v>
      </c>
      <c r="BC179" s="52">
        <v>75853</v>
      </c>
      <c r="BD179" s="52">
        <v>839282</v>
      </c>
      <c r="BE179" s="52">
        <v>493246</v>
      </c>
      <c r="BF179" s="52">
        <v>11696932</v>
      </c>
      <c r="BG179" s="52">
        <v>980937</v>
      </c>
      <c r="BH179" s="52">
        <v>3705358</v>
      </c>
      <c r="BI179" s="52">
        <v>3724743</v>
      </c>
      <c r="BJ179" s="52">
        <v>1824066</v>
      </c>
      <c r="BK179" s="52">
        <v>933593</v>
      </c>
      <c r="BL179" s="52">
        <v>908086</v>
      </c>
      <c r="BM179" s="52">
        <v>8055568</v>
      </c>
      <c r="BN179" s="52">
        <v>4999144</v>
      </c>
      <c r="BO179" s="52">
        <v>992749</v>
      </c>
      <c r="BP179" s="52">
        <v>913225</v>
      </c>
      <c r="BQ179" s="52">
        <v>10580071</v>
      </c>
      <c r="BR179" s="52">
        <v>404119</v>
      </c>
      <c r="BS179" s="52">
        <v>104952</v>
      </c>
      <c r="BT179" s="52">
        <v>777587</v>
      </c>
      <c r="BU179" s="52">
        <v>489668</v>
      </c>
      <c r="BV179" s="52">
        <v>321595</v>
      </c>
      <c r="BW179" s="52">
        <v>172368</v>
      </c>
      <c r="BX179" s="52">
        <v>990059</v>
      </c>
      <c r="BY179" s="52">
        <v>2148612</v>
      </c>
      <c r="BZ179" s="52">
        <v>3948128</v>
      </c>
      <c r="CA179" s="52"/>
      <c r="CB179" s="52">
        <v>1180108</v>
      </c>
      <c r="CC179" s="52">
        <v>941588</v>
      </c>
      <c r="CD179" s="52">
        <v>3520353</v>
      </c>
      <c r="CE179" s="52"/>
      <c r="CF179" s="52">
        <v>5897452</v>
      </c>
      <c r="CG179" s="52">
        <v>13184416</v>
      </c>
      <c r="CH179" s="52">
        <v>8759333</v>
      </c>
      <c r="CI179" s="52">
        <v>832712</v>
      </c>
      <c r="CJ179" s="52">
        <v>2081756</v>
      </c>
      <c r="CK179" s="52">
        <v>3198243</v>
      </c>
      <c r="CL179" s="52">
        <v>1091770</v>
      </c>
      <c r="CM179" s="52">
        <v>892411</v>
      </c>
      <c r="CN179" s="52">
        <v>1681807</v>
      </c>
      <c r="CO179" s="52">
        <v>3175730</v>
      </c>
      <c r="CP179" s="52">
        <v>4896380</v>
      </c>
      <c r="CQ179" s="52">
        <v>212647</v>
      </c>
      <c r="CR179" s="52"/>
      <c r="CS179" s="52"/>
      <c r="CT179" s="52">
        <v>1808552</v>
      </c>
      <c r="CU179" s="52">
        <v>2452050</v>
      </c>
      <c r="CV179" s="52"/>
      <c r="CW179" s="52">
        <v>1564231</v>
      </c>
      <c r="CX179" s="52">
        <v>1366370</v>
      </c>
      <c r="CY179" s="52">
        <v>1805466</v>
      </c>
      <c r="CZ179" s="52">
        <v>1655984</v>
      </c>
      <c r="DA179" s="52">
        <v>5991204</v>
      </c>
      <c r="DB179" s="52">
        <v>2081523</v>
      </c>
      <c r="DC179" s="52"/>
      <c r="DD179" s="52"/>
      <c r="DE179" s="52">
        <v>244973390</v>
      </c>
      <c r="DF179" s="52"/>
      <c r="DG179" s="52">
        <v>244973390</v>
      </c>
      <c r="DH179" s="52"/>
    </row>
    <row r="180" spans="1:113">
      <c r="A180" s="150" t="s">
        <v>411</v>
      </c>
      <c r="B180" s="44">
        <v>3820</v>
      </c>
      <c r="C180" s="44" t="s">
        <v>230</v>
      </c>
      <c r="D180" s="52">
        <v>837366</v>
      </c>
      <c r="E180" s="52"/>
      <c r="F180" s="52">
        <v>304127</v>
      </c>
      <c r="G180" s="52">
        <v>27559</v>
      </c>
      <c r="H180" s="56">
        <v>882249</v>
      </c>
      <c r="I180" s="56">
        <v>791024</v>
      </c>
      <c r="J180" s="56">
        <v>371997</v>
      </c>
      <c r="K180" s="56">
        <v>592880</v>
      </c>
      <c r="L180" s="52">
        <v>2171654</v>
      </c>
      <c r="M180" s="52">
        <v>55214</v>
      </c>
      <c r="N180" s="52">
        <v>150151</v>
      </c>
      <c r="O180" s="52">
        <v>330844</v>
      </c>
      <c r="P180" s="52">
        <v>240388</v>
      </c>
      <c r="Q180" s="52">
        <v>123417</v>
      </c>
      <c r="R180" s="52">
        <v>115085</v>
      </c>
      <c r="S180" s="52">
        <v>301635</v>
      </c>
      <c r="T180" s="52">
        <v>63654</v>
      </c>
      <c r="U180" s="52">
        <v>2439630</v>
      </c>
      <c r="V180" s="52"/>
      <c r="W180" s="52">
        <v>2705991</v>
      </c>
      <c r="X180" s="52">
        <v>301400</v>
      </c>
      <c r="Y180" s="52">
        <v>3592450</v>
      </c>
      <c r="Z180" s="52">
        <v>1367886</v>
      </c>
      <c r="AA180" s="52">
        <v>1094721</v>
      </c>
      <c r="AB180" s="52">
        <v>888965</v>
      </c>
      <c r="AC180" s="52">
        <v>227465</v>
      </c>
      <c r="AD180" s="52">
        <v>1830835</v>
      </c>
      <c r="AE180" s="52">
        <v>143021</v>
      </c>
      <c r="AF180" s="52"/>
      <c r="AG180" s="52">
        <v>727201</v>
      </c>
      <c r="AH180" s="52">
        <v>1637395</v>
      </c>
      <c r="AI180" s="52">
        <v>22203</v>
      </c>
      <c r="AJ180" s="52">
        <v>56405</v>
      </c>
      <c r="AK180" s="52">
        <v>248374</v>
      </c>
      <c r="AL180" s="52">
        <v>103148</v>
      </c>
      <c r="AM180" s="52">
        <v>55978</v>
      </c>
      <c r="AN180" s="52">
        <v>1490744</v>
      </c>
      <c r="AO180" s="52">
        <v>634879</v>
      </c>
      <c r="AP180" s="52"/>
      <c r="AQ180" s="52">
        <v>613681</v>
      </c>
      <c r="AR180" s="52">
        <v>673986</v>
      </c>
      <c r="AS180" s="52">
        <v>1763548</v>
      </c>
      <c r="AT180" s="52">
        <v>274744</v>
      </c>
      <c r="AU180" s="52">
        <v>473576</v>
      </c>
      <c r="AV180" s="52">
        <v>170795</v>
      </c>
      <c r="AW180" s="52">
        <v>170328</v>
      </c>
      <c r="AX180" s="52">
        <v>1198330</v>
      </c>
      <c r="AY180" s="101">
        <v>8172065</v>
      </c>
      <c r="AZ180" s="52">
        <v>1918798</v>
      </c>
      <c r="BA180" s="52">
        <v>232645</v>
      </c>
      <c r="BB180" s="52">
        <v>259918</v>
      </c>
      <c r="BC180" s="52">
        <v>71870</v>
      </c>
      <c r="BD180" s="52">
        <v>460727</v>
      </c>
      <c r="BE180" s="52">
        <v>266112</v>
      </c>
      <c r="BF180" s="52">
        <v>5072503</v>
      </c>
      <c r="BG180" s="52">
        <v>298506</v>
      </c>
      <c r="BH180" s="52">
        <v>1345884</v>
      </c>
      <c r="BI180" s="52">
        <v>1572993</v>
      </c>
      <c r="BJ180" s="52">
        <v>788798</v>
      </c>
      <c r="BK180" s="52">
        <v>524196</v>
      </c>
      <c r="BL180" s="52">
        <v>906298</v>
      </c>
      <c r="BM180" s="52">
        <v>2860310</v>
      </c>
      <c r="BN180" s="52">
        <v>1534444</v>
      </c>
      <c r="BO180" s="52">
        <v>506051</v>
      </c>
      <c r="BP180" s="52">
        <v>404589</v>
      </c>
      <c r="BQ180" s="52">
        <v>2153750</v>
      </c>
      <c r="BR180" s="52">
        <v>331519</v>
      </c>
      <c r="BS180" s="52">
        <v>76575</v>
      </c>
      <c r="BT180" s="52">
        <v>327818</v>
      </c>
      <c r="BU180" s="52">
        <v>217196</v>
      </c>
      <c r="BV180" s="52">
        <v>134326</v>
      </c>
      <c r="BW180" s="52">
        <v>67445</v>
      </c>
      <c r="BX180" s="52">
        <v>665842</v>
      </c>
      <c r="BY180" s="52">
        <v>1549572</v>
      </c>
      <c r="BZ180" s="52">
        <v>1849424</v>
      </c>
      <c r="CA180" s="52"/>
      <c r="CB180" s="52">
        <v>657680</v>
      </c>
      <c r="CC180" s="52">
        <v>445795</v>
      </c>
      <c r="CD180" s="52">
        <v>1326604</v>
      </c>
      <c r="CE180" s="52"/>
      <c r="CF180" s="52">
        <v>2218752</v>
      </c>
      <c r="CG180" s="52">
        <v>4777289</v>
      </c>
      <c r="CH180" s="52"/>
      <c r="CI180" s="52">
        <v>445048</v>
      </c>
      <c r="CJ180" s="52">
        <v>930351</v>
      </c>
      <c r="CK180" s="52">
        <v>1012754</v>
      </c>
      <c r="CL180" s="52">
        <v>580080</v>
      </c>
      <c r="CM180" s="52">
        <v>367139</v>
      </c>
      <c r="CN180" s="52">
        <v>913844</v>
      </c>
      <c r="CO180" s="52">
        <v>1188759</v>
      </c>
      <c r="CP180" s="52">
        <v>1749540</v>
      </c>
      <c r="CQ180" s="52">
        <v>67505</v>
      </c>
      <c r="CR180" s="52">
        <v>67370</v>
      </c>
      <c r="CS180" s="52">
        <v>101632</v>
      </c>
      <c r="CT180" s="52">
        <v>698050</v>
      </c>
      <c r="CU180" s="52">
        <v>879843</v>
      </c>
      <c r="CV180" s="52"/>
      <c r="CW180" s="52">
        <v>903969</v>
      </c>
      <c r="CX180" s="52">
        <v>656438</v>
      </c>
      <c r="CY180" s="52">
        <v>710678</v>
      </c>
      <c r="CZ180" s="52">
        <v>668537</v>
      </c>
      <c r="DA180" s="52">
        <v>2205422</v>
      </c>
      <c r="DB180" s="52">
        <v>728059</v>
      </c>
      <c r="DC180" s="52"/>
      <c r="DD180" s="52"/>
      <c r="DE180" s="52">
        <v>91138235</v>
      </c>
      <c r="DF180" s="52"/>
      <c r="DG180" s="52">
        <v>91138235</v>
      </c>
      <c r="DH180" s="52"/>
    </row>
    <row r="181" spans="1:113">
      <c r="A181" s="150" t="s">
        <v>411</v>
      </c>
      <c r="B181" s="44">
        <v>3830</v>
      </c>
      <c r="C181" s="44" t="s">
        <v>231</v>
      </c>
      <c r="D181" s="52"/>
      <c r="E181" s="52"/>
      <c r="F181" s="52">
        <v>30430</v>
      </c>
      <c r="G181" s="52">
        <v>3409</v>
      </c>
      <c r="H181" s="56">
        <v>58160</v>
      </c>
      <c r="I181" s="56">
        <v>66073</v>
      </c>
      <c r="J181" s="56">
        <v>8665</v>
      </c>
      <c r="K181" s="56">
        <v>28731</v>
      </c>
      <c r="L181" s="52">
        <v>366910</v>
      </c>
      <c r="M181" s="52"/>
      <c r="N181" s="52">
        <v>15145</v>
      </c>
      <c r="O181" s="52">
        <v>21584</v>
      </c>
      <c r="P181" s="52">
        <v>35396</v>
      </c>
      <c r="Q181" s="52">
        <v>4578</v>
      </c>
      <c r="R181" s="52">
        <v>14104</v>
      </c>
      <c r="S181" s="52">
        <v>48022</v>
      </c>
      <c r="T181" s="52">
        <v>8429</v>
      </c>
      <c r="U181" s="52">
        <v>418067</v>
      </c>
      <c r="V181" s="52"/>
      <c r="W181" s="52">
        <v>245768</v>
      </c>
      <c r="X181" s="52">
        <v>27261</v>
      </c>
      <c r="Y181" s="52">
        <v>2394290</v>
      </c>
      <c r="Z181" s="52">
        <v>158686</v>
      </c>
      <c r="AA181" s="52">
        <v>129377</v>
      </c>
      <c r="AB181" s="52">
        <v>113390</v>
      </c>
      <c r="AC181" s="52">
        <v>6889</v>
      </c>
      <c r="AD181" s="52">
        <v>57864</v>
      </c>
      <c r="AE181" s="52">
        <v>5511</v>
      </c>
      <c r="AF181" s="52"/>
      <c r="AG181" s="52">
        <v>154242</v>
      </c>
      <c r="AH181" s="52">
        <v>330263</v>
      </c>
      <c r="AI181" s="52">
        <v>2498</v>
      </c>
      <c r="AJ181" s="52">
        <v>5547</v>
      </c>
      <c r="AK181" s="52">
        <v>49077</v>
      </c>
      <c r="AL181" s="52">
        <v>20874</v>
      </c>
      <c r="AM181" s="52">
        <v>7955</v>
      </c>
      <c r="AN181" s="52">
        <v>247186</v>
      </c>
      <c r="AO181" s="52">
        <v>54802</v>
      </c>
      <c r="AP181" s="52"/>
      <c r="AQ181" s="52">
        <v>56168</v>
      </c>
      <c r="AR181" s="52">
        <v>31732</v>
      </c>
      <c r="AS181" s="52">
        <v>616403</v>
      </c>
      <c r="AT181" s="52">
        <v>7342</v>
      </c>
      <c r="AU181" s="52">
        <v>116404</v>
      </c>
      <c r="AV181" s="52">
        <v>31327</v>
      </c>
      <c r="AW181" s="52">
        <v>7905</v>
      </c>
      <c r="AX181" s="52">
        <v>267627</v>
      </c>
      <c r="AY181" s="101">
        <v>2562785</v>
      </c>
      <c r="AZ181" s="52">
        <v>218383</v>
      </c>
      <c r="BA181" s="52">
        <v>17072</v>
      </c>
      <c r="BB181" s="52">
        <v>18481</v>
      </c>
      <c r="BC181" s="52">
        <v>9332</v>
      </c>
      <c r="BD181" s="52">
        <v>91463</v>
      </c>
      <c r="BE181" s="52">
        <v>61038</v>
      </c>
      <c r="BF181" s="52">
        <v>903809</v>
      </c>
      <c r="BG181" s="52">
        <v>49139</v>
      </c>
      <c r="BH181" s="52">
        <v>177216</v>
      </c>
      <c r="BI181" s="52">
        <v>198382</v>
      </c>
      <c r="BJ181" s="52">
        <v>100918</v>
      </c>
      <c r="BK181" s="52">
        <v>74052</v>
      </c>
      <c r="BL181" s="52">
        <v>43976</v>
      </c>
      <c r="BM181" s="52">
        <v>326648</v>
      </c>
      <c r="BN181" s="52">
        <v>670297</v>
      </c>
      <c r="BO181" s="52">
        <v>88912</v>
      </c>
      <c r="BP181" s="52">
        <v>10877</v>
      </c>
      <c r="BQ181" s="52">
        <v>285273</v>
      </c>
      <c r="BR181" s="52">
        <v>8870</v>
      </c>
      <c r="BS181" s="52">
        <v>5974</v>
      </c>
      <c r="BT181" s="52">
        <v>71311</v>
      </c>
      <c r="BU181" s="52">
        <v>52931</v>
      </c>
      <c r="BV181" s="52">
        <v>23375</v>
      </c>
      <c r="BW181" s="52">
        <v>13143</v>
      </c>
      <c r="BX181" s="52">
        <v>148012</v>
      </c>
      <c r="BY181" s="52">
        <v>168635</v>
      </c>
      <c r="BZ181" s="52">
        <v>169330</v>
      </c>
      <c r="CA181" s="52"/>
      <c r="CB181" s="52">
        <v>358025</v>
      </c>
      <c r="CC181" s="52">
        <v>15061</v>
      </c>
      <c r="CD181" s="52">
        <v>440970</v>
      </c>
      <c r="CE181" s="52"/>
      <c r="CF181" s="52">
        <v>345878</v>
      </c>
      <c r="CG181" s="52">
        <v>2186865</v>
      </c>
      <c r="CH181" s="52"/>
      <c r="CI181" s="52">
        <v>25888</v>
      </c>
      <c r="CJ181" s="52">
        <v>71357</v>
      </c>
      <c r="CK181" s="52">
        <v>94079</v>
      </c>
      <c r="CL181" s="52">
        <v>65610</v>
      </c>
      <c r="CM181" s="52">
        <v>34263</v>
      </c>
      <c r="CN181" s="52">
        <v>89177</v>
      </c>
      <c r="CO181" s="52">
        <v>652335</v>
      </c>
      <c r="CP181" s="52">
        <v>1157797</v>
      </c>
      <c r="CQ181" s="52">
        <v>36209</v>
      </c>
      <c r="CR181" s="52">
        <v>29747</v>
      </c>
      <c r="CS181" s="52">
        <v>11562</v>
      </c>
      <c r="CT181" s="52">
        <v>125906</v>
      </c>
      <c r="CU181" s="52">
        <v>437432</v>
      </c>
      <c r="CV181" s="52"/>
      <c r="CW181" s="52">
        <v>119642</v>
      </c>
      <c r="CX181" s="52">
        <v>95087</v>
      </c>
      <c r="CY181" s="52">
        <v>71699</v>
      </c>
      <c r="CZ181" s="52">
        <v>40615</v>
      </c>
      <c r="DA181" s="52">
        <v>350681</v>
      </c>
      <c r="DB181" s="52">
        <v>175567</v>
      </c>
      <c r="DC181" s="52"/>
      <c r="DD181" s="52"/>
      <c r="DE181" s="52">
        <v>19875177</v>
      </c>
      <c r="DF181" s="52"/>
      <c r="DG181" s="52">
        <v>19875177</v>
      </c>
      <c r="DH181" s="52"/>
    </row>
    <row r="182" spans="1:113">
      <c r="A182" s="150" t="s">
        <v>411</v>
      </c>
      <c r="B182" s="44">
        <v>3840</v>
      </c>
      <c r="C182" s="44" t="s">
        <v>232</v>
      </c>
      <c r="D182" s="52">
        <v>371398</v>
      </c>
      <c r="E182" s="52"/>
      <c r="F182" s="52">
        <v>177794</v>
      </c>
      <c r="G182" s="52">
        <v>8240</v>
      </c>
      <c r="H182" s="56">
        <v>421979</v>
      </c>
      <c r="I182" s="56">
        <v>176544</v>
      </c>
      <c r="J182" s="56">
        <v>198198</v>
      </c>
      <c r="K182" s="56">
        <v>233588</v>
      </c>
      <c r="L182" s="52">
        <v>355045</v>
      </c>
      <c r="M182" s="52">
        <v>16538</v>
      </c>
      <c r="N182" s="52">
        <v>56629</v>
      </c>
      <c r="O182" s="52">
        <v>21826</v>
      </c>
      <c r="P182" s="52"/>
      <c r="Q182" s="52">
        <v>3230</v>
      </c>
      <c r="R182" s="52">
        <v>102297</v>
      </c>
      <c r="S182" s="52">
        <v>102410</v>
      </c>
      <c r="T182" s="52">
        <v>25170</v>
      </c>
      <c r="U182" s="52"/>
      <c r="V182" s="52"/>
      <c r="W182" s="52">
        <v>1048813</v>
      </c>
      <c r="X182" s="52">
        <v>785647</v>
      </c>
      <c r="Y182" s="52">
        <v>949316</v>
      </c>
      <c r="Z182" s="52"/>
      <c r="AA182" s="52">
        <v>535615</v>
      </c>
      <c r="AB182" s="52">
        <v>689606</v>
      </c>
      <c r="AC182" s="52"/>
      <c r="AD182" s="52">
        <v>11585</v>
      </c>
      <c r="AE182" s="52">
        <v>2549</v>
      </c>
      <c r="AF182" s="52"/>
      <c r="AG182" s="52">
        <v>65366</v>
      </c>
      <c r="AH182" s="52"/>
      <c r="AI182" s="52">
        <v>6746</v>
      </c>
      <c r="AJ182" s="52">
        <v>17138</v>
      </c>
      <c r="AK182" s="52">
        <v>75466</v>
      </c>
      <c r="AL182" s="52">
        <v>31341</v>
      </c>
      <c r="AM182" s="52">
        <v>17008</v>
      </c>
      <c r="AN182" s="52">
        <v>363111</v>
      </c>
      <c r="AO182" s="52"/>
      <c r="AP182" s="52"/>
      <c r="AQ182" s="52">
        <v>112968</v>
      </c>
      <c r="AR182" s="52">
        <v>3260</v>
      </c>
      <c r="AS182" s="52">
        <v>799377</v>
      </c>
      <c r="AT182" s="52">
        <v>23918</v>
      </c>
      <c r="AU182" s="52">
        <v>674100</v>
      </c>
      <c r="AV182" s="52">
        <v>30323</v>
      </c>
      <c r="AW182" s="52">
        <v>226268</v>
      </c>
      <c r="AX182" s="52">
        <v>858114</v>
      </c>
      <c r="AY182" s="101">
        <v>2933703</v>
      </c>
      <c r="AZ182" s="52"/>
      <c r="BA182" s="52">
        <v>70507</v>
      </c>
      <c r="BB182" s="52"/>
      <c r="BC182" s="52"/>
      <c r="BD182" s="52">
        <v>34452</v>
      </c>
      <c r="BE182" s="52">
        <v>29601</v>
      </c>
      <c r="BF182" s="52">
        <v>346392</v>
      </c>
      <c r="BG182" s="52"/>
      <c r="BH182" s="52">
        <v>313139</v>
      </c>
      <c r="BI182" s="52">
        <v>530331</v>
      </c>
      <c r="BJ182" s="52">
        <v>214824</v>
      </c>
      <c r="BK182" s="52">
        <v>142091</v>
      </c>
      <c r="BL182" s="52"/>
      <c r="BM182" s="52">
        <v>290712</v>
      </c>
      <c r="BN182" s="52">
        <v>232753</v>
      </c>
      <c r="BO182" s="52">
        <v>87841</v>
      </c>
      <c r="BP182" s="52">
        <v>5296</v>
      </c>
      <c r="BQ182" s="52">
        <v>335247</v>
      </c>
      <c r="BR182" s="52">
        <v>37259</v>
      </c>
      <c r="BS182" s="52">
        <v>28014</v>
      </c>
      <c r="BT182" s="52">
        <v>130140</v>
      </c>
      <c r="BU182" s="52">
        <v>76746</v>
      </c>
      <c r="BV182" s="52"/>
      <c r="BW182" s="52">
        <v>24719</v>
      </c>
      <c r="BX182" s="52">
        <v>280941</v>
      </c>
      <c r="BY182" s="52">
        <v>304393</v>
      </c>
      <c r="BZ182" s="52">
        <v>462897</v>
      </c>
      <c r="CA182" s="52"/>
      <c r="CB182" s="52">
        <v>160037</v>
      </c>
      <c r="CC182" s="52">
        <v>369730</v>
      </c>
      <c r="CD182" s="52">
        <v>633808</v>
      </c>
      <c r="CE182" s="52"/>
      <c r="CF182" s="52">
        <v>299144</v>
      </c>
      <c r="CG182" s="52"/>
      <c r="CH182" s="52"/>
      <c r="CI182" s="52">
        <v>24552</v>
      </c>
      <c r="CJ182" s="52">
        <v>99989</v>
      </c>
      <c r="CK182" s="52">
        <v>150467</v>
      </c>
      <c r="CL182" s="52">
        <v>448797</v>
      </c>
      <c r="CM182" s="52">
        <v>87495</v>
      </c>
      <c r="CN182" s="52">
        <v>768735</v>
      </c>
      <c r="CO182" s="52">
        <v>496181</v>
      </c>
      <c r="CP182" s="52">
        <v>273779</v>
      </c>
      <c r="CQ182" s="52">
        <v>19624</v>
      </c>
      <c r="CR182" s="52">
        <v>39460</v>
      </c>
      <c r="CS182" s="52">
        <v>13753</v>
      </c>
      <c r="CT182" s="52">
        <v>395193</v>
      </c>
      <c r="CU182" s="52">
        <v>132695</v>
      </c>
      <c r="CV182" s="52"/>
      <c r="CW182" s="52">
        <v>308686</v>
      </c>
      <c r="CX182" s="52">
        <v>201243</v>
      </c>
      <c r="CY182" s="52"/>
      <c r="CZ182" s="52">
        <v>91335</v>
      </c>
      <c r="DA182" s="52">
        <v>1427723</v>
      </c>
      <c r="DB182" s="52">
        <v>160650</v>
      </c>
      <c r="DC182" s="52"/>
      <c r="DD182" s="52"/>
      <c r="DE182" s="52">
        <v>23113595</v>
      </c>
      <c r="DF182" s="52"/>
      <c r="DG182" s="52">
        <v>23113595</v>
      </c>
      <c r="DH182" s="52"/>
    </row>
    <row r="183" spans="1:113">
      <c r="A183" s="150" t="s">
        <v>411</v>
      </c>
      <c r="B183" s="44">
        <v>3890</v>
      </c>
      <c r="C183" s="44" t="s">
        <v>233</v>
      </c>
      <c r="D183" s="52">
        <v>5583</v>
      </c>
      <c r="E183" s="52"/>
      <c r="F183" s="52"/>
      <c r="G183" s="52">
        <v>3122</v>
      </c>
      <c r="H183" s="56">
        <v>89823</v>
      </c>
      <c r="I183" s="56">
        <v>78209</v>
      </c>
      <c r="J183" s="56">
        <v>22975</v>
      </c>
      <c r="K183" s="56">
        <v>50980</v>
      </c>
      <c r="L183" s="52">
        <v>193143</v>
      </c>
      <c r="M183" s="52">
        <v>5469</v>
      </c>
      <c r="N183" s="52">
        <v>17055</v>
      </c>
      <c r="O183" s="52">
        <v>76702</v>
      </c>
      <c r="P183" s="52">
        <v>75241</v>
      </c>
      <c r="Q183" s="52">
        <v>21777</v>
      </c>
      <c r="R183" s="52">
        <v>27435</v>
      </c>
      <c r="S183" s="52">
        <v>71494</v>
      </c>
      <c r="T183" s="52">
        <v>13658</v>
      </c>
      <c r="U183" s="52">
        <v>140530</v>
      </c>
      <c r="V183" s="52"/>
      <c r="W183" s="52"/>
      <c r="X183" s="52">
        <v>101498</v>
      </c>
      <c r="Y183" s="52">
        <v>28502</v>
      </c>
      <c r="Z183" s="52">
        <v>128241</v>
      </c>
      <c r="AA183" s="52">
        <v>139307</v>
      </c>
      <c r="AB183" s="52">
        <v>104496</v>
      </c>
      <c r="AC183" s="52"/>
      <c r="AD183" s="52">
        <v>63619</v>
      </c>
      <c r="AE183" s="52">
        <v>24283</v>
      </c>
      <c r="AF183" s="52"/>
      <c r="AG183" s="52">
        <v>159550</v>
      </c>
      <c r="AH183" s="52">
        <v>194477</v>
      </c>
      <c r="AI183" s="52">
        <v>84799</v>
      </c>
      <c r="AJ183" s="52">
        <v>14444</v>
      </c>
      <c r="AK183" s="52">
        <v>54562</v>
      </c>
      <c r="AL183" s="52">
        <v>23070</v>
      </c>
      <c r="AM183" s="52">
        <v>12552</v>
      </c>
      <c r="AN183" s="52">
        <v>158590</v>
      </c>
      <c r="AO183" s="52">
        <v>342795</v>
      </c>
      <c r="AP183" s="52"/>
      <c r="AQ183" s="52">
        <v>146691</v>
      </c>
      <c r="AR183" s="52">
        <v>8403</v>
      </c>
      <c r="AS183" s="52">
        <v>260554</v>
      </c>
      <c r="AT183" s="52"/>
      <c r="AU183" s="52">
        <v>29219</v>
      </c>
      <c r="AV183" s="52"/>
      <c r="AW183" s="52">
        <v>11069</v>
      </c>
      <c r="AX183" s="52">
        <v>167206</v>
      </c>
      <c r="AY183" s="101">
        <v>434763</v>
      </c>
      <c r="AZ183" s="52">
        <v>1176484</v>
      </c>
      <c r="BA183" s="52">
        <v>99377</v>
      </c>
      <c r="BB183" s="52"/>
      <c r="BC183" s="52">
        <v>51208</v>
      </c>
      <c r="BD183" s="52">
        <v>75401</v>
      </c>
      <c r="BE183" s="52">
        <v>44254</v>
      </c>
      <c r="BF183" s="52">
        <v>437674</v>
      </c>
      <c r="BG183" s="52">
        <v>64398</v>
      </c>
      <c r="BH183" s="52">
        <v>153907</v>
      </c>
      <c r="BI183" s="52">
        <v>204196</v>
      </c>
      <c r="BJ183" s="52">
        <v>137211</v>
      </c>
      <c r="BK183" s="52">
        <v>76519</v>
      </c>
      <c r="BL183" s="52"/>
      <c r="BM183" s="52">
        <v>229855</v>
      </c>
      <c r="BN183" s="52">
        <v>85679</v>
      </c>
      <c r="BO183" s="52">
        <v>39504</v>
      </c>
      <c r="BP183" s="52">
        <v>16503</v>
      </c>
      <c r="BQ183" s="52">
        <v>187596</v>
      </c>
      <c r="BR183" s="52">
        <v>140215</v>
      </c>
      <c r="BS183" s="52">
        <v>6717</v>
      </c>
      <c r="BT183" s="52">
        <v>53149</v>
      </c>
      <c r="BU183" s="52">
        <v>30887</v>
      </c>
      <c r="BV183" s="52"/>
      <c r="BW183" s="52">
        <v>11962</v>
      </c>
      <c r="BX183" s="52">
        <v>163934</v>
      </c>
      <c r="BY183" s="52">
        <v>162525</v>
      </c>
      <c r="BZ183" s="52">
        <v>291248</v>
      </c>
      <c r="CA183" s="52"/>
      <c r="CB183" s="52">
        <v>59926</v>
      </c>
      <c r="CC183" s="52">
        <v>93788</v>
      </c>
      <c r="CD183" s="52">
        <v>213056</v>
      </c>
      <c r="CE183" s="52"/>
      <c r="CF183" s="52">
        <v>302718</v>
      </c>
      <c r="CG183" s="52"/>
      <c r="CH183" s="52"/>
      <c r="CI183" s="52">
        <v>124564</v>
      </c>
      <c r="CJ183" s="52">
        <v>47667</v>
      </c>
      <c r="CK183" s="52">
        <v>68791</v>
      </c>
      <c r="CL183" s="52">
        <v>35226</v>
      </c>
      <c r="CM183" s="52">
        <v>19358</v>
      </c>
      <c r="CN183" s="52">
        <v>79603</v>
      </c>
      <c r="CO183" s="52">
        <v>106708</v>
      </c>
      <c r="CP183" s="52"/>
      <c r="CQ183" s="52"/>
      <c r="CR183" s="52"/>
      <c r="CS183" s="52"/>
      <c r="CT183" s="52">
        <v>29763</v>
      </c>
      <c r="CU183" s="52"/>
      <c r="CV183" s="52"/>
      <c r="CW183" s="52">
        <v>129857</v>
      </c>
      <c r="CX183" s="52">
        <v>11583</v>
      </c>
      <c r="CY183" s="52"/>
      <c r="CZ183" s="52">
        <v>90539</v>
      </c>
      <c r="DA183" s="52">
        <v>33607</v>
      </c>
      <c r="DB183" s="52">
        <v>71126</v>
      </c>
      <c r="DC183" s="52"/>
      <c r="DD183" s="52"/>
      <c r="DE183" s="52">
        <v>9044169</v>
      </c>
      <c r="DF183" s="52"/>
      <c r="DG183" s="52">
        <v>9044169</v>
      </c>
      <c r="DH183" s="52"/>
    </row>
    <row r="184" spans="1:113">
      <c r="A184" s="150" t="s">
        <v>411</v>
      </c>
      <c r="B184" s="44">
        <v>3991</v>
      </c>
      <c r="C184" s="44" t="s">
        <v>235</v>
      </c>
      <c r="D184" s="52">
        <v>16333</v>
      </c>
      <c r="E184" s="52">
        <v>69354</v>
      </c>
      <c r="F184" s="52">
        <v>7361</v>
      </c>
      <c r="G184" s="52"/>
      <c r="H184" s="56">
        <v>19249</v>
      </c>
      <c r="I184" s="56">
        <v>3245</v>
      </c>
      <c r="J184" s="56">
        <v>9244</v>
      </c>
      <c r="K184" s="56">
        <v>12173</v>
      </c>
      <c r="L184" s="52">
        <v>56026</v>
      </c>
      <c r="M184" s="52"/>
      <c r="N184" s="52">
        <v>583</v>
      </c>
      <c r="O184" s="52">
        <v>3500</v>
      </c>
      <c r="P184" s="52">
        <v>3299</v>
      </c>
      <c r="Q184" s="52">
        <v>590</v>
      </c>
      <c r="R184" s="52">
        <v>5047</v>
      </c>
      <c r="S184" s="52">
        <v>2333</v>
      </c>
      <c r="T184" s="52"/>
      <c r="U184" s="52">
        <v>40249</v>
      </c>
      <c r="V184" s="52"/>
      <c r="W184" s="52">
        <v>51996</v>
      </c>
      <c r="X184" s="52">
        <v>7170</v>
      </c>
      <c r="Y184" s="52">
        <v>124240</v>
      </c>
      <c r="Z184" s="52">
        <v>31518</v>
      </c>
      <c r="AA184" s="52">
        <v>11710</v>
      </c>
      <c r="AB184" s="52">
        <v>8666</v>
      </c>
      <c r="AC184" s="52">
        <v>4557</v>
      </c>
      <c r="AD184" s="52">
        <v>6212</v>
      </c>
      <c r="AE184" s="52">
        <v>1750</v>
      </c>
      <c r="AF184" s="52"/>
      <c r="AG184" s="52">
        <v>19206</v>
      </c>
      <c r="AH184" s="52">
        <v>17702</v>
      </c>
      <c r="AI184" s="52"/>
      <c r="AJ184" s="52">
        <v>1131</v>
      </c>
      <c r="AK184" s="52"/>
      <c r="AL184" s="52">
        <v>5250</v>
      </c>
      <c r="AM184" s="52"/>
      <c r="AN184" s="52">
        <v>96705</v>
      </c>
      <c r="AO184" s="52">
        <v>13763</v>
      </c>
      <c r="AP184" s="52">
        <v>583</v>
      </c>
      <c r="AQ184" s="52">
        <v>5833</v>
      </c>
      <c r="AR184" s="52">
        <v>26886</v>
      </c>
      <c r="AS184" s="52">
        <v>33691</v>
      </c>
      <c r="AT184" s="52">
        <v>1750</v>
      </c>
      <c r="AU184" s="52">
        <v>18713</v>
      </c>
      <c r="AV184" s="52">
        <v>4667</v>
      </c>
      <c r="AW184" s="52">
        <v>1167</v>
      </c>
      <c r="AX184" s="52">
        <v>24273</v>
      </c>
      <c r="AY184" s="101">
        <v>243801</v>
      </c>
      <c r="AZ184" s="52">
        <v>24178</v>
      </c>
      <c r="BA184" s="52">
        <v>4816</v>
      </c>
      <c r="BB184" s="52"/>
      <c r="BC184" s="52">
        <v>583</v>
      </c>
      <c r="BD184" s="52">
        <v>10870</v>
      </c>
      <c r="BE184" s="52">
        <v>9484</v>
      </c>
      <c r="BF184" s="52">
        <v>86672</v>
      </c>
      <c r="BG184" s="52">
        <v>8305</v>
      </c>
      <c r="BH184" s="52">
        <v>23511</v>
      </c>
      <c r="BI184" s="52">
        <v>29841</v>
      </c>
      <c r="BJ184" s="52">
        <v>18075</v>
      </c>
      <c r="BK184" s="52">
        <v>23558</v>
      </c>
      <c r="BL184" s="52">
        <v>11619</v>
      </c>
      <c r="BM184" s="52">
        <v>50302</v>
      </c>
      <c r="BN184" s="52">
        <v>33832</v>
      </c>
      <c r="BO184" s="52">
        <v>2333</v>
      </c>
      <c r="BP184" s="52">
        <v>11070</v>
      </c>
      <c r="BQ184" s="52">
        <v>34052</v>
      </c>
      <c r="BR184" s="52">
        <v>3596</v>
      </c>
      <c r="BS184" s="52"/>
      <c r="BT184" s="52">
        <v>7513</v>
      </c>
      <c r="BU184" s="52">
        <v>1112</v>
      </c>
      <c r="BV184" s="52">
        <v>4083</v>
      </c>
      <c r="BW184" s="52"/>
      <c r="BX184" s="52">
        <v>2916</v>
      </c>
      <c r="BY184" s="52">
        <v>9872</v>
      </c>
      <c r="BZ184" s="52">
        <v>27614</v>
      </c>
      <c r="CA184" s="52"/>
      <c r="CB184" s="52">
        <v>11083</v>
      </c>
      <c r="CC184" s="52">
        <v>5443</v>
      </c>
      <c r="CD184" s="52">
        <v>27161</v>
      </c>
      <c r="CE184" s="52"/>
      <c r="CF184" s="52">
        <v>47917</v>
      </c>
      <c r="CG184" s="52">
        <v>79331</v>
      </c>
      <c r="CH184" s="52">
        <v>83534</v>
      </c>
      <c r="CI184" s="52">
        <v>11083</v>
      </c>
      <c r="CJ184" s="52">
        <v>10346</v>
      </c>
      <c r="CK184" s="52">
        <v>17304</v>
      </c>
      <c r="CL184" s="52">
        <v>8166</v>
      </c>
      <c r="CM184" s="52">
        <v>5083</v>
      </c>
      <c r="CN184" s="52">
        <v>16916</v>
      </c>
      <c r="CO184" s="52">
        <v>29457</v>
      </c>
      <c r="CP184" s="52">
        <v>9731</v>
      </c>
      <c r="CQ184" s="52"/>
      <c r="CR184" s="52"/>
      <c r="CS184" s="52"/>
      <c r="CT184" s="52">
        <v>36627</v>
      </c>
      <c r="CU184" s="52">
        <v>45242</v>
      </c>
      <c r="CV184" s="52"/>
      <c r="CW184" s="52">
        <v>16611</v>
      </c>
      <c r="CX184" s="52">
        <v>22166</v>
      </c>
      <c r="CY184" s="52">
        <v>9916</v>
      </c>
      <c r="CZ184" s="52">
        <v>14583</v>
      </c>
      <c r="DA184" s="52">
        <v>32666</v>
      </c>
      <c r="DB184" s="52">
        <v>18666</v>
      </c>
      <c r="DC184" s="52">
        <v>1750</v>
      </c>
      <c r="DD184" s="52"/>
      <c r="DE184" s="52">
        <v>2010365</v>
      </c>
      <c r="DF184" s="52">
        <v>1750</v>
      </c>
      <c r="DG184" s="52">
        <v>2012115</v>
      </c>
      <c r="DH184" s="52"/>
    </row>
    <row r="185" spans="1:113">
      <c r="A185" s="150" t="s">
        <v>411</v>
      </c>
      <c r="B185" s="44">
        <v>3992</v>
      </c>
      <c r="C185" s="44" t="s">
        <v>236</v>
      </c>
      <c r="D185" s="52"/>
      <c r="E185" s="52"/>
      <c r="F185" s="52"/>
      <c r="G185" s="52"/>
      <c r="H185" s="56"/>
      <c r="I185" s="56"/>
      <c r="J185" s="56"/>
      <c r="K185" s="56"/>
      <c r="L185" s="52"/>
      <c r="M185" s="52"/>
      <c r="N185" s="52"/>
      <c r="O185" s="52"/>
      <c r="P185" s="52"/>
      <c r="Q185" s="52"/>
      <c r="R185" s="52"/>
      <c r="S185" s="52"/>
      <c r="T185" s="52"/>
      <c r="U185" s="52"/>
      <c r="V185" s="52"/>
      <c r="W185" s="52"/>
      <c r="X185" s="52"/>
      <c r="Y185" s="52"/>
      <c r="Z185" s="52"/>
      <c r="AA185" s="52"/>
      <c r="AB185" s="52">
        <v>338667</v>
      </c>
      <c r="AC185" s="52"/>
      <c r="AD185" s="52"/>
      <c r="AE185" s="52"/>
      <c r="AF185" s="52"/>
      <c r="AG185" s="52"/>
      <c r="AH185" s="52">
        <v>7454</v>
      </c>
      <c r="AI185" s="52"/>
      <c r="AJ185" s="52"/>
      <c r="AK185" s="52"/>
      <c r="AL185" s="52"/>
      <c r="AM185" s="52"/>
      <c r="AN185" s="52"/>
      <c r="AO185" s="52"/>
      <c r="AP185" s="52"/>
      <c r="AQ185" s="52"/>
      <c r="AR185" s="52"/>
      <c r="AS185" s="52"/>
      <c r="AT185" s="52"/>
      <c r="AU185" s="52"/>
      <c r="AV185" s="52"/>
      <c r="AW185" s="52"/>
      <c r="AX185" s="52"/>
      <c r="AY185" s="101"/>
      <c r="AZ185" s="52"/>
      <c r="BA185" s="52"/>
      <c r="BB185" s="52"/>
      <c r="BC185" s="52"/>
      <c r="BD185" s="52"/>
      <c r="BE185" s="52"/>
      <c r="BF185" s="52"/>
      <c r="BG185" s="52"/>
      <c r="BH185" s="52"/>
      <c r="BI185" s="52"/>
      <c r="BJ185" s="52"/>
      <c r="BK185" s="52"/>
      <c r="BL185" s="52"/>
      <c r="BM185" s="52"/>
      <c r="BN185" s="52"/>
      <c r="BO185" s="52"/>
      <c r="BP185" s="52"/>
      <c r="BQ185" s="52">
        <v>11162</v>
      </c>
      <c r="BR185" s="52"/>
      <c r="BS185" s="52"/>
      <c r="BT185" s="52"/>
      <c r="BU185" s="52"/>
      <c r="BV185" s="52"/>
      <c r="BW185" s="52"/>
      <c r="BX185" s="52">
        <v>91</v>
      </c>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v>247309</v>
      </c>
      <c r="CU185" s="52"/>
      <c r="CV185" s="52"/>
      <c r="CW185" s="52"/>
      <c r="CX185" s="52">
        <v>7628</v>
      </c>
      <c r="CY185" s="52"/>
      <c r="CZ185" s="52"/>
      <c r="DA185" s="52"/>
      <c r="DB185" s="52"/>
      <c r="DC185" s="52"/>
      <c r="DD185" s="52"/>
      <c r="DE185" s="52">
        <v>612311</v>
      </c>
      <c r="DF185" s="52"/>
      <c r="DG185" s="52">
        <v>612311</v>
      </c>
      <c r="DH185" s="52"/>
    </row>
    <row r="186" spans="1:113">
      <c r="A186" s="150" t="s">
        <v>411</v>
      </c>
      <c r="B186" s="44">
        <v>3999</v>
      </c>
      <c r="C186" s="44" t="s">
        <v>237</v>
      </c>
      <c r="D186" s="52">
        <v>52627</v>
      </c>
      <c r="E186" s="52">
        <v>827606</v>
      </c>
      <c r="F186" s="52">
        <v>43708</v>
      </c>
      <c r="G186" s="52"/>
      <c r="H186" s="56">
        <v>75640</v>
      </c>
      <c r="I186" s="56">
        <v>74688</v>
      </c>
      <c r="J186" s="56"/>
      <c r="K186" s="56">
        <v>71152</v>
      </c>
      <c r="L186" s="52"/>
      <c r="M186" s="52"/>
      <c r="N186" s="52"/>
      <c r="O186" s="52"/>
      <c r="P186" s="52">
        <v>15012</v>
      </c>
      <c r="Q186" s="52">
        <v>250000</v>
      </c>
      <c r="R186" s="52">
        <v>250000</v>
      </c>
      <c r="S186" s="52">
        <v>1175450</v>
      </c>
      <c r="T186" s="52"/>
      <c r="U186" s="52">
        <v>34563</v>
      </c>
      <c r="V186" s="52"/>
      <c r="W186" s="52">
        <v>18735</v>
      </c>
      <c r="X186" s="52">
        <v>9447</v>
      </c>
      <c r="Y186" s="52">
        <v>439782</v>
      </c>
      <c r="Z186" s="52">
        <v>90105</v>
      </c>
      <c r="AA186" s="52"/>
      <c r="AB186" s="52">
        <v>2000</v>
      </c>
      <c r="AC186" s="52">
        <v>3074</v>
      </c>
      <c r="AD186" s="52">
        <v>18698</v>
      </c>
      <c r="AE186" s="52"/>
      <c r="AF186" s="52"/>
      <c r="AG186" s="52">
        <v>137886</v>
      </c>
      <c r="AH186" s="52">
        <v>60</v>
      </c>
      <c r="AI186" s="52"/>
      <c r="AJ186" s="52">
        <v>1319</v>
      </c>
      <c r="AK186" s="52">
        <v>16761</v>
      </c>
      <c r="AL186" s="52"/>
      <c r="AM186" s="52"/>
      <c r="AN186" s="52">
        <v>2660</v>
      </c>
      <c r="AO186" s="52">
        <v>48736</v>
      </c>
      <c r="AP186" s="52"/>
      <c r="AQ186" s="52"/>
      <c r="AR186" s="52"/>
      <c r="AS186" s="52">
        <v>143700</v>
      </c>
      <c r="AT186" s="52"/>
      <c r="AU186" s="52">
        <v>53878</v>
      </c>
      <c r="AV186" s="52"/>
      <c r="AW186" s="52"/>
      <c r="AX186" s="52">
        <v>1837</v>
      </c>
      <c r="AY186" s="101">
        <v>903207</v>
      </c>
      <c r="AZ186" s="52">
        <v>34750</v>
      </c>
      <c r="BA186" s="52"/>
      <c r="BB186" s="52"/>
      <c r="BC186" s="52"/>
      <c r="BD186" s="52">
        <v>6768</v>
      </c>
      <c r="BE186" s="52"/>
      <c r="BF186" s="52">
        <v>447205</v>
      </c>
      <c r="BG186" s="52">
        <v>57566</v>
      </c>
      <c r="BH186" s="52">
        <v>99509</v>
      </c>
      <c r="BI186" s="52">
        <v>104587</v>
      </c>
      <c r="BJ186" s="52">
        <v>5235</v>
      </c>
      <c r="BK186" s="52"/>
      <c r="BL186" s="52">
        <v>88</v>
      </c>
      <c r="BM186" s="52">
        <v>28279</v>
      </c>
      <c r="BN186" s="52">
        <v>112286</v>
      </c>
      <c r="BO186" s="52">
        <v>2000</v>
      </c>
      <c r="BP186" s="52"/>
      <c r="BQ186" s="52">
        <v>187067</v>
      </c>
      <c r="BR186" s="52">
        <v>4452</v>
      </c>
      <c r="BS186" s="52">
        <v>7557</v>
      </c>
      <c r="BT186" s="52"/>
      <c r="BU186" s="52"/>
      <c r="BV186" s="52"/>
      <c r="BW186" s="52">
        <v>39403</v>
      </c>
      <c r="BX186" s="52">
        <v>5667</v>
      </c>
      <c r="BY186" s="52"/>
      <c r="BZ186" s="52">
        <v>4706</v>
      </c>
      <c r="CA186" s="52"/>
      <c r="CB186" s="52"/>
      <c r="CC186" s="52">
        <v>1858</v>
      </c>
      <c r="CD186" s="52">
        <v>692406</v>
      </c>
      <c r="CE186" s="52"/>
      <c r="CF186" s="52"/>
      <c r="CG186" s="52"/>
      <c r="CH186" s="52">
        <v>100822</v>
      </c>
      <c r="CI186" s="52"/>
      <c r="CJ186" s="52"/>
      <c r="CK186" s="52"/>
      <c r="CL186" s="52"/>
      <c r="CM186" s="52">
        <v>9225</v>
      </c>
      <c r="CN186" s="52"/>
      <c r="CO186" s="52"/>
      <c r="CP186" s="52">
        <v>6244</v>
      </c>
      <c r="CQ186" s="52"/>
      <c r="CR186" s="52"/>
      <c r="CS186" s="52"/>
      <c r="CT186" s="52">
        <v>13872</v>
      </c>
      <c r="CU186" s="52">
        <v>1700</v>
      </c>
      <c r="CV186" s="52"/>
      <c r="CW186" s="52">
        <v>21024</v>
      </c>
      <c r="CX186" s="52">
        <v>11393</v>
      </c>
      <c r="CY186" s="52">
        <v>23236</v>
      </c>
      <c r="CZ186" s="52">
        <v>55003</v>
      </c>
      <c r="DA186" s="52">
        <v>2250</v>
      </c>
      <c r="DB186" s="52">
        <v>3714</v>
      </c>
      <c r="DC186" s="52">
        <v>464256</v>
      </c>
      <c r="DD186" s="52"/>
      <c r="DE186" s="52">
        <v>6852203</v>
      </c>
      <c r="DF186" s="52">
        <v>464256</v>
      </c>
      <c r="DG186" s="52">
        <v>7316459</v>
      </c>
      <c r="DH186" s="52"/>
    </row>
    <row r="187" spans="1:113" ht="15">
      <c r="A187" s="150"/>
      <c r="C187" s="60" t="s">
        <v>415</v>
      </c>
      <c r="D187" s="61">
        <f>SUM(D65:D186)</f>
        <v>18006604</v>
      </c>
      <c r="E187" s="61">
        <f t="shared" ref="E187:BP187" si="4">SUM(E65:E186)</f>
        <v>101673547</v>
      </c>
      <c r="F187" s="61">
        <f t="shared" si="4"/>
        <v>10706367</v>
      </c>
      <c r="G187" s="61">
        <f t="shared" si="4"/>
        <v>524098</v>
      </c>
      <c r="H187" s="61">
        <f t="shared" si="4"/>
        <v>36180087</v>
      </c>
      <c r="I187" s="61">
        <f t="shared" si="4"/>
        <v>17252413</v>
      </c>
      <c r="J187" s="61">
        <f t="shared" si="4"/>
        <v>12091039</v>
      </c>
      <c r="K187" s="61">
        <f t="shared" si="4"/>
        <v>11165653</v>
      </c>
      <c r="L187" s="61">
        <f t="shared" si="4"/>
        <v>51663804</v>
      </c>
      <c r="M187" s="61">
        <f t="shared" si="4"/>
        <v>677455</v>
      </c>
      <c r="N187" s="61">
        <f t="shared" si="4"/>
        <v>942067</v>
      </c>
      <c r="O187" s="61">
        <f t="shared" si="4"/>
        <v>8345077</v>
      </c>
      <c r="P187" s="61">
        <f t="shared" si="4"/>
        <v>5819346</v>
      </c>
      <c r="Q187" s="61">
        <f t="shared" si="4"/>
        <v>4941999</v>
      </c>
      <c r="R187" s="61">
        <f t="shared" si="4"/>
        <v>5049922</v>
      </c>
      <c r="S187" s="61">
        <f t="shared" si="4"/>
        <v>14036096</v>
      </c>
      <c r="T187" s="61">
        <f t="shared" si="4"/>
        <v>217178</v>
      </c>
      <c r="U187" s="61">
        <f t="shared" si="4"/>
        <v>27164475</v>
      </c>
      <c r="V187" s="61">
        <f t="shared" si="4"/>
        <v>183013</v>
      </c>
      <c r="W187" s="61">
        <f t="shared" si="4"/>
        <v>118922231</v>
      </c>
      <c r="X187" s="61">
        <f t="shared" si="4"/>
        <v>8675382</v>
      </c>
      <c r="Y187" s="61">
        <f t="shared" si="4"/>
        <v>122742441</v>
      </c>
      <c r="Z187" s="61">
        <f t="shared" si="4"/>
        <v>41300103</v>
      </c>
      <c r="AA187" s="61">
        <f t="shared" si="4"/>
        <v>28224551</v>
      </c>
      <c r="AB187" s="61">
        <f t="shared" si="4"/>
        <v>37449857</v>
      </c>
      <c r="AC187" s="61">
        <f t="shared" si="4"/>
        <v>5490866</v>
      </c>
      <c r="AD187" s="61">
        <f t="shared" si="4"/>
        <v>16500073</v>
      </c>
      <c r="AE187" s="61">
        <f t="shared" si="4"/>
        <v>6362799</v>
      </c>
      <c r="AF187" s="61">
        <f t="shared" si="4"/>
        <v>200280</v>
      </c>
      <c r="AG187" s="61">
        <f t="shared" si="4"/>
        <v>29871878</v>
      </c>
      <c r="AH187" s="61">
        <f t="shared" si="4"/>
        <v>51205401</v>
      </c>
      <c r="AI187" s="61">
        <f t="shared" si="4"/>
        <v>748803</v>
      </c>
      <c r="AJ187" s="61">
        <f t="shared" si="4"/>
        <v>4468791</v>
      </c>
      <c r="AK187" s="61">
        <f t="shared" si="4"/>
        <v>16793219</v>
      </c>
      <c r="AL187" s="61">
        <f t="shared" si="4"/>
        <v>7300615</v>
      </c>
      <c r="AM187" s="61">
        <f t="shared" si="4"/>
        <v>353295</v>
      </c>
      <c r="AN187" s="61">
        <f t="shared" si="4"/>
        <v>83593189</v>
      </c>
      <c r="AO187" s="61">
        <f t="shared" si="4"/>
        <v>11290674</v>
      </c>
      <c r="AP187" s="61">
        <f t="shared" si="4"/>
        <v>148045</v>
      </c>
      <c r="AQ187" s="61">
        <f t="shared" si="4"/>
        <v>19971634</v>
      </c>
      <c r="AR187" s="61">
        <f t="shared" si="4"/>
        <v>15404731</v>
      </c>
      <c r="AS187" s="61">
        <f t="shared" si="4"/>
        <v>65256961</v>
      </c>
      <c r="AT187" s="61">
        <f t="shared" si="4"/>
        <v>6050865</v>
      </c>
      <c r="AU187" s="61">
        <f t="shared" si="4"/>
        <v>19236654</v>
      </c>
      <c r="AV187" s="61">
        <f t="shared" si="4"/>
        <v>6270780</v>
      </c>
      <c r="AW187" s="61">
        <f t="shared" si="4"/>
        <v>7498074</v>
      </c>
      <c r="AX187" s="61">
        <f t="shared" si="4"/>
        <v>37146411</v>
      </c>
      <c r="AY187" s="102">
        <f t="shared" si="4"/>
        <v>271681451</v>
      </c>
      <c r="AZ187" s="61">
        <f t="shared" si="4"/>
        <v>41141065</v>
      </c>
      <c r="BA187" s="61">
        <f t="shared" si="4"/>
        <v>5813461</v>
      </c>
      <c r="BB187" s="61">
        <f t="shared" si="4"/>
        <v>5237299</v>
      </c>
      <c r="BC187" s="61">
        <f t="shared" si="4"/>
        <v>592160</v>
      </c>
      <c r="BD187" s="61">
        <f t="shared" si="4"/>
        <v>13743139</v>
      </c>
      <c r="BE187" s="61">
        <f t="shared" si="4"/>
        <v>8250690</v>
      </c>
      <c r="BF187" s="61">
        <f t="shared" si="4"/>
        <v>122835407</v>
      </c>
      <c r="BG187" s="61">
        <f t="shared" si="4"/>
        <v>14702534</v>
      </c>
      <c r="BH187" s="61">
        <f t="shared" si="4"/>
        <v>47157289</v>
      </c>
      <c r="BI187" s="61">
        <f t="shared" si="4"/>
        <v>50921963</v>
      </c>
      <c r="BJ187" s="61">
        <f t="shared" si="4"/>
        <v>26908590</v>
      </c>
      <c r="BK187" s="61">
        <f t="shared" si="4"/>
        <v>16082525</v>
      </c>
      <c r="BL187" s="61">
        <f t="shared" si="4"/>
        <v>16760191</v>
      </c>
      <c r="BM187" s="61">
        <f t="shared" si="4"/>
        <v>89582471</v>
      </c>
      <c r="BN187" s="61">
        <f t="shared" si="4"/>
        <v>40627489</v>
      </c>
      <c r="BO187" s="61">
        <f t="shared" si="4"/>
        <v>10452310</v>
      </c>
      <c r="BP187" s="61">
        <f t="shared" si="4"/>
        <v>18198347</v>
      </c>
      <c r="BQ187" s="61">
        <f t="shared" ref="BQ187:DG187" si="5">SUM(BQ65:BQ186)</f>
        <v>75928392</v>
      </c>
      <c r="BR187" s="61">
        <f t="shared" si="5"/>
        <v>4147975</v>
      </c>
      <c r="BS187" s="61">
        <f t="shared" si="5"/>
        <v>440678</v>
      </c>
      <c r="BT187" s="61">
        <f t="shared" si="5"/>
        <v>14290580</v>
      </c>
      <c r="BU187" s="61">
        <f t="shared" si="5"/>
        <v>9989252</v>
      </c>
      <c r="BV187" s="61">
        <f t="shared" si="5"/>
        <v>5771262</v>
      </c>
      <c r="BW187" s="61">
        <f t="shared" si="5"/>
        <v>452446</v>
      </c>
      <c r="BX187" s="61">
        <f t="shared" si="5"/>
        <v>25141029</v>
      </c>
      <c r="BY187" s="61">
        <f t="shared" si="5"/>
        <v>28688583</v>
      </c>
      <c r="BZ187" s="61">
        <f t="shared" si="5"/>
        <v>39768047</v>
      </c>
      <c r="CA187" s="61">
        <f t="shared" si="5"/>
        <v>0</v>
      </c>
      <c r="CB187" s="61">
        <f t="shared" si="5"/>
        <v>17766025</v>
      </c>
      <c r="CC187" s="61">
        <f t="shared" si="5"/>
        <v>20048053</v>
      </c>
      <c r="CD187" s="61">
        <f t="shared" si="5"/>
        <v>35759025</v>
      </c>
      <c r="CE187" s="61">
        <f t="shared" si="5"/>
        <v>20095</v>
      </c>
      <c r="CF187" s="61">
        <f t="shared" si="5"/>
        <v>67991894</v>
      </c>
      <c r="CG187" s="61">
        <f t="shared" si="5"/>
        <v>110339566</v>
      </c>
      <c r="CH187" s="61">
        <f t="shared" si="5"/>
        <v>94304016</v>
      </c>
      <c r="CI187" s="61">
        <f t="shared" si="5"/>
        <v>10544210</v>
      </c>
      <c r="CJ187" s="61">
        <f t="shared" si="5"/>
        <v>22393702</v>
      </c>
      <c r="CK187" s="61">
        <f t="shared" si="5"/>
        <v>39406553</v>
      </c>
      <c r="CL187" s="61">
        <f t="shared" si="5"/>
        <v>14402520</v>
      </c>
      <c r="CM187" s="61">
        <f t="shared" si="5"/>
        <v>12947107</v>
      </c>
      <c r="CN187" s="61">
        <f t="shared" si="5"/>
        <v>26926899</v>
      </c>
      <c r="CO187" s="61">
        <f t="shared" si="5"/>
        <v>41614499</v>
      </c>
      <c r="CP187" s="61">
        <f t="shared" si="5"/>
        <v>39044276</v>
      </c>
      <c r="CQ187" s="61">
        <f t="shared" si="5"/>
        <v>496154</v>
      </c>
      <c r="CR187" s="61">
        <f t="shared" si="5"/>
        <v>316312</v>
      </c>
      <c r="CS187" s="61">
        <f t="shared" si="5"/>
        <v>300675</v>
      </c>
      <c r="CT187" s="61">
        <f t="shared" si="5"/>
        <v>41039046</v>
      </c>
      <c r="CU187" s="61">
        <f t="shared" si="5"/>
        <v>39079801</v>
      </c>
      <c r="CV187" s="61">
        <f t="shared" si="5"/>
        <v>0</v>
      </c>
      <c r="CW187" s="61">
        <f t="shared" si="5"/>
        <v>23657226</v>
      </c>
      <c r="CX187" s="61">
        <f t="shared" si="5"/>
        <v>27325648</v>
      </c>
      <c r="CY187" s="61">
        <f t="shared" si="5"/>
        <v>22704643</v>
      </c>
      <c r="CZ187" s="61">
        <f t="shared" si="5"/>
        <v>17934483</v>
      </c>
      <c r="DA187" s="61">
        <f t="shared" si="5"/>
        <v>73053650</v>
      </c>
      <c r="DB187" s="61">
        <f t="shared" si="5"/>
        <v>31678229</v>
      </c>
      <c r="DC187" s="61">
        <f t="shared" si="5"/>
        <v>5801081</v>
      </c>
      <c r="DD187" s="61">
        <f t="shared" si="5"/>
        <v>3378058</v>
      </c>
      <c r="DE187" s="61">
        <f t="shared" si="5"/>
        <v>2931519775</v>
      </c>
      <c r="DF187" s="61">
        <f t="shared" si="5"/>
        <v>9179139</v>
      </c>
      <c r="DG187" s="61">
        <f t="shared" si="5"/>
        <v>2940698914</v>
      </c>
      <c r="DH187" s="78">
        <f>'5-Charters'!Q40</f>
        <v>33929761.237357989</v>
      </c>
      <c r="DI187" s="81">
        <f>DG187-DH187</f>
        <v>2906769152.7626419</v>
      </c>
    </row>
    <row r="188" spans="1:113">
      <c r="A188" s="150"/>
      <c r="D188" s="52"/>
      <c r="E188" s="52"/>
      <c r="F188" s="52"/>
      <c r="G188" s="52"/>
      <c r="H188" s="56"/>
      <c r="I188" s="56"/>
      <c r="J188" s="56"/>
      <c r="K188" s="56"/>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101"/>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row>
    <row r="189" spans="1:113">
      <c r="A189" s="150"/>
      <c r="C189" s="44" t="s">
        <v>569</v>
      </c>
      <c r="D189" s="52"/>
      <c r="E189" s="52"/>
      <c r="F189" s="52"/>
      <c r="G189" s="52"/>
      <c r="H189" s="56"/>
      <c r="I189" s="56"/>
      <c r="J189" s="56"/>
      <c r="K189" s="56"/>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78">
        <f>'5-Charters'!H108</f>
        <v>4921755</v>
      </c>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row>
    <row r="190" spans="1:113" ht="12">
      <c r="A190" s="150"/>
      <c r="C190" s="44" t="s">
        <v>675</v>
      </c>
      <c r="D190" s="52"/>
      <c r="E190" s="52"/>
      <c r="F190" s="52"/>
      <c r="G190" s="52"/>
      <c r="H190" s="56"/>
      <c r="I190" s="56"/>
      <c r="J190" s="56"/>
      <c r="K190" s="56"/>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103">
        <f>AY187-AY189</f>
        <v>266759696</v>
      </c>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row>
    <row r="191" spans="1:113">
      <c r="A191" s="150"/>
      <c r="D191" s="52"/>
      <c r="E191" s="52"/>
      <c r="F191" s="52"/>
      <c r="G191" s="52"/>
      <c r="H191" s="56"/>
      <c r="I191" s="56"/>
      <c r="J191" s="56"/>
      <c r="K191" s="56"/>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101"/>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row>
    <row r="192" spans="1:113">
      <c r="A192" s="150"/>
      <c r="D192" s="52"/>
      <c r="E192" s="52"/>
      <c r="F192" s="52"/>
      <c r="G192" s="52"/>
      <c r="H192" s="56"/>
      <c r="I192" s="56"/>
      <c r="J192" s="56"/>
      <c r="K192" s="56"/>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101"/>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row>
    <row r="193" spans="1:112">
      <c r="A193" s="150"/>
      <c r="D193" s="52"/>
      <c r="E193" s="52"/>
      <c r="F193" s="52"/>
      <c r="G193" s="52"/>
      <c r="H193" s="56"/>
      <c r="I193" s="56"/>
      <c r="J193" s="56"/>
      <c r="K193" s="56"/>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101"/>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row>
    <row r="194" spans="1:112">
      <c r="A194" s="150" t="s">
        <v>412</v>
      </c>
      <c r="B194" s="44">
        <v>4110</v>
      </c>
      <c r="C194" s="44" t="s">
        <v>241</v>
      </c>
      <c r="D194" s="52"/>
      <c r="E194" s="52">
        <v>127702</v>
      </c>
      <c r="F194" s="52"/>
      <c r="G194" s="52"/>
      <c r="H194" s="56"/>
      <c r="I194" s="56"/>
      <c r="J194" s="56"/>
      <c r="K194" s="56">
        <v>217630</v>
      </c>
      <c r="L194" s="52"/>
      <c r="M194" s="52"/>
      <c r="N194" s="52"/>
      <c r="O194" s="52"/>
      <c r="P194" s="52"/>
      <c r="Q194" s="52"/>
      <c r="R194" s="52">
        <v>31774</v>
      </c>
      <c r="S194" s="52">
        <v>21282</v>
      </c>
      <c r="T194" s="52"/>
      <c r="U194" s="52">
        <v>28179</v>
      </c>
      <c r="V194" s="52"/>
      <c r="W194" s="52">
        <v>873241</v>
      </c>
      <c r="X194" s="52"/>
      <c r="Y194" s="52">
        <v>95774</v>
      </c>
      <c r="Z194" s="52"/>
      <c r="AA194" s="52"/>
      <c r="AB194" s="52"/>
      <c r="AC194" s="52"/>
      <c r="AD194" s="52"/>
      <c r="AE194" s="52"/>
      <c r="AF194" s="52"/>
      <c r="AG194" s="52"/>
      <c r="AH194" s="52"/>
      <c r="AI194" s="52"/>
      <c r="AJ194" s="52"/>
      <c r="AK194" s="52"/>
      <c r="AL194" s="52"/>
      <c r="AM194" s="52"/>
      <c r="AN194" s="52">
        <v>143937</v>
      </c>
      <c r="AO194" s="52"/>
      <c r="AP194" s="52"/>
      <c r="AQ194" s="52"/>
      <c r="AR194" s="52"/>
      <c r="AS194" s="52"/>
      <c r="AT194" s="52"/>
      <c r="AU194" s="52">
        <v>41613</v>
      </c>
      <c r="AV194" s="52"/>
      <c r="AW194" s="52"/>
      <c r="AX194" s="52"/>
      <c r="AY194" s="101">
        <v>6047</v>
      </c>
      <c r="AZ194" s="52"/>
      <c r="BA194" s="52"/>
      <c r="BB194" s="52"/>
      <c r="BC194" s="52"/>
      <c r="BD194" s="52"/>
      <c r="BE194" s="52"/>
      <c r="BF194" s="52"/>
      <c r="BG194" s="52"/>
      <c r="BH194" s="52"/>
      <c r="BI194" s="52"/>
      <c r="BJ194" s="52"/>
      <c r="BK194" s="52"/>
      <c r="BL194" s="52"/>
      <c r="BM194" s="52"/>
      <c r="BN194" s="52"/>
      <c r="BO194" s="52"/>
      <c r="BP194" s="52"/>
      <c r="BQ194" s="52"/>
      <c r="BR194" s="52"/>
      <c r="BS194" s="52"/>
      <c r="BT194" s="52">
        <v>22587</v>
      </c>
      <c r="BU194" s="52"/>
      <c r="BV194" s="52"/>
      <c r="BW194" s="52"/>
      <c r="BX194" s="52"/>
      <c r="BY194" s="52"/>
      <c r="BZ194" s="52"/>
      <c r="CA194" s="52"/>
      <c r="CB194" s="52"/>
      <c r="CC194" s="52"/>
      <c r="CD194" s="52"/>
      <c r="CE194" s="52"/>
      <c r="CF194" s="52"/>
      <c r="CG194" s="52"/>
      <c r="CH194" s="52">
        <v>501241</v>
      </c>
      <c r="CI194" s="52"/>
      <c r="CJ194" s="52"/>
      <c r="CK194" s="52"/>
      <c r="CL194" s="52"/>
      <c r="CM194" s="52"/>
      <c r="CN194" s="52"/>
      <c r="CO194" s="52"/>
      <c r="CP194" s="52">
        <v>11256</v>
      </c>
      <c r="CQ194" s="52"/>
      <c r="CR194" s="52"/>
      <c r="CS194" s="52"/>
      <c r="CT194" s="52">
        <v>815482</v>
      </c>
      <c r="CU194" s="52">
        <v>137328</v>
      </c>
      <c r="CV194" s="52"/>
      <c r="CW194" s="52"/>
      <c r="CX194" s="52"/>
      <c r="CY194" s="52"/>
      <c r="CZ194" s="52"/>
      <c r="DA194" s="52"/>
      <c r="DB194" s="52"/>
      <c r="DC194" s="52"/>
      <c r="DD194" s="52"/>
      <c r="DE194" s="52">
        <v>3075073</v>
      </c>
      <c r="DF194" s="52"/>
      <c r="DG194" s="52">
        <v>3075073</v>
      </c>
      <c r="DH194" s="52"/>
    </row>
    <row r="195" spans="1:112">
      <c r="A195" s="150" t="s">
        <v>412</v>
      </c>
      <c r="B195" s="44">
        <v>4210</v>
      </c>
      <c r="C195" s="44" t="s">
        <v>242</v>
      </c>
      <c r="D195" s="52">
        <v>70323</v>
      </c>
      <c r="E195" s="52">
        <v>441669</v>
      </c>
      <c r="F195" s="52">
        <v>57070</v>
      </c>
      <c r="G195" s="52"/>
      <c r="H195" s="56">
        <v>26657</v>
      </c>
      <c r="I195" s="56">
        <v>22947</v>
      </c>
      <c r="J195" s="56">
        <v>38218</v>
      </c>
      <c r="K195" s="56">
        <v>47734</v>
      </c>
      <c r="L195" s="52">
        <v>199031</v>
      </c>
      <c r="M195" s="52"/>
      <c r="N195" s="52">
        <v>86380</v>
      </c>
      <c r="O195" s="52">
        <v>34293</v>
      </c>
      <c r="P195" s="52">
        <v>20480</v>
      </c>
      <c r="Q195" s="52">
        <v>13862</v>
      </c>
      <c r="R195" s="52">
        <v>16442</v>
      </c>
      <c r="S195" s="52">
        <v>38927</v>
      </c>
      <c r="T195" s="52">
        <v>12912</v>
      </c>
      <c r="U195" s="52">
        <v>259918</v>
      </c>
      <c r="V195" s="52">
        <v>91400</v>
      </c>
      <c r="W195" s="52">
        <v>397582</v>
      </c>
      <c r="X195" s="52">
        <v>38874</v>
      </c>
      <c r="Y195" s="52">
        <v>793429</v>
      </c>
      <c r="Z195" s="52">
        <v>162277</v>
      </c>
      <c r="AA195" s="52">
        <v>113780</v>
      </c>
      <c r="AB195" s="52">
        <v>141459</v>
      </c>
      <c r="AC195" s="52">
        <v>34061</v>
      </c>
      <c r="AD195" s="52">
        <v>65625</v>
      </c>
      <c r="AE195" s="52">
        <v>17063</v>
      </c>
      <c r="AF195" s="52"/>
      <c r="AG195" s="52">
        <v>157749</v>
      </c>
      <c r="AH195" s="52">
        <v>232904</v>
      </c>
      <c r="AI195" s="52"/>
      <c r="AJ195" s="52"/>
      <c r="AK195" s="52"/>
      <c r="AL195" s="52"/>
      <c r="AM195" s="52">
        <v>139914</v>
      </c>
      <c r="AN195" s="52">
        <v>219822</v>
      </c>
      <c r="AO195" s="52">
        <v>61625</v>
      </c>
      <c r="AP195" s="52"/>
      <c r="AQ195" s="52">
        <v>69609</v>
      </c>
      <c r="AR195" s="52">
        <v>76103</v>
      </c>
      <c r="AS195" s="52">
        <v>265411</v>
      </c>
      <c r="AT195" s="52">
        <v>21771</v>
      </c>
      <c r="AU195" s="52">
        <v>91490</v>
      </c>
      <c r="AV195" s="52">
        <v>22921</v>
      </c>
      <c r="AW195" s="52">
        <v>21558</v>
      </c>
      <c r="AX195" s="52">
        <v>169258</v>
      </c>
      <c r="AY195" s="101">
        <v>1021142</v>
      </c>
      <c r="AZ195" s="52"/>
      <c r="BA195" s="52">
        <v>15516</v>
      </c>
      <c r="BB195" s="52">
        <v>10776</v>
      </c>
      <c r="BC195" s="52"/>
      <c r="BD195" s="52">
        <v>42758</v>
      </c>
      <c r="BE195" s="52">
        <v>40488</v>
      </c>
      <c r="BF195" s="52">
        <v>550906</v>
      </c>
      <c r="BG195" s="52">
        <v>86902</v>
      </c>
      <c r="BH195" s="52">
        <v>154370</v>
      </c>
      <c r="BI195" s="52">
        <v>165977</v>
      </c>
      <c r="BJ195" s="52">
        <v>99140</v>
      </c>
      <c r="BK195" s="52">
        <v>75885</v>
      </c>
      <c r="BL195" s="52">
        <v>63706</v>
      </c>
      <c r="BM195" s="52">
        <v>195469</v>
      </c>
      <c r="BN195" s="52">
        <v>181374</v>
      </c>
      <c r="BO195" s="52">
        <v>37045</v>
      </c>
      <c r="BP195" s="52">
        <v>59495</v>
      </c>
      <c r="BQ195" s="52">
        <v>147471</v>
      </c>
      <c r="BR195" s="52">
        <v>22839</v>
      </c>
      <c r="BS195" s="52"/>
      <c r="BT195" s="52">
        <v>66683</v>
      </c>
      <c r="BU195" s="52">
        <v>53581</v>
      </c>
      <c r="BV195" s="52">
        <v>21650</v>
      </c>
      <c r="BW195" s="52"/>
      <c r="BX195" s="52">
        <v>107057</v>
      </c>
      <c r="BY195" s="52">
        <v>145390</v>
      </c>
      <c r="BZ195" s="52">
        <v>185247</v>
      </c>
      <c r="CA195" s="52"/>
      <c r="CB195" s="52">
        <v>92384</v>
      </c>
      <c r="CC195" s="52">
        <v>70029</v>
      </c>
      <c r="CD195" s="52">
        <v>175759</v>
      </c>
      <c r="CE195" s="52"/>
      <c r="CF195" s="52">
        <v>234833</v>
      </c>
      <c r="CG195" s="52">
        <v>649517</v>
      </c>
      <c r="CH195" s="52">
        <v>181754</v>
      </c>
      <c r="CI195" s="52">
        <v>39274</v>
      </c>
      <c r="CJ195" s="52">
        <v>186452</v>
      </c>
      <c r="CK195" s="52">
        <v>109891</v>
      </c>
      <c r="CL195" s="52">
        <v>51132</v>
      </c>
      <c r="CM195" s="52">
        <v>36711</v>
      </c>
      <c r="CN195" s="52">
        <v>79298</v>
      </c>
      <c r="CO195" s="52">
        <v>115548</v>
      </c>
      <c r="CP195" s="52">
        <v>189685</v>
      </c>
      <c r="CQ195" s="52">
        <v>866</v>
      </c>
      <c r="CR195" s="52">
        <v>840</v>
      </c>
      <c r="CS195" s="52"/>
      <c r="CT195" s="52">
        <v>211891</v>
      </c>
      <c r="CU195" s="52">
        <v>163113</v>
      </c>
      <c r="CV195" s="52"/>
      <c r="CW195" s="52">
        <v>83918</v>
      </c>
      <c r="CX195" s="52">
        <v>232840</v>
      </c>
      <c r="CY195" s="52">
        <v>96587</v>
      </c>
      <c r="CZ195" s="52">
        <v>63935</v>
      </c>
      <c r="DA195" s="52">
        <v>228493</v>
      </c>
      <c r="DB195" s="52">
        <v>66827</v>
      </c>
      <c r="DC195" s="52">
        <v>66108</v>
      </c>
      <c r="DD195" s="52">
        <v>21551</v>
      </c>
      <c r="DE195" s="52">
        <v>11704992</v>
      </c>
      <c r="DF195" s="52">
        <v>87659</v>
      </c>
      <c r="DG195" s="52">
        <v>11792651</v>
      </c>
      <c r="DH195" s="52"/>
    </row>
    <row r="196" spans="1:112">
      <c r="A196" s="150" t="s">
        <v>412</v>
      </c>
      <c r="B196" s="44">
        <v>4220</v>
      </c>
      <c r="C196" s="44" t="s">
        <v>243</v>
      </c>
      <c r="D196" s="52"/>
      <c r="E196" s="52"/>
      <c r="F196" s="52"/>
      <c r="G196" s="52"/>
      <c r="H196" s="56"/>
      <c r="I196" s="56"/>
      <c r="J196" s="56"/>
      <c r="K196" s="56"/>
      <c r="L196" s="52"/>
      <c r="M196" s="52"/>
      <c r="N196" s="52"/>
      <c r="O196" s="52">
        <v>66730</v>
      </c>
      <c r="P196" s="52"/>
      <c r="Q196" s="52"/>
      <c r="R196" s="52"/>
      <c r="S196" s="52"/>
      <c r="T196" s="52"/>
      <c r="U196" s="52"/>
      <c r="V196" s="52">
        <v>91081</v>
      </c>
      <c r="W196" s="52">
        <v>142569</v>
      </c>
      <c r="X196" s="52"/>
      <c r="Y196" s="52"/>
      <c r="Z196" s="52"/>
      <c r="AA196" s="52"/>
      <c r="AB196" s="52">
        <v>74767</v>
      </c>
      <c r="AC196" s="52"/>
      <c r="AD196" s="52"/>
      <c r="AE196" s="52"/>
      <c r="AF196" s="52"/>
      <c r="AG196" s="52"/>
      <c r="AH196" s="52">
        <v>4857</v>
      </c>
      <c r="AI196" s="52"/>
      <c r="AJ196" s="52"/>
      <c r="AK196" s="52"/>
      <c r="AL196" s="52"/>
      <c r="AM196" s="52"/>
      <c r="AN196" s="52"/>
      <c r="AO196" s="52"/>
      <c r="AP196" s="52"/>
      <c r="AQ196" s="52"/>
      <c r="AR196" s="52"/>
      <c r="AS196" s="52">
        <v>5624</v>
      </c>
      <c r="AT196" s="52"/>
      <c r="AU196" s="52">
        <v>96839</v>
      </c>
      <c r="AV196" s="52"/>
      <c r="AW196" s="52"/>
      <c r="AX196" s="52">
        <v>93254</v>
      </c>
      <c r="AY196" s="101">
        <v>106254</v>
      </c>
      <c r="AZ196" s="52"/>
      <c r="BA196" s="52"/>
      <c r="BB196" s="52"/>
      <c r="BC196" s="52"/>
      <c r="BD196" s="52"/>
      <c r="BE196" s="52"/>
      <c r="BF196" s="52"/>
      <c r="BG196" s="52"/>
      <c r="BH196" s="52"/>
      <c r="BI196" s="52"/>
      <c r="BJ196" s="52"/>
      <c r="BK196" s="52"/>
      <c r="BL196" s="52"/>
      <c r="BM196" s="52"/>
      <c r="BN196" s="52"/>
      <c r="BO196" s="52"/>
      <c r="BP196" s="52">
        <v>142203</v>
      </c>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v>107862</v>
      </c>
      <c r="CO196" s="52"/>
      <c r="CP196" s="52"/>
      <c r="CQ196" s="52"/>
      <c r="CR196" s="52"/>
      <c r="CS196" s="52"/>
      <c r="CT196" s="52"/>
      <c r="CU196" s="52"/>
      <c r="CV196" s="52"/>
      <c r="CW196" s="52"/>
      <c r="CX196" s="52"/>
      <c r="CY196" s="52"/>
      <c r="CZ196" s="52"/>
      <c r="DA196" s="52">
        <v>92305</v>
      </c>
      <c r="DB196" s="52"/>
      <c r="DC196" s="52"/>
      <c r="DD196" s="52"/>
      <c r="DE196" s="52">
        <v>1024345</v>
      </c>
      <c r="DF196" s="52"/>
      <c r="DG196" s="52">
        <v>1024345</v>
      </c>
      <c r="DH196" s="52"/>
    </row>
    <row r="197" spans="1:112">
      <c r="A197" s="150" t="s">
        <v>412</v>
      </c>
      <c r="B197" s="44">
        <v>4240</v>
      </c>
      <c r="C197" s="44" t="s">
        <v>244</v>
      </c>
      <c r="D197" s="52"/>
      <c r="E197" s="52"/>
      <c r="F197" s="52"/>
      <c r="G197" s="52"/>
      <c r="H197" s="56"/>
      <c r="I197" s="56"/>
      <c r="J197" s="56"/>
      <c r="K197" s="56"/>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v>502</v>
      </c>
      <c r="AW197" s="52"/>
      <c r="AX197" s="52"/>
      <c r="AY197" s="101"/>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v>502</v>
      </c>
      <c r="DF197" s="52"/>
      <c r="DG197" s="52">
        <v>502</v>
      </c>
      <c r="DH197" s="52"/>
    </row>
    <row r="198" spans="1:112">
      <c r="A198" s="150" t="s">
        <v>412</v>
      </c>
      <c r="B198" s="44">
        <v>4310</v>
      </c>
      <c r="C198" s="44" t="s">
        <v>246</v>
      </c>
      <c r="D198" s="52">
        <v>881557</v>
      </c>
      <c r="E198" s="52">
        <v>6280589</v>
      </c>
      <c r="F198" s="52">
        <v>1168627</v>
      </c>
      <c r="G198" s="52"/>
      <c r="H198" s="56">
        <v>805739</v>
      </c>
      <c r="I198" s="56">
        <v>552829</v>
      </c>
      <c r="J198" s="56">
        <v>584385</v>
      </c>
      <c r="K198" s="56">
        <v>518442</v>
      </c>
      <c r="L198" s="52">
        <v>2518542</v>
      </c>
      <c r="M198" s="52"/>
      <c r="N198" s="52"/>
      <c r="O198" s="52">
        <v>554577</v>
      </c>
      <c r="P198" s="52">
        <v>590348</v>
      </c>
      <c r="Q198" s="52">
        <v>609851</v>
      </c>
      <c r="R198" s="52">
        <v>217221</v>
      </c>
      <c r="S198" s="52">
        <v>533737</v>
      </c>
      <c r="T198" s="52"/>
      <c r="U198" s="52">
        <v>6027331</v>
      </c>
      <c r="V198" s="52"/>
      <c r="W198" s="52">
        <v>6125083</v>
      </c>
      <c r="X198" s="52">
        <v>462916</v>
      </c>
      <c r="Y198" s="52">
        <v>16439915</v>
      </c>
      <c r="Z198" s="52">
        <v>2334801</v>
      </c>
      <c r="AA198" s="52">
        <v>1728186</v>
      </c>
      <c r="AB198" s="52">
        <v>2252931</v>
      </c>
      <c r="AC198" s="52">
        <v>645487</v>
      </c>
      <c r="AD198" s="52">
        <v>1294546</v>
      </c>
      <c r="AE198" s="52">
        <v>308336</v>
      </c>
      <c r="AF198" s="52"/>
      <c r="AG198" s="52">
        <v>3028868</v>
      </c>
      <c r="AH198" s="52">
        <v>4130488</v>
      </c>
      <c r="AI198" s="52"/>
      <c r="AJ198" s="52">
        <v>315847</v>
      </c>
      <c r="AK198" s="52">
        <v>1539952</v>
      </c>
      <c r="AL198" s="52">
        <v>461920</v>
      </c>
      <c r="AM198" s="52"/>
      <c r="AN198" s="52">
        <v>2309146</v>
      </c>
      <c r="AO198" s="52">
        <v>1164859</v>
      </c>
      <c r="AP198" s="52"/>
      <c r="AQ198" s="52">
        <v>845220</v>
      </c>
      <c r="AR198" s="52">
        <v>1282273</v>
      </c>
      <c r="AS198" s="52">
        <v>3833305</v>
      </c>
      <c r="AT198" s="52">
        <v>339376</v>
      </c>
      <c r="AU198" s="52">
        <v>1945748</v>
      </c>
      <c r="AV198" s="52">
        <v>486216</v>
      </c>
      <c r="AW198" s="52">
        <v>285583</v>
      </c>
      <c r="AX198" s="52">
        <v>2682228</v>
      </c>
      <c r="AY198" s="101">
        <v>14818858</v>
      </c>
      <c r="AZ198" s="52">
        <v>2346879</v>
      </c>
      <c r="BA198" s="52">
        <v>254887</v>
      </c>
      <c r="BB198" s="52">
        <v>163373</v>
      </c>
      <c r="BC198" s="52"/>
      <c r="BD198" s="52">
        <v>558415</v>
      </c>
      <c r="BE198" s="52">
        <v>848218</v>
      </c>
      <c r="BF198" s="52">
        <v>9142974</v>
      </c>
      <c r="BG198" s="52">
        <v>1865134</v>
      </c>
      <c r="BH198" s="52">
        <v>2072540</v>
      </c>
      <c r="BI198" s="52">
        <v>2482383</v>
      </c>
      <c r="BJ198" s="52">
        <v>1501328</v>
      </c>
      <c r="BK198" s="52">
        <v>1041334</v>
      </c>
      <c r="BL198" s="52">
        <v>1167720</v>
      </c>
      <c r="BM198" s="52">
        <v>1923639</v>
      </c>
      <c r="BN198" s="52">
        <v>2539330</v>
      </c>
      <c r="BO198" s="52">
        <v>658336</v>
      </c>
      <c r="BP198" s="52">
        <v>913673</v>
      </c>
      <c r="BQ198" s="52">
        <v>1162915</v>
      </c>
      <c r="BR198" s="52">
        <v>370317</v>
      </c>
      <c r="BS198" s="52"/>
      <c r="BT198" s="52">
        <v>1308814</v>
      </c>
      <c r="BU198" s="52">
        <v>870449</v>
      </c>
      <c r="BV198" s="52">
        <v>408261</v>
      </c>
      <c r="BW198" s="52"/>
      <c r="BX198" s="52">
        <v>2338407</v>
      </c>
      <c r="BY198" s="52">
        <v>1430669</v>
      </c>
      <c r="BZ198" s="52">
        <v>2592201</v>
      </c>
      <c r="CA198" s="52"/>
      <c r="CB198" s="52">
        <v>1620247</v>
      </c>
      <c r="CC198" s="52">
        <v>1185114</v>
      </c>
      <c r="CD198" s="52">
        <v>2789311</v>
      </c>
      <c r="CE198" s="52"/>
      <c r="CF198" s="52">
        <v>2892905</v>
      </c>
      <c r="CG198" s="52">
        <v>11564177</v>
      </c>
      <c r="CH198" s="52">
        <v>1521783</v>
      </c>
      <c r="CI198" s="52">
        <v>542494</v>
      </c>
      <c r="CJ198" s="52">
        <v>538180</v>
      </c>
      <c r="CK198" s="52">
        <v>1074229</v>
      </c>
      <c r="CL198" s="52">
        <v>459090</v>
      </c>
      <c r="CM198" s="52">
        <v>389648</v>
      </c>
      <c r="CN198" s="52">
        <v>1041526</v>
      </c>
      <c r="CO198" s="52">
        <v>1174389</v>
      </c>
      <c r="CP198" s="52">
        <v>2681297</v>
      </c>
      <c r="CQ198" s="52"/>
      <c r="CR198" s="52"/>
      <c r="CS198" s="52"/>
      <c r="CT198" s="52">
        <v>3339992</v>
      </c>
      <c r="CU198" s="52">
        <v>3110140</v>
      </c>
      <c r="CV198" s="52"/>
      <c r="CW198" s="52">
        <v>1174958</v>
      </c>
      <c r="CX198" s="52">
        <v>3472770</v>
      </c>
      <c r="CY198" s="52">
        <v>1678347</v>
      </c>
      <c r="CZ198" s="52">
        <v>517903</v>
      </c>
      <c r="DA198" s="52">
        <v>2560962</v>
      </c>
      <c r="DB198" s="52">
        <v>606167</v>
      </c>
      <c r="DC198" s="52">
        <v>434618</v>
      </c>
      <c r="DD198" s="52">
        <v>669115</v>
      </c>
      <c r="DE198" s="52">
        <v>178803688</v>
      </c>
      <c r="DF198" s="52">
        <v>1103733</v>
      </c>
      <c r="DG198" s="52">
        <v>179907421</v>
      </c>
      <c r="DH198" s="52"/>
    </row>
    <row r="199" spans="1:112">
      <c r="A199" s="150" t="s">
        <v>412</v>
      </c>
      <c r="B199" s="44">
        <v>4312</v>
      </c>
      <c r="C199" s="44" t="s">
        <v>247</v>
      </c>
      <c r="D199" s="52"/>
      <c r="E199" s="52"/>
      <c r="F199" s="52">
        <v>31002</v>
      </c>
      <c r="G199" s="52"/>
      <c r="H199" s="56"/>
      <c r="I199" s="56"/>
      <c r="J199" s="56"/>
      <c r="K199" s="56"/>
      <c r="L199" s="52"/>
      <c r="M199" s="52"/>
      <c r="N199" s="52"/>
      <c r="O199" s="52">
        <v>27228</v>
      </c>
      <c r="P199" s="52">
        <v>35588</v>
      </c>
      <c r="Q199" s="52">
        <v>51540</v>
      </c>
      <c r="R199" s="52">
        <v>27016</v>
      </c>
      <c r="S199" s="52"/>
      <c r="T199" s="52"/>
      <c r="U199" s="52"/>
      <c r="V199" s="52"/>
      <c r="W199" s="52"/>
      <c r="X199" s="52"/>
      <c r="Y199" s="52"/>
      <c r="Z199" s="52"/>
      <c r="AA199" s="52">
        <v>149590</v>
      </c>
      <c r="AB199" s="52">
        <v>220946</v>
      </c>
      <c r="AC199" s="52">
        <v>26596</v>
      </c>
      <c r="AD199" s="52">
        <v>126093</v>
      </c>
      <c r="AE199" s="52">
        <v>26676</v>
      </c>
      <c r="AF199" s="52"/>
      <c r="AG199" s="52">
        <v>250612</v>
      </c>
      <c r="AH199" s="52"/>
      <c r="AI199" s="52"/>
      <c r="AJ199" s="52">
        <v>24854</v>
      </c>
      <c r="AK199" s="52">
        <v>112054</v>
      </c>
      <c r="AL199" s="52">
        <v>44354</v>
      </c>
      <c r="AM199" s="52"/>
      <c r="AN199" s="52"/>
      <c r="AO199" s="52">
        <v>56822</v>
      </c>
      <c r="AP199" s="52"/>
      <c r="AQ199" s="52"/>
      <c r="AR199" s="52"/>
      <c r="AS199" s="52"/>
      <c r="AT199" s="52">
        <v>34431</v>
      </c>
      <c r="AU199" s="52"/>
      <c r="AV199" s="52">
        <v>31306</v>
      </c>
      <c r="AW199" s="52">
        <v>41557</v>
      </c>
      <c r="AX199" s="52">
        <v>216059</v>
      </c>
      <c r="AY199" s="101"/>
      <c r="AZ199" s="52"/>
      <c r="BA199" s="52"/>
      <c r="BB199" s="52"/>
      <c r="BC199" s="52"/>
      <c r="BD199" s="52">
        <v>55979</v>
      </c>
      <c r="BE199" s="52">
        <v>50750</v>
      </c>
      <c r="BF199" s="52"/>
      <c r="BG199" s="52">
        <v>137591</v>
      </c>
      <c r="BH199" s="52"/>
      <c r="BI199" s="52"/>
      <c r="BJ199" s="52"/>
      <c r="BK199" s="52"/>
      <c r="BL199" s="52">
        <v>79224</v>
      </c>
      <c r="BM199" s="52"/>
      <c r="BN199" s="52"/>
      <c r="BO199" s="52"/>
      <c r="BP199" s="52">
        <v>75589</v>
      </c>
      <c r="BQ199" s="52"/>
      <c r="BR199" s="52"/>
      <c r="BS199" s="52"/>
      <c r="BT199" s="52">
        <v>95625</v>
      </c>
      <c r="BU199" s="52">
        <v>61114</v>
      </c>
      <c r="BV199" s="52">
        <v>30411</v>
      </c>
      <c r="BW199" s="52"/>
      <c r="BX199" s="52">
        <v>146440</v>
      </c>
      <c r="BY199" s="52">
        <v>167310</v>
      </c>
      <c r="BZ199" s="52"/>
      <c r="CA199" s="52"/>
      <c r="CB199" s="52">
        <v>145435</v>
      </c>
      <c r="CC199" s="52">
        <v>116943</v>
      </c>
      <c r="CD199" s="52">
        <v>200025</v>
      </c>
      <c r="CE199" s="52"/>
      <c r="CF199" s="52"/>
      <c r="CG199" s="52"/>
      <c r="CH199" s="52"/>
      <c r="CI199" s="52"/>
      <c r="CJ199" s="52"/>
      <c r="CK199" s="52"/>
      <c r="CL199" s="52"/>
      <c r="CM199" s="52"/>
      <c r="CN199" s="52"/>
      <c r="CO199" s="52"/>
      <c r="CP199" s="52"/>
      <c r="CQ199" s="52"/>
      <c r="CR199" s="52"/>
      <c r="CS199" s="52"/>
      <c r="CT199" s="52"/>
      <c r="CU199" s="52"/>
      <c r="CV199" s="52"/>
      <c r="CW199" s="52">
        <v>128607</v>
      </c>
      <c r="CX199" s="52">
        <v>209152</v>
      </c>
      <c r="CY199" s="52"/>
      <c r="CZ199" s="52"/>
      <c r="DA199" s="52"/>
      <c r="DB199" s="52"/>
      <c r="DC199" s="52"/>
      <c r="DD199" s="52"/>
      <c r="DE199" s="52">
        <v>3234519</v>
      </c>
      <c r="DF199" s="52"/>
      <c r="DG199" s="52">
        <v>3234519</v>
      </c>
      <c r="DH199" s="52"/>
    </row>
    <row r="200" spans="1:112">
      <c r="A200" s="150" t="s">
        <v>412</v>
      </c>
      <c r="B200" s="44">
        <v>4318</v>
      </c>
      <c r="C200" s="44" t="s">
        <v>248</v>
      </c>
      <c r="D200" s="52"/>
      <c r="E200" s="52">
        <v>604229</v>
      </c>
      <c r="F200" s="52"/>
      <c r="G200" s="52"/>
      <c r="H200" s="56"/>
      <c r="I200" s="56"/>
      <c r="J200" s="56"/>
      <c r="K200" s="56"/>
      <c r="L200" s="52"/>
      <c r="M200" s="52"/>
      <c r="N200" s="52"/>
      <c r="O200" s="52">
        <v>436097</v>
      </c>
      <c r="P200" s="52">
        <v>219629</v>
      </c>
      <c r="Q200" s="52"/>
      <c r="R200" s="52"/>
      <c r="S200" s="52"/>
      <c r="T200" s="52"/>
      <c r="U200" s="52">
        <v>547732</v>
      </c>
      <c r="V200" s="52"/>
      <c r="W200" s="52"/>
      <c r="X200" s="52"/>
      <c r="Y200" s="52">
        <v>1601237</v>
      </c>
      <c r="Z200" s="52">
        <v>597745</v>
      </c>
      <c r="AA200" s="52"/>
      <c r="AB200" s="52"/>
      <c r="AC200" s="52"/>
      <c r="AD200" s="52">
        <v>212655</v>
      </c>
      <c r="AE200" s="52"/>
      <c r="AF200" s="52"/>
      <c r="AG200" s="52">
        <v>469260</v>
      </c>
      <c r="AH200" s="52">
        <v>642870</v>
      </c>
      <c r="AI200" s="52"/>
      <c r="AJ200" s="52"/>
      <c r="AK200" s="52">
        <v>628459</v>
      </c>
      <c r="AL200" s="52"/>
      <c r="AM200" s="52"/>
      <c r="AN200" s="52"/>
      <c r="AO200" s="52">
        <v>250000</v>
      </c>
      <c r="AP200" s="52"/>
      <c r="AQ200" s="52"/>
      <c r="AR200" s="52">
        <v>479255</v>
      </c>
      <c r="AS200" s="52">
        <v>461001</v>
      </c>
      <c r="AT200" s="52"/>
      <c r="AU200" s="52">
        <v>492795</v>
      </c>
      <c r="AV200" s="52"/>
      <c r="AW200" s="52"/>
      <c r="AX200" s="52"/>
      <c r="AY200" s="101"/>
      <c r="AZ200" s="52"/>
      <c r="BA200" s="52"/>
      <c r="BB200" s="52"/>
      <c r="BC200" s="52"/>
      <c r="BD200" s="52">
        <v>464458</v>
      </c>
      <c r="BE200" s="52"/>
      <c r="BF200" s="52"/>
      <c r="BG200" s="52"/>
      <c r="BH200" s="52"/>
      <c r="BI200" s="52">
        <v>342218</v>
      </c>
      <c r="BJ200" s="52"/>
      <c r="BK200" s="52">
        <v>558978</v>
      </c>
      <c r="BL200" s="52">
        <v>245192</v>
      </c>
      <c r="BM200" s="52"/>
      <c r="BN200" s="52"/>
      <c r="BO200" s="52"/>
      <c r="BP200" s="52">
        <v>1001051</v>
      </c>
      <c r="BQ200" s="52"/>
      <c r="BR200" s="52"/>
      <c r="BS200" s="52"/>
      <c r="BT200" s="52"/>
      <c r="BU200" s="52">
        <v>400359</v>
      </c>
      <c r="BV200" s="52">
        <v>425320</v>
      </c>
      <c r="BW200" s="52"/>
      <c r="BX200" s="52"/>
      <c r="BY200" s="52">
        <v>725639</v>
      </c>
      <c r="BZ200" s="52"/>
      <c r="CA200" s="52"/>
      <c r="CB200" s="52"/>
      <c r="CC200" s="52"/>
      <c r="CD200" s="52"/>
      <c r="CE200" s="52"/>
      <c r="CF200" s="52"/>
      <c r="CG200" s="52">
        <v>1100000</v>
      </c>
      <c r="CH200" s="52"/>
      <c r="CI200" s="52"/>
      <c r="CJ200" s="52"/>
      <c r="CK200" s="52"/>
      <c r="CL200" s="52"/>
      <c r="CM200" s="52"/>
      <c r="CN200" s="52"/>
      <c r="CO200" s="52"/>
      <c r="CP200" s="52">
        <v>539105</v>
      </c>
      <c r="CQ200" s="52"/>
      <c r="CR200" s="52"/>
      <c r="CS200" s="52"/>
      <c r="CT200" s="52"/>
      <c r="CU200" s="52"/>
      <c r="CV200" s="52"/>
      <c r="CW200" s="52"/>
      <c r="CX200" s="52">
        <v>500000</v>
      </c>
      <c r="CY200" s="52"/>
      <c r="CZ200" s="52"/>
      <c r="DA200" s="52"/>
      <c r="DB200" s="52"/>
      <c r="DC200" s="52"/>
      <c r="DD200" s="52"/>
      <c r="DE200" s="52">
        <v>13945284</v>
      </c>
      <c r="DF200" s="52"/>
      <c r="DG200" s="52">
        <v>13945284</v>
      </c>
      <c r="DH200" s="52"/>
    </row>
    <row r="201" spans="1:112">
      <c r="A201" s="150" t="s">
        <v>412</v>
      </c>
      <c r="B201" s="55">
        <v>4320</v>
      </c>
      <c r="C201" s="44" t="s">
        <v>249</v>
      </c>
      <c r="D201" s="52"/>
      <c r="E201" s="52"/>
      <c r="F201" s="52"/>
      <c r="G201" s="52"/>
      <c r="H201" s="56"/>
      <c r="I201" s="56"/>
      <c r="J201" s="56"/>
      <c r="K201" s="56"/>
      <c r="L201" s="52"/>
      <c r="M201" s="52"/>
      <c r="N201" s="52"/>
      <c r="O201" s="52"/>
      <c r="P201" s="52"/>
      <c r="Q201" s="52"/>
      <c r="R201" s="52"/>
      <c r="S201" s="52"/>
      <c r="T201" s="52"/>
      <c r="U201" s="52"/>
      <c r="V201" s="52"/>
      <c r="W201" s="52"/>
      <c r="X201" s="52"/>
      <c r="Y201" s="52"/>
      <c r="Z201" s="52"/>
      <c r="AA201" s="52">
        <v>164444</v>
      </c>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101">
        <v>513415</v>
      </c>
      <c r="AZ201" s="52"/>
      <c r="BA201" s="52"/>
      <c r="BB201" s="52"/>
      <c r="BC201" s="52"/>
      <c r="BD201" s="52"/>
      <c r="BE201" s="52"/>
      <c r="BF201" s="52"/>
      <c r="BG201" s="52"/>
      <c r="BH201" s="52"/>
      <c r="BI201" s="52"/>
      <c r="BJ201" s="52"/>
      <c r="BK201" s="52"/>
      <c r="BL201" s="52">
        <v>177116</v>
      </c>
      <c r="BM201" s="52"/>
      <c r="BN201" s="52"/>
      <c r="BO201" s="52"/>
      <c r="BP201" s="52"/>
      <c r="BQ201" s="52"/>
      <c r="BR201" s="52"/>
      <c r="BS201" s="52"/>
      <c r="BT201" s="52"/>
      <c r="BU201" s="52"/>
      <c r="BV201" s="52"/>
      <c r="BW201" s="52"/>
      <c r="BX201" s="52"/>
      <c r="BY201" s="52"/>
      <c r="BZ201" s="52"/>
      <c r="CA201" s="52"/>
      <c r="CB201" s="52"/>
      <c r="CC201" s="52"/>
      <c r="CD201" s="52"/>
      <c r="CE201" s="52"/>
      <c r="CF201" s="52"/>
      <c r="CG201" s="52">
        <v>131000</v>
      </c>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v>985975</v>
      </c>
      <c r="DF201" s="52"/>
      <c r="DG201" s="52">
        <v>985975</v>
      </c>
      <c r="DH201" s="52"/>
    </row>
    <row r="202" spans="1:112">
      <c r="A202" s="150" t="s">
        <v>412</v>
      </c>
      <c r="B202" s="44">
        <v>4325</v>
      </c>
      <c r="C202" s="44" t="s">
        <v>250</v>
      </c>
      <c r="D202" s="52"/>
      <c r="E202" s="52"/>
      <c r="F202" s="52"/>
      <c r="G202" s="52"/>
      <c r="H202" s="56"/>
      <c r="I202" s="56"/>
      <c r="J202" s="56"/>
      <c r="K202" s="56"/>
      <c r="L202" s="52">
        <v>203612</v>
      </c>
      <c r="M202" s="52"/>
      <c r="N202" s="52"/>
      <c r="O202" s="52"/>
      <c r="P202" s="52"/>
      <c r="Q202" s="52"/>
      <c r="R202" s="52"/>
      <c r="S202" s="52"/>
      <c r="T202" s="52"/>
      <c r="U202" s="52"/>
      <c r="V202" s="52"/>
      <c r="W202" s="52">
        <v>7141</v>
      </c>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101"/>
      <c r="AZ202" s="52"/>
      <c r="BA202" s="52"/>
      <c r="BB202" s="52"/>
      <c r="BC202" s="52"/>
      <c r="BD202" s="52"/>
      <c r="BE202" s="52"/>
      <c r="BF202" s="52"/>
      <c r="BG202" s="52"/>
      <c r="BH202" s="52"/>
      <c r="BI202" s="52"/>
      <c r="BJ202" s="52"/>
      <c r="BK202" s="52">
        <v>38800</v>
      </c>
      <c r="BL202" s="52"/>
      <c r="BM202" s="52"/>
      <c r="BN202" s="52"/>
      <c r="BO202" s="52"/>
      <c r="BP202" s="52"/>
      <c r="BQ202" s="52"/>
      <c r="BR202" s="52"/>
      <c r="BS202" s="52"/>
      <c r="BT202" s="52"/>
      <c r="BU202" s="52"/>
      <c r="BV202" s="52"/>
      <c r="BW202" s="52"/>
      <c r="BX202" s="52"/>
      <c r="BY202" s="52"/>
      <c r="BZ202" s="52"/>
      <c r="CA202" s="52"/>
      <c r="CB202" s="52"/>
      <c r="CC202" s="52"/>
      <c r="CD202" s="52">
        <v>186909</v>
      </c>
      <c r="CE202" s="52"/>
      <c r="CF202" s="52"/>
      <c r="CG202" s="52"/>
      <c r="CH202" s="52"/>
      <c r="CI202" s="52"/>
      <c r="CJ202" s="52"/>
      <c r="CK202" s="52">
        <v>60000</v>
      </c>
      <c r="CL202" s="52"/>
      <c r="CM202" s="52"/>
      <c r="CN202" s="52">
        <v>52413</v>
      </c>
      <c r="CO202" s="52"/>
      <c r="CP202" s="52"/>
      <c r="CQ202" s="52"/>
      <c r="CR202" s="52"/>
      <c r="CS202" s="52"/>
      <c r="CT202" s="52"/>
      <c r="CU202" s="52"/>
      <c r="CV202" s="52"/>
      <c r="CW202" s="52"/>
      <c r="CX202" s="52"/>
      <c r="CY202" s="52"/>
      <c r="CZ202" s="52"/>
      <c r="DA202" s="52">
        <v>19374</v>
      </c>
      <c r="DB202" s="52"/>
      <c r="DC202" s="52"/>
      <c r="DD202" s="52"/>
      <c r="DE202" s="52">
        <v>568249</v>
      </c>
      <c r="DF202" s="52"/>
      <c r="DG202" s="52">
        <v>568249</v>
      </c>
      <c r="DH202" s="52"/>
    </row>
    <row r="203" spans="1:112">
      <c r="A203" s="150" t="s">
        <v>412</v>
      </c>
      <c r="B203" s="44">
        <v>4331</v>
      </c>
      <c r="C203" s="44" t="s">
        <v>251</v>
      </c>
      <c r="D203" s="52">
        <v>8257</v>
      </c>
      <c r="E203" s="52">
        <v>136857</v>
      </c>
      <c r="F203" s="52">
        <v>11018</v>
      </c>
      <c r="G203" s="52"/>
      <c r="H203" s="56">
        <v>8127</v>
      </c>
      <c r="I203" s="56">
        <v>5710</v>
      </c>
      <c r="J203" s="56">
        <v>12077</v>
      </c>
      <c r="K203" s="56">
        <v>5979</v>
      </c>
      <c r="L203" s="52">
        <v>27024</v>
      </c>
      <c r="M203" s="52"/>
      <c r="N203" s="52"/>
      <c r="O203" s="52">
        <v>5559</v>
      </c>
      <c r="P203" s="52"/>
      <c r="Q203" s="52">
        <v>5111</v>
      </c>
      <c r="R203" s="52">
        <v>157896</v>
      </c>
      <c r="S203" s="52">
        <v>16403</v>
      </c>
      <c r="T203" s="52"/>
      <c r="U203" s="52">
        <v>59696</v>
      </c>
      <c r="V203" s="52"/>
      <c r="W203" s="52">
        <v>51295</v>
      </c>
      <c r="X203" s="52">
        <v>6320</v>
      </c>
      <c r="Y203" s="52">
        <v>141130</v>
      </c>
      <c r="Z203" s="52">
        <v>22132</v>
      </c>
      <c r="AA203" s="52">
        <v>28952</v>
      </c>
      <c r="AB203" s="52">
        <v>233701</v>
      </c>
      <c r="AC203" s="52">
        <v>22457</v>
      </c>
      <c r="AD203" s="52">
        <v>12421</v>
      </c>
      <c r="AE203" s="52">
        <v>1780</v>
      </c>
      <c r="AF203" s="52"/>
      <c r="AG203" s="52">
        <v>27208</v>
      </c>
      <c r="AH203" s="52">
        <v>40106</v>
      </c>
      <c r="AI203" s="52"/>
      <c r="AJ203" s="52">
        <v>131243</v>
      </c>
      <c r="AK203" s="52">
        <v>15377</v>
      </c>
      <c r="AL203" s="52">
        <v>5008</v>
      </c>
      <c r="AM203" s="52"/>
      <c r="AN203" s="52">
        <v>29867</v>
      </c>
      <c r="AO203" s="52">
        <v>10456</v>
      </c>
      <c r="AP203" s="52"/>
      <c r="AQ203" s="52">
        <v>4487</v>
      </c>
      <c r="AR203" s="52">
        <v>10605</v>
      </c>
      <c r="AS203" s="52">
        <v>25037</v>
      </c>
      <c r="AT203" s="52">
        <v>3072</v>
      </c>
      <c r="AU203" s="52">
        <v>68914</v>
      </c>
      <c r="AV203" s="52">
        <v>3249</v>
      </c>
      <c r="AW203" s="52">
        <v>3072</v>
      </c>
      <c r="AX203" s="52">
        <v>37308</v>
      </c>
      <c r="AY203" s="101">
        <v>182657</v>
      </c>
      <c r="AZ203" s="52">
        <v>93073</v>
      </c>
      <c r="BA203" s="52">
        <v>2613</v>
      </c>
      <c r="BB203" s="52">
        <v>3730</v>
      </c>
      <c r="BC203" s="52"/>
      <c r="BD203" s="52">
        <v>6109</v>
      </c>
      <c r="BE203" s="52">
        <v>19758</v>
      </c>
      <c r="BF203" s="52">
        <v>88785</v>
      </c>
      <c r="BG203" s="52">
        <v>29375</v>
      </c>
      <c r="BH203" s="52">
        <v>18822</v>
      </c>
      <c r="BI203" s="52">
        <v>25899</v>
      </c>
      <c r="BJ203" s="52">
        <v>18072</v>
      </c>
      <c r="BK203" s="52">
        <v>16717</v>
      </c>
      <c r="BL203" s="52">
        <v>60130</v>
      </c>
      <c r="BM203" s="52">
        <v>24190</v>
      </c>
      <c r="BN203" s="52">
        <v>13682</v>
      </c>
      <c r="BO203" s="52">
        <v>5797</v>
      </c>
      <c r="BP203" s="52">
        <v>139947</v>
      </c>
      <c r="BQ203" s="52">
        <v>4150</v>
      </c>
      <c r="BR203" s="52">
        <v>3949</v>
      </c>
      <c r="BS203" s="52"/>
      <c r="BT203" s="52">
        <v>12198</v>
      </c>
      <c r="BU203" s="52">
        <v>7135</v>
      </c>
      <c r="BV203" s="52">
        <v>135125</v>
      </c>
      <c r="BW203" s="52"/>
      <c r="BX203" s="52">
        <v>18200</v>
      </c>
      <c r="BY203" s="52">
        <v>17745</v>
      </c>
      <c r="BZ203" s="52">
        <v>58020</v>
      </c>
      <c r="CA203" s="52"/>
      <c r="CB203" s="52">
        <v>7277</v>
      </c>
      <c r="CC203" s="52">
        <v>11083</v>
      </c>
      <c r="CD203" s="52">
        <v>19973</v>
      </c>
      <c r="CE203" s="52"/>
      <c r="CF203" s="52">
        <v>28839</v>
      </c>
      <c r="CG203" s="52">
        <v>275124</v>
      </c>
      <c r="CH203" s="52">
        <v>14680</v>
      </c>
      <c r="CI203" s="52">
        <v>5366</v>
      </c>
      <c r="CJ203" s="52">
        <v>2877</v>
      </c>
      <c r="CK203" s="52"/>
      <c r="CL203" s="52">
        <v>4500</v>
      </c>
      <c r="CM203" s="52">
        <v>3768</v>
      </c>
      <c r="CN203" s="52">
        <v>13500</v>
      </c>
      <c r="CO203" s="52">
        <v>12043</v>
      </c>
      <c r="CP203" s="52">
        <v>15827</v>
      </c>
      <c r="CQ203" s="52"/>
      <c r="CR203" s="52"/>
      <c r="CS203" s="52"/>
      <c r="CT203" s="52">
        <v>34754</v>
      </c>
      <c r="CU203" s="52">
        <v>6308</v>
      </c>
      <c r="CV203" s="52"/>
      <c r="CW203" s="52">
        <v>19214</v>
      </c>
      <c r="CX203" s="52">
        <v>27545</v>
      </c>
      <c r="CY203" s="52">
        <v>26438</v>
      </c>
      <c r="CZ203" s="52">
        <v>4990</v>
      </c>
      <c r="DA203" s="52">
        <v>33830</v>
      </c>
      <c r="DB203" s="52">
        <v>13935</v>
      </c>
      <c r="DC203" s="52"/>
      <c r="DD203" s="52"/>
      <c r="DE203" s="52">
        <v>2982660</v>
      </c>
      <c r="DF203" s="52"/>
      <c r="DG203" s="52">
        <v>2982660</v>
      </c>
      <c r="DH203" s="52"/>
    </row>
    <row r="204" spans="1:112">
      <c r="A204" s="150" t="s">
        <v>412</v>
      </c>
      <c r="B204" s="44">
        <v>4340</v>
      </c>
      <c r="C204" s="44" t="s">
        <v>252</v>
      </c>
      <c r="D204" s="52">
        <v>7411</v>
      </c>
      <c r="E204" s="52">
        <v>41994</v>
      </c>
      <c r="F204" s="52">
        <v>3935</v>
      </c>
      <c r="G204" s="52"/>
      <c r="H204" s="56">
        <v>11509</v>
      </c>
      <c r="I204" s="56">
        <v>4158</v>
      </c>
      <c r="J204" s="56">
        <v>2962</v>
      </c>
      <c r="K204" s="56">
        <v>3864</v>
      </c>
      <c r="L204" s="52">
        <v>31833</v>
      </c>
      <c r="M204" s="52"/>
      <c r="N204" s="52"/>
      <c r="O204" s="52">
        <v>4774</v>
      </c>
      <c r="P204" s="52">
        <v>3926</v>
      </c>
      <c r="Q204" s="52">
        <v>2329</v>
      </c>
      <c r="R204" s="52">
        <v>1142</v>
      </c>
      <c r="S204" s="52">
        <v>2959</v>
      </c>
      <c r="T204" s="52"/>
      <c r="U204" s="52">
        <v>56164</v>
      </c>
      <c r="V204" s="52"/>
      <c r="W204" s="52">
        <v>4973</v>
      </c>
      <c r="X204" s="52">
        <v>3805</v>
      </c>
      <c r="Y204" s="52">
        <v>70089</v>
      </c>
      <c r="Z204" s="52">
        <v>17569</v>
      </c>
      <c r="AA204" s="52">
        <v>12513</v>
      </c>
      <c r="AB204" s="52">
        <v>16792</v>
      </c>
      <c r="AC204" s="52">
        <v>7233</v>
      </c>
      <c r="AD204" s="52">
        <v>9281</v>
      </c>
      <c r="AE204" s="52">
        <v>3113</v>
      </c>
      <c r="AF204" s="52"/>
      <c r="AG204" s="52">
        <v>21664</v>
      </c>
      <c r="AH204" s="52">
        <v>24560</v>
      </c>
      <c r="AI204" s="52"/>
      <c r="AJ204" s="52">
        <v>4931</v>
      </c>
      <c r="AK204" s="52">
        <v>5647</v>
      </c>
      <c r="AL204" s="52">
        <v>2715</v>
      </c>
      <c r="AM204" s="52"/>
      <c r="AN204" s="52">
        <v>26620</v>
      </c>
      <c r="AO204" s="52">
        <v>6231</v>
      </c>
      <c r="AP204" s="52"/>
      <c r="AQ204" s="52">
        <v>1751</v>
      </c>
      <c r="AR204" s="52"/>
      <c r="AS204" s="52">
        <v>26327</v>
      </c>
      <c r="AT204" s="52">
        <v>2012</v>
      </c>
      <c r="AU204" s="52">
        <v>30042</v>
      </c>
      <c r="AV204" s="52">
        <v>2817</v>
      </c>
      <c r="AW204" s="52">
        <v>1640</v>
      </c>
      <c r="AX204" s="52">
        <v>20490</v>
      </c>
      <c r="AY204" s="101">
        <v>139554</v>
      </c>
      <c r="AZ204" s="52">
        <v>30712</v>
      </c>
      <c r="BA204" s="52">
        <v>1940</v>
      </c>
      <c r="BB204" s="52">
        <v>1843</v>
      </c>
      <c r="BC204" s="52"/>
      <c r="BD204" s="52">
        <v>3008</v>
      </c>
      <c r="BE204" s="52">
        <v>29050</v>
      </c>
      <c r="BF204" s="52">
        <v>66118</v>
      </c>
      <c r="BG204" s="52">
        <v>6063</v>
      </c>
      <c r="BH204" s="52">
        <v>28157</v>
      </c>
      <c r="BI204" s="52">
        <v>17109</v>
      </c>
      <c r="BJ204" s="52">
        <v>11614</v>
      </c>
      <c r="BK204" s="52">
        <v>7244</v>
      </c>
      <c r="BL204" s="52">
        <v>7026</v>
      </c>
      <c r="BM204" s="52">
        <v>26082</v>
      </c>
      <c r="BN204" s="52">
        <v>15682</v>
      </c>
      <c r="BO204" s="52">
        <v>3552</v>
      </c>
      <c r="BP204" s="52">
        <v>8290</v>
      </c>
      <c r="BQ204" s="52">
        <v>18870</v>
      </c>
      <c r="BR204" s="52">
        <v>2969</v>
      </c>
      <c r="BS204" s="52"/>
      <c r="BT204" s="52">
        <v>6372</v>
      </c>
      <c r="BU204" s="52">
        <v>6254</v>
      </c>
      <c r="BV204" s="52">
        <v>2629</v>
      </c>
      <c r="BW204" s="52"/>
      <c r="BX204" s="52">
        <v>28293</v>
      </c>
      <c r="BY204" s="52">
        <v>11761</v>
      </c>
      <c r="BZ204" s="52">
        <v>19636</v>
      </c>
      <c r="CA204" s="52"/>
      <c r="CB204" s="52">
        <v>10320</v>
      </c>
      <c r="CC204" s="52">
        <v>9572</v>
      </c>
      <c r="CD204" s="52">
        <v>13154</v>
      </c>
      <c r="CE204" s="52"/>
      <c r="CF204" s="52">
        <v>28420</v>
      </c>
      <c r="CG204" s="52">
        <v>20016</v>
      </c>
      <c r="CH204" s="52">
        <v>58310</v>
      </c>
      <c r="CI204" s="52">
        <v>4207</v>
      </c>
      <c r="CJ204" s="52">
        <v>6464</v>
      </c>
      <c r="CK204" s="52">
        <v>9769</v>
      </c>
      <c r="CL204" s="52"/>
      <c r="CM204" s="52">
        <v>3224</v>
      </c>
      <c r="CN204" s="52">
        <v>7996</v>
      </c>
      <c r="CO204" s="52">
        <v>13436</v>
      </c>
      <c r="CP204" s="52">
        <v>18458</v>
      </c>
      <c r="CQ204" s="52"/>
      <c r="CR204" s="52"/>
      <c r="CS204" s="52"/>
      <c r="CT204" s="52">
        <v>37014</v>
      </c>
      <c r="CU204" s="52">
        <v>16825</v>
      </c>
      <c r="CV204" s="52"/>
      <c r="CW204" s="52">
        <v>8605</v>
      </c>
      <c r="CX204" s="52">
        <v>14872</v>
      </c>
      <c r="CY204" s="52">
        <v>11531</v>
      </c>
      <c r="CZ204" s="52">
        <v>6262</v>
      </c>
      <c r="DA204" s="52">
        <v>26221</v>
      </c>
      <c r="DB204" s="52">
        <v>9638</v>
      </c>
      <c r="DC204" s="52">
        <v>4896</v>
      </c>
      <c r="DD204" s="52">
        <v>1694</v>
      </c>
      <c r="DE204" s="52">
        <v>1335917</v>
      </c>
      <c r="DF204" s="52">
        <v>6590</v>
      </c>
      <c r="DG204" s="52">
        <v>1342507</v>
      </c>
      <c r="DH204" s="52"/>
    </row>
    <row r="205" spans="1:112">
      <c r="A205" s="150" t="s">
        <v>412</v>
      </c>
      <c r="B205" s="44">
        <v>4341</v>
      </c>
      <c r="C205" s="44" t="s">
        <v>253</v>
      </c>
      <c r="D205" s="52">
        <v>7626</v>
      </c>
      <c r="E205" s="52">
        <v>59599</v>
      </c>
      <c r="F205" s="52">
        <v>15839</v>
      </c>
      <c r="G205" s="52"/>
      <c r="H205" s="56">
        <v>22530</v>
      </c>
      <c r="I205" s="56">
        <v>2664</v>
      </c>
      <c r="J205" s="56">
        <v>1229</v>
      </c>
      <c r="K205" s="56"/>
      <c r="L205" s="52">
        <v>45744</v>
      </c>
      <c r="M205" s="52"/>
      <c r="N205" s="52"/>
      <c r="O205" s="52"/>
      <c r="P205" s="52"/>
      <c r="Q205" s="52"/>
      <c r="R205" s="52"/>
      <c r="S205" s="52"/>
      <c r="T205" s="52"/>
      <c r="U205" s="52">
        <v>206335</v>
      </c>
      <c r="V205" s="52"/>
      <c r="W205" s="52">
        <v>47672</v>
      </c>
      <c r="X205" s="52"/>
      <c r="Y205" s="52">
        <v>147545</v>
      </c>
      <c r="Z205" s="52">
        <v>23328</v>
      </c>
      <c r="AA205" s="52">
        <v>2843</v>
      </c>
      <c r="AB205" s="52">
        <v>14018</v>
      </c>
      <c r="AC205" s="52"/>
      <c r="AD205" s="52">
        <v>510</v>
      </c>
      <c r="AE205" s="52"/>
      <c r="AF205" s="52"/>
      <c r="AG205" s="52"/>
      <c r="AH205" s="52"/>
      <c r="AI205" s="52"/>
      <c r="AJ205" s="52"/>
      <c r="AK205" s="52"/>
      <c r="AL205" s="52"/>
      <c r="AM205" s="52"/>
      <c r="AN205" s="52">
        <v>24662</v>
      </c>
      <c r="AO205" s="52"/>
      <c r="AP205" s="52"/>
      <c r="AQ205" s="52"/>
      <c r="AR205" s="52">
        <v>2354</v>
      </c>
      <c r="AS205" s="52">
        <v>26929</v>
      </c>
      <c r="AT205" s="52"/>
      <c r="AU205" s="52"/>
      <c r="AV205" s="52"/>
      <c r="AW205" s="52"/>
      <c r="AX205" s="52">
        <v>20440</v>
      </c>
      <c r="AY205" s="101">
        <v>320156</v>
      </c>
      <c r="AZ205" s="52">
        <v>62327</v>
      </c>
      <c r="BA205" s="52"/>
      <c r="BB205" s="52"/>
      <c r="BC205" s="52"/>
      <c r="BD205" s="52"/>
      <c r="BE205" s="52"/>
      <c r="BF205" s="52">
        <v>145067</v>
      </c>
      <c r="BG205" s="52">
        <v>61561</v>
      </c>
      <c r="BH205" s="52">
        <v>21603</v>
      </c>
      <c r="BI205" s="52">
        <v>29785</v>
      </c>
      <c r="BJ205" s="52">
        <v>22296</v>
      </c>
      <c r="BK205" s="52"/>
      <c r="BL205" s="52"/>
      <c r="BM205" s="52">
        <v>34740</v>
      </c>
      <c r="BN205" s="52">
        <v>44082</v>
      </c>
      <c r="BO205" s="52"/>
      <c r="BP205" s="52"/>
      <c r="BQ205" s="52">
        <v>28353</v>
      </c>
      <c r="BR205" s="52"/>
      <c r="BS205" s="52"/>
      <c r="BT205" s="52"/>
      <c r="BU205" s="52"/>
      <c r="BV205" s="52">
        <v>18020</v>
      </c>
      <c r="BW205" s="52"/>
      <c r="BX205" s="52"/>
      <c r="BY205" s="52">
        <v>44181</v>
      </c>
      <c r="BZ205" s="52">
        <v>43724</v>
      </c>
      <c r="CA205" s="52"/>
      <c r="CB205" s="52"/>
      <c r="CC205" s="52"/>
      <c r="CD205" s="52">
        <v>20215</v>
      </c>
      <c r="CE205" s="52"/>
      <c r="CF205" s="52">
        <v>46354</v>
      </c>
      <c r="CG205" s="52">
        <v>30152</v>
      </c>
      <c r="CH205" s="52">
        <v>98823</v>
      </c>
      <c r="CI205" s="52">
        <v>20740</v>
      </c>
      <c r="CJ205" s="52">
        <v>27350</v>
      </c>
      <c r="CK205" s="52">
        <v>77751</v>
      </c>
      <c r="CL205" s="52">
        <v>7881</v>
      </c>
      <c r="CM205" s="52"/>
      <c r="CN205" s="52">
        <v>21921</v>
      </c>
      <c r="CO205" s="52">
        <v>60270</v>
      </c>
      <c r="CP205" s="52">
        <v>41366</v>
      </c>
      <c r="CQ205" s="52"/>
      <c r="CR205" s="52"/>
      <c r="CS205" s="52"/>
      <c r="CT205" s="52">
        <v>25006</v>
      </c>
      <c r="CU205" s="52"/>
      <c r="CV205" s="52"/>
      <c r="CW205" s="52"/>
      <c r="CX205" s="52"/>
      <c r="CY205" s="52">
        <v>12561</v>
      </c>
      <c r="CZ205" s="52">
        <v>12731</v>
      </c>
      <c r="DA205" s="52">
        <v>78459</v>
      </c>
      <c r="DB205" s="52">
        <v>6961</v>
      </c>
      <c r="DC205" s="52"/>
      <c r="DD205" s="52"/>
      <c r="DE205" s="52">
        <v>2136303</v>
      </c>
      <c r="DF205" s="52"/>
      <c r="DG205" s="52">
        <v>2136303</v>
      </c>
      <c r="DH205" s="52"/>
    </row>
    <row r="206" spans="1:112">
      <c r="A206" s="150" t="s">
        <v>412</v>
      </c>
      <c r="B206" s="44">
        <v>4342</v>
      </c>
      <c r="C206" s="44" t="s">
        <v>254</v>
      </c>
      <c r="D206" s="52"/>
      <c r="E206" s="52"/>
      <c r="F206" s="52"/>
      <c r="G206" s="52"/>
      <c r="H206" s="56"/>
      <c r="I206" s="56"/>
      <c r="J206" s="56"/>
      <c r="K206" s="56"/>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v>34523</v>
      </c>
      <c r="AI206" s="52"/>
      <c r="AJ206" s="52"/>
      <c r="AK206" s="52"/>
      <c r="AL206" s="52"/>
      <c r="AM206" s="52"/>
      <c r="AN206" s="52"/>
      <c r="AO206" s="52"/>
      <c r="AP206" s="52"/>
      <c r="AQ206" s="52"/>
      <c r="AR206" s="52"/>
      <c r="AS206" s="52"/>
      <c r="AT206" s="52"/>
      <c r="AU206" s="52">
        <v>346829</v>
      </c>
      <c r="AV206" s="52"/>
      <c r="AW206" s="52"/>
      <c r="AX206" s="52">
        <v>132948</v>
      </c>
      <c r="AY206" s="101"/>
      <c r="AZ206" s="52"/>
      <c r="BA206" s="52"/>
      <c r="BB206" s="52"/>
      <c r="BC206" s="52"/>
      <c r="BD206" s="52"/>
      <c r="BE206" s="52"/>
      <c r="BF206" s="52"/>
      <c r="BG206" s="52"/>
      <c r="BH206" s="52"/>
      <c r="BI206" s="52"/>
      <c r="BJ206" s="52"/>
      <c r="BK206" s="52">
        <v>125372</v>
      </c>
      <c r="BL206" s="52"/>
      <c r="BM206" s="52"/>
      <c r="BN206" s="52"/>
      <c r="BO206" s="52"/>
      <c r="BP206" s="52"/>
      <c r="BQ206" s="52"/>
      <c r="BR206" s="52"/>
      <c r="BS206" s="52"/>
      <c r="BT206" s="52"/>
      <c r="BU206" s="52"/>
      <c r="BV206" s="52"/>
      <c r="BW206" s="52"/>
      <c r="BX206" s="52">
        <v>490213</v>
      </c>
      <c r="BY206" s="52"/>
      <c r="BZ206" s="52"/>
      <c r="CA206" s="52"/>
      <c r="CB206" s="52"/>
      <c r="CC206" s="52"/>
      <c r="CD206" s="52"/>
      <c r="CE206" s="52"/>
      <c r="CF206" s="52"/>
      <c r="CG206" s="52"/>
      <c r="CH206" s="52"/>
      <c r="CI206" s="52"/>
      <c r="CJ206" s="52"/>
      <c r="CK206" s="52"/>
      <c r="CL206" s="52"/>
      <c r="CM206" s="52"/>
      <c r="CN206" s="52"/>
      <c r="CO206" s="52"/>
      <c r="CP206" s="52">
        <v>819591</v>
      </c>
      <c r="CQ206" s="52"/>
      <c r="CR206" s="52"/>
      <c r="CS206" s="52"/>
      <c r="CT206" s="52"/>
      <c r="CU206" s="52"/>
      <c r="CV206" s="52"/>
      <c r="CW206" s="52"/>
      <c r="CX206" s="52"/>
      <c r="CY206" s="52"/>
      <c r="CZ206" s="52"/>
      <c r="DA206" s="52"/>
      <c r="DB206" s="52"/>
      <c r="DC206" s="52"/>
      <c r="DD206" s="52"/>
      <c r="DE206" s="52">
        <v>1949476</v>
      </c>
      <c r="DF206" s="52"/>
      <c r="DG206" s="52">
        <v>1949476</v>
      </c>
      <c r="DH206" s="52"/>
    </row>
    <row r="207" spans="1:112">
      <c r="A207" s="150" t="s">
        <v>412</v>
      </c>
      <c r="B207" s="44">
        <v>4351</v>
      </c>
      <c r="C207" s="44" t="s">
        <v>255</v>
      </c>
      <c r="D207" s="52">
        <v>199450</v>
      </c>
      <c r="E207" s="52">
        <v>1290642</v>
      </c>
      <c r="F207" s="52">
        <v>169097</v>
      </c>
      <c r="G207" s="52"/>
      <c r="H207" s="56">
        <v>256043</v>
      </c>
      <c r="I207" s="56">
        <v>140829</v>
      </c>
      <c r="J207" s="56">
        <v>104791</v>
      </c>
      <c r="K207" s="56">
        <v>121806</v>
      </c>
      <c r="L207" s="52">
        <v>720966</v>
      </c>
      <c r="M207" s="52"/>
      <c r="N207" s="52"/>
      <c r="O207" s="52">
        <v>139323</v>
      </c>
      <c r="P207" s="52">
        <v>111936</v>
      </c>
      <c r="Q207" s="52">
        <v>84528</v>
      </c>
      <c r="R207" s="52">
        <v>57322</v>
      </c>
      <c r="S207" s="52">
        <v>167504</v>
      </c>
      <c r="T207" s="52"/>
      <c r="U207" s="52">
        <v>767725</v>
      </c>
      <c r="V207" s="52"/>
      <c r="W207" s="52">
        <v>1263167</v>
      </c>
      <c r="X207" s="52">
        <v>148900</v>
      </c>
      <c r="Y207" s="52">
        <v>2915065</v>
      </c>
      <c r="Z207" s="52">
        <v>392954</v>
      </c>
      <c r="AA207" s="52">
        <v>428214</v>
      </c>
      <c r="AB207" s="52">
        <v>447250</v>
      </c>
      <c r="AC207" s="52">
        <v>7862</v>
      </c>
      <c r="AD207" s="52">
        <v>275376</v>
      </c>
      <c r="AE207" s="52">
        <v>76387</v>
      </c>
      <c r="AF207" s="52"/>
      <c r="AG207" s="52">
        <v>554952</v>
      </c>
      <c r="AH207" s="52">
        <v>941982</v>
      </c>
      <c r="AI207" s="52"/>
      <c r="AJ207" s="52">
        <v>63895</v>
      </c>
      <c r="AK207" s="52">
        <v>325190</v>
      </c>
      <c r="AL207" s="52">
        <v>125402</v>
      </c>
      <c r="AM207" s="52"/>
      <c r="AN207" s="52">
        <v>544383</v>
      </c>
      <c r="AO207" s="52">
        <v>178953</v>
      </c>
      <c r="AP207" s="52"/>
      <c r="AQ207" s="52">
        <v>125717</v>
      </c>
      <c r="AR207" s="52">
        <v>272910</v>
      </c>
      <c r="AS207" s="52">
        <v>828543</v>
      </c>
      <c r="AT207" s="52">
        <v>76551</v>
      </c>
      <c r="AU207" s="52">
        <v>396790</v>
      </c>
      <c r="AV207" s="52">
        <v>90956</v>
      </c>
      <c r="AW207" s="52">
        <v>80279</v>
      </c>
      <c r="AX207" s="52">
        <v>665557</v>
      </c>
      <c r="AY207" s="101">
        <v>2685119</v>
      </c>
      <c r="AZ207" s="52">
        <v>471677</v>
      </c>
      <c r="BA207" s="52">
        <v>44677</v>
      </c>
      <c r="BB207" s="52">
        <v>53008</v>
      </c>
      <c r="BC207" s="52"/>
      <c r="BD207" s="52">
        <v>174958</v>
      </c>
      <c r="BE207" s="52">
        <v>151468</v>
      </c>
      <c r="BF207" s="52">
        <v>1685153</v>
      </c>
      <c r="BG207" s="52">
        <v>197413</v>
      </c>
      <c r="BH207" s="52">
        <v>303772</v>
      </c>
      <c r="BI207" s="52">
        <v>548330</v>
      </c>
      <c r="BJ207" s="52">
        <v>291737</v>
      </c>
      <c r="BK207" s="52">
        <v>325235</v>
      </c>
      <c r="BL207" s="52">
        <v>232431</v>
      </c>
      <c r="BM207" s="52">
        <v>508399</v>
      </c>
      <c r="BN207" s="52">
        <v>438259</v>
      </c>
      <c r="BO207" s="52">
        <v>122451</v>
      </c>
      <c r="BP207" s="52">
        <v>128061</v>
      </c>
      <c r="BQ207" s="52">
        <v>301533</v>
      </c>
      <c r="BR207" s="52">
        <v>89187</v>
      </c>
      <c r="BS207" s="52"/>
      <c r="BT207" s="52">
        <v>269646</v>
      </c>
      <c r="BU207" s="52">
        <v>210696</v>
      </c>
      <c r="BV207" s="52">
        <v>95100</v>
      </c>
      <c r="BW207" s="52"/>
      <c r="BX207" s="52">
        <v>484691</v>
      </c>
      <c r="BY207" s="52">
        <v>291108</v>
      </c>
      <c r="BZ207" s="52">
        <v>358668</v>
      </c>
      <c r="CA207" s="52"/>
      <c r="CB207" s="52">
        <v>384956</v>
      </c>
      <c r="CC207" s="52">
        <v>241133</v>
      </c>
      <c r="CD207" s="52">
        <v>624861</v>
      </c>
      <c r="CE207" s="52"/>
      <c r="CF207" s="52">
        <v>598418</v>
      </c>
      <c r="CG207" s="52">
        <v>2480402</v>
      </c>
      <c r="CH207" s="52">
        <v>527739</v>
      </c>
      <c r="CI207" s="52">
        <v>156234</v>
      </c>
      <c r="CJ207" s="52">
        <v>146873</v>
      </c>
      <c r="CK207" s="52">
        <v>240040</v>
      </c>
      <c r="CL207" s="52">
        <v>146016</v>
      </c>
      <c r="CM207" s="52">
        <v>136139</v>
      </c>
      <c r="CN207" s="52">
        <v>236778</v>
      </c>
      <c r="CO207" s="52">
        <v>287697</v>
      </c>
      <c r="CP207" s="52">
        <v>640469</v>
      </c>
      <c r="CQ207" s="52"/>
      <c r="CR207" s="52"/>
      <c r="CS207" s="52"/>
      <c r="CT207" s="52">
        <v>565596</v>
      </c>
      <c r="CU207" s="52">
        <v>604768</v>
      </c>
      <c r="CV207" s="52"/>
      <c r="CW207" s="52">
        <v>268554</v>
      </c>
      <c r="CX207" s="52">
        <v>834689</v>
      </c>
      <c r="CY207" s="52">
        <v>227418</v>
      </c>
      <c r="CZ207" s="52">
        <v>130710</v>
      </c>
      <c r="DA207" s="52">
        <v>580168</v>
      </c>
      <c r="DB207" s="52">
        <v>147182</v>
      </c>
      <c r="DC207" s="52">
        <v>24100</v>
      </c>
      <c r="DD207" s="52">
        <v>50068</v>
      </c>
      <c r="DE207" s="52">
        <v>36228814</v>
      </c>
      <c r="DF207" s="52">
        <v>74168</v>
      </c>
      <c r="DG207" s="52">
        <v>36302982</v>
      </c>
      <c r="DH207" s="52"/>
    </row>
    <row r="208" spans="1:112">
      <c r="A208" s="150" t="s">
        <v>412</v>
      </c>
      <c r="B208" s="44">
        <v>4360</v>
      </c>
      <c r="C208" s="44" t="s">
        <v>256</v>
      </c>
      <c r="D208" s="52"/>
      <c r="E208" s="52"/>
      <c r="F208" s="52">
        <v>81839</v>
      </c>
      <c r="G208" s="52"/>
      <c r="H208" s="56">
        <v>34275</v>
      </c>
      <c r="I208" s="56"/>
      <c r="J208" s="56"/>
      <c r="K208" s="56">
        <v>94733</v>
      </c>
      <c r="L208" s="52"/>
      <c r="M208" s="52"/>
      <c r="N208" s="52"/>
      <c r="O208" s="52"/>
      <c r="P208" s="52"/>
      <c r="Q208" s="52"/>
      <c r="R208" s="52"/>
      <c r="S208" s="52"/>
      <c r="T208" s="52"/>
      <c r="U208" s="52"/>
      <c r="V208" s="52"/>
      <c r="W208" s="52">
        <v>85119</v>
      </c>
      <c r="X208" s="52"/>
      <c r="Y208" s="52"/>
      <c r="Z208" s="52"/>
      <c r="AA208" s="52"/>
      <c r="AB208" s="52"/>
      <c r="AC208" s="52"/>
      <c r="AD208" s="52"/>
      <c r="AE208" s="52"/>
      <c r="AF208" s="52"/>
      <c r="AG208" s="52"/>
      <c r="AH208" s="52"/>
      <c r="AI208" s="52"/>
      <c r="AJ208" s="52"/>
      <c r="AK208" s="52"/>
      <c r="AL208" s="52"/>
      <c r="AM208" s="52"/>
      <c r="AN208" s="52"/>
      <c r="AO208" s="52"/>
      <c r="AP208" s="52"/>
      <c r="AQ208" s="52">
        <v>82610</v>
      </c>
      <c r="AR208" s="52"/>
      <c r="AS208" s="52">
        <v>90000</v>
      </c>
      <c r="AT208" s="52"/>
      <c r="AU208" s="52">
        <v>90000</v>
      </c>
      <c r="AV208" s="52"/>
      <c r="AW208" s="52"/>
      <c r="AX208" s="52">
        <v>90000</v>
      </c>
      <c r="AY208" s="101">
        <v>90000</v>
      </c>
      <c r="AZ208" s="52">
        <v>90000</v>
      </c>
      <c r="BA208" s="52"/>
      <c r="BB208" s="52"/>
      <c r="BC208" s="52"/>
      <c r="BD208" s="52"/>
      <c r="BE208" s="52"/>
      <c r="BF208" s="52"/>
      <c r="BG208" s="52"/>
      <c r="BH208" s="52"/>
      <c r="BI208" s="52"/>
      <c r="BJ208" s="52"/>
      <c r="BK208" s="52"/>
      <c r="BL208" s="52">
        <v>79591</v>
      </c>
      <c r="BM208" s="52"/>
      <c r="BN208" s="52"/>
      <c r="BO208" s="52"/>
      <c r="BP208" s="52"/>
      <c r="BQ208" s="52"/>
      <c r="BR208" s="52">
        <v>87912</v>
      </c>
      <c r="BS208" s="52"/>
      <c r="BT208" s="52"/>
      <c r="BU208" s="52"/>
      <c r="BV208" s="52"/>
      <c r="BW208" s="52"/>
      <c r="BX208" s="52"/>
      <c r="BY208" s="52"/>
      <c r="BZ208" s="52">
        <v>81682</v>
      </c>
      <c r="CA208" s="52"/>
      <c r="CB208" s="52"/>
      <c r="CC208" s="52"/>
      <c r="CD208" s="52"/>
      <c r="CE208" s="52"/>
      <c r="CF208" s="52">
        <v>90000</v>
      </c>
      <c r="CG208" s="52"/>
      <c r="CH208" s="52"/>
      <c r="CI208" s="52"/>
      <c r="CJ208" s="52"/>
      <c r="CK208" s="52"/>
      <c r="CL208" s="52"/>
      <c r="CM208" s="52"/>
      <c r="CN208" s="52">
        <v>90000</v>
      </c>
      <c r="CO208" s="52"/>
      <c r="CP208" s="52">
        <v>88250</v>
      </c>
      <c r="CQ208" s="52"/>
      <c r="CR208" s="52"/>
      <c r="CS208" s="52"/>
      <c r="CT208" s="52"/>
      <c r="CU208" s="52"/>
      <c r="CV208" s="52"/>
      <c r="CW208" s="52"/>
      <c r="CX208" s="52"/>
      <c r="CY208" s="52"/>
      <c r="CZ208" s="52"/>
      <c r="DA208" s="52"/>
      <c r="DB208" s="52"/>
      <c r="DC208" s="52"/>
      <c r="DD208" s="52"/>
      <c r="DE208" s="52">
        <v>1346011</v>
      </c>
      <c r="DF208" s="52"/>
      <c r="DG208" s="52">
        <v>1346011</v>
      </c>
      <c r="DH208" s="52"/>
    </row>
    <row r="209" spans="1:112">
      <c r="A209" s="150" t="s">
        <v>412</v>
      </c>
      <c r="B209" s="44">
        <v>4370</v>
      </c>
      <c r="C209" s="44" t="s">
        <v>257</v>
      </c>
      <c r="D209" s="52"/>
      <c r="E209" s="52">
        <v>64792</v>
      </c>
      <c r="F209" s="52"/>
      <c r="G209" s="52"/>
      <c r="H209" s="56"/>
      <c r="I209" s="56"/>
      <c r="J209" s="56"/>
      <c r="K209" s="56"/>
      <c r="L209" s="52"/>
      <c r="M209" s="52"/>
      <c r="N209" s="52"/>
      <c r="O209" s="52"/>
      <c r="P209" s="52"/>
      <c r="Q209" s="52"/>
      <c r="R209" s="52"/>
      <c r="S209" s="52">
        <v>41336</v>
      </c>
      <c r="T209" s="52"/>
      <c r="U209" s="52">
        <v>3961</v>
      </c>
      <c r="V209" s="52"/>
      <c r="W209" s="52"/>
      <c r="X209" s="52"/>
      <c r="Y209" s="52">
        <v>656027</v>
      </c>
      <c r="Z209" s="52"/>
      <c r="AA209" s="52"/>
      <c r="AB209" s="52"/>
      <c r="AC209" s="52">
        <v>1419</v>
      </c>
      <c r="AD209" s="52"/>
      <c r="AE209" s="52"/>
      <c r="AF209" s="52"/>
      <c r="AG209" s="52">
        <v>12192</v>
      </c>
      <c r="AH209" s="52">
        <v>4106</v>
      </c>
      <c r="AI209" s="52"/>
      <c r="AJ209" s="52"/>
      <c r="AK209" s="52"/>
      <c r="AL209" s="52"/>
      <c r="AM209" s="52"/>
      <c r="AN209" s="52"/>
      <c r="AO209" s="52">
        <v>57857</v>
      </c>
      <c r="AP209" s="52"/>
      <c r="AQ209" s="52"/>
      <c r="AR209" s="52"/>
      <c r="AS209" s="52"/>
      <c r="AT209" s="52"/>
      <c r="AU209" s="52"/>
      <c r="AV209" s="52"/>
      <c r="AW209" s="52"/>
      <c r="AX209" s="52"/>
      <c r="AY209" s="101">
        <v>47484</v>
      </c>
      <c r="AZ209" s="52"/>
      <c r="BA209" s="52"/>
      <c r="BB209" s="52"/>
      <c r="BC209" s="52"/>
      <c r="BD209" s="52"/>
      <c r="BE209" s="52">
        <v>15527</v>
      </c>
      <c r="BF209" s="52"/>
      <c r="BG209" s="52">
        <v>16829</v>
      </c>
      <c r="BH209" s="52"/>
      <c r="BI209" s="52"/>
      <c r="BJ209" s="52"/>
      <c r="BK209" s="52"/>
      <c r="BL209" s="52"/>
      <c r="BM209" s="52"/>
      <c r="BN209" s="52"/>
      <c r="BO209" s="52">
        <v>56272</v>
      </c>
      <c r="BP209" s="52"/>
      <c r="BQ209" s="52"/>
      <c r="BR209" s="52"/>
      <c r="BS209" s="52"/>
      <c r="BT209" s="52"/>
      <c r="BU209" s="52"/>
      <c r="BV209" s="52"/>
      <c r="BW209" s="52"/>
      <c r="BX209" s="52">
        <v>29519</v>
      </c>
      <c r="BY209" s="52"/>
      <c r="BZ209" s="52">
        <v>24209</v>
      </c>
      <c r="CA209" s="52"/>
      <c r="CB209" s="52"/>
      <c r="CC209" s="52"/>
      <c r="CD209" s="52">
        <v>19428</v>
      </c>
      <c r="CE209" s="52"/>
      <c r="CF209" s="52">
        <v>4894</v>
      </c>
      <c r="CG209" s="52">
        <v>64283</v>
      </c>
      <c r="CH209" s="52"/>
      <c r="CI209" s="52"/>
      <c r="CJ209" s="52"/>
      <c r="CK209" s="52"/>
      <c r="CL209" s="52"/>
      <c r="CM209" s="52"/>
      <c r="CN209" s="52"/>
      <c r="CO209" s="52">
        <v>47798</v>
      </c>
      <c r="CP209" s="52"/>
      <c r="CQ209" s="52"/>
      <c r="CR209" s="52"/>
      <c r="CS209" s="52"/>
      <c r="CT209" s="52"/>
      <c r="CU209" s="52"/>
      <c r="CV209" s="52"/>
      <c r="CW209" s="52">
        <v>14356</v>
      </c>
      <c r="CX209" s="52">
        <v>26375</v>
      </c>
      <c r="CY209" s="52"/>
      <c r="CZ209" s="52"/>
      <c r="DA209" s="52"/>
      <c r="DB209" s="52"/>
      <c r="DC209" s="52"/>
      <c r="DD209" s="52"/>
      <c r="DE209" s="52">
        <v>1208664</v>
      </c>
      <c r="DF209" s="52"/>
      <c r="DG209" s="52">
        <v>1208664</v>
      </c>
      <c r="DH209" s="52"/>
    </row>
    <row r="210" spans="1:112">
      <c r="A210" s="150" t="s">
        <v>412</v>
      </c>
      <c r="B210" s="44">
        <v>4390</v>
      </c>
      <c r="C210" s="44" t="s">
        <v>258</v>
      </c>
      <c r="D210" s="52"/>
      <c r="E210" s="52"/>
      <c r="F210" s="52"/>
      <c r="G210" s="52"/>
      <c r="H210" s="56"/>
      <c r="I210" s="56"/>
      <c r="J210" s="56"/>
      <c r="K210" s="56"/>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101"/>
      <c r="AZ210" s="52"/>
      <c r="BA210" s="52"/>
      <c r="BB210" s="52"/>
      <c r="BC210" s="52"/>
      <c r="BD210" s="52"/>
      <c r="BE210" s="52"/>
      <c r="BF210" s="52"/>
      <c r="BG210" s="52"/>
      <c r="BH210" s="52">
        <v>10687</v>
      </c>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v>10875</v>
      </c>
      <c r="CV210" s="52"/>
      <c r="CW210" s="52"/>
      <c r="CX210" s="52"/>
      <c r="CY210" s="52"/>
      <c r="CZ210" s="52"/>
      <c r="DA210" s="52"/>
      <c r="DB210" s="52"/>
      <c r="DC210" s="52"/>
      <c r="DD210" s="52"/>
      <c r="DE210" s="52">
        <v>21562</v>
      </c>
      <c r="DF210" s="52"/>
      <c r="DG210" s="52">
        <v>21562</v>
      </c>
      <c r="DH210" s="52"/>
    </row>
    <row r="211" spans="1:112">
      <c r="A211" s="150" t="s">
        <v>412</v>
      </c>
      <c r="B211" s="44">
        <v>4500</v>
      </c>
      <c r="C211" s="44" t="s">
        <v>261</v>
      </c>
      <c r="D211" s="52"/>
      <c r="E211" s="52"/>
      <c r="F211" s="52"/>
      <c r="G211" s="52"/>
      <c r="H211" s="56"/>
      <c r="I211" s="56"/>
      <c r="J211" s="56"/>
      <c r="K211" s="56"/>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101"/>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row>
    <row r="212" spans="1:112">
      <c r="A212" s="150" t="s">
        <v>412</v>
      </c>
      <c r="B212" s="44">
        <v>4510</v>
      </c>
      <c r="C212" s="44" t="s">
        <v>262</v>
      </c>
      <c r="D212" s="52">
        <v>924492</v>
      </c>
      <c r="E212" s="52">
        <v>6426686</v>
      </c>
      <c r="F212" s="52">
        <v>365953</v>
      </c>
      <c r="G212" s="52"/>
      <c r="H212" s="56">
        <v>1641725</v>
      </c>
      <c r="I212" s="56">
        <v>877953</v>
      </c>
      <c r="J212" s="56">
        <v>638760</v>
      </c>
      <c r="K212" s="56">
        <v>679168</v>
      </c>
      <c r="L212" s="52">
        <v>3050265</v>
      </c>
      <c r="M212" s="52"/>
      <c r="N212" s="52"/>
      <c r="O212" s="52">
        <v>409791</v>
      </c>
      <c r="P212" s="52">
        <v>247597</v>
      </c>
      <c r="Q212" s="52">
        <v>327470</v>
      </c>
      <c r="R212" s="52">
        <v>265301</v>
      </c>
      <c r="S212" s="52">
        <v>593997</v>
      </c>
      <c r="T212" s="52"/>
      <c r="U212" s="52">
        <v>4682256</v>
      </c>
      <c r="V212" s="52"/>
      <c r="W212" s="52">
        <v>5476511</v>
      </c>
      <c r="X212" s="52">
        <v>578918</v>
      </c>
      <c r="Y212" s="52">
        <v>12069416</v>
      </c>
      <c r="Z212" s="52">
        <v>2318052</v>
      </c>
      <c r="AA212" s="52">
        <v>1663745</v>
      </c>
      <c r="AB212" s="52">
        <v>1725529</v>
      </c>
      <c r="AC212" s="52">
        <v>324964</v>
      </c>
      <c r="AD212" s="52">
        <v>964538</v>
      </c>
      <c r="AE212" s="52">
        <v>282677</v>
      </c>
      <c r="AF212" s="52"/>
      <c r="AG212" s="52">
        <v>1527923</v>
      </c>
      <c r="AH212" s="52">
        <v>3089639</v>
      </c>
      <c r="AI212" s="52"/>
      <c r="AJ212" s="52">
        <v>176356</v>
      </c>
      <c r="AK212" s="52">
        <v>813231</v>
      </c>
      <c r="AL212" s="52">
        <v>330687</v>
      </c>
      <c r="AM212" s="52"/>
      <c r="AN212" s="52">
        <v>3231590</v>
      </c>
      <c r="AO212" s="52">
        <v>462448</v>
      </c>
      <c r="AP212" s="52"/>
      <c r="AQ212" s="52">
        <v>1092435</v>
      </c>
      <c r="AR212" s="52">
        <v>1074572</v>
      </c>
      <c r="AS212" s="52">
        <v>4025470</v>
      </c>
      <c r="AT212" s="52">
        <v>305086</v>
      </c>
      <c r="AU212" s="52">
        <v>1002272</v>
      </c>
      <c r="AV212" s="52">
        <v>238913</v>
      </c>
      <c r="AW212" s="52">
        <v>406360</v>
      </c>
      <c r="AX212" s="52">
        <v>2910638</v>
      </c>
      <c r="AY212" s="101">
        <v>15818021</v>
      </c>
      <c r="AZ212" s="52">
        <v>2206199</v>
      </c>
      <c r="BA212" s="52">
        <v>294785</v>
      </c>
      <c r="BB212" s="52">
        <v>410797</v>
      </c>
      <c r="BC212" s="52"/>
      <c r="BD212" s="52">
        <v>623806</v>
      </c>
      <c r="BE212" s="52">
        <v>351803</v>
      </c>
      <c r="BF212" s="52">
        <v>8745318</v>
      </c>
      <c r="BG212" s="52">
        <v>814844</v>
      </c>
      <c r="BH212" s="52">
        <v>2398087</v>
      </c>
      <c r="BI212" s="52">
        <v>2315458</v>
      </c>
      <c r="BJ212" s="52">
        <v>1365097</v>
      </c>
      <c r="BK212" s="52">
        <v>894612</v>
      </c>
      <c r="BL212" s="52">
        <v>715015</v>
      </c>
      <c r="BM212" s="52">
        <v>4195793</v>
      </c>
      <c r="BN212" s="52">
        <v>2172747</v>
      </c>
      <c r="BO212" s="52">
        <v>515371</v>
      </c>
      <c r="BP212" s="52">
        <v>860216</v>
      </c>
      <c r="BQ212" s="52">
        <v>2975537</v>
      </c>
      <c r="BR212" s="52">
        <v>251253</v>
      </c>
      <c r="BS212" s="52"/>
      <c r="BT212" s="52">
        <v>843583</v>
      </c>
      <c r="BU212" s="52">
        <v>547742</v>
      </c>
      <c r="BV212" s="52">
        <v>254075</v>
      </c>
      <c r="BW212" s="52"/>
      <c r="BX212" s="52">
        <v>1440073</v>
      </c>
      <c r="BY212" s="52">
        <v>1640306</v>
      </c>
      <c r="BZ212" s="52">
        <v>2758223</v>
      </c>
      <c r="CA212" s="52"/>
      <c r="CB212" s="52">
        <v>1109358</v>
      </c>
      <c r="CC212" s="52">
        <v>1015309</v>
      </c>
      <c r="CD212" s="52">
        <v>2017587</v>
      </c>
      <c r="CE212" s="52"/>
      <c r="CF212" s="52">
        <v>3694865</v>
      </c>
      <c r="CG212" s="52">
        <v>6933056</v>
      </c>
      <c r="CH212" s="52">
        <v>3914728</v>
      </c>
      <c r="CI212" s="52">
        <v>590168</v>
      </c>
      <c r="CJ212" s="52">
        <v>1051506</v>
      </c>
      <c r="CK212" s="52">
        <v>2080885</v>
      </c>
      <c r="CL212" s="52">
        <v>632655</v>
      </c>
      <c r="CM212" s="52">
        <v>604746</v>
      </c>
      <c r="CN212" s="52">
        <v>1321824</v>
      </c>
      <c r="CO212" s="52">
        <v>2019886</v>
      </c>
      <c r="CP212" s="52">
        <v>2550521</v>
      </c>
      <c r="CQ212" s="52"/>
      <c r="CR212" s="52"/>
      <c r="CS212" s="52"/>
      <c r="CT212" s="52">
        <v>2542739</v>
      </c>
      <c r="CU212" s="52">
        <v>2697264</v>
      </c>
      <c r="CV212" s="52"/>
      <c r="CW212" s="52">
        <v>1042735</v>
      </c>
      <c r="CX212" s="52">
        <v>1908654</v>
      </c>
      <c r="CY212" s="52">
        <v>1082705</v>
      </c>
      <c r="CZ212" s="52">
        <v>965380</v>
      </c>
      <c r="DA212" s="52">
        <v>3426320</v>
      </c>
      <c r="DB212" s="52">
        <v>1182179</v>
      </c>
      <c r="DC212" s="52">
        <v>446328</v>
      </c>
      <c r="DD212" s="52">
        <v>147339</v>
      </c>
      <c r="DE212" s="52">
        <v>167017215</v>
      </c>
      <c r="DF212" s="52">
        <v>593667</v>
      </c>
      <c r="DG212" s="52">
        <v>167610882</v>
      </c>
      <c r="DH212" s="52"/>
    </row>
    <row r="213" spans="1:112">
      <c r="A213" s="150" t="s">
        <v>412</v>
      </c>
      <c r="B213" s="55">
        <v>4520</v>
      </c>
      <c r="C213" s="44" t="s">
        <v>687</v>
      </c>
      <c r="D213" s="52">
        <v>62401</v>
      </c>
      <c r="E213" s="52">
        <v>206055</v>
      </c>
      <c r="F213" s="52">
        <v>18079</v>
      </c>
      <c r="G213" s="52"/>
      <c r="H213" s="56">
        <v>79406</v>
      </c>
      <c r="I213" s="56">
        <v>58001</v>
      </c>
      <c r="J213" s="56">
        <v>61050</v>
      </c>
      <c r="K213" s="56">
        <v>24181</v>
      </c>
      <c r="L213" s="52">
        <v>72592</v>
      </c>
      <c r="M213" s="52"/>
      <c r="N213" s="52"/>
      <c r="O213" s="52">
        <v>39157</v>
      </c>
      <c r="P213" s="52">
        <v>15225</v>
      </c>
      <c r="Q213" s="52">
        <v>23883</v>
      </c>
      <c r="R213" s="52">
        <v>29638</v>
      </c>
      <c r="S213" s="52">
        <v>44165</v>
      </c>
      <c r="T213" s="52"/>
      <c r="U213" s="52">
        <v>168682</v>
      </c>
      <c r="V213" s="52"/>
      <c r="W213" s="52">
        <v>307552</v>
      </c>
      <c r="X213" s="52">
        <v>86336</v>
      </c>
      <c r="Y213" s="52">
        <v>379451</v>
      </c>
      <c r="Z213" s="52">
        <v>70461</v>
      </c>
      <c r="AA213" s="52">
        <v>71779</v>
      </c>
      <c r="AB213" s="52">
        <v>73528</v>
      </c>
      <c r="AC213" s="52">
        <v>15348</v>
      </c>
      <c r="AD213" s="52">
        <v>75852</v>
      </c>
      <c r="AE213" s="52">
        <v>5702</v>
      </c>
      <c r="AF213" s="52"/>
      <c r="AG213" s="52">
        <v>58523</v>
      </c>
      <c r="AH213" s="52">
        <v>121614</v>
      </c>
      <c r="AI213" s="52"/>
      <c r="AJ213" s="52">
        <v>15505</v>
      </c>
      <c r="AK213" s="52">
        <v>67387</v>
      </c>
      <c r="AL213" s="52">
        <v>22880</v>
      </c>
      <c r="AM213" s="52"/>
      <c r="AN213" s="52">
        <v>112921</v>
      </c>
      <c r="AO213" s="52">
        <v>24082</v>
      </c>
      <c r="AP213" s="52"/>
      <c r="AQ213" s="52">
        <v>55125</v>
      </c>
      <c r="AR213" s="52">
        <v>88597</v>
      </c>
      <c r="AS213" s="52">
        <v>194660</v>
      </c>
      <c r="AT213" s="52">
        <v>14816</v>
      </c>
      <c r="AU213" s="52">
        <v>61710</v>
      </c>
      <c r="AV213" s="52">
        <v>17957</v>
      </c>
      <c r="AW213" s="52">
        <v>24875</v>
      </c>
      <c r="AX213" s="52">
        <v>132439</v>
      </c>
      <c r="AY213" s="101">
        <v>506386</v>
      </c>
      <c r="AZ213" s="52">
        <v>149914</v>
      </c>
      <c r="BA213" s="52">
        <v>21207</v>
      </c>
      <c r="BB213" s="52">
        <v>12848</v>
      </c>
      <c r="BC213" s="52"/>
      <c r="BD213" s="52">
        <v>11704</v>
      </c>
      <c r="BE213" s="52">
        <v>21386</v>
      </c>
      <c r="BF213" s="52">
        <v>205823</v>
      </c>
      <c r="BG213" s="52">
        <v>36746</v>
      </c>
      <c r="BH213" s="52">
        <v>99070</v>
      </c>
      <c r="BI213" s="52">
        <v>117588</v>
      </c>
      <c r="BJ213" s="52">
        <v>116738</v>
      </c>
      <c r="BK213" s="52">
        <v>59603</v>
      </c>
      <c r="BL213" s="52">
        <v>106369</v>
      </c>
      <c r="BM213" s="52">
        <v>220507</v>
      </c>
      <c r="BN213" s="52">
        <v>119602</v>
      </c>
      <c r="BO213" s="52">
        <v>39418</v>
      </c>
      <c r="BP213" s="52">
        <v>66448</v>
      </c>
      <c r="BQ213" s="52">
        <v>144348</v>
      </c>
      <c r="BR213" s="52">
        <v>11888</v>
      </c>
      <c r="BS213" s="52"/>
      <c r="BT213" s="52">
        <v>40057</v>
      </c>
      <c r="BU213" s="52">
        <v>30420</v>
      </c>
      <c r="BV213" s="52">
        <v>14166</v>
      </c>
      <c r="BW213" s="52"/>
      <c r="BX213" s="52">
        <v>39405</v>
      </c>
      <c r="BY213" s="52">
        <v>58292</v>
      </c>
      <c r="BZ213" s="52">
        <v>95325</v>
      </c>
      <c r="CA213" s="52"/>
      <c r="CB213" s="52">
        <v>101630</v>
      </c>
      <c r="CC213" s="52">
        <v>77545</v>
      </c>
      <c r="CD213" s="52">
        <v>154078</v>
      </c>
      <c r="CE213" s="52"/>
      <c r="CF213" s="52">
        <v>117212</v>
      </c>
      <c r="CG213" s="52">
        <v>206184</v>
      </c>
      <c r="CH213" s="52">
        <v>206151</v>
      </c>
      <c r="CI213" s="52">
        <v>75462</v>
      </c>
      <c r="CJ213" s="52">
        <v>46603</v>
      </c>
      <c r="CK213" s="52">
        <v>83658</v>
      </c>
      <c r="CL213" s="52">
        <v>35795</v>
      </c>
      <c r="CM213" s="52">
        <v>52467</v>
      </c>
      <c r="CN213" s="52">
        <v>73398</v>
      </c>
      <c r="CO213" s="52">
        <v>79875</v>
      </c>
      <c r="CP213" s="52">
        <v>113562</v>
      </c>
      <c r="CQ213" s="52"/>
      <c r="CR213" s="52"/>
      <c r="CS213" s="52"/>
      <c r="CT213" s="52">
        <v>65053</v>
      </c>
      <c r="CU213" s="52">
        <v>99479</v>
      </c>
      <c r="CV213" s="52"/>
      <c r="CW213" s="52">
        <v>73053</v>
      </c>
      <c r="CX213" s="52">
        <v>58479</v>
      </c>
      <c r="CY213" s="52">
        <v>62731</v>
      </c>
      <c r="CZ213" s="52">
        <v>52584</v>
      </c>
      <c r="DA213" s="52">
        <v>99662</v>
      </c>
      <c r="DB213" s="52">
        <v>57662</v>
      </c>
      <c r="DC213" s="52"/>
      <c r="DD213" s="52"/>
      <c r="DE213" s="52">
        <v>7339196</v>
      </c>
      <c r="DF213" s="52"/>
      <c r="DG213" s="52">
        <v>7339196</v>
      </c>
      <c r="DH213" s="52"/>
    </row>
    <row r="214" spans="1:112">
      <c r="A214" s="150" t="s">
        <v>412</v>
      </c>
      <c r="B214" s="44">
        <v>4810</v>
      </c>
      <c r="C214" s="44" t="s">
        <v>264</v>
      </c>
      <c r="D214" s="52">
        <v>831673</v>
      </c>
      <c r="E214" s="52">
        <v>4472901</v>
      </c>
      <c r="F214" s="52">
        <v>542136</v>
      </c>
      <c r="G214" s="52"/>
      <c r="H214" s="56">
        <v>1113319</v>
      </c>
      <c r="I214" s="56">
        <v>680156</v>
      </c>
      <c r="J214" s="56">
        <v>537684</v>
      </c>
      <c r="K214" s="56">
        <v>469217</v>
      </c>
      <c r="L214" s="52">
        <v>2192797</v>
      </c>
      <c r="M214" s="52"/>
      <c r="N214" s="52"/>
      <c r="O214" s="52">
        <v>370391</v>
      </c>
      <c r="P214" s="52">
        <v>339111</v>
      </c>
      <c r="Q214" s="52">
        <v>283299</v>
      </c>
      <c r="R214" s="52">
        <v>238553</v>
      </c>
      <c r="S214" s="52">
        <v>559050</v>
      </c>
      <c r="T214" s="52"/>
      <c r="U214" s="52">
        <v>3444673</v>
      </c>
      <c r="V214" s="52"/>
      <c r="W214" s="52">
        <v>5665378</v>
      </c>
      <c r="X214" s="52">
        <v>511338</v>
      </c>
      <c r="Y214" s="52">
        <v>7669017</v>
      </c>
      <c r="Z214" s="52">
        <v>1945172</v>
      </c>
      <c r="AA214" s="52">
        <v>1102713</v>
      </c>
      <c r="AB214" s="52">
        <v>1771903</v>
      </c>
      <c r="AC214" s="52">
        <v>408007</v>
      </c>
      <c r="AD214" s="52">
        <v>896840</v>
      </c>
      <c r="AE214" s="52">
        <v>227513</v>
      </c>
      <c r="AF214" s="52"/>
      <c r="AG214" s="52">
        <v>1717052</v>
      </c>
      <c r="AH214" s="52">
        <v>2748919</v>
      </c>
      <c r="AI214" s="52"/>
      <c r="AJ214" s="52">
        <v>244172</v>
      </c>
      <c r="AK214" s="52">
        <v>1118669</v>
      </c>
      <c r="AL214" s="52">
        <v>382985</v>
      </c>
      <c r="AM214" s="52"/>
      <c r="AN214" s="52">
        <v>2226458</v>
      </c>
      <c r="AO214" s="52">
        <v>645509</v>
      </c>
      <c r="AP214" s="52"/>
      <c r="AQ214" s="52">
        <v>862676</v>
      </c>
      <c r="AR214" s="52">
        <v>1136573</v>
      </c>
      <c r="AS214" s="52">
        <v>3383311</v>
      </c>
      <c r="AT214" s="52">
        <v>305177</v>
      </c>
      <c r="AU214" s="52">
        <v>1302156</v>
      </c>
      <c r="AV214" s="52">
        <v>377339</v>
      </c>
      <c r="AW214" s="52">
        <v>353373</v>
      </c>
      <c r="AX214" s="52">
        <v>2378932</v>
      </c>
      <c r="AY214" s="101">
        <v>10113954</v>
      </c>
      <c r="AZ214" s="52">
        <v>1810692</v>
      </c>
      <c r="BA214" s="52">
        <v>234404</v>
      </c>
      <c r="BB214" s="52">
        <v>282522</v>
      </c>
      <c r="BC214" s="52"/>
      <c r="BD214" s="52">
        <v>626353</v>
      </c>
      <c r="BE214" s="52">
        <v>435975</v>
      </c>
      <c r="BF214" s="52">
        <v>6976831</v>
      </c>
      <c r="BG214" s="52">
        <v>841700</v>
      </c>
      <c r="BH214" s="52">
        <v>1913070</v>
      </c>
      <c r="BI214" s="52">
        <v>2006239</v>
      </c>
      <c r="BJ214" s="52">
        <v>1373159</v>
      </c>
      <c r="BK214" s="52">
        <v>800058</v>
      </c>
      <c r="BL214" s="52">
        <v>885357</v>
      </c>
      <c r="BM214" s="52">
        <v>2103725</v>
      </c>
      <c r="BN214" s="52">
        <v>1531880</v>
      </c>
      <c r="BO214" s="52">
        <v>517464</v>
      </c>
      <c r="BP214" s="52">
        <v>887444</v>
      </c>
      <c r="BQ214" s="52">
        <v>1632757</v>
      </c>
      <c r="BR214" s="52">
        <v>294323</v>
      </c>
      <c r="BS214" s="52"/>
      <c r="BT214" s="52">
        <v>923516</v>
      </c>
      <c r="BU214" s="52">
        <v>623350</v>
      </c>
      <c r="BV214" s="52">
        <v>290211</v>
      </c>
      <c r="BW214" s="52"/>
      <c r="BX214" s="52">
        <v>1364298</v>
      </c>
      <c r="BY214" s="52">
        <v>1389703</v>
      </c>
      <c r="BZ214" s="52">
        <v>1979360</v>
      </c>
      <c r="CA214" s="52"/>
      <c r="CB214" s="52">
        <v>955249</v>
      </c>
      <c r="CC214" s="52">
        <v>1085455</v>
      </c>
      <c r="CD214" s="52">
        <v>2092037</v>
      </c>
      <c r="CE214" s="52"/>
      <c r="CF214" s="52">
        <v>2486739</v>
      </c>
      <c r="CG214" s="52">
        <v>5706344</v>
      </c>
      <c r="CH214" s="52">
        <v>2996264</v>
      </c>
      <c r="CI214" s="52">
        <v>497658</v>
      </c>
      <c r="CJ214" s="52">
        <v>802007</v>
      </c>
      <c r="CK214" s="52">
        <v>1513619</v>
      </c>
      <c r="CL214" s="52">
        <v>577320</v>
      </c>
      <c r="CM214" s="52">
        <v>609692</v>
      </c>
      <c r="CN214" s="52">
        <v>1032329</v>
      </c>
      <c r="CO214" s="52">
        <v>1747317</v>
      </c>
      <c r="CP214" s="52">
        <v>1714788</v>
      </c>
      <c r="CQ214" s="52"/>
      <c r="CR214" s="52"/>
      <c r="CS214" s="52"/>
      <c r="CT214" s="52">
        <v>2271056</v>
      </c>
      <c r="CU214" s="52">
        <v>2162961</v>
      </c>
      <c r="CV214" s="52"/>
      <c r="CW214" s="52">
        <v>1028311</v>
      </c>
      <c r="CX214" s="52">
        <v>1790024</v>
      </c>
      <c r="CY214" s="52">
        <v>989688</v>
      </c>
      <c r="CZ214" s="52">
        <v>690021</v>
      </c>
      <c r="DA214" s="52">
        <v>2638919</v>
      </c>
      <c r="DB214" s="52">
        <v>556010</v>
      </c>
      <c r="DC214" s="52">
        <v>786835</v>
      </c>
      <c r="DD214" s="52">
        <v>145934</v>
      </c>
      <c r="DE214" s="52">
        <v>133238295</v>
      </c>
      <c r="DF214" s="52">
        <v>932769</v>
      </c>
      <c r="DG214" s="52">
        <v>134171064</v>
      </c>
      <c r="DH214" s="52"/>
    </row>
    <row r="215" spans="1:112">
      <c r="A215" s="150" t="s">
        <v>412</v>
      </c>
      <c r="B215" s="44">
        <v>4830</v>
      </c>
      <c r="C215" s="44" t="s">
        <v>265</v>
      </c>
      <c r="D215" s="52">
        <v>412663</v>
      </c>
      <c r="E215" s="52">
        <v>1356346</v>
      </c>
      <c r="F215" s="52">
        <v>264429</v>
      </c>
      <c r="G215" s="52"/>
      <c r="H215" s="56">
        <v>352391</v>
      </c>
      <c r="I215" s="56">
        <v>186281</v>
      </c>
      <c r="J215" s="56">
        <v>379767</v>
      </c>
      <c r="K215" s="56">
        <v>149558</v>
      </c>
      <c r="L215" s="52">
        <v>1073541</v>
      </c>
      <c r="M215" s="52"/>
      <c r="N215" s="52"/>
      <c r="O215" s="52">
        <v>196713</v>
      </c>
      <c r="P215" s="52">
        <v>163740</v>
      </c>
      <c r="Q215" s="52">
        <v>131043</v>
      </c>
      <c r="R215" s="52">
        <v>90714</v>
      </c>
      <c r="S215" s="52">
        <v>195463</v>
      </c>
      <c r="T215" s="52"/>
      <c r="U215" s="52">
        <v>980488</v>
      </c>
      <c r="V215" s="52"/>
      <c r="W215" s="52">
        <v>1593212</v>
      </c>
      <c r="X215" s="52">
        <v>192213</v>
      </c>
      <c r="Y215" s="52">
        <v>3434529</v>
      </c>
      <c r="Z215" s="52">
        <v>1013082</v>
      </c>
      <c r="AA215" s="52">
        <v>425216</v>
      </c>
      <c r="AB215" s="52">
        <v>824547</v>
      </c>
      <c r="AC215" s="52">
        <v>259006</v>
      </c>
      <c r="AD215" s="52">
        <v>323040</v>
      </c>
      <c r="AE215" s="52">
        <v>80565</v>
      </c>
      <c r="AF215" s="52"/>
      <c r="AG215" s="52">
        <v>810161</v>
      </c>
      <c r="AH215" s="52">
        <v>1032107</v>
      </c>
      <c r="AI215" s="52"/>
      <c r="AJ215" s="52">
        <v>112070</v>
      </c>
      <c r="AK215" s="52">
        <v>351008</v>
      </c>
      <c r="AL215" s="52">
        <v>126815</v>
      </c>
      <c r="AM215" s="52"/>
      <c r="AN215" s="52">
        <v>601518</v>
      </c>
      <c r="AO215" s="52">
        <v>268018</v>
      </c>
      <c r="AP215" s="52"/>
      <c r="AQ215" s="52">
        <v>266077</v>
      </c>
      <c r="AR215" s="52">
        <v>411523</v>
      </c>
      <c r="AS215" s="52">
        <v>1110645</v>
      </c>
      <c r="AT215" s="52">
        <v>109532</v>
      </c>
      <c r="AU215" s="52">
        <v>761591</v>
      </c>
      <c r="AV215" s="52">
        <v>144087</v>
      </c>
      <c r="AW215" s="52">
        <v>132500</v>
      </c>
      <c r="AX215" s="52">
        <v>916598</v>
      </c>
      <c r="AY215" s="101">
        <v>2766207</v>
      </c>
      <c r="AZ215" s="52">
        <v>751527</v>
      </c>
      <c r="BA215" s="52">
        <v>95970</v>
      </c>
      <c r="BB215" s="52">
        <v>73686</v>
      </c>
      <c r="BC215" s="52"/>
      <c r="BD215" s="52">
        <v>351890</v>
      </c>
      <c r="BE215" s="52">
        <v>202601</v>
      </c>
      <c r="BF215" s="52">
        <v>2416094</v>
      </c>
      <c r="BG215" s="52">
        <v>544174</v>
      </c>
      <c r="BH215" s="52">
        <v>630037</v>
      </c>
      <c r="BI215" s="52">
        <v>534688</v>
      </c>
      <c r="BJ215" s="52">
        <v>676201</v>
      </c>
      <c r="BK215" s="52">
        <v>499614</v>
      </c>
      <c r="BL215" s="52">
        <v>417005</v>
      </c>
      <c r="BM215" s="52">
        <v>624471</v>
      </c>
      <c r="BN215" s="52">
        <v>539994</v>
      </c>
      <c r="BO215" s="52">
        <v>196792</v>
      </c>
      <c r="BP215" s="52">
        <v>405761</v>
      </c>
      <c r="BQ215" s="52">
        <v>357700</v>
      </c>
      <c r="BR215" s="52">
        <v>147968</v>
      </c>
      <c r="BS215" s="52"/>
      <c r="BT215" s="52">
        <v>349499</v>
      </c>
      <c r="BU215" s="52">
        <v>227340</v>
      </c>
      <c r="BV215" s="52">
        <v>184004</v>
      </c>
      <c r="BW215" s="52"/>
      <c r="BX215" s="52">
        <v>669100</v>
      </c>
      <c r="BY215" s="52">
        <v>526254</v>
      </c>
      <c r="BZ215" s="52">
        <v>594136</v>
      </c>
      <c r="CA215" s="52"/>
      <c r="CB215" s="52">
        <v>422753</v>
      </c>
      <c r="CC215" s="52">
        <v>616766</v>
      </c>
      <c r="CD215" s="52">
        <v>665296</v>
      </c>
      <c r="CE215" s="52"/>
      <c r="CF215" s="52">
        <v>819404</v>
      </c>
      <c r="CG215" s="52">
        <v>2022038</v>
      </c>
      <c r="CH215" s="52">
        <v>827696</v>
      </c>
      <c r="CI215" s="52">
        <v>177370</v>
      </c>
      <c r="CJ215" s="52">
        <v>291881</v>
      </c>
      <c r="CK215" s="52">
        <v>432160</v>
      </c>
      <c r="CL215" s="52">
        <v>180694</v>
      </c>
      <c r="CM215" s="52">
        <v>150491</v>
      </c>
      <c r="CN215" s="52">
        <v>307863</v>
      </c>
      <c r="CO215" s="52">
        <v>575321</v>
      </c>
      <c r="CP215" s="52">
        <v>868738</v>
      </c>
      <c r="CQ215" s="52"/>
      <c r="CR215" s="52"/>
      <c r="CS215" s="52"/>
      <c r="CT215" s="52">
        <v>828440</v>
      </c>
      <c r="CU215" s="52">
        <v>667892</v>
      </c>
      <c r="CV215" s="52"/>
      <c r="CW215" s="52">
        <v>512839</v>
      </c>
      <c r="CX215" s="52">
        <v>859654</v>
      </c>
      <c r="CY215" s="52">
        <v>277460</v>
      </c>
      <c r="CZ215" s="52">
        <v>162523</v>
      </c>
      <c r="DA215" s="52">
        <v>706951</v>
      </c>
      <c r="DB215" s="52">
        <v>111616</v>
      </c>
      <c r="DC215" s="52">
        <v>509311</v>
      </c>
      <c r="DD215" s="52">
        <v>145587</v>
      </c>
      <c r="DE215" s="52">
        <v>48501356</v>
      </c>
      <c r="DF215" s="52">
        <v>654898</v>
      </c>
      <c r="DG215" s="52">
        <v>49156254</v>
      </c>
      <c r="DH215" s="52"/>
    </row>
    <row r="216" spans="1:112">
      <c r="A216" s="150" t="s">
        <v>412</v>
      </c>
      <c r="B216" s="44">
        <v>4850</v>
      </c>
      <c r="C216" s="44" t="s">
        <v>266</v>
      </c>
      <c r="D216" s="52"/>
      <c r="E216" s="52"/>
      <c r="F216" s="52"/>
      <c r="G216" s="52"/>
      <c r="H216" s="56"/>
      <c r="I216" s="56"/>
      <c r="J216" s="56"/>
      <c r="K216" s="56"/>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v>90701</v>
      </c>
      <c r="AR216" s="52"/>
      <c r="AS216" s="52">
        <v>306265</v>
      </c>
      <c r="AT216" s="52"/>
      <c r="AU216" s="52"/>
      <c r="AV216" s="52"/>
      <c r="AW216" s="52"/>
      <c r="AX216" s="52"/>
      <c r="AY216" s="101"/>
      <c r="AZ216" s="52"/>
      <c r="BA216" s="52"/>
      <c r="BB216" s="52"/>
      <c r="BC216" s="52"/>
      <c r="BD216" s="52"/>
      <c r="BE216" s="52"/>
      <c r="BF216" s="52"/>
      <c r="BG216" s="52"/>
      <c r="BH216" s="52"/>
      <c r="BI216" s="52"/>
      <c r="BJ216" s="52"/>
      <c r="BK216" s="52"/>
      <c r="BL216" s="52"/>
      <c r="BM216" s="52"/>
      <c r="BN216" s="52"/>
      <c r="BO216" s="52">
        <v>58782</v>
      </c>
      <c r="BP216" s="52"/>
      <c r="BQ216" s="52"/>
      <c r="BR216" s="52"/>
      <c r="BS216" s="52"/>
      <c r="BT216" s="52"/>
      <c r="BU216" s="52"/>
      <c r="BV216" s="52"/>
      <c r="BW216" s="52"/>
      <c r="BX216" s="52"/>
      <c r="BY216" s="52"/>
      <c r="BZ216" s="52"/>
      <c r="CA216" s="52"/>
      <c r="CB216" s="52"/>
      <c r="CC216" s="52"/>
      <c r="CD216" s="52"/>
      <c r="CE216" s="52"/>
      <c r="CF216" s="52"/>
      <c r="CG216" s="52"/>
      <c r="CH216" s="52"/>
      <c r="CI216" s="52">
        <v>708</v>
      </c>
      <c r="CJ216" s="52"/>
      <c r="CK216" s="52"/>
      <c r="CL216" s="52"/>
      <c r="CM216" s="52"/>
      <c r="CN216" s="52"/>
      <c r="CO216" s="52"/>
      <c r="CP216" s="52"/>
      <c r="CQ216" s="52"/>
      <c r="CR216" s="52"/>
      <c r="CS216" s="52"/>
      <c r="CT216" s="52"/>
      <c r="CU216" s="52"/>
      <c r="CV216" s="52"/>
      <c r="CW216" s="52">
        <v>18447</v>
      </c>
      <c r="CX216" s="52"/>
      <c r="CY216" s="52"/>
      <c r="CZ216" s="52"/>
      <c r="DA216" s="52"/>
      <c r="DB216" s="52"/>
      <c r="DC216" s="52">
        <v>1556</v>
      </c>
      <c r="DD216" s="52"/>
      <c r="DE216" s="52">
        <v>474903</v>
      </c>
      <c r="DF216" s="52">
        <v>1556</v>
      </c>
      <c r="DG216" s="52">
        <v>476459</v>
      </c>
      <c r="DH216" s="52"/>
    </row>
    <row r="217" spans="1:112">
      <c r="A217" s="150" t="s">
        <v>412</v>
      </c>
      <c r="B217" s="44">
        <v>4920</v>
      </c>
      <c r="C217" s="44" t="s">
        <v>268</v>
      </c>
      <c r="D217" s="52">
        <v>20385</v>
      </c>
      <c r="E217" s="52">
        <v>113117</v>
      </c>
      <c r="F217" s="52">
        <v>16697</v>
      </c>
      <c r="G217" s="52"/>
      <c r="H217" s="56">
        <v>21769</v>
      </c>
      <c r="I217" s="56">
        <v>13529</v>
      </c>
      <c r="J217" s="56">
        <v>12058</v>
      </c>
      <c r="K217" s="56">
        <v>9095</v>
      </c>
      <c r="L217" s="52">
        <v>52163</v>
      </c>
      <c r="M217" s="52"/>
      <c r="N217" s="52"/>
      <c r="O217" s="52">
        <v>9443</v>
      </c>
      <c r="P217" s="52">
        <v>7064</v>
      </c>
      <c r="Q217" s="52">
        <v>8440</v>
      </c>
      <c r="R217" s="52">
        <v>4728</v>
      </c>
      <c r="S217" s="52">
        <v>12566</v>
      </c>
      <c r="T217" s="52"/>
      <c r="U217" s="52">
        <v>105309</v>
      </c>
      <c r="V217" s="52"/>
      <c r="W217" s="52">
        <v>149162</v>
      </c>
      <c r="X217" s="52">
        <v>9319</v>
      </c>
      <c r="Y217" s="52">
        <v>275107</v>
      </c>
      <c r="Z217" s="52">
        <v>36196</v>
      </c>
      <c r="AA217" s="52">
        <v>34175</v>
      </c>
      <c r="AB217" s="52">
        <v>42465</v>
      </c>
      <c r="AC217" s="52">
        <v>2274</v>
      </c>
      <c r="AD217" s="52">
        <v>23185</v>
      </c>
      <c r="AE217" s="52">
        <v>6045</v>
      </c>
      <c r="AF217" s="52"/>
      <c r="AG217" s="52">
        <v>47864</v>
      </c>
      <c r="AH217" s="52">
        <v>80266</v>
      </c>
      <c r="AI217" s="52"/>
      <c r="AJ217" s="52">
        <v>3608</v>
      </c>
      <c r="AK217" s="52">
        <v>23727</v>
      </c>
      <c r="AL217" s="52">
        <v>9011</v>
      </c>
      <c r="AM217" s="52"/>
      <c r="AN217" s="52">
        <v>71703</v>
      </c>
      <c r="AO217" s="52">
        <v>22929</v>
      </c>
      <c r="AP217" s="52"/>
      <c r="AQ217" s="52">
        <v>17776</v>
      </c>
      <c r="AR217" s="52">
        <v>21847</v>
      </c>
      <c r="AS217" s="52">
        <v>77085</v>
      </c>
      <c r="AT217" s="52">
        <v>6066</v>
      </c>
      <c r="AU217" s="52">
        <v>46815</v>
      </c>
      <c r="AV217" s="52">
        <v>9745</v>
      </c>
      <c r="AW217" s="52">
        <v>6412</v>
      </c>
      <c r="AX217" s="52">
        <v>58865</v>
      </c>
      <c r="AY217" s="101">
        <v>296754</v>
      </c>
      <c r="AZ217" s="52">
        <v>39974</v>
      </c>
      <c r="BA217" s="52">
        <v>5005</v>
      </c>
      <c r="BB217" s="52">
        <v>6727</v>
      </c>
      <c r="BC217" s="52"/>
      <c r="BD217" s="52">
        <v>13313</v>
      </c>
      <c r="BE217" s="52">
        <v>12247</v>
      </c>
      <c r="BF217" s="52">
        <v>141829</v>
      </c>
      <c r="BG217" s="52">
        <v>19998</v>
      </c>
      <c r="BH217" s="52">
        <v>37980</v>
      </c>
      <c r="BI217" s="52">
        <v>46748</v>
      </c>
      <c r="BJ217" s="52">
        <v>26474</v>
      </c>
      <c r="BK217" s="52">
        <v>17384</v>
      </c>
      <c r="BL217" s="52">
        <v>20234</v>
      </c>
      <c r="BM217" s="52">
        <v>56162</v>
      </c>
      <c r="BN217" s="52">
        <v>46308</v>
      </c>
      <c r="BO217" s="52">
        <v>9805</v>
      </c>
      <c r="BP217" s="52">
        <v>13979</v>
      </c>
      <c r="BQ217" s="52">
        <v>47364</v>
      </c>
      <c r="BR217" s="52">
        <v>15472</v>
      </c>
      <c r="BS217" s="52"/>
      <c r="BT217" s="52">
        <v>25955</v>
      </c>
      <c r="BU217" s="52">
        <v>12548</v>
      </c>
      <c r="BV217" s="52">
        <v>6482</v>
      </c>
      <c r="BW217" s="52"/>
      <c r="BX217" s="52">
        <v>28219</v>
      </c>
      <c r="BY217" s="52">
        <v>30627</v>
      </c>
      <c r="BZ217" s="52">
        <v>50061</v>
      </c>
      <c r="CA217" s="52"/>
      <c r="CB217" s="52">
        <v>24886</v>
      </c>
      <c r="CC217" s="52">
        <v>18151</v>
      </c>
      <c r="CD217" s="52">
        <v>49759</v>
      </c>
      <c r="CE217" s="52"/>
      <c r="CF217" s="52">
        <v>62502</v>
      </c>
      <c r="CG217" s="52">
        <v>128050</v>
      </c>
      <c r="CH217" s="52">
        <v>46787</v>
      </c>
      <c r="CI217" s="52">
        <v>10552</v>
      </c>
      <c r="CJ217" s="52">
        <v>17475</v>
      </c>
      <c r="CK217" s="52">
        <v>25110</v>
      </c>
      <c r="CL217" s="52">
        <v>11957</v>
      </c>
      <c r="CM217" s="52">
        <v>9131</v>
      </c>
      <c r="CN217" s="52">
        <v>23707</v>
      </c>
      <c r="CO217" s="52">
        <v>26375</v>
      </c>
      <c r="CP217" s="52">
        <v>69322</v>
      </c>
      <c r="CQ217" s="52"/>
      <c r="CR217" s="52"/>
      <c r="CS217" s="52"/>
      <c r="CT217" s="52">
        <v>57798</v>
      </c>
      <c r="CU217" s="52">
        <v>49409</v>
      </c>
      <c r="CV217" s="52"/>
      <c r="CW217" s="52">
        <v>24650</v>
      </c>
      <c r="CX217" s="52">
        <v>50907</v>
      </c>
      <c r="CY217" s="52">
        <v>20951</v>
      </c>
      <c r="CZ217" s="52">
        <v>15043</v>
      </c>
      <c r="DA217" s="52">
        <v>66306</v>
      </c>
      <c r="DB217" s="52">
        <v>14506</v>
      </c>
      <c r="DC217" s="52"/>
      <c r="DD217" s="52"/>
      <c r="DE217" s="52">
        <v>3338993</v>
      </c>
      <c r="DF217" s="52"/>
      <c r="DG217" s="52">
        <v>3338993</v>
      </c>
      <c r="DH217" s="52"/>
    </row>
    <row r="218" spans="1:112">
      <c r="A218" s="150" t="s">
        <v>412</v>
      </c>
      <c r="B218" s="44">
        <v>4924</v>
      </c>
      <c r="C218" s="44" t="s">
        <v>269</v>
      </c>
      <c r="D218" s="52"/>
      <c r="E218" s="52">
        <v>103332</v>
      </c>
      <c r="F218" s="52">
        <v>141617</v>
      </c>
      <c r="G218" s="52"/>
      <c r="H218" s="56"/>
      <c r="I218" s="56">
        <v>370312</v>
      </c>
      <c r="J218" s="56">
        <v>169125</v>
      </c>
      <c r="K218" s="56">
        <v>87500</v>
      </c>
      <c r="L218" s="52">
        <v>240715</v>
      </c>
      <c r="M218" s="52"/>
      <c r="N218" s="52"/>
      <c r="O218" s="52"/>
      <c r="P218" s="52"/>
      <c r="Q218" s="52">
        <v>92047</v>
      </c>
      <c r="R218" s="52"/>
      <c r="S218" s="52"/>
      <c r="T218" s="52"/>
      <c r="U218" s="52">
        <v>241879</v>
      </c>
      <c r="V218" s="52"/>
      <c r="W218" s="52">
        <v>436645</v>
      </c>
      <c r="X218" s="52"/>
      <c r="Y218" s="52">
        <v>436670</v>
      </c>
      <c r="Z218" s="52">
        <v>86777</v>
      </c>
      <c r="AA218" s="52">
        <v>112449</v>
      </c>
      <c r="AB218" s="52"/>
      <c r="AC218" s="52"/>
      <c r="AD218" s="52"/>
      <c r="AE218" s="52">
        <v>108950</v>
      </c>
      <c r="AF218" s="52"/>
      <c r="AG218" s="52">
        <v>197432</v>
      </c>
      <c r="AH218" s="52">
        <v>54317</v>
      </c>
      <c r="AI218" s="52"/>
      <c r="AJ218" s="52"/>
      <c r="AK218" s="52"/>
      <c r="AL218" s="52">
        <v>361979</v>
      </c>
      <c r="AM218" s="52"/>
      <c r="AN218" s="52"/>
      <c r="AO218" s="52">
        <v>158316</v>
      </c>
      <c r="AP218" s="52"/>
      <c r="AQ218" s="52">
        <v>4404</v>
      </c>
      <c r="AR218" s="52">
        <v>6483</v>
      </c>
      <c r="AS218" s="52">
        <v>115165</v>
      </c>
      <c r="AT218" s="52"/>
      <c r="AU218" s="52"/>
      <c r="AV218" s="52"/>
      <c r="AW218" s="52">
        <v>111842</v>
      </c>
      <c r="AX218" s="52"/>
      <c r="AY218" s="101"/>
      <c r="AZ218" s="52">
        <v>229088</v>
      </c>
      <c r="BA218" s="52">
        <v>87500</v>
      </c>
      <c r="BB218" s="52"/>
      <c r="BC218" s="52"/>
      <c r="BD218" s="52">
        <v>172816</v>
      </c>
      <c r="BE218" s="52"/>
      <c r="BF218" s="52"/>
      <c r="BG218" s="52"/>
      <c r="BH218" s="52">
        <v>187614</v>
      </c>
      <c r="BI218" s="52">
        <v>74896</v>
      </c>
      <c r="BJ218" s="52"/>
      <c r="BK218" s="52">
        <v>181826</v>
      </c>
      <c r="BL218" s="52">
        <v>186180</v>
      </c>
      <c r="BM218" s="52">
        <v>294348</v>
      </c>
      <c r="BN218" s="52"/>
      <c r="BO218" s="52">
        <v>282046</v>
      </c>
      <c r="BP218" s="52"/>
      <c r="BQ218" s="52"/>
      <c r="BR218" s="52"/>
      <c r="BS218" s="52"/>
      <c r="BT218" s="52">
        <v>96030</v>
      </c>
      <c r="BU218" s="52">
        <v>87500</v>
      </c>
      <c r="BV218" s="52"/>
      <c r="BW218" s="52"/>
      <c r="BX218" s="52">
        <v>62267</v>
      </c>
      <c r="BY218" s="52">
        <v>175000</v>
      </c>
      <c r="BZ218" s="52">
        <v>122036</v>
      </c>
      <c r="CA218" s="52"/>
      <c r="CB218" s="52"/>
      <c r="CC218" s="52"/>
      <c r="CD218" s="52">
        <v>102033</v>
      </c>
      <c r="CE218" s="52"/>
      <c r="CF218" s="52">
        <v>118899</v>
      </c>
      <c r="CG218" s="52">
        <v>101963</v>
      </c>
      <c r="CH218" s="52">
        <v>428468</v>
      </c>
      <c r="CI218" s="52"/>
      <c r="CJ218" s="52">
        <v>84959</v>
      </c>
      <c r="CK218" s="52"/>
      <c r="CL218" s="52">
        <v>177922</v>
      </c>
      <c r="CM218" s="52">
        <v>13964</v>
      </c>
      <c r="CN218" s="52"/>
      <c r="CO218" s="52"/>
      <c r="CP218" s="52"/>
      <c r="CQ218" s="52"/>
      <c r="CR218" s="52"/>
      <c r="CS218" s="52"/>
      <c r="CT218" s="52">
        <v>157737</v>
      </c>
      <c r="CU218" s="52">
        <v>172256</v>
      </c>
      <c r="CV218" s="52"/>
      <c r="CW218" s="52">
        <v>234326</v>
      </c>
      <c r="CX218" s="52">
        <v>234495</v>
      </c>
      <c r="CY218" s="52">
        <v>169955</v>
      </c>
      <c r="CZ218" s="52"/>
      <c r="DA218" s="52"/>
      <c r="DB218" s="52"/>
      <c r="DC218" s="52">
        <v>47909</v>
      </c>
      <c r="DD218" s="52"/>
      <c r="DE218" s="52">
        <v>7874080</v>
      </c>
      <c r="DF218" s="52">
        <v>47909</v>
      </c>
      <c r="DG218" s="52">
        <v>7921989</v>
      </c>
      <c r="DH218" s="52"/>
    </row>
    <row r="219" spans="1:112">
      <c r="A219" s="150" t="s">
        <v>412</v>
      </c>
      <c r="B219" s="44">
        <v>4930</v>
      </c>
      <c r="C219" s="44" t="s">
        <v>270</v>
      </c>
      <c r="D219" s="52"/>
      <c r="E219" s="52"/>
      <c r="F219" s="52"/>
      <c r="G219" s="52"/>
      <c r="H219" s="56"/>
      <c r="I219" s="56"/>
      <c r="J219" s="56"/>
      <c r="K219" s="56"/>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101"/>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v>10575</v>
      </c>
      <c r="CA219" s="52"/>
      <c r="CB219" s="52"/>
      <c r="CC219" s="52"/>
      <c r="CD219" s="52"/>
      <c r="CE219" s="52"/>
      <c r="CF219" s="52"/>
      <c r="CG219" s="52"/>
      <c r="CH219" s="52"/>
      <c r="CI219" s="52"/>
      <c r="CJ219" s="52"/>
      <c r="CK219" s="52"/>
      <c r="CL219" s="52">
        <v>125289</v>
      </c>
      <c r="CM219" s="52"/>
      <c r="CN219" s="52"/>
      <c r="CO219" s="52"/>
      <c r="CP219" s="52"/>
      <c r="CQ219" s="52"/>
      <c r="CR219" s="52"/>
      <c r="CS219" s="52"/>
      <c r="CT219" s="52"/>
      <c r="CU219" s="52"/>
      <c r="CV219" s="52"/>
      <c r="CW219" s="52"/>
      <c r="CX219" s="52"/>
      <c r="CY219" s="52"/>
      <c r="CZ219" s="52"/>
      <c r="DA219" s="52"/>
      <c r="DB219" s="52"/>
      <c r="DC219" s="52"/>
      <c r="DD219" s="52"/>
      <c r="DE219" s="52">
        <v>135864</v>
      </c>
      <c r="DF219" s="52"/>
      <c r="DG219" s="52">
        <v>135864</v>
      </c>
      <c r="DH219" s="52"/>
    </row>
    <row r="220" spans="1:112">
      <c r="A220" s="150" t="s">
        <v>412</v>
      </c>
      <c r="B220" s="44">
        <v>4952</v>
      </c>
      <c r="C220" s="44" t="s">
        <v>271</v>
      </c>
      <c r="D220" s="52"/>
      <c r="E220" s="52"/>
      <c r="F220" s="52"/>
      <c r="G220" s="52"/>
      <c r="H220" s="56"/>
      <c r="I220" s="56"/>
      <c r="J220" s="56"/>
      <c r="K220" s="56"/>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101"/>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row>
    <row r="221" spans="1:112">
      <c r="A221" s="150" t="s">
        <v>412</v>
      </c>
      <c r="B221" s="44">
        <v>4991</v>
      </c>
      <c r="C221" s="44" t="s">
        <v>272</v>
      </c>
      <c r="D221" s="52">
        <v>98779</v>
      </c>
      <c r="E221" s="52">
        <v>427835</v>
      </c>
      <c r="F221" s="52">
        <v>45848</v>
      </c>
      <c r="G221" s="52"/>
      <c r="H221" s="56">
        <v>170393</v>
      </c>
      <c r="I221" s="56">
        <v>90738</v>
      </c>
      <c r="J221" s="56"/>
      <c r="K221" s="56"/>
      <c r="L221" s="52">
        <v>255736</v>
      </c>
      <c r="M221" s="52"/>
      <c r="N221" s="52"/>
      <c r="O221" s="52">
        <v>38471</v>
      </c>
      <c r="P221" s="52">
        <v>30630</v>
      </c>
      <c r="Q221" s="52">
        <v>24228</v>
      </c>
      <c r="R221" s="52">
        <v>22830</v>
      </c>
      <c r="S221" s="52">
        <v>60897</v>
      </c>
      <c r="T221" s="52"/>
      <c r="U221" s="52">
        <v>420319</v>
      </c>
      <c r="V221" s="52"/>
      <c r="W221" s="52">
        <v>645086</v>
      </c>
      <c r="X221" s="52">
        <v>39478</v>
      </c>
      <c r="Y221" s="52">
        <v>766812</v>
      </c>
      <c r="Z221" s="52">
        <v>208755</v>
      </c>
      <c r="AA221" s="52">
        <v>123477</v>
      </c>
      <c r="AB221" s="52">
        <v>194258</v>
      </c>
      <c r="AC221" s="52">
        <v>25335</v>
      </c>
      <c r="AD221" s="52">
        <v>80765</v>
      </c>
      <c r="AE221" s="52">
        <v>23406</v>
      </c>
      <c r="AF221" s="52"/>
      <c r="AG221" s="52">
        <v>168789</v>
      </c>
      <c r="AH221" s="52">
        <v>264486</v>
      </c>
      <c r="AI221" s="52"/>
      <c r="AJ221" s="52"/>
      <c r="AK221" s="52"/>
      <c r="AL221" s="52">
        <v>37307</v>
      </c>
      <c r="AM221" s="52"/>
      <c r="AN221" s="52">
        <v>235286</v>
      </c>
      <c r="AO221" s="52">
        <v>62530</v>
      </c>
      <c r="AP221" s="52"/>
      <c r="AQ221" s="52"/>
      <c r="AR221" s="52">
        <v>74435</v>
      </c>
      <c r="AS221" s="52"/>
      <c r="AT221" s="52">
        <v>31112</v>
      </c>
      <c r="AU221" s="52">
        <v>111058</v>
      </c>
      <c r="AV221" s="52">
        <v>26840</v>
      </c>
      <c r="AW221" s="52">
        <v>39815</v>
      </c>
      <c r="AX221" s="52">
        <v>220232</v>
      </c>
      <c r="AY221" s="101">
        <v>1032075</v>
      </c>
      <c r="AZ221" s="52">
        <v>138964</v>
      </c>
      <c r="BA221" s="52"/>
      <c r="BB221" s="52">
        <v>41600</v>
      </c>
      <c r="BC221" s="52"/>
      <c r="BD221" s="52">
        <v>70869</v>
      </c>
      <c r="BE221" s="52">
        <v>28806</v>
      </c>
      <c r="BF221" s="52">
        <v>711444</v>
      </c>
      <c r="BG221" s="52">
        <v>72833</v>
      </c>
      <c r="BH221" s="52">
        <v>245919</v>
      </c>
      <c r="BI221" s="52">
        <v>244531</v>
      </c>
      <c r="BJ221" s="52">
        <v>286204</v>
      </c>
      <c r="BK221" s="52"/>
      <c r="BL221" s="52">
        <v>74752</v>
      </c>
      <c r="BM221" s="52">
        <v>362541</v>
      </c>
      <c r="BN221" s="52">
        <v>182042</v>
      </c>
      <c r="BO221" s="52"/>
      <c r="BP221" s="52">
        <v>70284</v>
      </c>
      <c r="BQ221" s="52">
        <v>344807</v>
      </c>
      <c r="BR221" s="52"/>
      <c r="BS221" s="52"/>
      <c r="BT221" s="52">
        <v>78945</v>
      </c>
      <c r="BU221" s="52">
        <v>49923</v>
      </c>
      <c r="BV221" s="52">
        <v>22853</v>
      </c>
      <c r="BW221" s="52"/>
      <c r="BX221" s="52">
        <v>125840</v>
      </c>
      <c r="BY221" s="52">
        <v>150179</v>
      </c>
      <c r="BZ221" s="52">
        <v>219610</v>
      </c>
      <c r="CA221" s="52"/>
      <c r="CB221" s="52">
        <v>64887</v>
      </c>
      <c r="CC221" s="52">
        <v>124929</v>
      </c>
      <c r="CD221" s="52">
        <v>215865</v>
      </c>
      <c r="CE221" s="52"/>
      <c r="CF221" s="52">
        <v>222554</v>
      </c>
      <c r="CG221" s="52">
        <v>499554</v>
      </c>
      <c r="CH221" s="52">
        <v>348833</v>
      </c>
      <c r="CI221" s="52">
        <v>56721</v>
      </c>
      <c r="CJ221" s="52">
        <v>94024</v>
      </c>
      <c r="CK221" s="52">
        <v>176341</v>
      </c>
      <c r="CL221" s="52">
        <v>62389</v>
      </c>
      <c r="CM221" s="52"/>
      <c r="CN221" s="52">
        <v>117247</v>
      </c>
      <c r="CO221" s="52">
        <v>162936</v>
      </c>
      <c r="CP221" s="52">
        <v>159220</v>
      </c>
      <c r="CQ221" s="52"/>
      <c r="CR221" s="52"/>
      <c r="CS221" s="52"/>
      <c r="CT221" s="52">
        <v>200782</v>
      </c>
      <c r="CU221" s="52">
        <v>215753</v>
      </c>
      <c r="CV221" s="52"/>
      <c r="CW221" s="52">
        <v>115909</v>
      </c>
      <c r="CX221" s="52">
        <v>142901</v>
      </c>
      <c r="CY221" s="52">
        <v>100977</v>
      </c>
      <c r="CZ221" s="52">
        <v>108047</v>
      </c>
      <c r="DA221" s="52">
        <v>283786</v>
      </c>
      <c r="DB221" s="52">
        <v>107117</v>
      </c>
      <c r="DC221" s="52"/>
      <c r="DD221" s="52">
        <v>30893</v>
      </c>
      <c r="DE221" s="52">
        <v>13201759</v>
      </c>
      <c r="DF221" s="52">
        <v>30893</v>
      </c>
      <c r="DG221" s="52">
        <v>13232652</v>
      </c>
      <c r="DH221" s="52"/>
    </row>
    <row r="222" spans="1:112">
      <c r="A222" s="150" t="s">
        <v>412</v>
      </c>
      <c r="B222" s="44">
        <v>4992</v>
      </c>
      <c r="C222" s="44" t="s">
        <v>273</v>
      </c>
      <c r="D222" s="52">
        <v>86296</v>
      </c>
      <c r="E222" s="52"/>
      <c r="F222" s="52"/>
      <c r="G222" s="52"/>
      <c r="H222" s="56"/>
      <c r="I222" s="56"/>
      <c r="J222" s="56"/>
      <c r="K222" s="56"/>
      <c r="L222" s="52"/>
      <c r="M222" s="52"/>
      <c r="N222" s="52"/>
      <c r="O222" s="52"/>
      <c r="P222" s="52"/>
      <c r="Q222" s="52"/>
      <c r="R222" s="52"/>
      <c r="S222" s="52"/>
      <c r="T222" s="52"/>
      <c r="U222" s="52"/>
      <c r="V222" s="52"/>
      <c r="W222" s="52"/>
      <c r="X222" s="52"/>
      <c r="Y222" s="52">
        <v>182570</v>
      </c>
      <c r="Z222" s="52"/>
      <c r="AA222" s="52"/>
      <c r="AB222" s="52">
        <v>189096</v>
      </c>
      <c r="AC222" s="52"/>
      <c r="AD222" s="52"/>
      <c r="AE222" s="52"/>
      <c r="AF222" s="52"/>
      <c r="AG222" s="52"/>
      <c r="AH222" s="52"/>
      <c r="AI222" s="52"/>
      <c r="AJ222" s="52"/>
      <c r="AK222" s="52"/>
      <c r="AL222" s="52"/>
      <c r="AM222" s="52"/>
      <c r="AN222" s="52"/>
      <c r="AO222" s="52"/>
      <c r="AP222" s="52"/>
      <c r="AQ222" s="52">
        <v>80945</v>
      </c>
      <c r="AR222" s="52">
        <v>36179</v>
      </c>
      <c r="AS222" s="52"/>
      <c r="AT222" s="52"/>
      <c r="AU222" s="52"/>
      <c r="AV222" s="52"/>
      <c r="AW222" s="52"/>
      <c r="AX222" s="52"/>
      <c r="AY222" s="101"/>
      <c r="AZ222" s="52"/>
      <c r="BA222" s="52"/>
      <c r="BB222" s="52"/>
      <c r="BC222" s="52"/>
      <c r="BD222" s="52"/>
      <c r="BE222" s="52"/>
      <c r="BF222" s="52"/>
      <c r="BG222" s="52"/>
      <c r="BH222" s="52"/>
      <c r="BI222" s="52"/>
      <c r="BJ222" s="52">
        <v>49068</v>
      </c>
      <c r="BK222" s="52">
        <v>28130</v>
      </c>
      <c r="BL222" s="52"/>
      <c r="BM222" s="52"/>
      <c r="BN222" s="52"/>
      <c r="BO222" s="52"/>
      <c r="BP222" s="52"/>
      <c r="BQ222" s="52"/>
      <c r="BR222" s="52"/>
      <c r="BS222" s="52"/>
      <c r="BT222" s="52"/>
      <c r="BU222" s="52"/>
      <c r="BV222" s="52"/>
      <c r="BW222" s="52"/>
      <c r="BX222" s="52"/>
      <c r="BY222" s="52">
        <v>80940</v>
      </c>
      <c r="BZ222" s="52">
        <v>63000</v>
      </c>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v>164832</v>
      </c>
      <c r="CX222" s="52"/>
      <c r="CY222" s="52"/>
      <c r="CZ222" s="52"/>
      <c r="DA222" s="52"/>
      <c r="DB222" s="52"/>
      <c r="DC222" s="52"/>
      <c r="DD222" s="52"/>
      <c r="DE222" s="52">
        <v>961056</v>
      </c>
      <c r="DF222" s="52"/>
      <c r="DG222" s="52">
        <v>961056</v>
      </c>
      <c r="DH222" s="52"/>
    </row>
    <row r="223" spans="1:112">
      <c r="A223" s="150" t="s">
        <v>412</v>
      </c>
      <c r="B223" s="44">
        <v>4993</v>
      </c>
      <c r="C223" s="44" t="s">
        <v>274</v>
      </c>
      <c r="D223" s="52"/>
      <c r="E223" s="52"/>
      <c r="F223" s="52"/>
      <c r="G223" s="52"/>
      <c r="H223" s="56"/>
      <c r="I223" s="56"/>
      <c r="J223" s="56"/>
      <c r="K223" s="56"/>
      <c r="L223" s="52"/>
      <c r="M223" s="52"/>
      <c r="N223" s="52"/>
      <c r="O223" s="52"/>
      <c r="P223" s="52"/>
      <c r="Q223" s="52"/>
      <c r="R223" s="52"/>
      <c r="S223" s="52">
        <v>1620</v>
      </c>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101"/>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v>1620</v>
      </c>
      <c r="DF223" s="52"/>
      <c r="DG223" s="52">
        <v>1620</v>
      </c>
      <c r="DH223" s="52"/>
    </row>
    <row r="224" spans="1:112">
      <c r="A224" s="150" t="s">
        <v>412</v>
      </c>
      <c r="B224" s="44">
        <v>4994</v>
      </c>
      <c r="C224" s="44" t="s">
        <v>275</v>
      </c>
      <c r="D224" s="52"/>
      <c r="E224" s="52">
        <v>18528</v>
      </c>
      <c r="F224" s="52"/>
      <c r="G224" s="52"/>
      <c r="H224" s="56"/>
      <c r="I224" s="56"/>
      <c r="J224" s="56"/>
      <c r="K224" s="56"/>
      <c r="L224" s="52"/>
      <c r="M224" s="52"/>
      <c r="N224" s="52"/>
      <c r="O224" s="52">
        <v>4860</v>
      </c>
      <c r="P224" s="52">
        <v>4860</v>
      </c>
      <c r="Q224" s="52"/>
      <c r="R224" s="52"/>
      <c r="S224" s="52"/>
      <c r="T224" s="52"/>
      <c r="U224" s="52">
        <v>286526</v>
      </c>
      <c r="V224" s="52"/>
      <c r="W224" s="52">
        <v>56698</v>
      </c>
      <c r="X224" s="52"/>
      <c r="Y224" s="52">
        <v>436500</v>
      </c>
      <c r="Z224" s="52">
        <v>6885</v>
      </c>
      <c r="AA224" s="52">
        <v>4050</v>
      </c>
      <c r="AB224" s="52"/>
      <c r="AC224" s="52"/>
      <c r="AD224" s="52"/>
      <c r="AE224" s="52"/>
      <c r="AF224" s="52"/>
      <c r="AG224" s="52"/>
      <c r="AH224" s="52">
        <v>9112</v>
      </c>
      <c r="AI224" s="52"/>
      <c r="AJ224" s="52"/>
      <c r="AK224" s="52"/>
      <c r="AL224" s="52"/>
      <c r="AM224" s="52"/>
      <c r="AN224" s="52">
        <v>31182</v>
      </c>
      <c r="AO224" s="52"/>
      <c r="AP224" s="52"/>
      <c r="AQ224" s="52">
        <v>2632</v>
      </c>
      <c r="AR224" s="52"/>
      <c r="AS224" s="52">
        <v>14477</v>
      </c>
      <c r="AT224" s="52"/>
      <c r="AU224" s="52"/>
      <c r="AV224" s="52">
        <v>2814</v>
      </c>
      <c r="AW224" s="52"/>
      <c r="AX224" s="52">
        <v>6885</v>
      </c>
      <c r="AY224" s="101">
        <v>79477</v>
      </c>
      <c r="AZ224" s="52">
        <v>4860</v>
      </c>
      <c r="BA224" s="52"/>
      <c r="BB224" s="52"/>
      <c r="BC224" s="52"/>
      <c r="BD224" s="52"/>
      <c r="BE224" s="52">
        <v>2500</v>
      </c>
      <c r="BF224" s="52"/>
      <c r="BG224" s="52"/>
      <c r="BH224" s="52"/>
      <c r="BI224" s="52"/>
      <c r="BJ224" s="52"/>
      <c r="BK224" s="52"/>
      <c r="BL224" s="52">
        <v>10528</v>
      </c>
      <c r="BM224" s="52"/>
      <c r="BN224" s="52"/>
      <c r="BO224" s="52"/>
      <c r="BP224" s="52"/>
      <c r="BQ224" s="52"/>
      <c r="BR224" s="52">
        <v>4860</v>
      </c>
      <c r="BS224" s="52"/>
      <c r="BT224" s="52"/>
      <c r="BU224" s="52"/>
      <c r="BV224" s="52"/>
      <c r="BW224" s="52"/>
      <c r="BX224" s="52"/>
      <c r="BY224" s="52"/>
      <c r="BZ224" s="52">
        <v>59937</v>
      </c>
      <c r="CA224" s="52"/>
      <c r="CB224" s="52">
        <v>3240</v>
      </c>
      <c r="CC224" s="52">
        <v>4050</v>
      </c>
      <c r="CD224" s="52"/>
      <c r="CE224" s="52"/>
      <c r="CF224" s="52"/>
      <c r="CG224" s="52">
        <v>115798</v>
      </c>
      <c r="CH224" s="52"/>
      <c r="CI224" s="52"/>
      <c r="CJ224" s="52">
        <v>16200</v>
      </c>
      <c r="CK224" s="52"/>
      <c r="CL224" s="52">
        <v>5265</v>
      </c>
      <c r="CM224" s="52"/>
      <c r="CN224" s="52"/>
      <c r="CO224" s="52">
        <v>2025</v>
      </c>
      <c r="CP224" s="52">
        <v>36056</v>
      </c>
      <c r="CQ224" s="52"/>
      <c r="CR224" s="52"/>
      <c r="CS224" s="52"/>
      <c r="CT224" s="52"/>
      <c r="CU224" s="52">
        <v>3606</v>
      </c>
      <c r="CV224" s="52"/>
      <c r="CW224" s="52"/>
      <c r="CX224" s="52"/>
      <c r="CY224" s="52"/>
      <c r="CZ224" s="52"/>
      <c r="DA224" s="52">
        <v>26830</v>
      </c>
      <c r="DB224" s="52"/>
      <c r="DC224" s="52"/>
      <c r="DD224" s="52"/>
      <c r="DE224" s="52">
        <v>1261241</v>
      </c>
      <c r="DF224" s="52"/>
      <c r="DG224" s="52">
        <v>1261241</v>
      </c>
      <c r="DH224" s="52"/>
    </row>
    <row r="225" spans="1:114">
      <c r="A225" s="150" t="s">
        <v>412</v>
      </c>
      <c r="B225" s="44">
        <v>4995</v>
      </c>
      <c r="C225" s="44" t="s">
        <v>276</v>
      </c>
      <c r="D225" s="52"/>
      <c r="E225" s="52"/>
      <c r="F225" s="52">
        <v>8000</v>
      </c>
      <c r="G225" s="52"/>
      <c r="H225" s="56">
        <v>4970</v>
      </c>
      <c r="I225" s="56"/>
      <c r="J225" s="56"/>
      <c r="K225" s="56"/>
      <c r="L225" s="52"/>
      <c r="M225" s="52"/>
      <c r="N225" s="52"/>
      <c r="O225" s="52"/>
      <c r="P225" s="52"/>
      <c r="Q225" s="52"/>
      <c r="R225" s="52"/>
      <c r="S225" s="52"/>
      <c r="T225" s="52"/>
      <c r="U225" s="52"/>
      <c r="V225" s="52"/>
      <c r="W225" s="52">
        <v>4000</v>
      </c>
      <c r="X225" s="52"/>
      <c r="Y225" s="52"/>
      <c r="Z225" s="52"/>
      <c r="AA225" s="52"/>
      <c r="AB225" s="52"/>
      <c r="AC225" s="52"/>
      <c r="AD225" s="52"/>
      <c r="AE225" s="52"/>
      <c r="AF225" s="52"/>
      <c r="AG225" s="52"/>
      <c r="AH225" s="52"/>
      <c r="AI225" s="52"/>
      <c r="AJ225" s="52"/>
      <c r="AK225" s="52"/>
      <c r="AL225" s="52"/>
      <c r="AM225" s="52"/>
      <c r="AN225" s="52"/>
      <c r="AO225" s="52"/>
      <c r="AP225" s="52"/>
      <c r="AQ225" s="52"/>
      <c r="AR225" s="52">
        <v>3410</v>
      </c>
      <c r="AS225" s="52"/>
      <c r="AT225" s="52"/>
      <c r="AU225" s="52"/>
      <c r="AV225" s="52"/>
      <c r="AW225" s="52"/>
      <c r="AX225" s="52"/>
      <c r="AY225" s="101"/>
      <c r="AZ225" s="52"/>
      <c r="BA225" s="52"/>
      <c r="BB225" s="52"/>
      <c r="BC225" s="52"/>
      <c r="BD225" s="52"/>
      <c r="BE225" s="52"/>
      <c r="BF225" s="52"/>
      <c r="BG225" s="52">
        <v>4375</v>
      </c>
      <c r="BH225" s="52"/>
      <c r="BI225" s="52"/>
      <c r="BJ225" s="52">
        <v>2790</v>
      </c>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v>2891</v>
      </c>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v>30436</v>
      </c>
      <c r="DF225" s="52"/>
      <c r="DG225" s="52">
        <v>30436</v>
      </c>
      <c r="DH225" s="52"/>
    </row>
    <row r="226" spans="1:114">
      <c r="A226" s="150" t="s">
        <v>412</v>
      </c>
      <c r="B226" s="44">
        <v>4996</v>
      </c>
      <c r="C226" s="44" t="s">
        <v>277</v>
      </c>
      <c r="D226" s="52"/>
      <c r="E226" s="52">
        <v>4294</v>
      </c>
      <c r="F226" s="52"/>
      <c r="G226" s="52"/>
      <c r="H226" s="56">
        <v>15000</v>
      </c>
      <c r="I226" s="56">
        <v>4500</v>
      </c>
      <c r="J226" s="56"/>
      <c r="K226" s="56"/>
      <c r="L226" s="52">
        <v>4500</v>
      </c>
      <c r="M226" s="52"/>
      <c r="N226" s="52"/>
      <c r="O226" s="52">
        <v>4500</v>
      </c>
      <c r="P226" s="52"/>
      <c r="Q226" s="52"/>
      <c r="R226" s="52"/>
      <c r="S226" s="52"/>
      <c r="T226" s="52"/>
      <c r="U226" s="52"/>
      <c r="V226" s="52"/>
      <c r="W226" s="52"/>
      <c r="X226" s="52">
        <v>3545</v>
      </c>
      <c r="Y226" s="52">
        <v>4462</v>
      </c>
      <c r="Z226" s="52"/>
      <c r="AA226" s="52"/>
      <c r="AB226" s="52"/>
      <c r="AC226" s="52">
        <v>2094</v>
      </c>
      <c r="AD226" s="52">
        <v>1729</v>
      </c>
      <c r="AE226" s="52"/>
      <c r="AF226" s="52"/>
      <c r="AG226" s="52">
        <v>6432</v>
      </c>
      <c r="AH226" s="52"/>
      <c r="AI226" s="52"/>
      <c r="AJ226" s="52"/>
      <c r="AK226" s="52">
        <v>2147</v>
      </c>
      <c r="AL226" s="52"/>
      <c r="AM226" s="52"/>
      <c r="AN226" s="52"/>
      <c r="AO226" s="52"/>
      <c r="AP226" s="52"/>
      <c r="AQ226" s="52"/>
      <c r="AR226" s="52"/>
      <c r="AS226" s="52"/>
      <c r="AT226" s="52"/>
      <c r="AU226" s="52"/>
      <c r="AV226" s="52"/>
      <c r="AW226" s="52"/>
      <c r="AX226" s="52"/>
      <c r="AY226" s="101"/>
      <c r="AZ226" s="52"/>
      <c r="BA226" s="52"/>
      <c r="BB226" s="52"/>
      <c r="BC226" s="52"/>
      <c r="BD226" s="52"/>
      <c r="BE226" s="52">
        <v>4469</v>
      </c>
      <c r="BF226" s="52"/>
      <c r="BG226" s="52">
        <v>3008</v>
      </c>
      <c r="BH226" s="52"/>
      <c r="BI226" s="52"/>
      <c r="BJ226" s="52"/>
      <c r="BK226" s="52"/>
      <c r="BL226" s="52"/>
      <c r="BM226" s="52"/>
      <c r="BN226" s="52"/>
      <c r="BO226" s="52"/>
      <c r="BP226" s="52"/>
      <c r="BQ226" s="52"/>
      <c r="BR226" s="52">
        <v>3740</v>
      </c>
      <c r="BS226" s="52"/>
      <c r="BT226" s="52">
        <v>4500</v>
      </c>
      <c r="BU226" s="52"/>
      <c r="BV226" s="52">
        <v>23235</v>
      </c>
      <c r="BW226" s="52"/>
      <c r="BX226" s="52"/>
      <c r="BY226" s="52"/>
      <c r="BZ226" s="52"/>
      <c r="CA226" s="52"/>
      <c r="CB226" s="52"/>
      <c r="CC226" s="52">
        <v>4500</v>
      </c>
      <c r="CD226" s="52"/>
      <c r="CE226" s="52"/>
      <c r="CF226" s="52">
        <v>15000</v>
      </c>
      <c r="CG226" s="52"/>
      <c r="CH226" s="52">
        <v>80000</v>
      </c>
      <c r="CI226" s="52"/>
      <c r="CJ226" s="52">
        <v>4500</v>
      </c>
      <c r="CK226" s="52"/>
      <c r="CL226" s="52"/>
      <c r="CM226" s="52"/>
      <c r="CN226" s="52">
        <v>3779</v>
      </c>
      <c r="CO226" s="52"/>
      <c r="CP226" s="52"/>
      <c r="CQ226" s="52"/>
      <c r="CR226" s="52"/>
      <c r="CS226" s="52"/>
      <c r="CT226" s="52"/>
      <c r="CU226" s="52"/>
      <c r="CV226" s="52"/>
      <c r="CW226" s="52"/>
      <c r="CX226" s="52"/>
      <c r="CY226" s="52"/>
      <c r="CZ226" s="52"/>
      <c r="DA226" s="52"/>
      <c r="DB226" s="52"/>
      <c r="DC226" s="52"/>
      <c r="DD226" s="52"/>
      <c r="DE226" s="52">
        <v>199934</v>
      </c>
      <c r="DF226" s="52"/>
      <c r="DG226" s="52">
        <v>199934</v>
      </c>
      <c r="DH226" s="52"/>
    </row>
    <row r="227" spans="1:114">
      <c r="A227" s="150" t="s">
        <v>412</v>
      </c>
      <c r="B227" s="44">
        <v>4998</v>
      </c>
      <c r="C227" s="44" t="s">
        <v>278</v>
      </c>
      <c r="D227" s="52"/>
      <c r="E227" s="52"/>
      <c r="F227" s="52"/>
      <c r="G227" s="52"/>
      <c r="H227" s="56">
        <v>18026</v>
      </c>
      <c r="I227" s="56"/>
      <c r="J227" s="56"/>
      <c r="K227" s="56"/>
      <c r="L227" s="52">
        <v>27956</v>
      </c>
      <c r="M227" s="52"/>
      <c r="N227" s="52"/>
      <c r="O227" s="52"/>
      <c r="P227" s="52"/>
      <c r="Q227" s="52"/>
      <c r="R227" s="52"/>
      <c r="S227" s="52"/>
      <c r="T227" s="52"/>
      <c r="U227" s="52"/>
      <c r="V227" s="52"/>
      <c r="W227" s="52"/>
      <c r="X227" s="52">
        <v>27236</v>
      </c>
      <c r="Y227" s="52"/>
      <c r="Z227" s="52"/>
      <c r="AA227" s="52"/>
      <c r="AB227" s="52"/>
      <c r="AC227" s="52">
        <v>21053</v>
      </c>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101"/>
      <c r="AZ227" s="52"/>
      <c r="BA227" s="52"/>
      <c r="BB227" s="52"/>
      <c r="BC227" s="52"/>
      <c r="BD227" s="52"/>
      <c r="BE227" s="52"/>
      <c r="BF227" s="52"/>
      <c r="BG227" s="52">
        <v>48122</v>
      </c>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v>79446</v>
      </c>
      <c r="CE227" s="52"/>
      <c r="CF227" s="52"/>
      <c r="CG227" s="52"/>
      <c r="CH227" s="52"/>
      <c r="CI227" s="52"/>
      <c r="CJ227" s="52"/>
      <c r="CK227" s="52"/>
      <c r="CL227" s="52">
        <v>58894</v>
      </c>
      <c r="CM227" s="52"/>
      <c r="CN227" s="52"/>
      <c r="CO227" s="52"/>
      <c r="CP227" s="52"/>
      <c r="CQ227" s="52"/>
      <c r="CR227" s="52"/>
      <c r="CS227" s="52"/>
      <c r="CT227" s="52"/>
      <c r="CU227" s="52">
        <v>279553</v>
      </c>
      <c r="CV227" s="52"/>
      <c r="CW227" s="52"/>
      <c r="CX227" s="52">
        <v>154088</v>
      </c>
      <c r="CY227" s="52"/>
      <c r="CZ227" s="52"/>
      <c r="DA227" s="52"/>
      <c r="DB227" s="52"/>
      <c r="DC227" s="52"/>
      <c r="DD227" s="52"/>
      <c r="DE227" s="52">
        <v>714374</v>
      </c>
      <c r="DF227" s="52"/>
      <c r="DG227" s="52">
        <v>714374</v>
      </c>
      <c r="DH227" s="52"/>
    </row>
    <row r="228" spans="1:114">
      <c r="A228" s="150" t="s">
        <v>412</v>
      </c>
      <c r="B228" s="44">
        <v>4999</v>
      </c>
      <c r="C228" s="44" t="s">
        <v>279</v>
      </c>
      <c r="D228" s="52">
        <v>16958</v>
      </c>
      <c r="E228" s="52">
        <v>413880</v>
      </c>
      <c r="F228" s="52">
        <v>63132</v>
      </c>
      <c r="G228" s="52"/>
      <c r="H228" s="56">
        <v>293157</v>
      </c>
      <c r="I228" s="56">
        <v>64146</v>
      </c>
      <c r="J228" s="56">
        <v>50</v>
      </c>
      <c r="K228" s="56">
        <v>170031</v>
      </c>
      <c r="L228" s="52">
        <v>1257276</v>
      </c>
      <c r="M228" s="52"/>
      <c r="N228" s="52"/>
      <c r="O228" s="52">
        <v>50490</v>
      </c>
      <c r="P228" s="52">
        <v>161149</v>
      </c>
      <c r="Q228" s="52"/>
      <c r="R228" s="52">
        <v>2000</v>
      </c>
      <c r="S228" s="52">
        <v>224193</v>
      </c>
      <c r="T228" s="52"/>
      <c r="U228" s="52">
        <v>2225082</v>
      </c>
      <c r="V228" s="52"/>
      <c r="W228" s="52">
        <v>1534346</v>
      </c>
      <c r="X228" s="52">
        <v>54374</v>
      </c>
      <c r="Y228" s="52">
        <v>4000204</v>
      </c>
      <c r="Z228" s="52">
        <v>340613</v>
      </c>
      <c r="AA228" s="52">
        <v>1432500</v>
      </c>
      <c r="AB228" s="52">
        <v>137645</v>
      </c>
      <c r="AC228" s="52">
        <v>50167</v>
      </c>
      <c r="AD228" s="52">
        <v>976563</v>
      </c>
      <c r="AE228" s="52">
        <v>8052</v>
      </c>
      <c r="AF228" s="52">
        <v>10360</v>
      </c>
      <c r="AG228" s="52">
        <v>392330</v>
      </c>
      <c r="AH228" s="52">
        <v>520346</v>
      </c>
      <c r="AI228" s="52"/>
      <c r="AJ228" s="52">
        <v>7979</v>
      </c>
      <c r="AK228" s="52">
        <v>283165</v>
      </c>
      <c r="AL228" s="52">
        <v>13500</v>
      </c>
      <c r="AM228" s="52"/>
      <c r="AN228" s="52">
        <v>503964</v>
      </c>
      <c r="AO228" s="52"/>
      <c r="AP228" s="52"/>
      <c r="AQ228" s="52">
        <v>111337</v>
      </c>
      <c r="AR228" s="52">
        <v>96518</v>
      </c>
      <c r="AS228" s="52">
        <v>1066437</v>
      </c>
      <c r="AT228" s="52"/>
      <c r="AU228" s="52">
        <v>1204604</v>
      </c>
      <c r="AV228" s="52">
        <v>108948</v>
      </c>
      <c r="AW228" s="52"/>
      <c r="AX228" s="52">
        <v>594443</v>
      </c>
      <c r="AY228" s="101">
        <v>2357115</v>
      </c>
      <c r="AZ228" s="52">
        <v>187104</v>
      </c>
      <c r="BA228" s="52">
        <v>76494</v>
      </c>
      <c r="BB228" s="52">
        <v>11046</v>
      </c>
      <c r="BC228" s="52"/>
      <c r="BD228" s="52">
        <v>147333</v>
      </c>
      <c r="BE228" s="52">
        <v>125526</v>
      </c>
      <c r="BF228" s="52">
        <v>1431939</v>
      </c>
      <c r="BG228" s="52">
        <v>110459</v>
      </c>
      <c r="BH228" s="52">
        <v>940041</v>
      </c>
      <c r="BI228" s="52">
        <v>3842527</v>
      </c>
      <c r="BJ228" s="52">
        <v>111155</v>
      </c>
      <c r="BK228" s="52">
        <v>53333</v>
      </c>
      <c r="BL228" s="52">
        <v>52111</v>
      </c>
      <c r="BM228" s="52">
        <v>613243</v>
      </c>
      <c r="BN228" s="52">
        <v>140312</v>
      </c>
      <c r="BO228" s="52">
        <v>99063</v>
      </c>
      <c r="BP228" s="52">
        <v>81748</v>
      </c>
      <c r="BQ228" s="52">
        <v>1426570</v>
      </c>
      <c r="BR228" s="52">
        <v>236873</v>
      </c>
      <c r="BS228" s="52"/>
      <c r="BT228" s="52">
        <v>382654</v>
      </c>
      <c r="BU228" s="52">
        <v>930680</v>
      </c>
      <c r="BV228" s="52">
        <v>9447</v>
      </c>
      <c r="BW228" s="52">
        <v>500</v>
      </c>
      <c r="BX228" s="52">
        <v>115751</v>
      </c>
      <c r="BY228" s="52">
        <v>134170</v>
      </c>
      <c r="BZ228" s="52">
        <v>289635</v>
      </c>
      <c r="CA228" s="52"/>
      <c r="CB228" s="52">
        <v>133860</v>
      </c>
      <c r="CC228" s="52">
        <v>91605</v>
      </c>
      <c r="CD228" s="52">
        <v>596731</v>
      </c>
      <c r="CE228" s="52"/>
      <c r="CF228" s="52">
        <v>785495</v>
      </c>
      <c r="CG228" s="52">
        <v>2223658</v>
      </c>
      <c r="CH228" s="52">
        <v>2734594</v>
      </c>
      <c r="CI228" s="52">
        <v>57432</v>
      </c>
      <c r="CJ228" s="52">
        <v>248447</v>
      </c>
      <c r="CK228" s="52">
        <v>53220</v>
      </c>
      <c r="CL228" s="52">
        <v>35500</v>
      </c>
      <c r="CM228" s="52"/>
      <c r="CN228" s="52">
        <v>82409</v>
      </c>
      <c r="CO228" s="52">
        <v>92436</v>
      </c>
      <c r="CP228" s="52">
        <v>162713</v>
      </c>
      <c r="CQ228" s="52"/>
      <c r="CR228" s="52"/>
      <c r="CS228" s="52"/>
      <c r="CT228" s="52">
        <v>1204565</v>
      </c>
      <c r="CU228" s="52">
        <v>1355151</v>
      </c>
      <c r="CV228" s="52"/>
      <c r="CW228" s="52">
        <v>74814</v>
      </c>
      <c r="CX228" s="52">
        <v>555312</v>
      </c>
      <c r="CY228" s="52">
        <v>58517</v>
      </c>
      <c r="CZ228" s="52">
        <v>56448</v>
      </c>
      <c r="DA228" s="52">
        <v>299335</v>
      </c>
      <c r="DB228" s="52">
        <v>145578</v>
      </c>
      <c r="DC228" s="52">
        <v>64309</v>
      </c>
      <c r="DD228" s="52"/>
      <c r="DE228" s="52">
        <v>43344588</v>
      </c>
      <c r="DF228" s="52">
        <v>64309</v>
      </c>
      <c r="DG228" s="52">
        <v>43408897</v>
      </c>
      <c r="DH228" s="52"/>
    </row>
    <row r="229" spans="1:114" ht="15">
      <c r="A229" s="150"/>
      <c r="C229" s="60" t="s">
        <v>416</v>
      </c>
      <c r="D229" s="61">
        <f>SUM(D194:D228)</f>
        <v>3628271</v>
      </c>
      <c r="E229" s="61">
        <f t="shared" ref="E229:BP229" si="6">SUM(E194:E228)</f>
        <v>22591047</v>
      </c>
      <c r="F229" s="61">
        <f t="shared" si="6"/>
        <v>3004318</v>
      </c>
      <c r="G229" s="61">
        <f t="shared" si="6"/>
        <v>0</v>
      </c>
      <c r="H229" s="61">
        <f t="shared" si="6"/>
        <v>4875036</v>
      </c>
      <c r="I229" s="61">
        <f t="shared" si="6"/>
        <v>3074753</v>
      </c>
      <c r="J229" s="61">
        <f t="shared" si="6"/>
        <v>2542156</v>
      </c>
      <c r="K229" s="61">
        <f t="shared" si="6"/>
        <v>2598938</v>
      </c>
      <c r="L229" s="61">
        <f t="shared" si="6"/>
        <v>11974293</v>
      </c>
      <c r="M229" s="61">
        <f t="shared" si="6"/>
        <v>0</v>
      </c>
      <c r="N229" s="61">
        <f t="shared" si="6"/>
        <v>86380</v>
      </c>
      <c r="O229" s="61">
        <f t="shared" si="6"/>
        <v>2392397</v>
      </c>
      <c r="P229" s="61">
        <f t="shared" si="6"/>
        <v>1951283</v>
      </c>
      <c r="Q229" s="61">
        <f t="shared" si="6"/>
        <v>1657631</v>
      </c>
      <c r="R229" s="61">
        <f t="shared" si="6"/>
        <v>1162577</v>
      </c>
      <c r="S229" s="61">
        <f t="shared" si="6"/>
        <v>2514099</v>
      </c>
      <c r="T229" s="61">
        <f t="shared" si="6"/>
        <v>12912</v>
      </c>
      <c r="U229" s="61">
        <f t="shared" si="6"/>
        <v>20512255</v>
      </c>
      <c r="V229" s="61">
        <f t="shared" si="6"/>
        <v>182481</v>
      </c>
      <c r="W229" s="61">
        <f t="shared" si="6"/>
        <v>24866432</v>
      </c>
      <c r="X229" s="61">
        <f t="shared" si="6"/>
        <v>2163572</v>
      </c>
      <c r="Y229" s="61">
        <f t="shared" si="6"/>
        <v>52514949</v>
      </c>
      <c r="Z229" s="61">
        <f t="shared" si="6"/>
        <v>9576799</v>
      </c>
      <c r="AA229" s="61">
        <f t="shared" si="6"/>
        <v>7598626</v>
      </c>
      <c r="AB229" s="61">
        <f t="shared" si="6"/>
        <v>8360835</v>
      </c>
      <c r="AC229" s="61">
        <f t="shared" si="6"/>
        <v>1853363</v>
      </c>
      <c r="AD229" s="61">
        <f t="shared" si="6"/>
        <v>5339019</v>
      </c>
      <c r="AE229" s="61">
        <f t="shared" si="6"/>
        <v>1176265</v>
      </c>
      <c r="AF229" s="61">
        <f t="shared" si="6"/>
        <v>10360</v>
      </c>
      <c r="AG229" s="61">
        <f t="shared" si="6"/>
        <v>9449011</v>
      </c>
      <c r="AH229" s="61">
        <f t="shared" si="6"/>
        <v>13977202</v>
      </c>
      <c r="AI229" s="61">
        <f t="shared" si="6"/>
        <v>0</v>
      </c>
      <c r="AJ229" s="61">
        <f t="shared" si="6"/>
        <v>1100460</v>
      </c>
      <c r="AK229" s="61">
        <f t="shared" si="6"/>
        <v>5286013</v>
      </c>
      <c r="AL229" s="61">
        <f t="shared" si="6"/>
        <v>1924563</v>
      </c>
      <c r="AM229" s="61">
        <f t="shared" si="6"/>
        <v>139914</v>
      </c>
      <c r="AN229" s="61">
        <f t="shared" si="6"/>
        <v>10313059</v>
      </c>
      <c r="AO229" s="61">
        <f t="shared" si="6"/>
        <v>3430635</v>
      </c>
      <c r="AP229" s="61">
        <f t="shared" si="6"/>
        <v>0</v>
      </c>
      <c r="AQ229" s="61">
        <f t="shared" si="6"/>
        <v>3713502</v>
      </c>
      <c r="AR229" s="61">
        <f t="shared" si="6"/>
        <v>5073637</v>
      </c>
      <c r="AS229" s="61">
        <f t="shared" si="6"/>
        <v>15855692</v>
      </c>
      <c r="AT229" s="61">
        <f t="shared" si="6"/>
        <v>1249002</v>
      </c>
      <c r="AU229" s="61">
        <f t="shared" si="6"/>
        <v>8091266</v>
      </c>
      <c r="AV229" s="61">
        <f t="shared" si="6"/>
        <v>1564610</v>
      </c>
      <c r="AW229" s="61">
        <f t="shared" si="6"/>
        <v>1508866</v>
      </c>
      <c r="AX229" s="61">
        <f t="shared" si="6"/>
        <v>11346574</v>
      </c>
      <c r="AY229" s="102">
        <f t="shared" si="6"/>
        <v>52900675</v>
      </c>
      <c r="AZ229" s="61">
        <f t="shared" si="6"/>
        <v>8612990</v>
      </c>
      <c r="BA229" s="61">
        <f t="shared" si="6"/>
        <v>1134998</v>
      </c>
      <c r="BB229" s="61">
        <f t="shared" si="6"/>
        <v>1071956</v>
      </c>
      <c r="BC229" s="61">
        <f t="shared" si="6"/>
        <v>0</v>
      </c>
      <c r="BD229" s="61">
        <f t="shared" si="6"/>
        <v>3323769</v>
      </c>
      <c r="BE229" s="61">
        <f t="shared" si="6"/>
        <v>2340572</v>
      </c>
      <c r="BF229" s="61">
        <f t="shared" si="6"/>
        <v>32308281</v>
      </c>
      <c r="BG229" s="61">
        <f t="shared" si="6"/>
        <v>4897127</v>
      </c>
      <c r="BH229" s="61">
        <f t="shared" si="6"/>
        <v>9061769</v>
      </c>
      <c r="BI229" s="61">
        <f t="shared" si="6"/>
        <v>12794376</v>
      </c>
      <c r="BJ229" s="61">
        <f t="shared" si="6"/>
        <v>5951073</v>
      </c>
      <c r="BK229" s="61">
        <f t="shared" si="6"/>
        <v>4724125</v>
      </c>
      <c r="BL229" s="61">
        <f t="shared" si="6"/>
        <v>4579687</v>
      </c>
      <c r="BM229" s="61">
        <f t="shared" si="6"/>
        <v>11183309</v>
      </c>
      <c r="BN229" s="61">
        <f t="shared" si="6"/>
        <v>7965294</v>
      </c>
      <c r="BO229" s="61">
        <f t="shared" si="6"/>
        <v>2602194</v>
      </c>
      <c r="BP229" s="61">
        <f t="shared" si="6"/>
        <v>4854189</v>
      </c>
      <c r="BQ229" s="61">
        <f t="shared" ref="BQ229:DG229" si="7">SUM(BQ194:BQ228)</f>
        <v>8592375</v>
      </c>
      <c r="BR229" s="61">
        <f t="shared" si="7"/>
        <v>1543550</v>
      </c>
      <c r="BS229" s="61">
        <f t="shared" si="7"/>
        <v>0</v>
      </c>
      <c r="BT229" s="61">
        <f t="shared" si="7"/>
        <v>4526664</v>
      </c>
      <c r="BU229" s="61">
        <f t="shared" si="7"/>
        <v>4119091</v>
      </c>
      <c r="BV229" s="61">
        <f t="shared" si="7"/>
        <v>1940989</v>
      </c>
      <c r="BW229" s="61">
        <f t="shared" si="7"/>
        <v>500</v>
      </c>
      <c r="BX229" s="61">
        <f t="shared" si="7"/>
        <v>7487773</v>
      </c>
      <c r="BY229" s="61">
        <f t="shared" si="7"/>
        <v>7019274</v>
      </c>
      <c r="BZ229" s="61">
        <f t="shared" si="7"/>
        <v>9605285</v>
      </c>
      <c r="CA229" s="61">
        <f t="shared" si="7"/>
        <v>0</v>
      </c>
      <c r="CB229" s="61">
        <f t="shared" si="7"/>
        <v>5076482</v>
      </c>
      <c r="CC229" s="61">
        <f t="shared" si="7"/>
        <v>4672184</v>
      </c>
      <c r="CD229" s="61">
        <f t="shared" si="7"/>
        <v>10022467</v>
      </c>
      <c r="CE229" s="61">
        <f t="shared" si="7"/>
        <v>0</v>
      </c>
      <c r="CF229" s="61">
        <f t="shared" si="7"/>
        <v>12247333</v>
      </c>
      <c r="CG229" s="61">
        <f t="shared" si="7"/>
        <v>34254207</v>
      </c>
      <c r="CH229" s="61">
        <f t="shared" si="7"/>
        <v>14487851</v>
      </c>
      <c r="CI229" s="61">
        <f t="shared" si="7"/>
        <v>2234386</v>
      </c>
      <c r="CJ229" s="61">
        <f t="shared" si="7"/>
        <v>3565798</v>
      </c>
      <c r="CK229" s="61">
        <f t="shared" si="7"/>
        <v>5936673</v>
      </c>
      <c r="CL229" s="61">
        <f t="shared" si="7"/>
        <v>2572299</v>
      </c>
      <c r="CM229" s="61">
        <f t="shared" si="7"/>
        <v>2009981</v>
      </c>
      <c r="CN229" s="61">
        <f t="shared" si="7"/>
        <v>4613850</v>
      </c>
      <c r="CO229" s="61">
        <f t="shared" si="7"/>
        <v>6417352</v>
      </c>
      <c r="CP229" s="61">
        <f t="shared" si="7"/>
        <v>10720224</v>
      </c>
      <c r="CQ229" s="61">
        <f t="shared" si="7"/>
        <v>866</v>
      </c>
      <c r="CR229" s="61">
        <f t="shared" si="7"/>
        <v>840</v>
      </c>
      <c r="CS229" s="61">
        <f t="shared" si="7"/>
        <v>0</v>
      </c>
      <c r="CT229" s="61">
        <f t="shared" si="7"/>
        <v>12357905</v>
      </c>
      <c r="CU229" s="61">
        <f t="shared" si="7"/>
        <v>11752681</v>
      </c>
      <c r="CV229" s="61">
        <f t="shared" si="7"/>
        <v>0</v>
      </c>
      <c r="CW229" s="61">
        <f t="shared" si="7"/>
        <v>4988128</v>
      </c>
      <c r="CX229" s="61">
        <f t="shared" si="7"/>
        <v>11072757</v>
      </c>
      <c r="CY229" s="61">
        <f t="shared" si="7"/>
        <v>4815866</v>
      </c>
      <c r="CZ229" s="61">
        <f t="shared" si="7"/>
        <v>2786577</v>
      </c>
      <c r="DA229" s="61">
        <f t="shared" si="7"/>
        <v>11167921</v>
      </c>
      <c r="DB229" s="61">
        <f t="shared" si="7"/>
        <v>3025378</v>
      </c>
      <c r="DC229" s="61">
        <f t="shared" si="7"/>
        <v>2385970</v>
      </c>
      <c r="DD229" s="61">
        <f t="shared" si="7"/>
        <v>1212181</v>
      </c>
      <c r="DE229" s="61">
        <f t="shared" si="7"/>
        <v>688186944</v>
      </c>
      <c r="DF229" s="61">
        <f t="shared" si="7"/>
        <v>3598151</v>
      </c>
      <c r="DG229" s="61">
        <f t="shared" si="7"/>
        <v>691785095</v>
      </c>
      <c r="DH229" s="78">
        <f>'5-Charters'!Q41</f>
        <v>5244159.8006523987</v>
      </c>
      <c r="DI229" s="81">
        <f>DG229-DH229</f>
        <v>686540935.19934762</v>
      </c>
    </row>
    <row r="230" spans="1:114">
      <c r="A230" s="150"/>
      <c r="D230" s="52"/>
      <c r="E230" s="52"/>
      <c r="F230" s="52"/>
      <c r="G230" s="52"/>
      <c r="H230" s="56"/>
      <c r="I230" s="56"/>
      <c r="J230" s="56"/>
      <c r="K230" s="56"/>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101"/>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row>
    <row r="231" spans="1:114">
      <c r="A231" s="150"/>
      <c r="C231" s="44" t="s">
        <v>569</v>
      </c>
      <c r="D231" s="52"/>
      <c r="E231" s="52"/>
      <c r="F231" s="52"/>
      <c r="G231" s="52"/>
      <c r="H231" s="56"/>
      <c r="I231" s="56"/>
      <c r="J231" s="56"/>
      <c r="K231" s="56"/>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78">
        <f>'5-Charters'!H109</f>
        <v>821247</v>
      </c>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row>
    <row r="232" spans="1:114" ht="12">
      <c r="A232" s="150"/>
      <c r="C232" s="44" t="s">
        <v>676</v>
      </c>
      <c r="D232" s="52"/>
      <c r="E232" s="52"/>
      <c r="F232" s="52"/>
      <c r="G232" s="52"/>
      <c r="H232" s="56"/>
      <c r="I232" s="56"/>
      <c r="J232" s="56"/>
      <c r="K232" s="56"/>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103">
        <f>AY229-AY231</f>
        <v>52079428</v>
      </c>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row>
    <row r="233" spans="1:114">
      <c r="A233" s="150"/>
      <c r="D233" s="52"/>
      <c r="E233" s="52"/>
      <c r="F233" s="52"/>
      <c r="G233" s="52"/>
      <c r="H233" s="56"/>
      <c r="I233" s="56"/>
      <c r="J233" s="56"/>
      <c r="K233" s="56"/>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101"/>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row>
    <row r="234" spans="1:114">
      <c r="A234" s="150"/>
      <c r="B234" s="55"/>
      <c r="D234" s="52"/>
      <c r="E234" s="52"/>
      <c r="F234" s="52"/>
      <c r="G234" s="52"/>
      <c r="H234" s="56"/>
      <c r="I234" s="56"/>
      <c r="J234" s="56"/>
      <c r="K234" s="56"/>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101"/>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row>
    <row r="235" spans="1:114" ht="15">
      <c r="A235" s="150"/>
      <c r="C235" s="60" t="s">
        <v>417</v>
      </c>
      <c r="D235" s="61">
        <f t="shared" ref="D235:AI235" si="8">D234</f>
        <v>0</v>
      </c>
      <c r="E235" s="61">
        <f t="shared" si="8"/>
        <v>0</v>
      </c>
      <c r="F235" s="61">
        <f t="shared" si="8"/>
        <v>0</v>
      </c>
      <c r="G235" s="61">
        <f t="shared" si="8"/>
        <v>0</v>
      </c>
      <c r="H235" s="61">
        <f t="shared" si="8"/>
        <v>0</v>
      </c>
      <c r="I235" s="61">
        <f t="shared" si="8"/>
        <v>0</v>
      </c>
      <c r="J235" s="61">
        <f t="shared" si="8"/>
        <v>0</v>
      </c>
      <c r="K235" s="61">
        <f t="shared" si="8"/>
        <v>0</v>
      </c>
      <c r="L235" s="61">
        <f t="shared" si="8"/>
        <v>0</v>
      </c>
      <c r="M235" s="61">
        <f t="shared" si="8"/>
        <v>0</v>
      </c>
      <c r="N235" s="61">
        <f t="shared" si="8"/>
        <v>0</v>
      </c>
      <c r="O235" s="61">
        <f t="shared" si="8"/>
        <v>0</v>
      </c>
      <c r="P235" s="61">
        <f t="shared" si="8"/>
        <v>0</v>
      </c>
      <c r="Q235" s="61">
        <f t="shared" si="8"/>
        <v>0</v>
      </c>
      <c r="R235" s="61">
        <f t="shared" si="8"/>
        <v>0</v>
      </c>
      <c r="S235" s="61">
        <f t="shared" si="8"/>
        <v>0</v>
      </c>
      <c r="T235" s="61">
        <f t="shared" si="8"/>
        <v>0</v>
      </c>
      <c r="U235" s="61">
        <f t="shared" si="8"/>
        <v>0</v>
      </c>
      <c r="V235" s="61">
        <f t="shared" si="8"/>
        <v>0</v>
      </c>
      <c r="W235" s="61">
        <f t="shared" si="8"/>
        <v>0</v>
      </c>
      <c r="X235" s="61">
        <f t="shared" si="8"/>
        <v>0</v>
      </c>
      <c r="Y235" s="61">
        <f t="shared" si="8"/>
        <v>0</v>
      </c>
      <c r="Z235" s="61">
        <f t="shared" si="8"/>
        <v>0</v>
      </c>
      <c r="AA235" s="61">
        <f t="shared" si="8"/>
        <v>0</v>
      </c>
      <c r="AB235" s="61">
        <f t="shared" si="8"/>
        <v>0</v>
      </c>
      <c r="AC235" s="61">
        <f t="shared" si="8"/>
        <v>0</v>
      </c>
      <c r="AD235" s="61">
        <f t="shared" si="8"/>
        <v>0</v>
      </c>
      <c r="AE235" s="61">
        <f t="shared" si="8"/>
        <v>0</v>
      </c>
      <c r="AF235" s="61">
        <f t="shared" si="8"/>
        <v>0</v>
      </c>
      <c r="AG235" s="61">
        <f t="shared" si="8"/>
        <v>0</v>
      </c>
      <c r="AH235" s="61">
        <f t="shared" si="8"/>
        <v>0</v>
      </c>
      <c r="AI235" s="61">
        <f t="shared" si="8"/>
        <v>0</v>
      </c>
      <c r="AJ235" s="61">
        <f t="shared" ref="AJ235:BO235" si="9">AJ234</f>
        <v>0</v>
      </c>
      <c r="AK235" s="61">
        <f t="shared" si="9"/>
        <v>0</v>
      </c>
      <c r="AL235" s="61">
        <f t="shared" si="9"/>
        <v>0</v>
      </c>
      <c r="AM235" s="61">
        <f t="shared" si="9"/>
        <v>0</v>
      </c>
      <c r="AN235" s="61">
        <f t="shared" si="9"/>
        <v>0</v>
      </c>
      <c r="AO235" s="61">
        <f t="shared" si="9"/>
        <v>0</v>
      </c>
      <c r="AP235" s="61">
        <f t="shared" si="9"/>
        <v>0</v>
      </c>
      <c r="AQ235" s="61">
        <f t="shared" si="9"/>
        <v>0</v>
      </c>
      <c r="AR235" s="61">
        <f t="shared" si="9"/>
        <v>0</v>
      </c>
      <c r="AS235" s="61">
        <f t="shared" si="9"/>
        <v>0</v>
      </c>
      <c r="AT235" s="61">
        <f t="shared" si="9"/>
        <v>0</v>
      </c>
      <c r="AU235" s="61">
        <f t="shared" si="9"/>
        <v>0</v>
      </c>
      <c r="AV235" s="61">
        <f t="shared" si="9"/>
        <v>0</v>
      </c>
      <c r="AW235" s="61">
        <f t="shared" si="9"/>
        <v>0</v>
      </c>
      <c r="AX235" s="61">
        <f t="shared" si="9"/>
        <v>0</v>
      </c>
      <c r="AY235" s="102">
        <f t="shared" si="9"/>
        <v>0</v>
      </c>
      <c r="AZ235" s="61">
        <f t="shared" si="9"/>
        <v>0</v>
      </c>
      <c r="BA235" s="61">
        <f t="shared" si="9"/>
        <v>0</v>
      </c>
      <c r="BB235" s="61">
        <f t="shared" si="9"/>
        <v>0</v>
      </c>
      <c r="BC235" s="61">
        <f t="shared" si="9"/>
        <v>0</v>
      </c>
      <c r="BD235" s="61">
        <f t="shared" si="9"/>
        <v>0</v>
      </c>
      <c r="BE235" s="61">
        <f t="shared" si="9"/>
        <v>0</v>
      </c>
      <c r="BF235" s="61">
        <f t="shared" si="9"/>
        <v>0</v>
      </c>
      <c r="BG235" s="61">
        <f t="shared" si="9"/>
        <v>0</v>
      </c>
      <c r="BH235" s="61">
        <f t="shared" si="9"/>
        <v>0</v>
      </c>
      <c r="BI235" s="61">
        <f t="shared" si="9"/>
        <v>0</v>
      </c>
      <c r="BJ235" s="61">
        <f t="shared" si="9"/>
        <v>0</v>
      </c>
      <c r="BK235" s="61">
        <f t="shared" si="9"/>
        <v>0</v>
      </c>
      <c r="BL235" s="61">
        <f t="shared" si="9"/>
        <v>0</v>
      </c>
      <c r="BM235" s="61">
        <f t="shared" si="9"/>
        <v>0</v>
      </c>
      <c r="BN235" s="61">
        <f t="shared" si="9"/>
        <v>0</v>
      </c>
      <c r="BO235" s="61">
        <f t="shared" si="9"/>
        <v>0</v>
      </c>
      <c r="BP235" s="61">
        <f t="shared" ref="BP235:CU235" si="10">BP234</f>
        <v>0</v>
      </c>
      <c r="BQ235" s="61">
        <f t="shared" si="10"/>
        <v>0</v>
      </c>
      <c r="BR235" s="61">
        <f t="shared" si="10"/>
        <v>0</v>
      </c>
      <c r="BS235" s="61">
        <f t="shared" si="10"/>
        <v>0</v>
      </c>
      <c r="BT235" s="61">
        <f t="shared" si="10"/>
        <v>0</v>
      </c>
      <c r="BU235" s="61">
        <f t="shared" si="10"/>
        <v>0</v>
      </c>
      <c r="BV235" s="61">
        <f t="shared" si="10"/>
        <v>0</v>
      </c>
      <c r="BW235" s="61">
        <f t="shared" si="10"/>
        <v>0</v>
      </c>
      <c r="BX235" s="61">
        <f t="shared" si="10"/>
        <v>0</v>
      </c>
      <c r="BY235" s="61">
        <f t="shared" si="10"/>
        <v>0</v>
      </c>
      <c r="BZ235" s="61">
        <f t="shared" si="10"/>
        <v>0</v>
      </c>
      <c r="CA235" s="61">
        <f t="shared" si="10"/>
        <v>0</v>
      </c>
      <c r="CB235" s="61">
        <f t="shared" si="10"/>
        <v>0</v>
      </c>
      <c r="CC235" s="61">
        <f t="shared" si="10"/>
        <v>0</v>
      </c>
      <c r="CD235" s="61">
        <f t="shared" si="10"/>
        <v>0</v>
      </c>
      <c r="CE235" s="61">
        <f t="shared" si="10"/>
        <v>0</v>
      </c>
      <c r="CF235" s="61">
        <f t="shared" si="10"/>
        <v>0</v>
      </c>
      <c r="CG235" s="61">
        <f t="shared" si="10"/>
        <v>0</v>
      </c>
      <c r="CH235" s="61">
        <f t="shared" si="10"/>
        <v>0</v>
      </c>
      <c r="CI235" s="61">
        <f t="shared" si="10"/>
        <v>0</v>
      </c>
      <c r="CJ235" s="61">
        <f t="shared" si="10"/>
        <v>0</v>
      </c>
      <c r="CK235" s="61">
        <f t="shared" si="10"/>
        <v>0</v>
      </c>
      <c r="CL235" s="61">
        <f t="shared" si="10"/>
        <v>0</v>
      </c>
      <c r="CM235" s="61">
        <f t="shared" si="10"/>
        <v>0</v>
      </c>
      <c r="CN235" s="61">
        <f t="shared" si="10"/>
        <v>0</v>
      </c>
      <c r="CO235" s="61">
        <f t="shared" si="10"/>
        <v>0</v>
      </c>
      <c r="CP235" s="61">
        <f t="shared" si="10"/>
        <v>0</v>
      </c>
      <c r="CQ235" s="61">
        <f t="shared" si="10"/>
        <v>0</v>
      </c>
      <c r="CR235" s="61">
        <f t="shared" si="10"/>
        <v>0</v>
      </c>
      <c r="CS235" s="61">
        <f t="shared" si="10"/>
        <v>0</v>
      </c>
      <c r="CT235" s="61">
        <f t="shared" si="10"/>
        <v>0</v>
      </c>
      <c r="CU235" s="61">
        <f t="shared" si="10"/>
        <v>0</v>
      </c>
      <c r="CV235" s="61">
        <f t="shared" ref="CV235:DG235" si="11">CV234</f>
        <v>0</v>
      </c>
      <c r="CW235" s="61">
        <f t="shared" si="11"/>
        <v>0</v>
      </c>
      <c r="CX235" s="61">
        <f t="shared" si="11"/>
        <v>0</v>
      </c>
      <c r="CY235" s="61">
        <f t="shared" si="11"/>
        <v>0</v>
      </c>
      <c r="CZ235" s="61">
        <f t="shared" si="11"/>
        <v>0</v>
      </c>
      <c r="DA235" s="61">
        <f t="shared" si="11"/>
        <v>0</v>
      </c>
      <c r="DB235" s="61">
        <f t="shared" si="11"/>
        <v>0</v>
      </c>
      <c r="DC235" s="61">
        <f t="shared" si="11"/>
        <v>0</v>
      </c>
      <c r="DD235" s="61">
        <f t="shared" si="11"/>
        <v>0</v>
      </c>
      <c r="DE235" s="61">
        <f t="shared" si="11"/>
        <v>0</v>
      </c>
      <c r="DF235" s="61">
        <f t="shared" si="11"/>
        <v>0</v>
      </c>
      <c r="DG235" s="61">
        <f t="shared" si="11"/>
        <v>0</v>
      </c>
      <c r="DH235" s="52">
        <v>0</v>
      </c>
      <c r="DI235" s="72">
        <v>0</v>
      </c>
    </row>
    <row r="236" spans="1:114">
      <c r="A236" s="150"/>
      <c r="D236" s="52"/>
      <c r="E236" s="52"/>
      <c r="F236" s="52"/>
      <c r="G236" s="52"/>
      <c r="H236" s="56"/>
      <c r="I236" s="56"/>
      <c r="J236" s="56"/>
      <c r="K236" s="56"/>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101"/>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row>
    <row r="237" spans="1:114" ht="15">
      <c r="A237" s="150"/>
      <c r="C237" s="60" t="s">
        <v>30</v>
      </c>
      <c r="D237" s="61">
        <f t="shared" ref="D237:AI237" si="12">D16+D58+D187+D229+D235</f>
        <v>32291520</v>
      </c>
      <c r="E237" s="61">
        <f t="shared" si="12"/>
        <v>200878279</v>
      </c>
      <c r="F237" s="61">
        <f t="shared" si="12"/>
        <v>19213370</v>
      </c>
      <c r="G237" s="61">
        <f t="shared" si="12"/>
        <v>1309268</v>
      </c>
      <c r="H237" s="61">
        <f t="shared" si="12"/>
        <v>67213808</v>
      </c>
      <c r="I237" s="61">
        <f t="shared" si="12"/>
        <v>31747497</v>
      </c>
      <c r="J237" s="61">
        <f t="shared" si="12"/>
        <v>22691186</v>
      </c>
      <c r="K237" s="61">
        <f t="shared" si="12"/>
        <v>30280628</v>
      </c>
      <c r="L237" s="61">
        <f t="shared" si="12"/>
        <v>110661224</v>
      </c>
      <c r="M237" s="61">
        <f t="shared" si="12"/>
        <v>1725463</v>
      </c>
      <c r="N237" s="61">
        <f t="shared" si="12"/>
        <v>4910792</v>
      </c>
      <c r="O237" s="61">
        <f t="shared" si="12"/>
        <v>15228171</v>
      </c>
      <c r="P237" s="61">
        <f t="shared" si="12"/>
        <v>11276687</v>
      </c>
      <c r="Q237" s="61">
        <f t="shared" si="12"/>
        <v>9199990</v>
      </c>
      <c r="R237" s="61">
        <f t="shared" si="12"/>
        <v>9071091</v>
      </c>
      <c r="S237" s="61">
        <f t="shared" si="12"/>
        <v>23064921</v>
      </c>
      <c r="T237" s="61">
        <f t="shared" si="12"/>
        <v>1621112</v>
      </c>
      <c r="U237" s="61">
        <f t="shared" si="12"/>
        <v>215336806</v>
      </c>
      <c r="V237" s="61">
        <f t="shared" si="12"/>
        <v>4195787</v>
      </c>
      <c r="W237" s="61">
        <f t="shared" si="12"/>
        <v>260922163</v>
      </c>
      <c r="X237" s="61">
        <f t="shared" si="12"/>
        <v>20668277</v>
      </c>
      <c r="Y237" s="61">
        <f t="shared" si="12"/>
        <v>479581678</v>
      </c>
      <c r="Z237" s="61">
        <f t="shared" si="12"/>
        <v>87728592</v>
      </c>
      <c r="AA237" s="61">
        <f t="shared" si="12"/>
        <v>59599510</v>
      </c>
      <c r="AB237" s="61">
        <f t="shared" si="12"/>
        <v>68660400</v>
      </c>
      <c r="AC237" s="61">
        <f t="shared" si="12"/>
        <v>12142199</v>
      </c>
      <c r="AD237" s="61">
        <f t="shared" si="12"/>
        <v>28442699</v>
      </c>
      <c r="AE237" s="61">
        <f t="shared" si="12"/>
        <v>10593038</v>
      </c>
      <c r="AF237" s="61">
        <f t="shared" si="12"/>
        <v>1240068</v>
      </c>
      <c r="AG237" s="61">
        <f t="shared" si="12"/>
        <v>62147970</v>
      </c>
      <c r="AH237" s="61">
        <f t="shared" si="12"/>
        <v>113188760</v>
      </c>
      <c r="AI237" s="61">
        <f t="shared" si="12"/>
        <v>4250554</v>
      </c>
      <c r="AJ237" s="61">
        <f t="shared" ref="AJ237:BO237" si="13">AJ16+AJ58+AJ187+AJ229+AJ235</f>
        <v>7868292</v>
      </c>
      <c r="AK237" s="61">
        <f t="shared" si="13"/>
        <v>28942493</v>
      </c>
      <c r="AL237" s="61">
        <f t="shared" si="13"/>
        <v>12743479</v>
      </c>
      <c r="AM237" s="61">
        <f t="shared" si="13"/>
        <v>1732517</v>
      </c>
      <c r="AN237" s="61">
        <f t="shared" si="13"/>
        <v>161784689</v>
      </c>
      <c r="AO237" s="61">
        <f t="shared" si="13"/>
        <v>26503654</v>
      </c>
      <c r="AP237" s="61">
        <f t="shared" si="13"/>
        <v>3250600</v>
      </c>
      <c r="AQ237" s="61">
        <f t="shared" si="13"/>
        <v>36982239</v>
      </c>
      <c r="AR237" s="61">
        <f t="shared" si="13"/>
        <v>44386028</v>
      </c>
      <c r="AS237" s="61">
        <f t="shared" si="13"/>
        <v>140143720</v>
      </c>
      <c r="AT237" s="61">
        <f t="shared" si="13"/>
        <v>11231757</v>
      </c>
      <c r="AU237" s="61">
        <f t="shared" si="13"/>
        <v>35859228</v>
      </c>
      <c r="AV237" s="61">
        <f t="shared" si="13"/>
        <v>11428864</v>
      </c>
      <c r="AW237" s="61">
        <f t="shared" si="13"/>
        <v>15210839</v>
      </c>
      <c r="AX237" s="61">
        <f t="shared" si="13"/>
        <v>108903004</v>
      </c>
      <c r="AY237" s="102">
        <f t="shared" si="13"/>
        <v>621413380</v>
      </c>
      <c r="AZ237" s="61">
        <f t="shared" si="13"/>
        <v>91265608</v>
      </c>
      <c r="BA237" s="61">
        <f t="shared" si="13"/>
        <v>10731522</v>
      </c>
      <c r="BB237" s="61">
        <f t="shared" si="13"/>
        <v>14718914</v>
      </c>
      <c r="BC237" s="61">
        <f t="shared" si="13"/>
        <v>2472820</v>
      </c>
      <c r="BD237" s="61">
        <f t="shared" si="13"/>
        <v>23955445</v>
      </c>
      <c r="BE237" s="61">
        <f t="shared" si="13"/>
        <v>14477794</v>
      </c>
      <c r="BF237" s="61">
        <f t="shared" si="13"/>
        <v>380864304</v>
      </c>
      <c r="BG237" s="61">
        <f t="shared" si="13"/>
        <v>34439957</v>
      </c>
      <c r="BH237" s="61">
        <f t="shared" si="13"/>
        <v>95160066</v>
      </c>
      <c r="BI237" s="61">
        <f t="shared" si="13"/>
        <v>102778561</v>
      </c>
      <c r="BJ237" s="61">
        <f t="shared" si="13"/>
        <v>49230571</v>
      </c>
      <c r="BK237" s="61">
        <f t="shared" si="13"/>
        <v>30938083</v>
      </c>
      <c r="BL237" s="61">
        <f t="shared" si="13"/>
        <v>28226075</v>
      </c>
      <c r="BM237" s="61">
        <f t="shared" si="13"/>
        <v>207992708</v>
      </c>
      <c r="BN237" s="61">
        <f t="shared" si="13"/>
        <v>84945899</v>
      </c>
      <c r="BO237" s="61">
        <f t="shared" si="13"/>
        <v>24246915</v>
      </c>
      <c r="BP237" s="61">
        <f t="shared" ref="BP237:CU237" si="14">BP16+BP58+BP187+BP229+BP235</f>
        <v>32456731</v>
      </c>
      <c r="BQ237" s="61">
        <f t="shared" si="14"/>
        <v>174314604</v>
      </c>
      <c r="BR237" s="61">
        <f t="shared" si="14"/>
        <v>11525195</v>
      </c>
      <c r="BS237" s="61">
        <f t="shared" si="14"/>
        <v>2120195</v>
      </c>
      <c r="BT237" s="61">
        <f t="shared" si="14"/>
        <v>25267926</v>
      </c>
      <c r="BU237" s="61">
        <f t="shared" si="14"/>
        <v>18957968</v>
      </c>
      <c r="BV237" s="61">
        <f t="shared" si="14"/>
        <v>10085691</v>
      </c>
      <c r="BW237" s="61">
        <f t="shared" si="14"/>
        <v>2052872</v>
      </c>
      <c r="BX237" s="61">
        <f t="shared" si="14"/>
        <v>44422075</v>
      </c>
      <c r="BY237" s="61">
        <f t="shared" si="14"/>
        <v>66309712</v>
      </c>
      <c r="BZ237" s="61">
        <f t="shared" si="14"/>
        <v>114268946</v>
      </c>
      <c r="CA237" s="61">
        <f t="shared" si="14"/>
        <v>0</v>
      </c>
      <c r="CB237" s="61">
        <f t="shared" si="14"/>
        <v>38026467</v>
      </c>
      <c r="CC237" s="61">
        <f t="shared" si="14"/>
        <v>39977926</v>
      </c>
      <c r="CD237" s="61">
        <f t="shared" si="14"/>
        <v>78363807</v>
      </c>
      <c r="CE237" s="61">
        <f t="shared" si="14"/>
        <v>810709</v>
      </c>
      <c r="CF237" s="61">
        <f t="shared" si="14"/>
        <v>140981934</v>
      </c>
      <c r="CG237" s="61">
        <f t="shared" si="14"/>
        <v>325325125</v>
      </c>
      <c r="CH237" s="61">
        <f t="shared" si="14"/>
        <v>228663814</v>
      </c>
      <c r="CI237" s="61">
        <f t="shared" si="14"/>
        <v>19608115</v>
      </c>
      <c r="CJ237" s="61">
        <f t="shared" si="14"/>
        <v>45931749</v>
      </c>
      <c r="CK237" s="61">
        <f t="shared" si="14"/>
        <v>73927277</v>
      </c>
      <c r="CL237" s="61">
        <f t="shared" si="14"/>
        <v>31503687</v>
      </c>
      <c r="CM237" s="61">
        <f t="shared" si="14"/>
        <v>25781633</v>
      </c>
      <c r="CN237" s="61">
        <f t="shared" si="14"/>
        <v>74289893</v>
      </c>
      <c r="CO237" s="61">
        <f t="shared" si="14"/>
        <v>90951560</v>
      </c>
      <c r="CP237" s="61">
        <f t="shared" si="14"/>
        <v>94479518</v>
      </c>
      <c r="CQ237" s="61">
        <f t="shared" si="14"/>
        <v>2236843</v>
      </c>
      <c r="CR237" s="61">
        <f t="shared" si="14"/>
        <v>3043781</v>
      </c>
      <c r="CS237" s="61">
        <f t="shared" si="14"/>
        <v>2848589</v>
      </c>
      <c r="CT237" s="61">
        <f t="shared" si="14"/>
        <v>78390148</v>
      </c>
      <c r="CU237" s="61">
        <f t="shared" si="14"/>
        <v>75095844</v>
      </c>
      <c r="CV237" s="61">
        <f t="shared" ref="CV237:DG237" si="15">CV16+CV58+CV187+CV229+CV235</f>
        <v>0</v>
      </c>
      <c r="CW237" s="61">
        <f t="shared" si="15"/>
        <v>40622302</v>
      </c>
      <c r="CX237" s="61">
        <f t="shared" si="15"/>
        <v>53179762</v>
      </c>
      <c r="CY237" s="61">
        <f t="shared" si="15"/>
        <v>46281508</v>
      </c>
      <c r="CZ237" s="61">
        <f t="shared" si="15"/>
        <v>66279831</v>
      </c>
      <c r="DA237" s="61">
        <f t="shared" si="15"/>
        <v>159019244</v>
      </c>
      <c r="DB237" s="61">
        <f t="shared" si="15"/>
        <v>83084307</v>
      </c>
      <c r="DC237" s="61">
        <f t="shared" si="15"/>
        <v>10727298</v>
      </c>
      <c r="DD237" s="61">
        <f t="shared" si="15"/>
        <v>8966180</v>
      </c>
      <c r="DE237" s="61">
        <f t="shared" si="15"/>
        <v>6906400821</v>
      </c>
      <c r="DF237" s="61">
        <f t="shared" si="15"/>
        <v>19693478</v>
      </c>
      <c r="DG237" s="61">
        <f t="shared" si="15"/>
        <v>6926094299</v>
      </c>
      <c r="DH237" s="78">
        <f>SUM(DH16:DH236)</f>
        <v>46944042.338816687</v>
      </c>
      <c r="DI237" s="81">
        <f>DI16+DI58+DI187+DI229+DI235</f>
        <v>6879150256.6611834</v>
      </c>
      <c r="DJ237" s="44" t="s">
        <v>719</v>
      </c>
    </row>
    <row r="238" spans="1:114" ht="33.75">
      <c r="A238" s="150"/>
      <c r="D238" s="52"/>
      <c r="E238" s="52"/>
      <c r="F238" s="52"/>
      <c r="G238" s="52"/>
      <c r="H238" s="56"/>
      <c r="I238" s="56"/>
      <c r="J238" s="56"/>
      <c r="K238" s="56"/>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279" t="s">
        <v>718</v>
      </c>
    </row>
    <row r="239" spans="1:114">
      <c r="A239" s="150"/>
      <c r="C239" s="44" t="s">
        <v>569</v>
      </c>
      <c r="D239" s="52"/>
      <c r="E239" s="52"/>
      <c r="F239" s="52"/>
      <c r="G239" s="52"/>
      <c r="H239" s="56"/>
      <c r="I239" s="56"/>
      <c r="J239" s="56"/>
      <c r="K239" s="56"/>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281">
        <f>AY18+AY60+AY189+AY231</f>
        <v>11007623</v>
      </c>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133"/>
    </row>
    <row r="240" spans="1:114" ht="15" customHeight="1">
      <c r="A240" s="150"/>
      <c r="C240" s="44" t="s">
        <v>677</v>
      </c>
      <c r="D240" s="52"/>
      <c r="E240" s="52"/>
      <c r="F240" s="52"/>
      <c r="G240" s="52"/>
      <c r="H240" s="56"/>
      <c r="I240" s="56"/>
      <c r="J240" s="56"/>
      <c r="K240" s="56"/>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103">
        <f>AY237-AY239</f>
        <v>610405757</v>
      </c>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134"/>
    </row>
    <row r="241" spans="1:113">
      <c r="A241" s="150"/>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135"/>
    </row>
    <row r="242" spans="1:113">
      <c r="A242" s="150"/>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row>
    <row r="243" spans="1:113">
      <c r="A243" s="150"/>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row>
    <row r="244" spans="1:113">
      <c r="A244" s="150"/>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row>
    <row r="245" spans="1:113">
      <c r="A245" s="150"/>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H245" s="52"/>
    </row>
    <row r="246" spans="1:113">
      <c r="A246" s="150"/>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row>
    <row r="247" spans="1:113">
      <c r="A247" s="150"/>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row>
    <row r="248" spans="1:113" ht="15" customHeight="1">
      <c r="A248" s="150"/>
      <c r="B248" s="117" t="s">
        <v>418</v>
      </c>
      <c r="C248" s="118"/>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row>
    <row r="249" spans="1:113">
      <c r="A249" s="150"/>
      <c r="D249" s="52" t="s">
        <v>38</v>
      </c>
      <c r="E249" s="52" t="s">
        <v>39</v>
      </c>
      <c r="F249" s="52" t="s">
        <v>40</v>
      </c>
      <c r="G249" s="52" t="s">
        <v>41</v>
      </c>
      <c r="H249" s="57" t="s">
        <v>303</v>
      </c>
      <c r="I249" s="57" t="s">
        <v>304</v>
      </c>
      <c r="J249" s="57" t="s">
        <v>305</v>
      </c>
      <c r="K249" s="57" t="s">
        <v>306</v>
      </c>
      <c r="L249" s="52" t="s">
        <v>307</v>
      </c>
      <c r="M249" s="52" t="s">
        <v>308</v>
      </c>
      <c r="N249" s="52" t="s">
        <v>309</v>
      </c>
      <c r="O249" s="52" t="s">
        <v>310</v>
      </c>
      <c r="P249" s="52" t="s">
        <v>311</v>
      </c>
      <c r="Q249" s="52" t="s">
        <v>312</v>
      </c>
      <c r="R249" s="52" t="s">
        <v>313</v>
      </c>
      <c r="S249" s="52" t="s">
        <v>314</v>
      </c>
      <c r="T249" s="52" t="s">
        <v>315</v>
      </c>
      <c r="U249" s="52" t="s">
        <v>316</v>
      </c>
      <c r="V249" s="52" t="s">
        <v>317</v>
      </c>
      <c r="W249" s="52" t="s">
        <v>318</v>
      </c>
      <c r="X249" s="52" t="s">
        <v>319</v>
      </c>
      <c r="Y249" s="52" t="s">
        <v>320</v>
      </c>
      <c r="Z249" s="52" t="s">
        <v>321</v>
      </c>
      <c r="AA249" s="52" t="s">
        <v>322</v>
      </c>
      <c r="AB249" s="52" t="s">
        <v>323</v>
      </c>
      <c r="AC249" s="52" t="s">
        <v>324</v>
      </c>
      <c r="AD249" s="52" t="s">
        <v>325</v>
      </c>
      <c r="AE249" s="52" t="s">
        <v>326</v>
      </c>
      <c r="AF249" s="52" t="s">
        <v>327</v>
      </c>
      <c r="AG249" s="52" t="s">
        <v>328</v>
      </c>
      <c r="AH249" s="52" t="s">
        <v>329</v>
      </c>
      <c r="AI249" s="52" t="s">
        <v>330</v>
      </c>
      <c r="AJ249" s="52" t="s">
        <v>331</v>
      </c>
      <c r="AK249" s="52" t="s">
        <v>332</v>
      </c>
      <c r="AL249" s="52" t="s">
        <v>333</v>
      </c>
      <c r="AM249" s="52" t="s">
        <v>334</v>
      </c>
      <c r="AN249" s="52" t="s">
        <v>335</v>
      </c>
      <c r="AO249" s="52" t="s">
        <v>336</v>
      </c>
      <c r="AP249" s="52" t="s">
        <v>337</v>
      </c>
      <c r="AQ249" s="52" t="s">
        <v>338</v>
      </c>
      <c r="AR249" s="52" t="s">
        <v>339</v>
      </c>
      <c r="AS249" s="52" t="s">
        <v>340</v>
      </c>
      <c r="AT249" s="52" t="s">
        <v>341</v>
      </c>
      <c r="AU249" s="52" t="s">
        <v>342</v>
      </c>
      <c r="AV249" s="52" t="s">
        <v>343</v>
      </c>
      <c r="AW249" s="52" t="s">
        <v>344</v>
      </c>
      <c r="AX249" s="52" t="s">
        <v>345</v>
      </c>
      <c r="AY249" s="52" t="s">
        <v>346</v>
      </c>
      <c r="AZ249" s="52" t="s">
        <v>347</v>
      </c>
      <c r="BA249" s="52" t="s">
        <v>348</v>
      </c>
      <c r="BB249" s="52" t="s">
        <v>349</v>
      </c>
      <c r="BC249" s="52" t="s">
        <v>350</v>
      </c>
      <c r="BD249" s="52" t="s">
        <v>351</v>
      </c>
      <c r="BE249" s="52" t="s">
        <v>352</v>
      </c>
      <c r="BF249" s="52" t="s">
        <v>353</v>
      </c>
      <c r="BG249" s="52" t="s">
        <v>354</v>
      </c>
      <c r="BH249" s="52" t="s">
        <v>355</v>
      </c>
      <c r="BI249" s="52" t="s">
        <v>356</v>
      </c>
      <c r="BJ249" s="52" t="s">
        <v>357</v>
      </c>
      <c r="BK249" s="52" t="s">
        <v>358</v>
      </c>
      <c r="BL249" s="52" t="s">
        <v>359</v>
      </c>
      <c r="BM249" s="52" t="s">
        <v>360</v>
      </c>
      <c r="BN249" s="52" t="s">
        <v>361</v>
      </c>
      <c r="BO249" s="52" t="s">
        <v>362</v>
      </c>
      <c r="BP249" s="52" t="s">
        <v>363</v>
      </c>
      <c r="BQ249" s="52" t="s">
        <v>364</v>
      </c>
      <c r="BR249" s="52" t="s">
        <v>365</v>
      </c>
      <c r="BS249" s="52" t="s">
        <v>366</v>
      </c>
      <c r="BT249" s="52" t="s">
        <v>367</v>
      </c>
      <c r="BU249" s="52" t="s">
        <v>368</v>
      </c>
      <c r="BV249" s="52" t="s">
        <v>369</v>
      </c>
      <c r="BW249" s="52" t="s">
        <v>370</v>
      </c>
      <c r="BX249" s="52" t="s">
        <v>371</v>
      </c>
      <c r="BY249" s="52" t="s">
        <v>372</v>
      </c>
      <c r="BZ249" s="52" t="s">
        <v>373</v>
      </c>
      <c r="CA249" s="52" t="s">
        <v>374</v>
      </c>
      <c r="CB249" s="52" t="s">
        <v>375</v>
      </c>
      <c r="CC249" s="52" t="s">
        <v>376</v>
      </c>
      <c r="CD249" s="52" t="s">
        <v>377</v>
      </c>
      <c r="CE249" s="52" t="s">
        <v>378</v>
      </c>
      <c r="CF249" s="52" t="s">
        <v>379</v>
      </c>
      <c r="CG249" s="52" t="s">
        <v>380</v>
      </c>
      <c r="CH249" s="52" t="s">
        <v>381</v>
      </c>
      <c r="CI249" s="52" t="s">
        <v>382</v>
      </c>
      <c r="CJ249" s="52" t="s">
        <v>383</v>
      </c>
      <c r="CK249" s="52" t="s">
        <v>384</v>
      </c>
      <c r="CL249" s="52" t="s">
        <v>385</v>
      </c>
      <c r="CM249" s="52" t="s">
        <v>386</v>
      </c>
      <c r="CN249" s="52" t="s">
        <v>387</v>
      </c>
      <c r="CO249" s="52" t="s">
        <v>388</v>
      </c>
      <c r="CP249" s="52" t="s">
        <v>389</v>
      </c>
      <c r="CQ249" s="52" t="s">
        <v>390</v>
      </c>
      <c r="CR249" s="52" t="s">
        <v>391</v>
      </c>
      <c r="CS249" s="52" t="s">
        <v>392</v>
      </c>
      <c r="CT249" s="52" t="s">
        <v>393</v>
      </c>
      <c r="CU249" s="52" t="s">
        <v>394</v>
      </c>
      <c r="CV249" s="52" t="s">
        <v>395</v>
      </c>
      <c r="CW249" s="52" t="s">
        <v>396</v>
      </c>
      <c r="CX249" s="52" t="s">
        <v>397</v>
      </c>
      <c r="CY249" s="52" t="s">
        <v>398</v>
      </c>
      <c r="CZ249" s="52" t="s">
        <v>399</v>
      </c>
      <c r="DA249" s="52" t="s">
        <v>400</v>
      </c>
      <c r="DB249" s="52" t="s">
        <v>401</v>
      </c>
      <c r="DC249" s="52" t="s">
        <v>29</v>
      </c>
      <c r="DD249" s="52" t="s">
        <v>402</v>
      </c>
      <c r="DE249" s="52" t="s">
        <v>403</v>
      </c>
      <c r="DF249" s="52" t="s">
        <v>404</v>
      </c>
      <c r="DG249" s="52" t="s">
        <v>405</v>
      </c>
      <c r="DH249" s="52"/>
    </row>
    <row r="250" spans="1:113">
      <c r="A250" s="150" t="s">
        <v>408</v>
      </c>
      <c r="B250" s="119">
        <v>1000</v>
      </c>
      <c r="C250" s="44" t="s">
        <v>42</v>
      </c>
      <c r="D250" s="52"/>
      <c r="E250" s="52"/>
      <c r="F250" s="52"/>
      <c r="G250" s="52"/>
      <c r="H250" s="56"/>
      <c r="I250" s="56"/>
      <c r="J250" s="56"/>
      <c r="K250" s="56"/>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row>
    <row r="251" spans="1:113">
      <c r="A251" s="150" t="s">
        <v>408</v>
      </c>
      <c r="B251" s="119">
        <v>1100</v>
      </c>
      <c r="C251" s="44" t="s">
        <v>43</v>
      </c>
      <c r="D251" s="52"/>
      <c r="E251" s="52"/>
      <c r="F251" s="52"/>
      <c r="G251" s="52"/>
      <c r="H251" s="56"/>
      <c r="I251" s="56"/>
      <c r="J251" s="56"/>
      <c r="K251" s="56"/>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row>
    <row r="252" spans="1:113">
      <c r="A252" s="150" t="s">
        <v>408</v>
      </c>
      <c r="B252" s="119">
        <v>1200</v>
      </c>
      <c r="C252" s="44" t="s">
        <v>47</v>
      </c>
      <c r="D252" s="52"/>
      <c r="E252" s="52"/>
      <c r="F252" s="52"/>
      <c r="G252" s="52"/>
      <c r="H252" s="56"/>
      <c r="I252" s="56"/>
      <c r="J252" s="56"/>
      <c r="K252" s="56"/>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row>
    <row r="253" spans="1:113">
      <c r="A253" s="150" t="s">
        <v>408</v>
      </c>
      <c r="B253" s="119">
        <v>1300</v>
      </c>
      <c r="C253" s="44" t="s">
        <v>52</v>
      </c>
      <c r="D253" s="52"/>
      <c r="E253" s="52"/>
      <c r="F253" s="52"/>
      <c r="G253" s="52"/>
      <c r="H253" s="56"/>
      <c r="I253" s="56"/>
      <c r="J253" s="56"/>
      <c r="K253" s="56"/>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row>
    <row r="254" spans="1:113">
      <c r="A254" s="150" t="s">
        <v>407</v>
      </c>
      <c r="B254" s="119">
        <v>1330</v>
      </c>
      <c r="C254" s="44" t="s">
        <v>55</v>
      </c>
      <c r="D254" s="52"/>
      <c r="E254" s="52">
        <v>12354</v>
      </c>
      <c r="F254" s="52"/>
      <c r="G254" s="52"/>
      <c r="H254" s="56"/>
      <c r="I254" s="56"/>
      <c r="J254" s="56"/>
      <c r="K254" s="56"/>
      <c r="L254" s="52"/>
      <c r="M254" s="52"/>
      <c r="N254" s="52">
        <v>29659</v>
      </c>
      <c r="O254" s="52"/>
      <c r="P254" s="52"/>
      <c r="Q254" s="52">
        <v>1267</v>
      </c>
      <c r="R254" s="52"/>
      <c r="S254" s="52"/>
      <c r="T254" s="52"/>
      <c r="U254" s="52"/>
      <c r="V254" s="52"/>
      <c r="W254" s="52"/>
      <c r="X254" s="52">
        <v>12856</v>
      </c>
      <c r="Y254" s="52"/>
      <c r="Z254" s="52">
        <v>11021</v>
      </c>
      <c r="AA254" s="52"/>
      <c r="AB254" s="52">
        <v>18550</v>
      </c>
      <c r="AC254" s="52"/>
      <c r="AD254" s="52"/>
      <c r="AE254" s="52"/>
      <c r="AF254" s="52">
        <v>15692</v>
      </c>
      <c r="AG254" s="52"/>
      <c r="AH254" s="52"/>
      <c r="AI254" s="52"/>
      <c r="AJ254" s="52"/>
      <c r="AK254" s="52">
        <v>3490</v>
      </c>
      <c r="AL254" s="52"/>
      <c r="AM254" s="52"/>
      <c r="AN254" s="52">
        <v>105071</v>
      </c>
      <c r="AO254" s="52"/>
      <c r="AP254" s="52"/>
      <c r="AQ254" s="52"/>
      <c r="AR254" s="52">
        <v>141</v>
      </c>
      <c r="AS254" s="52">
        <v>146348</v>
      </c>
      <c r="AT254" s="52"/>
      <c r="AU254" s="52"/>
      <c r="AV254" s="52"/>
      <c r="AW254" s="52"/>
      <c r="AX254" s="52"/>
      <c r="AY254" s="52">
        <v>509383</v>
      </c>
      <c r="AZ254" s="52">
        <v>20362</v>
      </c>
      <c r="BA254" s="52"/>
      <c r="BB254" s="52"/>
      <c r="BC254" s="52"/>
      <c r="BD254" s="52"/>
      <c r="BE254" s="52"/>
      <c r="BF254" s="52">
        <v>15248</v>
      </c>
      <c r="BG254" s="52"/>
      <c r="BH254" s="52"/>
      <c r="BI254" s="52">
        <v>20604</v>
      </c>
      <c r="BJ254" s="52"/>
      <c r="BK254" s="52"/>
      <c r="BL254" s="52"/>
      <c r="BM254" s="52"/>
      <c r="BN254" s="52">
        <v>100</v>
      </c>
      <c r="BO254" s="52"/>
      <c r="BP254" s="52"/>
      <c r="BQ254" s="52"/>
      <c r="BR254" s="52"/>
      <c r="BS254" s="52"/>
      <c r="BT254" s="52"/>
      <c r="BU254" s="52"/>
      <c r="BV254" s="52"/>
      <c r="BW254" s="52">
        <v>520</v>
      </c>
      <c r="BX254" s="52"/>
      <c r="BY254" s="52"/>
      <c r="BZ254" s="52">
        <v>6002</v>
      </c>
      <c r="CA254" s="52"/>
      <c r="CB254" s="52"/>
      <c r="CC254" s="52"/>
      <c r="CD254" s="52"/>
      <c r="CE254" s="52"/>
      <c r="CF254" s="52"/>
      <c r="CG254" s="52">
        <v>66956</v>
      </c>
      <c r="CH254" s="52"/>
      <c r="CI254" s="52"/>
      <c r="CJ254" s="52"/>
      <c r="CK254" s="52"/>
      <c r="CL254" s="52"/>
      <c r="CM254" s="52"/>
      <c r="CN254" s="52"/>
      <c r="CO254" s="52"/>
      <c r="CP254" s="52">
        <v>13313</v>
      </c>
      <c r="CQ254" s="52"/>
      <c r="CR254" s="52"/>
      <c r="CS254" s="52"/>
      <c r="CT254" s="52"/>
      <c r="CU254" s="52">
        <v>7190</v>
      </c>
      <c r="CV254" s="52"/>
      <c r="CW254" s="52"/>
      <c r="CX254" s="52">
        <v>41319</v>
      </c>
      <c r="CY254" s="52"/>
      <c r="CZ254" s="52"/>
      <c r="DA254" s="52"/>
      <c r="DB254" s="52"/>
      <c r="DC254" s="52"/>
      <c r="DD254" s="52"/>
      <c r="DE254" s="52">
        <v>1057446</v>
      </c>
      <c r="DF254" s="52"/>
      <c r="DG254" s="52">
        <v>1057446</v>
      </c>
      <c r="DH254" s="52"/>
    </row>
    <row r="255" spans="1:113">
      <c r="A255" s="150" t="s">
        <v>407</v>
      </c>
      <c r="B255" s="119">
        <v>1340</v>
      </c>
      <c r="C255" s="44" t="s">
        <v>56</v>
      </c>
      <c r="D255" s="52"/>
      <c r="E255" s="52"/>
      <c r="F255" s="52"/>
      <c r="G255" s="52"/>
      <c r="H255" s="56"/>
      <c r="I255" s="56"/>
      <c r="J255" s="56"/>
      <c r="K255" s="56"/>
      <c r="L255" s="52"/>
      <c r="M255" s="52"/>
      <c r="N255" s="52"/>
      <c r="O255" s="52"/>
      <c r="P255" s="52"/>
      <c r="Q255" s="52"/>
      <c r="R255" s="52"/>
      <c r="S255" s="52"/>
      <c r="T255" s="52"/>
      <c r="U255" s="52"/>
      <c r="V255" s="52"/>
      <c r="W255" s="52"/>
      <c r="X255" s="52"/>
      <c r="Y255" s="52"/>
      <c r="Z255" s="52"/>
      <c r="AA255" s="52"/>
      <c r="AB255" s="52"/>
      <c r="AC255" s="52"/>
      <c r="AD255" s="52"/>
      <c r="AE255" s="52"/>
      <c r="AF255" s="52">
        <v>12000</v>
      </c>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v>3960</v>
      </c>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v>15960</v>
      </c>
      <c r="DF255" s="52"/>
      <c r="DG255" s="52">
        <v>15960</v>
      </c>
      <c r="DH255" s="52"/>
    </row>
    <row r="256" spans="1:113">
      <c r="A256" s="150" t="s">
        <v>408</v>
      </c>
      <c r="B256" s="119">
        <v>1400</v>
      </c>
      <c r="C256" s="44" t="s">
        <v>59</v>
      </c>
      <c r="D256" s="52"/>
      <c r="E256" s="52"/>
      <c r="F256" s="52"/>
      <c r="G256" s="52"/>
      <c r="H256" s="56"/>
      <c r="I256" s="56"/>
      <c r="J256" s="56"/>
      <c r="K256" s="56"/>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row>
    <row r="257" spans="1:112">
      <c r="A257" s="150" t="s">
        <v>408</v>
      </c>
      <c r="B257" s="119">
        <v>1500</v>
      </c>
      <c r="C257" s="44" t="s">
        <v>62</v>
      </c>
      <c r="D257" s="52"/>
      <c r="E257" s="52"/>
      <c r="F257" s="52"/>
      <c r="G257" s="52"/>
      <c r="H257" s="56"/>
      <c r="I257" s="56"/>
      <c r="J257" s="56"/>
      <c r="K257" s="56"/>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row>
    <row r="258" spans="1:112">
      <c r="A258" s="150" t="s">
        <v>408</v>
      </c>
      <c r="B258" s="119">
        <v>1600</v>
      </c>
      <c r="C258" s="44" t="s">
        <v>66</v>
      </c>
      <c r="D258" s="52"/>
      <c r="E258" s="52"/>
      <c r="F258" s="52"/>
      <c r="G258" s="52"/>
      <c r="H258" s="56"/>
      <c r="I258" s="56"/>
      <c r="J258" s="56"/>
      <c r="K258" s="56"/>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row>
    <row r="259" spans="1:112">
      <c r="A259" s="150" t="s">
        <v>408</v>
      </c>
      <c r="B259" s="119">
        <v>1700</v>
      </c>
      <c r="C259" s="44" t="s">
        <v>73</v>
      </c>
      <c r="D259" s="52"/>
      <c r="E259" s="52"/>
      <c r="F259" s="52"/>
      <c r="G259" s="52"/>
      <c r="H259" s="56"/>
      <c r="I259" s="56"/>
      <c r="J259" s="56"/>
      <c r="K259" s="56"/>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row>
    <row r="260" spans="1:112">
      <c r="A260" s="150" t="s">
        <v>408</v>
      </c>
      <c r="B260" s="119"/>
      <c r="D260" s="52" t="s">
        <v>38</v>
      </c>
      <c r="E260" s="52" t="s">
        <v>39</v>
      </c>
      <c r="F260" s="52" t="s">
        <v>40</v>
      </c>
      <c r="G260" s="52" t="s">
        <v>41</v>
      </c>
      <c r="H260" s="57" t="s">
        <v>303</v>
      </c>
      <c r="I260" s="57" t="s">
        <v>304</v>
      </c>
      <c r="J260" s="57" t="s">
        <v>305</v>
      </c>
      <c r="K260" s="57" t="s">
        <v>306</v>
      </c>
      <c r="L260" s="52" t="s">
        <v>307</v>
      </c>
      <c r="M260" s="52" t="s">
        <v>308</v>
      </c>
      <c r="N260" s="52" t="s">
        <v>309</v>
      </c>
      <c r="O260" s="52" t="s">
        <v>310</v>
      </c>
      <c r="P260" s="52" t="s">
        <v>311</v>
      </c>
      <c r="Q260" s="52" t="s">
        <v>312</v>
      </c>
      <c r="R260" s="52" t="s">
        <v>313</v>
      </c>
      <c r="S260" s="52" t="s">
        <v>314</v>
      </c>
      <c r="T260" s="52" t="s">
        <v>315</v>
      </c>
      <c r="U260" s="52" t="s">
        <v>316</v>
      </c>
      <c r="V260" s="52" t="s">
        <v>317</v>
      </c>
      <c r="W260" s="52" t="s">
        <v>318</v>
      </c>
      <c r="X260" s="52" t="s">
        <v>319</v>
      </c>
      <c r="Y260" s="52" t="s">
        <v>320</v>
      </c>
      <c r="Z260" s="52" t="s">
        <v>321</v>
      </c>
      <c r="AA260" s="52" t="s">
        <v>322</v>
      </c>
      <c r="AB260" s="52" t="s">
        <v>323</v>
      </c>
      <c r="AC260" s="52" t="s">
        <v>324</v>
      </c>
      <c r="AD260" s="52" t="s">
        <v>325</v>
      </c>
      <c r="AE260" s="52" t="s">
        <v>326</v>
      </c>
      <c r="AF260" s="52" t="s">
        <v>327</v>
      </c>
      <c r="AG260" s="52" t="s">
        <v>328</v>
      </c>
      <c r="AH260" s="52" t="s">
        <v>329</v>
      </c>
      <c r="AI260" s="52" t="s">
        <v>330</v>
      </c>
      <c r="AJ260" s="52" t="s">
        <v>331</v>
      </c>
      <c r="AK260" s="52" t="s">
        <v>332</v>
      </c>
      <c r="AL260" s="52" t="s">
        <v>333</v>
      </c>
      <c r="AM260" s="52" t="s">
        <v>334</v>
      </c>
      <c r="AN260" s="52" t="s">
        <v>335</v>
      </c>
      <c r="AO260" s="52" t="s">
        <v>336</v>
      </c>
      <c r="AP260" s="52" t="s">
        <v>337</v>
      </c>
      <c r="AQ260" s="52" t="s">
        <v>338</v>
      </c>
      <c r="AR260" s="52" t="s">
        <v>339</v>
      </c>
      <c r="AS260" s="52" t="s">
        <v>340</v>
      </c>
      <c r="AT260" s="52" t="s">
        <v>341</v>
      </c>
      <c r="AU260" s="52" t="s">
        <v>342</v>
      </c>
      <c r="AV260" s="52" t="s">
        <v>343</v>
      </c>
      <c r="AW260" s="52" t="s">
        <v>344</v>
      </c>
      <c r="AX260" s="52" t="s">
        <v>345</v>
      </c>
      <c r="AY260" s="52" t="s">
        <v>346</v>
      </c>
      <c r="AZ260" s="52" t="s">
        <v>347</v>
      </c>
      <c r="BA260" s="52" t="s">
        <v>348</v>
      </c>
      <c r="BB260" s="52" t="s">
        <v>349</v>
      </c>
      <c r="BC260" s="52" t="s">
        <v>350</v>
      </c>
      <c r="BD260" s="52" t="s">
        <v>351</v>
      </c>
      <c r="BE260" s="52" t="s">
        <v>352</v>
      </c>
      <c r="BF260" s="52" t="s">
        <v>353</v>
      </c>
      <c r="BG260" s="52" t="s">
        <v>354</v>
      </c>
      <c r="BH260" s="52" t="s">
        <v>355</v>
      </c>
      <c r="BI260" s="52" t="s">
        <v>356</v>
      </c>
      <c r="BJ260" s="52" t="s">
        <v>357</v>
      </c>
      <c r="BK260" s="52" t="s">
        <v>358</v>
      </c>
      <c r="BL260" s="52" t="s">
        <v>359</v>
      </c>
      <c r="BM260" s="52" t="s">
        <v>360</v>
      </c>
      <c r="BN260" s="52" t="s">
        <v>361</v>
      </c>
      <c r="BO260" s="52" t="s">
        <v>362</v>
      </c>
      <c r="BP260" s="52" t="s">
        <v>363</v>
      </c>
      <c r="BQ260" s="52" t="s">
        <v>364</v>
      </c>
      <c r="BR260" s="52" t="s">
        <v>365</v>
      </c>
      <c r="BS260" s="52" t="s">
        <v>366</v>
      </c>
      <c r="BT260" s="52" t="s">
        <v>367</v>
      </c>
      <c r="BU260" s="52" t="s">
        <v>368</v>
      </c>
      <c r="BV260" s="52" t="s">
        <v>369</v>
      </c>
      <c r="BW260" s="52" t="s">
        <v>370</v>
      </c>
      <c r="BX260" s="52" t="s">
        <v>371</v>
      </c>
      <c r="BY260" s="52" t="s">
        <v>372</v>
      </c>
      <c r="BZ260" s="52" t="s">
        <v>373</v>
      </c>
      <c r="CA260" s="52" t="s">
        <v>374</v>
      </c>
      <c r="CB260" s="52" t="s">
        <v>375</v>
      </c>
      <c r="CC260" s="52" t="s">
        <v>376</v>
      </c>
      <c r="CD260" s="52" t="s">
        <v>377</v>
      </c>
      <c r="CE260" s="52" t="s">
        <v>378</v>
      </c>
      <c r="CF260" s="52" t="s">
        <v>379</v>
      </c>
      <c r="CG260" s="52" t="s">
        <v>380</v>
      </c>
      <c r="CH260" s="52" t="s">
        <v>381</v>
      </c>
      <c r="CI260" s="52" t="s">
        <v>382</v>
      </c>
      <c r="CJ260" s="52" t="s">
        <v>383</v>
      </c>
      <c r="CK260" s="52" t="s">
        <v>384</v>
      </c>
      <c r="CL260" s="52" t="s">
        <v>385</v>
      </c>
      <c r="CM260" s="52" t="s">
        <v>386</v>
      </c>
      <c r="CN260" s="52" t="s">
        <v>387</v>
      </c>
      <c r="CO260" s="52" t="s">
        <v>388</v>
      </c>
      <c r="CP260" s="52" t="s">
        <v>389</v>
      </c>
      <c r="CQ260" s="52" t="s">
        <v>390</v>
      </c>
      <c r="CR260" s="52" t="s">
        <v>391</v>
      </c>
      <c r="CS260" s="52" t="s">
        <v>392</v>
      </c>
      <c r="CT260" s="52" t="s">
        <v>393</v>
      </c>
      <c r="CU260" s="52" t="s">
        <v>394</v>
      </c>
      <c r="CV260" s="52" t="s">
        <v>395</v>
      </c>
      <c r="CW260" s="52" t="s">
        <v>396</v>
      </c>
      <c r="CX260" s="52" t="s">
        <v>397</v>
      </c>
      <c r="CY260" s="52" t="s">
        <v>398</v>
      </c>
      <c r="CZ260" s="52" t="s">
        <v>399</v>
      </c>
      <c r="DA260" s="52" t="s">
        <v>400</v>
      </c>
      <c r="DB260" s="52" t="s">
        <v>401</v>
      </c>
      <c r="DC260" s="52" t="s">
        <v>29</v>
      </c>
      <c r="DD260" s="52" t="s">
        <v>402</v>
      </c>
      <c r="DE260" s="52" t="s">
        <v>403</v>
      </c>
      <c r="DF260" s="52" t="s">
        <v>404</v>
      </c>
      <c r="DG260" s="52" t="s">
        <v>405</v>
      </c>
      <c r="DH260" s="52"/>
    </row>
    <row r="261" spans="1:112">
      <c r="A261" s="150" t="s">
        <v>408</v>
      </c>
      <c r="B261" s="119"/>
      <c r="D261" s="52"/>
      <c r="E261" s="52"/>
      <c r="F261" s="52"/>
      <c r="G261" s="52"/>
      <c r="H261" s="57"/>
      <c r="I261" s="57"/>
      <c r="J261" s="57"/>
      <c r="K261" s="57"/>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row>
    <row r="262" spans="1:112">
      <c r="A262" s="150" t="s">
        <v>408</v>
      </c>
      <c r="B262" s="119">
        <v>1990</v>
      </c>
      <c r="C262" s="44" t="s">
        <v>85</v>
      </c>
      <c r="D262" s="52"/>
      <c r="E262" s="52"/>
      <c r="F262" s="52"/>
      <c r="G262" s="52"/>
      <c r="H262" s="56"/>
      <c r="I262" s="56"/>
      <c r="J262" s="56"/>
      <c r="K262" s="56"/>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row>
    <row r="263" spans="1:112">
      <c r="A263" s="150" t="s">
        <v>408</v>
      </c>
      <c r="B263" s="119"/>
      <c r="D263" s="52"/>
      <c r="E263" s="52"/>
      <c r="F263" s="52"/>
      <c r="G263" s="52"/>
      <c r="H263" s="56"/>
      <c r="I263" s="56"/>
      <c r="J263" s="56"/>
      <c r="K263" s="56"/>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row>
    <row r="264" spans="1:112">
      <c r="A264" s="150" t="s">
        <v>408</v>
      </c>
      <c r="B264" s="119" t="s">
        <v>90</v>
      </c>
      <c r="C264" s="44" t="s">
        <v>91</v>
      </c>
      <c r="D264" s="52">
        <v>10474641</v>
      </c>
      <c r="E264" s="52">
        <v>75661599</v>
      </c>
      <c r="F264" s="52">
        <v>5502685</v>
      </c>
      <c r="G264" s="52">
        <v>785170</v>
      </c>
      <c r="H264" s="56">
        <v>26158685</v>
      </c>
      <c r="I264" s="56">
        <v>11420331</v>
      </c>
      <c r="J264" s="56">
        <v>8057991</v>
      </c>
      <c r="K264" s="56">
        <v>16516037</v>
      </c>
      <c r="L264" s="52">
        <v>46945356</v>
      </c>
      <c r="M264" s="52">
        <v>1048008</v>
      </c>
      <c r="N264" s="52">
        <v>3912004</v>
      </c>
      <c r="O264" s="52">
        <v>4360542</v>
      </c>
      <c r="P264" s="52">
        <v>3468720</v>
      </c>
      <c r="Q264" s="52">
        <v>2421466</v>
      </c>
      <c r="R264" s="52">
        <v>2838378</v>
      </c>
      <c r="S264" s="52">
        <v>6462076</v>
      </c>
      <c r="T264" s="52">
        <v>1391022</v>
      </c>
      <c r="U264" s="52">
        <v>167660076</v>
      </c>
      <c r="V264" s="52">
        <v>3830293</v>
      </c>
      <c r="W264" s="52">
        <v>117077320</v>
      </c>
      <c r="X264" s="52">
        <v>9658216</v>
      </c>
      <c r="Y264" s="52">
        <v>304200778</v>
      </c>
      <c r="Z264" s="52">
        <v>36848750</v>
      </c>
      <c r="AA264" s="52">
        <v>21483318</v>
      </c>
      <c r="AB264" s="52">
        <v>22562213</v>
      </c>
      <c r="AC264" s="52">
        <v>4797970</v>
      </c>
      <c r="AD264" s="52">
        <v>6091951</v>
      </c>
      <c r="AE264" s="52">
        <v>3020208</v>
      </c>
      <c r="AF264" s="52">
        <v>1057120</v>
      </c>
      <c r="AG264" s="52">
        <v>22777632</v>
      </c>
      <c r="AH264" s="52">
        <v>48006157</v>
      </c>
      <c r="AI264" s="52">
        <v>1288126</v>
      </c>
      <c r="AJ264" s="52">
        <v>1475151</v>
      </c>
      <c r="AK264" s="52">
        <v>5500274</v>
      </c>
      <c r="AL264" s="52">
        <v>2821595</v>
      </c>
      <c r="AM264" s="52">
        <v>1020889</v>
      </c>
      <c r="AN264" s="52">
        <v>66852600</v>
      </c>
      <c r="AO264" s="52">
        <v>11659001</v>
      </c>
      <c r="AP264" s="52">
        <v>3102555</v>
      </c>
      <c r="AQ264" s="52">
        <v>13202724</v>
      </c>
      <c r="AR264" s="52">
        <v>23787612</v>
      </c>
      <c r="AS264" s="52">
        <v>57963523</v>
      </c>
      <c r="AT264" s="52">
        <v>3909437</v>
      </c>
      <c r="AU264" s="52">
        <v>8377086</v>
      </c>
      <c r="AV264" s="52">
        <v>3550207</v>
      </c>
      <c r="AW264" s="52">
        <v>6202083</v>
      </c>
      <c r="AX264" s="52">
        <v>60407211</v>
      </c>
      <c r="AY264" s="52">
        <v>293011400</v>
      </c>
      <c r="AZ264" s="52">
        <v>41531915</v>
      </c>
      <c r="BA264" s="52">
        <v>3740863</v>
      </c>
      <c r="BB264" s="52">
        <v>8409659</v>
      </c>
      <c r="BC264" s="52">
        <v>1378253</v>
      </c>
      <c r="BD264" s="52">
        <v>6828453</v>
      </c>
      <c r="BE264" s="52">
        <v>3886532</v>
      </c>
      <c r="BF264" s="52">
        <v>224692294</v>
      </c>
      <c r="BG264" s="52">
        <v>11536376</v>
      </c>
      <c r="BH264" s="52">
        <v>38941008</v>
      </c>
      <c r="BI264" s="52">
        <v>38511004</v>
      </c>
      <c r="BJ264" s="52">
        <v>16370908</v>
      </c>
      <c r="BK264" s="52">
        <v>10039675</v>
      </c>
      <c r="BL264" s="52">
        <v>6492865</v>
      </c>
      <c r="BM264" s="52">
        <v>107075233</v>
      </c>
      <c r="BN264" s="52">
        <v>36319674</v>
      </c>
      <c r="BO264" s="52">
        <v>10840478</v>
      </c>
      <c r="BP264" s="52">
        <v>9404195</v>
      </c>
      <c r="BQ264" s="52">
        <v>89793837</v>
      </c>
      <c r="BR264" s="52">
        <v>5833670</v>
      </c>
      <c r="BS264" s="52">
        <v>1531529</v>
      </c>
      <c r="BT264" s="52">
        <v>6317183</v>
      </c>
      <c r="BU264" s="52">
        <v>4786613</v>
      </c>
      <c r="BV264" s="52">
        <v>2001480</v>
      </c>
      <c r="BW264" s="52">
        <v>1448684</v>
      </c>
      <c r="BX264" s="52">
        <v>11531082</v>
      </c>
      <c r="BY264" s="52">
        <v>30550055</v>
      </c>
      <c r="BZ264" s="52">
        <v>64446185</v>
      </c>
      <c r="CA264" s="52"/>
      <c r="CB264" s="52">
        <v>14383960</v>
      </c>
      <c r="CC264" s="52">
        <v>15193588</v>
      </c>
      <c r="CD264" s="52">
        <v>32502472</v>
      </c>
      <c r="CE264" s="52">
        <v>790614</v>
      </c>
      <c r="CF264" s="52">
        <v>60458160</v>
      </c>
      <c r="CG264" s="52">
        <v>180798308</v>
      </c>
      <c r="CH264" s="52">
        <v>119871947</v>
      </c>
      <c r="CI264" s="52">
        <v>6829519</v>
      </c>
      <c r="CJ264" s="52">
        <v>19400431</v>
      </c>
      <c r="CK264" s="52">
        <v>28565808</v>
      </c>
      <c r="CL264" s="52">
        <v>14467865</v>
      </c>
      <c r="CM264" s="52">
        <v>10515764</v>
      </c>
      <c r="CN264" s="52">
        <v>41123819</v>
      </c>
      <c r="CO264" s="52">
        <v>42279041</v>
      </c>
      <c r="CP264" s="52">
        <v>43813963</v>
      </c>
      <c r="CQ264" s="52">
        <v>1739823</v>
      </c>
      <c r="CR264" s="52">
        <v>2726629</v>
      </c>
      <c r="CS264" s="52">
        <v>2547914</v>
      </c>
      <c r="CT264" s="52">
        <v>24679918</v>
      </c>
      <c r="CU264" s="52">
        <v>24159026</v>
      </c>
      <c r="CV264" s="52"/>
      <c r="CW264" s="52">
        <v>11814396</v>
      </c>
      <c r="CX264" s="52">
        <v>14634768</v>
      </c>
      <c r="CY264" s="52">
        <v>18653530</v>
      </c>
      <c r="CZ264" s="52">
        <v>45558771</v>
      </c>
      <c r="DA264" s="52">
        <v>74465021</v>
      </c>
      <c r="DB264" s="52">
        <v>48297579</v>
      </c>
      <c r="DC264" s="52">
        <v>12497</v>
      </c>
      <c r="DD264" s="52"/>
      <c r="DE264" s="52"/>
      <c r="DF264" s="52"/>
      <c r="DG264" s="52"/>
      <c r="DH264" s="52"/>
    </row>
    <row r="265" spans="1:112">
      <c r="A265" s="150" t="s">
        <v>408</v>
      </c>
      <c r="B265" s="119"/>
      <c r="D265" s="52"/>
      <c r="E265" s="52"/>
      <c r="F265" s="52"/>
      <c r="G265" s="52"/>
      <c r="H265" s="56"/>
      <c r="I265" s="56"/>
      <c r="J265" s="56"/>
      <c r="K265" s="56"/>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row>
    <row r="266" spans="1:112">
      <c r="A266" s="150" t="s">
        <v>408</v>
      </c>
      <c r="B266" s="119">
        <v>2000</v>
      </c>
      <c r="C266" s="44" t="s">
        <v>92</v>
      </c>
      <c r="D266" s="52"/>
      <c r="E266" s="52"/>
      <c r="F266" s="52"/>
      <c r="G266" s="52"/>
      <c r="H266" s="56"/>
      <c r="I266" s="56"/>
      <c r="J266" s="56"/>
      <c r="K266" s="56"/>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row>
    <row r="267" spans="1:112">
      <c r="A267" s="150" t="s">
        <v>408</v>
      </c>
      <c r="B267" s="119"/>
      <c r="D267" s="52"/>
      <c r="E267" s="52"/>
      <c r="F267" s="52"/>
      <c r="G267" s="52"/>
      <c r="H267" s="56"/>
      <c r="I267" s="56"/>
      <c r="J267" s="56"/>
      <c r="K267" s="56"/>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row>
    <row r="268" spans="1:112">
      <c r="A268" s="150" t="s">
        <v>408</v>
      </c>
      <c r="B268" s="119" t="s">
        <v>90</v>
      </c>
      <c r="C268" s="44" t="s">
        <v>97</v>
      </c>
      <c r="D268" s="52">
        <v>182004</v>
      </c>
      <c r="E268" s="52">
        <v>964440</v>
      </c>
      <c r="F268" s="52"/>
      <c r="G268" s="52"/>
      <c r="H268" s="56"/>
      <c r="I268" s="56"/>
      <c r="J268" s="56"/>
      <c r="K268" s="56"/>
      <c r="L268" s="52">
        <v>77771</v>
      </c>
      <c r="M268" s="52"/>
      <c r="N268" s="52"/>
      <c r="O268" s="52">
        <v>130155</v>
      </c>
      <c r="P268" s="52">
        <v>37338</v>
      </c>
      <c r="Q268" s="52">
        <v>180161</v>
      </c>
      <c r="R268" s="52">
        <v>20214</v>
      </c>
      <c r="S268" s="52">
        <v>52650</v>
      </c>
      <c r="T268" s="52"/>
      <c r="U268" s="52"/>
      <c r="V268" s="52"/>
      <c r="W268" s="52">
        <v>56180</v>
      </c>
      <c r="X268" s="52">
        <v>183963</v>
      </c>
      <c r="Y268" s="52">
        <v>123510</v>
      </c>
      <c r="Z268" s="52">
        <v>13961</v>
      </c>
      <c r="AA268" s="52">
        <v>2293015</v>
      </c>
      <c r="AB268" s="52">
        <v>306045</v>
      </c>
      <c r="AC268" s="52"/>
      <c r="AD268" s="52">
        <v>511656</v>
      </c>
      <c r="AE268" s="52">
        <v>33766</v>
      </c>
      <c r="AF268" s="52"/>
      <c r="AG268" s="52">
        <v>49449</v>
      </c>
      <c r="AH268" s="52"/>
      <c r="AI268" s="52">
        <v>2213625</v>
      </c>
      <c r="AJ268" s="52">
        <v>823890</v>
      </c>
      <c r="AK268" s="52">
        <v>1366477</v>
      </c>
      <c r="AL268" s="52">
        <v>696706</v>
      </c>
      <c r="AM268" s="52">
        <v>218419</v>
      </c>
      <c r="AN268" s="52">
        <v>1130912</v>
      </c>
      <c r="AO268" s="52">
        <v>123344</v>
      </c>
      <c r="AP268" s="52"/>
      <c r="AQ268" s="52">
        <v>94379</v>
      </c>
      <c r="AR268" s="52">
        <v>120189</v>
      </c>
      <c r="AS268" s="52">
        <v>1213892</v>
      </c>
      <c r="AT268" s="52">
        <v>22453</v>
      </c>
      <c r="AU268" s="52">
        <v>154222</v>
      </c>
      <c r="AV268" s="52">
        <v>43267</v>
      </c>
      <c r="AW268" s="52">
        <v>1816</v>
      </c>
      <c r="AX268" s="52">
        <v>2808</v>
      </c>
      <c r="AY268" s="52">
        <v>4329237</v>
      </c>
      <c r="AZ268" s="52"/>
      <c r="BA268" s="52">
        <v>42200</v>
      </c>
      <c r="BB268" s="52"/>
      <c r="BC268" s="52">
        <v>502407</v>
      </c>
      <c r="BD268" s="52">
        <v>60084</v>
      </c>
      <c r="BE268" s="52"/>
      <c r="BF268" s="52">
        <v>1043570</v>
      </c>
      <c r="BG268" s="52">
        <v>3303920</v>
      </c>
      <c r="BH268" s="52"/>
      <c r="BI268" s="52">
        <v>571822</v>
      </c>
      <c r="BJ268" s="52"/>
      <c r="BK268" s="52">
        <v>91758</v>
      </c>
      <c r="BL268" s="52">
        <v>393332</v>
      </c>
      <c r="BM268" s="52">
        <v>151695</v>
      </c>
      <c r="BN268" s="52">
        <v>33542</v>
      </c>
      <c r="BO268" s="52">
        <v>351933</v>
      </c>
      <c r="BP268" s="52"/>
      <c r="BQ268" s="52"/>
      <c r="BR268" s="52"/>
      <c r="BS268" s="52">
        <v>147988</v>
      </c>
      <c r="BT268" s="52">
        <v>133499</v>
      </c>
      <c r="BU268" s="52">
        <v>63012</v>
      </c>
      <c r="BV268" s="52">
        <v>371960</v>
      </c>
      <c r="BW268" s="52">
        <v>151762</v>
      </c>
      <c r="BX268" s="52">
        <v>262191</v>
      </c>
      <c r="BY268" s="52">
        <v>51800</v>
      </c>
      <c r="BZ268" s="52">
        <v>459391</v>
      </c>
      <c r="CA268" s="52"/>
      <c r="CB268" s="52">
        <v>800000</v>
      </c>
      <c r="CC268" s="52">
        <v>64101</v>
      </c>
      <c r="CD268" s="52">
        <v>79843</v>
      </c>
      <c r="CE268" s="52"/>
      <c r="CF268" s="52">
        <v>284547</v>
      </c>
      <c r="CG268" s="52"/>
      <c r="CH268" s="52"/>
      <c r="CI268" s="52"/>
      <c r="CJ268" s="52">
        <v>571818</v>
      </c>
      <c r="CK268" s="52">
        <v>18243</v>
      </c>
      <c r="CL268" s="52">
        <v>61003</v>
      </c>
      <c r="CM268" s="52">
        <v>308781</v>
      </c>
      <c r="CN268" s="52">
        <v>1625325</v>
      </c>
      <c r="CO268" s="52">
        <v>640668</v>
      </c>
      <c r="CP268" s="52">
        <v>914368</v>
      </c>
      <c r="CQ268" s="52"/>
      <c r="CR268" s="52"/>
      <c r="CS268" s="52"/>
      <c r="CT268" s="52">
        <v>313279</v>
      </c>
      <c r="CU268" s="52">
        <v>111526</v>
      </c>
      <c r="CV268" s="52"/>
      <c r="CW268" s="52">
        <v>162552</v>
      </c>
      <c r="CX268" s="52">
        <v>187908</v>
      </c>
      <c r="CY268" s="52">
        <v>107469</v>
      </c>
      <c r="CZ268" s="52"/>
      <c r="DA268" s="52">
        <v>332652</v>
      </c>
      <c r="DB268" s="52">
        <v>83121</v>
      </c>
      <c r="DC268" s="52">
        <v>2527750</v>
      </c>
      <c r="DD268" s="52">
        <v>4375941</v>
      </c>
      <c r="DE268" s="52"/>
      <c r="DF268" s="52"/>
      <c r="DG268" s="52"/>
      <c r="DH268" s="52"/>
    </row>
    <row r="269" spans="1:112">
      <c r="A269" s="150" t="s">
        <v>408</v>
      </c>
      <c r="B269" s="119"/>
      <c r="D269" s="52"/>
      <c r="E269" s="52"/>
      <c r="F269" s="52"/>
      <c r="G269" s="52"/>
      <c r="H269" s="56"/>
      <c r="I269" s="56"/>
      <c r="J269" s="56"/>
      <c r="K269" s="56"/>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row>
    <row r="270" spans="1:112">
      <c r="A270" s="150" t="s">
        <v>408</v>
      </c>
      <c r="B270" s="119">
        <v>3000</v>
      </c>
      <c r="C270" s="44" t="s">
        <v>98</v>
      </c>
      <c r="D270" s="52"/>
      <c r="E270" s="52"/>
      <c r="F270" s="52"/>
      <c r="G270" s="52"/>
      <c r="H270" s="56"/>
      <c r="I270" s="56"/>
      <c r="J270" s="56"/>
      <c r="K270" s="56"/>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row>
    <row r="271" spans="1:112">
      <c r="A271" s="150" t="s">
        <v>408</v>
      </c>
      <c r="B271" s="119">
        <v>3100</v>
      </c>
      <c r="C271" s="44" t="s">
        <v>99</v>
      </c>
      <c r="D271" s="52"/>
      <c r="E271" s="52"/>
      <c r="F271" s="52"/>
      <c r="G271" s="52"/>
      <c r="H271" s="56"/>
      <c r="I271" s="56"/>
      <c r="J271" s="56"/>
      <c r="K271" s="56"/>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row>
    <row r="272" spans="1:112">
      <c r="A272" s="150" t="s">
        <v>408</v>
      </c>
      <c r="B272" s="119">
        <v>3110</v>
      </c>
      <c r="C272" s="44" t="s">
        <v>100</v>
      </c>
      <c r="D272" s="52"/>
      <c r="E272" s="52"/>
      <c r="F272" s="52"/>
      <c r="G272" s="52"/>
      <c r="H272" s="56"/>
      <c r="I272" s="56"/>
      <c r="J272" s="56"/>
      <c r="K272" s="56"/>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row>
    <row r="273" spans="1:112">
      <c r="A273" s="150" t="s">
        <v>408</v>
      </c>
      <c r="B273" s="119">
        <v>3120</v>
      </c>
      <c r="C273" s="44" t="s">
        <v>105</v>
      </c>
      <c r="D273" s="52"/>
      <c r="E273" s="52"/>
      <c r="F273" s="52"/>
      <c r="G273" s="52"/>
      <c r="H273" s="56"/>
      <c r="I273" s="56"/>
      <c r="J273" s="56"/>
      <c r="K273" s="56"/>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row>
    <row r="274" spans="1:112">
      <c r="A274" s="150" t="s">
        <v>408</v>
      </c>
      <c r="B274" s="119">
        <v>3130</v>
      </c>
      <c r="C274" s="44" t="s">
        <v>114</v>
      </c>
      <c r="D274" s="52"/>
      <c r="E274" s="52"/>
      <c r="F274" s="52"/>
      <c r="G274" s="52"/>
      <c r="H274" s="56"/>
      <c r="I274" s="56"/>
      <c r="J274" s="56"/>
      <c r="K274" s="56"/>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row>
    <row r="275" spans="1:112">
      <c r="A275" s="150" t="s">
        <v>408</v>
      </c>
      <c r="B275" s="119">
        <v>3140</v>
      </c>
      <c r="C275" s="44" t="s">
        <v>119</v>
      </c>
      <c r="D275" s="52"/>
      <c r="E275" s="52"/>
      <c r="F275" s="52"/>
      <c r="G275" s="52"/>
      <c r="H275" s="56"/>
      <c r="I275" s="56"/>
      <c r="J275" s="56"/>
      <c r="K275" s="56"/>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row>
    <row r="276" spans="1:112">
      <c r="A276" s="150" t="s">
        <v>408</v>
      </c>
      <c r="B276" s="119"/>
      <c r="D276" s="52" t="s">
        <v>38</v>
      </c>
      <c r="E276" s="52" t="s">
        <v>39</v>
      </c>
      <c r="F276" s="52" t="s">
        <v>40</v>
      </c>
      <c r="G276" s="52" t="s">
        <v>41</v>
      </c>
      <c r="H276" s="57" t="s">
        <v>303</v>
      </c>
      <c r="I276" s="57" t="s">
        <v>304</v>
      </c>
      <c r="J276" s="57" t="s">
        <v>305</v>
      </c>
      <c r="K276" s="57" t="s">
        <v>306</v>
      </c>
      <c r="L276" s="52" t="s">
        <v>307</v>
      </c>
      <c r="M276" s="52" t="s">
        <v>308</v>
      </c>
      <c r="N276" s="52" t="s">
        <v>309</v>
      </c>
      <c r="O276" s="52" t="s">
        <v>310</v>
      </c>
      <c r="P276" s="52" t="s">
        <v>311</v>
      </c>
      <c r="Q276" s="52" t="s">
        <v>312</v>
      </c>
      <c r="R276" s="52" t="s">
        <v>313</v>
      </c>
      <c r="S276" s="52" t="s">
        <v>314</v>
      </c>
      <c r="T276" s="52" t="s">
        <v>315</v>
      </c>
      <c r="U276" s="52" t="s">
        <v>316</v>
      </c>
      <c r="V276" s="52" t="s">
        <v>317</v>
      </c>
      <c r="W276" s="52" t="s">
        <v>318</v>
      </c>
      <c r="X276" s="52" t="s">
        <v>319</v>
      </c>
      <c r="Y276" s="52" t="s">
        <v>320</v>
      </c>
      <c r="Z276" s="52" t="s">
        <v>321</v>
      </c>
      <c r="AA276" s="52" t="s">
        <v>322</v>
      </c>
      <c r="AB276" s="52" t="s">
        <v>323</v>
      </c>
      <c r="AC276" s="52" t="s">
        <v>324</v>
      </c>
      <c r="AD276" s="52" t="s">
        <v>325</v>
      </c>
      <c r="AE276" s="52" t="s">
        <v>326</v>
      </c>
      <c r="AF276" s="52" t="s">
        <v>327</v>
      </c>
      <c r="AG276" s="52" t="s">
        <v>328</v>
      </c>
      <c r="AH276" s="52" t="s">
        <v>329</v>
      </c>
      <c r="AI276" s="52" t="s">
        <v>330</v>
      </c>
      <c r="AJ276" s="52" t="s">
        <v>331</v>
      </c>
      <c r="AK276" s="52" t="s">
        <v>332</v>
      </c>
      <c r="AL276" s="52" t="s">
        <v>333</v>
      </c>
      <c r="AM276" s="52" t="s">
        <v>334</v>
      </c>
      <c r="AN276" s="52" t="s">
        <v>335</v>
      </c>
      <c r="AO276" s="52" t="s">
        <v>336</v>
      </c>
      <c r="AP276" s="52" t="s">
        <v>337</v>
      </c>
      <c r="AQ276" s="52" t="s">
        <v>338</v>
      </c>
      <c r="AR276" s="52" t="s">
        <v>339</v>
      </c>
      <c r="AS276" s="52" t="s">
        <v>340</v>
      </c>
      <c r="AT276" s="52" t="s">
        <v>341</v>
      </c>
      <c r="AU276" s="52" t="s">
        <v>342</v>
      </c>
      <c r="AV276" s="52" t="s">
        <v>343</v>
      </c>
      <c r="AW276" s="52" t="s">
        <v>344</v>
      </c>
      <c r="AX276" s="52" t="s">
        <v>345</v>
      </c>
      <c r="AY276" s="52" t="s">
        <v>346</v>
      </c>
      <c r="AZ276" s="52" t="s">
        <v>347</v>
      </c>
      <c r="BA276" s="52" t="s">
        <v>348</v>
      </c>
      <c r="BB276" s="52" t="s">
        <v>349</v>
      </c>
      <c r="BC276" s="52" t="s">
        <v>350</v>
      </c>
      <c r="BD276" s="52" t="s">
        <v>351</v>
      </c>
      <c r="BE276" s="52" t="s">
        <v>352</v>
      </c>
      <c r="BF276" s="52" t="s">
        <v>353</v>
      </c>
      <c r="BG276" s="52" t="s">
        <v>354</v>
      </c>
      <c r="BH276" s="52" t="s">
        <v>355</v>
      </c>
      <c r="BI276" s="52" t="s">
        <v>356</v>
      </c>
      <c r="BJ276" s="52" t="s">
        <v>357</v>
      </c>
      <c r="BK276" s="52" t="s">
        <v>358</v>
      </c>
      <c r="BL276" s="52" t="s">
        <v>359</v>
      </c>
      <c r="BM276" s="52" t="s">
        <v>360</v>
      </c>
      <c r="BN276" s="52" t="s">
        <v>361</v>
      </c>
      <c r="BO276" s="52" t="s">
        <v>362</v>
      </c>
      <c r="BP276" s="52" t="s">
        <v>363</v>
      </c>
      <c r="BQ276" s="52" t="s">
        <v>364</v>
      </c>
      <c r="BR276" s="52" t="s">
        <v>365</v>
      </c>
      <c r="BS276" s="52" t="s">
        <v>366</v>
      </c>
      <c r="BT276" s="52" t="s">
        <v>367</v>
      </c>
      <c r="BU276" s="52" t="s">
        <v>368</v>
      </c>
      <c r="BV276" s="52" t="s">
        <v>369</v>
      </c>
      <c r="BW276" s="52" t="s">
        <v>370</v>
      </c>
      <c r="BX276" s="52" t="s">
        <v>371</v>
      </c>
      <c r="BY276" s="52" t="s">
        <v>372</v>
      </c>
      <c r="BZ276" s="52" t="s">
        <v>373</v>
      </c>
      <c r="CA276" s="52" t="s">
        <v>374</v>
      </c>
      <c r="CB276" s="52" t="s">
        <v>375</v>
      </c>
      <c r="CC276" s="52" t="s">
        <v>376</v>
      </c>
      <c r="CD276" s="52" t="s">
        <v>377</v>
      </c>
      <c r="CE276" s="52" t="s">
        <v>378</v>
      </c>
      <c r="CF276" s="52" t="s">
        <v>379</v>
      </c>
      <c r="CG276" s="52" t="s">
        <v>380</v>
      </c>
      <c r="CH276" s="52" t="s">
        <v>381</v>
      </c>
      <c r="CI276" s="52" t="s">
        <v>382</v>
      </c>
      <c r="CJ276" s="52" t="s">
        <v>383</v>
      </c>
      <c r="CK276" s="52" t="s">
        <v>384</v>
      </c>
      <c r="CL276" s="52" t="s">
        <v>385</v>
      </c>
      <c r="CM276" s="52" t="s">
        <v>386</v>
      </c>
      <c r="CN276" s="52" t="s">
        <v>387</v>
      </c>
      <c r="CO276" s="52" t="s">
        <v>388</v>
      </c>
      <c r="CP276" s="52" t="s">
        <v>389</v>
      </c>
      <c r="CQ276" s="52" t="s">
        <v>390</v>
      </c>
      <c r="CR276" s="52" t="s">
        <v>391</v>
      </c>
      <c r="CS276" s="52" t="s">
        <v>392</v>
      </c>
      <c r="CT276" s="52" t="s">
        <v>393</v>
      </c>
      <c r="CU276" s="52" t="s">
        <v>394</v>
      </c>
      <c r="CV276" s="52" t="s">
        <v>395</v>
      </c>
      <c r="CW276" s="52" t="s">
        <v>396</v>
      </c>
      <c r="CX276" s="52" t="s">
        <v>397</v>
      </c>
      <c r="CY276" s="52" t="s">
        <v>398</v>
      </c>
      <c r="CZ276" s="52" t="s">
        <v>399</v>
      </c>
      <c r="DA276" s="52" t="s">
        <v>400</v>
      </c>
      <c r="DB276" s="52" t="s">
        <v>401</v>
      </c>
      <c r="DC276" s="52" t="s">
        <v>29</v>
      </c>
      <c r="DD276" s="52" t="s">
        <v>402</v>
      </c>
      <c r="DE276" s="52" t="s">
        <v>403</v>
      </c>
      <c r="DF276" s="52" t="s">
        <v>404</v>
      </c>
      <c r="DG276" s="52" t="s">
        <v>405</v>
      </c>
      <c r="DH276" s="52"/>
    </row>
    <row r="277" spans="1:112">
      <c r="A277" s="150" t="s">
        <v>408</v>
      </c>
      <c r="B277" s="119"/>
      <c r="D277" s="52"/>
      <c r="E277" s="52"/>
      <c r="F277" s="52"/>
      <c r="G277" s="52"/>
      <c r="H277" s="56"/>
      <c r="I277" s="56"/>
      <c r="J277" s="56"/>
      <c r="K277" s="56"/>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row>
    <row r="278" spans="1:112">
      <c r="A278" s="150" t="s">
        <v>408</v>
      </c>
      <c r="B278" s="119">
        <v>3150</v>
      </c>
      <c r="C278" s="44" t="s">
        <v>122</v>
      </c>
      <c r="D278" s="52"/>
      <c r="E278" s="52"/>
      <c r="F278" s="52"/>
      <c r="G278" s="52"/>
      <c r="H278" s="56"/>
      <c r="I278" s="56"/>
      <c r="J278" s="56"/>
      <c r="K278" s="56"/>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row>
    <row r="279" spans="1:112">
      <c r="A279" s="150" t="s">
        <v>407</v>
      </c>
      <c r="B279" s="119">
        <v>3151</v>
      </c>
      <c r="C279" s="44" t="s">
        <v>123</v>
      </c>
      <c r="D279" s="52"/>
      <c r="E279" s="52">
        <v>9409</v>
      </c>
      <c r="F279" s="52">
        <v>3043</v>
      </c>
      <c r="G279" s="52"/>
      <c r="H279" s="56"/>
      <c r="I279" s="56"/>
      <c r="J279" s="56"/>
      <c r="K279" s="56"/>
      <c r="L279" s="52">
        <v>12480</v>
      </c>
      <c r="M279" s="52"/>
      <c r="N279" s="52">
        <v>9892</v>
      </c>
      <c r="O279" s="52"/>
      <c r="P279" s="52"/>
      <c r="Q279" s="52"/>
      <c r="R279" s="52"/>
      <c r="S279" s="52"/>
      <c r="T279" s="52"/>
      <c r="U279" s="52">
        <v>9409</v>
      </c>
      <c r="V279" s="52"/>
      <c r="W279" s="52"/>
      <c r="X279" s="52">
        <v>10340</v>
      </c>
      <c r="Y279" s="52">
        <v>22480</v>
      </c>
      <c r="Z279" s="52">
        <v>13025</v>
      </c>
      <c r="AA279" s="52"/>
      <c r="AB279" s="52"/>
      <c r="AC279" s="52"/>
      <c r="AD279" s="52"/>
      <c r="AE279" s="52"/>
      <c r="AF279" s="52">
        <v>166948</v>
      </c>
      <c r="AG279" s="52">
        <v>12480</v>
      </c>
      <c r="AH279" s="52">
        <v>12237</v>
      </c>
      <c r="AI279" s="52"/>
      <c r="AJ279" s="52"/>
      <c r="AK279" s="52"/>
      <c r="AL279" s="52"/>
      <c r="AM279" s="52"/>
      <c r="AN279" s="52">
        <v>12480</v>
      </c>
      <c r="AO279" s="52"/>
      <c r="AP279" s="52"/>
      <c r="AQ279" s="52"/>
      <c r="AR279" s="52"/>
      <c r="AS279" s="52">
        <v>10712</v>
      </c>
      <c r="AT279" s="52"/>
      <c r="AU279" s="52"/>
      <c r="AV279" s="52"/>
      <c r="AW279" s="52"/>
      <c r="AX279" s="52"/>
      <c r="AY279" s="52">
        <v>129120</v>
      </c>
      <c r="AZ279" s="52">
        <v>9409</v>
      </c>
      <c r="BA279" s="52"/>
      <c r="BB279" s="52"/>
      <c r="BC279" s="52"/>
      <c r="BD279" s="52"/>
      <c r="BE279" s="52"/>
      <c r="BF279" s="52">
        <v>9469</v>
      </c>
      <c r="BG279" s="52"/>
      <c r="BH279" s="52">
        <v>8840</v>
      </c>
      <c r="BI279" s="52">
        <v>18273</v>
      </c>
      <c r="BJ279" s="52">
        <v>5425</v>
      </c>
      <c r="BK279" s="52"/>
      <c r="BL279" s="52"/>
      <c r="BM279" s="52"/>
      <c r="BN279" s="52">
        <v>10819</v>
      </c>
      <c r="BO279" s="52"/>
      <c r="BP279" s="52"/>
      <c r="BQ279" s="52"/>
      <c r="BR279" s="52"/>
      <c r="BS279" s="52">
        <v>14703</v>
      </c>
      <c r="BT279" s="52"/>
      <c r="BU279" s="52"/>
      <c r="BV279" s="52"/>
      <c r="BW279" s="52"/>
      <c r="BX279" s="52"/>
      <c r="BY279" s="52"/>
      <c r="BZ279" s="52">
        <v>9409</v>
      </c>
      <c r="CA279" s="52"/>
      <c r="CB279" s="52"/>
      <c r="CC279" s="52"/>
      <c r="CD279" s="52"/>
      <c r="CE279" s="52"/>
      <c r="CF279" s="52">
        <v>1620</v>
      </c>
      <c r="CG279" s="52">
        <v>12480</v>
      </c>
      <c r="CH279" s="52"/>
      <c r="CI279" s="52"/>
      <c r="CJ279" s="52"/>
      <c r="CK279" s="52"/>
      <c r="CL279" s="52"/>
      <c r="CM279" s="52"/>
      <c r="CN279" s="52"/>
      <c r="CO279" s="52"/>
      <c r="CP279" s="52">
        <v>9717</v>
      </c>
      <c r="CQ279" s="52"/>
      <c r="CR279" s="52"/>
      <c r="CS279" s="52"/>
      <c r="CT279" s="52"/>
      <c r="CU279" s="52">
        <v>23230</v>
      </c>
      <c r="CV279" s="52"/>
      <c r="CW279" s="52">
        <v>3071</v>
      </c>
      <c r="CX279" s="52"/>
      <c r="CY279" s="52"/>
      <c r="CZ279" s="52"/>
      <c r="DA279" s="52">
        <v>14164</v>
      </c>
      <c r="DB279" s="52"/>
      <c r="DC279" s="52"/>
      <c r="DD279" s="52">
        <v>111656</v>
      </c>
      <c r="DE279" s="52">
        <v>584684</v>
      </c>
      <c r="DF279" s="52">
        <v>111656</v>
      </c>
      <c r="DG279" s="52">
        <v>696340</v>
      </c>
      <c r="DH279" s="52"/>
    </row>
    <row r="280" spans="1:112">
      <c r="A280" s="150" t="s">
        <v>407</v>
      </c>
      <c r="B280" s="119">
        <v>3152</v>
      </c>
      <c r="C280" s="44" t="s">
        <v>124</v>
      </c>
      <c r="D280" s="52"/>
      <c r="E280" s="52"/>
      <c r="F280" s="52"/>
      <c r="G280" s="52"/>
      <c r="H280" s="56"/>
      <c r="I280" s="56"/>
      <c r="J280" s="56"/>
      <c r="K280" s="56"/>
      <c r="L280" s="52"/>
      <c r="M280" s="52"/>
      <c r="N280" s="52"/>
      <c r="O280" s="52"/>
      <c r="P280" s="52"/>
      <c r="Q280" s="52"/>
      <c r="R280" s="52"/>
      <c r="S280" s="52"/>
      <c r="T280" s="52"/>
      <c r="U280" s="52"/>
      <c r="V280" s="52"/>
      <c r="W280" s="52"/>
      <c r="X280" s="52"/>
      <c r="Y280" s="52"/>
      <c r="Z280" s="52"/>
      <c r="AA280" s="52"/>
      <c r="AB280" s="52"/>
      <c r="AC280" s="52"/>
      <c r="AD280" s="52"/>
      <c r="AE280" s="52"/>
      <c r="AF280" s="52">
        <v>50000</v>
      </c>
      <c r="AG280" s="52"/>
      <c r="AH280" s="52"/>
      <c r="AI280" s="52"/>
      <c r="AJ280" s="52"/>
      <c r="AK280" s="52">
        <v>4715</v>
      </c>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v>54715</v>
      </c>
      <c r="DF280" s="52"/>
      <c r="DG280" s="52">
        <v>54715</v>
      </c>
      <c r="DH280" s="52"/>
    </row>
    <row r="281" spans="1:112">
      <c r="A281" s="150" t="s">
        <v>407</v>
      </c>
      <c r="B281" s="119">
        <v>3153</v>
      </c>
      <c r="C281" s="44" t="s">
        <v>125</v>
      </c>
      <c r="D281" s="52"/>
      <c r="E281" s="52"/>
      <c r="F281" s="52"/>
      <c r="G281" s="52"/>
      <c r="H281" s="56"/>
      <c r="I281" s="56"/>
      <c r="J281" s="56"/>
      <c r="K281" s="56"/>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row>
    <row r="282" spans="1:112">
      <c r="A282" s="150" t="s">
        <v>407</v>
      </c>
      <c r="B282" s="119">
        <v>3154</v>
      </c>
      <c r="C282" s="44" t="s">
        <v>126</v>
      </c>
      <c r="D282" s="52"/>
      <c r="E282" s="52"/>
      <c r="F282" s="52"/>
      <c r="G282" s="52"/>
      <c r="H282" s="56"/>
      <c r="I282" s="56"/>
      <c r="J282" s="56"/>
      <c r="K282" s="56"/>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v>5947</v>
      </c>
      <c r="BA282" s="52"/>
      <c r="BB282" s="52"/>
      <c r="BC282" s="52"/>
      <c r="BD282" s="52">
        <v>8342</v>
      </c>
      <c r="BE282" s="52"/>
      <c r="BF282" s="52">
        <v>47347</v>
      </c>
      <c r="BG282" s="52"/>
      <c r="BH282" s="52">
        <v>28956</v>
      </c>
      <c r="BI282" s="52">
        <v>28318</v>
      </c>
      <c r="BJ282" s="52">
        <v>23251</v>
      </c>
      <c r="BK282" s="52"/>
      <c r="BL282" s="52"/>
      <c r="BM282" s="52">
        <v>64352</v>
      </c>
      <c r="BN282" s="52">
        <v>29384</v>
      </c>
      <c r="BO282" s="52">
        <v>10606</v>
      </c>
      <c r="BP282" s="52"/>
      <c r="BQ282" s="52">
        <v>20332</v>
      </c>
      <c r="BR282" s="52">
        <v>10893</v>
      </c>
      <c r="BS282" s="52">
        <v>19413</v>
      </c>
      <c r="BT282" s="52"/>
      <c r="BU282" s="52"/>
      <c r="BV282" s="52"/>
      <c r="BW282" s="52"/>
      <c r="BX282" s="52">
        <v>15163</v>
      </c>
      <c r="BY282" s="52">
        <v>28500</v>
      </c>
      <c r="BZ282" s="52">
        <v>29701</v>
      </c>
      <c r="CA282" s="52"/>
      <c r="CB282" s="52"/>
      <c r="CC282" s="52"/>
      <c r="CD282" s="52"/>
      <c r="CE282" s="52"/>
      <c r="CF282" s="52">
        <v>87592</v>
      </c>
      <c r="CG282" s="52">
        <v>197676</v>
      </c>
      <c r="CH282" s="52">
        <v>36169</v>
      </c>
      <c r="CI282" s="52">
        <v>13511</v>
      </c>
      <c r="CJ282" s="52"/>
      <c r="CK282" s="52"/>
      <c r="CL282" s="52"/>
      <c r="CM282" s="52"/>
      <c r="CN282" s="52"/>
      <c r="CO282" s="52"/>
      <c r="CP282" s="52">
        <v>90551</v>
      </c>
      <c r="CQ282" s="52"/>
      <c r="CR282" s="52"/>
      <c r="CS282" s="52"/>
      <c r="CT282" s="52"/>
      <c r="CU282" s="52">
        <v>177115</v>
      </c>
      <c r="CV282" s="52"/>
      <c r="CW282" s="52">
        <v>9301</v>
      </c>
      <c r="CX282" s="52">
        <v>23688</v>
      </c>
      <c r="CY282" s="52"/>
      <c r="CZ282" s="52">
        <v>43070</v>
      </c>
      <c r="DA282" s="52">
        <v>32978</v>
      </c>
      <c r="DB282" s="52"/>
      <c r="DC282" s="52"/>
      <c r="DD282" s="52"/>
      <c r="DE282" s="52">
        <v>1082156</v>
      </c>
      <c r="DF282" s="52"/>
      <c r="DG282" s="52">
        <v>1082156</v>
      </c>
      <c r="DH282" s="52"/>
    </row>
    <row r="283" spans="1:112">
      <c r="A283" s="150" t="s">
        <v>408</v>
      </c>
      <c r="B283" s="119">
        <v>3190</v>
      </c>
      <c r="C283" s="44" t="s">
        <v>139</v>
      </c>
      <c r="D283" s="52"/>
      <c r="E283" s="52"/>
      <c r="F283" s="52"/>
      <c r="G283" s="52"/>
      <c r="H283" s="56"/>
      <c r="I283" s="56"/>
      <c r="J283" s="56"/>
      <c r="K283" s="56"/>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row>
    <row r="284" spans="1:112">
      <c r="A284" s="150" t="s">
        <v>408</v>
      </c>
      <c r="B284" s="119">
        <v>3200</v>
      </c>
      <c r="C284" s="44" t="s">
        <v>148</v>
      </c>
      <c r="D284" s="52"/>
      <c r="E284" s="52"/>
      <c r="F284" s="52"/>
      <c r="G284" s="52"/>
      <c r="H284" s="56"/>
      <c r="I284" s="56"/>
      <c r="J284" s="56"/>
      <c r="K284" s="56"/>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row>
    <row r="285" spans="1:112">
      <c r="A285" s="150" t="s">
        <v>408</v>
      </c>
      <c r="B285" s="119">
        <v>3290</v>
      </c>
      <c r="C285" s="44" t="s">
        <v>151</v>
      </c>
      <c r="D285" s="52"/>
      <c r="E285" s="52"/>
      <c r="F285" s="52"/>
      <c r="G285" s="52"/>
      <c r="H285" s="56"/>
      <c r="I285" s="56"/>
      <c r="J285" s="56"/>
      <c r="K285" s="56"/>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row>
    <row r="286" spans="1:112">
      <c r="A286" s="150" t="s">
        <v>408</v>
      </c>
      <c r="B286" s="119">
        <v>3300</v>
      </c>
      <c r="C286" s="44" t="s">
        <v>153</v>
      </c>
      <c r="D286" s="52"/>
      <c r="E286" s="52"/>
      <c r="F286" s="52"/>
      <c r="G286" s="52"/>
      <c r="H286" s="56"/>
      <c r="I286" s="56"/>
      <c r="J286" s="56"/>
      <c r="K286" s="56"/>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row>
    <row r="287" spans="1:112">
      <c r="A287" s="150" t="s">
        <v>408</v>
      </c>
      <c r="B287" s="119">
        <v>3310</v>
      </c>
      <c r="C287" s="44" t="s">
        <v>154</v>
      </c>
      <c r="D287" s="52"/>
      <c r="E287" s="52"/>
      <c r="F287" s="52"/>
      <c r="G287" s="52"/>
      <c r="H287" s="56"/>
      <c r="I287" s="56"/>
      <c r="J287" s="56"/>
      <c r="K287" s="56"/>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row>
    <row r="288" spans="1:112">
      <c r="A288" s="150" t="s">
        <v>408</v>
      </c>
      <c r="B288" s="119"/>
      <c r="D288" s="52" t="s">
        <v>38</v>
      </c>
      <c r="E288" s="52" t="s">
        <v>39</v>
      </c>
      <c r="F288" s="52" t="s">
        <v>40</v>
      </c>
      <c r="G288" s="52" t="s">
        <v>41</v>
      </c>
      <c r="H288" s="57" t="s">
        <v>303</v>
      </c>
      <c r="I288" s="57" t="s">
        <v>304</v>
      </c>
      <c r="J288" s="57" t="s">
        <v>305</v>
      </c>
      <c r="K288" s="57" t="s">
        <v>306</v>
      </c>
      <c r="L288" s="52" t="s">
        <v>307</v>
      </c>
      <c r="M288" s="52" t="s">
        <v>308</v>
      </c>
      <c r="N288" s="52" t="s">
        <v>309</v>
      </c>
      <c r="O288" s="52" t="s">
        <v>310</v>
      </c>
      <c r="P288" s="52" t="s">
        <v>311</v>
      </c>
      <c r="Q288" s="52" t="s">
        <v>312</v>
      </c>
      <c r="R288" s="52" t="s">
        <v>313</v>
      </c>
      <c r="S288" s="52" t="s">
        <v>314</v>
      </c>
      <c r="T288" s="52" t="s">
        <v>315</v>
      </c>
      <c r="U288" s="52" t="s">
        <v>316</v>
      </c>
      <c r="V288" s="52" t="s">
        <v>317</v>
      </c>
      <c r="W288" s="52" t="s">
        <v>318</v>
      </c>
      <c r="X288" s="52" t="s">
        <v>319</v>
      </c>
      <c r="Y288" s="52" t="s">
        <v>320</v>
      </c>
      <c r="Z288" s="52" t="s">
        <v>321</v>
      </c>
      <c r="AA288" s="52" t="s">
        <v>322</v>
      </c>
      <c r="AB288" s="52" t="s">
        <v>323</v>
      </c>
      <c r="AC288" s="52" t="s">
        <v>324</v>
      </c>
      <c r="AD288" s="52" t="s">
        <v>325</v>
      </c>
      <c r="AE288" s="52" t="s">
        <v>326</v>
      </c>
      <c r="AF288" s="52" t="s">
        <v>327</v>
      </c>
      <c r="AG288" s="52" t="s">
        <v>328</v>
      </c>
      <c r="AH288" s="52" t="s">
        <v>329</v>
      </c>
      <c r="AI288" s="52" t="s">
        <v>330</v>
      </c>
      <c r="AJ288" s="52" t="s">
        <v>331</v>
      </c>
      <c r="AK288" s="52" t="s">
        <v>332</v>
      </c>
      <c r="AL288" s="52" t="s">
        <v>333</v>
      </c>
      <c r="AM288" s="52" t="s">
        <v>334</v>
      </c>
      <c r="AN288" s="52" t="s">
        <v>335</v>
      </c>
      <c r="AO288" s="52" t="s">
        <v>336</v>
      </c>
      <c r="AP288" s="52" t="s">
        <v>337</v>
      </c>
      <c r="AQ288" s="52" t="s">
        <v>338</v>
      </c>
      <c r="AR288" s="52" t="s">
        <v>339</v>
      </c>
      <c r="AS288" s="52" t="s">
        <v>340</v>
      </c>
      <c r="AT288" s="52" t="s">
        <v>341</v>
      </c>
      <c r="AU288" s="52" t="s">
        <v>342</v>
      </c>
      <c r="AV288" s="52" t="s">
        <v>343</v>
      </c>
      <c r="AW288" s="52" t="s">
        <v>344</v>
      </c>
      <c r="AX288" s="52" t="s">
        <v>345</v>
      </c>
      <c r="AY288" s="52" t="s">
        <v>346</v>
      </c>
      <c r="AZ288" s="52" t="s">
        <v>347</v>
      </c>
      <c r="BA288" s="52" t="s">
        <v>348</v>
      </c>
      <c r="BB288" s="52" t="s">
        <v>349</v>
      </c>
      <c r="BC288" s="52" t="s">
        <v>350</v>
      </c>
      <c r="BD288" s="52" t="s">
        <v>351</v>
      </c>
      <c r="BE288" s="52" t="s">
        <v>352</v>
      </c>
      <c r="BF288" s="52" t="s">
        <v>353</v>
      </c>
      <c r="BG288" s="52" t="s">
        <v>354</v>
      </c>
      <c r="BH288" s="52" t="s">
        <v>355</v>
      </c>
      <c r="BI288" s="52" t="s">
        <v>356</v>
      </c>
      <c r="BJ288" s="52" t="s">
        <v>357</v>
      </c>
      <c r="BK288" s="52" t="s">
        <v>358</v>
      </c>
      <c r="BL288" s="52" t="s">
        <v>359</v>
      </c>
      <c r="BM288" s="52" t="s">
        <v>360</v>
      </c>
      <c r="BN288" s="52" t="s">
        <v>361</v>
      </c>
      <c r="BO288" s="52" t="s">
        <v>362</v>
      </c>
      <c r="BP288" s="52" t="s">
        <v>363</v>
      </c>
      <c r="BQ288" s="52" t="s">
        <v>364</v>
      </c>
      <c r="BR288" s="52" t="s">
        <v>365</v>
      </c>
      <c r="BS288" s="52" t="s">
        <v>366</v>
      </c>
      <c r="BT288" s="52" t="s">
        <v>367</v>
      </c>
      <c r="BU288" s="52" t="s">
        <v>368</v>
      </c>
      <c r="BV288" s="52" t="s">
        <v>369</v>
      </c>
      <c r="BW288" s="52" t="s">
        <v>370</v>
      </c>
      <c r="BX288" s="52" t="s">
        <v>371</v>
      </c>
      <c r="BY288" s="52" t="s">
        <v>372</v>
      </c>
      <c r="BZ288" s="52" t="s">
        <v>373</v>
      </c>
      <c r="CA288" s="52" t="s">
        <v>374</v>
      </c>
      <c r="CB288" s="52" t="s">
        <v>375</v>
      </c>
      <c r="CC288" s="52" t="s">
        <v>376</v>
      </c>
      <c r="CD288" s="52" t="s">
        <v>377</v>
      </c>
      <c r="CE288" s="52" t="s">
        <v>378</v>
      </c>
      <c r="CF288" s="52" t="s">
        <v>379</v>
      </c>
      <c r="CG288" s="52" t="s">
        <v>380</v>
      </c>
      <c r="CH288" s="52" t="s">
        <v>381</v>
      </c>
      <c r="CI288" s="52" t="s">
        <v>382</v>
      </c>
      <c r="CJ288" s="52" t="s">
        <v>383</v>
      </c>
      <c r="CK288" s="52" t="s">
        <v>384</v>
      </c>
      <c r="CL288" s="52" t="s">
        <v>385</v>
      </c>
      <c r="CM288" s="52" t="s">
        <v>386</v>
      </c>
      <c r="CN288" s="52" t="s">
        <v>387</v>
      </c>
      <c r="CO288" s="52" t="s">
        <v>388</v>
      </c>
      <c r="CP288" s="52" t="s">
        <v>389</v>
      </c>
      <c r="CQ288" s="52" t="s">
        <v>390</v>
      </c>
      <c r="CR288" s="52" t="s">
        <v>391</v>
      </c>
      <c r="CS288" s="52" t="s">
        <v>392</v>
      </c>
      <c r="CT288" s="52" t="s">
        <v>393</v>
      </c>
      <c r="CU288" s="52" t="s">
        <v>394</v>
      </c>
      <c r="CV288" s="52" t="s">
        <v>395</v>
      </c>
      <c r="CW288" s="52" t="s">
        <v>396</v>
      </c>
      <c r="CX288" s="52" t="s">
        <v>397</v>
      </c>
      <c r="CY288" s="52" t="s">
        <v>398</v>
      </c>
      <c r="CZ288" s="52" t="s">
        <v>399</v>
      </c>
      <c r="DA288" s="52" t="s">
        <v>400</v>
      </c>
      <c r="DB288" s="52" t="s">
        <v>401</v>
      </c>
      <c r="DC288" s="52" t="s">
        <v>29</v>
      </c>
      <c r="DD288" s="52" t="s">
        <v>402</v>
      </c>
      <c r="DE288" s="52" t="s">
        <v>403</v>
      </c>
      <c r="DF288" s="52" t="s">
        <v>404</v>
      </c>
      <c r="DG288" s="52" t="s">
        <v>405</v>
      </c>
      <c r="DH288" s="52"/>
    </row>
    <row r="289" spans="1:113">
      <c r="A289" s="150" t="s">
        <v>408</v>
      </c>
      <c r="B289" s="119"/>
      <c r="D289" s="52"/>
      <c r="E289" s="52"/>
      <c r="F289" s="52"/>
      <c r="G289" s="52"/>
      <c r="H289" s="56"/>
      <c r="I289" s="56"/>
      <c r="J289" s="56"/>
      <c r="K289" s="56"/>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row>
    <row r="290" spans="1:113">
      <c r="A290" s="150" t="s">
        <v>408</v>
      </c>
      <c r="B290" s="119">
        <v>3330</v>
      </c>
      <c r="C290" s="44" t="s">
        <v>171</v>
      </c>
      <c r="D290" s="52"/>
      <c r="E290" s="52"/>
      <c r="F290" s="52"/>
      <c r="G290" s="52"/>
      <c r="H290" s="56"/>
      <c r="I290" s="56"/>
      <c r="J290" s="56"/>
      <c r="K290" s="56"/>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row>
    <row r="291" spans="1:113">
      <c r="A291" s="150" t="s">
        <v>407</v>
      </c>
      <c r="B291" s="119">
        <v>3540</v>
      </c>
      <c r="C291" s="44" t="s">
        <v>192</v>
      </c>
      <c r="D291" s="52">
        <v>40131</v>
      </c>
      <c r="E291" s="52">
        <v>870358</v>
      </c>
      <c r="F291" s="52">
        <v>83483</v>
      </c>
      <c r="G291" s="52"/>
      <c r="H291" s="56">
        <v>201161</v>
      </c>
      <c r="I291" s="56">
        <v>125212</v>
      </c>
      <c r="J291" s="56">
        <v>92625</v>
      </c>
      <c r="K291" s="56">
        <v>83859</v>
      </c>
      <c r="L291" s="52">
        <v>399674</v>
      </c>
      <c r="M291" s="52"/>
      <c r="N291" s="52"/>
      <c r="O291" s="52">
        <v>47679</v>
      </c>
      <c r="P291" s="52"/>
      <c r="Q291" s="52">
        <v>7567</v>
      </c>
      <c r="R291" s="52">
        <v>32486</v>
      </c>
      <c r="S291" s="52">
        <v>91033</v>
      </c>
      <c r="T291" s="52"/>
      <c r="U291" s="52">
        <v>393142</v>
      </c>
      <c r="V291" s="52"/>
      <c r="W291" s="52">
        <v>725458</v>
      </c>
      <c r="X291" s="52">
        <v>91266</v>
      </c>
      <c r="Y291" s="52">
        <v>1443504</v>
      </c>
      <c r="Z291" s="52">
        <v>346758</v>
      </c>
      <c r="AA291" s="52">
        <v>227848</v>
      </c>
      <c r="AB291" s="52">
        <v>263804</v>
      </c>
      <c r="AC291" s="52">
        <v>2105</v>
      </c>
      <c r="AD291" s="52">
        <v>31686</v>
      </c>
      <c r="AE291" s="52">
        <v>76700</v>
      </c>
      <c r="AF291" s="52"/>
      <c r="AG291" s="52">
        <v>343951</v>
      </c>
      <c r="AH291" s="52">
        <v>486500</v>
      </c>
      <c r="AI291" s="52"/>
      <c r="AJ291" s="52">
        <v>4043</v>
      </c>
      <c r="AK291" s="52">
        <v>63383</v>
      </c>
      <c r="AL291" s="52">
        <v>51364</v>
      </c>
      <c r="AM291" s="52"/>
      <c r="AN291" s="52">
        <v>428138</v>
      </c>
      <c r="AO291" s="52">
        <v>96860</v>
      </c>
      <c r="AP291" s="52"/>
      <c r="AQ291" s="52">
        <v>157594</v>
      </c>
      <c r="AR291" s="52">
        <v>173571</v>
      </c>
      <c r="AS291" s="52">
        <v>460809</v>
      </c>
      <c r="AT291" s="52"/>
      <c r="AU291" s="52">
        <v>184894</v>
      </c>
      <c r="AV291" s="52">
        <v>18343</v>
      </c>
      <c r="AW291" s="52">
        <v>46573</v>
      </c>
      <c r="AX291" s="52">
        <v>380577</v>
      </c>
      <c r="AY291" s="52">
        <v>1870104</v>
      </c>
      <c r="AZ291" s="52">
        <v>335176</v>
      </c>
      <c r="BA291" s="52">
        <v>39708</v>
      </c>
      <c r="BB291" s="52">
        <v>42739</v>
      </c>
      <c r="BC291" s="52"/>
      <c r="BD291" s="52">
        <v>80457</v>
      </c>
      <c r="BE291" s="52">
        <v>1538</v>
      </c>
      <c r="BF291" s="52">
        <v>1073114</v>
      </c>
      <c r="BG291" s="52">
        <v>34411</v>
      </c>
      <c r="BH291" s="52">
        <v>350052</v>
      </c>
      <c r="BI291" s="52">
        <v>385419</v>
      </c>
      <c r="BJ291" s="52">
        <v>245565</v>
      </c>
      <c r="BK291" s="52">
        <v>54830</v>
      </c>
      <c r="BL291" s="52">
        <v>39675</v>
      </c>
      <c r="BM291" s="52">
        <v>359040</v>
      </c>
      <c r="BN291" s="52">
        <v>311070</v>
      </c>
      <c r="BO291" s="52">
        <v>80660</v>
      </c>
      <c r="BP291" s="52">
        <v>60586</v>
      </c>
      <c r="BQ291" s="52">
        <v>233913</v>
      </c>
      <c r="BR291" s="52">
        <v>47731</v>
      </c>
      <c r="BS291" s="52"/>
      <c r="BT291" s="52">
        <v>114042</v>
      </c>
      <c r="BU291" s="52"/>
      <c r="BV291" s="52">
        <v>18127</v>
      </c>
      <c r="BW291" s="52"/>
      <c r="BX291" s="52">
        <v>313284</v>
      </c>
      <c r="BY291" s="52">
        <v>210331</v>
      </c>
      <c r="BZ291" s="52">
        <v>332258</v>
      </c>
      <c r="CA291" s="52"/>
      <c r="CB291" s="52">
        <v>186582</v>
      </c>
      <c r="CC291" s="52">
        <v>121306</v>
      </c>
      <c r="CD291" s="52">
        <v>285411</v>
      </c>
      <c r="CE291" s="52"/>
      <c r="CF291" s="52">
        <v>480287</v>
      </c>
      <c r="CG291" s="52">
        <v>1115741</v>
      </c>
      <c r="CH291" s="52">
        <v>439440</v>
      </c>
      <c r="CI291" s="52">
        <v>89772</v>
      </c>
      <c r="CJ291" s="52">
        <v>118542</v>
      </c>
      <c r="CK291" s="52">
        <v>233778</v>
      </c>
      <c r="CL291" s="52">
        <v>82946</v>
      </c>
      <c r="CM291" s="52">
        <v>87181</v>
      </c>
      <c r="CN291" s="52">
        <v>153213</v>
      </c>
      <c r="CO291" s="52">
        <v>150884</v>
      </c>
      <c r="CP291" s="52">
        <v>352931</v>
      </c>
      <c r="CQ291" s="52"/>
      <c r="CR291" s="52"/>
      <c r="CS291" s="52"/>
      <c r="CT291" s="52">
        <v>464268</v>
      </c>
      <c r="CU291" s="52">
        <v>457400</v>
      </c>
      <c r="CV291" s="52"/>
      <c r="CW291" s="52">
        <v>196964</v>
      </c>
      <c r="CX291" s="52">
        <v>155400</v>
      </c>
      <c r="CY291" s="52">
        <v>174325</v>
      </c>
      <c r="CZ291" s="52">
        <v>95516</v>
      </c>
      <c r="DA291" s="52">
        <v>447985</v>
      </c>
      <c r="DB291" s="52">
        <v>81713</v>
      </c>
      <c r="DC291" s="52"/>
      <c r="DD291" s="52"/>
      <c r="DE291" s="52">
        <v>21179554</v>
      </c>
      <c r="DF291" s="52"/>
      <c r="DG291" s="52">
        <v>21179554</v>
      </c>
      <c r="DH291" s="52"/>
    </row>
    <row r="292" spans="1:113">
      <c r="A292" s="150" t="s">
        <v>407</v>
      </c>
      <c r="B292" s="119">
        <v>3546</v>
      </c>
      <c r="C292" s="44" t="s">
        <v>194</v>
      </c>
      <c r="D292" s="52">
        <v>413540</v>
      </c>
      <c r="E292" s="52">
        <v>2167453</v>
      </c>
      <c r="F292" s="52">
        <v>220626</v>
      </c>
      <c r="G292" s="52"/>
      <c r="H292" s="56">
        <v>488877</v>
      </c>
      <c r="I292" s="56">
        <v>324917</v>
      </c>
      <c r="J292" s="56">
        <v>397074</v>
      </c>
      <c r="K292" s="56">
        <v>229062</v>
      </c>
      <c r="L292" s="52">
        <v>1083744</v>
      </c>
      <c r="M292" s="52"/>
      <c r="N292" s="52"/>
      <c r="O292" s="52">
        <v>165078</v>
      </c>
      <c r="P292" s="52">
        <v>138875</v>
      </c>
      <c r="Q292" s="52">
        <v>123154</v>
      </c>
      <c r="R292" s="52">
        <v>111338</v>
      </c>
      <c r="S292" s="52">
        <v>413476</v>
      </c>
      <c r="T292" s="52"/>
      <c r="U292" s="52">
        <v>224891</v>
      </c>
      <c r="V292" s="52"/>
      <c r="W292" s="52">
        <v>2312036</v>
      </c>
      <c r="X292" s="52">
        <v>174374</v>
      </c>
      <c r="Y292" s="52">
        <v>3886323</v>
      </c>
      <c r="Z292" s="52">
        <v>879064</v>
      </c>
      <c r="AA292" s="52">
        <v>355288</v>
      </c>
      <c r="AB292" s="52">
        <v>845778</v>
      </c>
      <c r="AC292" s="52">
        <v>142135</v>
      </c>
      <c r="AD292" s="52">
        <v>354050</v>
      </c>
      <c r="AE292" s="52">
        <v>134359</v>
      </c>
      <c r="AF292" s="52"/>
      <c r="AG292" s="52">
        <v>779634</v>
      </c>
      <c r="AH292" s="52">
        <v>1162121</v>
      </c>
      <c r="AI292" s="52"/>
      <c r="AJ292" s="52">
        <v>106835</v>
      </c>
      <c r="AK292" s="52">
        <v>454542</v>
      </c>
      <c r="AL292" s="52">
        <v>166651</v>
      </c>
      <c r="AM292" s="52"/>
      <c r="AN292" s="52">
        <v>474639</v>
      </c>
      <c r="AO292" s="52">
        <v>273559</v>
      </c>
      <c r="AP292" s="52"/>
      <c r="AQ292" s="52">
        <v>421344</v>
      </c>
      <c r="AR292" s="52">
        <v>438769</v>
      </c>
      <c r="AS292" s="52">
        <v>1503527</v>
      </c>
      <c r="AT292" s="52">
        <v>194822</v>
      </c>
      <c r="AU292" s="52">
        <v>336687</v>
      </c>
      <c r="AV292" s="52">
        <v>140972</v>
      </c>
      <c r="AW292" s="52">
        <v>142544</v>
      </c>
      <c r="AX292" s="52">
        <v>919597</v>
      </c>
      <c r="AY292" s="52">
        <v>4619429</v>
      </c>
      <c r="AZ292" s="52">
        <v>738445</v>
      </c>
      <c r="BA292" s="52">
        <v>133468</v>
      </c>
      <c r="BB292" s="52">
        <v>175883</v>
      </c>
      <c r="BC292" s="52"/>
      <c r="BD292" s="52">
        <v>291377</v>
      </c>
      <c r="BE292" s="52">
        <v>182373</v>
      </c>
      <c r="BF292" s="52">
        <v>3137876</v>
      </c>
      <c r="BG292" s="52">
        <v>471914</v>
      </c>
      <c r="BH292" s="52">
        <v>1005474</v>
      </c>
      <c r="BI292" s="52">
        <v>878063</v>
      </c>
      <c r="BJ292" s="52">
        <v>701767</v>
      </c>
      <c r="BK292" s="52">
        <v>372480</v>
      </c>
      <c r="BL292" s="52">
        <v>288256</v>
      </c>
      <c r="BM292" s="52">
        <v>1079722</v>
      </c>
      <c r="BN292" s="52">
        <v>934666</v>
      </c>
      <c r="BO292" s="52">
        <v>177249</v>
      </c>
      <c r="BP292" s="52">
        <v>247636</v>
      </c>
      <c r="BQ292" s="52">
        <v>731609</v>
      </c>
      <c r="BR292" s="52">
        <v>163217</v>
      </c>
      <c r="BS292" s="52"/>
      <c r="BT292" s="52">
        <v>374238</v>
      </c>
      <c r="BU292" s="52">
        <v>286722</v>
      </c>
      <c r="BV292" s="52">
        <v>113197</v>
      </c>
      <c r="BW292" s="52"/>
      <c r="BX292" s="52">
        <v>692283</v>
      </c>
      <c r="BY292" s="52">
        <v>649309</v>
      </c>
      <c r="BZ292" s="52">
        <v>1038162</v>
      </c>
      <c r="CA292" s="52"/>
      <c r="CB292" s="52">
        <v>461848</v>
      </c>
      <c r="CC292" s="52">
        <v>370653</v>
      </c>
      <c r="CD292" s="52">
        <v>1016924</v>
      </c>
      <c r="CE292" s="52"/>
      <c r="CF292" s="52">
        <v>1275668</v>
      </c>
      <c r="CG292" s="52">
        <v>2901770</v>
      </c>
      <c r="CH292" s="52">
        <v>1276707</v>
      </c>
      <c r="CI292" s="52">
        <v>228490</v>
      </c>
      <c r="CJ292" s="52">
        <v>394093</v>
      </c>
      <c r="CK292" s="52">
        <v>757184</v>
      </c>
      <c r="CL292" s="52">
        <v>261506</v>
      </c>
      <c r="CM292" s="52">
        <v>262030</v>
      </c>
      <c r="CN292" s="52">
        <v>454940</v>
      </c>
      <c r="CO292" s="52">
        <v>848885</v>
      </c>
      <c r="CP292" s="52">
        <v>951064</v>
      </c>
      <c r="CQ292" s="52"/>
      <c r="CR292" s="52"/>
      <c r="CS292" s="52"/>
      <c r="CT292" s="52">
        <v>1215563</v>
      </c>
      <c r="CU292" s="52">
        <v>790667</v>
      </c>
      <c r="CV292" s="52"/>
      <c r="CW292" s="52">
        <v>533493</v>
      </c>
      <c r="CX292" s="52">
        <v>755996</v>
      </c>
      <c r="CY292" s="52">
        <v>460360</v>
      </c>
      <c r="CZ292" s="52">
        <v>273559</v>
      </c>
      <c r="DA292" s="52">
        <v>1625814</v>
      </c>
      <c r="DB292" s="52">
        <v>317928</v>
      </c>
      <c r="DC292" s="52"/>
      <c r="DD292" s="52"/>
      <c r="DE292" s="52">
        <v>60021712</v>
      </c>
      <c r="DF292" s="52"/>
      <c r="DG292" s="52">
        <v>60021712</v>
      </c>
      <c r="DH292" s="52"/>
    </row>
    <row r="293" spans="1:113">
      <c r="A293" s="150" t="s">
        <v>407</v>
      </c>
      <c r="B293" s="119">
        <v>3553</v>
      </c>
      <c r="C293" s="44" t="s">
        <v>198</v>
      </c>
      <c r="D293" s="44">
        <v>5942</v>
      </c>
      <c r="E293" s="44">
        <v>10835</v>
      </c>
      <c r="F293" s="44">
        <v>18367</v>
      </c>
      <c r="H293" s="50"/>
      <c r="I293" s="50"/>
      <c r="J293" s="50"/>
      <c r="K293" s="50"/>
      <c r="L293" s="44">
        <v>4201</v>
      </c>
      <c r="N293" s="44">
        <v>2541</v>
      </c>
      <c r="U293" s="44">
        <v>34015</v>
      </c>
      <c r="W293" s="44">
        <v>27725</v>
      </c>
      <c r="X293" s="44">
        <v>15990</v>
      </c>
      <c r="Y293" s="44">
        <v>38691</v>
      </c>
      <c r="Z293" s="44">
        <v>14308</v>
      </c>
      <c r="AA293" s="44">
        <v>2007</v>
      </c>
      <c r="AB293" s="44">
        <v>17740</v>
      </c>
      <c r="AF293" s="44">
        <v>74500</v>
      </c>
      <c r="AG293" s="44">
        <v>18222</v>
      </c>
      <c r="AH293" s="44">
        <v>3364</v>
      </c>
      <c r="AK293" s="44">
        <v>7170</v>
      </c>
      <c r="AN293" s="44">
        <v>59941</v>
      </c>
      <c r="AQ293" s="44">
        <v>9209</v>
      </c>
      <c r="AS293" s="44">
        <v>26041</v>
      </c>
      <c r="AU293" s="44">
        <v>16074</v>
      </c>
      <c r="AX293" s="44">
        <v>18032</v>
      </c>
      <c r="AY293" s="44">
        <v>41443</v>
      </c>
      <c r="AZ293" s="44">
        <v>5076</v>
      </c>
      <c r="BD293" s="44">
        <v>8021</v>
      </c>
      <c r="BF293" s="44">
        <v>14169</v>
      </c>
      <c r="BH293" s="44">
        <v>5841</v>
      </c>
      <c r="BI293" s="44">
        <v>28366</v>
      </c>
      <c r="BJ293" s="44">
        <v>10231</v>
      </c>
      <c r="BM293" s="44">
        <v>5437</v>
      </c>
      <c r="BN293" s="44">
        <v>2841</v>
      </c>
      <c r="BO293" s="44">
        <v>5528</v>
      </c>
      <c r="BQ293" s="44">
        <v>1679</v>
      </c>
      <c r="BR293" s="44">
        <v>2985</v>
      </c>
      <c r="BS293" s="44">
        <v>11761</v>
      </c>
      <c r="BX293" s="44">
        <v>10147</v>
      </c>
      <c r="BY293" s="44">
        <v>3100</v>
      </c>
      <c r="BZ293" s="44">
        <v>1930</v>
      </c>
      <c r="CF293" s="44">
        <v>3567</v>
      </c>
      <c r="CG293" s="44">
        <v>33380</v>
      </c>
      <c r="CH293" s="44">
        <v>3496</v>
      </c>
      <c r="CI293" s="44">
        <v>3703</v>
      </c>
      <c r="CP293" s="44">
        <v>16406</v>
      </c>
      <c r="CU293" s="44">
        <v>120342</v>
      </c>
      <c r="CX293" s="44">
        <v>15139</v>
      </c>
      <c r="CZ293" s="44">
        <v>16340</v>
      </c>
      <c r="DA293" s="44">
        <v>12605</v>
      </c>
      <c r="DE293" s="44">
        <v>808448</v>
      </c>
      <c r="DG293" s="52">
        <v>808448</v>
      </c>
    </row>
    <row r="294" spans="1:113">
      <c r="A294" s="150" t="s">
        <v>407</v>
      </c>
      <c r="B294" s="119">
        <v>3562</v>
      </c>
      <c r="C294" s="44" t="s">
        <v>201</v>
      </c>
      <c r="D294" s="52">
        <v>136622</v>
      </c>
      <c r="E294" s="52">
        <v>138275</v>
      </c>
      <c r="F294" s="52">
        <v>161012</v>
      </c>
      <c r="G294" s="52"/>
      <c r="H294" s="56"/>
      <c r="I294" s="56"/>
      <c r="J294" s="56"/>
      <c r="K294" s="56"/>
      <c r="L294" s="52">
        <v>245615</v>
      </c>
      <c r="M294" s="52"/>
      <c r="N294" s="52">
        <v>238749</v>
      </c>
      <c r="O294" s="52"/>
      <c r="P294" s="52"/>
      <c r="Q294" s="52"/>
      <c r="R294" s="52"/>
      <c r="S294" s="52"/>
      <c r="T294" s="52"/>
      <c r="U294" s="52">
        <v>182629</v>
      </c>
      <c r="V294" s="52"/>
      <c r="W294" s="52">
        <v>288329</v>
      </c>
      <c r="X294" s="52">
        <v>153467</v>
      </c>
      <c r="Y294" s="52">
        <v>357748</v>
      </c>
      <c r="Z294" s="52">
        <v>201027</v>
      </c>
      <c r="AA294" s="52">
        <v>80308</v>
      </c>
      <c r="AB294" s="52">
        <v>153536</v>
      </c>
      <c r="AC294" s="52"/>
      <c r="AD294" s="52"/>
      <c r="AE294" s="52"/>
      <c r="AF294" s="52"/>
      <c r="AG294" s="52">
        <v>164789</v>
      </c>
      <c r="AH294" s="52">
        <v>176979</v>
      </c>
      <c r="AI294" s="52"/>
      <c r="AJ294" s="52"/>
      <c r="AK294" s="52">
        <v>64038</v>
      </c>
      <c r="AL294" s="52"/>
      <c r="AM294" s="52"/>
      <c r="AN294" s="52">
        <v>578269</v>
      </c>
      <c r="AO294" s="52"/>
      <c r="AP294" s="52"/>
      <c r="AQ294" s="52">
        <v>92516</v>
      </c>
      <c r="AR294" s="52"/>
      <c r="AS294" s="52">
        <v>509739</v>
      </c>
      <c r="AT294" s="52"/>
      <c r="AU294" s="52">
        <v>131718</v>
      </c>
      <c r="AV294" s="52"/>
      <c r="AW294" s="52"/>
      <c r="AX294" s="52">
        <v>211133</v>
      </c>
      <c r="AY294" s="52">
        <v>669844</v>
      </c>
      <c r="AZ294" s="52">
        <v>173383</v>
      </c>
      <c r="BA294" s="52"/>
      <c r="BB294" s="52"/>
      <c r="BC294" s="52"/>
      <c r="BD294" s="52">
        <v>139226</v>
      </c>
      <c r="BE294" s="52"/>
      <c r="BF294" s="52">
        <v>216006</v>
      </c>
      <c r="BG294" s="52"/>
      <c r="BH294" s="52">
        <v>181566</v>
      </c>
      <c r="BI294" s="52">
        <v>152615</v>
      </c>
      <c r="BJ294" s="52">
        <v>295507</v>
      </c>
      <c r="BK294" s="52"/>
      <c r="BL294" s="52"/>
      <c r="BM294" s="52">
        <v>203884</v>
      </c>
      <c r="BN294" s="52">
        <v>285066</v>
      </c>
      <c r="BO294" s="52">
        <v>132510</v>
      </c>
      <c r="BP294" s="52"/>
      <c r="BQ294" s="52">
        <v>90977</v>
      </c>
      <c r="BR294" s="52">
        <v>141231</v>
      </c>
      <c r="BS294" s="52">
        <v>137704</v>
      </c>
      <c r="BT294" s="52"/>
      <c r="BU294" s="52"/>
      <c r="BV294" s="52"/>
      <c r="BW294" s="52"/>
      <c r="BX294" s="52">
        <v>209490</v>
      </c>
      <c r="BY294" s="52">
        <v>160889</v>
      </c>
      <c r="BZ294" s="52">
        <v>249018</v>
      </c>
      <c r="CA294" s="52"/>
      <c r="CB294" s="52"/>
      <c r="CC294" s="52"/>
      <c r="CD294" s="52"/>
      <c r="CE294" s="52"/>
      <c r="CF294" s="52">
        <v>182372</v>
      </c>
      <c r="CG294" s="52">
        <v>356150</v>
      </c>
      <c r="CH294" s="52">
        <v>167500</v>
      </c>
      <c r="CI294" s="52">
        <v>35460</v>
      </c>
      <c r="CJ294" s="52"/>
      <c r="CK294" s="52"/>
      <c r="CL294" s="52"/>
      <c r="CM294" s="52"/>
      <c r="CN294" s="52"/>
      <c r="CO294" s="52"/>
      <c r="CP294" s="52">
        <v>238941</v>
      </c>
      <c r="CQ294" s="52"/>
      <c r="CR294" s="52"/>
      <c r="CS294" s="52"/>
      <c r="CT294" s="52"/>
      <c r="CU294" s="52">
        <v>620554</v>
      </c>
      <c r="CV294" s="52"/>
      <c r="CW294" s="52">
        <v>368609</v>
      </c>
      <c r="CX294" s="52">
        <v>143518</v>
      </c>
      <c r="CY294" s="52"/>
      <c r="CZ294" s="52">
        <v>100864</v>
      </c>
      <c r="DA294" s="52">
        <v>211350</v>
      </c>
      <c r="DB294" s="52"/>
      <c r="DC294" s="52"/>
      <c r="DD294" s="52"/>
      <c r="DE294" s="52">
        <v>10130732</v>
      </c>
      <c r="DF294" s="52"/>
      <c r="DG294" s="52">
        <v>10130732</v>
      </c>
      <c r="DH294" s="52"/>
    </row>
    <row r="295" spans="1:113">
      <c r="A295" s="150" t="s">
        <v>408</v>
      </c>
      <c r="B295" s="119"/>
      <c r="D295" s="52" t="s">
        <v>38</v>
      </c>
      <c r="E295" s="52" t="s">
        <v>39</v>
      </c>
      <c r="F295" s="52" t="s">
        <v>40</v>
      </c>
      <c r="G295" s="52" t="s">
        <v>41</v>
      </c>
      <c r="H295" s="57" t="s">
        <v>303</v>
      </c>
      <c r="I295" s="57" t="s">
        <v>304</v>
      </c>
      <c r="J295" s="57" t="s">
        <v>305</v>
      </c>
      <c r="K295" s="57" t="s">
        <v>306</v>
      </c>
      <c r="L295" s="52" t="s">
        <v>307</v>
      </c>
      <c r="M295" s="52" t="s">
        <v>308</v>
      </c>
      <c r="N295" s="52" t="s">
        <v>309</v>
      </c>
      <c r="O295" s="52" t="s">
        <v>310</v>
      </c>
      <c r="P295" s="52" t="s">
        <v>311</v>
      </c>
      <c r="Q295" s="52" t="s">
        <v>312</v>
      </c>
      <c r="R295" s="52" t="s">
        <v>313</v>
      </c>
      <c r="S295" s="52" t="s">
        <v>314</v>
      </c>
      <c r="T295" s="52" t="s">
        <v>315</v>
      </c>
      <c r="U295" s="52" t="s">
        <v>316</v>
      </c>
      <c r="V295" s="52" t="s">
        <v>317</v>
      </c>
      <c r="W295" s="52" t="s">
        <v>318</v>
      </c>
      <c r="X295" s="52" t="s">
        <v>319</v>
      </c>
      <c r="Y295" s="52" t="s">
        <v>320</v>
      </c>
      <c r="Z295" s="52" t="s">
        <v>321</v>
      </c>
      <c r="AA295" s="52" t="s">
        <v>322</v>
      </c>
      <c r="AB295" s="52" t="s">
        <v>323</v>
      </c>
      <c r="AC295" s="52" t="s">
        <v>324</v>
      </c>
      <c r="AD295" s="52" t="s">
        <v>325</v>
      </c>
      <c r="AE295" s="52" t="s">
        <v>326</v>
      </c>
      <c r="AF295" s="52" t="s">
        <v>327</v>
      </c>
      <c r="AG295" s="52" t="s">
        <v>328</v>
      </c>
      <c r="AH295" s="52" t="s">
        <v>329</v>
      </c>
      <c r="AI295" s="52" t="s">
        <v>330</v>
      </c>
      <c r="AJ295" s="52" t="s">
        <v>331</v>
      </c>
      <c r="AK295" s="52" t="s">
        <v>332</v>
      </c>
      <c r="AL295" s="52" t="s">
        <v>333</v>
      </c>
      <c r="AM295" s="52" t="s">
        <v>334</v>
      </c>
      <c r="AN295" s="52" t="s">
        <v>335</v>
      </c>
      <c r="AO295" s="52" t="s">
        <v>336</v>
      </c>
      <c r="AP295" s="52" t="s">
        <v>337</v>
      </c>
      <c r="AQ295" s="52" t="s">
        <v>338</v>
      </c>
      <c r="AR295" s="52" t="s">
        <v>339</v>
      </c>
      <c r="AS295" s="52" t="s">
        <v>340</v>
      </c>
      <c r="AT295" s="52" t="s">
        <v>341</v>
      </c>
      <c r="AU295" s="52" t="s">
        <v>342</v>
      </c>
      <c r="AV295" s="52" t="s">
        <v>343</v>
      </c>
      <c r="AW295" s="52" t="s">
        <v>344</v>
      </c>
      <c r="AX295" s="52" t="s">
        <v>345</v>
      </c>
      <c r="AY295" s="52" t="s">
        <v>346</v>
      </c>
      <c r="AZ295" s="52" t="s">
        <v>347</v>
      </c>
      <c r="BA295" s="52" t="s">
        <v>348</v>
      </c>
      <c r="BB295" s="52" t="s">
        <v>349</v>
      </c>
      <c r="BC295" s="52" t="s">
        <v>350</v>
      </c>
      <c r="BD295" s="52" t="s">
        <v>351</v>
      </c>
      <c r="BE295" s="52" t="s">
        <v>352</v>
      </c>
      <c r="BF295" s="52" t="s">
        <v>353</v>
      </c>
      <c r="BG295" s="52" t="s">
        <v>354</v>
      </c>
      <c r="BH295" s="52" t="s">
        <v>355</v>
      </c>
      <c r="BI295" s="52" t="s">
        <v>356</v>
      </c>
      <c r="BJ295" s="52" t="s">
        <v>357</v>
      </c>
      <c r="BK295" s="52" t="s">
        <v>358</v>
      </c>
      <c r="BL295" s="52" t="s">
        <v>359</v>
      </c>
      <c r="BM295" s="52" t="s">
        <v>360</v>
      </c>
      <c r="BN295" s="52" t="s">
        <v>361</v>
      </c>
      <c r="BO295" s="52" t="s">
        <v>362</v>
      </c>
      <c r="BP295" s="52" t="s">
        <v>363</v>
      </c>
      <c r="BQ295" s="52" t="s">
        <v>364</v>
      </c>
      <c r="BR295" s="52" t="s">
        <v>365</v>
      </c>
      <c r="BS295" s="52" t="s">
        <v>366</v>
      </c>
      <c r="BT295" s="52" t="s">
        <v>367</v>
      </c>
      <c r="BU295" s="52" t="s">
        <v>368</v>
      </c>
      <c r="BV295" s="52" t="s">
        <v>369</v>
      </c>
      <c r="BW295" s="52" t="s">
        <v>370</v>
      </c>
      <c r="BX295" s="52" t="s">
        <v>371</v>
      </c>
      <c r="BY295" s="52" t="s">
        <v>372</v>
      </c>
      <c r="BZ295" s="52" t="s">
        <v>373</v>
      </c>
      <c r="CA295" s="52" t="s">
        <v>374</v>
      </c>
      <c r="CB295" s="52" t="s">
        <v>375</v>
      </c>
      <c r="CC295" s="52" t="s">
        <v>376</v>
      </c>
      <c r="CD295" s="52" t="s">
        <v>377</v>
      </c>
      <c r="CE295" s="52" t="s">
        <v>378</v>
      </c>
      <c r="CF295" s="52" t="s">
        <v>379</v>
      </c>
      <c r="CG295" s="52" t="s">
        <v>380</v>
      </c>
      <c r="CH295" s="52" t="s">
        <v>381</v>
      </c>
      <c r="CI295" s="52" t="s">
        <v>382</v>
      </c>
      <c r="CJ295" s="52" t="s">
        <v>383</v>
      </c>
      <c r="CK295" s="52" t="s">
        <v>384</v>
      </c>
      <c r="CL295" s="52" t="s">
        <v>385</v>
      </c>
      <c r="CM295" s="52" t="s">
        <v>386</v>
      </c>
      <c r="CN295" s="52" t="s">
        <v>387</v>
      </c>
      <c r="CO295" s="52" t="s">
        <v>388</v>
      </c>
      <c r="CP295" s="52" t="s">
        <v>389</v>
      </c>
      <c r="CQ295" s="52" t="s">
        <v>390</v>
      </c>
      <c r="CR295" s="52" t="s">
        <v>391</v>
      </c>
      <c r="CS295" s="52" t="s">
        <v>392</v>
      </c>
      <c r="CT295" s="52" t="s">
        <v>393</v>
      </c>
      <c r="CU295" s="52" t="s">
        <v>394</v>
      </c>
      <c r="CV295" s="52" t="s">
        <v>395</v>
      </c>
      <c r="CW295" s="52" t="s">
        <v>396</v>
      </c>
      <c r="CX295" s="52" t="s">
        <v>397</v>
      </c>
      <c r="CY295" s="52" t="s">
        <v>398</v>
      </c>
      <c r="CZ295" s="52" t="s">
        <v>399</v>
      </c>
      <c r="DA295" s="52" t="s">
        <v>400</v>
      </c>
      <c r="DB295" s="52" t="s">
        <v>401</v>
      </c>
      <c r="DC295" s="52" t="s">
        <v>29</v>
      </c>
      <c r="DD295" s="52" t="s">
        <v>402</v>
      </c>
      <c r="DE295" s="52" t="s">
        <v>403</v>
      </c>
      <c r="DF295" s="52" t="s">
        <v>404</v>
      </c>
      <c r="DG295" s="52" t="s">
        <v>405</v>
      </c>
      <c r="DH295" s="52"/>
    </row>
    <row r="296" spans="1:113">
      <c r="A296" s="150" t="s">
        <v>407</v>
      </c>
      <c r="B296" s="119">
        <v>3565</v>
      </c>
      <c r="C296" s="44" t="s">
        <v>203</v>
      </c>
      <c r="D296" s="52">
        <v>51258</v>
      </c>
      <c r="E296" s="52">
        <v>57991</v>
      </c>
      <c r="F296" s="52">
        <v>49556</v>
      </c>
      <c r="G296" s="52"/>
      <c r="H296" s="56"/>
      <c r="I296" s="56"/>
      <c r="J296" s="56"/>
      <c r="K296" s="56"/>
      <c r="L296" s="52"/>
      <c r="M296" s="52"/>
      <c r="N296" s="52">
        <v>50000</v>
      </c>
      <c r="O296" s="52"/>
      <c r="P296" s="52"/>
      <c r="Q296" s="52"/>
      <c r="R296" s="52"/>
      <c r="S296" s="52"/>
      <c r="T296" s="52"/>
      <c r="U296" s="52">
        <v>44826</v>
      </c>
      <c r="V296" s="52"/>
      <c r="W296" s="52">
        <v>48523</v>
      </c>
      <c r="X296" s="52">
        <v>51506</v>
      </c>
      <c r="Y296" s="52">
        <v>50000</v>
      </c>
      <c r="Z296" s="52">
        <v>46171</v>
      </c>
      <c r="AA296" s="52">
        <v>36517</v>
      </c>
      <c r="AB296" s="52">
        <v>50000</v>
      </c>
      <c r="AC296" s="52"/>
      <c r="AD296" s="52"/>
      <c r="AE296" s="52"/>
      <c r="AF296" s="52"/>
      <c r="AG296" s="52">
        <v>48384</v>
      </c>
      <c r="AH296" s="52">
        <v>48639</v>
      </c>
      <c r="AI296" s="52"/>
      <c r="AJ296" s="52"/>
      <c r="AK296" s="52">
        <v>41468</v>
      </c>
      <c r="AL296" s="52"/>
      <c r="AM296" s="52"/>
      <c r="AN296" s="52">
        <v>103498</v>
      </c>
      <c r="AO296" s="52"/>
      <c r="AP296" s="52"/>
      <c r="AQ296" s="52">
        <v>45897</v>
      </c>
      <c r="AR296" s="52"/>
      <c r="AS296" s="52">
        <v>81588</v>
      </c>
      <c r="AT296" s="52"/>
      <c r="AU296" s="52"/>
      <c r="AV296" s="52"/>
      <c r="AW296" s="52"/>
      <c r="AX296" s="52">
        <v>50000</v>
      </c>
      <c r="AY296" s="52">
        <v>50000</v>
      </c>
      <c r="AZ296" s="52">
        <v>50000</v>
      </c>
      <c r="BA296" s="52"/>
      <c r="BB296" s="52"/>
      <c r="BC296" s="52"/>
      <c r="BD296" s="52">
        <v>83688</v>
      </c>
      <c r="BE296" s="52"/>
      <c r="BF296" s="52">
        <v>59923</v>
      </c>
      <c r="BG296" s="52"/>
      <c r="BH296" s="52">
        <v>51931</v>
      </c>
      <c r="BI296" s="52">
        <v>27096</v>
      </c>
      <c r="BJ296" s="52">
        <v>52435</v>
      </c>
      <c r="BK296" s="52"/>
      <c r="BL296" s="52"/>
      <c r="BM296" s="52">
        <v>10000</v>
      </c>
      <c r="BN296" s="52">
        <v>64323</v>
      </c>
      <c r="BO296" s="52">
        <v>10000</v>
      </c>
      <c r="BP296" s="52"/>
      <c r="BQ296" s="52">
        <v>21699</v>
      </c>
      <c r="BR296" s="52">
        <v>65527</v>
      </c>
      <c r="BS296" s="52">
        <v>27672</v>
      </c>
      <c r="BT296" s="52"/>
      <c r="BU296" s="52"/>
      <c r="BV296" s="52"/>
      <c r="BW296" s="52"/>
      <c r="BX296" s="52">
        <v>44396</v>
      </c>
      <c r="BY296" s="52">
        <v>38568</v>
      </c>
      <c r="BZ296" s="52">
        <v>52663</v>
      </c>
      <c r="CA296" s="52"/>
      <c r="CB296" s="52"/>
      <c r="CC296" s="52"/>
      <c r="CD296" s="52"/>
      <c r="CE296" s="52"/>
      <c r="CF296" s="52">
        <v>43036</v>
      </c>
      <c r="CG296" s="52">
        <v>50000</v>
      </c>
      <c r="CH296" s="52">
        <v>18000</v>
      </c>
      <c r="CI296" s="52">
        <v>39876</v>
      </c>
      <c r="CJ296" s="52"/>
      <c r="CK296" s="52"/>
      <c r="CL296" s="52"/>
      <c r="CM296" s="52"/>
      <c r="CN296" s="52"/>
      <c r="CO296" s="52"/>
      <c r="CP296" s="52">
        <v>38794</v>
      </c>
      <c r="CQ296" s="52"/>
      <c r="CR296" s="52"/>
      <c r="CS296" s="52"/>
      <c r="CT296" s="52"/>
      <c r="CU296" s="52">
        <v>100000</v>
      </c>
      <c r="CV296" s="52"/>
      <c r="CW296" s="52">
        <v>39625</v>
      </c>
      <c r="CX296" s="52">
        <v>50000</v>
      </c>
      <c r="CY296" s="52"/>
      <c r="CZ296" s="52"/>
      <c r="DA296" s="52">
        <v>50000</v>
      </c>
      <c r="DB296" s="52"/>
      <c r="DC296" s="52"/>
      <c r="DD296" s="52"/>
      <c r="DE296" s="52">
        <v>2095074</v>
      </c>
      <c r="DF296" s="52"/>
      <c r="DG296" s="52">
        <v>2095074</v>
      </c>
      <c r="DH296" s="52"/>
    </row>
    <row r="297" spans="1:113">
      <c r="A297" s="150" t="s">
        <v>408</v>
      </c>
      <c r="B297" s="119">
        <v>3800</v>
      </c>
      <c r="C297" s="44" t="s">
        <v>228</v>
      </c>
      <c r="D297" s="52"/>
      <c r="E297" s="52"/>
      <c r="F297" s="52"/>
      <c r="G297" s="52"/>
      <c r="H297" s="56"/>
      <c r="I297" s="56"/>
      <c r="J297" s="56"/>
      <c r="K297" s="56"/>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row>
    <row r="298" spans="1:113">
      <c r="A298" s="150" t="s">
        <v>408</v>
      </c>
      <c r="B298" s="119">
        <v>3990</v>
      </c>
      <c r="C298" s="44" t="s">
        <v>234</v>
      </c>
      <c r="D298" s="52"/>
      <c r="E298" s="52"/>
      <c r="F298" s="52"/>
      <c r="G298" s="52"/>
      <c r="H298" s="56"/>
      <c r="I298" s="56"/>
      <c r="J298" s="56"/>
      <c r="K298" s="56"/>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row>
    <row r="299" spans="1:113">
      <c r="A299" s="150" t="s">
        <v>408</v>
      </c>
      <c r="B299" s="119"/>
      <c r="D299" s="52"/>
      <c r="E299" s="52"/>
      <c r="F299" s="52"/>
      <c r="G299" s="52"/>
      <c r="H299" s="56"/>
      <c r="I299" s="56"/>
      <c r="J299" s="56"/>
      <c r="K299" s="56"/>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row>
    <row r="300" spans="1:113">
      <c r="A300" s="150" t="s">
        <v>408</v>
      </c>
      <c r="B300" s="119" t="s">
        <v>90</v>
      </c>
      <c r="C300" s="44" t="s">
        <v>238</v>
      </c>
      <c r="D300" s="52">
        <v>18654097</v>
      </c>
      <c r="E300" s="52">
        <v>104927868</v>
      </c>
      <c r="F300" s="52">
        <v>11242454</v>
      </c>
      <c r="G300" s="52">
        <v>524098</v>
      </c>
      <c r="H300" s="56">
        <v>36870125</v>
      </c>
      <c r="I300" s="56">
        <v>17702542</v>
      </c>
      <c r="J300" s="56">
        <v>12580738</v>
      </c>
      <c r="K300" s="56">
        <v>11478574</v>
      </c>
      <c r="L300" s="52">
        <v>53409518</v>
      </c>
      <c r="M300" s="52">
        <v>677455</v>
      </c>
      <c r="N300" s="52">
        <v>1243249</v>
      </c>
      <c r="O300" s="52">
        <v>8557834</v>
      </c>
      <c r="P300" s="52">
        <v>5958221</v>
      </c>
      <c r="Q300" s="52">
        <v>5072720</v>
      </c>
      <c r="R300" s="52">
        <v>5193746</v>
      </c>
      <c r="S300" s="52">
        <v>14540605</v>
      </c>
      <c r="T300" s="52">
        <v>217178</v>
      </c>
      <c r="U300" s="52">
        <v>28053387</v>
      </c>
      <c r="V300" s="52">
        <v>183013</v>
      </c>
      <c r="W300" s="52">
        <v>122324302</v>
      </c>
      <c r="X300" s="52">
        <v>9172325</v>
      </c>
      <c r="Y300" s="52">
        <v>128541187</v>
      </c>
      <c r="Z300" s="52">
        <v>42800456</v>
      </c>
      <c r="AA300" s="52">
        <v>28926519</v>
      </c>
      <c r="AB300" s="52">
        <v>38780715</v>
      </c>
      <c r="AC300" s="52">
        <v>5635106</v>
      </c>
      <c r="AD300" s="52">
        <v>16885809</v>
      </c>
      <c r="AE300" s="52">
        <v>6573858</v>
      </c>
      <c r="AF300" s="52">
        <v>491728</v>
      </c>
      <c r="AG300" s="52">
        <v>31239338</v>
      </c>
      <c r="AH300" s="52">
        <v>53095241</v>
      </c>
      <c r="AI300" s="52">
        <v>748803</v>
      </c>
      <c r="AJ300" s="52">
        <v>4579669</v>
      </c>
      <c r="AK300" s="52">
        <v>17428535</v>
      </c>
      <c r="AL300" s="52">
        <v>7518630</v>
      </c>
      <c r="AM300" s="52">
        <v>353295</v>
      </c>
      <c r="AN300" s="52">
        <v>85250154</v>
      </c>
      <c r="AO300" s="52">
        <v>11661093</v>
      </c>
      <c r="AP300" s="52">
        <v>148045</v>
      </c>
      <c r="AQ300" s="52">
        <v>20698194</v>
      </c>
      <c r="AR300" s="52">
        <v>16017071</v>
      </c>
      <c r="AS300" s="52">
        <v>67849377</v>
      </c>
      <c r="AT300" s="52">
        <v>6245687</v>
      </c>
      <c r="AU300" s="52">
        <v>19906027</v>
      </c>
      <c r="AV300" s="52">
        <v>6430095</v>
      </c>
      <c r="AW300" s="52">
        <v>7687191</v>
      </c>
      <c r="AX300" s="52">
        <v>38725750</v>
      </c>
      <c r="AY300" s="52">
        <v>279061391</v>
      </c>
      <c r="AZ300" s="52">
        <v>42458501</v>
      </c>
      <c r="BA300" s="52">
        <v>5986637</v>
      </c>
      <c r="BB300" s="52">
        <v>5455921</v>
      </c>
      <c r="BC300" s="52">
        <v>592160</v>
      </c>
      <c r="BD300" s="52">
        <v>14354250</v>
      </c>
      <c r="BE300" s="52">
        <v>8434601</v>
      </c>
      <c r="BF300" s="52">
        <v>127393311</v>
      </c>
      <c r="BG300" s="52">
        <v>15208859</v>
      </c>
      <c r="BH300" s="52">
        <v>48789949</v>
      </c>
      <c r="BI300" s="52">
        <v>52440113</v>
      </c>
      <c r="BJ300" s="52">
        <v>28242771</v>
      </c>
      <c r="BK300" s="52">
        <v>16509835</v>
      </c>
      <c r="BL300" s="52">
        <v>17088122</v>
      </c>
      <c r="BM300" s="52">
        <v>91304906</v>
      </c>
      <c r="BN300" s="52">
        <v>42265658</v>
      </c>
      <c r="BO300" s="52">
        <v>10868863</v>
      </c>
      <c r="BP300" s="52">
        <v>18506569</v>
      </c>
      <c r="BQ300" s="52">
        <v>77028601</v>
      </c>
      <c r="BR300" s="52">
        <v>4579559</v>
      </c>
      <c r="BS300" s="52">
        <v>651931</v>
      </c>
      <c r="BT300" s="52">
        <v>14778860</v>
      </c>
      <c r="BU300" s="52">
        <v>10275974</v>
      </c>
      <c r="BV300" s="52">
        <v>5902586</v>
      </c>
      <c r="BW300" s="52">
        <v>452446</v>
      </c>
      <c r="BX300" s="52">
        <v>26425792</v>
      </c>
      <c r="BY300" s="52">
        <v>29779280</v>
      </c>
      <c r="BZ300" s="52">
        <v>41481188</v>
      </c>
      <c r="CA300" s="52"/>
      <c r="CB300" s="52">
        <v>18414455</v>
      </c>
      <c r="CC300" s="52">
        <v>20540012</v>
      </c>
      <c r="CD300" s="52">
        <v>37061360</v>
      </c>
      <c r="CE300" s="52">
        <v>20095</v>
      </c>
      <c r="CF300" s="52">
        <v>70066036</v>
      </c>
      <c r="CG300" s="52">
        <v>115006763</v>
      </c>
      <c r="CH300" s="52">
        <v>96245328</v>
      </c>
      <c r="CI300" s="52">
        <v>10955022</v>
      </c>
      <c r="CJ300" s="52">
        <v>22906337</v>
      </c>
      <c r="CK300" s="52">
        <v>40397515</v>
      </c>
      <c r="CL300" s="52">
        <v>14746972</v>
      </c>
      <c r="CM300" s="52">
        <v>13296318</v>
      </c>
      <c r="CN300" s="52">
        <v>27535052</v>
      </c>
      <c r="CO300" s="52">
        <v>42614268</v>
      </c>
      <c r="CP300" s="52">
        <v>40742680</v>
      </c>
      <c r="CQ300" s="52">
        <v>496154</v>
      </c>
      <c r="CR300" s="52">
        <v>316312</v>
      </c>
      <c r="CS300" s="52">
        <v>300675</v>
      </c>
      <c r="CT300" s="52">
        <v>42718877</v>
      </c>
      <c r="CU300" s="52">
        <v>41369109</v>
      </c>
      <c r="CV300" s="52"/>
      <c r="CW300" s="52">
        <v>24808289</v>
      </c>
      <c r="CX300" s="52">
        <v>28469389</v>
      </c>
      <c r="CY300" s="52">
        <v>23339328</v>
      </c>
      <c r="CZ300" s="52">
        <v>18463832</v>
      </c>
      <c r="DA300" s="52">
        <v>75448546</v>
      </c>
      <c r="DB300" s="52">
        <v>32077870</v>
      </c>
      <c r="DC300" s="52">
        <v>5801081</v>
      </c>
      <c r="DD300" s="52">
        <v>3489714</v>
      </c>
      <c r="DE300" s="52"/>
      <c r="DF300" s="52"/>
      <c r="DG300" s="52"/>
      <c r="DH300" s="52"/>
    </row>
    <row r="301" spans="1:113">
      <c r="A301" s="150" t="s">
        <v>408</v>
      </c>
      <c r="B301" s="119"/>
      <c r="D301" s="52"/>
      <c r="E301" s="52"/>
      <c r="F301" s="52"/>
      <c r="G301" s="52"/>
      <c r="H301" s="56"/>
      <c r="I301" s="56"/>
      <c r="J301" s="56"/>
      <c r="K301" s="56"/>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row>
    <row r="302" spans="1:113">
      <c r="A302" s="150" t="s">
        <v>408</v>
      </c>
      <c r="B302" s="119"/>
      <c r="D302" s="52" t="s">
        <v>38</v>
      </c>
      <c r="E302" s="52" t="s">
        <v>39</v>
      </c>
      <c r="F302" s="52" t="s">
        <v>40</v>
      </c>
      <c r="G302" s="52" t="s">
        <v>41</v>
      </c>
      <c r="H302" s="57" t="s">
        <v>303</v>
      </c>
      <c r="I302" s="57" t="s">
        <v>304</v>
      </c>
      <c r="J302" s="57" t="s">
        <v>305</v>
      </c>
      <c r="K302" s="57" t="s">
        <v>306</v>
      </c>
      <c r="L302" s="52" t="s">
        <v>307</v>
      </c>
      <c r="M302" s="52" t="s">
        <v>308</v>
      </c>
      <c r="N302" s="52" t="s">
        <v>309</v>
      </c>
      <c r="O302" s="52" t="s">
        <v>310</v>
      </c>
      <c r="P302" s="52" t="s">
        <v>311</v>
      </c>
      <c r="Q302" s="52" t="s">
        <v>312</v>
      </c>
      <c r="R302" s="52" t="s">
        <v>313</v>
      </c>
      <c r="S302" s="52" t="s">
        <v>314</v>
      </c>
      <c r="T302" s="52" t="s">
        <v>315</v>
      </c>
      <c r="U302" s="52" t="s">
        <v>316</v>
      </c>
      <c r="V302" s="52" t="s">
        <v>317</v>
      </c>
      <c r="W302" s="52" t="s">
        <v>318</v>
      </c>
      <c r="X302" s="52" t="s">
        <v>319</v>
      </c>
      <c r="Y302" s="52" t="s">
        <v>320</v>
      </c>
      <c r="Z302" s="52" t="s">
        <v>321</v>
      </c>
      <c r="AA302" s="52" t="s">
        <v>322</v>
      </c>
      <c r="AB302" s="52" t="s">
        <v>323</v>
      </c>
      <c r="AC302" s="52" t="s">
        <v>324</v>
      </c>
      <c r="AD302" s="52" t="s">
        <v>325</v>
      </c>
      <c r="AE302" s="52" t="s">
        <v>326</v>
      </c>
      <c r="AF302" s="52" t="s">
        <v>327</v>
      </c>
      <c r="AG302" s="52" t="s">
        <v>328</v>
      </c>
      <c r="AH302" s="52" t="s">
        <v>329</v>
      </c>
      <c r="AI302" s="52" t="s">
        <v>330</v>
      </c>
      <c r="AJ302" s="52" t="s">
        <v>331</v>
      </c>
      <c r="AK302" s="52" t="s">
        <v>332</v>
      </c>
      <c r="AL302" s="52" t="s">
        <v>333</v>
      </c>
      <c r="AM302" s="52" t="s">
        <v>334</v>
      </c>
      <c r="AN302" s="52" t="s">
        <v>335</v>
      </c>
      <c r="AO302" s="52" t="s">
        <v>336</v>
      </c>
      <c r="AP302" s="52" t="s">
        <v>337</v>
      </c>
      <c r="AQ302" s="52" t="s">
        <v>338</v>
      </c>
      <c r="AR302" s="52" t="s">
        <v>339</v>
      </c>
      <c r="AS302" s="52" t="s">
        <v>340</v>
      </c>
      <c r="AT302" s="52" t="s">
        <v>341</v>
      </c>
      <c r="AU302" s="52" t="s">
        <v>342</v>
      </c>
      <c r="AV302" s="52" t="s">
        <v>343</v>
      </c>
      <c r="AW302" s="52" t="s">
        <v>344</v>
      </c>
      <c r="AX302" s="52" t="s">
        <v>345</v>
      </c>
      <c r="AY302" s="52" t="s">
        <v>346</v>
      </c>
      <c r="AZ302" s="52" t="s">
        <v>347</v>
      </c>
      <c r="BA302" s="52" t="s">
        <v>348</v>
      </c>
      <c r="BB302" s="52" t="s">
        <v>349</v>
      </c>
      <c r="BC302" s="52" t="s">
        <v>350</v>
      </c>
      <c r="BD302" s="52" t="s">
        <v>351</v>
      </c>
      <c r="BE302" s="52" t="s">
        <v>352</v>
      </c>
      <c r="BF302" s="52" t="s">
        <v>353</v>
      </c>
      <c r="BG302" s="52" t="s">
        <v>354</v>
      </c>
      <c r="BH302" s="52" t="s">
        <v>355</v>
      </c>
      <c r="BI302" s="52" t="s">
        <v>356</v>
      </c>
      <c r="BJ302" s="52" t="s">
        <v>357</v>
      </c>
      <c r="BK302" s="52" t="s">
        <v>358</v>
      </c>
      <c r="BL302" s="52" t="s">
        <v>359</v>
      </c>
      <c r="BM302" s="52" t="s">
        <v>360</v>
      </c>
      <c r="BN302" s="52" t="s">
        <v>361</v>
      </c>
      <c r="BO302" s="52" t="s">
        <v>362</v>
      </c>
      <c r="BP302" s="52" t="s">
        <v>363</v>
      </c>
      <c r="BQ302" s="52" t="s">
        <v>364</v>
      </c>
      <c r="BR302" s="52" t="s">
        <v>365</v>
      </c>
      <c r="BS302" s="52" t="s">
        <v>366</v>
      </c>
      <c r="BT302" s="52" t="s">
        <v>367</v>
      </c>
      <c r="BU302" s="52" t="s">
        <v>368</v>
      </c>
      <c r="BV302" s="52" t="s">
        <v>369</v>
      </c>
      <c r="BW302" s="52" t="s">
        <v>370</v>
      </c>
      <c r="BX302" s="52" t="s">
        <v>371</v>
      </c>
      <c r="BY302" s="52" t="s">
        <v>372</v>
      </c>
      <c r="BZ302" s="52" t="s">
        <v>373</v>
      </c>
      <c r="CA302" s="52" t="s">
        <v>374</v>
      </c>
      <c r="CB302" s="52" t="s">
        <v>375</v>
      </c>
      <c r="CC302" s="52" t="s">
        <v>376</v>
      </c>
      <c r="CD302" s="52" t="s">
        <v>377</v>
      </c>
      <c r="CE302" s="52" t="s">
        <v>378</v>
      </c>
      <c r="CF302" s="52" t="s">
        <v>379</v>
      </c>
      <c r="CG302" s="52" t="s">
        <v>380</v>
      </c>
      <c r="CH302" s="52" t="s">
        <v>381</v>
      </c>
      <c r="CI302" s="52" t="s">
        <v>382</v>
      </c>
      <c r="CJ302" s="52" t="s">
        <v>383</v>
      </c>
      <c r="CK302" s="52" t="s">
        <v>384</v>
      </c>
      <c r="CL302" s="52" t="s">
        <v>385</v>
      </c>
      <c r="CM302" s="52" t="s">
        <v>386</v>
      </c>
      <c r="CN302" s="52" t="s">
        <v>387</v>
      </c>
      <c r="CO302" s="52" t="s">
        <v>388</v>
      </c>
      <c r="CP302" s="52" t="s">
        <v>389</v>
      </c>
      <c r="CQ302" s="52" t="s">
        <v>390</v>
      </c>
      <c r="CR302" s="52" t="s">
        <v>391</v>
      </c>
      <c r="CS302" s="52" t="s">
        <v>392</v>
      </c>
      <c r="CT302" s="52" t="s">
        <v>393</v>
      </c>
      <c r="CU302" s="52" t="s">
        <v>394</v>
      </c>
      <c r="CV302" s="52" t="s">
        <v>395</v>
      </c>
      <c r="CW302" s="52" t="s">
        <v>396</v>
      </c>
      <c r="CX302" s="52" t="s">
        <v>397</v>
      </c>
      <c r="CY302" s="52" t="s">
        <v>398</v>
      </c>
      <c r="CZ302" s="52" t="s">
        <v>399</v>
      </c>
      <c r="DA302" s="52" t="s">
        <v>400</v>
      </c>
      <c r="DB302" s="52" t="s">
        <v>401</v>
      </c>
      <c r="DC302" s="52" t="s">
        <v>29</v>
      </c>
      <c r="DD302" s="52" t="s">
        <v>402</v>
      </c>
      <c r="DE302" s="52" t="s">
        <v>403</v>
      </c>
      <c r="DF302" s="52" t="s">
        <v>404</v>
      </c>
      <c r="DG302" s="52" t="s">
        <v>405</v>
      </c>
      <c r="DH302" s="52"/>
    </row>
    <row r="303" spans="1:113">
      <c r="A303" s="150" t="s">
        <v>408</v>
      </c>
      <c r="B303" s="119"/>
      <c r="D303" s="52"/>
      <c r="E303" s="52"/>
      <c r="F303" s="52"/>
      <c r="G303" s="52"/>
      <c r="H303" s="56"/>
      <c r="I303" s="56"/>
      <c r="J303" s="56"/>
      <c r="K303" s="56"/>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row>
    <row r="304" spans="1:113">
      <c r="A304" s="150" t="s">
        <v>408</v>
      </c>
      <c r="B304" s="119">
        <v>4000</v>
      </c>
      <c r="C304" s="44" t="s">
        <v>239</v>
      </c>
      <c r="D304" s="52"/>
      <c r="E304" s="52"/>
      <c r="F304" s="52"/>
      <c r="G304" s="52"/>
      <c r="H304" s="56"/>
      <c r="I304" s="56"/>
      <c r="J304" s="56"/>
      <c r="K304" s="56"/>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f>SUM(DG254:DG311)</f>
        <v>103199277</v>
      </c>
    </row>
    <row r="305" spans="1:112">
      <c r="A305" s="150" t="s">
        <v>408</v>
      </c>
      <c r="B305" s="119">
        <v>4100</v>
      </c>
      <c r="C305" s="44" t="s">
        <v>240</v>
      </c>
      <c r="D305" s="52"/>
      <c r="E305" s="52"/>
      <c r="F305" s="52"/>
      <c r="G305" s="52"/>
      <c r="H305" s="56"/>
      <c r="I305" s="56"/>
      <c r="J305" s="56"/>
      <c r="K305" s="56"/>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row>
    <row r="306" spans="1:112">
      <c r="A306" s="150" t="s">
        <v>408</v>
      </c>
      <c r="B306" s="119">
        <v>4200</v>
      </c>
      <c r="C306" s="44" t="s">
        <v>100</v>
      </c>
      <c r="D306" s="52"/>
      <c r="E306" s="52"/>
      <c r="F306" s="52"/>
      <c r="G306" s="52"/>
      <c r="H306" s="56"/>
      <c r="I306" s="56"/>
      <c r="J306" s="56"/>
      <c r="K306" s="56"/>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row>
    <row r="307" spans="1:112">
      <c r="A307" s="150" t="s">
        <v>408</v>
      </c>
      <c r="B307" s="119">
        <v>4300</v>
      </c>
      <c r="C307" s="44" t="s">
        <v>245</v>
      </c>
      <c r="D307" s="52"/>
      <c r="E307" s="52"/>
      <c r="F307" s="52"/>
      <c r="G307" s="52"/>
      <c r="H307" s="56"/>
      <c r="I307" s="56"/>
      <c r="J307" s="56"/>
      <c r="K307" s="56"/>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row>
    <row r="308" spans="1:112">
      <c r="A308" s="150" t="s">
        <v>408</v>
      </c>
      <c r="B308" s="119">
        <v>4400</v>
      </c>
      <c r="C308" s="44" t="s">
        <v>122</v>
      </c>
      <c r="D308" s="52"/>
      <c r="E308" s="52"/>
      <c r="F308" s="52"/>
      <c r="G308" s="52"/>
      <c r="H308" s="56"/>
      <c r="I308" s="56"/>
      <c r="J308" s="56"/>
      <c r="K308" s="56"/>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row>
    <row r="309" spans="1:112">
      <c r="A309" s="150" t="s">
        <v>407</v>
      </c>
      <c r="B309" s="119">
        <v>4410</v>
      </c>
      <c r="C309" s="44" t="s">
        <v>123</v>
      </c>
      <c r="D309" s="52">
        <v>54705</v>
      </c>
      <c r="E309" s="52">
        <v>150431</v>
      </c>
      <c r="F309" s="52">
        <v>85084</v>
      </c>
      <c r="G309" s="52"/>
      <c r="H309" s="56"/>
      <c r="I309" s="56"/>
      <c r="J309" s="56"/>
      <c r="K309" s="56"/>
      <c r="L309" s="52">
        <v>127321</v>
      </c>
      <c r="M309" s="52"/>
      <c r="N309" s="52">
        <v>39128</v>
      </c>
      <c r="O309" s="52"/>
      <c r="P309" s="52"/>
      <c r="Q309" s="52"/>
      <c r="R309" s="52"/>
      <c r="S309" s="52"/>
      <c r="T309" s="52"/>
      <c r="U309" s="52">
        <v>128891</v>
      </c>
      <c r="V309" s="52"/>
      <c r="W309" s="52">
        <v>180720</v>
      </c>
      <c r="X309" s="52">
        <v>69250</v>
      </c>
      <c r="Y309" s="52">
        <v>242565</v>
      </c>
      <c r="Z309" s="52">
        <v>112013</v>
      </c>
      <c r="AA309" s="52">
        <v>49717</v>
      </c>
      <c r="AB309" s="52">
        <v>57273</v>
      </c>
      <c r="AC309" s="52"/>
      <c r="AD309" s="52"/>
      <c r="AE309" s="52"/>
      <c r="AF309" s="52">
        <v>127268</v>
      </c>
      <c r="AG309" s="52">
        <v>79788</v>
      </c>
      <c r="AH309" s="52">
        <v>92032</v>
      </c>
      <c r="AI309" s="52"/>
      <c r="AJ309" s="52"/>
      <c r="AK309" s="52">
        <v>22902</v>
      </c>
      <c r="AL309" s="52"/>
      <c r="AM309" s="52"/>
      <c r="AN309" s="52">
        <v>322804</v>
      </c>
      <c r="AO309" s="52"/>
      <c r="AP309" s="52"/>
      <c r="AQ309" s="52">
        <v>49675</v>
      </c>
      <c r="AR309" s="52"/>
      <c r="AS309" s="52">
        <v>389715</v>
      </c>
      <c r="AT309" s="52"/>
      <c r="AU309" s="52">
        <v>51798</v>
      </c>
      <c r="AV309" s="52"/>
      <c r="AW309" s="52"/>
      <c r="AX309" s="52">
        <v>97683</v>
      </c>
      <c r="AY309" s="52">
        <v>463192</v>
      </c>
      <c r="AZ309" s="52">
        <v>61959</v>
      </c>
      <c r="BA309" s="52"/>
      <c r="BB309" s="52"/>
      <c r="BC309" s="52"/>
      <c r="BD309" s="52">
        <v>52599</v>
      </c>
      <c r="BE309" s="52"/>
      <c r="BF309" s="52">
        <v>121069</v>
      </c>
      <c r="BG309" s="52"/>
      <c r="BH309" s="52">
        <v>100573</v>
      </c>
      <c r="BI309" s="52">
        <v>88918</v>
      </c>
      <c r="BJ309" s="52">
        <v>103975</v>
      </c>
      <c r="BK309" s="52"/>
      <c r="BL309" s="52"/>
      <c r="BM309" s="52">
        <v>97251</v>
      </c>
      <c r="BN309" s="52">
        <v>117864</v>
      </c>
      <c r="BO309" s="52">
        <v>47191</v>
      </c>
      <c r="BP309" s="52"/>
      <c r="BQ309" s="52">
        <v>93780</v>
      </c>
      <c r="BR309" s="52">
        <v>68522</v>
      </c>
      <c r="BS309" s="52">
        <v>46376</v>
      </c>
      <c r="BT309" s="52"/>
      <c r="BU309" s="52"/>
      <c r="BV309" s="52"/>
      <c r="BW309" s="52"/>
      <c r="BX309" s="52">
        <v>166354</v>
      </c>
      <c r="BY309" s="52">
        <v>89517</v>
      </c>
      <c r="BZ309" s="52">
        <v>76960</v>
      </c>
      <c r="CA309" s="52"/>
      <c r="CB309" s="52"/>
      <c r="CC309" s="52"/>
      <c r="CD309" s="52"/>
      <c r="CE309" s="52"/>
      <c r="CF309" s="52">
        <v>112389</v>
      </c>
      <c r="CG309" s="52">
        <v>297666</v>
      </c>
      <c r="CH309" s="52">
        <v>92066</v>
      </c>
      <c r="CI309" s="52">
        <v>24334</v>
      </c>
      <c r="CJ309" s="52"/>
      <c r="CK309" s="52"/>
      <c r="CL309" s="52"/>
      <c r="CM309" s="52"/>
      <c r="CN309" s="52"/>
      <c r="CO309" s="52"/>
      <c r="CP309" s="52">
        <v>135558</v>
      </c>
      <c r="CQ309" s="52"/>
      <c r="CR309" s="52"/>
      <c r="CS309" s="52"/>
      <c r="CT309" s="52"/>
      <c r="CU309" s="52">
        <v>547873</v>
      </c>
      <c r="CV309" s="52"/>
      <c r="CW309" s="52">
        <v>155265</v>
      </c>
      <c r="CX309" s="52">
        <v>51363</v>
      </c>
      <c r="CY309" s="52"/>
      <c r="CZ309" s="52">
        <v>58403</v>
      </c>
      <c r="DA309" s="52">
        <v>111829</v>
      </c>
      <c r="DB309" s="52"/>
      <c r="DC309" s="52"/>
      <c r="DD309" s="52">
        <v>117227</v>
      </c>
      <c r="DE309" s="52">
        <v>5913609</v>
      </c>
      <c r="DF309" s="52">
        <v>117227</v>
      </c>
      <c r="DG309" s="52">
        <v>6030836</v>
      </c>
      <c r="DH309" s="52"/>
    </row>
    <row r="310" spans="1:112">
      <c r="A310" s="150" t="s">
        <v>407</v>
      </c>
      <c r="B310" s="119">
        <v>4490</v>
      </c>
      <c r="C310" s="44" t="s">
        <v>259</v>
      </c>
      <c r="D310" s="52"/>
      <c r="E310" s="52"/>
      <c r="F310" s="52"/>
      <c r="G310" s="52"/>
      <c r="H310" s="56"/>
      <c r="I310" s="56"/>
      <c r="J310" s="56"/>
      <c r="K310" s="56"/>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v>26304</v>
      </c>
      <c r="DE310" s="52"/>
      <c r="DF310" s="52">
        <v>26304</v>
      </c>
      <c r="DG310" s="52">
        <v>26304</v>
      </c>
      <c r="DH310" s="52"/>
    </row>
    <row r="311" spans="1:112">
      <c r="A311" s="150" t="s">
        <v>408</v>
      </c>
      <c r="B311" s="119">
        <v>4500</v>
      </c>
      <c r="C311" s="44" t="s">
        <v>260</v>
      </c>
      <c r="D311" s="52"/>
      <c r="E311" s="52"/>
      <c r="F311" s="52"/>
      <c r="G311" s="52"/>
      <c r="H311" s="56"/>
      <c r="I311" s="56"/>
      <c r="J311" s="56"/>
      <c r="K311" s="56"/>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row>
    <row r="312" spans="1:112">
      <c r="A312" s="150" t="s">
        <v>408</v>
      </c>
      <c r="B312" s="119">
        <v>4800</v>
      </c>
      <c r="C312" s="44" t="s">
        <v>263</v>
      </c>
      <c r="D312" s="52"/>
      <c r="E312" s="52"/>
      <c r="F312" s="52"/>
      <c r="G312" s="52"/>
      <c r="H312" s="56"/>
      <c r="I312" s="56"/>
      <c r="J312" s="56"/>
      <c r="K312" s="56"/>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row>
    <row r="313" spans="1:112">
      <c r="A313" s="150" t="s">
        <v>408</v>
      </c>
      <c r="B313" s="119">
        <v>4900</v>
      </c>
      <c r="C313" s="44" t="s">
        <v>267</v>
      </c>
      <c r="D313" s="52"/>
      <c r="E313" s="52"/>
      <c r="F313" s="52"/>
      <c r="G313" s="52"/>
      <c r="H313" s="56"/>
      <c r="I313" s="56"/>
      <c r="J313" s="56"/>
      <c r="K313" s="56"/>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row>
    <row r="314" spans="1:112">
      <c r="A314" s="150" t="s">
        <v>408</v>
      </c>
      <c r="B314" s="119"/>
      <c r="D314" s="52" t="s">
        <v>38</v>
      </c>
      <c r="E314" s="52" t="s">
        <v>39</v>
      </c>
      <c r="F314" s="52" t="s">
        <v>40</v>
      </c>
      <c r="G314" s="52" t="s">
        <v>41</v>
      </c>
      <c r="H314" s="57" t="s">
        <v>303</v>
      </c>
      <c r="I314" s="57" t="s">
        <v>304</v>
      </c>
      <c r="J314" s="57" t="s">
        <v>305</v>
      </c>
      <c r="K314" s="57" t="s">
        <v>306</v>
      </c>
      <c r="L314" s="52" t="s">
        <v>307</v>
      </c>
      <c r="M314" s="52" t="s">
        <v>308</v>
      </c>
      <c r="N314" s="52" t="s">
        <v>309</v>
      </c>
      <c r="O314" s="52" t="s">
        <v>310</v>
      </c>
      <c r="P314" s="52" t="s">
        <v>311</v>
      </c>
      <c r="Q314" s="52" t="s">
        <v>312</v>
      </c>
      <c r="R314" s="52" t="s">
        <v>313</v>
      </c>
      <c r="S314" s="52" t="s">
        <v>314</v>
      </c>
      <c r="T314" s="52" t="s">
        <v>315</v>
      </c>
      <c r="U314" s="52" t="s">
        <v>316</v>
      </c>
      <c r="V314" s="52" t="s">
        <v>317</v>
      </c>
      <c r="W314" s="52" t="s">
        <v>318</v>
      </c>
      <c r="X314" s="52" t="s">
        <v>319</v>
      </c>
      <c r="Y314" s="52" t="s">
        <v>320</v>
      </c>
      <c r="Z314" s="52" t="s">
        <v>321</v>
      </c>
      <c r="AA314" s="52" t="s">
        <v>322</v>
      </c>
      <c r="AB314" s="52" t="s">
        <v>323</v>
      </c>
      <c r="AC314" s="52" t="s">
        <v>324</v>
      </c>
      <c r="AD314" s="52" t="s">
        <v>325</v>
      </c>
      <c r="AE314" s="52" t="s">
        <v>326</v>
      </c>
      <c r="AF314" s="52" t="s">
        <v>327</v>
      </c>
      <c r="AG314" s="52" t="s">
        <v>328</v>
      </c>
      <c r="AH314" s="52" t="s">
        <v>329</v>
      </c>
      <c r="AI314" s="52" t="s">
        <v>330</v>
      </c>
      <c r="AJ314" s="52" t="s">
        <v>331</v>
      </c>
      <c r="AK314" s="52" t="s">
        <v>332</v>
      </c>
      <c r="AL314" s="52" t="s">
        <v>333</v>
      </c>
      <c r="AM314" s="52" t="s">
        <v>334</v>
      </c>
      <c r="AN314" s="52" t="s">
        <v>335</v>
      </c>
      <c r="AO314" s="52" t="s">
        <v>336</v>
      </c>
      <c r="AP314" s="52" t="s">
        <v>337</v>
      </c>
      <c r="AQ314" s="52" t="s">
        <v>338</v>
      </c>
      <c r="AR314" s="52" t="s">
        <v>339</v>
      </c>
      <c r="AS314" s="52" t="s">
        <v>340</v>
      </c>
      <c r="AT314" s="52" t="s">
        <v>341</v>
      </c>
      <c r="AU314" s="52" t="s">
        <v>342</v>
      </c>
      <c r="AV314" s="52" t="s">
        <v>343</v>
      </c>
      <c r="AW314" s="52" t="s">
        <v>344</v>
      </c>
      <c r="AX314" s="52" t="s">
        <v>345</v>
      </c>
      <c r="AY314" s="52" t="s">
        <v>346</v>
      </c>
      <c r="AZ314" s="52" t="s">
        <v>347</v>
      </c>
      <c r="BA314" s="52" t="s">
        <v>348</v>
      </c>
      <c r="BB314" s="52" t="s">
        <v>349</v>
      </c>
      <c r="BC314" s="52" t="s">
        <v>350</v>
      </c>
      <c r="BD314" s="52" t="s">
        <v>351</v>
      </c>
      <c r="BE314" s="52" t="s">
        <v>352</v>
      </c>
      <c r="BF314" s="52" t="s">
        <v>353</v>
      </c>
      <c r="BG314" s="52" t="s">
        <v>354</v>
      </c>
      <c r="BH314" s="52" t="s">
        <v>355</v>
      </c>
      <c r="BI314" s="52" t="s">
        <v>356</v>
      </c>
      <c r="BJ314" s="52" t="s">
        <v>357</v>
      </c>
      <c r="BK314" s="52" t="s">
        <v>358</v>
      </c>
      <c r="BL314" s="52" t="s">
        <v>359</v>
      </c>
      <c r="BM314" s="52" t="s">
        <v>360</v>
      </c>
      <c r="BN314" s="52" t="s">
        <v>361</v>
      </c>
      <c r="BO314" s="52" t="s">
        <v>362</v>
      </c>
      <c r="BP314" s="52" t="s">
        <v>363</v>
      </c>
      <c r="BQ314" s="52" t="s">
        <v>364</v>
      </c>
      <c r="BR314" s="52" t="s">
        <v>365</v>
      </c>
      <c r="BS314" s="52" t="s">
        <v>366</v>
      </c>
      <c r="BT314" s="52" t="s">
        <v>367</v>
      </c>
      <c r="BU314" s="52" t="s">
        <v>368</v>
      </c>
      <c r="BV314" s="52" t="s">
        <v>369</v>
      </c>
      <c r="BW314" s="52" t="s">
        <v>370</v>
      </c>
      <c r="BX314" s="52" t="s">
        <v>371</v>
      </c>
      <c r="BY314" s="52" t="s">
        <v>372</v>
      </c>
      <c r="BZ314" s="52" t="s">
        <v>373</v>
      </c>
      <c r="CA314" s="52" t="s">
        <v>374</v>
      </c>
      <c r="CB314" s="52" t="s">
        <v>375</v>
      </c>
      <c r="CC314" s="52" t="s">
        <v>376</v>
      </c>
      <c r="CD314" s="52" t="s">
        <v>377</v>
      </c>
      <c r="CE314" s="52" t="s">
        <v>378</v>
      </c>
      <c r="CF314" s="52" t="s">
        <v>379</v>
      </c>
      <c r="CG314" s="52" t="s">
        <v>380</v>
      </c>
      <c r="CH314" s="52" t="s">
        <v>381</v>
      </c>
      <c r="CI314" s="52" t="s">
        <v>382</v>
      </c>
      <c r="CJ314" s="52" t="s">
        <v>383</v>
      </c>
      <c r="CK314" s="52" t="s">
        <v>384</v>
      </c>
      <c r="CL314" s="52" t="s">
        <v>385</v>
      </c>
      <c r="CM314" s="52" t="s">
        <v>386</v>
      </c>
      <c r="CN314" s="52" t="s">
        <v>387</v>
      </c>
      <c r="CO314" s="52" t="s">
        <v>388</v>
      </c>
      <c r="CP314" s="52" t="s">
        <v>389</v>
      </c>
      <c r="CQ314" s="52" t="s">
        <v>390</v>
      </c>
      <c r="CR314" s="52" t="s">
        <v>391</v>
      </c>
      <c r="CS314" s="52" t="s">
        <v>392</v>
      </c>
      <c r="CT314" s="52" t="s">
        <v>393</v>
      </c>
      <c r="CU314" s="52" t="s">
        <v>394</v>
      </c>
      <c r="CV314" s="52" t="s">
        <v>395</v>
      </c>
      <c r="CW314" s="52" t="s">
        <v>396</v>
      </c>
      <c r="CX314" s="52" t="s">
        <v>397</v>
      </c>
      <c r="CY314" s="52" t="s">
        <v>398</v>
      </c>
      <c r="CZ314" s="52" t="s">
        <v>399</v>
      </c>
      <c r="DA314" s="52" t="s">
        <v>400</v>
      </c>
      <c r="DB314" s="52" t="s">
        <v>401</v>
      </c>
      <c r="DC314" s="52" t="s">
        <v>29</v>
      </c>
      <c r="DD314" s="52" t="s">
        <v>402</v>
      </c>
      <c r="DE314" s="52" t="s">
        <v>403</v>
      </c>
      <c r="DF314" s="52" t="s">
        <v>404</v>
      </c>
      <c r="DG314" s="52" t="s">
        <v>405</v>
      </c>
      <c r="DH314" s="52"/>
    </row>
    <row r="315" spans="1:112">
      <c r="A315" s="150" t="s">
        <v>408</v>
      </c>
      <c r="B315" s="119"/>
      <c r="D315" s="52"/>
      <c r="E315" s="52"/>
      <c r="F315" s="52"/>
      <c r="G315" s="52"/>
      <c r="H315" s="56"/>
      <c r="I315" s="56"/>
      <c r="J315" s="56"/>
      <c r="K315" s="56"/>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row>
    <row r="316" spans="1:112">
      <c r="A316" s="150" t="s">
        <v>408</v>
      </c>
      <c r="B316" s="119"/>
      <c r="D316" s="52"/>
      <c r="E316" s="52"/>
      <c r="F316" s="52"/>
      <c r="G316" s="52"/>
      <c r="H316" s="56"/>
      <c r="I316" s="56"/>
      <c r="J316" s="56"/>
      <c r="K316" s="56"/>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row>
    <row r="317" spans="1:112">
      <c r="A317" s="150" t="s">
        <v>408</v>
      </c>
      <c r="B317" s="119" t="s">
        <v>90</v>
      </c>
      <c r="C317" s="44" t="s">
        <v>280</v>
      </c>
      <c r="D317" s="52">
        <v>3682976</v>
      </c>
      <c r="E317" s="52">
        <v>22741478</v>
      </c>
      <c r="F317" s="52">
        <v>3089402</v>
      </c>
      <c r="G317" s="52"/>
      <c r="H317" s="56">
        <v>4875036</v>
      </c>
      <c r="I317" s="56">
        <v>3074753</v>
      </c>
      <c r="J317" s="56">
        <v>2542156</v>
      </c>
      <c r="K317" s="56">
        <v>2598938</v>
      </c>
      <c r="L317" s="52">
        <v>12101614</v>
      </c>
      <c r="M317" s="52"/>
      <c r="N317" s="52">
        <v>125508</v>
      </c>
      <c r="O317" s="52">
        <v>2392397</v>
      </c>
      <c r="P317" s="52">
        <v>1951283</v>
      </c>
      <c r="Q317" s="52">
        <v>1657631</v>
      </c>
      <c r="R317" s="52">
        <v>1162577</v>
      </c>
      <c r="S317" s="52">
        <v>2514099</v>
      </c>
      <c r="T317" s="52">
        <v>12912</v>
      </c>
      <c r="U317" s="52">
        <v>20641146</v>
      </c>
      <c r="V317" s="52">
        <v>182481</v>
      </c>
      <c r="W317" s="52">
        <v>25047152</v>
      </c>
      <c r="X317" s="52">
        <v>2232822</v>
      </c>
      <c r="Y317" s="52">
        <v>52757514</v>
      </c>
      <c r="Z317" s="52">
        <v>9688812</v>
      </c>
      <c r="AA317" s="52">
        <v>7648343</v>
      </c>
      <c r="AB317" s="52">
        <v>8418108</v>
      </c>
      <c r="AC317" s="52">
        <v>1853363</v>
      </c>
      <c r="AD317" s="52">
        <v>5339019</v>
      </c>
      <c r="AE317" s="52">
        <v>1176265</v>
      </c>
      <c r="AF317" s="52">
        <v>137628</v>
      </c>
      <c r="AG317" s="52">
        <v>9528799</v>
      </c>
      <c r="AH317" s="52">
        <v>14069234</v>
      </c>
      <c r="AI317" s="52"/>
      <c r="AJ317" s="52">
        <v>1100460</v>
      </c>
      <c r="AK317" s="52">
        <v>5308915</v>
      </c>
      <c r="AL317" s="52">
        <v>1924563</v>
      </c>
      <c r="AM317" s="52">
        <v>139914</v>
      </c>
      <c r="AN317" s="52">
        <v>10635863</v>
      </c>
      <c r="AO317" s="52">
        <v>3430635</v>
      </c>
      <c r="AP317" s="52"/>
      <c r="AQ317" s="52">
        <v>3763177</v>
      </c>
      <c r="AR317" s="52">
        <v>5073637</v>
      </c>
      <c r="AS317" s="52">
        <v>16245407</v>
      </c>
      <c r="AT317" s="52">
        <v>1249002</v>
      </c>
      <c r="AU317" s="52">
        <v>8143064</v>
      </c>
      <c r="AV317" s="52">
        <v>1564610</v>
      </c>
      <c r="AW317" s="52">
        <v>1508866</v>
      </c>
      <c r="AX317" s="52">
        <v>11444257</v>
      </c>
      <c r="AY317" s="52">
        <v>53363867</v>
      </c>
      <c r="AZ317" s="52">
        <v>8674949</v>
      </c>
      <c r="BA317" s="52">
        <v>1134998</v>
      </c>
      <c r="BB317" s="52">
        <v>1071956</v>
      </c>
      <c r="BC317" s="52"/>
      <c r="BD317" s="52">
        <v>3376368</v>
      </c>
      <c r="BE317" s="52">
        <v>2340572</v>
      </c>
      <c r="BF317" s="52">
        <v>32429350</v>
      </c>
      <c r="BG317" s="52">
        <v>4897127</v>
      </c>
      <c r="BH317" s="52">
        <v>9162342</v>
      </c>
      <c r="BI317" s="52">
        <v>12883294</v>
      </c>
      <c r="BJ317" s="52">
        <v>6055048</v>
      </c>
      <c r="BK317" s="52">
        <v>4724125</v>
      </c>
      <c r="BL317" s="52">
        <v>4579687</v>
      </c>
      <c r="BM317" s="52">
        <v>11280560</v>
      </c>
      <c r="BN317" s="52">
        <v>8083158</v>
      </c>
      <c r="BO317" s="52">
        <v>2649385</v>
      </c>
      <c r="BP317" s="52">
        <v>4854189</v>
      </c>
      <c r="BQ317" s="52">
        <v>8686155</v>
      </c>
      <c r="BR317" s="52">
        <v>1612072</v>
      </c>
      <c r="BS317" s="52">
        <v>46376</v>
      </c>
      <c r="BT317" s="52">
        <v>4526664</v>
      </c>
      <c r="BU317" s="52">
        <v>4119091</v>
      </c>
      <c r="BV317" s="52">
        <v>1940989</v>
      </c>
      <c r="BW317" s="52">
        <v>500</v>
      </c>
      <c r="BX317" s="52">
        <v>7654127</v>
      </c>
      <c r="BY317" s="52">
        <v>7108791</v>
      </c>
      <c r="BZ317" s="52">
        <v>9682245</v>
      </c>
      <c r="CA317" s="52"/>
      <c r="CB317" s="52">
        <v>5076482</v>
      </c>
      <c r="CC317" s="52">
        <v>4672184</v>
      </c>
      <c r="CD317" s="52">
        <v>10022467</v>
      </c>
      <c r="CE317" s="52"/>
      <c r="CF317" s="52">
        <v>12359722</v>
      </c>
      <c r="CG317" s="52">
        <v>34551873</v>
      </c>
      <c r="CH317" s="52">
        <v>14579917</v>
      </c>
      <c r="CI317" s="52">
        <v>2258720</v>
      </c>
      <c r="CJ317" s="52">
        <v>3565798</v>
      </c>
      <c r="CK317" s="52">
        <v>5936673</v>
      </c>
      <c r="CL317" s="52">
        <v>2572299</v>
      </c>
      <c r="CM317" s="52">
        <v>2009981</v>
      </c>
      <c r="CN317" s="52">
        <v>4613850</v>
      </c>
      <c r="CO317" s="52">
        <v>6417352</v>
      </c>
      <c r="CP317" s="52">
        <v>10855782</v>
      </c>
      <c r="CQ317" s="52">
        <v>866</v>
      </c>
      <c r="CR317" s="52">
        <v>840</v>
      </c>
      <c r="CS317" s="52"/>
      <c r="CT317" s="52">
        <v>12357905</v>
      </c>
      <c r="CU317" s="52">
        <v>12300554</v>
      </c>
      <c r="CV317" s="52"/>
      <c r="CW317" s="52">
        <v>5143393</v>
      </c>
      <c r="CX317" s="52">
        <v>11124120</v>
      </c>
      <c r="CY317" s="52">
        <v>4815866</v>
      </c>
      <c r="CZ317" s="52">
        <v>2844980</v>
      </c>
      <c r="DA317" s="52">
        <v>11279750</v>
      </c>
      <c r="DB317" s="52">
        <v>3025378</v>
      </c>
      <c r="DC317" s="52">
        <v>2385970</v>
      </c>
      <c r="DD317" s="52">
        <v>1355712</v>
      </c>
      <c r="DE317" s="52"/>
      <c r="DF317" s="52"/>
      <c r="DG317" s="52"/>
      <c r="DH317" s="52"/>
    </row>
    <row r="318" spans="1:112">
      <c r="A318" s="150" t="s">
        <v>408</v>
      </c>
      <c r="B318" s="119"/>
      <c r="D318" s="52"/>
      <c r="E318" s="52"/>
      <c r="F318" s="52"/>
      <c r="G318" s="52"/>
      <c r="H318" s="56"/>
      <c r="I318" s="56"/>
      <c r="J318" s="56"/>
      <c r="K318" s="56"/>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row>
    <row r="319" spans="1:112">
      <c r="A319" s="150" t="s">
        <v>408</v>
      </c>
      <c r="B319" s="119">
        <v>5000</v>
      </c>
      <c r="C319" s="44" t="s">
        <v>281</v>
      </c>
      <c r="D319" s="52"/>
      <c r="E319" s="52"/>
      <c r="F319" s="52"/>
      <c r="G319" s="52"/>
      <c r="H319" s="56"/>
      <c r="I319" s="56"/>
      <c r="J319" s="56"/>
      <c r="K319" s="56"/>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row>
    <row r="320" spans="1:112">
      <c r="A320" s="150" t="s">
        <v>407</v>
      </c>
      <c r="B320" s="119">
        <v>5110</v>
      </c>
      <c r="C320" s="44" t="s">
        <v>282</v>
      </c>
      <c r="D320" s="52"/>
      <c r="E320" s="52">
        <v>521976</v>
      </c>
      <c r="F320" s="52"/>
      <c r="G320" s="52"/>
      <c r="H320" s="56"/>
      <c r="I320" s="56">
        <v>194939</v>
      </c>
      <c r="J320" s="56"/>
      <c r="K320" s="56"/>
      <c r="L320" s="52"/>
      <c r="M320" s="52"/>
      <c r="N320" s="52"/>
      <c r="O320" s="52">
        <v>10386</v>
      </c>
      <c r="P320" s="52"/>
      <c r="Q320" s="52"/>
      <c r="R320" s="52"/>
      <c r="S320" s="52"/>
      <c r="T320" s="52"/>
      <c r="U320" s="52">
        <v>3780735</v>
      </c>
      <c r="V320" s="52"/>
      <c r="W320" s="52">
        <v>4838201</v>
      </c>
      <c r="X320" s="52">
        <v>817413</v>
      </c>
      <c r="Y320" s="52">
        <v>107167</v>
      </c>
      <c r="Z320" s="52"/>
      <c r="AA320" s="52"/>
      <c r="AB320" s="52">
        <v>1139042</v>
      </c>
      <c r="AC320" s="52"/>
      <c r="AD320" s="52"/>
      <c r="AE320" s="52"/>
      <c r="AF320" s="52"/>
      <c r="AG320" s="52">
        <v>2725025</v>
      </c>
      <c r="AH320" s="52"/>
      <c r="AI320" s="52"/>
      <c r="AJ320" s="52"/>
      <c r="AK320" s="52"/>
      <c r="AL320" s="52"/>
      <c r="AM320" s="52"/>
      <c r="AN320" s="52">
        <v>7872</v>
      </c>
      <c r="AO320" s="52"/>
      <c r="AP320" s="52"/>
      <c r="AQ320" s="52"/>
      <c r="AR320" s="52"/>
      <c r="AS320" s="52"/>
      <c r="AT320" s="52"/>
      <c r="AU320" s="52"/>
      <c r="AV320" s="52"/>
      <c r="AW320" s="52"/>
      <c r="AX320" s="52">
        <v>354454</v>
      </c>
      <c r="AY320" s="52"/>
      <c r="AZ320" s="52">
        <v>3698178</v>
      </c>
      <c r="BA320" s="52"/>
      <c r="BB320" s="52"/>
      <c r="BC320" s="52"/>
      <c r="BD320" s="52"/>
      <c r="BE320" s="52"/>
      <c r="BF320" s="52">
        <v>3393526</v>
      </c>
      <c r="BG320" s="52">
        <v>91586</v>
      </c>
      <c r="BH320" s="52"/>
      <c r="BI320" s="52"/>
      <c r="BJ320" s="52">
        <v>7235</v>
      </c>
      <c r="BK320" s="52"/>
      <c r="BL320" s="52"/>
      <c r="BM320" s="52"/>
      <c r="BN320" s="52">
        <v>1834</v>
      </c>
      <c r="BO320" s="52"/>
      <c r="BP320" s="52"/>
      <c r="BQ320" s="52"/>
      <c r="BR320" s="52"/>
      <c r="BS320" s="52"/>
      <c r="BT320" s="52"/>
      <c r="BU320" s="52"/>
      <c r="BV320" s="52"/>
      <c r="BW320" s="52"/>
      <c r="BX320" s="52">
        <v>422760</v>
      </c>
      <c r="BY320" s="52"/>
      <c r="BZ320" s="52">
        <v>610873</v>
      </c>
      <c r="CA320" s="52"/>
      <c r="CB320" s="52"/>
      <c r="CC320" s="52">
        <v>319181</v>
      </c>
      <c r="CD320" s="52">
        <v>156682</v>
      </c>
      <c r="CE320" s="52"/>
      <c r="CF320" s="52">
        <v>18772977</v>
      </c>
      <c r="CG320" s="52">
        <v>1962828</v>
      </c>
      <c r="CH320" s="52">
        <v>1348330</v>
      </c>
      <c r="CI320" s="52"/>
      <c r="CJ320" s="52"/>
      <c r="CK320" s="52">
        <v>18120</v>
      </c>
      <c r="CL320" s="52">
        <v>79610</v>
      </c>
      <c r="CM320" s="52"/>
      <c r="CN320" s="52"/>
      <c r="CO320" s="52">
        <v>5</v>
      </c>
      <c r="CP320" s="52"/>
      <c r="CQ320" s="52"/>
      <c r="CR320" s="52"/>
      <c r="CS320" s="52"/>
      <c r="CT320" s="52">
        <v>1162398</v>
      </c>
      <c r="CU320" s="52">
        <v>1402904</v>
      </c>
      <c r="CV320" s="52"/>
      <c r="CW320" s="52">
        <v>653929</v>
      </c>
      <c r="CX320" s="52">
        <v>794070</v>
      </c>
      <c r="CY320" s="52"/>
      <c r="CZ320" s="52"/>
      <c r="DA320" s="52">
        <v>1401390</v>
      </c>
      <c r="DB320" s="52">
        <v>5006644</v>
      </c>
      <c r="DC320" s="52"/>
      <c r="DD320" s="52"/>
      <c r="DE320" s="52">
        <v>55802270</v>
      </c>
      <c r="DF320" s="52"/>
      <c r="DG320" s="52">
        <v>55802270</v>
      </c>
      <c r="DH320" s="52"/>
    </row>
    <row r="321" spans="1:112">
      <c r="A321" s="150" t="s">
        <v>407</v>
      </c>
      <c r="B321" s="119">
        <v>5120</v>
      </c>
      <c r="C321" s="44" t="s">
        <v>283</v>
      </c>
      <c r="D321" s="52"/>
      <c r="E321" s="52">
        <v>21740000</v>
      </c>
      <c r="F321" s="52"/>
      <c r="G321" s="52"/>
      <c r="H321" s="56"/>
      <c r="I321" s="56"/>
      <c r="J321" s="56"/>
      <c r="K321" s="56"/>
      <c r="L321" s="52">
        <v>7600000</v>
      </c>
      <c r="M321" s="52"/>
      <c r="N321" s="52"/>
      <c r="O321" s="52">
        <v>1300000</v>
      </c>
      <c r="P321" s="52"/>
      <c r="Q321" s="52"/>
      <c r="R321" s="52">
        <v>570000</v>
      </c>
      <c r="S321" s="52"/>
      <c r="T321" s="52"/>
      <c r="U321" s="52">
        <v>68710000</v>
      </c>
      <c r="V321" s="52"/>
      <c r="W321" s="52">
        <v>83656750</v>
      </c>
      <c r="X321" s="52">
        <v>32985000</v>
      </c>
      <c r="Y321" s="52"/>
      <c r="Z321" s="52"/>
      <c r="AA321" s="52"/>
      <c r="AB321" s="52">
        <v>175000</v>
      </c>
      <c r="AC321" s="52">
        <v>9630000</v>
      </c>
      <c r="AD321" s="52">
        <v>425000</v>
      </c>
      <c r="AE321" s="52"/>
      <c r="AF321" s="52"/>
      <c r="AG321" s="52"/>
      <c r="AH321" s="52">
        <v>3000000</v>
      </c>
      <c r="AI321" s="52"/>
      <c r="AJ321" s="52"/>
      <c r="AK321" s="52"/>
      <c r="AL321" s="52"/>
      <c r="AM321" s="52"/>
      <c r="AN321" s="52">
        <v>7277390</v>
      </c>
      <c r="AO321" s="52"/>
      <c r="AP321" s="52"/>
      <c r="AQ321" s="52"/>
      <c r="AR321" s="52">
        <v>2011213</v>
      </c>
      <c r="AS321" s="52"/>
      <c r="AT321" s="52"/>
      <c r="AU321" s="52">
        <v>1200000</v>
      </c>
      <c r="AV321" s="52"/>
      <c r="AW321" s="52"/>
      <c r="AX321" s="52">
        <v>16957208</v>
      </c>
      <c r="AY321" s="52"/>
      <c r="AZ321" s="52">
        <v>5200000</v>
      </c>
      <c r="BA321" s="52"/>
      <c r="BB321" s="52">
        <v>760000</v>
      </c>
      <c r="BC321" s="52"/>
      <c r="BD321" s="52">
        <v>1644400</v>
      </c>
      <c r="BE321" s="52">
        <v>200000</v>
      </c>
      <c r="BF321" s="52">
        <v>128710000</v>
      </c>
      <c r="BG321" s="52">
        <v>14965000</v>
      </c>
      <c r="BH321" s="52"/>
      <c r="BI321" s="52">
        <v>5500000</v>
      </c>
      <c r="BJ321" s="52">
        <v>1405000</v>
      </c>
      <c r="BK321" s="52">
        <v>20000000</v>
      </c>
      <c r="BL321" s="52">
        <v>5000000</v>
      </c>
      <c r="BM321" s="52">
        <v>1910000</v>
      </c>
      <c r="BN321" s="52">
        <v>3015000</v>
      </c>
      <c r="BO321" s="52"/>
      <c r="BP321" s="52"/>
      <c r="BQ321" s="52">
        <v>33725000</v>
      </c>
      <c r="BR321" s="52"/>
      <c r="BS321" s="52"/>
      <c r="BT321" s="52"/>
      <c r="BU321" s="52"/>
      <c r="BV321" s="52"/>
      <c r="BW321" s="52"/>
      <c r="BX321" s="52">
        <v>524946</v>
      </c>
      <c r="BY321" s="52"/>
      <c r="BZ321" s="52">
        <v>24500000</v>
      </c>
      <c r="CA321" s="52"/>
      <c r="CB321" s="52"/>
      <c r="CC321" s="52"/>
      <c r="CD321" s="52">
        <v>4204370</v>
      </c>
      <c r="CE321" s="52"/>
      <c r="CF321" s="52">
        <v>336165000</v>
      </c>
      <c r="CG321" s="52">
        <v>79000000</v>
      </c>
      <c r="CH321" s="52">
        <v>43500000</v>
      </c>
      <c r="CI321" s="52"/>
      <c r="CJ321" s="52"/>
      <c r="CK321" s="52">
        <v>5700000</v>
      </c>
      <c r="CL321" s="52">
        <v>18185000</v>
      </c>
      <c r="CM321" s="52">
        <v>2000000</v>
      </c>
      <c r="CN321" s="52"/>
      <c r="CO321" s="52">
        <v>12000000</v>
      </c>
      <c r="CP321" s="52"/>
      <c r="CQ321" s="52"/>
      <c r="CR321" s="52"/>
      <c r="CS321" s="52"/>
      <c r="CT321" s="52">
        <v>2000000</v>
      </c>
      <c r="CU321" s="52"/>
      <c r="CV321" s="52"/>
      <c r="CW321" s="52">
        <v>44215000</v>
      </c>
      <c r="CX321" s="52">
        <v>22870000</v>
      </c>
      <c r="CY321" s="52"/>
      <c r="CZ321" s="52"/>
      <c r="DA321" s="52">
        <v>63000000</v>
      </c>
      <c r="DB321" s="52"/>
      <c r="DC321" s="52"/>
      <c r="DD321" s="52"/>
      <c r="DE321" s="52">
        <v>1137136277</v>
      </c>
      <c r="DF321" s="52"/>
      <c r="DG321" s="52">
        <v>1137136277</v>
      </c>
      <c r="DH321" s="52"/>
    </row>
    <row r="322" spans="1:112">
      <c r="A322" s="150" t="s">
        <v>407</v>
      </c>
      <c r="B322" s="119">
        <v>5121</v>
      </c>
      <c r="C322" s="44" t="s">
        <v>284</v>
      </c>
      <c r="D322" s="52"/>
      <c r="E322" s="52"/>
      <c r="F322" s="52"/>
      <c r="G322" s="52"/>
      <c r="H322" s="56"/>
      <c r="I322" s="56"/>
      <c r="J322" s="56"/>
      <c r="K322" s="56"/>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v>32615000</v>
      </c>
      <c r="BO322" s="52"/>
      <c r="BP322" s="52"/>
      <c r="BQ322" s="52"/>
      <c r="BR322" s="52"/>
      <c r="BS322" s="52"/>
      <c r="BT322" s="52"/>
      <c r="BU322" s="52"/>
      <c r="BV322" s="52"/>
      <c r="BW322" s="52"/>
      <c r="BX322" s="52">
        <v>9280000</v>
      </c>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v>36580000</v>
      </c>
      <c r="CV322" s="52"/>
      <c r="CW322" s="52"/>
      <c r="CX322" s="52"/>
      <c r="CY322" s="52"/>
      <c r="CZ322" s="52"/>
      <c r="DA322" s="52"/>
      <c r="DB322" s="52"/>
      <c r="DC322" s="52"/>
      <c r="DD322" s="52"/>
      <c r="DE322" s="52">
        <v>78475000</v>
      </c>
      <c r="DF322" s="52"/>
      <c r="DG322" s="52">
        <v>78475000</v>
      </c>
      <c r="DH322" s="52"/>
    </row>
    <row r="323" spans="1:112">
      <c r="A323" s="150" t="s">
        <v>407</v>
      </c>
      <c r="B323" s="119">
        <v>5130</v>
      </c>
      <c r="C323" s="44" t="s">
        <v>285</v>
      </c>
      <c r="D323" s="52"/>
      <c r="E323" s="52"/>
      <c r="F323" s="52"/>
      <c r="G323" s="52"/>
      <c r="H323" s="56"/>
      <c r="I323" s="56">
        <v>24000000</v>
      </c>
      <c r="J323" s="56"/>
      <c r="K323" s="56"/>
      <c r="L323" s="52"/>
      <c r="M323" s="52"/>
      <c r="N323" s="52"/>
      <c r="O323" s="52"/>
      <c r="P323" s="52"/>
      <c r="Q323" s="52"/>
      <c r="R323" s="52"/>
      <c r="S323" s="52"/>
      <c r="T323" s="52"/>
      <c r="U323" s="52">
        <v>39095000</v>
      </c>
      <c r="V323" s="52"/>
      <c r="W323" s="52">
        <v>61673250</v>
      </c>
      <c r="X323" s="52"/>
      <c r="Y323" s="52"/>
      <c r="Z323" s="52"/>
      <c r="AA323" s="52"/>
      <c r="AB323" s="52">
        <v>546037</v>
      </c>
      <c r="AC323" s="52">
        <v>445000</v>
      </c>
      <c r="AD323" s="52"/>
      <c r="AE323" s="52"/>
      <c r="AF323" s="52"/>
      <c r="AG323" s="52">
        <v>97865000</v>
      </c>
      <c r="AH323" s="52"/>
      <c r="AI323" s="52"/>
      <c r="AJ323" s="52"/>
      <c r="AK323" s="52"/>
      <c r="AL323" s="52"/>
      <c r="AM323" s="52"/>
      <c r="AN323" s="52"/>
      <c r="AO323" s="52"/>
      <c r="AP323" s="52"/>
      <c r="AQ323" s="52"/>
      <c r="AR323" s="52"/>
      <c r="AS323" s="52"/>
      <c r="AT323" s="52"/>
      <c r="AU323" s="52"/>
      <c r="AV323" s="52"/>
      <c r="AW323" s="52"/>
      <c r="AX323" s="52"/>
      <c r="AY323" s="52"/>
      <c r="AZ323" s="52">
        <v>148880000</v>
      </c>
      <c r="BA323" s="52"/>
      <c r="BB323" s="52"/>
      <c r="BC323" s="52"/>
      <c r="BD323" s="52"/>
      <c r="BE323" s="52"/>
      <c r="BF323" s="52"/>
      <c r="BG323" s="52"/>
      <c r="BH323" s="52"/>
      <c r="BI323" s="52"/>
      <c r="BJ323" s="52">
        <v>9445000</v>
      </c>
      <c r="BK323" s="52"/>
      <c r="BL323" s="52"/>
      <c r="BM323" s="52"/>
      <c r="BN323" s="52"/>
      <c r="BO323" s="52"/>
      <c r="BP323" s="52"/>
      <c r="BQ323" s="52"/>
      <c r="BR323" s="52"/>
      <c r="BS323" s="52"/>
      <c r="BT323" s="52"/>
      <c r="BU323" s="52"/>
      <c r="BV323" s="52"/>
      <c r="BW323" s="52"/>
      <c r="BX323" s="52">
        <v>720000</v>
      </c>
      <c r="BY323" s="52"/>
      <c r="BZ323" s="52"/>
      <c r="CA323" s="52"/>
      <c r="CB323" s="52"/>
      <c r="CC323" s="52">
        <v>7645000</v>
      </c>
      <c r="CD323" s="52">
        <v>15315000</v>
      </c>
      <c r="CE323" s="52"/>
      <c r="CF323" s="52"/>
      <c r="CG323" s="52"/>
      <c r="CH323" s="52"/>
      <c r="CI323" s="52"/>
      <c r="CJ323" s="52"/>
      <c r="CK323" s="52"/>
      <c r="CL323" s="52"/>
      <c r="CM323" s="52"/>
      <c r="CN323" s="52"/>
      <c r="CO323" s="52"/>
      <c r="CP323" s="52"/>
      <c r="CQ323" s="52"/>
      <c r="CR323" s="52"/>
      <c r="CS323" s="52"/>
      <c r="CT323" s="52">
        <v>130000000</v>
      </c>
      <c r="CU323" s="52"/>
      <c r="CV323" s="52"/>
      <c r="CW323" s="52"/>
      <c r="CX323" s="52"/>
      <c r="CY323" s="52"/>
      <c r="CZ323" s="52"/>
      <c r="DA323" s="52"/>
      <c r="DB323" s="52">
        <v>19490000</v>
      </c>
      <c r="DC323" s="52"/>
      <c r="DD323" s="52"/>
      <c r="DE323" s="52">
        <v>555119287</v>
      </c>
      <c r="DF323" s="52"/>
      <c r="DG323" s="52">
        <v>555119287</v>
      </c>
      <c r="DH323" s="52"/>
    </row>
    <row r="324" spans="1:112">
      <c r="A324" s="150" t="s">
        <v>408</v>
      </c>
      <c r="B324" s="119">
        <v>5200</v>
      </c>
      <c r="C324" s="44" t="s">
        <v>286</v>
      </c>
      <c r="D324" s="52"/>
      <c r="E324" s="52"/>
      <c r="F324" s="52"/>
      <c r="G324" s="52"/>
      <c r="H324" s="56"/>
      <c r="I324" s="56"/>
      <c r="J324" s="56"/>
      <c r="K324" s="56"/>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row>
    <row r="325" spans="1:112">
      <c r="A325" s="150" t="s">
        <v>407</v>
      </c>
      <c r="B325" s="119">
        <v>5210</v>
      </c>
      <c r="C325" s="44" t="s">
        <v>287</v>
      </c>
      <c r="D325" s="52">
        <v>52456</v>
      </c>
      <c r="E325" s="52">
        <v>1078935</v>
      </c>
      <c r="F325" s="52"/>
      <c r="G325" s="52">
        <v>38537</v>
      </c>
      <c r="H325" s="56">
        <v>254665</v>
      </c>
      <c r="I325" s="56">
        <v>2706184</v>
      </c>
      <c r="J325" s="56">
        <v>81201</v>
      </c>
      <c r="K325" s="56">
        <v>82168</v>
      </c>
      <c r="L325" s="52">
        <v>413261</v>
      </c>
      <c r="M325" s="52">
        <v>31527</v>
      </c>
      <c r="N325" s="52"/>
      <c r="O325" s="52"/>
      <c r="P325" s="52">
        <v>294221</v>
      </c>
      <c r="Q325" s="52"/>
      <c r="R325" s="52">
        <v>238104</v>
      </c>
      <c r="S325" s="52"/>
      <c r="T325" s="52"/>
      <c r="U325" s="52">
        <v>396749</v>
      </c>
      <c r="V325" s="52"/>
      <c r="W325" s="52">
        <v>4172713</v>
      </c>
      <c r="X325" s="52">
        <v>430162</v>
      </c>
      <c r="Y325" s="52">
        <v>6510703</v>
      </c>
      <c r="Z325" s="52">
        <v>643608</v>
      </c>
      <c r="AA325" s="52">
        <v>10438</v>
      </c>
      <c r="AB325" s="52">
        <v>170263</v>
      </c>
      <c r="AC325" s="52">
        <v>45000</v>
      </c>
      <c r="AD325" s="52">
        <v>316550</v>
      </c>
      <c r="AE325" s="52">
        <v>93658</v>
      </c>
      <c r="AF325" s="52"/>
      <c r="AG325" s="52"/>
      <c r="AH325" s="52">
        <v>1584240</v>
      </c>
      <c r="AI325" s="52"/>
      <c r="AJ325" s="52">
        <v>31250</v>
      </c>
      <c r="AK325" s="52">
        <v>461297</v>
      </c>
      <c r="AL325" s="52">
        <v>11505</v>
      </c>
      <c r="AM325" s="52">
        <v>-559</v>
      </c>
      <c r="AN325" s="52">
        <v>4531797</v>
      </c>
      <c r="AO325" s="52">
        <v>195270</v>
      </c>
      <c r="AP325" s="52"/>
      <c r="AQ325" s="52">
        <v>369383</v>
      </c>
      <c r="AR325" s="52">
        <v>1317737</v>
      </c>
      <c r="AS325" s="52">
        <v>3986015</v>
      </c>
      <c r="AT325" s="52"/>
      <c r="AU325" s="52">
        <v>768828</v>
      </c>
      <c r="AV325" s="52">
        <v>241270</v>
      </c>
      <c r="AW325" s="52">
        <v>224800</v>
      </c>
      <c r="AX325" s="52">
        <v>1069780</v>
      </c>
      <c r="AY325" s="52">
        <v>1762092</v>
      </c>
      <c r="AZ325" s="52"/>
      <c r="BA325" s="52">
        <v>5011</v>
      </c>
      <c r="BB325" s="52">
        <v>41000</v>
      </c>
      <c r="BC325" s="52">
        <v>573110</v>
      </c>
      <c r="BD325" s="52">
        <v>629983</v>
      </c>
      <c r="BE325" s="52">
        <v>265474</v>
      </c>
      <c r="BF325" s="52">
        <v>1293223</v>
      </c>
      <c r="BG325" s="52">
        <v>198319</v>
      </c>
      <c r="BH325" s="52">
        <v>338572</v>
      </c>
      <c r="BI325" s="52">
        <v>229490</v>
      </c>
      <c r="BJ325" s="52"/>
      <c r="BK325" s="52">
        <v>138483</v>
      </c>
      <c r="BL325" s="52">
        <v>191593</v>
      </c>
      <c r="BM325" s="52">
        <v>5379633</v>
      </c>
      <c r="BN325" s="52">
        <v>838440</v>
      </c>
      <c r="BO325" s="52">
        <v>162469</v>
      </c>
      <c r="BP325" s="52">
        <v>1360267</v>
      </c>
      <c r="BQ325" s="52">
        <v>4030889</v>
      </c>
      <c r="BR325" s="52">
        <v>1520742</v>
      </c>
      <c r="BS325" s="52">
        <v>120355</v>
      </c>
      <c r="BT325" s="52">
        <v>871475</v>
      </c>
      <c r="BU325" s="52">
        <v>310767</v>
      </c>
      <c r="BV325" s="52">
        <v>199088</v>
      </c>
      <c r="BW325" s="52"/>
      <c r="BX325" s="52">
        <v>296153</v>
      </c>
      <c r="BY325" s="52"/>
      <c r="BZ325" s="52">
        <v>2109876</v>
      </c>
      <c r="CA325" s="52"/>
      <c r="CB325" s="52">
        <v>422447</v>
      </c>
      <c r="CC325" s="52">
        <v>211312</v>
      </c>
      <c r="CD325" s="52">
        <v>5772061</v>
      </c>
      <c r="CE325" s="52"/>
      <c r="CF325" s="52"/>
      <c r="CG325" s="52">
        <v>6528440</v>
      </c>
      <c r="CH325" s="52">
        <v>835154</v>
      </c>
      <c r="CI325" s="52">
        <v>1202551</v>
      </c>
      <c r="CJ325" s="52">
        <v>3710780</v>
      </c>
      <c r="CK325" s="52">
        <v>4777093</v>
      </c>
      <c r="CL325" s="52">
        <v>606142</v>
      </c>
      <c r="CM325" s="52">
        <v>1630040</v>
      </c>
      <c r="CN325" s="52">
        <v>8852434</v>
      </c>
      <c r="CO325" s="52">
        <v>5221485</v>
      </c>
      <c r="CP325" s="52">
        <v>5666966</v>
      </c>
      <c r="CQ325" s="52">
        <v>73473</v>
      </c>
      <c r="CR325" s="52">
        <v>144229</v>
      </c>
      <c r="CS325" s="52"/>
      <c r="CT325" s="52">
        <v>1768155</v>
      </c>
      <c r="CU325" s="52">
        <v>784250</v>
      </c>
      <c r="CV325" s="52"/>
      <c r="CW325" s="52">
        <v>762664</v>
      </c>
      <c r="CX325" s="52"/>
      <c r="CY325" s="52">
        <v>783985</v>
      </c>
      <c r="CZ325" s="52">
        <v>930189</v>
      </c>
      <c r="DA325" s="52">
        <v>3738716</v>
      </c>
      <c r="DB325" s="52">
        <v>76735554</v>
      </c>
      <c r="DC325" s="52"/>
      <c r="DD325" s="52"/>
      <c r="DE325" s="52">
        <v>186878340</v>
      </c>
      <c r="DF325" s="52"/>
      <c r="DG325" s="52">
        <v>186878340</v>
      </c>
      <c r="DH325" s="52"/>
    </row>
    <row r="326" spans="1:112">
      <c r="A326" s="150" t="s">
        <v>407</v>
      </c>
      <c r="B326" s="119">
        <v>5220</v>
      </c>
      <c r="C326" s="44" t="s">
        <v>288</v>
      </c>
      <c r="D326" s="52">
        <v>62974</v>
      </c>
      <c r="E326" s="52"/>
      <c r="F326" s="52"/>
      <c r="G326" s="52"/>
      <c r="H326" s="56"/>
      <c r="I326" s="56"/>
      <c r="J326" s="56"/>
      <c r="K326" s="56"/>
      <c r="L326" s="52"/>
      <c r="M326" s="52"/>
      <c r="N326" s="52"/>
      <c r="O326" s="52"/>
      <c r="P326" s="52">
        <v>23803</v>
      </c>
      <c r="Q326" s="52"/>
      <c r="R326" s="52"/>
      <c r="S326" s="52">
        <v>1641</v>
      </c>
      <c r="T326" s="52"/>
      <c r="U326" s="52">
        <v>831382</v>
      </c>
      <c r="V326" s="52"/>
      <c r="W326" s="52"/>
      <c r="X326" s="52"/>
      <c r="Y326" s="52"/>
      <c r="Z326" s="52">
        <v>17317</v>
      </c>
      <c r="AA326" s="52">
        <v>339792</v>
      </c>
      <c r="AB326" s="52">
        <v>134559</v>
      </c>
      <c r="AC326" s="52"/>
      <c r="AD326" s="52">
        <v>258732</v>
      </c>
      <c r="AE326" s="52"/>
      <c r="AF326" s="52"/>
      <c r="AG326" s="52">
        <v>90262</v>
      </c>
      <c r="AH326" s="52">
        <v>274364</v>
      </c>
      <c r="AI326" s="52"/>
      <c r="AJ326" s="52"/>
      <c r="AK326" s="52">
        <v>110021</v>
      </c>
      <c r="AL326" s="52"/>
      <c r="AM326" s="52"/>
      <c r="AN326" s="52">
        <v>31180</v>
      </c>
      <c r="AO326" s="52"/>
      <c r="AP326" s="52"/>
      <c r="AQ326" s="52"/>
      <c r="AR326" s="52">
        <v>126326</v>
      </c>
      <c r="AS326" s="52">
        <v>19126</v>
      </c>
      <c r="AT326" s="52"/>
      <c r="AU326" s="52"/>
      <c r="AV326" s="52"/>
      <c r="AW326" s="52">
        <v>150634</v>
      </c>
      <c r="AX326" s="52"/>
      <c r="AY326" s="52">
        <v>786366</v>
      </c>
      <c r="AZ326" s="52"/>
      <c r="BA326" s="52"/>
      <c r="BB326" s="52"/>
      <c r="BC326" s="52"/>
      <c r="BD326" s="52"/>
      <c r="BE326" s="52"/>
      <c r="BF326" s="52">
        <v>224773</v>
      </c>
      <c r="BG326" s="52"/>
      <c r="BH326" s="52"/>
      <c r="BI326" s="52"/>
      <c r="BJ326" s="52">
        <v>-118325</v>
      </c>
      <c r="BK326" s="52"/>
      <c r="BL326" s="52"/>
      <c r="BM326" s="52"/>
      <c r="BN326" s="52">
        <v>85000</v>
      </c>
      <c r="BO326" s="52"/>
      <c r="BP326" s="52"/>
      <c r="BQ326" s="52"/>
      <c r="BR326" s="52"/>
      <c r="BS326" s="52"/>
      <c r="BT326" s="52">
        <v>19417</v>
      </c>
      <c r="BU326" s="52">
        <v>61530</v>
      </c>
      <c r="BV326" s="52">
        <v>6444</v>
      </c>
      <c r="BW326" s="52"/>
      <c r="BX326" s="52">
        <v>73649</v>
      </c>
      <c r="BY326" s="52"/>
      <c r="BZ326" s="52">
        <v>147494</v>
      </c>
      <c r="CA326" s="52"/>
      <c r="CB326" s="52">
        <v>103085</v>
      </c>
      <c r="CC326" s="52">
        <v>2645</v>
      </c>
      <c r="CD326" s="52"/>
      <c r="CE326" s="52"/>
      <c r="CF326" s="52"/>
      <c r="CG326" s="52">
        <v>274212</v>
      </c>
      <c r="CH326" s="52"/>
      <c r="CI326" s="52"/>
      <c r="CJ326" s="52"/>
      <c r="CK326" s="52"/>
      <c r="CL326" s="52"/>
      <c r="CM326" s="52"/>
      <c r="CN326" s="52">
        <v>242560</v>
      </c>
      <c r="CO326" s="52">
        <v>394240</v>
      </c>
      <c r="CP326" s="52">
        <v>212218</v>
      </c>
      <c r="CQ326" s="52"/>
      <c r="CR326" s="52"/>
      <c r="CS326" s="52"/>
      <c r="CT326" s="52">
        <v>222977</v>
      </c>
      <c r="CU326" s="52">
        <v>1070190</v>
      </c>
      <c r="CV326" s="52"/>
      <c r="CW326" s="52"/>
      <c r="CX326" s="52"/>
      <c r="CY326" s="52"/>
      <c r="CZ326" s="52"/>
      <c r="DA326" s="52"/>
      <c r="DB326" s="52"/>
      <c r="DC326" s="52"/>
      <c r="DD326" s="52"/>
      <c r="DE326" s="52">
        <v>6280588</v>
      </c>
      <c r="DF326" s="52"/>
      <c r="DG326" s="52">
        <v>6280588</v>
      </c>
      <c r="DH326" s="52"/>
    </row>
    <row r="327" spans="1:112">
      <c r="A327" s="150" t="s">
        <v>407</v>
      </c>
      <c r="B327" s="119">
        <v>5230</v>
      </c>
      <c r="C327" s="44" t="s">
        <v>289</v>
      </c>
      <c r="D327" s="52">
        <v>654377</v>
      </c>
      <c r="E327" s="52">
        <v>3696039</v>
      </c>
      <c r="F327" s="52">
        <v>287750</v>
      </c>
      <c r="G327" s="52"/>
      <c r="H327" s="56">
        <v>1225271</v>
      </c>
      <c r="I327" s="56">
        <v>161355</v>
      </c>
      <c r="J327" s="56">
        <v>501399</v>
      </c>
      <c r="K327" s="56">
        <v>474362</v>
      </c>
      <c r="L327" s="52">
        <v>2313349</v>
      </c>
      <c r="M327" s="52"/>
      <c r="N327" s="52"/>
      <c r="O327" s="52">
        <v>282329</v>
      </c>
      <c r="P327" s="52">
        <v>788484</v>
      </c>
      <c r="Q327" s="52">
        <v>139034</v>
      </c>
      <c r="R327" s="52">
        <v>153392</v>
      </c>
      <c r="S327" s="52">
        <v>594940</v>
      </c>
      <c r="T327" s="52">
        <v>30348</v>
      </c>
      <c r="U327" s="52">
        <v>3212593</v>
      </c>
      <c r="V327" s="52">
        <v>68782</v>
      </c>
      <c r="W327" s="52">
        <v>4229168</v>
      </c>
      <c r="X327" s="52">
        <v>328160</v>
      </c>
      <c r="Y327" s="52">
        <v>6966489</v>
      </c>
      <c r="Z327" s="52">
        <v>2997222</v>
      </c>
      <c r="AA327" s="52">
        <v>1395247</v>
      </c>
      <c r="AB327" s="52">
        <v>1310477</v>
      </c>
      <c r="AC327" s="52">
        <v>561051</v>
      </c>
      <c r="AD327" s="52">
        <v>422223</v>
      </c>
      <c r="AE327" s="52">
        <v>179434</v>
      </c>
      <c r="AF327" s="52"/>
      <c r="AG327" s="52">
        <v>985944</v>
      </c>
      <c r="AH327" s="52">
        <v>1967754</v>
      </c>
      <c r="AI327" s="52"/>
      <c r="AJ327" s="52">
        <v>232535</v>
      </c>
      <c r="AK327" s="52">
        <v>557061</v>
      </c>
      <c r="AL327" s="52">
        <v>211838</v>
      </c>
      <c r="AM327" s="52">
        <v>-28111</v>
      </c>
      <c r="AN327" s="52">
        <v>3766192</v>
      </c>
      <c r="AO327" s="52">
        <v>403424</v>
      </c>
      <c r="AP327" s="52"/>
      <c r="AQ327" s="52">
        <v>715225</v>
      </c>
      <c r="AR327" s="52">
        <v>680503</v>
      </c>
      <c r="AS327" s="52">
        <v>2547434</v>
      </c>
      <c r="AT327" s="52">
        <v>200624</v>
      </c>
      <c r="AU327" s="52">
        <v>536920</v>
      </c>
      <c r="AV327" s="52">
        <v>558864</v>
      </c>
      <c r="AW327" s="52">
        <v>253262</v>
      </c>
      <c r="AX327" s="52">
        <v>1789612</v>
      </c>
      <c r="AY327" s="52">
        <v>10046666</v>
      </c>
      <c r="AZ327" s="52">
        <v>1733746</v>
      </c>
      <c r="BA327" s="52">
        <v>299265</v>
      </c>
      <c r="BB327" s="52">
        <v>358729</v>
      </c>
      <c r="BC327" s="52">
        <v>46658</v>
      </c>
      <c r="BD327" s="52">
        <v>486339</v>
      </c>
      <c r="BE327" s="52">
        <v>212419</v>
      </c>
      <c r="BF327" s="52">
        <v>5048041</v>
      </c>
      <c r="BG327" s="52">
        <v>456472</v>
      </c>
      <c r="BH327" s="52">
        <v>2224263</v>
      </c>
      <c r="BI327" s="52">
        <v>3303706</v>
      </c>
      <c r="BJ327" s="52">
        <v>832431</v>
      </c>
      <c r="BK327" s="52">
        <v>524204</v>
      </c>
      <c r="BL327" s="52">
        <v>1540030</v>
      </c>
      <c r="BM327" s="52">
        <v>4004971</v>
      </c>
      <c r="BN327" s="52">
        <v>1582390</v>
      </c>
      <c r="BO327" s="52"/>
      <c r="BP327" s="52">
        <v>695558</v>
      </c>
      <c r="BQ327" s="52">
        <v>2988644</v>
      </c>
      <c r="BR327" s="52">
        <v>226295</v>
      </c>
      <c r="BS327" s="52"/>
      <c r="BT327" s="52">
        <v>797561</v>
      </c>
      <c r="BU327" s="52">
        <v>420454</v>
      </c>
      <c r="BV327" s="52">
        <v>145590</v>
      </c>
      <c r="BW327" s="52"/>
      <c r="BX327" s="52">
        <v>741650</v>
      </c>
      <c r="BY327" s="52">
        <v>1010215</v>
      </c>
      <c r="BZ327" s="52">
        <v>2176575</v>
      </c>
      <c r="CA327" s="52"/>
      <c r="CB327" s="52">
        <v>717691</v>
      </c>
      <c r="CC327" s="52">
        <v>649963</v>
      </c>
      <c r="CD327" s="52">
        <v>1305515</v>
      </c>
      <c r="CE327" s="52">
        <v>16961</v>
      </c>
      <c r="CF327" s="52">
        <v>2555008</v>
      </c>
      <c r="CG327" s="52">
        <v>4686968</v>
      </c>
      <c r="CH327" s="52">
        <v>2265267</v>
      </c>
      <c r="CI327" s="52">
        <v>550808</v>
      </c>
      <c r="CJ327" s="52">
        <v>839340</v>
      </c>
      <c r="CK327" s="52">
        <v>2019895</v>
      </c>
      <c r="CL327" s="52">
        <v>796340</v>
      </c>
      <c r="CM327" s="52">
        <v>550103</v>
      </c>
      <c r="CN327" s="52">
        <v>1528421</v>
      </c>
      <c r="CO327" s="52">
        <v>2208302</v>
      </c>
      <c r="CP327" s="52"/>
      <c r="CQ327" s="52"/>
      <c r="CR327" s="52">
        <v>57466</v>
      </c>
      <c r="CS327" s="52">
        <v>47511</v>
      </c>
      <c r="CT327" s="52">
        <v>2377475</v>
      </c>
      <c r="CU327" s="52">
        <v>1488604</v>
      </c>
      <c r="CV327" s="52"/>
      <c r="CW327" s="52">
        <v>844154</v>
      </c>
      <c r="CX327" s="52">
        <v>816106</v>
      </c>
      <c r="CY327" s="52">
        <v>868660</v>
      </c>
      <c r="CZ327" s="52"/>
      <c r="DA327" s="52">
        <v>3390531</v>
      </c>
      <c r="DB327" s="52">
        <v>1416823</v>
      </c>
      <c r="DC327" s="52"/>
      <c r="DD327" s="52"/>
      <c r="DE327" s="52">
        <v>122253140</v>
      </c>
      <c r="DF327" s="52"/>
      <c r="DG327" s="52">
        <v>122253140</v>
      </c>
      <c r="DH327" s="52"/>
    </row>
    <row r="328" spans="1:112">
      <c r="A328" s="150" t="s">
        <v>407</v>
      </c>
      <c r="B328" s="119">
        <v>5240</v>
      </c>
      <c r="C328" s="44" t="s">
        <v>290</v>
      </c>
      <c r="D328" s="52"/>
      <c r="E328" s="52"/>
      <c r="F328" s="52"/>
      <c r="G328" s="52"/>
      <c r="H328" s="56"/>
      <c r="I328" s="56"/>
      <c r="J328" s="56"/>
      <c r="K328" s="56"/>
      <c r="L328" s="52"/>
      <c r="M328" s="52"/>
      <c r="N328" s="52"/>
      <c r="O328" s="52"/>
      <c r="P328" s="52"/>
      <c r="Q328" s="52"/>
      <c r="R328" s="52"/>
      <c r="S328" s="52"/>
      <c r="T328" s="52"/>
      <c r="U328" s="52">
        <v>830873</v>
      </c>
      <c r="V328" s="52"/>
      <c r="W328" s="52"/>
      <c r="X328" s="52"/>
      <c r="Y328" s="52">
        <v>24626514</v>
      </c>
      <c r="Z328" s="52"/>
      <c r="AA328" s="52"/>
      <c r="AB328" s="52">
        <v>169422</v>
      </c>
      <c r="AC328" s="52"/>
      <c r="AD328" s="52">
        <v>207878</v>
      </c>
      <c r="AE328" s="52">
        <v>84900</v>
      </c>
      <c r="AF328" s="52"/>
      <c r="AG328" s="52">
        <v>3145674</v>
      </c>
      <c r="AH328" s="52"/>
      <c r="AI328" s="52"/>
      <c r="AJ328" s="52"/>
      <c r="AK328" s="52"/>
      <c r="AL328" s="52"/>
      <c r="AM328" s="52"/>
      <c r="AN328" s="52">
        <v>4204415</v>
      </c>
      <c r="AO328" s="52"/>
      <c r="AP328" s="52"/>
      <c r="AQ328" s="52"/>
      <c r="AR328" s="52">
        <v>782741</v>
      </c>
      <c r="AS328" s="52"/>
      <c r="AT328" s="52"/>
      <c r="AU328" s="52"/>
      <c r="AV328" s="52"/>
      <c r="AW328" s="52"/>
      <c r="AX328" s="52"/>
      <c r="AY328" s="52">
        <v>73626110</v>
      </c>
      <c r="AZ328" s="52"/>
      <c r="BA328" s="52"/>
      <c r="BB328" s="52"/>
      <c r="BC328" s="52"/>
      <c r="BD328" s="52">
        <v>658682</v>
      </c>
      <c r="BE328" s="52">
        <v>191000</v>
      </c>
      <c r="BF328" s="52"/>
      <c r="BG328" s="52"/>
      <c r="BH328" s="52">
        <v>4634635</v>
      </c>
      <c r="BI328" s="52"/>
      <c r="BJ328" s="52">
        <v>74778</v>
      </c>
      <c r="BK328" s="52"/>
      <c r="BL328" s="52">
        <v>529192</v>
      </c>
      <c r="BM328" s="52">
        <v>1862828</v>
      </c>
      <c r="BN328" s="52"/>
      <c r="BO328" s="52"/>
      <c r="BP328" s="52"/>
      <c r="BQ328" s="52"/>
      <c r="BR328" s="52">
        <v>211245</v>
      </c>
      <c r="BS328" s="52"/>
      <c r="BT328" s="52"/>
      <c r="BU328" s="52"/>
      <c r="BV328" s="52"/>
      <c r="BW328" s="52"/>
      <c r="BX328" s="52">
        <v>162000</v>
      </c>
      <c r="BY328" s="52">
        <v>4545000</v>
      </c>
      <c r="BZ328" s="52"/>
      <c r="CA328" s="52"/>
      <c r="CB328" s="52">
        <v>276745</v>
      </c>
      <c r="CC328" s="52"/>
      <c r="CD328" s="52"/>
      <c r="CE328" s="52"/>
      <c r="CF328" s="52">
        <v>900000</v>
      </c>
      <c r="CG328" s="52">
        <v>2239605</v>
      </c>
      <c r="CH328" s="52"/>
      <c r="CI328" s="52"/>
      <c r="CJ328" s="52">
        <v>16312</v>
      </c>
      <c r="CK328" s="52"/>
      <c r="CL328" s="52">
        <v>435371</v>
      </c>
      <c r="CM328" s="52"/>
      <c r="CN328" s="52"/>
      <c r="CO328" s="52"/>
      <c r="CP328" s="52"/>
      <c r="CQ328" s="52"/>
      <c r="CR328" s="52"/>
      <c r="CS328" s="52"/>
      <c r="CT328" s="52"/>
      <c r="CU328" s="52"/>
      <c r="CV328" s="52"/>
      <c r="CW328" s="52">
        <v>37000</v>
      </c>
      <c r="CX328" s="52">
        <v>369034</v>
      </c>
      <c r="CY328" s="52">
        <v>1350000</v>
      </c>
      <c r="CZ328" s="52"/>
      <c r="DA328" s="52"/>
      <c r="DB328" s="52"/>
      <c r="DC328" s="52"/>
      <c r="DD328" s="52"/>
      <c r="DE328" s="52">
        <v>126171954</v>
      </c>
      <c r="DF328" s="52"/>
      <c r="DG328" s="52">
        <v>126171954</v>
      </c>
      <c r="DH328" s="52"/>
    </row>
    <row r="329" spans="1:112">
      <c r="A329" s="150" t="s">
        <v>407</v>
      </c>
      <c r="B329" s="119">
        <v>5250</v>
      </c>
      <c r="C329" s="44" t="s">
        <v>291</v>
      </c>
      <c r="D329" s="52"/>
      <c r="E329" s="52"/>
      <c r="F329" s="52"/>
      <c r="G329" s="52"/>
      <c r="H329" s="56"/>
      <c r="I329" s="56"/>
      <c r="J329" s="56"/>
      <c r="K329" s="56"/>
      <c r="L329" s="52"/>
      <c r="M329" s="52"/>
      <c r="N329" s="52"/>
      <c r="O329" s="52"/>
      <c r="P329" s="52"/>
      <c r="Q329" s="52">
        <v>11890</v>
      </c>
      <c r="R329" s="52"/>
      <c r="S329" s="52">
        <v>38759</v>
      </c>
      <c r="T329" s="52"/>
      <c r="U329" s="52">
        <v>733732</v>
      </c>
      <c r="V329" s="52"/>
      <c r="W329" s="52">
        <v>31268199</v>
      </c>
      <c r="X329" s="52">
        <v>2939822</v>
      </c>
      <c r="Y329" s="52">
        <v>19176784</v>
      </c>
      <c r="Z329" s="52">
        <v>2788314</v>
      </c>
      <c r="AA329" s="52">
        <v>34203</v>
      </c>
      <c r="AB329" s="52">
        <v>8897149</v>
      </c>
      <c r="AC329" s="52">
        <v>431005</v>
      </c>
      <c r="AD329" s="52"/>
      <c r="AE329" s="52"/>
      <c r="AF329" s="52"/>
      <c r="AG329" s="52">
        <v>9837088</v>
      </c>
      <c r="AH329" s="52"/>
      <c r="AI329" s="52"/>
      <c r="AJ329" s="52"/>
      <c r="AK329" s="52"/>
      <c r="AL329" s="52">
        <v>126045</v>
      </c>
      <c r="AM329" s="52"/>
      <c r="AN329" s="52">
        <v>48398185</v>
      </c>
      <c r="AO329" s="52"/>
      <c r="AP329" s="52"/>
      <c r="AQ329" s="52"/>
      <c r="AR329" s="52"/>
      <c r="AS329" s="52"/>
      <c r="AT329" s="52"/>
      <c r="AU329" s="52"/>
      <c r="AV329" s="52"/>
      <c r="AW329" s="52">
        <v>165000</v>
      </c>
      <c r="AX329" s="52">
        <v>1361147</v>
      </c>
      <c r="AY329" s="52">
        <v>8485000</v>
      </c>
      <c r="AZ329" s="52">
        <v>10828275</v>
      </c>
      <c r="BA329" s="52"/>
      <c r="BB329" s="52"/>
      <c r="BC329" s="52"/>
      <c r="BD329" s="52"/>
      <c r="BE329" s="52"/>
      <c r="BF329" s="52"/>
      <c r="BG329" s="52">
        <v>1106245</v>
      </c>
      <c r="BH329" s="52"/>
      <c r="BI329" s="52"/>
      <c r="BJ329" s="52">
        <v>9674582</v>
      </c>
      <c r="BK329" s="52">
        <v>2713076</v>
      </c>
      <c r="BL329" s="52">
        <v>20604</v>
      </c>
      <c r="BM329" s="52"/>
      <c r="BN329" s="52"/>
      <c r="BO329" s="52"/>
      <c r="BP329" s="52"/>
      <c r="BQ329" s="52">
        <v>1297178</v>
      </c>
      <c r="BR329" s="52"/>
      <c r="BS329" s="52"/>
      <c r="BT329" s="52">
        <v>38956</v>
      </c>
      <c r="BU329" s="52">
        <v>25072</v>
      </c>
      <c r="BV329" s="52"/>
      <c r="BW329" s="52"/>
      <c r="BX329" s="52"/>
      <c r="BY329" s="52"/>
      <c r="BZ329" s="52">
        <v>1045651</v>
      </c>
      <c r="CA329" s="52"/>
      <c r="CB329" s="52"/>
      <c r="CC329" s="52"/>
      <c r="CD329" s="52">
        <v>152878</v>
      </c>
      <c r="CE329" s="52"/>
      <c r="CF329" s="52">
        <v>32810808</v>
      </c>
      <c r="CG329" s="52"/>
      <c r="CH329" s="52">
        <v>88446</v>
      </c>
      <c r="CI329" s="52"/>
      <c r="CJ329" s="52">
        <v>66469</v>
      </c>
      <c r="CK329" s="52">
        <v>8233</v>
      </c>
      <c r="CL329" s="52">
        <v>2834268</v>
      </c>
      <c r="CM329" s="52">
        <v>100000</v>
      </c>
      <c r="CN329" s="52">
        <v>1636454</v>
      </c>
      <c r="CO329" s="52"/>
      <c r="CP329" s="52"/>
      <c r="CQ329" s="52"/>
      <c r="CR329" s="52"/>
      <c r="CS329" s="52"/>
      <c r="CT329" s="52">
        <v>6218788</v>
      </c>
      <c r="CU329" s="52">
        <v>4098751</v>
      </c>
      <c r="CV329" s="52"/>
      <c r="CW329" s="52">
        <v>3915596</v>
      </c>
      <c r="CX329" s="52">
        <v>3375587</v>
      </c>
      <c r="CY329" s="52">
        <v>263985</v>
      </c>
      <c r="CZ329" s="52"/>
      <c r="DA329" s="52"/>
      <c r="DB329" s="52">
        <v>10283280</v>
      </c>
      <c r="DC329" s="52"/>
      <c r="DD329" s="52"/>
      <c r="DE329" s="52">
        <v>227295504</v>
      </c>
      <c r="DF329" s="52"/>
      <c r="DG329" s="52">
        <v>227295504</v>
      </c>
      <c r="DH329" s="52"/>
    </row>
    <row r="330" spans="1:112">
      <c r="A330" s="150" t="s">
        <v>407</v>
      </c>
      <c r="B330" s="119">
        <v>5260</v>
      </c>
      <c r="C330" s="44" t="s">
        <v>292</v>
      </c>
      <c r="D330" s="52"/>
      <c r="E330" s="52"/>
      <c r="F330" s="52"/>
      <c r="G330" s="52"/>
      <c r="H330" s="56"/>
      <c r="I330" s="56"/>
      <c r="J330" s="56"/>
      <c r="K330" s="56">
        <v>40000</v>
      </c>
      <c r="L330" s="52"/>
      <c r="M330" s="52"/>
      <c r="N330" s="52"/>
      <c r="O330" s="52">
        <v>23515</v>
      </c>
      <c r="P330" s="52"/>
      <c r="Q330" s="52"/>
      <c r="R330" s="52"/>
      <c r="S330" s="52"/>
      <c r="T330" s="52"/>
      <c r="U330" s="52"/>
      <c r="V330" s="52"/>
      <c r="W330" s="52"/>
      <c r="X330" s="52"/>
      <c r="Y330" s="52"/>
      <c r="Z330" s="52"/>
      <c r="AA330" s="52"/>
      <c r="AB330" s="52"/>
      <c r="AC330" s="52"/>
      <c r="AD330" s="52"/>
      <c r="AE330" s="52">
        <v>6214</v>
      </c>
      <c r="AF330" s="52"/>
      <c r="AG330" s="52"/>
      <c r="AH330" s="52"/>
      <c r="AI330" s="52"/>
      <c r="AJ330" s="52"/>
      <c r="AK330" s="52"/>
      <c r="AL330" s="52"/>
      <c r="AM330" s="52"/>
      <c r="AN330" s="52">
        <v>380843</v>
      </c>
      <c r="AO330" s="52"/>
      <c r="AP330" s="52"/>
      <c r="AQ330" s="52"/>
      <c r="AR330" s="52"/>
      <c r="AS330" s="52"/>
      <c r="AT330" s="52"/>
      <c r="AU330" s="52"/>
      <c r="AV330" s="52"/>
      <c r="AW330" s="52"/>
      <c r="AX330" s="52"/>
      <c r="AY330" s="52">
        <v>1232000</v>
      </c>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v>118</v>
      </c>
      <c r="BV330" s="52"/>
      <c r="BW330" s="52"/>
      <c r="BX330" s="52"/>
      <c r="BY330" s="52">
        <v>162098</v>
      </c>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v>1844788</v>
      </c>
      <c r="DF330" s="52"/>
      <c r="DG330" s="52">
        <v>1844788</v>
      </c>
      <c r="DH330" s="52"/>
    </row>
    <row r="331" spans="1:112">
      <c r="A331" s="150" t="s">
        <v>407</v>
      </c>
      <c r="B331" s="119">
        <v>5270</v>
      </c>
      <c r="C331" s="44" t="s">
        <v>293</v>
      </c>
      <c r="D331" s="52"/>
      <c r="E331" s="52"/>
      <c r="F331" s="52"/>
      <c r="G331" s="52"/>
      <c r="H331" s="56"/>
      <c r="I331" s="56"/>
      <c r="J331" s="56"/>
      <c r="K331" s="56"/>
      <c r="L331" s="52"/>
      <c r="M331" s="52">
        <v>6915</v>
      </c>
      <c r="N331" s="52"/>
      <c r="O331" s="52"/>
      <c r="P331" s="52"/>
      <c r="Q331" s="52"/>
      <c r="R331" s="52"/>
      <c r="S331" s="52">
        <v>2812</v>
      </c>
      <c r="T331" s="52"/>
      <c r="U331" s="52"/>
      <c r="V331" s="52"/>
      <c r="W331" s="52"/>
      <c r="X331" s="52"/>
      <c r="Y331" s="52"/>
      <c r="Z331" s="52"/>
      <c r="AA331" s="52">
        <v>48717</v>
      </c>
      <c r="AB331" s="52"/>
      <c r="AC331" s="52"/>
      <c r="AD331" s="52"/>
      <c r="AE331" s="52"/>
      <c r="AF331" s="52"/>
      <c r="AG331" s="52"/>
      <c r="AH331" s="52"/>
      <c r="AI331" s="52"/>
      <c r="AJ331" s="52">
        <v>324</v>
      </c>
      <c r="AK331" s="52">
        <v>2404</v>
      </c>
      <c r="AL331" s="52"/>
      <c r="AM331" s="52"/>
      <c r="AN331" s="52">
        <v>54258</v>
      </c>
      <c r="AO331" s="52"/>
      <c r="AP331" s="52"/>
      <c r="AQ331" s="52"/>
      <c r="AR331" s="52"/>
      <c r="AS331" s="52"/>
      <c r="AT331" s="52"/>
      <c r="AU331" s="52"/>
      <c r="AV331" s="52">
        <v>2280</v>
      </c>
      <c r="AW331" s="52"/>
      <c r="AX331" s="52"/>
      <c r="AY331" s="52"/>
      <c r="AZ331" s="52"/>
      <c r="BA331" s="52"/>
      <c r="BB331" s="52"/>
      <c r="BC331" s="52"/>
      <c r="BD331" s="52">
        <v>7080</v>
      </c>
      <c r="BE331" s="52"/>
      <c r="BF331" s="52">
        <v>4723</v>
      </c>
      <c r="BG331" s="52"/>
      <c r="BH331" s="52">
        <v>25</v>
      </c>
      <c r="BI331" s="52"/>
      <c r="BJ331" s="52"/>
      <c r="BK331" s="52"/>
      <c r="BL331" s="52">
        <v>4346</v>
      </c>
      <c r="BM331" s="52"/>
      <c r="BN331" s="52"/>
      <c r="BO331" s="52"/>
      <c r="BP331" s="52">
        <v>134484</v>
      </c>
      <c r="BQ331" s="52"/>
      <c r="BR331" s="52">
        <v>15439</v>
      </c>
      <c r="BS331" s="52"/>
      <c r="BT331" s="52">
        <v>4392</v>
      </c>
      <c r="BU331" s="52">
        <v>32121</v>
      </c>
      <c r="BV331" s="52"/>
      <c r="BW331" s="52"/>
      <c r="BX331" s="52">
        <v>53429</v>
      </c>
      <c r="BY331" s="52"/>
      <c r="BZ331" s="52"/>
      <c r="CA331" s="52"/>
      <c r="CB331" s="52"/>
      <c r="CC331" s="52"/>
      <c r="CD331" s="52"/>
      <c r="CE331" s="52"/>
      <c r="CF331" s="52"/>
      <c r="CG331" s="52"/>
      <c r="CH331" s="52"/>
      <c r="CI331" s="52"/>
      <c r="CJ331" s="52">
        <v>395</v>
      </c>
      <c r="CK331" s="52">
        <v>132719</v>
      </c>
      <c r="CL331" s="52"/>
      <c r="CM331" s="52">
        <v>9567</v>
      </c>
      <c r="CN331" s="52">
        <v>18481</v>
      </c>
      <c r="CO331" s="52"/>
      <c r="CP331" s="52"/>
      <c r="CQ331" s="52"/>
      <c r="CR331" s="52"/>
      <c r="CS331" s="52"/>
      <c r="CT331" s="52">
        <v>7986</v>
      </c>
      <c r="CU331" s="52">
        <v>37441</v>
      </c>
      <c r="CV331" s="52"/>
      <c r="CW331" s="52"/>
      <c r="CX331" s="52">
        <v>33196</v>
      </c>
      <c r="CY331" s="52"/>
      <c r="CZ331" s="52"/>
      <c r="DA331" s="52"/>
      <c r="DB331" s="52"/>
      <c r="DC331" s="52"/>
      <c r="DD331" s="52"/>
      <c r="DE331" s="52">
        <v>613534</v>
      </c>
      <c r="DF331" s="52"/>
      <c r="DG331" s="52">
        <v>613534</v>
      </c>
      <c r="DH331" s="52"/>
    </row>
    <row r="332" spans="1:112">
      <c r="A332" s="150" t="s">
        <v>407</v>
      </c>
      <c r="B332" s="119">
        <v>5280</v>
      </c>
      <c r="C332" s="44" t="s">
        <v>294</v>
      </c>
      <c r="D332" s="52">
        <v>37627</v>
      </c>
      <c r="E332" s="52">
        <v>643615</v>
      </c>
      <c r="F332" s="52">
        <v>36655</v>
      </c>
      <c r="G332" s="52"/>
      <c r="H332" s="56">
        <v>156568</v>
      </c>
      <c r="I332" s="56">
        <v>78845</v>
      </c>
      <c r="J332" s="56">
        <v>63814</v>
      </c>
      <c r="K332" s="56">
        <v>6270</v>
      </c>
      <c r="L332" s="52">
        <v>220647</v>
      </c>
      <c r="M332" s="52"/>
      <c r="N332" s="52"/>
      <c r="O332" s="52">
        <v>47840</v>
      </c>
      <c r="P332" s="52">
        <v>33736</v>
      </c>
      <c r="Q332" s="52">
        <v>45021</v>
      </c>
      <c r="R332" s="52"/>
      <c r="S332" s="52">
        <v>53428</v>
      </c>
      <c r="T332" s="52"/>
      <c r="U332" s="52">
        <v>379882</v>
      </c>
      <c r="V332" s="52"/>
      <c r="W332" s="52">
        <v>1097955</v>
      </c>
      <c r="X332" s="52">
        <v>65034</v>
      </c>
      <c r="Y332" s="52">
        <v>2111040</v>
      </c>
      <c r="Z332" s="52">
        <v>186023</v>
      </c>
      <c r="AA332" s="52">
        <v>344799</v>
      </c>
      <c r="AB332" s="52">
        <v>205200</v>
      </c>
      <c r="AC332" s="52">
        <v>950</v>
      </c>
      <c r="AD332" s="52">
        <v>215534</v>
      </c>
      <c r="AE332" s="52">
        <v>35050</v>
      </c>
      <c r="AF332" s="52"/>
      <c r="AG332" s="52">
        <v>322221</v>
      </c>
      <c r="AH332" s="52">
        <v>92662</v>
      </c>
      <c r="AI332" s="52"/>
      <c r="AJ332" s="52">
        <v>52460</v>
      </c>
      <c r="AK332" s="52">
        <v>189666</v>
      </c>
      <c r="AL332" s="52">
        <v>40911</v>
      </c>
      <c r="AM332" s="52"/>
      <c r="AN332" s="52">
        <v>688</v>
      </c>
      <c r="AO332" s="52">
        <v>73997</v>
      </c>
      <c r="AP332" s="52"/>
      <c r="AQ332" s="52"/>
      <c r="AR332" s="52">
        <v>128059</v>
      </c>
      <c r="AS332" s="52">
        <v>526264</v>
      </c>
      <c r="AT332" s="52"/>
      <c r="AU332" s="52">
        <v>202894</v>
      </c>
      <c r="AV332" s="52">
        <v>50151</v>
      </c>
      <c r="AW332" s="52">
        <v>36422</v>
      </c>
      <c r="AX332" s="52">
        <v>548150</v>
      </c>
      <c r="AY332" s="52">
        <v>1011046</v>
      </c>
      <c r="AZ332" s="52">
        <v>269270</v>
      </c>
      <c r="BA332" s="52"/>
      <c r="BB332" s="52"/>
      <c r="BC332" s="52"/>
      <c r="BD332" s="52">
        <v>59675</v>
      </c>
      <c r="BE332" s="52">
        <v>113259</v>
      </c>
      <c r="BF332" s="52">
        <v>1603226</v>
      </c>
      <c r="BG332" s="52">
        <v>126127</v>
      </c>
      <c r="BH332" s="52">
        <v>383724</v>
      </c>
      <c r="BI332" s="52">
        <v>472586</v>
      </c>
      <c r="BJ332" s="52">
        <v>242545</v>
      </c>
      <c r="BK332" s="52">
        <v>76091</v>
      </c>
      <c r="BL332" s="52">
        <v>108332</v>
      </c>
      <c r="BM332" s="52">
        <v>668815</v>
      </c>
      <c r="BN332" s="52">
        <v>248711</v>
      </c>
      <c r="BO332" s="52">
        <v>71532</v>
      </c>
      <c r="BP332" s="52">
        <v>134713</v>
      </c>
      <c r="BQ332" s="52">
        <v>630104</v>
      </c>
      <c r="BR332" s="52">
        <v>20728</v>
      </c>
      <c r="BS332" s="52"/>
      <c r="BT332" s="52">
        <v>157815</v>
      </c>
      <c r="BU332" s="52">
        <v>84527</v>
      </c>
      <c r="BV332" s="52"/>
      <c r="BW332" s="52"/>
      <c r="BX332" s="52">
        <v>198820</v>
      </c>
      <c r="BY332" s="52">
        <v>135588</v>
      </c>
      <c r="BZ332" s="52">
        <v>171631</v>
      </c>
      <c r="CA332" s="52"/>
      <c r="CB332" s="52">
        <v>204067</v>
      </c>
      <c r="CC332" s="52">
        <v>56200</v>
      </c>
      <c r="CD332" s="52">
        <v>566200</v>
      </c>
      <c r="CE332" s="52"/>
      <c r="CF332" s="52">
        <v>209572</v>
      </c>
      <c r="CG332" s="52">
        <v>1506070</v>
      </c>
      <c r="CH332" s="52">
        <v>875023</v>
      </c>
      <c r="CI332" s="52">
        <v>37725</v>
      </c>
      <c r="CJ332" s="52"/>
      <c r="CK332" s="52">
        <v>350141</v>
      </c>
      <c r="CL332" s="52">
        <v>33752</v>
      </c>
      <c r="CM332" s="52">
        <v>53570</v>
      </c>
      <c r="CN332" s="52">
        <v>15230</v>
      </c>
      <c r="CO332" s="52">
        <v>155913</v>
      </c>
      <c r="CP332" s="52">
        <v>156261</v>
      </c>
      <c r="CQ332" s="52"/>
      <c r="CR332" s="52"/>
      <c r="CS332" s="52"/>
      <c r="CT332" s="52">
        <v>355937</v>
      </c>
      <c r="CU332" s="52">
        <v>255496</v>
      </c>
      <c r="CV332" s="52"/>
      <c r="CW332" s="52">
        <v>212481</v>
      </c>
      <c r="CX332" s="52">
        <v>282487</v>
      </c>
      <c r="CY332" s="52">
        <v>167086</v>
      </c>
      <c r="CZ332" s="52"/>
      <c r="DA332" s="52">
        <v>194406</v>
      </c>
      <c r="DB332" s="52">
        <v>49361</v>
      </c>
      <c r="DC332" s="52"/>
      <c r="DD332" s="52"/>
      <c r="DE332" s="52">
        <v>21055921</v>
      </c>
      <c r="DF332" s="52"/>
      <c r="DG332" s="52">
        <v>21055921</v>
      </c>
      <c r="DH332" s="52"/>
    </row>
    <row r="333" spans="1:112">
      <c r="A333" s="150" t="s">
        <v>407</v>
      </c>
      <c r="B333" s="119">
        <v>5300</v>
      </c>
      <c r="C333" s="44" t="s">
        <v>295</v>
      </c>
      <c r="D333" s="52"/>
      <c r="E333" s="52"/>
      <c r="F333" s="52"/>
      <c r="G333" s="52"/>
      <c r="H333" s="56">
        <v>6526</v>
      </c>
      <c r="I333" s="56"/>
      <c r="J333" s="56"/>
      <c r="K333" s="56"/>
      <c r="L333" s="52">
        <v>4747</v>
      </c>
      <c r="M333" s="52"/>
      <c r="N333" s="52"/>
      <c r="O333" s="52"/>
      <c r="P333" s="52"/>
      <c r="Q333" s="52"/>
      <c r="R333" s="52">
        <v>12291</v>
      </c>
      <c r="S333" s="52"/>
      <c r="T333" s="52"/>
      <c r="U333" s="52">
        <v>1075</v>
      </c>
      <c r="V333" s="52"/>
      <c r="W333" s="52">
        <v>40990</v>
      </c>
      <c r="X333" s="52"/>
      <c r="Y333" s="52">
        <v>39850</v>
      </c>
      <c r="Z333" s="52">
        <v>3500</v>
      </c>
      <c r="AA333" s="52"/>
      <c r="AB333" s="52">
        <v>-1334</v>
      </c>
      <c r="AC333" s="52"/>
      <c r="AD333" s="52"/>
      <c r="AE333" s="52"/>
      <c r="AF333" s="52"/>
      <c r="AG333" s="52">
        <v>10000</v>
      </c>
      <c r="AH333" s="52"/>
      <c r="AI333" s="52"/>
      <c r="AJ333" s="52"/>
      <c r="AK333" s="52"/>
      <c r="AL333" s="52"/>
      <c r="AM333" s="52"/>
      <c r="AN333" s="52">
        <v>2638710</v>
      </c>
      <c r="AO333" s="52">
        <v>2321</v>
      </c>
      <c r="AP333" s="52"/>
      <c r="AQ333" s="52"/>
      <c r="AR333" s="52"/>
      <c r="AS333" s="52"/>
      <c r="AT333" s="52"/>
      <c r="AU333" s="52"/>
      <c r="AV333" s="52"/>
      <c r="AW333" s="52"/>
      <c r="AX333" s="52">
        <v>140855</v>
      </c>
      <c r="AY333" s="52">
        <v>596186</v>
      </c>
      <c r="AZ333" s="52"/>
      <c r="BA333" s="52"/>
      <c r="BB333" s="52"/>
      <c r="BC333" s="52"/>
      <c r="BD333" s="52">
        <v>1843</v>
      </c>
      <c r="BE333" s="52"/>
      <c r="BF333" s="52">
        <v>180836</v>
      </c>
      <c r="BG333" s="52"/>
      <c r="BH333" s="52">
        <v>83000</v>
      </c>
      <c r="BI333" s="52">
        <v>4757000</v>
      </c>
      <c r="BJ333" s="52"/>
      <c r="BK333" s="52"/>
      <c r="BL333" s="52"/>
      <c r="BM333" s="52">
        <v>4360</v>
      </c>
      <c r="BN333" s="52">
        <v>19197</v>
      </c>
      <c r="BO333" s="52"/>
      <c r="BP333" s="52">
        <v>7985</v>
      </c>
      <c r="BQ333" s="52">
        <v>1222</v>
      </c>
      <c r="BR333" s="52">
        <v>442</v>
      </c>
      <c r="BS333" s="52"/>
      <c r="BT333" s="52"/>
      <c r="BU333" s="52"/>
      <c r="BV333" s="52">
        <v>6798</v>
      </c>
      <c r="BW333" s="52">
        <v>200256</v>
      </c>
      <c r="BX333" s="52"/>
      <c r="BY333" s="52"/>
      <c r="BZ333" s="52">
        <v>7787</v>
      </c>
      <c r="CA333" s="52"/>
      <c r="CB333" s="52"/>
      <c r="CC333" s="52"/>
      <c r="CD333" s="52">
        <v>134801</v>
      </c>
      <c r="CE333" s="52"/>
      <c r="CF333" s="52">
        <v>9458</v>
      </c>
      <c r="CG333" s="52">
        <v>25777</v>
      </c>
      <c r="CH333" s="52"/>
      <c r="CI333" s="52"/>
      <c r="CJ333" s="52">
        <v>79</v>
      </c>
      <c r="CK333" s="52">
        <v>1001475</v>
      </c>
      <c r="CL333" s="52">
        <v>22800</v>
      </c>
      <c r="CM333" s="52"/>
      <c r="CN333" s="52">
        <v>1827</v>
      </c>
      <c r="CO333" s="52">
        <v>14704</v>
      </c>
      <c r="CP333" s="52">
        <v>3769</v>
      </c>
      <c r="CQ333" s="52"/>
      <c r="CR333" s="52"/>
      <c r="CS333" s="52"/>
      <c r="CT333" s="52">
        <v>4765</v>
      </c>
      <c r="CU333" s="52"/>
      <c r="CV333" s="52"/>
      <c r="CW333" s="52"/>
      <c r="CX333" s="52">
        <v>3488</v>
      </c>
      <c r="CY333" s="52"/>
      <c r="CZ333" s="52"/>
      <c r="DA333" s="52"/>
      <c r="DB333" s="52">
        <v>49770</v>
      </c>
      <c r="DC333" s="52"/>
      <c r="DD333" s="52"/>
      <c r="DE333" s="52">
        <v>10039156</v>
      </c>
      <c r="DF333" s="52"/>
      <c r="DG333" s="52">
        <v>10039156</v>
      </c>
      <c r="DH333" s="52"/>
    </row>
    <row r="334" spans="1:112">
      <c r="A334" s="150" t="s">
        <v>407</v>
      </c>
      <c r="B334" s="119">
        <v>5400</v>
      </c>
      <c r="C334" s="44" t="s">
        <v>296</v>
      </c>
      <c r="D334" s="52"/>
      <c r="E334" s="52"/>
      <c r="F334" s="52"/>
      <c r="G334" s="52"/>
      <c r="H334" s="56"/>
      <c r="I334" s="56"/>
      <c r="J334" s="56"/>
      <c r="K334" s="56"/>
      <c r="L334" s="52"/>
      <c r="M334" s="52"/>
      <c r="N334" s="52"/>
      <c r="O334" s="52"/>
      <c r="P334" s="52"/>
      <c r="Q334" s="52"/>
      <c r="R334" s="52"/>
      <c r="S334" s="52"/>
      <c r="T334" s="52"/>
      <c r="U334" s="52"/>
      <c r="V334" s="52"/>
      <c r="W334" s="52"/>
      <c r="X334" s="52"/>
      <c r="Y334" s="52"/>
      <c r="Z334" s="52"/>
      <c r="AA334" s="52">
        <v>3000000</v>
      </c>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v>11844843</v>
      </c>
      <c r="DB334" s="52"/>
      <c r="DC334" s="52"/>
      <c r="DD334" s="52"/>
      <c r="DE334" s="52">
        <v>14844843</v>
      </c>
      <c r="DF334" s="52"/>
      <c r="DG334" s="52">
        <v>14844843</v>
      </c>
      <c r="DH334" s="52"/>
    </row>
    <row r="335" spans="1:112">
      <c r="A335" s="150" t="s">
        <v>407</v>
      </c>
      <c r="B335" s="119">
        <v>5500</v>
      </c>
      <c r="C335" s="44" t="s">
        <v>297</v>
      </c>
      <c r="D335" s="52"/>
      <c r="E335" s="52"/>
      <c r="F335" s="52"/>
      <c r="G335" s="52"/>
      <c r="H335" s="56">
        <v>616680</v>
      </c>
      <c r="I335" s="56"/>
      <c r="J335" s="56"/>
      <c r="K335" s="56"/>
      <c r="L335" s="52"/>
      <c r="M335" s="52"/>
      <c r="N335" s="52"/>
      <c r="O335" s="52"/>
      <c r="P335" s="52"/>
      <c r="Q335" s="52"/>
      <c r="R335" s="52"/>
      <c r="S335" s="52"/>
      <c r="T335" s="52"/>
      <c r="U335" s="52">
        <v>507312</v>
      </c>
      <c r="V335" s="52">
        <v>45890</v>
      </c>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v>668000</v>
      </c>
      <c r="AZ335" s="52"/>
      <c r="BA335" s="52"/>
      <c r="BB335" s="52"/>
      <c r="BC335" s="52"/>
      <c r="BD335" s="52"/>
      <c r="BE335" s="52"/>
      <c r="BF335" s="52"/>
      <c r="BG335" s="52">
        <v>445000</v>
      </c>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v>400000</v>
      </c>
      <c r="CD335" s="52"/>
      <c r="CE335" s="52"/>
      <c r="CF335" s="52"/>
      <c r="CG335" s="52"/>
      <c r="CH335" s="52"/>
      <c r="CI335" s="52"/>
      <c r="CJ335" s="52">
        <v>674199</v>
      </c>
      <c r="CK335" s="52"/>
      <c r="CL335" s="52">
        <v>360000</v>
      </c>
      <c r="CM335" s="52"/>
      <c r="CN335" s="52"/>
      <c r="CO335" s="52">
        <v>402000</v>
      </c>
      <c r="CP335" s="52"/>
      <c r="CQ335" s="52"/>
      <c r="CR335" s="52"/>
      <c r="CS335" s="52"/>
      <c r="CT335" s="52"/>
      <c r="CU335" s="52"/>
      <c r="CV335" s="52"/>
      <c r="CW335" s="52"/>
      <c r="CX335" s="52"/>
      <c r="CY335" s="52"/>
      <c r="CZ335" s="52"/>
      <c r="DA335" s="52"/>
      <c r="DB335" s="52">
        <v>2309888</v>
      </c>
      <c r="DC335" s="52"/>
      <c r="DD335" s="52"/>
      <c r="DE335" s="52">
        <v>6428969</v>
      </c>
      <c r="DF335" s="52"/>
      <c r="DG335" s="52">
        <v>6428969</v>
      </c>
      <c r="DH335" s="52"/>
    </row>
    <row r="336" spans="1:112">
      <c r="A336" s="150" t="s">
        <v>407</v>
      </c>
      <c r="B336" s="119">
        <v>5600</v>
      </c>
      <c r="C336" s="44" t="s">
        <v>298</v>
      </c>
      <c r="D336" s="52"/>
      <c r="E336" s="52"/>
      <c r="F336" s="52"/>
      <c r="G336" s="52"/>
      <c r="H336" s="56"/>
      <c r="I336" s="56">
        <v>1021059</v>
      </c>
      <c r="J336" s="56"/>
      <c r="K336" s="56"/>
      <c r="L336" s="52">
        <v>410582</v>
      </c>
      <c r="M336" s="52"/>
      <c r="N336" s="52"/>
      <c r="O336" s="52"/>
      <c r="P336" s="52"/>
      <c r="Q336" s="52"/>
      <c r="R336" s="52"/>
      <c r="S336" s="52"/>
      <c r="T336" s="52"/>
      <c r="U336" s="52"/>
      <c r="V336" s="52"/>
      <c r="W336" s="52"/>
      <c r="X336" s="52"/>
      <c r="Y336" s="52"/>
      <c r="Z336" s="52"/>
      <c r="AA336" s="52"/>
      <c r="AB336" s="52">
        <v>23615000</v>
      </c>
      <c r="AC336" s="52"/>
      <c r="AD336" s="52"/>
      <c r="AE336" s="52"/>
      <c r="AF336" s="52"/>
      <c r="AG336" s="52"/>
      <c r="AH336" s="52"/>
      <c r="AI336" s="52"/>
      <c r="AJ336" s="52"/>
      <c r="AK336" s="52"/>
      <c r="AL336" s="52"/>
      <c r="AM336" s="52"/>
      <c r="AN336" s="52">
        <v>179888</v>
      </c>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v>66777</v>
      </c>
      <c r="BO336" s="52"/>
      <c r="BP336" s="52"/>
      <c r="BQ336" s="52"/>
      <c r="BR336" s="52"/>
      <c r="BS336" s="52"/>
      <c r="BT336" s="52"/>
      <c r="BU336" s="52"/>
      <c r="BV336" s="52">
        <v>176000</v>
      </c>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v>25469306</v>
      </c>
      <c r="DF336" s="52"/>
      <c r="DG336" s="52">
        <v>25469306</v>
      </c>
      <c r="DH336" s="52"/>
    </row>
    <row r="337" spans="1:112">
      <c r="A337" s="150" t="s">
        <v>408</v>
      </c>
      <c r="B337" s="119">
        <v>5900</v>
      </c>
      <c r="C337" s="44" t="s">
        <v>299</v>
      </c>
      <c r="D337" s="52"/>
      <c r="E337" s="52"/>
      <c r="F337" s="52"/>
      <c r="G337" s="52"/>
      <c r="H337" s="56"/>
      <c r="I337" s="56"/>
      <c r="J337" s="56"/>
      <c r="K337" s="56"/>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row>
    <row r="338" spans="1:112">
      <c r="A338" s="150" t="s">
        <v>407</v>
      </c>
      <c r="B338" s="119">
        <v>5999</v>
      </c>
      <c r="C338" s="44" t="s">
        <v>28</v>
      </c>
      <c r="D338" s="52"/>
      <c r="E338" s="52"/>
      <c r="F338" s="52"/>
      <c r="G338" s="52"/>
      <c r="H338" s="56"/>
      <c r="I338" s="56"/>
      <c r="J338" s="56"/>
      <c r="K338" s="56"/>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v>11555</v>
      </c>
      <c r="AS338" s="52"/>
      <c r="AT338" s="52"/>
      <c r="AU338" s="52"/>
      <c r="AV338" s="52"/>
      <c r="AW338" s="52"/>
      <c r="AX338" s="52"/>
      <c r="AY338" s="52">
        <v>140138</v>
      </c>
      <c r="AZ338" s="52">
        <v>115595</v>
      </c>
      <c r="BA338" s="52"/>
      <c r="BB338" s="52"/>
      <c r="BC338" s="52"/>
      <c r="BD338" s="52"/>
      <c r="BE338" s="52"/>
      <c r="BF338" s="52"/>
      <c r="BG338" s="52">
        <v>3835137</v>
      </c>
      <c r="BH338" s="52">
        <v>24533</v>
      </c>
      <c r="BI338" s="52"/>
      <c r="BJ338" s="52">
        <v>90549</v>
      </c>
      <c r="BK338" s="52"/>
      <c r="BL338" s="52"/>
      <c r="BM338" s="52"/>
      <c r="BN338" s="52"/>
      <c r="BO338" s="52"/>
      <c r="BP338" s="52"/>
      <c r="BQ338" s="52">
        <v>1989948</v>
      </c>
      <c r="BR338" s="52"/>
      <c r="BS338" s="52"/>
      <c r="BT338" s="52"/>
      <c r="BU338" s="52"/>
      <c r="BV338" s="52"/>
      <c r="BW338" s="52"/>
      <c r="BX338" s="52"/>
      <c r="BY338" s="52"/>
      <c r="BZ338" s="52">
        <v>2795</v>
      </c>
      <c r="CA338" s="52"/>
      <c r="CB338" s="52"/>
      <c r="CC338" s="52"/>
      <c r="CD338" s="52"/>
      <c r="CE338" s="52"/>
      <c r="CF338" s="52"/>
      <c r="CG338" s="52"/>
      <c r="CH338" s="52"/>
      <c r="CI338" s="52"/>
      <c r="CJ338" s="52"/>
      <c r="CK338" s="52"/>
      <c r="CL338" s="52"/>
      <c r="CM338" s="52"/>
      <c r="CN338" s="52"/>
      <c r="CO338" s="52"/>
      <c r="CP338" s="52"/>
      <c r="CQ338" s="52"/>
      <c r="CR338" s="52"/>
      <c r="CS338" s="52"/>
      <c r="CT338" s="52">
        <v>39447</v>
      </c>
      <c r="CU338" s="52"/>
      <c r="CV338" s="52"/>
      <c r="CW338" s="52"/>
      <c r="CX338" s="52"/>
      <c r="CY338" s="52"/>
      <c r="CZ338" s="52"/>
      <c r="DA338" s="52"/>
      <c r="DB338" s="52"/>
      <c r="DC338" s="52"/>
      <c r="DD338" s="52"/>
      <c r="DE338" s="52">
        <v>6249697</v>
      </c>
      <c r="DF338" s="52"/>
      <c r="DG338" s="52">
        <v>6249697</v>
      </c>
      <c r="DH338" s="52"/>
    </row>
    <row r="339" spans="1:112">
      <c r="A339" s="150"/>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row>
    <row r="340" spans="1:112">
      <c r="A340" s="150"/>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f>SUM(DG254:DG339)</f>
        <v>2685157851</v>
      </c>
      <c r="DH340" s="52"/>
    </row>
    <row r="341" spans="1:112">
      <c r="A341" s="150"/>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f>DG237</f>
        <v>6926094299</v>
      </c>
      <c r="DH341" s="52"/>
    </row>
    <row r="342" spans="1:112">
      <c r="A342" s="150"/>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f>DG340+DG341</f>
        <v>9611252150</v>
      </c>
      <c r="DH342" s="52"/>
    </row>
    <row r="343" spans="1:112">
      <c r="A343" s="150"/>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v>9611252150</v>
      </c>
      <c r="DH343" s="52"/>
    </row>
    <row r="344" spans="1:112">
      <c r="A344" s="150"/>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f>DG343-DG342</f>
        <v>0</v>
      </c>
      <c r="DH344" s="52"/>
    </row>
    <row r="345" spans="1:112">
      <c r="A345" s="150"/>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row>
    <row r="346" spans="1:112">
      <c r="A346" s="150"/>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row>
    <row r="347" spans="1:112">
      <c r="A347" s="150"/>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row>
    <row r="348" spans="1:112">
      <c r="A348" s="150"/>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row>
    <row r="349" spans="1:112">
      <c r="A349" s="150"/>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row>
    <row r="350" spans="1:112">
      <c r="A350" s="150"/>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row>
    <row r="351" spans="1:11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row>
    <row r="352" spans="1:11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row>
    <row r="353" spans="4:11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row>
    <row r="354" spans="4:11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row>
    <row r="355" spans="4:11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row>
    <row r="356" spans="4:11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row>
    <row r="357" spans="4:11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row>
    <row r="358" spans="4:11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T204"/>
  <sheetViews>
    <sheetView workbookViewId="0"/>
  </sheetViews>
  <sheetFormatPr defaultRowHeight="15.75"/>
  <cols>
    <col min="1" max="1" width="4.83203125" style="64" customWidth="1"/>
    <col min="2" max="2" width="11.6640625" customWidth="1"/>
    <col min="4" max="4" width="21.83203125" customWidth="1"/>
    <col min="6" max="6" width="12.6640625" customWidth="1"/>
    <col min="7" max="7" width="10.83203125" customWidth="1"/>
    <col min="8" max="8" width="13.33203125" customWidth="1"/>
    <col min="9" max="9" width="14.6640625" customWidth="1"/>
    <col min="10" max="10" width="12.5" customWidth="1"/>
    <col min="11" max="11" width="43" customWidth="1"/>
    <col min="12" max="12" width="12.1640625" customWidth="1"/>
    <col min="13" max="13" width="9.83203125" style="44" customWidth="1"/>
    <col min="14" max="14" width="13.33203125" customWidth="1"/>
    <col min="15" max="15" width="15" customWidth="1"/>
    <col min="16" max="16" width="12.33203125" style="44" customWidth="1"/>
    <col min="17" max="17" width="17.33203125" customWidth="1"/>
    <col min="20" max="20" width="7.5" customWidth="1"/>
  </cols>
  <sheetData>
    <row r="1" spans="1:17" s="44" customFormat="1" ht="15.95" customHeight="1">
      <c r="A1" s="273" t="s">
        <v>697</v>
      </c>
      <c r="B1" s="149"/>
      <c r="C1" s="149"/>
      <c r="J1" s="44" t="s">
        <v>713</v>
      </c>
    </row>
    <row r="2" spans="1:17" s="44" customFormat="1" ht="15.95" customHeight="1">
      <c r="A2" s="273" t="s">
        <v>698</v>
      </c>
      <c r="B2" s="149"/>
      <c r="C2" s="149"/>
      <c r="J2" s="277"/>
      <c r="K2" s="44" t="s">
        <v>714</v>
      </c>
    </row>
    <row r="3" spans="1:17" s="44" customFormat="1" ht="15.95" customHeight="1">
      <c r="A3" s="64"/>
      <c r="J3" s="278"/>
      <c r="K3" s="44" t="s">
        <v>715</v>
      </c>
    </row>
    <row r="4" spans="1:17" s="44" customFormat="1">
      <c r="A4" s="64"/>
      <c r="B4" s="77" t="s">
        <v>712</v>
      </c>
    </row>
    <row r="5" spans="1:17" s="44" customFormat="1">
      <c r="A5" s="64"/>
    </row>
    <row r="6" spans="1:17" s="44" customFormat="1">
      <c r="A6" s="64"/>
      <c r="K6" s="43" t="s">
        <v>710</v>
      </c>
    </row>
    <row r="7" spans="1:17" s="44" customFormat="1" ht="23.25">
      <c r="A7" s="64"/>
      <c r="K7" s="180" t="s">
        <v>696</v>
      </c>
      <c r="L7" s="181" t="s">
        <v>451</v>
      </c>
      <c r="M7" s="181" t="s">
        <v>17</v>
      </c>
      <c r="N7" s="181" t="s">
        <v>452</v>
      </c>
      <c r="O7" s="181" t="s">
        <v>453</v>
      </c>
      <c r="P7" s="181" t="s">
        <v>454</v>
      </c>
      <c r="Q7" s="181" t="s">
        <v>700</v>
      </c>
    </row>
    <row r="8" spans="1:17" s="44" customFormat="1" ht="15" customHeight="1">
      <c r="A8" s="64"/>
      <c r="K8" s="169" t="s">
        <v>467</v>
      </c>
      <c r="L8" s="169">
        <v>5</v>
      </c>
      <c r="M8" s="274">
        <f>B98</f>
        <v>814.01</v>
      </c>
      <c r="N8" s="170">
        <f>I104</f>
        <v>6076259</v>
      </c>
      <c r="O8" s="169"/>
      <c r="P8" s="171">
        <f t="shared" ref="P8:P14" si="0">N8/M8</f>
        <v>7464.5999434896376</v>
      </c>
      <c r="Q8" s="68"/>
    </row>
    <row r="9" spans="1:17" s="44" customFormat="1" ht="15" customHeight="1">
      <c r="A9" s="64"/>
      <c r="K9" s="172" t="s">
        <v>435</v>
      </c>
      <c r="L9" s="172">
        <v>4</v>
      </c>
      <c r="M9" s="275">
        <f>B130</f>
        <v>2384.85</v>
      </c>
      <c r="N9" s="173">
        <f>I130</f>
        <v>21488664</v>
      </c>
      <c r="O9" s="172"/>
      <c r="P9" s="174">
        <f t="shared" si="0"/>
        <v>9010.4887099817606</v>
      </c>
      <c r="Q9" s="68"/>
    </row>
    <row r="10" spans="1:17" s="44" customFormat="1" ht="15" customHeight="1">
      <c r="A10" s="64"/>
      <c r="K10" s="172" t="s">
        <v>455</v>
      </c>
      <c r="L10" s="172">
        <v>2</v>
      </c>
      <c r="M10" s="275">
        <f>B151</f>
        <v>186.13</v>
      </c>
      <c r="N10" s="173">
        <f>I156</f>
        <v>1485039</v>
      </c>
      <c r="O10" s="172"/>
      <c r="P10" s="174">
        <f t="shared" si="0"/>
        <v>7978.5042712082959</v>
      </c>
      <c r="Q10" s="68"/>
    </row>
    <row r="11" spans="1:17" s="44" customFormat="1" ht="15" customHeight="1">
      <c r="A11" s="64"/>
      <c r="K11" s="172" t="s">
        <v>445</v>
      </c>
      <c r="L11" s="172">
        <v>1</v>
      </c>
      <c r="M11" s="275">
        <f>B163</f>
        <v>56.3</v>
      </c>
      <c r="N11" s="173">
        <f>I169</f>
        <v>536074</v>
      </c>
      <c r="O11" s="172"/>
      <c r="P11" s="174">
        <f t="shared" si="0"/>
        <v>9521.7406749555958</v>
      </c>
      <c r="Q11" s="68"/>
    </row>
    <row r="12" spans="1:17" s="44" customFormat="1" ht="15" customHeight="1">
      <c r="A12" s="64"/>
      <c r="K12" s="172" t="s">
        <v>447</v>
      </c>
      <c r="L12" s="172">
        <v>1</v>
      </c>
      <c r="M12" s="275">
        <f>B176</f>
        <v>107.83</v>
      </c>
      <c r="N12" s="173">
        <f>I182</f>
        <v>571822</v>
      </c>
      <c r="O12" s="172"/>
      <c r="P12" s="174">
        <f t="shared" si="0"/>
        <v>5302.9954558100717</v>
      </c>
      <c r="Q12" s="68"/>
    </row>
    <row r="13" spans="1:17" s="44" customFormat="1" ht="15" customHeight="1">
      <c r="A13" s="64"/>
      <c r="K13" s="172" t="s">
        <v>449</v>
      </c>
      <c r="L13" s="172">
        <v>1</v>
      </c>
      <c r="M13" s="275">
        <f>B189</f>
        <v>263.02999999999997</v>
      </c>
      <c r="N13" s="173">
        <f>I195</f>
        <v>1849031</v>
      </c>
      <c r="O13" s="172"/>
      <c r="P13" s="174">
        <f t="shared" si="0"/>
        <v>7029.7342508459114</v>
      </c>
      <c r="Q13" s="68"/>
    </row>
    <row r="14" spans="1:17" s="44" customFormat="1" ht="15" customHeight="1">
      <c r="A14" s="64"/>
      <c r="K14" s="175" t="s">
        <v>456</v>
      </c>
      <c r="L14" s="175">
        <f>SUM(L8:L13)</f>
        <v>14</v>
      </c>
      <c r="M14" s="176">
        <f>SUM(M8:M13)</f>
        <v>3812.1499999999996</v>
      </c>
      <c r="N14" s="177">
        <f>SUM(N8:N13)</f>
        <v>32006889</v>
      </c>
      <c r="O14" s="175"/>
      <c r="P14" s="195">
        <f t="shared" si="0"/>
        <v>8396.0203559671063</v>
      </c>
      <c r="Q14" s="179">
        <f>N14</f>
        <v>32006889</v>
      </c>
    </row>
    <row r="15" spans="1:17" s="44" customFormat="1" ht="15" customHeight="1">
      <c r="A15" s="64"/>
      <c r="K15" s="190" t="s">
        <v>701</v>
      </c>
      <c r="L15" s="165">
        <f>L14/L34</f>
        <v>0.5</v>
      </c>
      <c r="M15" s="165">
        <f>M14/M34</f>
        <v>0.76183881308104917</v>
      </c>
      <c r="N15" s="165">
        <f>N14/Q34</f>
        <v>0.76183881308104906</v>
      </c>
      <c r="O15" s="192"/>
      <c r="P15" s="192"/>
      <c r="Q15" s="192"/>
    </row>
    <row r="16" spans="1:17" s="44" customFormat="1" ht="15" customHeight="1">
      <c r="A16" s="64"/>
      <c r="K16" s="191"/>
      <c r="L16" s="191"/>
      <c r="M16" s="191"/>
      <c r="N16" s="191"/>
      <c r="O16" s="191"/>
      <c r="P16" s="191"/>
      <c r="Q16" s="191"/>
    </row>
    <row r="17" spans="1:17" s="44" customFormat="1" ht="15" customHeight="1">
      <c r="A17" s="64"/>
      <c r="K17" s="186" t="s">
        <v>457</v>
      </c>
      <c r="L17" s="188"/>
      <c r="M17" s="188"/>
      <c r="N17" s="188"/>
      <c r="O17" s="194" t="s">
        <v>476</v>
      </c>
      <c r="P17" s="194" t="s">
        <v>699</v>
      </c>
      <c r="Q17" s="194" t="s">
        <v>702</v>
      </c>
    </row>
    <row r="18" spans="1:17" s="44" customFormat="1" ht="15" customHeight="1">
      <c r="A18" s="64"/>
      <c r="K18" s="187"/>
      <c r="L18" s="193" t="s">
        <v>451</v>
      </c>
      <c r="M18" s="193" t="s">
        <v>17</v>
      </c>
      <c r="N18" s="193"/>
      <c r="O18" s="193" t="s">
        <v>424</v>
      </c>
      <c r="P18" s="193" t="s">
        <v>424</v>
      </c>
      <c r="Q18" s="193" t="s">
        <v>703</v>
      </c>
    </row>
    <row r="19" spans="1:17" s="44" customFormat="1" ht="15" customHeight="1">
      <c r="A19" s="64"/>
      <c r="K19" s="197" t="s">
        <v>459</v>
      </c>
      <c r="L19" s="169">
        <v>1</v>
      </c>
      <c r="M19" s="274">
        <v>62.47</v>
      </c>
      <c r="N19" s="169"/>
      <c r="O19" s="171">
        <f t="shared" ref="O19:O32" si="1">M19*$P$14</f>
        <v>524499.3916372651</v>
      </c>
      <c r="P19" s="171">
        <f>O19/M19</f>
        <v>8396.0203559671063</v>
      </c>
      <c r="Q19" s="169"/>
    </row>
    <row r="20" spans="1:17" ht="15" customHeight="1">
      <c r="B20" s="44"/>
      <c r="C20" s="44"/>
      <c r="D20" s="44"/>
      <c r="E20" s="44"/>
      <c r="F20" s="44"/>
      <c r="G20" s="44"/>
      <c r="H20" s="44"/>
      <c r="I20" s="44"/>
      <c r="J20" s="44"/>
      <c r="K20" s="172" t="s">
        <v>458</v>
      </c>
      <c r="L20" s="172">
        <v>1</v>
      </c>
      <c r="M20" s="275">
        <v>143.51</v>
      </c>
      <c r="N20" s="172"/>
      <c r="O20" s="174">
        <f t="shared" si="1"/>
        <v>1204912.8812848392</v>
      </c>
      <c r="P20" s="174">
        <f t="shared" ref="P20:P32" si="2">O20/M20</f>
        <v>8396.0203559671063</v>
      </c>
      <c r="Q20" s="172"/>
    </row>
    <row r="21" spans="1:17" ht="15" customHeight="1">
      <c r="B21" s="44"/>
      <c r="C21" s="44"/>
      <c r="D21" s="44"/>
      <c r="E21" s="44"/>
      <c r="F21" s="44"/>
      <c r="G21" s="44"/>
      <c r="H21" s="44"/>
      <c r="I21" s="44"/>
      <c r="J21" s="44"/>
      <c r="K21" s="172" t="s">
        <v>461</v>
      </c>
      <c r="L21" s="172">
        <v>1</v>
      </c>
      <c r="M21" s="275">
        <v>9.0299999999999994</v>
      </c>
      <c r="N21" s="172"/>
      <c r="O21" s="174">
        <f t="shared" si="1"/>
        <v>75816.063814382971</v>
      </c>
      <c r="P21" s="174">
        <f t="shared" si="2"/>
        <v>8396.0203559671063</v>
      </c>
      <c r="Q21" s="172"/>
    </row>
    <row r="22" spans="1:17" ht="15" customHeight="1">
      <c r="B22" s="44"/>
      <c r="C22" s="44"/>
      <c r="D22" s="44"/>
      <c r="E22" s="44"/>
      <c r="F22" s="44"/>
      <c r="G22" s="44"/>
      <c r="H22" s="44"/>
      <c r="I22" s="44"/>
      <c r="J22" s="44"/>
      <c r="K22" s="172" t="s">
        <v>460</v>
      </c>
      <c r="L22" s="172">
        <v>1</v>
      </c>
      <c r="M22" s="275">
        <v>20.239999999999998</v>
      </c>
      <c r="N22" s="172"/>
      <c r="O22" s="174">
        <f t="shared" si="1"/>
        <v>169935.45200477421</v>
      </c>
      <c r="P22" s="174">
        <f t="shared" si="2"/>
        <v>8396.0203559671063</v>
      </c>
      <c r="Q22" s="172"/>
    </row>
    <row r="23" spans="1:17" ht="15" customHeight="1">
      <c r="B23" s="44"/>
      <c r="C23" s="44"/>
      <c r="D23" s="44"/>
      <c r="E23" s="44"/>
      <c r="F23" s="44"/>
      <c r="G23" s="44"/>
      <c r="H23" s="44"/>
      <c r="I23" s="44"/>
      <c r="J23" s="44"/>
      <c r="K23" s="198" t="s">
        <v>462</v>
      </c>
      <c r="L23" s="172">
        <v>1</v>
      </c>
      <c r="M23" s="275">
        <v>44.61</v>
      </c>
      <c r="N23" s="172"/>
      <c r="O23" s="174">
        <f t="shared" si="1"/>
        <v>374546.46807969263</v>
      </c>
      <c r="P23" s="174">
        <f t="shared" si="2"/>
        <v>8396.0203559671063</v>
      </c>
      <c r="Q23" s="172"/>
    </row>
    <row r="24" spans="1:17" ht="15" customHeight="1">
      <c r="B24" s="44"/>
      <c r="C24" s="44"/>
      <c r="D24" s="44"/>
      <c r="E24" s="44"/>
      <c r="F24" s="44"/>
      <c r="G24" s="44"/>
      <c r="H24" s="44"/>
      <c r="I24" s="44"/>
      <c r="J24" s="44"/>
      <c r="K24" s="172" t="s">
        <v>463</v>
      </c>
      <c r="L24" s="172">
        <v>1</v>
      </c>
      <c r="M24" s="275">
        <v>237.92</v>
      </c>
      <c r="N24" s="172"/>
      <c r="O24" s="174">
        <f t="shared" si="1"/>
        <v>1997581.1630916938</v>
      </c>
      <c r="P24" s="174">
        <f t="shared" si="2"/>
        <v>8396.0203559671063</v>
      </c>
      <c r="Q24" s="172"/>
    </row>
    <row r="25" spans="1:17" ht="15" customHeight="1">
      <c r="B25" s="44"/>
      <c r="C25" s="44"/>
      <c r="D25" s="44"/>
      <c r="E25" s="44"/>
      <c r="F25" s="44"/>
      <c r="G25" s="44"/>
      <c r="H25" s="44"/>
      <c r="I25" s="44"/>
      <c r="J25" s="44"/>
      <c r="K25" s="172" t="s">
        <v>464</v>
      </c>
      <c r="L25" s="172">
        <v>1</v>
      </c>
      <c r="M25" s="275">
        <v>33.659999999999997</v>
      </c>
      <c r="N25" s="172"/>
      <c r="O25" s="174">
        <f t="shared" si="1"/>
        <v>282610.04518185277</v>
      </c>
      <c r="P25" s="174">
        <f t="shared" si="2"/>
        <v>8396.0203559671063</v>
      </c>
      <c r="Q25" s="172"/>
    </row>
    <row r="26" spans="1:17" ht="15" customHeight="1">
      <c r="B26" s="44"/>
      <c r="C26" s="44"/>
      <c r="D26" s="44"/>
      <c r="E26" s="44"/>
      <c r="F26" s="44"/>
      <c r="G26" s="44"/>
      <c r="H26" s="44"/>
      <c r="I26" s="44"/>
      <c r="J26" s="44"/>
      <c r="K26" s="172" t="s">
        <v>471</v>
      </c>
      <c r="L26" s="172">
        <v>1</v>
      </c>
      <c r="M26" s="275">
        <v>131.86000000000001</v>
      </c>
      <c r="N26" s="172"/>
      <c r="O26" s="174">
        <f t="shared" si="1"/>
        <v>1107099.2441378227</v>
      </c>
      <c r="P26" s="174">
        <f t="shared" si="2"/>
        <v>8396.0203559671063</v>
      </c>
      <c r="Q26" s="172"/>
    </row>
    <row r="27" spans="1:17" ht="15" customHeight="1">
      <c r="B27" s="44"/>
      <c r="C27" s="44"/>
      <c r="D27" s="44"/>
      <c r="E27" s="44"/>
      <c r="F27" s="44"/>
      <c r="G27" s="44"/>
      <c r="H27" s="44"/>
      <c r="I27" s="44"/>
      <c r="J27" s="44"/>
      <c r="K27" s="172" t="s">
        <v>470</v>
      </c>
      <c r="L27" s="172">
        <v>1</v>
      </c>
      <c r="M27" s="275">
        <v>70.56</v>
      </c>
      <c r="N27" s="172"/>
      <c r="O27" s="174">
        <f t="shared" si="1"/>
        <v>592423.19631703908</v>
      </c>
      <c r="P27" s="174">
        <f t="shared" si="2"/>
        <v>8396.0203559671063</v>
      </c>
      <c r="Q27" s="172"/>
    </row>
    <row r="28" spans="1:17" ht="15" customHeight="1">
      <c r="B28" s="44"/>
      <c r="C28" s="44"/>
      <c r="D28" s="44"/>
      <c r="E28" s="44"/>
      <c r="F28" s="44"/>
      <c r="G28" s="44"/>
      <c r="H28" s="44"/>
      <c r="I28" s="44"/>
      <c r="J28" s="44"/>
      <c r="K28" s="172" t="s">
        <v>469</v>
      </c>
      <c r="L28" s="172">
        <v>1</v>
      </c>
      <c r="M28" s="275">
        <v>57.07</v>
      </c>
      <c r="N28" s="172"/>
      <c r="O28" s="174">
        <f t="shared" si="1"/>
        <v>479160.88171504275</v>
      </c>
      <c r="P28" s="174">
        <f t="shared" si="2"/>
        <v>8396.0203559671063</v>
      </c>
      <c r="Q28" s="172"/>
    </row>
    <row r="29" spans="1:17" s="44" customFormat="1" ht="15" customHeight="1">
      <c r="A29" s="64"/>
      <c r="K29" s="172" t="s">
        <v>474</v>
      </c>
      <c r="L29" s="172">
        <v>1</v>
      </c>
      <c r="M29" s="275">
        <v>92.09</v>
      </c>
      <c r="N29" s="172"/>
      <c r="O29" s="174">
        <f t="shared" si="1"/>
        <v>773189.51458101079</v>
      </c>
      <c r="P29" s="174">
        <f t="shared" si="2"/>
        <v>8396.0203559671063</v>
      </c>
      <c r="Q29" s="172"/>
    </row>
    <row r="30" spans="1:17" ht="15" customHeight="1">
      <c r="B30" s="44"/>
      <c r="C30" s="44"/>
      <c r="D30" s="44"/>
      <c r="E30" s="44"/>
      <c r="F30" s="44"/>
      <c r="G30" s="44"/>
      <c r="H30" s="44"/>
      <c r="I30" s="44"/>
      <c r="J30" s="44"/>
      <c r="K30" s="172" t="s">
        <v>468</v>
      </c>
      <c r="L30" s="172">
        <v>1</v>
      </c>
      <c r="M30" s="275">
        <v>192.78</v>
      </c>
      <c r="N30" s="172"/>
      <c r="O30" s="174">
        <f t="shared" si="1"/>
        <v>1618584.8042233388</v>
      </c>
      <c r="P30" s="174">
        <f t="shared" si="2"/>
        <v>8396.0203559671063</v>
      </c>
      <c r="Q30" s="172"/>
    </row>
    <row r="31" spans="1:17" ht="15" customHeight="1">
      <c r="B31" s="44"/>
      <c r="C31" s="44"/>
      <c r="D31" s="44"/>
      <c r="E31" s="44"/>
      <c r="F31" s="44"/>
      <c r="G31" s="44"/>
      <c r="H31" s="44"/>
      <c r="I31" s="44"/>
      <c r="J31" s="44"/>
      <c r="K31" s="172" t="s">
        <v>472</v>
      </c>
      <c r="L31" s="172">
        <v>1</v>
      </c>
      <c r="M31" s="275">
        <v>22.1</v>
      </c>
      <c r="N31" s="172"/>
      <c r="O31" s="174">
        <f t="shared" si="1"/>
        <v>185552.04986687307</v>
      </c>
      <c r="P31" s="174">
        <f t="shared" si="2"/>
        <v>8396.0203559671063</v>
      </c>
      <c r="Q31" s="172"/>
    </row>
    <row r="32" spans="1:17" ht="15" customHeight="1">
      <c r="B32" s="44"/>
      <c r="C32" s="44"/>
      <c r="D32" s="44"/>
      <c r="E32" s="44"/>
      <c r="F32" s="44"/>
      <c r="G32" s="44"/>
      <c r="H32" s="44"/>
      <c r="I32" s="44"/>
      <c r="J32" s="44"/>
      <c r="K32" s="172" t="s">
        <v>473</v>
      </c>
      <c r="L32" s="172">
        <v>1</v>
      </c>
      <c r="M32" s="275">
        <v>73.83</v>
      </c>
      <c r="N32" s="172"/>
      <c r="O32" s="174">
        <f t="shared" si="1"/>
        <v>619878.18288105144</v>
      </c>
      <c r="P32" s="174">
        <f t="shared" si="2"/>
        <v>8396.0203559671063</v>
      </c>
      <c r="Q32" s="172"/>
    </row>
    <row r="33" spans="1:20" ht="15" customHeight="1">
      <c r="B33" s="44"/>
      <c r="C33" s="44"/>
      <c r="D33" s="44"/>
      <c r="E33" s="44"/>
      <c r="F33" s="44"/>
      <c r="G33" s="44"/>
      <c r="H33" s="44"/>
      <c r="I33" s="44"/>
      <c r="J33" s="44"/>
      <c r="K33" s="175" t="s">
        <v>476</v>
      </c>
      <c r="L33" s="175">
        <f>SUM(L19:L32)</f>
        <v>14</v>
      </c>
      <c r="M33" s="176">
        <f>SUM(M19:M32)</f>
        <v>1191.7299999999998</v>
      </c>
      <c r="N33" s="175"/>
      <c r="O33" s="178">
        <f>SUM(O19:O32)</f>
        <v>10005789.33881668</v>
      </c>
      <c r="P33" s="175"/>
      <c r="Q33" s="178">
        <f>O33</f>
        <v>10005789.33881668</v>
      </c>
    </row>
    <row r="34" spans="1:20" s="44" customFormat="1" ht="15" customHeight="1">
      <c r="A34" s="64"/>
      <c r="K34" s="161" t="s">
        <v>704</v>
      </c>
      <c r="L34" s="45">
        <f>L14+L33</f>
        <v>28</v>
      </c>
      <c r="M34" s="45">
        <f>M14+M33</f>
        <v>5003.8799999999992</v>
      </c>
      <c r="N34" s="162"/>
      <c r="O34" s="162"/>
      <c r="P34" s="162">
        <f>Q34/M34</f>
        <v>8396.0203559671063</v>
      </c>
      <c r="Q34" s="75">
        <f>Q14+Q33</f>
        <v>42012678.33881668</v>
      </c>
      <c r="R34" s="44" t="s">
        <v>706</v>
      </c>
    </row>
    <row r="35" spans="1:20" s="44" customFormat="1" ht="15" customHeight="1">
      <c r="A35" s="64"/>
      <c r="K35" s="191"/>
      <c r="L35" s="192"/>
      <c r="M35" s="200"/>
      <c r="N35" s="192"/>
      <c r="O35" s="192"/>
      <c r="P35" s="192"/>
      <c r="Q35" s="192"/>
    </row>
    <row r="36" spans="1:20" s="44" customFormat="1" ht="15" customHeight="1">
      <c r="A36" s="64"/>
      <c r="K36" s="120" t="s">
        <v>708</v>
      </c>
      <c r="L36" s="121" t="s">
        <v>12</v>
      </c>
      <c r="M36" s="122"/>
      <c r="N36" s="123">
        <f>H63</f>
        <v>16977</v>
      </c>
      <c r="O36" s="201">
        <v>0.80720357706937773</v>
      </c>
      <c r="P36" s="131" t="s">
        <v>12</v>
      </c>
      <c r="Q36" s="132">
        <f>Q34*O36</f>
        <v>33912784.237357989</v>
      </c>
      <c r="R36" s="381" t="s">
        <v>706</v>
      </c>
      <c r="S36" s="382"/>
      <c r="T36" s="383"/>
    </row>
    <row r="37" spans="1:20" s="44" customFormat="1" ht="15" customHeight="1">
      <c r="A37" s="64"/>
      <c r="K37" s="124" t="s">
        <v>705</v>
      </c>
      <c r="L37" s="125" t="s">
        <v>11</v>
      </c>
      <c r="M37" s="126"/>
      <c r="N37" s="127">
        <f>H64</f>
        <v>73405</v>
      </c>
      <c r="O37" s="201">
        <v>0.12307605715951213</v>
      </c>
      <c r="P37" s="131" t="s">
        <v>11</v>
      </c>
      <c r="Q37" s="132">
        <f>Q34*O37</f>
        <v>5170754.8006523987</v>
      </c>
      <c r="R37" s="384"/>
      <c r="S37" s="385"/>
      <c r="T37" s="386"/>
    </row>
    <row r="38" spans="1:20" s="44" customFormat="1" ht="15" customHeight="1">
      <c r="A38" s="64"/>
      <c r="K38" s="199">
        <f>(N38+N37+N36)/M42</f>
        <v>401250.12205044756</v>
      </c>
      <c r="L38" s="128" t="s">
        <v>14</v>
      </c>
      <c r="M38" s="129"/>
      <c r="N38" s="130">
        <f>H65</f>
        <v>4840982</v>
      </c>
      <c r="O38" s="201">
        <v>6.9720365771110154E-2</v>
      </c>
      <c r="P38" s="131" t="s">
        <v>14</v>
      </c>
      <c r="Q38" s="132">
        <f>Q34*O38</f>
        <v>2929139.3008062956</v>
      </c>
      <c r="R38" s="387"/>
      <c r="S38" s="388"/>
      <c r="T38" s="389"/>
    </row>
    <row r="39" spans="1:20" s="44" customFormat="1" ht="15" customHeight="1">
      <c r="A39" s="64"/>
      <c r="K39" s="68"/>
      <c r="L39" s="207"/>
      <c r="M39" s="274"/>
      <c r="N39" s="201"/>
      <c r="O39" s="201"/>
      <c r="P39" s="201"/>
      <c r="Q39" s="201"/>
      <c r="R39" s="62"/>
      <c r="S39" s="62"/>
      <c r="T39" s="62"/>
    </row>
    <row r="40" spans="1:20" s="44" customFormat="1" ht="15" customHeight="1">
      <c r="A40" s="64"/>
      <c r="K40" s="68"/>
      <c r="L40" s="172"/>
      <c r="M40" s="275"/>
      <c r="N40" s="68"/>
      <c r="O40" s="83" t="s">
        <v>30</v>
      </c>
      <c r="P40" s="86" t="s">
        <v>12</v>
      </c>
      <c r="Q40" s="202">
        <f>Q36+N36</f>
        <v>33929761.237357989</v>
      </c>
      <c r="R40" s="390" t="s">
        <v>707</v>
      </c>
      <c r="S40" s="391"/>
      <c r="T40" s="392"/>
    </row>
    <row r="41" spans="1:20" ht="15" customHeight="1">
      <c r="B41" s="44"/>
      <c r="C41" s="44"/>
      <c r="D41" s="44"/>
      <c r="E41" s="44"/>
      <c r="F41" s="44"/>
      <c r="G41" s="44"/>
      <c r="H41" s="44"/>
      <c r="I41" s="44"/>
      <c r="J41" s="44"/>
      <c r="K41" s="68" t="s">
        <v>672</v>
      </c>
      <c r="L41" s="172">
        <f>L14+L33</f>
        <v>28</v>
      </c>
      <c r="M41" s="275"/>
      <c r="N41" s="68"/>
      <c r="O41" s="84" t="s">
        <v>481</v>
      </c>
      <c r="P41" s="86" t="s">
        <v>11</v>
      </c>
      <c r="Q41" s="202">
        <f>Q37+N37</f>
        <v>5244159.8006523987</v>
      </c>
      <c r="R41" s="393"/>
      <c r="S41" s="394"/>
      <c r="T41" s="395"/>
    </row>
    <row r="42" spans="1:20" ht="15" customHeight="1">
      <c r="B42" s="44"/>
      <c r="C42" s="44"/>
      <c r="D42" s="44"/>
      <c r="E42" s="44"/>
      <c r="F42" s="44"/>
      <c r="G42" s="44"/>
      <c r="H42" s="44"/>
      <c r="I42" s="44"/>
      <c r="J42" s="44"/>
      <c r="K42" s="68" t="s">
        <v>475</v>
      </c>
      <c r="L42" s="172">
        <v>1</v>
      </c>
      <c r="M42" s="275">
        <v>12.29</v>
      </c>
      <c r="N42" s="68"/>
      <c r="O42" s="85" t="s">
        <v>482</v>
      </c>
      <c r="P42" s="86" t="s">
        <v>14</v>
      </c>
      <c r="Q42" s="202">
        <f>Q38+N38</f>
        <v>7770121.3008062951</v>
      </c>
      <c r="R42" s="396"/>
      <c r="S42" s="397"/>
      <c r="T42" s="398"/>
    </row>
    <row r="43" spans="1:20" ht="15" customHeight="1">
      <c r="B43" s="44"/>
      <c r="C43" s="44"/>
      <c r="D43" s="44"/>
      <c r="E43" s="44"/>
      <c r="F43" s="44"/>
      <c r="G43" s="44"/>
      <c r="H43" s="44"/>
      <c r="I43" s="44"/>
      <c r="J43" s="44"/>
      <c r="K43" s="68"/>
      <c r="L43" s="196"/>
      <c r="M43" s="276"/>
      <c r="N43" s="68"/>
      <c r="O43" s="68"/>
      <c r="P43" s="68"/>
      <c r="Q43" s="68"/>
    </row>
    <row r="44" spans="1:20" ht="15" customHeight="1">
      <c r="B44" s="44"/>
      <c r="C44" s="44"/>
      <c r="D44" s="44"/>
      <c r="E44" s="44"/>
      <c r="F44" s="44"/>
      <c r="G44" s="44"/>
      <c r="H44" s="44"/>
      <c r="I44" s="44"/>
      <c r="J44" s="44"/>
      <c r="K44" s="161" t="s">
        <v>673</v>
      </c>
      <c r="L44" s="203">
        <f>SUM(L41:L43)</f>
        <v>29</v>
      </c>
      <c r="M44" s="204">
        <f>M34+M42</f>
        <v>5016.1699999999992</v>
      </c>
      <c r="N44" s="161"/>
      <c r="O44" s="205" t="s">
        <v>30</v>
      </c>
      <c r="P44" s="161"/>
      <c r="Q44" s="206">
        <f>SUM(Q40:Q43)</f>
        <v>46944042.338816687</v>
      </c>
      <c r="R44" s="44" t="s">
        <v>707</v>
      </c>
    </row>
    <row r="45" spans="1:20">
      <c r="B45" s="44"/>
      <c r="C45" s="44"/>
      <c r="D45" s="44"/>
      <c r="E45" s="44"/>
      <c r="F45" s="44"/>
      <c r="G45" s="44"/>
      <c r="H45" s="44"/>
      <c r="I45" s="44"/>
      <c r="J45" s="44"/>
    </row>
    <row r="46" spans="1:20" ht="35.25" customHeight="1">
      <c r="B46" s="44"/>
      <c r="C46" s="44"/>
      <c r="D46" s="44"/>
      <c r="E46" s="44"/>
      <c r="F46" s="44"/>
      <c r="G46" s="44"/>
      <c r="H46" s="44"/>
      <c r="I46" s="44"/>
      <c r="J46" s="44"/>
      <c r="K46" s="399" t="s">
        <v>709</v>
      </c>
      <c r="L46" s="399"/>
      <c r="M46" s="399"/>
      <c r="N46" s="399"/>
      <c r="O46" s="399"/>
      <c r="P46" s="399"/>
      <c r="Q46" s="399"/>
    </row>
    <row r="47" spans="1:20">
      <c r="B47" s="44"/>
      <c r="C47" s="44"/>
      <c r="D47" s="44"/>
      <c r="E47" s="44"/>
      <c r="F47" s="44"/>
      <c r="G47" s="44"/>
      <c r="H47" s="44"/>
      <c r="I47" s="44"/>
      <c r="J47" s="44"/>
    </row>
    <row r="48" spans="1:20">
      <c r="B48" s="44"/>
      <c r="C48" s="44"/>
      <c r="D48" s="44"/>
      <c r="E48" s="44"/>
      <c r="F48" s="44"/>
      <c r="G48" s="44"/>
      <c r="H48" s="44"/>
      <c r="I48" s="44"/>
      <c r="J48" s="44"/>
    </row>
    <row r="49" spans="1:10">
      <c r="B49" s="44" t="s">
        <v>428</v>
      </c>
      <c r="C49" s="44"/>
      <c r="D49" s="63">
        <v>2290</v>
      </c>
      <c r="E49" s="44"/>
      <c r="F49" s="44"/>
      <c r="G49" s="44"/>
      <c r="H49" s="44"/>
      <c r="I49" s="44"/>
      <c r="J49" s="44"/>
    </row>
    <row r="50" spans="1:10">
      <c r="D50" s="43"/>
    </row>
    <row r="51" spans="1:10">
      <c r="A51" s="71" t="s">
        <v>33</v>
      </c>
      <c r="F51" s="194"/>
      <c r="G51" s="194" t="s">
        <v>423</v>
      </c>
      <c r="H51" s="188"/>
    </row>
    <row r="52" spans="1:10">
      <c r="B52" s="188"/>
      <c r="C52" s="188"/>
      <c r="D52" s="188"/>
      <c r="F52" s="209" t="s">
        <v>421</v>
      </c>
      <c r="G52" s="209" t="s">
        <v>424</v>
      </c>
      <c r="H52" s="210"/>
    </row>
    <row r="53" spans="1:10">
      <c r="B53" s="210" t="s">
        <v>17</v>
      </c>
      <c r="C53" s="210" t="s">
        <v>5</v>
      </c>
      <c r="D53" s="210" t="s">
        <v>430</v>
      </c>
      <c r="F53" s="209" t="s">
        <v>422</v>
      </c>
      <c r="G53" s="209" t="s">
        <v>422</v>
      </c>
      <c r="H53" s="209" t="s">
        <v>426</v>
      </c>
    </row>
    <row r="54" spans="1:10" ht="23.25">
      <c r="A54" s="217">
        <v>1</v>
      </c>
      <c r="B54" s="218">
        <v>420.21</v>
      </c>
      <c r="C54" s="182" t="s">
        <v>33</v>
      </c>
      <c r="D54" s="219" t="s">
        <v>419</v>
      </c>
      <c r="E54" s="163"/>
      <c r="F54" s="163"/>
      <c r="G54" s="163"/>
      <c r="H54" s="163"/>
      <c r="I54" s="183"/>
    </row>
    <row r="55" spans="1:10">
      <c r="A55" s="220"/>
      <c r="B55" s="221">
        <f>I60/B54</f>
        <v>6953.4090097808239</v>
      </c>
      <c r="C55" s="222"/>
      <c r="D55" s="244"/>
      <c r="E55" s="164" t="s">
        <v>13</v>
      </c>
      <c r="F55" s="167"/>
      <c r="G55" s="167"/>
      <c r="H55" s="167">
        <f t="shared" ref="H55:H66" si="3">SUM(F55:G55)</f>
        <v>0</v>
      </c>
      <c r="I55" s="224"/>
    </row>
    <row r="56" spans="1:10">
      <c r="A56" s="220"/>
      <c r="B56" s="223"/>
      <c r="C56" s="222" t="s">
        <v>429</v>
      </c>
      <c r="D56" s="245">
        <f>D49*B54</f>
        <v>962280.89999999991</v>
      </c>
      <c r="E56" s="164" t="s">
        <v>12</v>
      </c>
      <c r="F56" s="167">
        <v>2578842</v>
      </c>
      <c r="G56" s="167"/>
      <c r="H56" s="167">
        <f t="shared" si="3"/>
        <v>2578842</v>
      </c>
      <c r="I56" s="224"/>
    </row>
    <row r="57" spans="1:10">
      <c r="A57" s="220"/>
      <c r="B57" s="226"/>
      <c r="C57" s="222"/>
      <c r="D57" s="246"/>
      <c r="E57" s="164" t="s">
        <v>11</v>
      </c>
      <c r="F57" s="167"/>
      <c r="G57" s="167">
        <v>203194</v>
      </c>
      <c r="H57" s="167">
        <f t="shared" si="3"/>
        <v>203194</v>
      </c>
      <c r="I57" s="224"/>
    </row>
    <row r="58" spans="1:10">
      <c r="A58" s="220"/>
      <c r="B58" s="223"/>
      <c r="C58" s="222"/>
      <c r="D58" s="246"/>
      <c r="E58" s="164" t="s">
        <v>14</v>
      </c>
      <c r="F58" s="167">
        <v>92737</v>
      </c>
      <c r="G58" s="167">
        <v>47119</v>
      </c>
      <c r="H58" s="167">
        <f t="shared" si="3"/>
        <v>139856</v>
      </c>
      <c r="I58" s="224"/>
    </row>
    <row r="59" spans="1:10">
      <c r="A59" s="220"/>
      <c r="B59" s="223"/>
      <c r="C59" s="222"/>
      <c r="D59" s="246"/>
      <c r="E59" s="164" t="s">
        <v>420</v>
      </c>
      <c r="F59" s="167"/>
      <c r="G59" s="167"/>
      <c r="H59" s="167">
        <f t="shared" si="3"/>
        <v>0</v>
      </c>
      <c r="I59" s="224"/>
    </row>
    <row r="60" spans="1:10">
      <c r="A60" s="227"/>
      <c r="B60" s="184"/>
      <c r="C60" s="228"/>
      <c r="D60" s="247"/>
      <c r="E60" s="190" t="s">
        <v>425</v>
      </c>
      <c r="F60" s="229">
        <f>SUM(F55:F59)</f>
        <v>2671579</v>
      </c>
      <c r="G60" s="229">
        <f>SUM(G55:G59)</f>
        <v>250313</v>
      </c>
      <c r="H60" s="229">
        <f t="shared" si="3"/>
        <v>2921892</v>
      </c>
      <c r="I60" s="230">
        <f>SUM(H55:H59)</f>
        <v>2921892</v>
      </c>
      <c r="J60" s="52">
        <f>I60/B54</f>
        <v>6953.4090097808239</v>
      </c>
    </row>
    <row r="61" spans="1:10" ht="23.25">
      <c r="A61" s="231">
        <v>2</v>
      </c>
      <c r="B61" s="232" t="s">
        <v>17</v>
      </c>
      <c r="C61" s="232" t="s">
        <v>33</v>
      </c>
      <c r="D61" s="250" t="s">
        <v>427</v>
      </c>
      <c r="E61" s="234"/>
      <c r="F61" s="233"/>
      <c r="G61" s="233"/>
      <c r="H61" s="234"/>
      <c r="I61" s="235"/>
    </row>
    <row r="62" spans="1:10">
      <c r="A62" s="236"/>
      <c r="B62" s="237">
        <v>12.29</v>
      </c>
      <c r="C62" s="238"/>
      <c r="D62" s="234"/>
      <c r="E62" s="212" t="s">
        <v>13</v>
      </c>
      <c r="F62" s="211"/>
      <c r="G62" s="211"/>
      <c r="H62" s="211">
        <f t="shared" si="3"/>
        <v>0</v>
      </c>
      <c r="I62" s="239"/>
    </row>
    <row r="63" spans="1:10">
      <c r="A63" s="236"/>
      <c r="B63" s="240">
        <f>I67/B62</f>
        <v>401250.12205044756</v>
      </c>
      <c r="C63" s="238" t="s">
        <v>429</v>
      </c>
      <c r="D63" s="211">
        <f>D$49*B62</f>
        <v>28144.1</v>
      </c>
      <c r="E63" s="212" t="s">
        <v>12</v>
      </c>
      <c r="F63" s="211"/>
      <c r="G63" s="211">
        <v>16977</v>
      </c>
      <c r="H63" s="211">
        <f t="shared" si="3"/>
        <v>16977</v>
      </c>
      <c r="I63" s="239"/>
    </row>
    <row r="64" spans="1:10">
      <c r="A64" s="236"/>
      <c r="B64" s="238"/>
      <c r="C64" s="238"/>
      <c r="D64" s="212"/>
      <c r="E64" s="212" t="s">
        <v>11</v>
      </c>
      <c r="F64" s="211"/>
      <c r="G64" s="211">
        <v>73405</v>
      </c>
      <c r="H64" s="211">
        <f t="shared" si="3"/>
        <v>73405</v>
      </c>
      <c r="I64" s="239"/>
    </row>
    <row r="65" spans="1:11">
      <c r="A65" s="236"/>
      <c r="B65" s="238"/>
      <c r="C65" s="238"/>
      <c r="D65" s="212"/>
      <c r="E65" s="212" t="s">
        <v>14</v>
      </c>
      <c r="F65" s="211">
        <v>4359282</v>
      </c>
      <c r="G65" s="211">
        <v>481700</v>
      </c>
      <c r="H65" s="211">
        <f t="shared" si="3"/>
        <v>4840982</v>
      </c>
      <c r="I65" s="239"/>
      <c r="J65" s="52">
        <v>4113629</v>
      </c>
      <c r="K65" s="44" t="s">
        <v>678</v>
      </c>
    </row>
    <row r="66" spans="1:11">
      <c r="A66" s="236"/>
      <c r="B66" s="238"/>
      <c r="C66" s="238"/>
      <c r="D66" s="212"/>
      <c r="E66" s="212" t="s">
        <v>420</v>
      </c>
      <c r="F66" s="211"/>
      <c r="G66" s="211"/>
      <c r="H66" s="211">
        <f t="shared" si="3"/>
        <v>0</v>
      </c>
      <c r="I66" s="239"/>
      <c r="J66" s="73">
        <f>J65/I67</f>
        <v>0.83417671054093756</v>
      </c>
      <c r="K66" s="44" t="s">
        <v>679</v>
      </c>
    </row>
    <row r="67" spans="1:11">
      <c r="A67" s="241"/>
      <c r="B67" s="242"/>
      <c r="C67" s="242"/>
      <c r="D67" s="248"/>
      <c r="E67" s="248" t="s">
        <v>425</v>
      </c>
      <c r="F67" s="243">
        <f>SUM(F62:F66)</f>
        <v>4359282</v>
      </c>
      <c r="G67" s="243">
        <f>SUM(G62:G66)</f>
        <v>572082</v>
      </c>
      <c r="H67" s="243">
        <f t="shared" ref="H67:H73" si="4">SUM(F67:G67)</f>
        <v>4931364</v>
      </c>
      <c r="I67" s="130">
        <f>SUM(H62:H66)</f>
        <v>4931364</v>
      </c>
    </row>
    <row r="68" spans="1:11" ht="23.25">
      <c r="A68" s="217">
        <v>3</v>
      </c>
      <c r="B68" s="182" t="s">
        <v>17</v>
      </c>
      <c r="C68" s="182" t="s">
        <v>33</v>
      </c>
      <c r="D68" s="219" t="s">
        <v>431</v>
      </c>
      <c r="E68" s="163"/>
      <c r="F68" s="166"/>
      <c r="G68" s="166"/>
      <c r="H68" s="166"/>
      <c r="I68" s="249"/>
      <c r="J68" s="52"/>
    </row>
    <row r="69" spans="1:11">
      <c r="A69" s="220"/>
      <c r="B69" s="237">
        <v>81.72</v>
      </c>
      <c r="C69" s="222"/>
      <c r="D69" s="244"/>
      <c r="E69" s="164" t="s">
        <v>13</v>
      </c>
      <c r="F69" s="167"/>
      <c r="G69" s="167"/>
      <c r="H69" s="167">
        <f t="shared" si="4"/>
        <v>0</v>
      </c>
      <c r="I69" s="224"/>
      <c r="J69" s="52"/>
    </row>
    <row r="70" spans="1:11">
      <c r="A70" s="220"/>
      <c r="B70" s="221">
        <f>I74/B69</f>
        <v>9854.0748898678412</v>
      </c>
      <c r="C70" s="222" t="s">
        <v>429</v>
      </c>
      <c r="D70" s="245">
        <f>D$49*B69</f>
        <v>187138.8</v>
      </c>
      <c r="E70" s="164" t="s">
        <v>12</v>
      </c>
      <c r="F70" s="167">
        <v>646229</v>
      </c>
      <c r="G70" s="167"/>
      <c r="H70" s="167">
        <f t="shared" si="4"/>
        <v>646229</v>
      </c>
      <c r="I70" s="224"/>
      <c r="J70" s="52"/>
    </row>
    <row r="71" spans="1:11">
      <c r="A71" s="220"/>
      <c r="B71" s="223"/>
      <c r="C71" s="222"/>
      <c r="D71" s="246"/>
      <c r="E71" s="164" t="s">
        <v>11</v>
      </c>
      <c r="F71" s="167"/>
      <c r="G71" s="167">
        <v>159046</v>
      </c>
      <c r="H71" s="167">
        <f t="shared" si="4"/>
        <v>159046</v>
      </c>
      <c r="I71" s="224"/>
      <c r="J71" s="52"/>
    </row>
    <row r="72" spans="1:11">
      <c r="A72" s="220"/>
      <c r="B72" s="223"/>
      <c r="C72" s="222"/>
      <c r="D72" s="246"/>
      <c r="E72" s="164" t="s">
        <v>14</v>
      </c>
      <c r="F72" s="167"/>
      <c r="G72" s="167"/>
      <c r="H72" s="167">
        <f t="shared" si="4"/>
        <v>0</v>
      </c>
      <c r="I72" s="224"/>
      <c r="J72" s="52"/>
    </row>
    <row r="73" spans="1:11">
      <c r="A73" s="220"/>
      <c r="B73" s="223"/>
      <c r="C73" s="222"/>
      <c r="D73" s="246"/>
      <c r="E73" s="164" t="s">
        <v>420</v>
      </c>
      <c r="F73" s="167"/>
      <c r="G73" s="167"/>
      <c r="H73" s="167">
        <f t="shared" si="4"/>
        <v>0</v>
      </c>
      <c r="I73" s="224"/>
      <c r="J73" s="52"/>
    </row>
    <row r="74" spans="1:11">
      <c r="A74" s="227"/>
      <c r="B74" s="184"/>
      <c r="C74" s="228"/>
      <c r="D74" s="247"/>
      <c r="E74" s="190" t="s">
        <v>425</v>
      </c>
      <c r="F74" s="229">
        <f>SUM(F69:F73)</f>
        <v>646229</v>
      </c>
      <c r="G74" s="229">
        <f>SUM(G69:G73)</f>
        <v>159046</v>
      </c>
      <c r="H74" s="229">
        <f t="shared" ref="H74" si="5">SUM(F74:G74)</f>
        <v>805275</v>
      </c>
      <c r="I74" s="230">
        <f>SUM(H69:H73)</f>
        <v>805275</v>
      </c>
      <c r="J74" s="52">
        <f>I74/B69</f>
        <v>9854.0748898678412</v>
      </c>
    </row>
    <row r="75" spans="1:11" ht="23.25">
      <c r="A75" s="217">
        <v>4</v>
      </c>
      <c r="B75" s="182" t="s">
        <v>17</v>
      </c>
      <c r="C75" s="182" t="s">
        <v>33</v>
      </c>
      <c r="D75" s="219" t="s">
        <v>432</v>
      </c>
      <c r="E75" s="163"/>
      <c r="F75" s="166"/>
      <c r="G75" s="166"/>
      <c r="H75" s="163"/>
      <c r="I75" s="183"/>
      <c r="J75" s="52"/>
    </row>
    <row r="76" spans="1:11">
      <c r="A76" s="220"/>
      <c r="B76" s="237">
        <v>117.72</v>
      </c>
      <c r="C76" s="222"/>
      <c r="D76" s="244"/>
      <c r="E76" s="164" t="s">
        <v>13</v>
      </c>
      <c r="F76" s="167"/>
      <c r="G76" s="167"/>
      <c r="H76" s="167">
        <f t="shared" ref="H76:H81" si="6">SUM(F76:G76)</f>
        <v>0</v>
      </c>
      <c r="I76" s="224"/>
      <c r="J76" s="52"/>
    </row>
    <row r="77" spans="1:11">
      <c r="A77" s="220"/>
      <c r="B77" s="221">
        <f>I81/B76</f>
        <v>5378.5083248385999</v>
      </c>
      <c r="C77" s="222" t="s">
        <v>429</v>
      </c>
      <c r="D77" s="245">
        <f>D$49*B76</f>
        <v>269578.8</v>
      </c>
      <c r="E77" s="164" t="s">
        <v>12</v>
      </c>
      <c r="F77" s="167">
        <v>531567</v>
      </c>
      <c r="G77" s="167"/>
      <c r="H77" s="167">
        <f t="shared" si="6"/>
        <v>531567</v>
      </c>
      <c r="I77" s="224"/>
      <c r="J77" s="52"/>
    </row>
    <row r="78" spans="1:11">
      <c r="A78" s="220"/>
      <c r="B78" s="223"/>
      <c r="C78" s="222"/>
      <c r="D78" s="246"/>
      <c r="E78" s="164" t="s">
        <v>11</v>
      </c>
      <c r="F78" s="167">
        <v>54122</v>
      </c>
      <c r="G78" s="167"/>
      <c r="H78" s="167">
        <f t="shared" si="6"/>
        <v>54122</v>
      </c>
      <c r="I78" s="224"/>
      <c r="J78" s="52"/>
    </row>
    <row r="79" spans="1:11">
      <c r="A79" s="220"/>
      <c r="B79" s="226">
        <v>310</v>
      </c>
      <c r="C79" s="222"/>
      <c r="D79" s="246"/>
      <c r="E79" s="164" t="s">
        <v>14</v>
      </c>
      <c r="F79" s="167">
        <v>47469</v>
      </c>
      <c r="G79" s="167"/>
      <c r="H79" s="167">
        <f t="shared" si="6"/>
        <v>47469</v>
      </c>
      <c r="I79" s="224"/>
      <c r="J79" s="52"/>
    </row>
    <row r="80" spans="1:11">
      <c r="A80" s="220"/>
      <c r="B80" s="223"/>
      <c r="C80" s="222"/>
      <c r="D80" s="246"/>
      <c r="E80" s="164" t="s">
        <v>420</v>
      </c>
      <c r="F80" s="167"/>
      <c r="G80" s="167"/>
      <c r="H80" s="167">
        <f t="shared" si="6"/>
        <v>0</v>
      </c>
      <c r="I80" s="224"/>
      <c r="J80" s="52"/>
    </row>
    <row r="81" spans="1:10">
      <c r="A81" s="227"/>
      <c r="B81" s="184"/>
      <c r="C81" s="228"/>
      <c r="D81" s="247"/>
      <c r="E81" s="190" t="s">
        <v>425</v>
      </c>
      <c r="F81" s="229">
        <f>SUM(F76:F80)</f>
        <v>633158</v>
      </c>
      <c r="G81" s="229">
        <f>SUM(G76:G80)</f>
        <v>0</v>
      </c>
      <c r="H81" s="229">
        <f t="shared" si="6"/>
        <v>633158</v>
      </c>
      <c r="I81" s="230">
        <f>SUM(H76:H80)</f>
        <v>633158</v>
      </c>
      <c r="J81" s="52">
        <f>I81/B76</f>
        <v>5378.5083248385999</v>
      </c>
    </row>
    <row r="82" spans="1:10" ht="23.25">
      <c r="A82" s="217">
        <v>5</v>
      </c>
      <c r="B82" s="182" t="s">
        <v>17</v>
      </c>
      <c r="C82" s="182" t="s">
        <v>33</v>
      </c>
      <c r="D82" s="219" t="s">
        <v>433</v>
      </c>
      <c r="E82" s="163"/>
      <c r="F82" s="166"/>
      <c r="G82" s="166"/>
      <c r="H82" s="163"/>
      <c r="I82" s="183"/>
      <c r="J82" s="52"/>
    </row>
    <row r="83" spans="1:10">
      <c r="A83" s="220"/>
      <c r="B83" s="237">
        <v>95.04</v>
      </c>
      <c r="C83" s="222"/>
      <c r="D83" s="244"/>
      <c r="E83" s="164" t="s">
        <v>13</v>
      </c>
      <c r="F83" s="167"/>
      <c r="G83" s="167"/>
      <c r="H83" s="167">
        <f t="shared" ref="H83:H88" si="7">SUM(F83:G83)</f>
        <v>0</v>
      </c>
      <c r="I83" s="224"/>
      <c r="J83" s="52"/>
    </row>
    <row r="84" spans="1:10">
      <c r="A84" s="220"/>
      <c r="B84" s="221">
        <f>I88/B83</f>
        <v>7103.2828282828277</v>
      </c>
      <c r="C84" s="222" t="s">
        <v>429</v>
      </c>
      <c r="D84" s="245">
        <f>D$49*B83</f>
        <v>217641.60000000001</v>
      </c>
      <c r="E84" s="164" t="s">
        <v>12</v>
      </c>
      <c r="F84" s="167">
        <v>572599</v>
      </c>
      <c r="G84" s="167"/>
      <c r="H84" s="167">
        <f t="shared" si="7"/>
        <v>572599</v>
      </c>
      <c r="I84" s="224"/>
      <c r="J84" s="52"/>
    </row>
    <row r="85" spans="1:10">
      <c r="A85" s="220"/>
      <c r="B85" s="223"/>
      <c r="C85" s="222"/>
      <c r="D85" s="246"/>
      <c r="E85" s="164" t="s">
        <v>11</v>
      </c>
      <c r="F85" s="167"/>
      <c r="G85" s="167">
        <v>101183</v>
      </c>
      <c r="H85" s="167">
        <f t="shared" si="7"/>
        <v>101183</v>
      </c>
      <c r="I85" s="224"/>
      <c r="J85" s="52"/>
    </row>
    <row r="86" spans="1:10">
      <c r="A86" s="220"/>
      <c r="B86" s="226">
        <v>289</v>
      </c>
      <c r="C86" s="222"/>
      <c r="D86" s="246"/>
      <c r="E86" s="164" t="s">
        <v>14</v>
      </c>
      <c r="F86" s="167">
        <v>1314</v>
      </c>
      <c r="G86" s="167"/>
      <c r="H86" s="167">
        <f t="shared" si="7"/>
        <v>1314</v>
      </c>
      <c r="I86" s="224"/>
      <c r="J86" s="52"/>
    </row>
    <row r="87" spans="1:10">
      <c r="A87" s="220"/>
      <c r="B87" s="223"/>
      <c r="C87" s="222"/>
      <c r="D87" s="246"/>
      <c r="E87" s="164" t="s">
        <v>420</v>
      </c>
      <c r="F87" s="167"/>
      <c r="G87" s="167"/>
      <c r="H87" s="167">
        <f t="shared" si="7"/>
        <v>0</v>
      </c>
      <c r="I87" s="224"/>
      <c r="J87" s="52"/>
    </row>
    <row r="88" spans="1:10">
      <c r="A88" s="227"/>
      <c r="B88" s="184"/>
      <c r="C88" s="228"/>
      <c r="D88" s="247"/>
      <c r="E88" s="190" t="s">
        <v>425</v>
      </c>
      <c r="F88" s="229">
        <f>SUM(F83:F87)</f>
        <v>573913</v>
      </c>
      <c r="G88" s="229">
        <f>SUM(G83:G87)</f>
        <v>101183</v>
      </c>
      <c r="H88" s="229">
        <f t="shared" si="7"/>
        <v>675096</v>
      </c>
      <c r="I88" s="230">
        <f>SUM(H83:H87)</f>
        <v>675096</v>
      </c>
      <c r="J88" s="52">
        <f>I88/B83</f>
        <v>7103.2828282828277</v>
      </c>
    </row>
    <row r="89" spans="1:10" ht="34.5">
      <c r="A89" s="217">
        <v>6</v>
      </c>
      <c r="B89" s="182" t="s">
        <v>17</v>
      </c>
      <c r="C89" s="182" t="s">
        <v>33</v>
      </c>
      <c r="D89" s="219" t="s">
        <v>434</v>
      </c>
      <c r="E89" s="163"/>
      <c r="F89" s="166"/>
      <c r="G89" s="166"/>
      <c r="H89" s="163"/>
      <c r="I89" s="183"/>
      <c r="J89" s="52"/>
    </row>
    <row r="90" spans="1:10">
      <c r="A90" s="220"/>
      <c r="B90" s="237">
        <v>99.32</v>
      </c>
      <c r="C90" s="222"/>
      <c r="D90" s="244"/>
      <c r="E90" s="164" t="s">
        <v>13</v>
      </c>
      <c r="F90" s="167"/>
      <c r="G90" s="167"/>
      <c r="H90" s="167">
        <f t="shared" ref="H90:H95" si="8">SUM(F90:G90)</f>
        <v>0</v>
      </c>
      <c r="I90" s="224"/>
      <c r="J90" s="52"/>
    </row>
    <row r="91" spans="1:10">
      <c r="A91" s="220"/>
      <c r="B91" s="221">
        <f>I95/B90</f>
        <v>10479.641562625857</v>
      </c>
      <c r="C91" s="222" t="s">
        <v>429</v>
      </c>
      <c r="D91" s="245">
        <f>D$49*B90</f>
        <v>227442.8</v>
      </c>
      <c r="E91" s="164" t="s">
        <v>12</v>
      </c>
      <c r="F91" s="167">
        <v>575541</v>
      </c>
      <c r="G91" s="167"/>
      <c r="H91" s="167">
        <f t="shared" si="8"/>
        <v>575541</v>
      </c>
      <c r="I91" s="224"/>
      <c r="J91" s="52"/>
    </row>
    <row r="92" spans="1:10">
      <c r="A92" s="220"/>
      <c r="B92" s="223"/>
      <c r="C92" s="222"/>
      <c r="D92" s="246"/>
      <c r="E92" s="164" t="s">
        <v>11</v>
      </c>
      <c r="F92" s="167"/>
      <c r="G92" s="167">
        <v>230297</v>
      </c>
      <c r="H92" s="167">
        <f t="shared" si="8"/>
        <v>230297</v>
      </c>
      <c r="I92" s="224"/>
      <c r="J92" s="52"/>
    </row>
    <row r="93" spans="1:10">
      <c r="A93" s="220"/>
      <c r="B93" s="223"/>
      <c r="C93" s="222"/>
      <c r="D93" s="246"/>
      <c r="E93" s="164" t="s">
        <v>14</v>
      </c>
      <c r="F93" s="167">
        <v>235000</v>
      </c>
      <c r="G93" s="167"/>
      <c r="H93" s="167">
        <f t="shared" si="8"/>
        <v>235000</v>
      </c>
      <c r="I93" s="224"/>
      <c r="J93" s="52"/>
    </row>
    <row r="94" spans="1:10">
      <c r="A94" s="220"/>
      <c r="B94" s="223"/>
      <c r="C94" s="222"/>
      <c r="D94" s="246"/>
      <c r="E94" s="164" t="s">
        <v>420</v>
      </c>
      <c r="F94" s="167"/>
      <c r="G94" s="167"/>
      <c r="H94" s="167">
        <f t="shared" si="8"/>
        <v>0</v>
      </c>
      <c r="I94" s="224"/>
      <c r="J94" s="52"/>
    </row>
    <row r="95" spans="1:10">
      <c r="A95" s="227"/>
      <c r="B95" s="184"/>
      <c r="C95" s="228"/>
      <c r="D95" s="247"/>
      <c r="E95" s="190" t="s">
        <v>425</v>
      </c>
      <c r="F95" s="229">
        <f>SUM(F90:F94)</f>
        <v>810541</v>
      </c>
      <c r="G95" s="229">
        <f>SUM(G90:G94)</f>
        <v>230297</v>
      </c>
      <c r="H95" s="229">
        <f t="shared" si="8"/>
        <v>1040838</v>
      </c>
      <c r="I95" s="230">
        <f>SUM(H90:H94)</f>
        <v>1040838</v>
      </c>
      <c r="J95" s="52">
        <f>I95/B90</f>
        <v>10479.641562625857</v>
      </c>
    </row>
    <row r="96" spans="1:10">
      <c r="A96" s="217"/>
      <c r="B96" s="182"/>
      <c r="C96" s="182"/>
      <c r="D96" s="182"/>
      <c r="E96" s="163"/>
      <c r="F96" s="166"/>
      <c r="G96" s="166"/>
      <c r="H96" s="163"/>
      <c r="I96" s="183"/>
    </row>
    <row r="97" spans="1:10">
      <c r="A97" s="220"/>
      <c r="B97" s="251" t="s">
        <v>465</v>
      </c>
      <c r="C97" s="223"/>
      <c r="D97" s="223"/>
      <c r="E97" s="164"/>
      <c r="F97" s="167"/>
      <c r="G97" s="167"/>
      <c r="H97" s="164"/>
      <c r="I97" s="224"/>
    </row>
    <row r="98" spans="1:10">
      <c r="A98" s="220"/>
      <c r="B98" s="252">
        <f>B54+B69+B76+B83+B90</f>
        <v>814.01</v>
      </c>
      <c r="C98" s="223"/>
      <c r="D98" s="223"/>
      <c r="E98" s="164"/>
      <c r="F98" s="167"/>
      <c r="G98" s="167"/>
      <c r="H98" s="168">
        <f>I98/B98</f>
        <v>7464.5999434896376</v>
      </c>
      <c r="I98" s="253">
        <f>I60+I74+I81+I88+I95</f>
        <v>6076259</v>
      </c>
    </row>
    <row r="99" spans="1:10">
      <c r="A99" s="220"/>
      <c r="B99" s="221"/>
      <c r="C99" s="223"/>
      <c r="D99" s="223"/>
      <c r="E99" s="164" t="s">
        <v>13</v>
      </c>
      <c r="F99" s="167">
        <f>F55+F69+F76+F83+F90</f>
        <v>0</v>
      </c>
      <c r="G99" s="167">
        <f>G55+G69+G76+G83+G90</f>
        <v>0</v>
      </c>
      <c r="H99" s="213">
        <f t="shared" ref="H99:H104" si="9">SUM(F99:G99)</f>
        <v>0</v>
      </c>
      <c r="I99" s="224"/>
    </row>
    <row r="100" spans="1:10" s="44" customFormat="1">
      <c r="A100" s="220"/>
      <c r="B100" s="223"/>
      <c r="C100" s="223"/>
      <c r="D100" s="223"/>
      <c r="E100" s="164" t="s">
        <v>12</v>
      </c>
      <c r="F100" s="167">
        <f t="shared" ref="F100:G103" si="10">F56+F70+F77+F84+F91</f>
        <v>4904778</v>
      </c>
      <c r="G100" s="167">
        <f t="shared" si="10"/>
        <v>0</v>
      </c>
      <c r="H100" s="213">
        <f t="shared" si="9"/>
        <v>4904778</v>
      </c>
      <c r="I100" s="254">
        <f>H100/I104</f>
        <v>0.80720357706937773</v>
      </c>
      <c r="J100" s="65"/>
    </row>
    <row r="101" spans="1:10" s="44" customFormat="1">
      <c r="A101" s="220"/>
      <c r="B101" s="223"/>
      <c r="C101" s="223"/>
      <c r="D101" s="223"/>
      <c r="E101" s="164" t="s">
        <v>11</v>
      </c>
      <c r="F101" s="167">
        <f t="shared" si="10"/>
        <v>54122</v>
      </c>
      <c r="G101" s="167">
        <f t="shared" si="10"/>
        <v>693720</v>
      </c>
      <c r="H101" s="213">
        <f t="shared" si="9"/>
        <v>747842</v>
      </c>
      <c r="I101" s="254">
        <f>H101/I104</f>
        <v>0.12307605715951213</v>
      </c>
      <c r="J101" s="65"/>
    </row>
    <row r="102" spans="1:10" s="44" customFormat="1">
      <c r="A102" s="220"/>
      <c r="B102" s="223"/>
      <c r="C102" s="223"/>
      <c r="D102" s="223"/>
      <c r="E102" s="164" t="s">
        <v>14</v>
      </c>
      <c r="F102" s="167">
        <f t="shared" si="10"/>
        <v>376520</v>
      </c>
      <c r="G102" s="167">
        <f t="shared" si="10"/>
        <v>47119</v>
      </c>
      <c r="H102" s="213">
        <f t="shared" si="9"/>
        <v>423639</v>
      </c>
      <c r="I102" s="254">
        <f>H102/I104</f>
        <v>6.9720365771110154E-2</v>
      </c>
      <c r="J102" s="65"/>
    </row>
    <row r="103" spans="1:10" s="44" customFormat="1">
      <c r="A103" s="220"/>
      <c r="B103" s="223"/>
      <c r="C103" s="223"/>
      <c r="D103" s="223"/>
      <c r="E103" s="164" t="s">
        <v>420</v>
      </c>
      <c r="F103" s="167">
        <f t="shared" si="10"/>
        <v>0</v>
      </c>
      <c r="G103" s="167">
        <f t="shared" si="10"/>
        <v>0</v>
      </c>
      <c r="H103" s="213">
        <f t="shared" si="9"/>
        <v>0</v>
      </c>
      <c r="I103" s="224"/>
      <c r="J103"/>
    </row>
    <row r="104" spans="1:10" s="44" customFormat="1">
      <c r="A104" s="220"/>
      <c r="B104" s="223"/>
      <c r="C104" s="223"/>
      <c r="D104" s="223"/>
      <c r="E104" s="164" t="s">
        <v>425</v>
      </c>
      <c r="F104" s="167">
        <f>SUM(F99:F103)</f>
        <v>5335420</v>
      </c>
      <c r="G104" s="167">
        <f>SUM(G99:G103)</f>
        <v>740839</v>
      </c>
      <c r="H104" s="167">
        <f t="shared" si="9"/>
        <v>6076259</v>
      </c>
      <c r="I104" s="255">
        <f>SUM(H99:H103)</f>
        <v>6076259</v>
      </c>
      <c r="J104">
        <f>H102/I104</f>
        <v>6.9720365771110154E-2</v>
      </c>
    </row>
    <row r="105" spans="1:10" s="44" customFormat="1">
      <c r="A105" s="220"/>
      <c r="B105" s="251" t="s">
        <v>466</v>
      </c>
      <c r="C105" s="223"/>
      <c r="D105" s="223"/>
      <c r="E105" s="164"/>
      <c r="F105" s="167"/>
      <c r="G105" s="167"/>
      <c r="H105" s="164" t="s">
        <v>16</v>
      </c>
      <c r="I105" s="224"/>
      <c r="J105"/>
    </row>
    <row r="106" spans="1:10" s="44" customFormat="1">
      <c r="A106" s="220"/>
      <c r="B106" s="223" t="s">
        <v>17</v>
      </c>
      <c r="C106" s="223" t="s">
        <v>33</v>
      </c>
      <c r="D106" s="256" t="s">
        <v>30</v>
      </c>
      <c r="E106" s="164"/>
      <c r="F106" s="167"/>
      <c r="G106" s="167"/>
      <c r="H106" s="164"/>
      <c r="I106" s="224"/>
      <c r="J106"/>
    </row>
    <row r="107" spans="1:10">
      <c r="A107" s="220"/>
      <c r="B107" s="257">
        <f>B54+B62+B69+B76+B83+B90</f>
        <v>826.3</v>
      </c>
      <c r="C107" s="222"/>
      <c r="D107" s="222"/>
      <c r="E107" s="164" t="s">
        <v>13</v>
      </c>
      <c r="F107" s="167">
        <f>F55+F62+F69+F76+F83+F90</f>
        <v>0</v>
      </c>
      <c r="G107" s="167">
        <f>G55+G62+G69+G76+G83+G90</f>
        <v>0</v>
      </c>
      <c r="H107" s="214">
        <f t="shared" ref="H107:H112" si="11">SUM(F107:G107)</f>
        <v>0</v>
      </c>
      <c r="I107" s="258"/>
    </row>
    <row r="108" spans="1:10">
      <c r="A108" s="220"/>
      <c r="B108" s="223"/>
      <c r="C108" s="222" t="s">
        <v>429</v>
      </c>
      <c r="D108" s="225">
        <f>D$49*B107</f>
        <v>1892227</v>
      </c>
      <c r="E108" s="164" t="s">
        <v>12</v>
      </c>
      <c r="F108" s="167">
        <f t="shared" ref="F108:G111" si="12">F56+F63+F70+F77+F84+F91</f>
        <v>4904778</v>
      </c>
      <c r="G108" s="167">
        <f t="shared" si="12"/>
        <v>16977</v>
      </c>
      <c r="H108" s="214">
        <f t="shared" si="11"/>
        <v>4921755</v>
      </c>
      <c r="I108" s="258"/>
    </row>
    <row r="109" spans="1:10">
      <c r="A109" s="220"/>
      <c r="B109" s="223"/>
      <c r="C109" s="222"/>
      <c r="D109" s="222"/>
      <c r="E109" s="164" t="s">
        <v>11</v>
      </c>
      <c r="F109" s="167">
        <f t="shared" si="12"/>
        <v>54122</v>
      </c>
      <c r="G109" s="167">
        <f t="shared" si="12"/>
        <v>767125</v>
      </c>
      <c r="H109" s="214">
        <f t="shared" si="11"/>
        <v>821247</v>
      </c>
      <c r="I109" s="258"/>
    </row>
    <row r="110" spans="1:10">
      <c r="A110" s="220"/>
      <c r="B110" s="223"/>
      <c r="C110" s="222"/>
      <c r="D110" s="222"/>
      <c r="E110" s="164" t="s">
        <v>14</v>
      </c>
      <c r="F110" s="167">
        <f t="shared" si="12"/>
        <v>4735802</v>
      </c>
      <c r="G110" s="167">
        <f t="shared" si="12"/>
        <v>528819</v>
      </c>
      <c r="H110" s="214">
        <f t="shared" si="11"/>
        <v>5264621</v>
      </c>
      <c r="I110" s="258"/>
    </row>
    <row r="111" spans="1:10">
      <c r="A111" s="220"/>
      <c r="B111" s="223"/>
      <c r="C111" s="222"/>
      <c r="D111" s="222"/>
      <c r="E111" s="164" t="s">
        <v>420</v>
      </c>
      <c r="F111" s="167">
        <f t="shared" si="12"/>
        <v>0</v>
      </c>
      <c r="G111" s="167">
        <f t="shared" si="12"/>
        <v>0</v>
      </c>
      <c r="H111" s="215">
        <f t="shared" si="11"/>
        <v>0</v>
      </c>
      <c r="I111" s="258"/>
    </row>
    <row r="112" spans="1:10">
      <c r="A112" s="220"/>
      <c r="B112" s="223"/>
      <c r="C112" s="222"/>
      <c r="D112" s="222"/>
      <c r="E112" s="164" t="s">
        <v>425</v>
      </c>
      <c r="F112" s="167">
        <f>SUM(F107:F111)</f>
        <v>9694702</v>
      </c>
      <c r="G112" s="167">
        <f>SUM(G107:G111)</f>
        <v>1312921</v>
      </c>
      <c r="H112" s="216">
        <f t="shared" si="11"/>
        <v>11007623</v>
      </c>
      <c r="I112" s="280">
        <f>SUM(H107:H111)</f>
        <v>11007623</v>
      </c>
    </row>
    <row r="113" spans="1:10">
      <c r="A113" s="227"/>
      <c r="B113" s="259">
        <f>H112/B107</f>
        <v>13321.581749969746</v>
      </c>
      <c r="C113" s="184"/>
      <c r="D113" s="184"/>
      <c r="E113" s="190"/>
      <c r="F113" s="190"/>
      <c r="G113" s="190"/>
      <c r="H113" s="190"/>
      <c r="I113" s="185"/>
    </row>
    <row r="115" spans="1:10" ht="27" customHeight="1">
      <c r="A115" s="400" t="s">
        <v>722</v>
      </c>
      <c r="B115" s="401"/>
      <c r="C115" s="401"/>
      <c r="D115" s="401"/>
      <c r="E115" s="401"/>
      <c r="F115" s="401"/>
      <c r="G115" s="401"/>
      <c r="H115" s="401"/>
      <c r="I115" s="401"/>
    </row>
    <row r="117" spans="1:10">
      <c r="A117" s="66"/>
      <c r="B117" s="67"/>
      <c r="C117" s="67"/>
      <c r="D117" s="67"/>
      <c r="E117" s="67"/>
      <c r="F117" s="67"/>
      <c r="G117" s="67"/>
      <c r="H117" s="67"/>
      <c r="I117" s="67"/>
    </row>
    <row r="121" spans="1:10">
      <c r="A121" s="260" t="s">
        <v>435</v>
      </c>
      <c r="B121" s="182"/>
      <c r="C121" s="182"/>
      <c r="D121" s="182"/>
      <c r="E121" s="182"/>
      <c r="F121" s="194"/>
      <c r="G121" s="194" t="s">
        <v>423</v>
      </c>
      <c r="H121" s="188"/>
      <c r="I121" s="183"/>
      <c r="J121" s="52"/>
    </row>
    <row r="122" spans="1:10">
      <c r="A122" s="220"/>
      <c r="B122" s="188"/>
      <c r="C122" s="188"/>
      <c r="D122" s="188"/>
      <c r="E122" s="223"/>
      <c r="F122" s="209" t="s">
        <v>421</v>
      </c>
      <c r="G122" s="209" t="s">
        <v>424</v>
      </c>
      <c r="H122" s="210"/>
      <c r="I122" s="224"/>
      <c r="J122" s="52"/>
    </row>
    <row r="123" spans="1:10">
      <c r="A123" s="220"/>
      <c r="B123" s="189" t="s">
        <v>17</v>
      </c>
      <c r="C123" s="189" t="s">
        <v>5</v>
      </c>
      <c r="D123" s="189" t="s">
        <v>430</v>
      </c>
      <c r="E123" s="223"/>
      <c r="F123" s="193" t="s">
        <v>422</v>
      </c>
      <c r="G123" s="193" t="s">
        <v>422</v>
      </c>
      <c r="H123" s="193" t="s">
        <v>426</v>
      </c>
      <c r="I123" s="224"/>
      <c r="J123" s="52"/>
    </row>
    <row r="124" spans="1:10">
      <c r="A124" s="220"/>
      <c r="B124" s="223"/>
      <c r="C124" s="223" t="s">
        <v>435</v>
      </c>
      <c r="D124" s="70" t="s">
        <v>436</v>
      </c>
      <c r="E124" s="223"/>
      <c r="F124" s="163"/>
      <c r="G124" s="163"/>
      <c r="H124" s="163"/>
      <c r="I124" s="224"/>
      <c r="J124" s="52"/>
    </row>
    <row r="125" spans="1:10" ht="23.25">
      <c r="A125" s="220"/>
      <c r="B125" s="237">
        <v>1485.03</v>
      </c>
      <c r="C125" s="135"/>
      <c r="D125" s="265" t="s">
        <v>438</v>
      </c>
      <c r="E125" s="223" t="s">
        <v>13</v>
      </c>
      <c r="F125" s="167"/>
      <c r="G125" s="167"/>
      <c r="H125" s="167">
        <f t="shared" ref="H125:H130" si="13">SUM(F125:G125)</f>
        <v>0</v>
      </c>
      <c r="I125" s="224"/>
      <c r="J125" s="52"/>
    </row>
    <row r="126" spans="1:10" ht="23.25">
      <c r="A126" s="220"/>
      <c r="B126" s="237">
        <v>95.77</v>
      </c>
      <c r="C126" s="135"/>
      <c r="D126" s="266" t="s">
        <v>437</v>
      </c>
      <c r="E126" s="223" t="s">
        <v>12</v>
      </c>
      <c r="F126" s="167"/>
      <c r="G126" s="167"/>
      <c r="H126" s="167">
        <f t="shared" si="13"/>
        <v>0</v>
      </c>
      <c r="I126" s="224"/>
      <c r="J126" s="52"/>
    </row>
    <row r="127" spans="1:10" ht="23.25">
      <c r="A127" s="220"/>
      <c r="B127" s="237">
        <v>106.96</v>
      </c>
      <c r="C127" s="135"/>
      <c r="D127" s="265" t="s">
        <v>439</v>
      </c>
      <c r="E127" s="223" t="s">
        <v>11</v>
      </c>
      <c r="F127" s="167"/>
      <c r="G127" s="167"/>
      <c r="H127" s="167">
        <f t="shared" si="13"/>
        <v>0</v>
      </c>
      <c r="I127" s="224"/>
      <c r="J127" s="52"/>
    </row>
    <row r="128" spans="1:10" ht="34.5">
      <c r="A128" s="220"/>
      <c r="B128" s="237">
        <v>697.09</v>
      </c>
      <c r="C128" s="135"/>
      <c r="D128" s="265" t="s">
        <v>440</v>
      </c>
      <c r="E128" s="223" t="s">
        <v>14</v>
      </c>
      <c r="F128" s="167">
        <v>338407</v>
      </c>
      <c r="G128" s="167"/>
      <c r="H128" s="167">
        <f t="shared" si="13"/>
        <v>338407</v>
      </c>
      <c r="I128" s="224"/>
      <c r="J128" s="52"/>
    </row>
    <row r="129" spans="1:10">
      <c r="A129" s="220"/>
      <c r="B129" s="237"/>
      <c r="C129" s="135"/>
      <c r="D129" s="261"/>
      <c r="E129" s="223" t="s">
        <v>420</v>
      </c>
      <c r="F129" s="167">
        <f>13050791+269933+7829533</f>
        <v>21150257</v>
      </c>
      <c r="G129" s="167"/>
      <c r="H129" s="167">
        <f t="shared" si="13"/>
        <v>21150257</v>
      </c>
      <c r="I129" s="224"/>
      <c r="J129" s="52"/>
    </row>
    <row r="130" spans="1:10">
      <c r="A130" s="220"/>
      <c r="B130" s="237">
        <f>SUM(B125:B129)</f>
        <v>2384.85</v>
      </c>
      <c r="C130" s="135"/>
      <c r="D130" s="261"/>
      <c r="E130" s="223" t="s">
        <v>425</v>
      </c>
      <c r="F130" s="229">
        <f>SUM(F125:F129)</f>
        <v>21488664</v>
      </c>
      <c r="G130" s="229">
        <f>SUM(G125:G129)</f>
        <v>0</v>
      </c>
      <c r="H130" s="229">
        <f t="shared" si="13"/>
        <v>21488664</v>
      </c>
      <c r="I130" s="253">
        <f>SUM(H125:H129)</f>
        <v>21488664</v>
      </c>
      <c r="J130" s="52">
        <f>I130/B130</f>
        <v>9010.4887099817606</v>
      </c>
    </row>
    <row r="131" spans="1:10">
      <c r="A131" s="227"/>
      <c r="B131" s="184"/>
      <c r="C131" s="262"/>
      <c r="D131" s="263"/>
      <c r="E131" s="184"/>
      <c r="F131" s="264"/>
      <c r="G131" s="264"/>
      <c r="H131" s="264"/>
      <c r="I131" s="230">
        <f>I130/B130</f>
        <v>9010.4887099817606</v>
      </c>
      <c r="J131" s="52"/>
    </row>
    <row r="132" spans="1:10">
      <c r="B132" s="44"/>
      <c r="C132" s="55"/>
      <c r="D132" s="69"/>
      <c r="E132" s="44"/>
      <c r="F132" s="52"/>
      <c r="G132" s="52"/>
      <c r="H132" s="52"/>
      <c r="I132" s="52"/>
      <c r="J132" s="52"/>
    </row>
    <row r="133" spans="1:10">
      <c r="A133" s="260" t="s">
        <v>441</v>
      </c>
      <c r="B133" s="182"/>
      <c r="C133" s="182"/>
      <c r="D133" s="182"/>
      <c r="E133" s="163"/>
      <c r="F133" s="194"/>
      <c r="G133" s="194" t="s">
        <v>423</v>
      </c>
      <c r="H133" s="188"/>
      <c r="I133" s="183"/>
      <c r="J133" s="52"/>
    </row>
    <row r="134" spans="1:10">
      <c r="A134" s="220"/>
      <c r="B134" s="188"/>
      <c r="C134" s="188"/>
      <c r="D134" s="186"/>
      <c r="E134" s="164"/>
      <c r="F134" s="209" t="s">
        <v>421</v>
      </c>
      <c r="G134" s="209" t="s">
        <v>424</v>
      </c>
      <c r="H134" s="210"/>
      <c r="I134" s="224"/>
      <c r="J134" s="52"/>
    </row>
    <row r="135" spans="1:10">
      <c r="A135" s="220"/>
      <c r="B135" s="189" t="s">
        <v>17</v>
      </c>
      <c r="C135" s="189" t="s">
        <v>5</v>
      </c>
      <c r="D135" s="187" t="s">
        <v>430</v>
      </c>
      <c r="E135" s="164"/>
      <c r="F135" s="193" t="s">
        <v>422</v>
      </c>
      <c r="G135" s="193" t="s">
        <v>422</v>
      </c>
      <c r="H135" s="193" t="s">
        <v>426</v>
      </c>
      <c r="I135" s="224"/>
      <c r="J135" s="52"/>
    </row>
    <row r="136" spans="1:10" ht="23.25">
      <c r="A136" s="220">
        <v>1</v>
      </c>
      <c r="B136" s="237">
        <v>97.63</v>
      </c>
      <c r="C136" s="223"/>
      <c r="D136" s="256" t="s">
        <v>442</v>
      </c>
      <c r="E136" s="164"/>
      <c r="F136" s="163"/>
      <c r="G136" s="163"/>
      <c r="H136" s="163"/>
      <c r="I136" s="224"/>
      <c r="J136" s="52"/>
    </row>
    <row r="137" spans="1:10">
      <c r="A137" s="220"/>
      <c r="B137" s="267">
        <f>I142/B136</f>
        <v>7504.9165215609955</v>
      </c>
      <c r="C137" s="222"/>
      <c r="D137" s="244"/>
      <c r="E137" s="164" t="s">
        <v>13</v>
      </c>
      <c r="F137" s="167"/>
      <c r="G137" s="167"/>
      <c r="H137" s="167">
        <f t="shared" ref="H137:H142" si="14">SUM(F137:G137)</f>
        <v>0</v>
      </c>
      <c r="I137" s="224"/>
      <c r="J137" s="52"/>
    </row>
    <row r="138" spans="1:10">
      <c r="A138" s="220"/>
      <c r="B138" s="223"/>
      <c r="C138" s="222" t="s">
        <v>429</v>
      </c>
      <c r="D138" s="245">
        <f>B136*D$49</f>
        <v>223572.69999999998</v>
      </c>
      <c r="E138" s="164" t="s">
        <v>12</v>
      </c>
      <c r="F138" s="167">
        <v>697219</v>
      </c>
      <c r="G138" s="167"/>
      <c r="H138" s="167">
        <f t="shared" si="14"/>
        <v>697219</v>
      </c>
      <c r="I138" s="224"/>
      <c r="J138" s="52"/>
    </row>
    <row r="139" spans="1:10">
      <c r="A139" s="220"/>
      <c r="B139" s="223"/>
      <c r="C139" s="222"/>
      <c r="D139" s="246"/>
      <c r="E139" s="164" t="s">
        <v>11</v>
      </c>
      <c r="F139" s="167"/>
      <c r="G139" s="167"/>
      <c r="H139" s="167">
        <f t="shared" si="14"/>
        <v>0</v>
      </c>
      <c r="I139" s="224"/>
      <c r="J139" s="52"/>
    </row>
    <row r="140" spans="1:10">
      <c r="A140" s="220"/>
      <c r="B140" s="223"/>
      <c r="C140" s="222"/>
      <c r="D140" s="246"/>
      <c r="E140" s="164" t="s">
        <v>14</v>
      </c>
      <c r="F140" s="167">
        <v>35486</v>
      </c>
      <c r="G140" s="167"/>
      <c r="H140" s="167">
        <f t="shared" si="14"/>
        <v>35486</v>
      </c>
      <c r="I140" s="224"/>
      <c r="J140" s="52"/>
    </row>
    <row r="141" spans="1:10">
      <c r="A141" s="220"/>
      <c r="B141" s="223"/>
      <c r="C141" s="222"/>
      <c r="D141" s="246"/>
      <c r="E141" s="164" t="s">
        <v>420</v>
      </c>
      <c r="F141" s="167"/>
      <c r="G141" s="167"/>
      <c r="H141" s="167">
        <f t="shared" si="14"/>
        <v>0</v>
      </c>
      <c r="I141" s="224"/>
      <c r="J141" s="52"/>
    </row>
    <row r="142" spans="1:10">
      <c r="A142" s="220"/>
      <c r="B142" s="223"/>
      <c r="C142" s="222"/>
      <c r="D142" s="247"/>
      <c r="E142" s="164" t="s">
        <v>425</v>
      </c>
      <c r="F142" s="167">
        <f>SUM(F137:F141)</f>
        <v>732705</v>
      </c>
      <c r="G142" s="167">
        <f>SUM(G137:G141)</f>
        <v>0</v>
      </c>
      <c r="H142" s="167">
        <f t="shared" si="14"/>
        <v>732705</v>
      </c>
      <c r="I142" s="253">
        <f>SUM(H137:H141)</f>
        <v>732705</v>
      </c>
      <c r="J142" s="52">
        <f>I142/B136</f>
        <v>7504.9165215609955</v>
      </c>
    </row>
    <row r="143" spans="1:10" ht="23.25">
      <c r="A143" s="220">
        <v>2</v>
      </c>
      <c r="B143" s="223" t="s">
        <v>17</v>
      </c>
      <c r="C143" s="223"/>
      <c r="D143" s="256" t="s">
        <v>443</v>
      </c>
      <c r="E143" s="164"/>
      <c r="F143" s="167"/>
      <c r="G143" s="167"/>
      <c r="H143" s="164"/>
      <c r="I143" s="224"/>
      <c r="J143" s="52"/>
    </row>
    <row r="144" spans="1:10">
      <c r="A144" s="220"/>
      <c r="B144" s="237">
        <v>88.5</v>
      </c>
      <c r="C144" s="222"/>
      <c r="D144" s="244"/>
      <c r="E144" s="164" t="s">
        <v>13</v>
      </c>
      <c r="F144" s="167"/>
      <c r="G144" s="167"/>
      <c r="H144" s="167">
        <f t="shared" ref="H144:H149" si="15">SUM(F144:G144)</f>
        <v>0</v>
      </c>
      <c r="I144" s="224"/>
      <c r="J144" s="52"/>
    </row>
    <row r="145" spans="1:10">
      <c r="A145" s="220"/>
      <c r="B145" s="267">
        <f>I149/B144</f>
        <v>8500.9491525423728</v>
      </c>
      <c r="C145" s="222" t="s">
        <v>429</v>
      </c>
      <c r="D145" s="245">
        <f>B144*D$49</f>
        <v>202665</v>
      </c>
      <c r="E145" s="164" t="s">
        <v>12</v>
      </c>
      <c r="F145" s="167">
        <v>732457</v>
      </c>
      <c r="G145" s="167"/>
      <c r="H145" s="167">
        <f t="shared" si="15"/>
        <v>732457</v>
      </c>
      <c r="I145" s="224"/>
      <c r="J145" s="52"/>
    </row>
    <row r="146" spans="1:10">
      <c r="A146" s="220"/>
      <c r="B146" s="223"/>
      <c r="C146" s="222"/>
      <c r="D146" s="246"/>
      <c r="E146" s="164" t="s">
        <v>11</v>
      </c>
      <c r="F146" s="167"/>
      <c r="G146" s="167"/>
      <c r="H146" s="167">
        <f t="shared" si="15"/>
        <v>0</v>
      </c>
      <c r="I146" s="224"/>
      <c r="J146" s="52"/>
    </row>
    <row r="147" spans="1:10">
      <c r="A147" s="220"/>
      <c r="B147" s="223"/>
      <c r="C147" s="222"/>
      <c r="D147" s="246"/>
      <c r="E147" s="164" t="s">
        <v>14</v>
      </c>
      <c r="F147" s="167">
        <v>19877</v>
      </c>
      <c r="G147" s="167"/>
      <c r="H147" s="167">
        <f t="shared" si="15"/>
        <v>19877</v>
      </c>
      <c r="I147" s="224"/>
      <c r="J147" s="52"/>
    </row>
    <row r="148" spans="1:10">
      <c r="A148" s="220"/>
      <c r="B148" s="223"/>
      <c r="C148" s="222"/>
      <c r="D148" s="246"/>
      <c r="E148" s="164" t="s">
        <v>420</v>
      </c>
      <c r="F148" s="167"/>
      <c r="G148" s="167"/>
      <c r="H148" s="167">
        <f t="shared" si="15"/>
        <v>0</v>
      </c>
      <c r="I148" s="224"/>
      <c r="J148" s="52"/>
    </row>
    <row r="149" spans="1:10">
      <c r="A149" s="220"/>
      <c r="B149" s="223"/>
      <c r="C149" s="222"/>
      <c r="D149" s="247"/>
      <c r="E149" s="164" t="s">
        <v>425</v>
      </c>
      <c r="F149" s="167">
        <f>SUM(F144:F148)</f>
        <v>752334</v>
      </c>
      <c r="G149" s="167">
        <f>SUM(G144:G148)</f>
        <v>0</v>
      </c>
      <c r="H149" s="167">
        <f t="shared" si="15"/>
        <v>752334</v>
      </c>
      <c r="I149" s="253">
        <f>SUM(H144:H148)</f>
        <v>752334</v>
      </c>
      <c r="J149" s="52">
        <f>I149/B144</f>
        <v>8500.9491525423728</v>
      </c>
    </row>
    <row r="150" spans="1:10">
      <c r="A150" s="220"/>
      <c r="B150" s="251" t="s">
        <v>444</v>
      </c>
      <c r="C150" s="223"/>
      <c r="D150" s="256" t="s">
        <v>30</v>
      </c>
      <c r="E150" s="164"/>
      <c r="F150" s="167"/>
      <c r="G150" s="167"/>
      <c r="H150" s="167"/>
      <c r="I150" s="253"/>
      <c r="J150" s="52"/>
    </row>
    <row r="151" spans="1:10">
      <c r="A151" s="220"/>
      <c r="B151" s="268">
        <f>B136+B144</f>
        <v>186.13</v>
      </c>
      <c r="C151" s="222"/>
      <c r="D151" s="244"/>
      <c r="E151" s="164" t="s">
        <v>13</v>
      </c>
      <c r="F151" s="167">
        <f>F137+F144</f>
        <v>0</v>
      </c>
      <c r="G151" s="167">
        <f>G137+G144</f>
        <v>0</v>
      </c>
      <c r="H151" s="167">
        <f t="shared" ref="H151:H156" si="16">SUM(F151:G151)</f>
        <v>0</v>
      </c>
      <c r="I151" s="224"/>
      <c r="J151" s="52"/>
    </row>
    <row r="152" spans="1:10">
      <c r="A152" s="220"/>
      <c r="B152" s="267">
        <f>I156/B151</f>
        <v>7978.5042712082959</v>
      </c>
      <c r="C152" s="222" t="s">
        <v>429</v>
      </c>
      <c r="D152" s="245">
        <f>B151*D$49</f>
        <v>426237.7</v>
      </c>
      <c r="E152" s="164" t="s">
        <v>12</v>
      </c>
      <c r="F152" s="167">
        <f t="shared" ref="F152:G155" si="17">F138+F145</f>
        <v>1429676</v>
      </c>
      <c r="G152" s="167">
        <f t="shared" si="17"/>
        <v>0</v>
      </c>
      <c r="H152" s="167">
        <f t="shared" si="16"/>
        <v>1429676</v>
      </c>
      <c r="I152" s="224"/>
      <c r="J152" s="52"/>
    </row>
    <row r="153" spans="1:10">
      <c r="A153" s="220"/>
      <c r="B153" s="223"/>
      <c r="C153" s="222"/>
      <c r="D153" s="246"/>
      <c r="E153" s="164" t="s">
        <v>11</v>
      </c>
      <c r="F153" s="167">
        <f t="shared" si="17"/>
        <v>0</v>
      </c>
      <c r="G153" s="167">
        <f t="shared" si="17"/>
        <v>0</v>
      </c>
      <c r="H153" s="167">
        <f t="shared" si="16"/>
        <v>0</v>
      </c>
      <c r="I153" s="224"/>
      <c r="J153" s="52"/>
    </row>
    <row r="154" spans="1:10">
      <c r="A154" s="220"/>
      <c r="B154" s="223"/>
      <c r="C154" s="222"/>
      <c r="D154" s="246"/>
      <c r="E154" s="164" t="s">
        <v>14</v>
      </c>
      <c r="F154" s="167">
        <f t="shared" si="17"/>
        <v>55363</v>
      </c>
      <c r="G154" s="167">
        <f t="shared" si="17"/>
        <v>0</v>
      </c>
      <c r="H154" s="167">
        <f t="shared" si="16"/>
        <v>55363</v>
      </c>
      <c r="I154" s="224"/>
      <c r="J154" s="52"/>
    </row>
    <row r="155" spans="1:10">
      <c r="A155" s="220"/>
      <c r="B155" s="223"/>
      <c r="C155" s="222"/>
      <c r="D155" s="246"/>
      <c r="E155" s="164" t="s">
        <v>420</v>
      </c>
      <c r="F155" s="167">
        <f t="shared" si="17"/>
        <v>0</v>
      </c>
      <c r="G155" s="167">
        <f t="shared" si="17"/>
        <v>0</v>
      </c>
      <c r="H155" s="167">
        <f t="shared" si="16"/>
        <v>0</v>
      </c>
      <c r="I155" s="224"/>
      <c r="J155" s="52"/>
    </row>
    <row r="156" spans="1:10">
      <c r="A156" s="220"/>
      <c r="B156" s="223"/>
      <c r="C156" s="222"/>
      <c r="D156" s="247"/>
      <c r="E156" s="164" t="s">
        <v>425</v>
      </c>
      <c r="F156" s="167">
        <f>SUM(F151:F155)</f>
        <v>1485039</v>
      </c>
      <c r="G156" s="167">
        <f>SUM(G151:G155)</f>
        <v>0</v>
      </c>
      <c r="H156" s="167">
        <f t="shared" si="16"/>
        <v>1485039</v>
      </c>
      <c r="I156" s="253">
        <f>SUM(H151:H155)</f>
        <v>1485039</v>
      </c>
      <c r="J156" s="52">
        <f>I156/B151</f>
        <v>7978.5042712082959</v>
      </c>
    </row>
    <row r="157" spans="1:10">
      <c r="A157" s="227"/>
      <c r="B157" s="184"/>
      <c r="C157" s="184"/>
      <c r="D157" s="184"/>
      <c r="E157" s="190"/>
      <c r="F157" s="190"/>
      <c r="G157" s="190"/>
      <c r="H157" s="190"/>
      <c r="I157" s="185"/>
      <c r="J157" s="52"/>
    </row>
    <row r="158" spans="1:10">
      <c r="J158" s="52"/>
    </row>
    <row r="159" spans="1:10">
      <c r="J159" s="52"/>
    </row>
    <row r="160" spans="1:10">
      <c r="A160" s="260" t="s">
        <v>445</v>
      </c>
      <c r="B160" s="182"/>
      <c r="C160" s="182"/>
      <c r="D160" s="182"/>
      <c r="E160" s="163"/>
      <c r="F160" s="194"/>
      <c r="G160" s="194" t="s">
        <v>423</v>
      </c>
      <c r="H160" s="188"/>
      <c r="I160" s="183"/>
      <c r="J160" s="52"/>
    </row>
    <row r="161" spans="1:10">
      <c r="A161" s="220"/>
      <c r="B161" s="188"/>
      <c r="C161" s="188"/>
      <c r="D161" s="186"/>
      <c r="E161" s="164"/>
      <c r="F161" s="209" t="s">
        <v>421</v>
      </c>
      <c r="G161" s="209" t="s">
        <v>424</v>
      </c>
      <c r="H161" s="210"/>
      <c r="I161" s="224"/>
      <c r="J161" s="52"/>
    </row>
    <row r="162" spans="1:10">
      <c r="A162" s="220"/>
      <c r="B162" s="189" t="s">
        <v>17</v>
      </c>
      <c r="C162" s="189" t="s">
        <v>5</v>
      </c>
      <c r="D162" s="187" t="s">
        <v>430</v>
      </c>
      <c r="E162" s="164"/>
      <c r="F162" s="193" t="s">
        <v>422</v>
      </c>
      <c r="G162" s="193" t="s">
        <v>422</v>
      </c>
      <c r="H162" s="193" t="s">
        <v>426</v>
      </c>
      <c r="I162" s="224"/>
      <c r="J162" s="52"/>
    </row>
    <row r="163" spans="1:10" ht="23.25">
      <c r="A163" s="220">
        <v>1</v>
      </c>
      <c r="B163" s="269">
        <v>56.3</v>
      </c>
      <c r="C163" s="223"/>
      <c r="D163" s="256" t="s">
        <v>446</v>
      </c>
      <c r="E163" s="164"/>
      <c r="F163" s="163"/>
      <c r="G163" s="163"/>
      <c r="H163" s="163"/>
      <c r="I163" s="224"/>
      <c r="J163" s="52"/>
    </row>
    <row r="164" spans="1:10">
      <c r="A164" s="220"/>
      <c r="B164" s="267">
        <f>I169/B163</f>
        <v>9521.7406749555958</v>
      </c>
      <c r="C164" s="222"/>
      <c r="D164" s="244"/>
      <c r="E164" s="164" t="s">
        <v>13</v>
      </c>
      <c r="F164" s="167"/>
      <c r="G164" s="167"/>
      <c r="H164" s="167">
        <f t="shared" ref="H164:H169" si="18">SUM(F164:G164)</f>
        <v>0</v>
      </c>
      <c r="I164" s="224"/>
      <c r="J164" s="52"/>
    </row>
    <row r="165" spans="1:10">
      <c r="A165" s="220"/>
      <c r="B165" s="223"/>
      <c r="C165" s="222" t="s">
        <v>429</v>
      </c>
      <c r="D165" s="245">
        <f>B163*D$49</f>
        <v>128927</v>
      </c>
      <c r="E165" s="164" t="s">
        <v>12</v>
      </c>
      <c r="F165" s="167">
        <v>267230</v>
      </c>
      <c r="G165" s="167">
        <v>59485</v>
      </c>
      <c r="H165" s="167">
        <f t="shared" si="18"/>
        <v>326715</v>
      </c>
      <c r="I165" s="224"/>
      <c r="J165" s="52"/>
    </row>
    <row r="166" spans="1:10">
      <c r="A166" s="220"/>
      <c r="B166" s="223"/>
      <c r="C166" s="222"/>
      <c r="D166" s="246"/>
      <c r="E166" s="164" t="s">
        <v>11</v>
      </c>
      <c r="F166" s="167"/>
      <c r="G166" s="167">
        <v>209249</v>
      </c>
      <c r="H166" s="167">
        <f t="shared" si="18"/>
        <v>209249</v>
      </c>
      <c r="I166" s="224"/>
      <c r="J166" s="52"/>
    </row>
    <row r="167" spans="1:10">
      <c r="A167" s="220"/>
      <c r="B167" s="223"/>
      <c r="C167" s="222"/>
      <c r="D167" s="246"/>
      <c r="E167" s="164" t="s">
        <v>14</v>
      </c>
      <c r="F167" s="167">
        <v>110</v>
      </c>
      <c r="G167" s="167"/>
      <c r="H167" s="167">
        <f t="shared" si="18"/>
        <v>110</v>
      </c>
      <c r="I167" s="224"/>
      <c r="J167" s="52"/>
    </row>
    <row r="168" spans="1:10">
      <c r="A168" s="220"/>
      <c r="B168" s="223"/>
      <c r="C168" s="222"/>
      <c r="D168" s="246"/>
      <c r="E168" s="164" t="s">
        <v>420</v>
      </c>
      <c r="F168" s="167"/>
      <c r="G168" s="167"/>
      <c r="H168" s="167">
        <f t="shared" si="18"/>
        <v>0</v>
      </c>
      <c r="I168" s="224"/>
      <c r="J168" s="52"/>
    </row>
    <row r="169" spans="1:10">
      <c r="A169" s="227"/>
      <c r="B169" s="184"/>
      <c r="C169" s="228"/>
      <c r="D169" s="247"/>
      <c r="E169" s="190" t="s">
        <v>425</v>
      </c>
      <c r="F169" s="229">
        <f>SUM(F164:F168)</f>
        <v>267340</v>
      </c>
      <c r="G169" s="229">
        <f>SUM(G164:G168)</f>
        <v>268734</v>
      </c>
      <c r="H169" s="229">
        <f t="shared" si="18"/>
        <v>536074</v>
      </c>
      <c r="I169" s="230">
        <f>SUM(H164:H168)</f>
        <v>536074</v>
      </c>
      <c r="J169" s="52">
        <f>I169/B163</f>
        <v>9521.7406749555958</v>
      </c>
    </row>
    <row r="170" spans="1:10">
      <c r="J170" s="52"/>
    </row>
    <row r="171" spans="1:10">
      <c r="J171" s="52"/>
    </row>
    <row r="172" spans="1:10">
      <c r="J172" s="52"/>
    </row>
    <row r="173" spans="1:10">
      <c r="A173" s="260" t="s">
        <v>447</v>
      </c>
      <c r="B173" s="182"/>
      <c r="C173" s="182"/>
      <c r="D173" s="182"/>
      <c r="E173" s="163"/>
      <c r="F173" s="194"/>
      <c r="G173" s="194" t="s">
        <v>423</v>
      </c>
      <c r="H173" s="188"/>
      <c r="I173" s="183"/>
      <c r="J173" s="52"/>
    </row>
    <row r="174" spans="1:10">
      <c r="A174" s="220"/>
      <c r="B174" s="188"/>
      <c r="C174" s="188"/>
      <c r="D174" s="186"/>
      <c r="E174" s="164"/>
      <c r="F174" s="209" t="s">
        <v>421</v>
      </c>
      <c r="G174" s="209" t="s">
        <v>424</v>
      </c>
      <c r="H174" s="210"/>
      <c r="I174" s="224"/>
      <c r="J174" s="52"/>
    </row>
    <row r="175" spans="1:10">
      <c r="A175" s="220"/>
      <c r="B175" s="189" t="s">
        <v>17</v>
      </c>
      <c r="C175" s="189" t="s">
        <v>5</v>
      </c>
      <c r="D175" s="187" t="s">
        <v>430</v>
      </c>
      <c r="E175" s="164"/>
      <c r="F175" s="193" t="s">
        <v>422</v>
      </c>
      <c r="G175" s="193" t="s">
        <v>422</v>
      </c>
      <c r="H175" s="193" t="s">
        <v>426</v>
      </c>
      <c r="I175" s="224"/>
      <c r="J175" s="52"/>
    </row>
    <row r="176" spans="1:10">
      <c r="A176" s="220">
        <v>1</v>
      </c>
      <c r="B176" s="237">
        <v>107.83</v>
      </c>
      <c r="C176" s="223"/>
      <c r="D176" s="256" t="s">
        <v>448</v>
      </c>
      <c r="E176" s="164"/>
      <c r="F176" s="163"/>
      <c r="G176" s="163"/>
      <c r="H176" s="163"/>
      <c r="I176" s="224"/>
      <c r="J176" s="52"/>
    </row>
    <row r="177" spans="1:10">
      <c r="A177" s="220"/>
      <c r="B177" s="267">
        <f>I182/B176</f>
        <v>5302.9954558100717</v>
      </c>
      <c r="C177" s="222"/>
      <c r="D177" s="244"/>
      <c r="E177" s="164" t="s">
        <v>13</v>
      </c>
      <c r="F177" s="167"/>
      <c r="G177" s="167"/>
      <c r="H177" s="167">
        <f t="shared" ref="H177:H182" si="19">SUM(F177:G177)</f>
        <v>0</v>
      </c>
      <c r="I177" s="224"/>
      <c r="J177" s="52"/>
    </row>
    <row r="178" spans="1:10">
      <c r="A178" s="220"/>
      <c r="B178" s="223"/>
      <c r="C178" s="222" t="s">
        <v>429</v>
      </c>
      <c r="D178" s="245">
        <f>B176*D$49</f>
        <v>246930.69999999998</v>
      </c>
      <c r="E178" s="164" t="s">
        <v>12</v>
      </c>
      <c r="F178" s="167"/>
      <c r="G178" s="167"/>
      <c r="H178" s="167">
        <f t="shared" si="19"/>
        <v>0</v>
      </c>
      <c r="I178" s="224"/>
      <c r="J178" s="52"/>
    </row>
    <row r="179" spans="1:10">
      <c r="A179" s="220"/>
      <c r="B179" s="223"/>
      <c r="C179" s="222"/>
      <c r="D179" s="246"/>
      <c r="E179" s="164" t="s">
        <v>11</v>
      </c>
      <c r="F179" s="167"/>
      <c r="G179" s="167"/>
      <c r="H179" s="167">
        <f t="shared" si="19"/>
        <v>0</v>
      </c>
      <c r="I179" s="224"/>
      <c r="J179" s="52"/>
    </row>
    <row r="180" spans="1:10">
      <c r="A180" s="220"/>
      <c r="B180" s="223"/>
      <c r="C180" s="222"/>
      <c r="D180" s="246"/>
      <c r="E180" s="164" t="s">
        <v>14</v>
      </c>
      <c r="F180" s="167"/>
      <c r="G180" s="167"/>
      <c r="H180" s="167">
        <f t="shared" si="19"/>
        <v>0</v>
      </c>
      <c r="I180" s="224"/>
      <c r="J180" s="52"/>
    </row>
    <row r="181" spans="1:10">
      <c r="A181" s="220"/>
      <c r="B181" s="223"/>
      <c r="C181" s="222"/>
      <c r="D181" s="246"/>
      <c r="E181" s="164" t="s">
        <v>420</v>
      </c>
      <c r="F181" s="167">
        <v>571822</v>
      </c>
      <c r="G181" s="167"/>
      <c r="H181" s="167">
        <f t="shared" si="19"/>
        <v>571822</v>
      </c>
      <c r="I181" s="224"/>
      <c r="J181" s="52"/>
    </row>
    <row r="182" spans="1:10">
      <c r="A182" s="227"/>
      <c r="B182" s="184"/>
      <c r="C182" s="228"/>
      <c r="D182" s="247"/>
      <c r="E182" s="190" t="s">
        <v>425</v>
      </c>
      <c r="F182" s="229">
        <f>SUM(F177:F181)</f>
        <v>571822</v>
      </c>
      <c r="G182" s="229">
        <f>SUM(G177:G181)</f>
        <v>0</v>
      </c>
      <c r="H182" s="229">
        <f t="shared" si="19"/>
        <v>571822</v>
      </c>
      <c r="I182" s="230">
        <f>SUM(H177:H181)</f>
        <v>571822</v>
      </c>
      <c r="J182" s="52">
        <f>I182/B176</f>
        <v>5302.9954558100717</v>
      </c>
    </row>
    <row r="183" spans="1:10">
      <c r="J183" s="52"/>
    </row>
    <row r="184" spans="1:10">
      <c r="J184" s="52"/>
    </row>
    <row r="185" spans="1:10">
      <c r="J185" s="52"/>
    </row>
    <row r="186" spans="1:10">
      <c r="A186" s="260" t="s">
        <v>449</v>
      </c>
      <c r="B186" s="182"/>
      <c r="C186" s="182"/>
      <c r="D186" s="182"/>
      <c r="E186" s="163"/>
      <c r="F186" s="270"/>
      <c r="G186" s="194" t="s">
        <v>423</v>
      </c>
      <c r="H186" s="188"/>
      <c r="I186" s="183"/>
      <c r="J186" s="52"/>
    </row>
    <row r="187" spans="1:10">
      <c r="A187" s="220"/>
      <c r="B187" s="188"/>
      <c r="C187" s="188"/>
      <c r="D187" s="186"/>
      <c r="E187" s="164"/>
      <c r="F187" s="271" t="s">
        <v>421</v>
      </c>
      <c r="G187" s="209" t="s">
        <v>424</v>
      </c>
      <c r="H187" s="210"/>
      <c r="I187" s="224"/>
      <c r="J187" s="52"/>
    </row>
    <row r="188" spans="1:10">
      <c r="A188" s="220"/>
      <c r="B188" s="189" t="s">
        <v>17</v>
      </c>
      <c r="C188" s="189" t="s">
        <v>5</v>
      </c>
      <c r="D188" s="187" t="s">
        <v>430</v>
      </c>
      <c r="E188" s="164"/>
      <c r="F188" s="272" t="s">
        <v>422</v>
      </c>
      <c r="G188" s="193" t="s">
        <v>422</v>
      </c>
      <c r="H188" s="193" t="s">
        <v>426</v>
      </c>
      <c r="I188" s="224"/>
      <c r="J188" s="52"/>
    </row>
    <row r="189" spans="1:10" ht="23.25">
      <c r="A189" s="220">
        <v>1</v>
      </c>
      <c r="B189" s="237">
        <v>263.02999999999997</v>
      </c>
      <c r="C189" s="223"/>
      <c r="D189" s="256" t="s">
        <v>450</v>
      </c>
      <c r="E189" s="164"/>
      <c r="F189" s="163"/>
      <c r="G189" s="163"/>
      <c r="H189" s="163"/>
      <c r="I189" s="224"/>
      <c r="J189" s="52"/>
    </row>
    <row r="190" spans="1:10">
      <c r="A190" s="220"/>
      <c r="B190" s="267">
        <f>I195/B189</f>
        <v>7029.7342508459114</v>
      </c>
      <c r="C190" s="222"/>
      <c r="D190" s="244"/>
      <c r="E190" s="164" t="s">
        <v>13</v>
      </c>
      <c r="F190" s="167"/>
      <c r="G190" s="167"/>
      <c r="H190" s="167">
        <f t="shared" ref="H190:H195" si="20">SUM(F190:G190)</f>
        <v>0</v>
      </c>
      <c r="I190" s="224"/>
      <c r="J190" s="52"/>
    </row>
    <row r="191" spans="1:10">
      <c r="A191" s="220"/>
      <c r="B191" s="223"/>
      <c r="C191" s="222" t="s">
        <v>429</v>
      </c>
      <c r="D191" s="245">
        <f>B189*D$49</f>
        <v>602338.69999999995</v>
      </c>
      <c r="E191" s="164" t="s">
        <v>12</v>
      </c>
      <c r="F191" s="167"/>
      <c r="G191" s="167"/>
      <c r="H191" s="167">
        <f t="shared" si="20"/>
        <v>0</v>
      </c>
      <c r="I191" s="224"/>
      <c r="J191" s="52"/>
    </row>
    <row r="192" spans="1:10">
      <c r="A192" s="220"/>
      <c r="B192" s="223"/>
      <c r="C192" s="222"/>
      <c r="D192" s="246"/>
      <c r="E192" s="164" t="s">
        <v>11</v>
      </c>
      <c r="F192" s="167"/>
      <c r="G192" s="167"/>
      <c r="H192" s="167">
        <f t="shared" si="20"/>
        <v>0</v>
      </c>
      <c r="I192" s="224"/>
      <c r="J192" s="52"/>
    </row>
    <row r="193" spans="1:10">
      <c r="A193" s="220"/>
      <c r="B193" s="223"/>
      <c r="C193" s="222"/>
      <c r="D193" s="246"/>
      <c r="E193" s="164" t="s">
        <v>14</v>
      </c>
      <c r="F193" s="167">
        <v>45948</v>
      </c>
      <c r="G193" s="167"/>
      <c r="H193" s="167">
        <f t="shared" si="20"/>
        <v>45948</v>
      </c>
      <c r="I193" s="224"/>
      <c r="J193" s="52"/>
    </row>
    <row r="194" spans="1:10">
      <c r="A194" s="220"/>
      <c r="B194" s="223"/>
      <c r="C194" s="222"/>
      <c r="D194" s="246"/>
      <c r="E194" s="164" t="s">
        <v>420</v>
      </c>
      <c r="F194" s="167">
        <v>1803083</v>
      </c>
      <c r="G194" s="167"/>
      <c r="H194" s="167">
        <f t="shared" si="20"/>
        <v>1803083</v>
      </c>
      <c r="I194" s="224"/>
      <c r="J194" s="52"/>
    </row>
    <row r="195" spans="1:10">
      <c r="A195" s="227"/>
      <c r="B195" s="184"/>
      <c r="C195" s="228"/>
      <c r="D195" s="247"/>
      <c r="E195" s="190" t="s">
        <v>425</v>
      </c>
      <c r="F195" s="229">
        <f>SUM(F190:F194)</f>
        <v>1849031</v>
      </c>
      <c r="G195" s="229">
        <f>SUM(G190:G194)</f>
        <v>0</v>
      </c>
      <c r="H195" s="229">
        <f t="shared" si="20"/>
        <v>1849031</v>
      </c>
      <c r="I195" s="230">
        <f>SUM(H190:H194)</f>
        <v>1849031</v>
      </c>
      <c r="J195" s="52">
        <f>I195/B189</f>
        <v>7029.7342508459114</v>
      </c>
    </row>
    <row r="199" spans="1:10">
      <c r="H199">
        <f>I199/I204</f>
        <v>2.8576766318140896E-2</v>
      </c>
      <c r="I199" s="52">
        <f>SUM(H101,H166)</f>
        <v>957091</v>
      </c>
      <c r="J199" s="44" t="s">
        <v>11</v>
      </c>
    </row>
    <row r="200" spans="1:10">
      <c r="H200">
        <f>I200/I204</f>
        <v>0.24157597018601018</v>
      </c>
      <c r="I200" s="52">
        <f>SUM(H100,H138,H145,H152,H165)</f>
        <v>8090845</v>
      </c>
      <c r="J200" s="44" t="s">
        <v>12</v>
      </c>
    </row>
    <row r="201" spans="1:10">
      <c r="H201">
        <f>I201/I204</f>
        <v>2.7434371649192605E-2</v>
      </c>
      <c r="I201" s="52">
        <f>SUM(H102,H128,H140,H147,H154,H167,H193)</f>
        <v>918830</v>
      </c>
      <c r="J201" s="44" t="s">
        <v>14</v>
      </c>
    </row>
    <row r="202" spans="1:10">
      <c r="H202">
        <f>I202/I204</f>
        <v>0.70241289184665634</v>
      </c>
      <c r="I202" s="52">
        <f>SUM(H129,H181,H194)</f>
        <v>23525162</v>
      </c>
      <c r="J202" s="44" t="s">
        <v>420</v>
      </c>
    </row>
    <row r="204" spans="1:10">
      <c r="I204" s="52">
        <f>SUM(I199:I202)</f>
        <v>33491928</v>
      </c>
    </row>
  </sheetData>
  <mergeCells count="4">
    <mergeCell ref="R36:T38"/>
    <mergeCell ref="R40:T42"/>
    <mergeCell ref="K46:Q46"/>
    <mergeCell ref="A115:I115"/>
  </mergeCells>
  <pageMargins left="0.45" right="0.45"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dimension ref="A1:T105"/>
  <sheetViews>
    <sheetView workbookViewId="0"/>
  </sheetViews>
  <sheetFormatPr defaultRowHeight="12.75"/>
  <cols>
    <col min="1" max="1" width="21.6640625" style="88" customWidth="1"/>
    <col min="2" max="2" width="15" style="89" customWidth="1"/>
    <col min="3" max="15" width="12.83203125" style="89" customWidth="1"/>
    <col min="16" max="16" width="15" style="89" customWidth="1"/>
    <col min="17" max="17" width="11.6640625" customWidth="1"/>
    <col min="18" max="18" width="13.83203125" customWidth="1"/>
  </cols>
  <sheetData>
    <row r="1" spans="1:20" s="44" customFormat="1" ht="15.95" customHeight="1">
      <c r="A1" s="146" t="s">
        <v>716</v>
      </c>
      <c r="B1" s="89"/>
      <c r="C1" s="89"/>
      <c r="D1" s="89"/>
      <c r="E1" s="89"/>
      <c r="F1" s="89"/>
      <c r="G1" s="89"/>
      <c r="H1" s="89"/>
      <c r="I1" s="89"/>
      <c r="J1" s="89"/>
      <c r="K1" s="89"/>
      <c r="L1" s="89"/>
      <c r="M1" s="89"/>
      <c r="N1" s="89"/>
      <c r="O1" s="89"/>
      <c r="P1" s="89"/>
    </row>
    <row r="2" spans="1:20" s="44" customFormat="1" ht="15.95" customHeight="1">
      <c r="A2" s="146" t="s">
        <v>717</v>
      </c>
      <c r="B2" s="89"/>
      <c r="C2" s="89"/>
      <c r="D2" s="89"/>
      <c r="E2" s="89"/>
      <c r="F2" s="89"/>
      <c r="G2" s="89"/>
      <c r="H2" s="89"/>
      <c r="I2" s="89"/>
      <c r="J2" s="89"/>
      <c r="K2" s="89"/>
      <c r="L2" s="89"/>
      <c r="M2" s="89"/>
      <c r="N2" s="89"/>
      <c r="O2" s="89"/>
      <c r="P2" s="89"/>
    </row>
    <row r="3" spans="1:20" s="44" customFormat="1" ht="15.95" customHeight="1">
      <c r="A3" s="146"/>
      <c r="B3" s="89"/>
      <c r="C3" s="89"/>
      <c r="D3" s="89"/>
      <c r="E3" s="89"/>
      <c r="F3" s="89"/>
      <c r="G3" s="89"/>
      <c r="H3" s="89"/>
      <c r="I3" s="89"/>
      <c r="J3" s="89"/>
      <c r="K3" s="89"/>
      <c r="L3" s="89"/>
      <c r="M3" s="89"/>
      <c r="N3" s="89"/>
      <c r="O3" s="89"/>
      <c r="P3" s="89"/>
      <c r="Q3" s="208" t="s">
        <v>711</v>
      </c>
      <c r="R3" s="208"/>
      <c r="S3" s="208"/>
      <c r="T3" s="208"/>
    </row>
    <row r="4" spans="1:20" s="44" customFormat="1">
      <c r="A4" s="88"/>
      <c r="B4" s="89"/>
      <c r="C4" s="89"/>
      <c r="D4" s="89"/>
      <c r="E4" s="89"/>
      <c r="F4" s="89"/>
      <c r="G4" s="89"/>
      <c r="H4" s="89"/>
      <c r="I4" s="89"/>
      <c r="J4" s="89"/>
      <c r="K4" s="89"/>
      <c r="L4" s="89"/>
      <c r="M4" s="89"/>
      <c r="N4" s="89"/>
      <c r="O4" s="89"/>
      <c r="P4" s="89"/>
    </row>
    <row r="5" spans="1:20">
      <c r="A5" s="288" t="s">
        <v>483</v>
      </c>
      <c r="B5" s="289"/>
      <c r="C5" s="288"/>
      <c r="D5" s="288"/>
      <c r="E5" s="288"/>
      <c r="F5" s="288"/>
      <c r="G5" s="288"/>
      <c r="H5" s="288"/>
      <c r="I5" s="288"/>
      <c r="J5" s="288"/>
      <c r="K5" s="288"/>
      <c r="L5" s="288"/>
      <c r="M5" s="288"/>
      <c r="N5" s="288"/>
      <c r="O5" s="288"/>
      <c r="P5" s="87">
        <v>39227</v>
      </c>
    </row>
    <row r="7" spans="1:20">
      <c r="A7" s="90" t="s">
        <v>31</v>
      </c>
      <c r="B7" s="292" t="s">
        <v>30</v>
      </c>
      <c r="C7" s="91" t="s">
        <v>484</v>
      </c>
      <c r="D7" s="89" t="s">
        <v>485</v>
      </c>
      <c r="E7" s="89" t="s">
        <v>485</v>
      </c>
      <c r="F7" s="89" t="s">
        <v>485</v>
      </c>
      <c r="G7" s="89" t="s">
        <v>485</v>
      </c>
      <c r="H7" s="89" t="s">
        <v>485</v>
      </c>
      <c r="I7" s="89" t="s">
        <v>485</v>
      </c>
      <c r="J7" s="89" t="s">
        <v>485</v>
      </c>
      <c r="K7" s="89" t="s">
        <v>485</v>
      </c>
      <c r="L7" s="89" t="s">
        <v>485</v>
      </c>
      <c r="M7" s="89" t="s">
        <v>485</v>
      </c>
      <c r="N7" s="89" t="s">
        <v>485</v>
      </c>
      <c r="O7" s="89" t="s">
        <v>485</v>
      </c>
      <c r="P7" s="92" t="s">
        <v>30</v>
      </c>
    </row>
    <row r="8" spans="1:20">
      <c r="A8" s="93"/>
      <c r="B8" s="293"/>
      <c r="C8" s="94"/>
      <c r="D8" s="95">
        <v>1</v>
      </c>
      <c r="E8" s="95">
        <v>2</v>
      </c>
      <c r="F8" s="95">
        <v>3</v>
      </c>
      <c r="G8" s="95">
        <v>4</v>
      </c>
      <c r="H8" s="95">
        <v>5</v>
      </c>
      <c r="I8" s="95">
        <v>6</v>
      </c>
      <c r="J8" s="95">
        <v>7</v>
      </c>
      <c r="K8" s="95">
        <v>8</v>
      </c>
      <c r="L8" s="95">
        <v>9</v>
      </c>
      <c r="M8" s="95">
        <v>10</v>
      </c>
      <c r="N8" s="95">
        <v>11</v>
      </c>
      <c r="O8" s="95">
        <v>12</v>
      </c>
      <c r="P8" s="94"/>
    </row>
    <row r="9" spans="1:20">
      <c r="A9" s="88" t="s">
        <v>486</v>
      </c>
      <c r="B9" s="294">
        <v>3482.84</v>
      </c>
      <c r="C9" s="89">
        <v>267.27</v>
      </c>
      <c r="D9" s="89">
        <v>269.08999999999997</v>
      </c>
      <c r="E9" s="89">
        <v>273.95999999999998</v>
      </c>
      <c r="F9" s="89">
        <v>281.7</v>
      </c>
      <c r="G9" s="89">
        <v>255.5</v>
      </c>
      <c r="H9" s="89">
        <v>252.08</v>
      </c>
      <c r="I9" s="89">
        <v>268.06</v>
      </c>
      <c r="J9" s="89">
        <v>266.61</v>
      </c>
      <c r="K9" s="89">
        <v>272.49</v>
      </c>
      <c r="L9" s="89">
        <v>333.5</v>
      </c>
      <c r="M9" s="89">
        <v>292.98</v>
      </c>
      <c r="N9" s="89">
        <v>200.33</v>
      </c>
      <c r="O9" s="89">
        <v>249.27</v>
      </c>
      <c r="P9" s="89">
        <v>3482.84</v>
      </c>
    </row>
    <row r="10" spans="1:20">
      <c r="A10" s="88" t="s">
        <v>487</v>
      </c>
      <c r="B10" s="294">
        <v>24196.74</v>
      </c>
      <c r="C10" s="89">
        <v>1910.06</v>
      </c>
      <c r="D10" s="89">
        <v>1896.42</v>
      </c>
      <c r="E10" s="89">
        <v>1809.48</v>
      </c>
      <c r="F10" s="89">
        <v>1774.87</v>
      </c>
      <c r="G10" s="89">
        <v>1878.88</v>
      </c>
      <c r="H10" s="89">
        <v>1792.62</v>
      </c>
      <c r="I10" s="89">
        <v>1903</v>
      </c>
      <c r="J10" s="89">
        <v>1933.59</v>
      </c>
      <c r="K10" s="89">
        <v>1967.24</v>
      </c>
      <c r="L10" s="89">
        <v>2381.4</v>
      </c>
      <c r="M10" s="89">
        <v>1880.26</v>
      </c>
      <c r="N10" s="89">
        <v>1552.93</v>
      </c>
      <c r="O10" s="89">
        <v>1515.99</v>
      </c>
      <c r="P10" s="89">
        <v>24196.74</v>
      </c>
    </row>
    <row r="11" spans="1:20">
      <c r="A11" s="88" t="s">
        <v>488</v>
      </c>
      <c r="B11" s="294">
        <v>1552.8</v>
      </c>
      <c r="C11" s="89">
        <v>151.69999999999999</v>
      </c>
      <c r="D11" s="89">
        <v>141.93</v>
      </c>
      <c r="E11" s="89">
        <v>117.5</v>
      </c>
      <c r="F11" s="89">
        <v>115.39</v>
      </c>
      <c r="G11" s="89">
        <v>128.87</v>
      </c>
      <c r="H11" s="89">
        <v>102.99</v>
      </c>
      <c r="I11" s="89">
        <v>107.56</v>
      </c>
      <c r="J11" s="89">
        <v>139.62</v>
      </c>
      <c r="K11" s="89">
        <v>113.16</v>
      </c>
      <c r="L11" s="89">
        <v>151.94999999999999</v>
      </c>
      <c r="M11" s="89">
        <v>110.56</v>
      </c>
      <c r="N11" s="89">
        <v>76.61</v>
      </c>
      <c r="O11" s="89">
        <v>94.96</v>
      </c>
      <c r="P11" s="89">
        <v>1552.8</v>
      </c>
    </row>
    <row r="12" spans="1:20">
      <c r="A12" s="88" t="s">
        <v>489</v>
      </c>
      <c r="B12" s="294">
        <v>8705.7800000000007</v>
      </c>
      <c r="C12" s="89">
        <v>737.45</v>
      </c>
      <c r="D12" s="89">
        <v>697.7</v>
      </c>
      <c r="E12" s="89">
        <v>708.68</v>
      </c>
      <c r="F12" s="89">
        <v>658.36</v>
      </c>
      <c r="G12" s="89">
        <v>639.39</v>
      </c>
      <c r="H12" s="89">
        <v>670.24</v>
      </c>
      <c r="I12" s="89">
        <v>663.6</v>
      </c>
      <c r="J12" s="89">
        <v>713.74</v>
      </c>
      <c r="K12" s="89">
        <v>660.05</v>
      </c>
      <c r="L12" s="89">
        <v>735.79</v>
      </c>
      <c r="M12" s="89">
        <v>710.6</v>
      </c>
      <c r="N12" s="89">
        <v>552.51</v>
      </c>
      <c r="O12" s="89">
        <v>557.66999999999996</v>
      </c>
      <c r="P12" s="89">
        <v>8705.7800000000007</v>
      </c>
    </row>
    <row r="13" spans="1:20">
      <c r="A13" s="88" t="s">
        <v>490</v>
      </c>
      <c r="B13" s="294">
        <v>3643.83</v>
      </c>
      <c r="C13" s="89">
        <v>291.37</v>
      </c>
      <c r="D13" s="89">
        <v>307.14</v>
      </c>
      <c r="E13" s="89">
        <v>308.23</v>
      </c>
      <c r="F13" s="89">
        <v>290.56</v>
      </c>
      <c r="G13" s="89">
        <v>289.64999999999998</v>
      </c>
      <c r="H13" s="89">
        <v>280.26</v>
      </c>
      <c r="I13" s="89">
        <v>298.47000000000003</v>
      </c>
      <c r="J13" s="89">
        <v>275.62</v>
      </c>
      <c r="K13" s="89">
        <v>261.68</v>
      </c>
      <c r="L13" s="89">
        <v>339.88</v>
      </c>
      <c r="M13" s="89">
        <v>272.02999999999997</v>
      </c>
      <c r="N13" s="89">
        <v>198.44</v>
      </c>
      <c r="O13" s="89">
        <v>230.5</v>
      </c>
      <c r="P13" s="89">
        <v>3643.83</v>
      </c>
    </row>
    <row r="14" spans="1:20">
      <c r="A14" s="88" t="s">
        <v>491</v>
      </c>
      <c r="B14" s="294">
        <v>2543.6799999999998</v>
      </c>
      <c r="C14" s="89">
        <v>194.87</v>
      </c>
      <c r="D14" s="89">
        <v>198.46</v>
      </c>
      <c r="E14" s="89">
        <v>244.01</v>
      </c>
      <c r="F14" s="89">
        <v>198.44</v>
      </c>
      <c r="G14" s="89">
        <v>202.27</v>
      </c>
      <c r="H14" s="89">
        <v>174.67</v>
      </c>
      <c r="I14" s="89">
        <v>197.59</v>
      </c>
      <c r="J14" s="89">
        <v>211.84</v>
      </c>
      <c r="K14" s="89">
        <v>213.16</v>
      </c>
      <c r="L14" s="89">
        <v>238.01</v>
      </c>
      <c r="M14" s="89">
        <v>181.02</v>
      </c>
      <c r="N14" s="89">
        <v>165.24</v>
      </c>
      <c r="O14" s="89">
        <v>124.1</v>
      </c>
      <c r="P14" s="89">
        <v>2543.6799999999998</v>
      </c>
    </row>
    <row r="15" spans="1:20">
      <c r="A15" s="88" t="s">
        <v>492</v>
      </c>
      <c r="B15" s="294">
        <v>2770.02</v>
      </c>
      <c r="C15" s="89">
        <v>203.61</v>
      </c>
      <c r="D15" s="89">
        <v>235.29</v>
      </c>
      <c r="E15" s="89">
        <v>221.85</v>
      </c>
      <c r="F15" s="89">
        <v>195.66</v>
      </c>
      <c r="G15" s="89">
        <v>215.33</v>
      </c>
      <c r="H15" s="89">
        <v>220.38</v>
      </c>
      <c r="I15" s="89">
        <v>215.07</v>
      </c>
      <c r="J15" s="89">
        <v>219.46</v>
      </c>
      <c r="K15" s="89">
        <v>221.23</v>
      </c>
      <c r="L15" s="89">
        <v>247.92</v>
      </c>
      <c r="M15" s="89">
        <v>218.81</v>
      </c>
      <c r="N15" s="89">
        <v>153.44</v>
      </c>
      <c r="O15" s="89">
        <v>201.97</v>
      </c>
      <c r="P15" s="89">
        <v>2770.02</v>
      </c>
    </row>
    <row r="16" spans="1:20">
      <c r="A16" s="88" t="s">
        <v>493</v>
      </c>
      <c r="B16" s="294">
        <v>11886.08</v>
      </c>
      <c r="C16" s="89">
        <v>971.75</v>
      </c>
      <c r="D16" s="89">
        <v>961.52</v>
      </c>
      <c r="E16" s="89">
        <v>954.18</v>
      </c>
      <c r="F16" s="89">
        <v>947.68</v>
      </c>
      <c r="G16" s="89">
        <v>923.44</v>
      </c>
      <c r="H16" s="89">
        <v>940.12</v>
      </c>
      <c r="I16" s="89">
        <v>933.85</v>
      </c>
      <c r="J16" s="89">
        <v>901.85</v>
      </c>
      <c r="K16" s="89">
        <v>922.61</v>
      </c>
      <c r="L16" s="89">
        <v>1118.8399999999999</v>
      </c>
      <c r="M16" s="89">
        <v>906.87</v>
      </c>
      <c r="N16" s="89">
        <v>695.83</v>
      </c>
      <c r="O16" s="89">
        <v>707.54</v>
      </c>
      <c r="P16" s="89">
        <v>11886.08</v>
      </c>
    </row>
    <row r="17" spans="1:16">
      <c r="A17" s="88" t="s">
        <v>494</v>
      </c>
      <c r="B17" s="294">
        <v>1584.5</v>
      </c>
      <c r="C17" s="89">
        <v>123.39</v>
      </c>
      <c r="D17" s="89">
        <v>131.88</v>
      </c>
      <c r="E17" s="89">
        <v>142.91999999999999</v>
      </c>
      <c r="F17" s="89">
        <v>95.24</v>
      </c>
      <c r="G17" s="89">
        <v>92.05</v>
      </c>
      <c r="H17" s="89">
        <v>111.66</v>
      </c>
      <c r="I17" s="89">
        <v>108.64</v>
      </c>
      <c r="J17" s="89">
        <v>125.64</v>
      </c>
      <c r="K17" s="89">
        <v>142.5</v>
      </c>
      <c r="L17" s="89">
        <v>157.36000000000001</v>
      </c>
      <c r="M17" s="89">
        <v>126.89</v>
      </c>
      <c r="N17" s="89">
        <v>110.96</v>
      </c>
      <c r="O17" s="89">
        <v>115.37</v>
      </c>
      <c r="P17" s="89">
        <v>1584.5</v>
      </c>
    </row>
    <row r="18" spans="1:16">
      <c r="A18" s="88" t="s">
        <v>495</v>
      </c>
      <c r="B18" s="294">
        <v>899.12</v>
      </c>
      <c r="C18" s="89">
        <v>56.62</v>
      </c>
      <c r="D18" s="89">
        <v>73.47</v>
      </c>
      <c r="E18" s="89">
        <v>62.7</v>
      </c>
      <c r="F18" s="89">
        <v>58.81</v>
      </c>
      <c r="G18" s="89">
        <v>60.82</v>
      </c>
      <c r="H18" s="89">
        <v>92.85</v>
      </c>
      <c r="I18" s="89">
        <v>73.069999999999993</v>
      </c>
      <c r="J18" s="89">
        <v>70.09</v>
      </c>
      <c r="K18" s="89">
        <v>60.57</v>
      </c>
      <c r="L18" s="89">
        <v>89.67</v>
      </c>
      <c r="M18" s="89">
        <v>77.260000000000005</v>
      </c>
      <c r="N18" s="89">
        <v>52.95</v>
      </c>
      <c r="O18" s="89">
        <v>70.239999999999995</v>
      </c>
      <c r="P18" s="89">
        <v>899.12</v>
      </c>
    </row>
    <row r="19" spans="1:16">
      <c r="A19" s="88" t="s">
        <v>312</v>
      </c>
      <c r="B19" s="294">
        <v>839.63</v>
      </c>
      <c r="C19" s="89">
        <v>76.8</v>
      </c>
      <c r="D19" s="89">
        <v>57.44</v>
      </c>
      <c r="E19" s="89">
        <v>59.12</v>
      </c>
      <c r="F19" s="89">
        <v>62.1</v>
      </c>
      <c r="G19" s="89">
        <v>60.31</v>
      </c>
      <c r="H19" s="89">
        <v>56.21</v>
      </c>
      <c r="I19" s="89">
        <v>58.11</v>
      </c>
      <c r="J19" s="89">
        <v>63.83</v>
      </c>
      <c r="K19" s="89">
        <v>76.849999999999994</v>
      </c>
      <c r="L19" s="89">
        <v>94.74</v>
      </c>
      <c r="M19" s="89">
        <v>66.25</v>
      </c>
      <c r="N19" s="89">
        <v>57.1</v>
      </c>
      <c r="O19" s="89">
        <v>50.77</v>
      </c>
      <c r="P19" s="89">
        <v>839.63</v>
      </c>
    </row>
    <row r="20" spans="1:16">
      <c r="A20" s="88" t="s">
        <v>313</v>
      </c>
      <c r="B20" s="294">
        <v>949.68</v>
      </c>
      <c r="C20" s="89">
        <v>74.53</v>
      </c>
      <c r="D20" s="89">
        <v>73.69</v>
      </c>
      <c r="E20" s="89">
        <v>57.29</v>
      </c>
      <c r="F20" s="89">
        <v>86.16</v>
      </c>
      <c r="G20" s="89">
        <v>71.739999999999995</v>
      </c>
      <c r="H20" s="89">
        <v>50.13</v>
      </c>
      <c r="I20" s="89">
        <v>78.89</v>
      </c>
      <c r="J20" s="89">
        <v>79.400000000000006</v>
      </c>
      <c r="K20" s="89">
        <v>92.53</v>
      </c>
      <c r="L20" s="89">
        <v>99.01</v>
      </c>
      <c r="M20" s="89">
        <v>71.47</v>
      </c>
      <c r="N20" s="89">
        <v>68.510000000000005</v>
      </c>
      <c r="O20" s="89">
        <v>46.33</v>
      </c>
      <c r="P20" s="89">
        <v>949.68</v>
      </c>
    </row>
    <row r="21" spans="1:16">
      <c r="A21" s="88" t="s">
        <v>314</v>
      </c>
      <c r="B21" s="294">
        <v>2543.94</v>
      </c>
      <c r="C21" s="89">
        <v>204.04</v>
      </c>
      <c r="D21" s="89">
        <v>218.08</v>
      </c>
      <c r="E21" s="89">
        <v>185.7</v>
      </c>
      <c r="F21" s="89">
        <v>218.03</v>
      </c>
      <c r="G21" s="89">
        <v>182.62</v>
      </c>
      <c r="H21" s="89">
        <v>186.01</v>
      </c>
      <c r="I21" s="89">
        <v>186.31</v>
      </c>
      <c r="J21" s="89">
        <v>199.39</v>
      </c>
      <c r="K21" s="89">
        <v>217.92</v>
      </c>
      <c r="L21" s="89">
        <v>252.14</v>
      </c>
      <c r="M21" s="89">
        <v>191.08</v>
      </c>
      <c r="N21" s="89">
        <v>136.13</v>
      </c>
      <c r="O21" s="89">
        <v>166.49</v>
      </c>
      <c r="P21" s="89">
        <v>2543.94</v>
      </c>
    </row>
    <row r="22" spans="1:16">
      <c r="A22" s="88" t="s">
        <v>496</v>
      </c>
      <c r="B22" s="294">
        <v>18482.5</v>
      </c>
      <c r="C22" s="89">
        <v>1557.83</v>
      </c>
      <c r="D22" s="89">
        <v>1507.91</v>
      </c>
      <c r="E22" s="89">
        <v>1448.3</v>
      </c>
      <c r="F22" s="89">
        <v>1405.61</v>
      </c>
      <c r="G22" s="89">
        <v>1385.32</v>
      </c>
      <c r="H22" s="89">
        <v>1357.13</v>
      </c>
      <c r="I22" s="89">
        <v>1372.81</v>
      </c>
      <c r="J22" s="89">
        <v>1452.04</v>
      </c>
      <c r="K22" s="89">
        <v>1478.1</v>
      </c>
      <c r="L22" s="89">
        <v>1751.11</v>
      </c>
      <c r="M22" s="89">
        <v>1479.16</v>
      </c>
      <c r="N22" s="89">
        <v>1177.0899999999999</v>
      </c>
      <c r="O22" s="89">
        <v>1110.0899999999999</v>
      </c>
      <c r="P22" s="89">
        <v>18482.5</v>
      </c>
    </row>
    <row r="23" spans="1:16">
      <c r="A23" s="88" t="s">
        <v>497</v>
      </c>
      <c r="B23" s="294">
        <v>27128.7</v>
      </c>
      <c r="C23" s="89">
        <v>2059.84</v>
      </c>
      <c r="D23" s="89">
        <v>2391.41</v>
      </c>
      <c r="E23" s="89">
        <v>2049.33</v>
      </c>
      <c r="F23" s="89">
        <v>1969.92</v>
      </c>
      <c r="G23" s="89">
        <v>2000.19</v>
      </c>
      <c r="H23" s="89">
        <v>2010.42</v>
      </c>
      <c r="I23" s="89">
        <v>2250.6999999999998</v>
      </c>
      <c r="J23" s="89">
        <v>2271.36</v>
      </c>
      <c r="K23" s="89">
        <v>2016.51</v>
      </c>
      <c r="L23" s="89">
        <v>2158.79</v>
      </c>
      <c r="M23" s="89">
        <v>2129.31</v>
      </c>
      <c r="N23" s="89">
        <v>2077.9899999999998</v>
      </c>
      <c r="O23" s="89">
        <v>1742.93</v>
      </c>
      <c r="P23" s="89">
        <v>27128.7</v>
      </c>
    </row>
    <row r="24" spans="1:16">
      <c r="A24" s="88" t="s">
        <v>498</v>
      </c>
      <c r="B24" s="294">
        <v>1659.06</v>
      </c>
      <c r="C24" s="89">
        <v>127.87</v>
      </c>
      <c r="D24" s="89">
        <v>142.36000000000001</v>
      </c>
      <c r="E24" s="89">
        <v>128.26</v>
      </c>
      <c r="F24" s="89">
        <v>125.21</v>
      </c>
      <c r="G24" s="89">
        <v>146.57</v>
      </c>
      <c r="H24" s="89">
        <v>136.99</v>
      </c>
      <c r="I24" s="89">
        <v>96.97</v>
      </c>
      <c r="J24" s="89">
        <v>138.6</v>
      </c>
      <c r="K24" s="89">
        <v>138.1</v>
      </c>
      <c r="L24" s="89">
        <v>154.22999999999999</v>
      </c>
      <c r="M24" s="89">
        <v>126.13</v>
      </c>
      <c r="N24" s="89">
        <v>108.98</v>
      </c>
      <c r="O24" s="89">
        <v>88.79</v>
      </c>
      <c r="P24" s="89">
        <v>1659.06</v>
      </c>
    </row>
    <row r="25" spans="1:16">
      <c r="A25" s="88" t="s">
        <v>499</v>
      </c>
      <c r="B25" s="294">
        <v>40554.75</v>
      </c>
      <c r="C25" s="89">
        <v>3315.64</v>
      </c>
      <c r="D25" s="89">
        <v>3472.51</v>
      </c>
      <c r="E25" s="89">
        <v>3286.94</v>
      </c>
      <c r="F25" s="89">
        <v>3142.36</v>
      </c>
      <c r="G25" s="89">
        <v>2915.84</v>
      </c>
      <c r="H25" s="89">
        <v>2978.74</v>
      </c>
      <c r="I25" s="89">
        <v>2896.9</v>
      </c>
      <c r="J25" s="89">
        <v>3099.07</v>
      </c>
      <c r="K25" s="89">
        <v>3264.86</v>
      </c>
      <c r="L25" s="89">
        <v>4216.2700000000004</v>
      </c>
      <c r="M25" s="89">
        <v>3100.13</v>
      </c>
      <c r="N25" s="89">
        <v>2392.3000000000002</v>
      </c>
      <c r="O25" s="89">
        <v>2473.19</v>
      </c>
      <c r="P25" s="89">
        <v>40554.75</v>
      </c>
    </row>
    <row r="26" spans="1:16">
      <c r="A26" s="88" t="s">
        <v>500</v>
      </c>
      <c r="B26" s="294">
        <v>8893.99</v>
      </c>
      <c r="C26" s="89">
        <v>670.21</v>
      </c>
      <c r="D26" s="89">
        <v>784.98</v>
      </c>
      <c r="E26" s="89">
        <v>671.81</v>
      </c>
      <c r="F26" s="89">
        <v>666.02</v>
      </c>
      <c r="G26" s="89">
        <v>699.22</v>
      </c>
      <c r="H26" s="89">
        <v>686.73</v>
      </c>
      <c r="I26" s="89">
        <v>675.59</v>
      </c>
      <c r="J26" s="89">
        <v>736.44</v>
      </c>
      <c r="K26" s="89">
        <v>705.71</v>
      </c>
      <c r="L26" s="89">
        <v>777.84</v>
      </c>
      <c r="M26" s="89">
        <v>768.32</v>
      </c>
      <c r="N26" s="89">
        <v>524.41</v>
      </c>
      <c r="O26" s="89">
        <v>526.71</v>
      </c>
      <c r="P26" s="89">
        <v>8893.99</v>
      </c>
    </row>
    <row r="27" spans="1:16">
      <c r="A27" s="88" t="s">
        <v>501</v>
      </c>
      <c r="B27" s="294">
        <v>5756.59</v>
      </c>
      <c r="C27" s="89">
        <v>456.13</v>
      </c>
      <c r="D27" s="89">
        <v>446.84</v>
      </c>
      <c r="E27" s="89">
        <v>426.37</v>
      </c>
      <c r="F27" s="89">
        <v>417.05</v>
      </c>
      <c r="G27" s="89">
        <v>426.95</v>
      </c>
      <c r="H27" s="89">
        <v>416.76</v>
      </c>
      <c r="I27" s="89">
        <v>462.87</v>
      </c>
      <c r="J27" s="89">
        <v>474.73</v>
      </c>
      <c r="K27" s="89">
        <v>510.07</v>
      </c>
      <c r="L27" s="89">
        <v>649.57000000000005</v>
      </c>
      <c r="M27" s="89">
        <v>445.7</v>
      </c>
      <c r="N27" s="89">
        <v>326.64</v>
      </c>
      <c r="O27" s="89">
        <v>296.91000000000003</v>
      </c>
      <c r="P27" s="89">
        <v>5756.59</v>
      </c>
    </row>
    <row r="28" spans="1:16">
      <c r="A28" s="88" t="s">
        <v>323</v>
      </c>
      <c r="B28" s="294">
        <v>7804.94</v>
      </c>
      <c r="C28" s="89">
        <v>567.16999999999996</v>
      </c>
      <c r="D28" s="89">
        <v>668.5</v>
      </c>
      <c r="E28" s="89">
        <v>582.89</v>
      </c>
      <c r="F28" s="89">
        <v>567.4</v>
      </c>
      <c r="G28" s="89">
        <v>582.70000000000005</v>
      </c>
      <c r="H28" s="89">
        <v>604.1</v>
      </c>
      <c r="I28" s="89">
        <v>577.61</v>
      </c>
      <c r="J28" s="89">
        <v>677.99</v>
      </c>
      <c r="K28" s="89">
        <v>669.68</v>
      </c>
      <c r="L28" s="89">
        <v>798.04</v>
      </c>
      <c r="M28" s="89">
        <v>561.04999999999995</v>
      </c>
      <c r="N28" s="89">
        <v>479.04</v>
      </c>
      <c r="O28" s="89">
        <v>468.77</v>
      </c>
      <c r="P28" s="89">
        <v>7804.94</v>
      </c>
    </row>
    <row r="29" spans="1:16">
      <c r="A29" s="88" t="s">
        <v>502</v>
      </c>
      <c r="B29" s="294">
        <v>956.24</v>
      </c>
      <c r="C29" s="89">
        <v>63.84</v>
      </c>
      <c r="D29" s="89">
        <v>58.59</v>
      </c>
      <c r="E29" s="89">
        <v>70.64</v>
      </c>
      <c r="F29" s="89">
        <v>68.91</v>
      </c>
      <c r="G29" s="89">
        <v>62.43</v>
      </c>
      <c r="H29" s="89">
        <v>65.41</v>
      </c>
      <c r="I29" s="89">
        <v>75.709999999999994</v>
      </c>
      <c r="J29" s="89">
        <v>69.33</v>
      </c>
      <c r="K29" s="89">
        <v>77.959999999999994</v>
      </c>
      <c r="L29" s="89">
        <v>120.14</v>
      </c>
      <c r="M29" s="89">
        <v>100.16</v>
      </c>
      <c r="N29" s="89">
        <v>59.99</v>
      </c>
      <c r="O29" s="89">
        <v>63.13</v>
      </c>
      <c r="P29" s="89">
        <v>956.24</v>
      </c>
    </row>
    <row r="30" spans="1:16">
      <c r="A30" s="88" t="s">
        <v>503</v>
      </c>
      <c r="B30" s="294">
        <v>3131.59</v>
      </c>
      <c r="C30" s="89">
        <v>271.89999999999998</v>
      </c>
      <c r="D30" s="89">
        <v>248.34</v>
      </c>
      <c r="E30" s="89">
        <v>216.01</v>
      </c>
      <c r="F30" s="89">
        <v>241.03</v>
      </c>
      <c r="G30" s="89">
        <v>232.41</v>
      </c>
      <c r="H30" s="89">
        <v>232.21</v>
      </c>
      <c r="I30" s="89">
        <v>257.2</v>
      </c>
      <c r="J30" s="89">
        <v>239.43</v>
      </c>
      <c r="K30" s="89">
        <v>246.83</v>
      </c>
      <c r="L30" s="89">
        <v>298.36</v>
      </c>
      <c r="M30" s="89">
        <v>261.52</v>
      </c>
      <c r="N30" s="89">
        <v>204.7</v>
      </c>
      <c r="O30" s="89">
        <v>181.65</v>
      </c>
      <c r="P30" s="89">
        <v>3131.59</v>
      </c>
    </row>
    <row r="31" spans="1:16">
      <c r="A31" s="88" t="s">
        <v>504</v>
      </c>
      <c r="B31" s="294">
        <v>1238.44</v>
      </c>
      <c r="C31" s="89">
        <v>100.78</v>
      </c>
      <c r="D31" s="89">
        <v>96.97</v>
      </c>
      <c r="E31" s="89">
        <v>96.19</v>
      </c>
      <c r="F31" s="89">
        <v>91.94</v>
      </c>
      <c r="G31" s="89">
        <v>90.92</v>
      </c>
      <c r="H31" s="89">
        <v>75.540000000000006</v>
      </c>
      <c r="I31" s="89">
        <v>84.97</v>
      </c>
      <c r="J31" s="89">
        <v>112.9</v>
      </c>
      <c r="K31" s="89">
        <v>97.9</v>
      </c>
      <c r="L31" s="89">
        <v>114.62</v>
      </c>
      <c r="M31" s="89">
        <v>114.56</v>
      </c>
      <c r="N31" s="89">
        <v>82.83</v>
      </c>
      <c r="O31" s="89">
        <v>78.319999999999993</v>
      </c>
      <c r="P31" s="89">
        <v>1238.44</v>
      </c>
    </row>
    <row r="32" spans="1:16">
      <c r="A32" s="88" t="s">
        <v>505</v>
      </c>
      <c r="B32" s="294">
        <v>6123.59</v>
      </c>
      <c r="C32" s="89">
        <v>492.42</v>
      </c>
      <c r="D32" s="89">
        <v>555.1</v>
      </c>
      <c r="E32" s="89">
        <v>449.59</v>
      </c>
      <c r="F32" s="89">
        <v>458.77</v>
      </c>
      <c r="G32" s="89">
        <v>484.23</v>
      </c>
      <c r="H32" s="89">
        <v>448.07</v>
      </c>
      <c r="I32" s="89">
        <v>509.37</v>
      </c>
      <c r="J32" s="89">
        <v>514.64</v>
      </c>
      <c r="K32" s="89">
        <v>459.03</v>
      </c>
      <c r="L32" s="89">
        <v>778.44</v>
      </c>
      <c r="M32" s="89">
        <v>438.42</v>
      </c>
      <c r="N32" s="89">
        <v>265.02999999999997</v>
      </c>
      <c r="O32" s="89">
        <v>270.48</v>
      </c>
      <c r="P32" s="89">
        <v>6123.59</v>
      </c>
    </row>
    <row r="33" spans="1:18">
      <c r="A33" s="88" t="s">
        <v>506</v>
      </c>
      <c r="B33" s="294">
        <v>10956.69</v>
      </c>
      <c r="C33" s="89">
        <v>818.2</v>
      </c>
      <c r="D33" s="89">
        <v>875.51</v>
      </c>
      <c r="E33" s="89">
        <v>886.36</v>
      </c>
      <c r="F33" s="89">
        <v>838.23</v>
      </c>
      <c r="G33" s="89">
        <v>813.65</v>
      </c>
      <c r="H33" s="89">
        <v>792.72</v>
      </c>
      <c r="I33" s="89">
        <v>842.44</v>
      </c>
      <c r="J33" s="89">
        <v>908.01</v>
      </c>
      <c r="K33" s="89">
        <v>1001.23</v>
      </c>
      <c r="L33" s="89">
        <v>1126.25</v>
      </c>
      <c r="M33" s="89">
        <v>849.07</v>
      </c>
      <c r="N33" s="89">
        <v>642.21</v>
      </c>
      <c r="O33" s="89">
        <v>562.80999999999995</v>
      </c>
      <c r="P33" s="89">
        <v>10956.69</v>
      </c>
    </row>
    <row r="34" spans="1:18">
      <c r="A34" s="88" t="s">
        <v>507</v>
      </c>
      <c r="B34" s="294">
        <v>808.89</v>
      </c>
      <c r="C34" s="89">
        <v>64.959999999999994</v>
      </c>
      <c r="D34" s="89">
        <v>55.19</v>
      </c>
      <c r="E34" s="89">
        <v>55.89</v>
      </c>
      <c r="F34" s="89">
        <v>56.37</v>
      </c>
      <c r="G34" s="89">
        <v>53.73</v>
      </c>
      <c r="H34" s="89">
        <v>70.2</v>
      </c>
      <c r="I34" s="89">
        <v>71.97</v>
      </c>
      <c r="J34" s="89">
        <v>49.72</v>
      </c>
      <c r="K34" s="89">
        <v>68.7</v>
      </c>
      <c r="L34" s="89">
        <v>76.67</v>
      </c>
      <c r="M34" s="89">
        <v>69.849999999999994</v>
      </c>
      <c r="N34" s="89">
        <v>52.05</v>
      </c>
      <c r="O34" s="89">
        <v>63.59</v>
      </c>
      <c r="P34" s="89">
        <v>808.89</v>
      </c>
    </row>
    <row r="35" spans="1:18">
      <c r="A35" s="88" t="s">
        <v>508</v>
      </c>
      <c r="B35" s="294">
        <v>3431.03</v>
      </c>
      <c r="C35" s="89">
        <v>309.83999999999997</v>
      </c>
      <c r="D35" s="89">
        <v>310.13</v>
      </c>
      <c r="E35" s="89">
        <v>281.2</v>
      </c>
      <c r="F35" s="89">
        <v>283.13</v>
      </c>
      <c r="G35" s="89">
        <v>262.87</v>
      </c>
      <c r="H35" s="89">
        <v>270.02999999999997</v>
      </c>
      <c r="I35" s="89">
        <v>271.95999999999998</v>
      </c>
      <c r="J35" s="89">
        <v>270.86</v>
      </c>
      <c r="K35" s="89">
        <v>274.75</v>
      </c>
      <c r="L35" s="89">
        <v>320.69</v>
      </c>
      <c r="M35" s="89">
        <v>275.14</v>
      </c>
      <c r="N35" s="89">
        <v>134.27000000000001</v>
      </c>
      <c r="O35" s="89">
        <v>166.16</v>
      </c>
      <c r="P35" s="89">
        <v>3431.03</v>
      </c>
    </row>
    <row r="36" spans="1:18">
      <c r="A36" s="88" t="s">
        <v>509</v>
      </c>
      <c r="B36" s="294">
        <v>1541.45</v>
      </c>
      <c r="C36" s="89">
        <v>129.06</v>
      </c>
      <c r="D36" s="89">
        <v>117.96</v>
      </c>
      <c r="E36" s="89">
        <v>120.36</v>
      </c>
      <c r="F36" s="89">
        <v>101.04</v>
      </c>
      <c r="G36" s="89">
        <v>113.87</v>
      </c>
      <c r="H36" s="89">
        <v>120.99</v>
      </c>
      <c r="I36" s="89">
        <v>131.66999999999999</v>
      </c>
      <c r="J36" s="89">
        <v>134.19</v>
      </c>
      <c r="K36" s="89">
        <v>137.65</v>
      </c>
      <c r="L36" s="89">
        <v>149.06</v>
      </c>
      <c r="M36" s="89">
        <v>111.36</v>
      </c>
      <c r="N36" s="89">
        <v>89.6</v>
      </c>
      <c r="O36" s="89">
        <v>84.64</v>
      </c>
      <c r="P36" s="89">
        <v>1541.45</v>
      </c>
    </row>
    <row r="37" spans="1:18">
      <c r="A37" s="88" t="s">
        <v>510</v>
      </c>
      <c r="B37" s="294">
        <v>19832.87</v>
      </c>
      <c r="C37" s="89">
        <v>1491.87</v>
      </c>
      <c r="D37" s="89">
        <v>1575.98</v>
      </c>
      <c r="E37" s="89">
        <v>1554.72</v>
      </c>
      <c r="F37" s="89">
        <v>1524.34</v>
      </c>
      <c r="G37" s="89">
        <v>1501.99</v>
      </c>
      <c r="H37" s="89">
        <v>1497.87</v>
      </c>
      <c r="I37" s="89">
        <v>1596.89</v>
      </c>
      <c r="J37" s="89">
        <v>1675.07</v>
      </c>
      <c r="K37" s="89">
        <v>1658.62</v>
      </c>
      <c r="L37" s="89">
        <v>1879.69</v>
      </c>
      <c r="M37" s="89">
        <v>1535.86</v>
      </c>
      <c r="N37" s="89">
        <v>1178.5</v>
      </c>
      <c r="O37" s="89">
        <v>1161.47</v>
      </c>
      <c r="P37" s="89">
        <v>19832.87</v>
      </c>
    </row>
    <row r="38" spans="1:18">
      <c r="A38" s="88" t="s">
        <v>511</v>
      </c>
      <c r="B38" s="294">
        <v>2172.2399999999998</v>
      </c>
      <c r="C38" s="89">
        <v>162.1</v>
      </c>
      <c r="D38" s="89">
        <v>164.82</v>
      </c>
      <c r="E38" s="89">
        <v>155.33000000000001</v>
      </c>
      <c r="F38" s="89">
        <v>168.5</v>
      </c>
      <c r="G38" s="89">
        <v>152.72999999999999</v>
      </c>
      <c r="H38" s="89">
        <v>164.19</v>
      </c>
      <c r="I38" s="89">
        <v>186.81</v>
      </c>
      <c r="J38" s="89">
        <v>159.25</v>
      </c>
      <c r="K38" s="89">
        <v>168.04</v>
      </c>
      <c r="L38" s="89">
        <v>270.73</v>
      </c>
      <c r="M38" s="89">
        <v>184.36</v>
      </c>
      <c r="N38" s="89">
        <v>114.07</v>
      </c>
      <c r="O38" s="89">
        <v>121.31</v>
      </c>
      <c r="P38" s="89">
        <v>2172.2399999999998</v>
      </c>
    </row>
    <row r="39" spans="1:18">
      <c r="A39" s="88" t="s">
        <v>512</v>
      </c>
      <c r="B39" s="294">
        <v>3992.93</v>
      </c>
      <c r="C39" s="89">
        <v>348.46</v>
      </c>
      <c r="D39" s="89">
        <v>290.86</v>
      </c>
      <c r="E39" s="89">
        <v>317.22000000000003</v>
      </c>
      <c r="F39" s="89">
        <v>305.83999999999997</v>
      </c>
      <c r="G39" s="89">
        <v>312.87</v>
      </c>
      <c r="H39" s="89">
        <v>298.43</v>
      </c>
      <c r="I39" s="89">
        <v>308.27</v>
      </c>
      <c r="J39" s="89">
        <v>312.3</v>
      </c>
      <c r="K39" s="89">
        <v>328.39</v>
      </c>
      <c r="L39" s="89">
        <v>355.87</v>
      </c>
      <c r="M39" s="89">
        <v>314.5</v>
      </c>
      <c r="N39" s="89">
        <v>241.3</v>
      </c>
      <c r="O39" s="89">
        <v>258.62</v>
      </c>
      <c r="P39" s="89">
        <v>3992.93</v>
      </c>
    </row>
    <row r="40" spans="1:18">
      <c r="A40" s="88" t="s">
        <v>513</v>
      </c>
      <c r="B40" s="294">
        <v>3272.89</v>
      </c>
      <c r="C40" s="89">
        <v>237.27</v>
      </c>
      <c r="D40" s="89">
        <v>281.67</v>
      </c>
      <c r="E40" s="89">
        <v>237.13</v>
      </c>
      <c r="F40" s="89">
        <v>241.1</v>
      </c>
      <c r="G40" s="89">
        <v>233.99</v>
      </c>
      <c r="H40" s="89">
        <v>242.07</v>
      </c>
      <c r="I40" s="89">
        <v>246.87</v>
      </c>
      <c r="J40" s="89">
        <v>283.62</v>
      </c>
      <c r="K40" s="89">
        <v>262.07</v>
      </c>
      <c r="L40" s="89">
        <v>277.88</v>
      </c>
      <c r="M40" s="89">
        <v>317.04000000000002</v>
      </c>
      <c r="N40" s="89">
        <v>192.68</v>
      </c>
      <c r="O40" s="89">
        <v>219.5</v>
      </c>
      <c r="P40" s="89">
        <v>3272.89</v>
      </c>
    </row>
    <row r="41" spans="1:18">
      <c r="A41" s="88" t="s">
        <v>514</v>
      </c>
      <c r="B41" s="294">
        <v>14908.1</v>
      </c>
      <c r="C41" s="89">
        <v>1144.76</v>
      </c>
      <c r="D41" s="89">
        <v>1260.58</v>
      </c>
      <c r="E41" s="89">
        <v>1120.1199999999999</v>
      </c>
      <c r="F41" s="89">
        <v>1104.6400000000001</v>
      </c>
      <c r="G41" s="89">
        <v>1062.76</v>
      </c>
      <c r="H41" s="89">
        <v>1036.99</v>
      </c>
      <c r="I41" s="89">
        <v>1168.58</v>
      </c>
      <c r="J41" s="89">
        <v>1210.5899999999999</v>
      </c>
      <c r="K41" s="89">
        <v>1229.47</v>
      </c>
      <c r="L41" s="89">
        <v>1476.76</v>
      </c>
      <c r="M41" s="89">
        <v>1200.8699999999999</v>
      </c>
      <c r="N41" s="89">
        <v>825.72</v>
      </c>
      <c r="O41" s="89">
        <v>1066.26</v>
      </c>
      <c r="P41" s="89">
        <v>14908.1</v>
      </c>
    </row>
    <row r="42" spans="1:18">
      <c r="A42" s="88" t="s">
        <v>515</v>
      </c>
      <c r="B42" s="294">
        <v>1173.01</v>
      </c>
      <c r="C42" s="89">
        <v>87.6</v>
      </c>
      <c r="D42" s="89">
        <v>90.08</v>
      </c>
      <c r="E42" s="89">
        <v>77.5</v>
      </c>
      <c r="F42" s="89">
        <v>82.84</v>
      </c>
      <c r="G42" s="89">
        <v>98.36</v>
      </c>
      <c r="H42" s="89">
        <v>88.56</v>
      </c>
      <c r="I42" s="89">
        <v>93.24</v>
      </c>
      <c r="J42" s="89">
        <v>95.24</v>
      </c>
      <c r="K42" s="89">
        <v>93.5</v>
      </c>
      <c r="L42" s="89">
        <v>127.62</v>
      </c>
      <c r="M42" s="89">
        <v>97.81</v>
      </c>
      <c r="N42" s="89">
        <v>68.44</v>
      </c>
      <c r="O42" s="89">
        <v>72.22</v>
      </c>
      <c r="P42" s="89">
        <v>1173.01</v>
      </c>
    </row>
    <row r="43" spans="1:18">
      <c r="A43" s="88" t="s">
        <v>516</v>
      </c>
      <c r="B43" s="294">
        <v>3625.59</v>
      </c>
      <c r="C43" s="89">
        <v>325.76</v>
      </c>
      <c r="D43" s="89">
        <v>337.89</v>
      </c>
      <c r="E43" s="89">
        <v>311.20999999999998</v>
      </c>
      <c r="F43" s="89">
        <v>285.54000000000002</v>
      </c>
      <c r="G43" s="89">
        <v>255.68</v>
      </c>
      <c r="H43" s="89">
        <v>240.03</v>
      </c>
      <c r="I43" s="89">
        <v>285.49</v>
      </c>
      <c r="J43" s="89">
        <v>274.52999999999997</v>
      </c>
      <c r="K43" s="89">
        <v>317.16000000000003</v>
      </c>
      <c r="L43" s="89">
        <v>270.5</v>
      </c>
      <c r="M43" s="89">
        <v>306.39</v>
      </c>
      <c r="N43" s="89">
        <v>205.68</v>
      </c>
      <c r="O43" s="89">
        <v>209.73</v>
      </c>
      <c r="P43" s="89">
        <v>3625.59</v>
      </c>
    </row>
    <row r="44" spans="1:18">
      <c r="A44" s="88" t="s">
        <v>517</v>
      </c>
      <c r="B44" s="294">
        <v>972.85</v>
      </c>
      <c r="C44" s="89">
        <v>77.650000000000006</v>
      </c>
      <c r="D44" s="89">
        <v>81.02</v>
      </c>
      <c r="E44" s="89">
        <v>77.38</v>
      </c>
      <c r="F44" s="89">
        <v>76.989999999999995</v>
      </c>
      <c r="G44" s="89">
        <v>66.59</v>
      </c>
      <c r="H44" s="89">
        <v>62.93</v>
      </c>
      <c r="I44" s="89">
        <v>77.959999999999994</v>
      </c>
      <c r="J44" s="89">
        <v>82.28</v>
      </c>
      <c r="K44" s="89">
        <v>80.489999999999995</v>
      </c>
      <c r="L44" s="89">
        <v>85.68</v>
      </c>
      <c r="M44" s="89">
        <v>77.53</v>
      </c>
      <c r="N44" s="89">
        <v>45.11</v>
      </c>
      <c r="O44" s="89">
        <v>81.239999999999995</v>
      </c>
      <c r="P44" s="89">
        <v>972.85</v>
      </c>
    </row>
    <row r="45" spans="1:18">
      <c r="A45" s="88" t="s">
        <v>518</v>
      </c>
      <c r="B45" s="294">
        <v>1441.36</v>
      </c>
      <c r="C45" s="89">
        <v>126.39</v>
      </c>
      <c r="D45" s="89">
        <v>118.36</v>
      </c>
      <c r="E45" s="89">
        <v>110.61</v>
      </c>
      <c r="F45" s="89">
        <v>95.58</v>
      </c>
      <c r="G45" s="89">
        <v>113.82</v>
      </c>
      <c r="H45" s="89">
        <v>103.84</v>
      </c>
      <c r="I45" s="89">
        <v>129.22999999999999</v>
      </c>
      <c r="J45" s="89">
        <v>103</v>
      </c>
      <c r="K45" s="89">
        <v>92.61</v>
      </c>
      <c r="L45" s="89">
        <v>136.72999999999999</v>
      </c>
      <c r="M45" s="89">
        <v>133.07</v>
      </c>
      <c r="N45" s="89">
        <v>95.18</v>
      </c>
      <c r="O45" s="89">
        <v>82.94</v>
      </c>
      <c r="P45" s="89">
        <v>1441.36</v>
      </c>
    </row>
    <row r="46" spans="1:18">
      <c r="A46" s="88" t="s">
        <v>519</v>
      </c>
      <c r="B46" s="294">
        <v>9951.08</v>
      </c>
      <c r="C46" s="89">
        <v>728.56</v>
      </c>
      <c r="D46" s="89">
        <v>824.92</v>
      </c>
      <c r="E46" s="89">
        <v>777.56</v>
      </c>
      <c r="F46" s="89">
        <v>764.19</v>
      </c>
      <c r="G46" s="89">
        <v>689.24</v>
      </c>
      <c r="H46" s="89">
        <v>762.87</v>
      </c>
      <c r="I46" s="89">
        <v>783.16</v>
      </c>
      <c r="J46" s="89">
        <v>808.06</v>
      </c>
      <c r="K46" s="89">
        <v>778.78</v>
      </c>
      <c r="L46" s="89">
        <v>966.27</v>
      </c>
      <c r="M46" s="89">
        <v>834.13</v>
      </c>
      <c r="N46" s="89">
        <v>678.95</v>
      </c>
      <c r="O46" s="89">
        <v>554.39</v>
      </c>
      <c r="P46" s="89">
        <v>9951.08</v>
      </c>
    </row>
    <row r="47" spans="1:18">
      <c r="A47" s="88" t="s">
        <v>520</v>
      </c>
      <c r="B47" s="295">
        <v>66237.8</v>
      </c>
      <c r="C47" s="89">
        <v>5103.1000000000004</v>
      </c>
      <c r="D47" s="89">
        <v>5584.04</v>
      </c>
      <c r="E47" s="89">
        <v>5325.85</v>
      </c>
      <c r="F47" s="89">
        <v>5214.13</v>
      </c>
      <c r="G47" s="89">
        <v>5152.83</v>
      </c>
      <c r="H47" s="89">
        <v>4969.2700000000004</v>
      </c>
      <c r="I47" s="89">
        <v>5080.51</v>
      </c>
      <c r="J47" s="89">
        <v>5109.67</v>
      </c>
      <c r="K47" s="89">
        <v>5164.1000000000004</v>
      </c>
      <c r="L47" s="89">
        <v>6384.84</v>
      </c>
      <c r="M47" s="89">
        <v>5149.3599999999997</v>
      </c>
      <c r="N47" s="89">
        <v>4115.47</v>
      </c>
      <c r="O47" s="89">
        <v>3884.63</v>
      </c>
      <c r="P47" s="99">
        <v>66237.8</v>
      </c>
      <c r="Q47" s="98">
        <f>'5-Charters'!B107</f>
        <v>826.3</v>
      </c>
      <c r="R47" s="74">
        <f>P47-Q47</f>
        <v>65411.5</v>
      </c>
    </row>
    <row r="48" spans="1:18">
      <c r="A48" s="88" t="s">
        <v>347</v>
      </c>
      <c r="B48" s="294">
        <v>9055.99</v>
      </c>
      <c r="C48" s="89">
        <v>715.7</v>
      </c>
      <c r="D48" s="89">
        <v>754.88</v>
      </c>
      <c r="E48" s="89">
        <v>691.71</v>
      </c>
      <c r="F48" s="89">
        <v>701.33</v>
      </c>
      <c r="G48" s="89">
        <v>702.28</v>
      </c>
      <c r="H48" s="89">
        <v>687.61</v>
      </c>
      <c r="I48" s="89">
        <v>742.49</v>
      </c>
      <c r="J48" s="89">
        <v>759.59</v>
      </c>
      <c r="K48" s="89">
        <v>698.48</v>
      </c>
      <c r="L48" s="89">
        <v>780.44</v>
      </c>
      <c r="M48" s="89">
        <v>711.47</v>
      </c>
      <c r="N48" s="89">
        <v>566.83000000000004</v>
      </c>
      <c r="O48" s="89">
        <v>543.17999999999995</v>
      </c>
      <c r="P48" s="89">
        <v>9055.99</v>
      </c>
    </row>
    <row r="49" spans="1:16">
      <c r="A49" s="88" t="s">
        <v>348</v>
      </c>
      <c r="B49" s="294">
        <v>1093.51</v>
      </c>
      <c r="C49" s="89">
        <v>74.790000000000006</v>
      </c>
      <c r="D49" s="89">
        <v>75.75</v>
      </c>
      <c r="E49" s="89">
        <v>88.39</v>
      </c>
      <c r="F49" s="89">
        <v>90.75</v>
      </c>
      <c r="G49" s="89">
        <v>85.19</v>
      </c>
      <c r="H49" s="89">
        <v>89.52</v>
      </c>
      <c r="I49" s="89">
        <v>74.930000000000007</v>
      </c>
      <c r="J49" s="89">
        <v>79.52</v>
      </c>
      <c r="K49" s="89">
        <v>95.3</v>
      </c>
      <c r="L49" s="89">
        <v>114.22</v>
      </c>
      <c r="M49" s="89">
        <v>80.84</v>
      </c>
      <c r="N49" s="89">
        <v>68.67</v>
      </c>
      <c r="O49" s="89">
        <v>75.64</v>
      </c>
      <c r="P49" s="89">
        <v>1093.51</v>
      </c>
    </row>
    <row r="50" spans="1:16">
      <c r="A50" s="88" t="s">
        <v>349</v>
      </c>
      <c r="B50" s="294">
        <v>1625.64</v>
      </c>
      <c r="C50" s="89">
        <v>128.16999999999999</v>
      </c>
      <c r="D50" s="89">
        <v>126.85</v>
      </c>
      <c r="E50" s="89">
        <v>118.77</v>
      </c>
      <c r="F50" s="89">
        <v>128.12</v>
      </c>
      <c r="G50" s="89">
        <v>120.35</v>
      </c>
      <c r="H50" s="89">
        <v>125.3</v>
      </c>
      <c r="I50" s="89">
        <v>123.92</v>
      </c>
      <c r="J50" s="89">
        <v>134.24</v>
      </c>
      <c r="K50" s="89">
        <v>113.63</v>
      </c>
      <c r="L50" s="89">
        <v>130.16</v>
      </c>
      <c r="M50" s="89">
        <v>132.79</v>
      </c>
      <c r="N50" s="89">
        <v>103.84</v>
      </c>
      <c r="O50" s="89">
        <v>139.5</v>
      </c>
      <c r="P50" s="89">
        <v>1625.64</v>
      </c>
    </row>
    <row r="51" spans="1:16">
      <c r="A51" s="88" t="s">
        <v>521</v>
      </c>
      <c r="B51" s="294">
        <v>2647.55</v>
      </c>
      <c r="C51" s="89">
        <v>191.85</v>
      </c>
      <c r="D51" s="89">
        <v>207.56</v>
      </c>
      <c r="E51" s="89">
        <v>202.85</v>
      </c>
      <c r="F51" s="89">
        <v>212.64</v>
      </c>
      <c r="G51" s="89">
        <v>214.43</v>
      </c>
      <c r="H51" s="89">
        <v>191.87</v>
      </c>
      <c r="I51" s="89">
        <v>209.61</v>
      </c>
      <c r="J51" s="89">
        <v>198.1</v>
      </c>
      <c r="K51" s="89">
        <v>219.56</v>
      </c>
      <c r="L51" s="89">
        <v>252.76</v>
      </c>
      <c r="M51" s="89">
        <v>238.56</v>
      </c>
      <c r="N51" s="89">
        <v>154.12</v>
      </c>
      <c r="O51" s="89">
        <v>153.63999999999999</v>
      </c>
      <c r="P51" s="89">
        <v>2647.55</v>
      </c>
    </row>
    <row r="52" spans="1:16">
      <c r="A52" s="88" t="s">
        <v>522</v>
      </c>
      <c r="B52" s="294">
        <v>1270.4000000000001</v>
      </c>
      <c r="C52" s="89">
        <v>76.66</v>
      </c>
      <c r="D52" s="89">
        <v>99.01</v>
      </c>
      <c r="E52" s="89">
        <v>95.65</v>
      </c>
      <c r="F52" s="89">
        <v>96.53</v>
      </c>
      <c r="G52" s="89">
        <v>80.069999999999993</v>
      </c>
      <c r="H52" s="89">
        <v>83.44</v>
      </c>
      <c r="I52" s="89">
        <v>118.35</v>
      </c>
      <c r="J52" s="89">
        <v>89.15</v>
      </c>
      <c r="K52" s="89">
        <v>105.24</v>
      </c>
      <c r="L52" s="89">
        <v>138.78</v>
      </c>
      <c r="M52" s="89">
        <v>110.97</v>
      </c>
      <c r="N52" s="89">
        <v>99.31</v>
      </c>
      <c r="O52" s="89">
        <v>77.239999999999995</v>
      </c>
      <c r="P52" s="89">
        <v>1270.4000000000001</v>
      </c>
    </row>
    <row r="53" spans="1:16">
      <c r="B53" s="294"/>
    </row>
    <row r="54" spans="1:16">
      <c r="A54" s="88" t="s">
        <v>523</v>
      </c>
      <c r="B54" s="294"/>
    </row>
    <row r="55" spans="1:16">
      <c r="A55" s="88" t="s">
        <v>524</v>
      </c>
      <c r="B55" s="294">
        <v>34747.379999999997</v>
      </c>
      <c r="C55" s="89">
        <v>2927.5</v>
      </c>
      <c r="D55" s="89">
        <v>2936.36</v>
      </c>
      <c r="E55" s="89">
        <v>2710.96</v>
      </c>
      <c r="F55" s="89">
        <v>2641.04</v>
      </c>
      <c r="G55" s="89">
        <v>2569.34</v>
      </c>
      <c r="H55" s="89">
        <v>2624.23</v>
      </c>
      <c r="I55" s="89">
        <v>2626.11</v>
      </c>
      <c r="J55" s="89">
        <v>2685.33</v>
      </c>
      <c r="K55" s="89">
        <v>2759.19</v>
      </c>
      <c r="L55" s="89">
        <v>3121.21</v>
      </c>
      <c r="M55" s="89">
        <v>2830.41</v>
      </c>
      <c r="N55" s="89">
        <v>2250.36</v>
      </c>
      <c r="O55" s="89">
        <v>2065.34</v>
      </c>
      <c r="P55" s="89">
        <v>34747.379999999997</v>
      </c>
    </row>
    <row r="56" spans="1:16">
      <c r="A56" s="88" t="s">
        <v>525</v>
      </c>
      <c r="B56" s="294">
        <v>3009.59</v>
      </c>
      <c r="C56" s="89">
        <v>262.33999999999997</v>
      </c>
      <c r="D56" s="89">
        <v>238.04</v>
      </c>
      <c r="E56" s="89">
        <v>233.24</v>
      </c>
      <c r="F56" s="89">
        <v>221.27</v>
      </c>
      <c r="G56" s="89">
        <v>233.01</v>
      </c>
      <c r="H56" s="89">
        <v>235.23</v>
      </c>
      <c r="I56" s="89">
        <v>225.25</v>
      </c>
      <c r="J56" s="89">
        <v>262.06</v>
      </c>
      <c r="K56" s="89">
        <v>241.61</v>
      </c>
      <c r="L56" s="89">
        <v>296.81</v>
      </c>
      <c r="M56" s="89">
        <v>221.41</v>
      </c>
      <c r="N56" s="89">
        <v>164.53</v>
      </c>
      <c r="O56" s="89">
        <v>174.79</v>
      </c>
      <c r="P56" s="89">
        <v>3009.59</v>
      </c>
    </row>
    <row r="57" spans="1:16">
      <c r="A57" s="88" t="s">
        <v>526</v>
      </c>
      <c r="B57" s="294">
        <v>10128.11</v>
      </c>
      <c r="C57" s="89">
        <v>772.52</v>
      </c>
      <c r="D57" s="89">
        <v>811.14</v>
      </c>
      <c r="E57" s="89">
        <v>791.9</v>
      </c>
      <c r="F57" s="89">
        <v>801.66</v>
      </c>
      <c r="G57" s="89">
        <v>766.61</v>
      </c>
      <c r="H57" s="89">
        <v>749.77</v>
      </c>
      <c r="I57" s="89">
        <v>777.57</v>
      </c>
      <c r="J57" s="89">
        <v>797.47</v>
      </c>
      <c r="K57" s="89">
        <v>852.37</v>
      </c>
      <c r="L57" s="89">
        <v>1049.0999999999999</v>
      </c>
      <c r="M57" s="89">
        <v>789.73</v>
      </c>
      <c r="N57" s="89">
        <v>568.01</v>
      </c>
      <c r="O57" s="89">
        <v>600.26</v>
      </c>
      <c r="P57" s="89">
        <v>10128.11</v>
      </c>
    </row>
    <row r="58" spans="1:16">
      <c r="A58" s="88" t="s">
        <v>527</v>
      </c>
      <c r="B58" s="294">
        <v>11168.59</v>
      </c>
      <c r="C58" s="89">
        <v>905.13</v>
      </c>
      <c r="D58" s="89">
        <v>941.71</v>
      </c>
      <c r="E58" s="89">
        <v>857.5</v>
      </c>
      <c r="F58" s="89">
        <v>875.62</v>
      </c>
      <c r="G58" s="89">
        <v>814.36</v>
      </c>
      <c r="H58" s="89">
        <v>797.02</v>
      </c>
      <c r="I58" s="89">
        <v>870.88</v>
      </c>
      <c r="J58" s="89">
        <v>858.09</v>
      </c>
      <c r="K58" s="89">
        <v>872.64</v>
      </c>
      <c r="L58" s="89">
        <v>1050.06</v>
      </c>
      <c r="M58" s="89">
        <v>937.23</v>
      </c>
      <c r="N58" s="89">
        <v>639.15</v>
      </c>
      <c r="O58" s="89">
        <v>749.2</v>
      </c>
      <c r="P58" s="89">
        <v>11168.59</v>
      </c>
    </row>
    <row r="59" spans="1:16">
      <c r="A59" s="88" t="s">
        <v>357</v>
      </c>
      <c r="B59" s="294">
        <v>5608.77</v>
      </c>
      <c r="C59" s="89">
        <v>491.84</v>
      </c>
      <c r="D59" s="89">
        <v>467.05</v>
      </c>
      <c r="E59" s="89">
        <v>505.47</v>
      </c>
      <c r="F59" s="89">
        <v>482.76</v>
      </c>
      <c r="G59" s="89">
        <v>466.97</v>
      </c>
      <c r="H59" s="89">
        <v>423.4</v>
      </c>
      <c r="I59" s="89">
        <v>390.18</v>
      </c>
      <c r="J59" s="89">
        <v>405.9</v>
      </c>
      <c r="K59" s="89">
        <v>447.96</v>
      </c>
      <c r="L59" s="89">
        <v>491.42</v>
      </c>
      <c r="M59" s="89">
        <v>384.25</v>
      </c>
      <c r="N59" s="89">
        <v>312.76</v>
      </c>
      <c r="O59" s="89">
        <v>338.81</v>
      </c>
      <c r="P59" s="89">
        <v>5608.77</v>
      </c>
    </row>
    <row r="60" spans="1:16">
      <c r="A60" s="88" t="s">
        <v>358</v>
      </c>
      <c r="B60" s="294">
        <v>3106.83</v>
      </c>
      <c r="C60" s="89">
        <v>234.96</v>
      </c>
      <c r="D60" s="89">
        <v>239.85</v>
      </c>
      <c r="E60" s="89">
        <v>229.12</v>
      </c>
      <c r="F60" s="89">
        <v>232.83</v>
      </c>
      <c r="G60" s="89">
        <v>190.08</v>
      </c>
      <c r="H60" s="89">
        <v>224.08</v>
      </c>
      <c r="I60" s="89">
        <v>228.79</v>
      </c>
      <c r="J60" s="89">
        <v>251.61</v>
      </c>
      <c r="K60" s="89">
        <v>288.11</v>
      </c>
      <c r="L60" s="89">
        <v>334.86</v>
      </c>
      <c r="M60" s="89">
        <v>255.93</v>
      </c>
      <c r="N60" s="89">
        <v>177.7</v>
      </c>
      <c r="O60" s="89">
        <v>218.91</v>
      </c>
      <c r="P60" s="89">
        <v>3106.83</v>
      </c>
    </row>
    <row r="61" spans="1:16">
      <c r="A61" s="88" t="s">
        <v>528</v>
      </c>
      <c r="B61" s="294">
        <v>2534.4</v>
      </c>
      <c r="C61" s="89">
        <v>205.05</v>
      </c>
      <c r="D61" s="89">
        <v>241.53</v>
      </c>
      <c r="E61" s="89">
        <v>214</v>
      </c>
      <c r="F61" s="89">
        <v>184.87</v>
      </c>
      <c r="G61" s="89">
        <v>179.55</v>
      </c>
      <c r="H61" s="89">
        <v>168.78</v>
      </c>
      <c r="I61" s="89">
        <v>187.87</v>
      </c>
      <c r="J61" s="89">
        <v>208.67</v>
      </c>
      <c r="K61" s="89">
        <v>199.6</v>
      </c>
      <c r="L61" s="89">
        <v>253.61</v>
      </c>
      <c r="M61" s="89">
        <v>206.57</v>
      </c>
      <c r="N61" s="89">
        <v>158.22999999999999</v>
      </c>
      <c r="O61" s="89">
        <v>126.07</v>
      </c>
      <c r="P61" s="89">
        <v>2534.4</v>
      </c>
    </row>
    <row r="62" spans="1:16">
      <c r="A62" s="88" t="s">
        <v>529</v>
      </c>
      <c r="B62" s="294">
        <v>19704.75</v>
      </c>
      <c r="C62" s="89">
        <v>1507.09</v>
      </c>
      <c r="D62" s="89">
        <v>1572.65</v>
      </c>
      <c r="E62" s="89">
        <v>1591.39</v>
      </c>
      <c r="F62" s="89">
        <v>1605.32</v>
      </c>
      <c r="G62" s="89">
        <v>1566.59</v>
      </c>
      <c r="H62" s="89">
        <v>1524.05</v>
      </c>
      <c r="I62" s="89">
        <v>1472.81</v>
      </c>
      <c r="J62" s="89">
        <v>1606.59</v>
      </c>
      <c r="K62" s="89">
        <v>1541.18</v>
      </c>
      <c r="L62" s="89">
        <v>1808.16</v>
      </c>
      <c r="M62" s="89">
        <v>1538.9</v>
      </c>
      <c r="N62" s="89">
        <v>1133.03</v>
      </c>
      <c r="O62" s="89">
        <v>1236.99</v>
      </c>
      <c r="P62" s="89">
        <v>19704.75</v>
      </c>
    </row>
    <row r="63" spans="1:16">
      <c r="A63" s="88" t="s">
        <v>530</v>
      </c>
      <c r="B63" s="294">
        <v>8661.15</v>
      </c>
      <c r="C63" s="89">
        <v>670.39</v>
      </c>
      <c r="D63" s="89">
        <v>676.45</v>
      </c>
      <c r="E63" s="89">
        <v>701.63</v>
      </c>
      <c r="F63" s="89">
        <v>632.59</v>
      </c>
      <c r="G63" s="89">
        <v>653.47</v>
      </c>
      <c r="H63" s="89">
        <v>653.47</v>
      </c>
      <c r="I63" s="89">
        <v>636.57000000000005</v>
      </c>
      <c r="J63" s="89">
        <v>735.93</v>
      </c>
      <c r="K63" s="89">
        <v>699.15</v>
      </c>
      <c r="L63" s="89">
        <v>824.03</v>
      </c>
      <c r="M63" s="89">
        <v>658.34</v>
      </c>
      <c r="N63" s="89">
        <v>548.61</v>
      </c>
      <c r="O63" s="89">
        <v>570.52</v>
      </c>
      <c r="P63" s="89">
        <v>8661.15</v>
      </c>
    </row>
    <row r="64" spans="1:16">
      <c r="A64" s="88" t="s">
        <v>531</v>
      </c>
      <c r="B64" s="294">
        <v>2062.25</v>
      </c>
      <c r="C64" s="89">
        <v>155.9</v>
      </c>
      <c r="D64" s="89">
        <v>167.54</v>
      </c>
      <c r="E64" s="89">
        <v>153.34</v>
      </c>
      <c r="F64" s="89">
        <v>155.61000000000001</v>
      </c>
      <c r="G64" s="89">
        <v>138.33000000000001</v>
      </c>
      <c r="H64" s="89">
        <v>153.97999999999999</v>
      </c>
      <c r="I64" s="89">
        <v>166.29</v>
      </c>
      <c r="J64" s="89">
        <v>156.36000000000001</v>
      </c>
      <c r="K64" s="89">
        <v>169.36</v>
      </c>
      <c r="L64" s="89">
        <v>197.84</v>
      </c>
      <c r="M64" s="89">
        <v>179.04</v>
      </c>
      <c r="N64" s="89">
        <v>131.63999999999999</v>
      </c>
      <c r="O64" s="89">
        <v>137.02000000000001</v>
      </c>
      <c r="P64" s="89">
        <v>2062.25</v>
      </c>
    </row>
    <row r="65" spans="1:16">
      <c r="A65" s="88" t="s">
        <v>532</v>
      </c>
      <c r="B65" s="294">
        <v>3404.57</v>
      </c>
      <c r="C65" s="89">
        <v>275.61</v>
      </c>
      <c r="D65" s="89">
        <v>304.49</v>
      </c>
      <c r="E65" s="89">
        <v>243.29</v>
      </c>
      <c r="F65" s="89">
        <v>255.83</v>
      </c>
      <c r="G65" s="89">
        <v>262.05</v>
      </c>
      <c r="H65" s="89">
        <v>277.02</v>
      </c>
      <c r="I65" s="89">
        <v>267.77999999999997</v>
      </c>
      <c r="J65" s="89">
        <v>253.62</v>
      </c>
      <c r="K65" s="89">
        <v>289.89999999999998</v>
      </c>
      <c r="L65" s="89">
        <v>383.38</v>
      </c>
      <c r="M65" s="89">
        <v>249.02</v>
      </c>
      <c r="N65" s="89">
        <v>181.08</v>
      </c>
      <c r="O65" s="89">
        <v>161.5</v>
      </c>
      <c r="P65" s="89">
        <v>3404.57</v>
      </c>
    </row>
    <row r="66" spans="1:16">
      <c r="A66" s="88" t="s">
        <v>533</v>
      </c>
      <c r="B66" s="294">
        <v>16566.599999999999</v>
      </c>
      <c r="C66" s="89">
        <v>1083.31</v>
      </c>
      <c r="D66" s="89">
        <v>1224.76</v>
      </c>
      <c r="E66" s="89">
        <v>1214.04</v>
      </c>
      <c r="F66" s="89">
        <v>1245.78</v>
      </c>
      <c r="G66" s="89">
        <v>1230.05</v>
      </c>
      <c r="H66" s="89">
        <v>1283.94</v>
      </c>
      <c r="I66" s="89">
        <v>1313.02</v>
      </c>
      <c r="J66" s="89">
        <v>1333.76</v>
      </c>
      <c r="K66" s="89">
        <v>1345.68</v>
      </c>
      <c r="L66" s="89">
        <v>1606.89</v>
      </c>
      <c r="M66" s="89">
        <v>1379.53</v>
      </c>
      <c r="N66" s="89">
        <v>1228.28</v>
      </c>
      <c r="O66" s="89">
        <v>1077.56</v>
      </c>
      <c r="P66" s="89">
        <v>16566.599999999999</v>
      </c>
    </row>
    <row r="67" spans="1:16">
      <c r="A67" s="88" t="s">
        <v>534</v>
      </c>
      <c r="B67" s="294">
        <v>888.3</v>
      </c>
      <c r="C67" s="89">
        <v>66.38</v>
      </c>
      <c r="D67" s="89">
        <v>71.55</v>
      </c>
      <c r="E67" s="89">
        <v>59.06</v>
      </c>
      <c r="F67" s="89">
        <v>77.77</v>
      </c>
      <c r="G67" s="89">
        <v>58.13</v>
      </c>
      <c r="H67" s="89">
        <v>66.09</v>
      </c>
      <c r="I67" s="89">
        <v>69.89</v>
      </c>
      <c r="J67" s="89">
        <v>89.33</v>
      </c>
      <c r="K67" s="89">
        <v>61.07</v>
      </c>
      <c r="L67" s="89">
        <v>67.53</v>
      </c>
      <c r="M67" s="89">
        <v>81.41</v>
      </c>
      <c r="N67" s="89">
        <v>67.02</v>
      </c>
      <c r="O67" s="89">
        <v>53.07</v>
      </c>
      <c r="P67" s="89">
        <v>888.3</v>
      </c>
    </row>
    <row r="68" spans="1:16">
      <c r="A68" s="88" t="s">
        <v>535</v>
      </c>
      <c r="B68" s="294">
        <v>2896.67</v>
      </c>
      <c r="C68" s="89">
        <v>221.73</v>
      </c>
      <c r="D68" s="89">
        <v>208.73</v>
      </c>
      <c r="E68" s="89">
        <v>226.81</v>
      </c>
      <c r="F68" s="89">
        <v>237.13</v>
      </c>
      <c r="G68" s="89">
        <v>235.88</v>
      </c>
      <c r="H68" s="89">
        <v>217.85</v>
      </c>
      <c r="I68" s="89">
        <v>242.47</v>
      </c>
      <c r="J68" s="89">
        <v>259.82</v>
      </c>
      <c r="K68" s="89">
        <v>232.53</v>
      </c>
      <c r="L68" s="89">
        <v>295.55</v>
      </c>
      <c r="M68" s="89">
        <v>190.84</v>
      </c>
      <c r="N68" s="89">
        <v>165.38</v>
      </c>
      <c r="O68" s="89">
        <v>161.94999999999999</v>
      </c>
      <c r="P68" s="89">
        <v>2896.67</v>
      </c>
    </row>
    <row r="69" spans="1:16">
      <c r="A69" s="88" t="s">
        <v>536</v>
      </c>
      <c r="B69" s="294">
        <v>1962.02</v>
      </c>
      <c r="C69" s="89">
        <v>161.25</v>
      </c>
      <c r="D69" s="89">
        <v>160.59</v>
      </c>
      <c r="E69" s="89">
        <v>142.13</v>
      </c>
      <c r="F69" s="89">
        <v>152.88999999999999</v>
      </c>
      <c r="G69" s="89">
        <v>135.08000000000001</v>
      </c>
      <c r="H69" s="89">
        <v>144.61000000000001</v>
      </c>
      <c r="I69" s="89">
        <v>167.48</v>
      </c>
      <c r="J69" s="89">
        <v>152.41</v>
      </c>
      <c r="K69" s="89">
        <v>129.22999999999999</v>
      </c>
      <c r="L69" s="89">
        <v>208.04</v>
      </c>
      <c r="M69" s="89">
        <v>159.09</v>
      </c>
      <c r="N69" s="89">
        <v>114.1</v>
      </c>
      <c r="O69" s="89">
        <v>135.12</v>
      </c>
      <c r="P69" s="89">
        <v>1962.02</v>
      </c>
    </row>
    <row r="70" spans="1:16">
      <c r="A70" s="88" t="s">
        <v>537</v>
      </c>
      <c r="B70" s="294">
        <v>791.81</v>
      </c>
      <c r="C70" s="89">
        <v>53.25</v>
      </c>
      <c r="D70" s="89">
        <v>55.94</v>
      </c>
      <c r="E70" s="89">
        <v>67.92</v>
      </c>
      <c r="F70" s="89">
        <v>53.84</v>
      </c>
      <c r="G70" s="89">
        <v>45.6</v>
      </c>
      <c r="H70" s="89">
        <v>50.74</v>
      </c>
      <c r="I70" s="89">
        <v>77.89</v>
      </c>
      <c r="J70" s="89">
        <v>72.34</v>
      </c>
      <c r="K70" s="89">
        <v>54.42</v>
      </c>
      <c r="L70" s="89">
        <v>94.94</v>
      </c>
      <c r="M70" s="89">
        <v>57.66</v>
      </c>
      <c r="N70" s="89">
        <v>61.07</v>
      </c>
      <c r="O70" s="89">
        <v>46.2</v>
      </c>
      <c r="P70" s="89">
        <v>791.81</v>
      </c>
    </row>
    <row r="71" spans="1:16">
      <c r="A71" s="88" t="s">
        <v>538</v>
      </c>
      <c r="B71" s="294">
        <v>4660.55</v>
      </c>
      <c r="C71" s="89">
        <v>344.39</v>
      </c>
      <c r="D71" s="89">
        <v>414.43</v>
      </c>
      <c r="E71" s="89">
        <v>361.44</v>
      </c>
      <c r="F71" s="89">
        <v>365.64</v>
      </c>
      <c r="G71" s="89">
        <v>347.86</v>
      </c>
      <c r="H71" s="89">
        <v>339.39</v>
      </c>
      <c r="I71" s="89">
        <v>350.09</v>
      </c>
      <c r="J71" s="89">
        <v>380.81</v>
      </c>
      <c r="K71" s="89">
        <v>384.34</v>
      </c>
      <c r="L71" s="89">
        <v>485.37</v>
      </c>
      <c r="M71" s="89">
        <v>356.2</v>
      </c>
      <c r="N71" s="89">
        <v>267.83</v>
      </c>
      <c r="O71" s="89">
        <v>262.76</v>
      </c>
      <c r="P71" s="89">
        <v>4660.55</v>
      </c>
    </row>
    <row r="72" spans="1:16">
      <c r="A72" s="88" t="s">
        <v>539</v>
      </c>
      <c r="B72" s="294">
        <v>5730.92</v>
      </c>
      <c r="C72" s="89">
        <v>495.54</v>
      </c>
      <c r="D72" s="89">
        <v>511.37</v>
      </c>
      <c r="E72" s="89">
        <v>469.39</v>
      </c>
      <c r="F72" s="89">
        <v>472.53</v>
      </c>
      <c r="G72" s="89">
        <v>409.01</v>
      </c>
      <c r="H72" s="89">
        <v>443.3</v>
      </c>
      <c r="I72" s="89">
        <v>413.57</v>
      </c>
      <c r="J72" s="89">
        <v>468.57</v>
      </c>
      <c r="K72" s="89">
        <v>418.04</v>
      </c>
      <c r="L72" s="89">
        <v>524.74</v>
      </c>
      <c r="M72" s="89">
        <v>454.64</v>
      </c>
      <c r="N72" s="89">
        <v>314.16000000000003</v>
      </c>
      <c r="O72" s="89">
        <v>336.06</v>
      </c>
      <c r="P72" s="89">
        <v>5730.92</v>
      </c>
    </row>
    <row r="73" spans="1:16">
      <c r="A73" s="88" t="s">
        <v>540</v>
      </c>
      <c r="B73" s="294">
        <v>10387.25</v>
      </c>
      <c r="C73" s="89">
        <v>798.49</v>
      </c>
      <c r="D73" s="89">
        <v>822.4</v>
      </c>
      <c r="E73" s="89">
        <v>815.05</v>
      </c>
      <c r="F73" s="89">
        <v>755.67</v>
      </c>
      <c r="G73" s="89">
        <v>804.05</v>
      </c>
      <c r="H73" s="89">
        <v>842.37</v>
      </c>
      <c r="I73" s="89">
        <v>778.16</v>
      </c>
      <c r="J73" s="89">
        <v>756.17</v>
      </c>
      <c r="K73" s="89">
        <v>892.72</v>
      </c>
      <c r="L73" s="89">
        <v>999.78</v>
      </c>
      <c r="M73" s="89">
        <v>807.63</v>
      </c>
      <c r="N73" s="89">
        <v>715.12</v>
      </c>
      <c r="O73" s="89">
        <v>599.64</v>
      </c>
      <c r="P73" s="89">
        <v>10387.25</v>
      </c>
    </row>
    <row r="74" spans="1:16">
      <c r="A74" s="88" t="s">
        <v>541</v>
      </c>
      <c r="B74" s="294">
        <v>3158.01</v>
      </c>
      <c r="C74" s="89">
        <v>241.64</v>
      </c>
      <c r="D74" s="89">
        <v>262.99</v>
      </c>
      <c r="E74" s="89">
        <v>254.18</v>
      </c>
      <c r="F74" s="89">
        <v>223.94</v>
      </c>
      <c r="G74" s="89">
        <v>220.78</v>
      </c>
      <c r="H74" s="89">
        <v>203.63</v>
      </c>
      <c r="I74" s="89">
        <v>215.87</v>
      </c>
      <c r="J74" s="89">
        <v>230.99</v>
      </c>
      <c r="K74" s="89">
        <v>268.93</v>
      </c>
      <c r="L74" s="89">
        <v>310.81</v>
      </c>
      <c r="M74" s="89">
        <v>301.67</v>
      </c>
      <c r="N74" s="89">
        <v>227.7</v>
      </c>
      <c r="O74" s="89">
        <v>194.88</v>
      </c>
      <c r="P74" s="89">
        <v>3158.01</v>
      </c>
    </row>
    <row r="75" spans="1:16">
      <c r="A75" s="88" t="s">
        <v>542</v>
      </c>
      <c r="B75" s="294">
        <v>4055.34</v>
      </c>
      <c r="C75" s="89">
        <v>280.49</v>
      </c>
      <c r="D75" s="89">
        <v>313.61</v>
      </c>
      <c r="E75" s="89">
        <v>308.07</v>
      </c>
      <c r="F75" s="89">
        <v>313.26</v>
      </c>
      <c r="G75" s="89">
        <v>304.33999999999997</v>
      </c>
      <c r="H75" s="89">
        <v>296.08</v>
      </c>
      <c r="I75" s="89">
        <v>319.52</v>
      </c>
      <c r="J75" s="89">
        <v>305.70999999999998</v>
      </c>
      <c r="K75" s="89">
        <v>325.45999999999998</v>
      </c>
      <c r="L75" s="89">
        <v>423.93</v>
      </c>
      <c r="M75" s="89">
        <v>336.96</v>
      </c>
      <c r="N75" s="89">
        <v>237.92</v>
      </c>
      <c r="O75" s="89">
        <v>289.99</v>
      </c>
      <c r="P75" s="89">
        <v>4055.34</v>
      </c>
    </row>
    <row r="76" spans="1:16">
      <c r="A76" s="88" t="s">
        <v>543</v>
      </c>
      <c r="B76" s="294">
        <v>6735.05</v>
      </c>
      <c r="C76" s="89">
        <v>528.29</v>
      </c>
      <c r="D76" s="89">
        <v>564.99</v>
      </c>
      <c r="E76" s="89">
        <v>563.38</v>
      </c>
      <c r="F76" s="89">
        <v>485.27</v>
      </c>
      <c r="G76" s="89">
        <v>516.34</v>
      </c>
      <c r="H76" s="89">
        <v>476.68</v>
      </c>
      <c r="I76" s="89">
        <v>508.73</v>
      </c>
      <c r="J76" s="89">
        <v>486.06</v>
      </c>
      <c r="K76" s="89">
        <v>531.61</v>
      </c>
      <c r="L76" s="89">
        <v>705.02</v>
      </c>
      <c r="M76" s="89">
        <v>536.5</v>
      </c>
      <c r="N76" s="89">
        <v>437.47</v>
      </c>
      <c r="O76" s="89">
        <v>394.71</v>
      </c>
      <c r="P76" s="89">
        <v>6735.05</v>
      </c>
    </row>
    <row r="77" spans="1:16">
      <c r="A77" s="88" t="s">
        <v>544</v>
      </c>
      <c r="B77" s="294">
        <v>16105.73</v>
      </c>
      <c r="C77" s="89">
        <v>1243.1400000000001</v>
      </c>
      <c r="D77" s="89">
        <v>1249.1300000000001</v>
      </c>
      <c r="E77" s="89">
        <v>1269.33</v>
      </c>
      <c r="F77" s="89">
        <v>1267.07</v>
      </c>
      <c r="G77" s="89">
        <v>1233.7</v>
      </c>
      <c r="H77" s="89">
        <v>1249.33</v>
      </c>
      <c r="I77" s="89">
        <v>1260.97</v>
      </c>
      <c r="J77" s="89">
        <v>1278.42</v>
      </c>
      <c r="K77" s="89">
        <v>1297.48</v>
      </c>
      <c r="L77" s="89">
        <v>1486.51</v>
      </c>
      <c r="M77" s="89">
        <v>1254.02</v>
      </c>
      <c r="N77" s="89">
        <v>965.41</v>
      </c>
      <c r="O77" s="89">
        <v>1051.22</v>
      </c>
      <c r="P77" s="89">
        <v>16105.73</v>
      </c>
    </row>
    <row r="78" spans="1:16">
      <c r="A78" s="88" t="s">
        <v>545</v>
      </c>
      <c r="B78" s="294">
        <v>23656.99</v>
      </c>
      <c r="C78" s="89">
        <v>1810.52</v>
      </c>
      <c r="D78" s="89">
        <v>1946.04</v>
      </c>
      <c r="E78" s="89">
        <v>1880.3</v>
      </c>
      <c r="F78" s="89">
        <v>1818.08</v>
      </c>
      <c r="G78" s="89">
        <v>1786.07</v>
      </c>
      <c r="H78" s="89">
        <v>1735.48</v>
      </c>
      <c r="I78" s="89">
        <v>1768.3</v>
      </c>
      <c r="J78" s="89">
        <v>1878.21</v>
      </c>
      <c r="K78" s="89">
        <v>1967.21</v>
      </c>
      <c r="L78" s="89">
        <v>2360.5700000000002</v>
      </c>
      <c r="M78" s="89">
        <v>1847.96</v>
      </c>
      <c r="N78" s="89">
        <v>1503.95</v>
      </c>
      <c r="O78" s="89">
        <v>1354.3</v>
      </c>
      <c r="P78" s="89">
        <v>23656.99</v>
      </c>
    </row>
    <row r="79" spans="1:16">
      <c r="A79" s="88" t="s">
        <v>546</v>
      </c>
      <c r="B79" s="294">
        <v>22023</v>
      </c>
      <c r="C79" s="89">
        <v>1542.27</v>
      </c>
      <c r="D79" s="89">
        <v>1665.73</v>
      </c>
      <c r="E79" s="89">
        <v>1686.59</v>
      </c>
      <c r="F79" s="89">
        <v>1660.64</v>
      </c>
      <c r="G79" s="89">
        <v>1681.61</v>
      </c>
      <c r="H79" s="89">
        <v>1647.08</v>
      </c>
      <c r="I79" s="89">
        <v>1759.76</v>
      </c>
      <c r="J79" s="89">
        <v>1864.2</v>
      </c>
      <c r="K79" s="89">
        <v>1832.94</v>
      </c>
      <c r="L79" s="89">
        <v>1966.02</v>
      </c>
      <c r="M79" s="89">
        <v>1840.85</v>
      </c>
      <c r="N79" s="89">
        <v>1516.67</v>
      </c>
      <c r="O79" s="89">
        <v>1358.64</v>
      </c>
      <c r="P79" s="89">
        <v>22023</v>
      </c>
    </row>
    <row r="80" spans="1:16">
      <c r="A80" s="88" t="s">
        <v>547</v>
      </c>
      <c r="B80" s="294">
        <v>2117.84</v>
      </c>
      <c r="C80" s="89">
        <v>227.66</v>
      </c>
      <c r="D80" s="89">
        <v>160.53</v>
      </c>
      <c r="E80" s="89">
        <v>143.69999999999999</v>
      </c>
      <c r="F80" s="89">
        <v>173.83</v>
      </c>
      <c r="G80" s="89">
        <v>149.96</v>
      </c>
      <c r="H80" s="89">
        <v>168.35</v>
      </c>
      <c r="I80" s="89">
        <v>159.72</v>
      </c>
      <c r="J80" s="89">
        <v>164.31</v>
      </c>
      <c r="K80" s="89">
        <v>162.08000000000001</v>
      </c>
      <c r="L80" s="89">
        <v>211.19</v>
      </c>
      <c r="M80" s="89">
        <v>146.33000000000001</v>
      </c>
      <c r="N80" s="89">
        <v>131.69</v>
      </c>
      <c r="O80" s="89">
        <v>118.49</v>
      </c>
      <c r="P80" s="89">
        <v>2117.84</v>
      </c>
    </row>
    <row r="81" spans="1:16">
      <c r="A81" s="88" t="s">
        <v>548</v>
      </c>
      <c r="B81" s="294">
        <v>4766.21</v>
      </c>
      <c r="C81" s="89">
        <v>360.39</v>
      </c>
      <c r="D81" s="89">
        <v>355.62</v>
      </c>
      <c r="E81" s="89">
        <v>366.58</v>
      </c>
      <c r="F81" s="89">
        <v>353.87</v>
      </c>
      <c r="G81" s="89">
        <v>363.63</v>
      </c>
      <c r="H81" s="89">
        <v>395.95</v>
      </c>
      <c r="I81" s="89">
        <v>372.43</v>
      </c>
      <c r="J81" s="89">
        <v>377.24</v>
      </c>
      <c r="K81" s="89">
        <v>371.36</v>
      </c>
      <c r="L81" s="89">
        <v>409.35</v>
      </c>
      <c r="M81" s="89">
        <v>401.56</v>
      </c>
      <c r="N81" s="89">
        <v>331.81</v>
      </c>
      <c r="O81" s="89">
        <v>306.42</v>
      </c>
      <c r="P81" s="89">
        <v>4766.21</v>
      </c>
    </row>
    <row r="82" spans="1:16">
      <c r="A82" s="88" t="s">
        <v>549</v>
      </c>
      <c r="B82" s="294">
        <v>9218.56</v>
      </c>
      <c r="C82" s="89">
        <v>711.91</v>
      </c>
      <c r="D82" s="89">
        <v>734.33</v>
      </c>
      <c r="E82" s="89">
        <v>722.4</v>
      </c>
      <c r="F82" s="89">
        <v>721.53</v>
      </c>
      <c r="G82" s="89">
        <v>748.19</v>
      </c>
      <c r="H82" s="89">
        <v>722.56</v>
      </c>
      <c r="I82" s="89">
        <v>755.96</v>
      </c>
      <c r="J82" s="89">
        <v>708.22</v>
      </c>
      <c r="K82" s="89">
        <v>722.34</v>
      </c>
      <c r="L82" s="89">
        <v>754.74</v>
      </c>
      <c r="M82" s="89">
        <v>755.97</v>
      </c>
      <c r="N82" s="89">
        <v>594.78</v>
      </c>
      <c r="O82" s="89">
        <v>565.63</v>
      </c>
      <c r="P82" s="89">
        <v>9218.56</v>
      </c>
    </row>
    <row r="83" spans="1:16">
      <c r="A83" s="88" t="s">
        <v>550</v>
      </c>
      <c r="B83" s="294">
        <v>2993.69</v>
      </c>
      <c r="C83" s="89">
        <v>241.03</v>
      </c>
      <c r="D83" s="89">
        <v>222.08</v>
      </c>
      <c r="E83" s="89">
        <v>221.91</v>
      </c>
      <c r="F83" s="89">
        <v>231.14</v>
      </c>
      <c r="G83" s="89">
        <v>229.75</v>
      </c>
      <c r="H83" s="89">
        <v>222.42</v>
      </c>
      <c r="I83" s="89">
        <v>207.56</v>
      </c>
      <c r="J83" s="89">
        <v>250.61</v>
      </c>
      <c r="K83" s="89">
        <v>262.33</v>
      </c>
      <c r="L83" s="89">
        <v>283.76</v>
      </c>
      <c r="M83" s="89">
        <v>253.57</v>
      </c>
      <c r="N83" s="89">
        <v>166.45</v>
      </c>
      <c r="O83" s="89">
        <v>201.08</v>
      </c>
      <c r="P83" s="89">
        <v>2993.69</v>
      </c>
    </row>
    <row r="84" spans="1:16">
      <c r="A84" s="88" t="s">
        <v>551</v>
      </c>
      <c r="B84" s="294">
        <v>2867.07</v>
      </c>
      <c r="C84" s="89">
        <v>199.24</v>
      </c>
      <c r="D84" s="89">
        <v>225.12</v>
      </c>
      <c r="E84" s="89">
        <v>223.96</v>
      </c>
      <c r="F84" s="89">
        <v>233.95</v>
      </c>
      <c r="G84" s="89">
        <v>218.3</v>
      </c>
      <c r="H84" s="89">
        <v>228.96</v>
      </c>
      <c r="I84" s="89">
        <v>246.13</v>
      </c>
      <c r="J84" s="89">
        <v>221.17</v>
      </c>
      <c r="K84" s="89">
        <v>247.37</v>
      </c>
      <c r="L84" s="89">
        <v>311.81</v>
      </c>
      <c r="M84" s="89">
        <v>198.12</v>
      </c>
      <c r="N84" s="89">
        <v>150.53</v>
      </c>
      <c r="O84" s="89">
        <v>162.41</v>
      </c>
      <c r="P84" s="89">
        <v>2867.07</v>
      </c>
    </row>
    <row r="85" spans="1:16">
      <c r="A85" s="88" t="s">
        <v>552</v>
      </c>
      <c r="B85" s="294">
        <v>6806.1</v>
      </c>
      <c r="C85" s="89">
        <v>483.55</v>
      </c>
      <c r="D85" s="89">
        <v>559.61</v>
      </c>
      <c r="E85" s="89">
        <v>512.9</v>
      </c>
      <c r="F85" s="89">
        <v>532.17999999999995</v>
      </c>
      <c r="G85" s="89">
        <v>494.83</v>
      </c>
      <c r="H85" s="89">
        <v>570.09</v>
      </c>
      <c r="I85" s="89">
        <v>514.97</v>
      </c>
      <c r="J85" s="89">
        <v>545.59</v>
      </c>
      <c r="K85" s="89">
        <v>575.24</v>
      </c>
      <c r="L85" s="89">
        <v>614.54</v>
      </c>
      <c r="M85" s="89">
        <v>634.96</v>
      </c>
      <c r="N85" s="89">
        <v>359.42</v>
      </c>
      <c r="O85" s="89">
        <v>408.22</v>
      </c>
      <c r="P85" s="89">
        <v>6806.1</v>
      </c>
    </row>
    <row r="86" spans="1:16">
      <c r="A86" s="88" t="s">
        <v>553</v>
      </c>
      <c r="B86" s="294">
        <v>9725.39</v>
      </c>
      <c r="C86" s="89">
        <v>711.81</v>
      </c>
      <c r="D86" s="89">
        <v>714.33</v>
      </c>
      <c r="E86" s="89">
        <v>716.41</v>
      </c>
      <c r="F86" s="89">
        <v>697.82</v>
      </c>
      <c r="G86" s="89">
        <v>683.93</v>
      </c>
      <c r="H86" s="89">
        <v>743.99</v>
      </c>
      <c r="I86" s="89">
        <v>747.24</v>
      </c>
      <c r="J86" s="89">
        <v>781.05</v>
      </c>
      <c r="K86" s="89">
        <v>821.69</v>
      </c>
      <c r="L86" s="89">
        <v>995.5</v>
      </c>
      <c r="M86" s="89">
        <v>820.64</v>
      </c>
      <c r="N86" s="89">
        <v>640.47</v>
      </c>
      <c r="O86" s="89">
        <v>650.51</v>
      </c>
      <c r="P86" s="89">
        <v>9725.39</v>
      </c>
    </row>
    <row r="87" spans="1:16">
      <c r="A87" s="88" t="s">
        <v>554</v>
      </c>
      <c r="B87" s="294">
        <v>7376.81</v>
      </c>
      <c r="C87" s="89">
        <v>587.4</v>
      </c>
      <c r="D87" s="89">
        <v>576.66999999999996</v>
      </c>
      <c r="E87" s="89">
        <v>522.96</v>
      </c>
      <c r="F87" s="89">
        <v>556.22</v>
      </c>
      <c r="G87" s="89">
        <v>552.07000000000005</v>
      </c>
      <c r="H87" s="89">
        <v>537.78</v>
      </c>
      <c r="I87" s="89">
        <v>543.70000000000005</v>
      </c>
      <c r="J87" s="89">
        <v>587.76</v>
      </c>
      <c r="K87" s="89">
        <v>654.05999999999995</v>
      </c>
      <c r="L87" s="89">
        <v>607.29</v>
      </c>
      <c r="M87" s="89">
        <v>636.59</v>
      </c>
      <c r="N87" s="89">
        <v>557.62</v>
      </c>
      <c r="O87" s="89">
        <v>456.69</v>
      </c>
      <c r="P87" s="89">
        <v>7376.81</v>
      </c>
    </row>
    <row r="88" spans="1:16">
      <c r="A88" s="88" t="s">
        <v>555</v>
      </c>
      <c r="B88" s="294">
        <v>8656.0499999999993</v>
      </c>
      <c r="C88" s="89">
        <v>685.76</v>
      </c>
      <c r="D88" s="89">
        <v>746.41</v>
      </c>
      <c r="E88" s="89">
        <v>710.11</v>
      </c>
      <c r="F88" s="89">
        <v>695.57</v>
      </c>
      <c r="G88" s="89">
        <v>617.24</v>
      </c>
      <c r="H88" s="89">
        <v>667.23</v>
      </c>
      <c r="I88" s="89">
        <v>679.85</v>
      </c>
      <c r="J88" s="89">
        <v>630.16</v>
      </c>
      <c r="K88" s="89">
        <v>636.74</v>
      </c>
      <c r="L88" s="89">
        <v>701.17</v>
      </c>
      <c r="M88" s="89">
        <v>655.49</v>
      </c>
      <c r="N88" s="89">
        <v>633.29999999999995</v>
      </c>
      <c r="O88" s="89">
        <v>597.02</v>
      </c>
      <c r="P88" s="89">
        <v>8656.0499999999993</v>
      </c>
    </row>
    <row r="89" spans="1:16">
      <c r="A89" s="88" t="s">
        <v>556</v>
      </c>
      <c r="B89" s="294">
        <v>8546.19</v>
      </c>
      <c r="C89" s="89">
        <v>676.66</v>
      </c>
      <c r="D89" s="89">
        <v>705.96</v>
      </c>
      <c r="E89" s="89">
        <v>693.59</v>
      </c>
      <c r="F89" s="89">
        <v>691.9</v>
      </c>
      <c r="G89" s="89">
        <v>601.36</v>
      </c>
      <c r="H89" s="89">
        <v>620.61</v>
      </c>
      <c r="I89" s="89">
        <v>684.01</v>
      </c>
      <c r="J89" s="89">
        <v>662.03</v>
      </c>
      <c r="K89" s="89">
        <v>733.1</v>
      </c>
      <c r="L89" s="89">
        <v>891.76</v>
      </c>
      <c r="M89" s="89">
        <v>637.79</v>
      </c>
      <c r="N89" s="89">
        <v>414.83</v>
      </c>
      <c r="O89" s="89">
        <v>532.59</v>
      </c>
      <c r="P89" s="89">
        <v>8546.19</v>
      </c>
    </row>
    <row r="90" spans="1:16">
      <c r="A90" s="88" t="s">
        <v>557</v>
      </c>
      <c r="B90" s="294">
        <v>4615.78</v>
      </c>
      <c r="C90" s="89">
        <v>352.86</v>
      </c>
      <c r="D90" s="89">
        <v>366.67</v>
      </c>
      <c r="E90" s="89">
        <v>354.01</v>
      </c>
      <c r="F90" s="89">
        <v>354.69</v>
      </c>
      <c r="G90" s="89">
        <v>374.54</v>
      </c>
      <c r="H90" s="89">
        <v>355.08</v>
      </c>
      <c r="I90" s="89">
        <v>348.27</v>
      </c>
      <c r="J90" s="89">
        <v>400.28</v>
      </c>
      <c r="K90" s="89">
        <v>359.16</v>
      </c>
      <c r="L90" s="89">
        <v>433.87</v>
      </c>
      <c r="M90" s="89">
        <v>357.04</v>
      </c>
      <c r="N90" s="89">
        <v>284.81</v>
      </c>
      <c r="O90" s="89">
        <v>274.5</v>
      </c>
      <c r="P90" s="89">
        <v>4615.78</v>
      </c>
    </row>
    <row r="91" spans="1:16">
      <c r="A91" s="88" t="s">
        <v>558</v>
      </c>
      <c r="B91" s="294">
        <v>5349.17</v>
      </c>
      <c r="C91" s="89">
        <v>387.07</v>
      </c>
      <c r="D91" s="89">
        <v>464.54</v>
      </c>
      <c r="E91" s="89">
        <v>425.76</v>
      </c>
      <c r="F91" s="89">
        <v>383.33</v>
      </c>
      <c r="G91" s="89">
        <v>376.52</v>
      </c>
      <c r="H91" s="89">
        <v>360.69</v>
      </c>
      <c r="I91" s="89">
        <v>422.18</v>
      </c>
      <c r="J91" s="89">
        <v>430.94</v>
      </c>
      <c r="K91" s="89">
        <v>443.1</v>
      </c>
      <c r="L91" s="89">
        <v>478.06</v>
      </c>
      <c r="M91" s="89">
        <v>449.62</v>
      </c>
      <c r="N91" s="89">
        <v>339.95</v>
      </c>
      <c r="O91" s="89">
        <v>387.41</v>
      </c>
      <c r="P91" s="89">
        <v>5349.17</v>
      </c>
    </row>
    <row r="92" spans="1:16">
      <c r="A92" s="88" t="s">
        <v>559</v>
      </c>
      <c r="B92" s="294">
        <v>4976.75</v>
      </c>
      <c r="C92" s="89">
        <v>401.19</v>
      </c>
      <c r="D92" s="89">
        <v>408.5</v>
      </c>
      <c r="E92" s="89">
        <v>393.62</v>
      </c>
      <c r="F92" s="89">
        <v>379.71</v>
      </c>
      <c r="G92" s="89">
        <v>387.22</v>
      </c>
      <c r="H92" s="89">
        <v>348.72</v>
      </c>
      <c r="I92" s="89">
        <v>391.73</v>
      </c>
      <c r="J92" s="89">
        <v>389.47</v>
      </c>
      <c r="K92" s="89">
        <v>412.23</v>
      </c>
      <c r="L92" s="89">
        <v>412.69</v>
      </c>
      <c r="M92" s="89">
        <v>368.43</v>
      </c>
      <c r="N92" s="89">
        <v>346.47</v>
      </c>
      <c r="O92" s="89">
        <v>336.77</v>
      </c>
      <c r="P92" s="89">
        <v>4976.75</v>
      </c>
    </row>
    <row r="93" spans="1:16">
      <c r="A93" s="88" t="s">
        <v>560</v>
      </c>
      <c r="B93" s="294">
        <v>5655.02</v>
      </c>
      <c r="C93" s="89">
        <v>425.4</v>
      </c>
      <c r="D93" s="89">
        <v>438.04</v>
      </c>
      <c r="E93" s="89">
        <v>418.21</v>
      </c>
      <c r="F93" s="89">
        <v>436.47</v>
      </c>
      <c r="G93" s="89">
        <v>401.23</v>
      </c>
      <c r="H93" s="89">
        <v>434.55</v>
      </c>
      <c r="I93" s="89">
        <v>470.22</v>
      </c>
      <c r="J93" s="89">
        <v>435.82</v>
      </c>
      <c r="K93" s="89">
        <v>460.1</v>
      </c>
      <c r="L93" s="89">
        <v>553.61</v>
      </c>
      <c r="M93" s="89">
        <v>473.54</v>
      </c>
      <c r="N93" s="89">
        <v>363.68</v>
      </c>
      <c r="O93" s="89">
        <v>344.15</v>
      </c>
      <c r="P93" s="89">
        <v>5655.02</v>
      </c>
    </row>
    <row r="94" spans="1:16">
      <c r="A94" s="88" t="s">
        <v>561</v>
      </c>
      <c r="B94" s="294">
        <v>16657.669999999998</v>
      </c>
      <c r="C94" s="89">
        <v>1319.04</v>
      </c>
      <c r="D94" s="89">
        <v>1268.44</v>
      </c>
      <c r="E94" s="89">
        <v>1361.92</v>
      </c>
      <c r="F94" s="89">
        <v>1263.1600000000001</v>
      </c>
      <c r="G94" s="89">
        <v>1249.56</v>
      </c>
      <c r="H94" s="89">
        <v>1253.68</v>
      </c>
      <c r="I94" s="89">
        <v>1301.8399999999999</v>
      </c>
      <c r="J94" s="89">
        <v>1278.24</v>
      </c>
      <c r="K94" s="89">
        <v>1331.4</v>
      </c>
      <c r="L94" s="89">
        <v>1692.38</v>
      </c>
      <c r="M94" s="89">
        <v>1371.64</v>
      </c>
      <c r="N94" s="89">
        <v>1043.7</v>
      </c>
      <c r="O94" s="89">
        <v>922.67</v>
      </c>
      <c r="P94" s="89">
        <v>16657.669999999998</v>
      </c>
    </row>
    <row r="95" spans="1:16">
      <c r="A95" s="88" t="s">
        <v>562</v>
      </c>
      <c r="B95" s="294">
        <v>7861.19</v>
      </c>
      <c r="C95" s="89">
        <v>650.87</v>
      </c>
      <c r="D95" s="89">
        <v>615.73</v>
      </c>
      <c r="E95" s="89">
        <v>654.21</v>
      </c>
      <c r="F95" s="89">
        <v>572.4</v>
      </c>
      <c r="G95" s="89">
        <v>621.94000000000005</v>
      </c>
      <c r="H95" s="89">
        <v>605.35</v>
      </c>
      <c r="I95" s="89">
        <v>604.12</v>
      </c>
      <c r="J95" s="89">
        <v>628.04</v>
      </c>
      <c r="K95" s="89">
        <v>634.01</v>
      </c>
      <c r="L95" s="89">
        <v>666.1</v>
      </c>
      <c r="M95" s="89">
        <v>584.47</v>
      </c>
      <c r="N95" s="89">
        <v>548.04</v>
      </c>
      <c r="O95" s="89">
        <v>475.91</v>
      </c>
      <c r="P95" s="89">
        <v>7861.19</v>
      </c>
    </row>
    <row r="96" spans="1:16">
      <c r="A96" s="88" t="s">
        <v>563</v>
      </c>
      <c r="B96" s="294">
        <v>227.83</v>
      </c>
      <c r="C96" s="89">
        <v>26.53</v>
      </c>
      <c r="D96" s="89">
        <v>28.89</v>
      </c>
      <c r="E96" s="89">
        <v>28.59</v>
      </c>
      <c r="F96" s="89">
        <v>22</v>
      </c>
      <c r="G96" s="89">
        <v>23.33</v>
      </c>
      <c r="H96" s="89">
        <v>18</v>
      </c>
      <c r="I96" s="89">
        <v>27.67</v>
      </c>
      <c r="J96" s="89">
        <v>24.71</v>
      </c>
      <c r="K96" s="89">
        <v>28.11</v>
      </c>
      <c r="L96" s="89">
        <v>0</v>
      </c>
      <c r="M96" s="89">
        <v>0</v>
      </c>
      <c r="N96" s="89">
        <v>0</v>
      </c>
      <c r="O96" s="89">
        <v>0</v>
      </c>
      <c r="P96" s="89">
        <v>227.83</v>
      </c>
    </row>
    <row r="97" spans="1:16">
      <c r="A97" s="88" t="s">
        <v>564</v>
      </c>
      <c r="B97" s="294">
        <v>284.08</v>
      </c>
      <c r="C97" s="89">
        <v>13.23</v>
      </c>
      <c r="D97" s="89">
        <v>8.9499999999999993</v>
      </c>
      <c r="E97" s="89">
        <v>11.97</v>
      </c>
      <c r="F97" s="89">
        <v>12.23</v>
      </c>
      <c r="G97" s="89">
        <v>18.54</v>
      </c>
      <c r="H97" s="89">
        <v>16.239999999999998</v>
      </c>
      <c r="I97" s="89">
        <v>17.29</v>
      </c>
      <c r="J97" s="89">
        <v>18.36</v>
      </c>
      <c r="K97" s="89">
        <v>34.43</v>
      </c>
      <c r="L97" s="89">
        <v>25.78</v>
      </c>
      <c r="M97" s="89">
        <v>29.04</v>
      </c>
      <c r="N97" s="89">
        <v>26.32</v>
      </c>
      <c r="O97" s="89">
        <v>51.7</v>
      </c>
      <c r="P97" s="89">
        <v>284.08</v>
      </c>
    </row>
    <row r="98" spans="1:16">
      <c r="A98" s="88" t="s">
        <v>29</v>
      </c>
      <c r="B98" s="294">
        <v>1169.8900000000001</v>
      </c>
      <c r="C98" s="89">
        <v>0</v>
      </c>
      <c r="D98" s="89">
        <v>0</v>
      </c>
      <c r="E98" s="89">
        <v>0</v>
      </c>
      <c r="F98" s="89">
        <v>0</v>
      </c>
      <c r="G98" s="89">
        <v>0.05</v>
      </c>
      <c r="H98" s="89">
        <v>2.38</v>
      </c>
      <c r="I98" s="89">
        <v>32.200000000000003</v>
      </c>
      <c r="J98" s="89">
        <v>96.03</v>
      </c>
      <c r="K98" s="89">
        <v>188.19</v>
      </c>
      <c r="L98" s="89">
        <v>541.79</v>
      </c>
      <c r="M98" s="89">
        <v>232.5</v>
      </c>
      <c r="N98" s="89">
        <v>63.9</v>
      </c>
      <c r="O98" s="89">
        <v>12.85</v>
      </c>
      <c r="P98" s="89">
        <v>1169.8900000000001</v>
      </c>
    </row>
    <row r="99" spans="1:16">
      <c r="A99" s="93" t="s">
        <v>565</v>
      </c>
      <c r="B99" s="293">
        <v>822.78</v>
      </c>
      <c r="C99" s="94">
        <v>0</v>
      </c>
      <c r="D99" s="94">
        <v>0</v>
      </c>
      <c r="E99" s="94">
        <v>0</v>
      </c>
      <c r="F99" s="94">
        <v>0</v>
      </c>
      <c r="G99" s="94">
        <v>0</v>
      </c>
      <c r="H99" s="94">
        <v>0</v>
      </c>
      <c r="I99" s="94">
        <v>0</v>
      </c>
      <c r="J99" s="94">
        <v>0</v>
      </c>
      <c r="K99" s="94">
        <v>0</v>
      </c>
      <c r="L99" s="94">
        <v>819.09</v>
      </c>
      <c r="M99" s="94">
        <v>3.22</v>
      </c>
      <c r="N99" s="94">
        <v>0.47</v>
      </c>
      <c r="O99" s="94">
        <v>0</v>
      </c>
      <c r="P99" s="94">
        <v>822.78</v>
      </c>
    </row>
    <row r="100" spans="1:16">
      <c r="A100" s="88" t="s">
        <v>566</v>
      </c>
      <c r="B100" s="296">
        <v>681789.6</v>
      </c>
      <c r="C100" s="89">
        <v>53030.46</v>
      </c>
      <c r="D100" s="89">
        <v>55538.17</v>
      </c>
      <c r="E100" s="89">
        <v>53210.1</v>
      </c>
      <c r="F100" s="89">
        <v>52039.96</v>
      </c>
      <c r="G100" s="89">
        <v>51076</v>
      </c>
      <c r="H100" s="89">
        <v>50941.279999999999</v>
      </c>
      <c r="I100" s="89">
        <v>52520.18</v>
      </c>
      <c r="J100" s="89">
        <v>54132.66</v>
      </c>
      <c r="K100" s="89">
        <v>54954.28</v>
      </c>
      <c r="L100" s="89">
        <v>66129.88</v>
      </c>
      <c r="M100" s="89">
        <v>54227.82</v>
      </c>
      <c r="N100" s="89">
        <v>42477.4</v>
      </c>
      <c r="O100" s="89">
        <v>41511.410000000003</v>
      </c>
      <c r="P100" s="96">
        <v>681789.6</v>
      </c>
    </row>
    <row r="102" spans="1:16">
      <c r="B102" s="290"/>
      <c r="N102" s="89" t="s">
        <v>567</v>
      </c>
      <c r="P102" s="96">
        <f>'5-Charters'!M44</f>
        <v>5016.1699999999992</v>
      </c>
    </row>
    <row r="103" spans="1:16">
      <c r="B103" s="291"/>
      <c r="E103" s="91"/>
    </row>
    <row r="104" spans="1:16">
      <c r="B104" s="290"/>
      <c r="N104" s="89" t="s">
        <v>568</v>
      </c>
      <c r="P104" s="97">
        <f>P100-P102</f>
        <v>676773.42999999993</v>
      </c>
    </row>
    <row r="105" spans="1:16">
      <c r="B105" s="291"/>
      <c r="F105" s="9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Y74"/>
  <sheetViews>
    <sheetView workbookViewId="0"/>
  </sheetViews>
  <sheetFormatPr defaultRowHeight="11.25"/>
  <cols>
    <col min="1" max="1" width="15" style="76" customWidth="1"/>
    <col min="2" max="2" width="9.33203125" style="76"/>
    <col min="3" max="3" width="35" style="76" customWidth="1"/>
    <col min="4" max="17" width="8.83203125" style="76" customWidth="1"/>
    <col min="18" max="18" width="9.33203125" style="76"/>
    <col min="19" max="19" width="6.33203125" style="76" customWidth="1"/>
    <col min="20" max="20" width="12.83203125" style="76" customWidth="1"/>
    <col min="21" max="21" width="17.83203125" style="76" customWidth="1"/>
    <col min="22" max="22" width="15" style="76" customWidth="1"/>
    <col min="23" max="23" width="16.83203125" style="76" customWidth="1"/>
    <col min="24" max="25" width="12.83203125" style="76" customWidth="1"/>
  </cols>
  <sheetData>
    <row r="1" spans="1:25" s="44" customFormat="1" ht="15.95" customHeight="1">
      <c r="A1" s="146" t="s">
        <v>680</v>
      </c>
      <c r="B1" s="76"/>
      <c r="C1" s="76"/>
      <c r="D1" s="76"/>
      <c r="E1" s="76"/>
      <c r="F1" s="76"/>
      <c r="G1" s="76"/>
      <c r="H1" s="76"/>
      <c r="I1" s="76"/>
      <c r="J1" s="76"/>
      <c r="K1" s="76"/>
      <c r="L1" s="76"/>
      <c r="M1" s="76"/>
      <c r="N1" s="76"/>
      <c r="O1" s="76"/>
      <c r="P1" s="76"/>
      <c r="Q1" s="76"/>
      <c r="R1" s="76"/>
      <c r="S1" s="76"/>
      <c r="T1" s="76"/>
      <c r="U1" s="76"/>
      <c r="V1" s="76"/>
      <c r="W1" s="76"/>
      <c r="X1" s="76"/>
      <c r="Y1" s="76"/>
    </row>
    <row r="2" spans="1:25" s="44" customFormat="1" ht="15.95" customHeight="1">
      <c r="A2" s="146" t="s">
        <v>681</v>
      </c>
      <c r="B2" s="76"/>
      <c r="C2" s="76"/>
      <c r="D2" s="76"/>
      <c r="E2" s="76"/>
      <c r="F2" s="76"/>
      <c r="G2" s="76"/>
      <c r="H2" s="76"/>
      <c r="I2" s="76"/>
      <c r="J2" s="76"/>
      <c r="K2" s="76"/>
      <c r="L2" s="76"/>
      <c r="M2" s="76"/>
      <c r="N2" s="76"/>
      <c r="O2" s="76"/>
      <c r="P2" s="76"/>
      <c r="Q2" s="76"/>
      <c r="R2" s="76"/>
      <c r="S2" s="76"/>
      <c r="T2" s="76"/>
      <c r="U2" s="76"/>
      <c r="V2" s="76"/>
      <c r="W2" s="76"/>
      <c r="X2" s="76"/>
      <c r="Y2" s="76"/>
    </row>
    <row r="3" spans="1:25">
      <c r="A3" s="49" t="s">
        <v>573</v>
      </c>
    </row>
    <row r="5" spans="1:25" ht="45">
      <c r="A5" s="76" t="s">
        <v>31</v>
      </c>
      <c r="B5" s="76" t="s">
        <v>574</v>
      </c>
      <c r="C5" s="76" t="s">
        <v>575</v>
      </c>
      <c r="D5" s="147" t="s">
        <v>576</v>
      </c>
      <c r="E5" s="108" t="s">
        <v>485</v>
      </c>
      <c r="F5" s="108" t="s">
        <v>577</v>
      </c>
      <c r="G5" s="108" t="s">
        <v>578</v>
      </c>
      <c r="H5" s="108" t="s">
        <v>579</v>
      </c>
      <c r="I5" s="108" t="s">
        <v>580</v>
      </c>
      <c r="J5" s="108" t="s">
        <v>581</v>
      </c>
      <c r="K5" s="108" t="s">
        <v>582</v>
      </c>
      <c r="L5" s="108" t="s">
        <v>583</v>
      </c>
      <c r="M5" s="108" t="s">
        <v>584</v>
      </c>
      <c r="N5" s="108" t="s">
        <v>585</v>
      </c>
      <c r="O5" s="108" t="s">
        <v>586</v>
      </c>
      <c r="P5" s="108" t="s">
        <v>587</v>
      </c>
      <c r="Q5" s="108" t="s">
        <v>588</v>
      </c>
      <c r="R5" s="143" t="s">
        <v>589</v>
      </c>
      <c r="S5" s="109" t="s">
        <v>590</v>
      </c>
      <c r="T5" s="109" t="s">
        <v>591</v>
      </c>
      <c r="U5" s="109" t="s">
        <v>592</v>
      </c>
      <c r="V5" s="109" t="s">
        <v>593</v>
      </c>
      <c r="W5" s="138" t="s">
        <v>594</v>
      </c>
      <c r="X5" s="138" t="s">
        <v>595</v>
      </c>
      <c r="Y5" s="138" t="s">
        <v>596</v>
      </c>
    </row>
    <row r="6" spans="1:25">
      <c r="D6" s="147" t="s">
        <v>597</v>
      </c>
      <c r="E6" s="108" t="s">
        <v>484</v>
      </c>
      <c r="F6" s="108"/>
      <c r="G6" s="108"/>
      <c r="H6" s="108"/>
      <c r="I6" s="108"/>
      <c r="J6" s="108"/>
      <c r="K6" s="108"/>
      <c r="L6" s="108"/>
      <c r="M6" s="108"/>
      <c r="N6" s="108"/>
      <c r="O6" s="108"/>
      <c r="P6" s="108"/>
      <c r="Q6" s="108"/>
      <c r="R6" s="144"/>
      <c r="S6" s="110"/>
      <c r="T6" s="110"/>
      <c r="U6" s="110"/>
      <c r="V6" s="110"/>
      <c r="W6" s="139"/>
      <c r="X6" s="139"/>
      <c r="Y6" s="139"/>
    </row>
    <row r="7" spans="1:25">
      <c r="A7" s="111" t="s">
        <v>598</v>
      </c>
      <c r="B7" s="111" t="s">
        <v>599</v>
      </c>
      <c r="C7" s="111" t="s">
        <v>600</v>
      </c>
      <c r="D7" s="148">
        <v>0</v>
      </c>
      <c r="E7" s="110">
        <v>0</v>
      </c>
      <c r="F7" s="110">
        <v>0</v>
      </c>
      <c r="G7" s="110">
        <v>0</v>
      </c>
      <c r="H7" s="110">
        <v>0</v>
      </c>
      <c r="I7" s="110">
        <v>0</v>
      </c>
      <c r="J7" s="110">
        <v>5.98</v>
      </c>
      <c r="K7" s="110">
        <v>5.99</v>
      </c>
      <c r="L7" s="110">
        <v>8.89</v>
      </c>
      <c r="M7" s="110">
        <v>12.8</v>
      </c>
      <c r="N7" s="110">
        <v>0</v>
      </c>
      <c r="O7" s="110">
        <v>0</v>
      </c>
      <c r="P7" s="110">
        <v>0</v>
      </c>
      <c r="Q7" s="110">
        <v>0</v>
      </c>
      <c r="R7" s="145">
        <v>33.659999999999997</v>
      </c>
      <c r="T7" s="110">
        <f>SUM(R7:S7)</f>
        <v>33.659999999999997</v>
      </c>
      <c r="U7" s="136" t="s">
        <v>601</v>
      </c>
      <c r="V7" s="136" t="e">
        <f>SUM(U7/T7)</f>
        <v>#VALUE!</v>
      </c>
      <c r="W7" s="136" t="s">
        <v>601</v>
      </c>
      <c r="X7" s="141" t="e">
        <f>SUM(W7/U7)</f>
        <v>#VALUE!</v>
      </c>
      <c r="Y7" s="142"/>
    </row>
    <row r="8" spans="1:25">
      <c r="A8" s="111" t="s">
        <v>598</v>
      </c>
      <c r="B8" s="111" t="s">
        <v>602</v>
      </c>
      <c r="C8" s="111" t="s">
        <v>603</v>
      </c>
      <c r="D8" s="148">
        <v>0</v>
      </c>
      <c r="E8" s="110">
        <v>15.19</v>
      </c>
      <c r="F8" s="110">
        <v>18.97</v>
      </c>
      <c r="G8" s="110">
        <v>14.98</v>
      </c>
      <c r="H8" s="110">
        <v>17.28</v>
      </c>
      <c r="I8" s="110">
        <v>11.47</v>
      </c>
      <c r="J8" s="110">
        <v>17.41</v>
      </c>
      <c r="K8" s="110">
        <v>12.04</v>
      </c>
      <c r="L8" s="110">
        <v>15.29</v>
      </c>
      <c r="M8" s="110">
        <v>9.23</v>
      </c>
      <c r="N8" s="110">
        <v>0</v>
      </c>
      <c r="O8" s="110">
        <v>0</v>
      </c>
      <c r="P8" s="110">
        <v>0</v>
      </c>
      <c r="Q8" s="110">
        <v>0</v>
      </c>
      <c r="R8" s="145">
        <v>131.86000000000001</v>
      </c>
      <c r="S8" s="76">
        <v>30</v>
      </c>
      <c r="T8" s="110">
        <f>SUM(R8:S8)</f>
        <v>161.86000000000001</v>
      </c>
      <c r="U8" s="136">
        <v>1042499</v>
      </c>
      <c r="V8" s="136">
        <f>SUM(U8/T8)</f>
        <v>6440.7450883479542</v>
      </c>
      <c r="W8" s="136">
        <v>580170</v>
      </c>
      <c r="X8" s="141">
        <f>SUM(W8/U8)</f>
        <v>0.55651851944222486</v>
      </c>
      <c r="Y8" s="141">
        <v>0.26</v>
      </c>
    </row>
    <row r="9" spans="1:25">
      <c r="A9" s="111" t="s">
        <v>598</v>
      </c>
      <c r="B9" s="111" t="s">
        <v>604</v>
      </c>
      <c r="C9" s="111" t="s">
        <v>605</v>
      </c>
      <c r="D9" s="148">
        <v>0</v>
      </c>
      <c r="E9" s="110">
        <v>0</v>
      </c>
      <c r="F9" s="110">
        <v>0</v>
      </c>
      <c r="G9" s="110">
        <v>0</v>
      </c>
      <c r="H9" s="110">
        <v>0</v>
      </c>
      <c r="I9" s="110">
        <v>0</v>
      </c>
      <c r="J9" s="110">
        <v>0</v>
      </c>
      <c r="K9" s="110">
        <v>0</v>
      </c>
      <c r="L9" s="110">
        <v>0</v>
      </c>
      <c r="M9" s="110">
        <v>0</v>
      </c>
      <c r="N9" s="110">
        <v>17.98</v>
      </c>
      <c r="O9" s="110">
        <v>22.41</v>
      </c>
      <c r="P9" s="110">
        <v>14.86</v>
      </c>
      <c r="Q9" s="110">
        <v>7.22</v>
      </c>
      <c r="R9" s="145">
        <v>62.47</v>
      </c>
      <c r="T9" s="110">
        <f>SUM(R9:S9)</f>
        <v>62.47</v>
      </c>
      <c r="U9" s="136" t="s">
        <v>601</v>
      </c>
      <c r="V9" s="136" t="e">
        <f>SUM(U9/T9)</f>
        <v>#VALUE!</v>
      </c>
      <c r="W9" s="136" t="s">
        <v>601</v>
      </c>
      <c r="X9" s="141" t="e">
        <f>SUM(W9/U9)</f>
        <v>#VALUE!</v>
      </c>
      <c r="Y9" s="142"/>
    </row>
    <row r="10" spans="1:25">
      <c r="A10" s="111"/>
      <c r="B10" s="111"/>
      <c r="C10" s="111"/>
      <c r="D10" s="148"/>
      <c r="E10" s="110"/>
      <c r="F10" s="110"/>
      <c r="G10" s="110"/>
      <c r="H10" s="110"/>
      <c r="I10" s="110"/>
      <c r="J10" s="110"/>
      <c r="K10" s="110"/>
      <c r="L10" s="110"/>
      <c r="M10" s="110"/>
      <c r="N10" s="110"/>
      <c r="O10" s="110"/>
      <c r="P10" s="110"/>
      <c r="Q10" s="110"/>
      <c r="R10" s="145"/>
      <c r="T10" s="110"/>
      <c r="U10" s="137"/>
      <c r="V10" s="137"/>
      <c r="W10" s="137"/>
      <c r="X10" s="142"/>
      <c r="Y10" s="142"/>
    </row>
    <row r="11" spans="1:25">
      <c r="A11" s="111" t="s">
        <v>606</v>
      </c>
      <c r="B11" s="111" t="s">
        <v>607</v>
      </c>
      <c r="C11" s="111" t="s">
        <v>608</v>
      </c>
      <c r="D11" s="148">
        <v>0</v>
      </c>
      <c r="E11" s="110">
        <v>21.28</v>
      </c>
      <c r="F11" s="110">
        <v>18.59</v>
      </c>
      <c r="G11" s="110">
        <v>20.48</v>
      </c>
      <c r="H11" s="110">
        <v>9</v>
      </c>
      <c r="I11" s="110">
        <v>8.5299999999999994</v>
      </c>
      <c r="J11" s="110">
        <v>4.96</v>
      </c>
      <c r="K11" s="110">
        <v>12.92</v>
      </c>
      <c r="L11" s="110">
        <v>0</v>
      </c>
      <c r="M11" s="110">
        <v>0</v>
      </c>
      <c r="N11" s="110">
        <v>0</v>
      </c>
      <c r="O11" s="110">
        <v>0</v>
      </c>
      <c r="P11" s="110">
        <v>0</v>
      </c>
      <c r="Q11" s="110">
        <v>0</v>
      </c>
      <c r="R11" s="145">
        <v>95.77</v>
      </c>
      <c r="T11" s="114">
        <f t="shared" ref="T11:T16" si="0">SUM(R11:S11)</f>
        <v>95.77</v>
      </c>
      <c r="U11" s="136">
        <v>811214</v>
      </c>
      <c r="V11" s="136">
        <f t="shared" ref="V11:V16" si="1">SUM(U11/T11)</f>
        <v>8470.4395948626916</v>
      </c>
      <c r="W11" s="136">
        <v>388903</v>
      </c>
      <c r="X11" s="141">
        <f t="shared" ref="X11:X16" si="2">SUM(W11/U11)</f>
        <v>0.47940863939724904</v>
      </c>
      <c r="Y11" s="142">
        <v>0.65</v>
      </c>
    </row>
    <row r="12" spans="1:25">
      <c r="A12" s="111" t="s">
        <v>606</v>
      </c>
      <c r="B12" s="111" t="s">
        <v>609</v>
      </c>
      <c r="C12" s="111" t="s">
        <v>610</v>
      </c>
      <c r="D12" s="148">
        <v>0</v>
      </c>
      <c r="E12" s="110">
        <v>0</v>
      </c>
      <c r="F12" s="110">
        <v>25.39</v>
      </c>
      <c r="G12" s="110">
        <v>22.76</v>
      </c>
      <c r="H12" s="110">
        <v>19.93</v>
      </c>
      <c r="I12" s="110">
        <v>13</v>
      </c>
      <c r="J12" s="110">
        <v>10</v>
      </c>
      <c r="K12" s="110">
        <v>10.88</v>
      </c>
      <c r="L12" s="110">
        <v>5</v>
      </c>
      <c r="M12" s="110">
        <v>0</v>
      </c>
      <c r="N12" s="110">
        <v>0</v>
      </c>
      <c r="O12" s="110">
        <v>0</v>
      </c>
      <c r="P12" s="110">
        <v>0</v>
      </c>
      <c r="Q12" s="110">
        <v>0</v>
      </c>
      <c r="R12" s="145">
        <v>106.96</v>
      </c>
      <c r="T12" s="110">
        <f t="shared" si="0"/>
        <v>106.96</v>
      </c>
      <c r="U12" s="136">
        <v>765687</v>
      </c>
      <c r="V12" s="136">
        <f t="shared" si="1"/>
        <v>7158.6293941660442</v>
      </c>
      <c r="W12" s="136">
        <v>348381</v>
      </c>
      <c r="X12" s="141">
        <f t="shared" si="2"/>
        <v>0.45499139988010767</v>
      </c>
      <c r="Y12" s="141">
        <v>0.59</v>
      </c>
    </row>
    <row r="13" spans="1:25">
      <c r="A13" s="111" t="s">
        <v>606</v>
      </c>
      <c r="B13" s="111" t="s">
        <v>611</v>
      </c>
      <c r="C13" s="111" t="s">
        <v>612</v>
      </c>
      <c r="D13" s="148">
        <v>0</v>
      </c>
      <c r="E13" s="110">
        <v>0</v>
      </c>
      <c r="F13" s="110">
        <v>0</v>
      </c>
      <c r="G13" s="110">
        <v>0</v>
      </c>
      <c r="H13" s="110">
        <v>0</v>
      </c>
      <c r="I13" s="110">
        <v>0</v>
      </c>
      <c r="J13" s="110">
        <v>0</v>
      </c>
      <c r="K13" s="110">
        <v>0</v>
      </c>
      <c r="L13" s="110">
        <v>0</v>
      </c>
      <c r="M13" s="110">
        <v>0</v>
      </c>
      <c r="N13" s="110">
        <v>43.96</v>
      </c>
      <c r="O13" s="110">
        <v>29.87</v>
      </c>
      <c r="P13" s="110">
        <v>0</v>
      </c>
      <c r="Q13" s="110">
        <v>0</v>
      </c>
      <c r="R13" s="145">
        <v>73.83</v>
      </c>
      <c r="T13" s="110">
        <f t="shared" si="0"/>
        <v>73.83</v>
      </c>
      <c r="U13" s="136" t="s">
        <v>601</v>
      </c>
      <c r="V13" s="136" t="e">
        <f t="shared" si="1"/>
        <v>#VALUE!</v>
      </c>
      <c r="W13" s="136" t="s">
        <v>601</v>
      </c>
      <c r="X13" s="141" t="e">
        <f t="shared" si="2"/>
        <v>#VALUE!</v>
      </c>
      <c r="Y13" s="141" t="s">
        <v>601</v>
      </c>
    </row>
    <row r="14" spans="1:25">
      <c r="A14" s="111" t="s">
        <v>606</v>
      </c>
      <c r="B14" s="111" t="s">
        <v>613</v>
      </c>
      <c r="C14" s="111" t="s">
        <v>614</v>
      </c>
      <c r="D14" s="148">
        <v>0</v>
      </c>
      <c r="E14" s="110">
        <v>0</v>
      </c>
      <c r="F14" s="110">
        <v>0</v>
      </c>
      <c r="G14" s="110">
        <v>0</v>
      </c>
      <c r="H14" s="110">
        <v>0</v>
      </c>
      <c r="I14" s="110">
        <v>0</v>
      </c>
      <c r="J14" s="110">
        <v>0</v>
      </c>
      <c r="K14" s="110">
        <v>0</v>
      </c>
      <c r="L14" s="110">
        <v>0</v>
      </c>
      <c r="M14" s="110">
        <v>0</v>
      </c>
      <c r="N14" s="110">
        <v>487.5</v>
      </c>
      <c r="O14" s="110">
        <v>357.56</v>
      </c>
      <c r="P14" s="110">
        <v>307.27</v>
      </c>
      <c r="Q14" s="110">
        <v>332.7</v>
      </c>
      <c r="R14" s="145">
        <v>1485.03</v>
      </c>
      <c r="S14" s="115"/>
      <c r="T14" s="114">
        <f t="shared" si="0"/>
        <v>1485.03</v>
      </c>
      <c r="U14" s="136">
        <v>14490903</v>
      </c>
      <c r="V14" s="136">
        <f t="shared" si="1"/>
        <v>9757.9867073392452</v>
      </c>
      <c r="W14" s="136">
        <v>7416436</v>
      </c>
      <c r="X14" s="141">
        <f t="shared" si="2"/>
        <v>0.51179943720553511</v>
      </c>
      <c r="Y14" s="142">
        <v>0.62</v>
      </c>
    </row>
    <row r="15" spans="1:25">
      <c r="A15" s="111" t="s">
        <v>606</v>
      </c>
      <c r="B15" s="111" t="s">
        <v>615</v>
      </c>
      <c r="C15" s="111" t="s">
        <v>616</v>
      </c>
      <c r="D15" s="148">
        <v>0</v>
      </c>
      <c r="E15" s="110">
        <v>31.93</v>
      </c>
      <c r="F15" s="110">
        <v>34.9</v>
      </c>
      <c r="G15" s="110">
        <v>25.58</v>
      </c>
      <c r="H15" s="110">
        <v>24.8</v>
      </c>
      <c r="I15" s="110">
        <v>25.19</v>
      </c>
      <c r="J15" s="110">
        <v>24.96</v>
      </c>
      <c r="K15" s="110">
        <v>25.42</v>
      </c>
      <c r="L15" s="110">
        <v>0</v>
      </c>
      <c r="M15" s="110">
        <v>0</v>
      </c>
      <c r="N15" s="110">
        <v>0</v>
      </c>
      <c r="O15" s="110">
        <v>0</v>
      </c>
      <c r="P15" s="110">
        <v>0</v>
      </c>
      <c r="Q15" s="110">
        <v>0</v>
      </c>
      <c r="R15" s="145">
        <v>192.78</v>
      </c>
      <c r="T15" s="110">
        <f t="shared" si="0"/>
        <v>192.78</v>
      </c>
      <c r="U15" s="136">
        <v>1875455</v>
      </c>
      <c r="V15" s="136">
        <f t="shared" si="1"/>
        <v>9728.4728706297337</v>
      </c>
      <c r="W15" s="136">
        <v>678485</v>
      </c>
      <c r="X15" s="141">
        <f t="shared" si="2"/>
        <v>0.36177087693386406</v>
      </c>
      <c r="Y15" s="142">
        <v>0.42</v>
      </c>
    </row>
    <row r="16" spans="1:25">
      <c r="A16" s="111" t="s">
        <v>606</v>
      </c>
      <c r="B16" s="111" t="s">
        <v>617</v>
      </c>
      <c r="C16" s="111" t="s">
        <v>618</v>
      </c>
      <c r="D16" s="148">
        <v>0</v>
      </c>
      <c r="E16" s="110">
        <v>107.71</v>
      </c>
      <c r="F16" s="110">
        <v>115.73</v>
      </c>
      <c r="G16" s="110">
        <v>111.98</v>
      </c>
      <c r="H16" s="110">
        <v>139.12</v>
      </c>
      <c r="I16" s="110">
        <v>116.88</v>
      </c>
      <c r="J16" s="110">
        <v>105.67</v>
      </c>
      <c r="K16" s="110">
        <v>0</v>
      </c>
      <c r="L16" s="110">
        <v>0</v>
      </c>
      <c r="M16" s="110">
        <v>0</v>
      </c>
      <c r="N16" s="110">
        <v>0</v>
      </c>
      <c r="O16" s="110">
        <v>0</v>
      </c>
      <c r="P16" s="110">
        <v>0</v>
      </c>
      <c r="Q16" s="110">
        <v>0</v>
      </c>
      <c r="R16" s="145">
        <v>697.09</v>
      </c>
      <c r="S16" s="76">
        <v>41</v>
      </c>
      <c r="T16" s="110">
        <f t="shared" si="0"/>
        <v>738.09</v>
      </c>
      <c r="U16" s="136">
        <v>5542520</v>
      </c>
      <c r="V16" s="136">
        <f t="shared" si="1"/>
        <v>7509.2739367827771</v>
      </c>
      <c r="W16" s="136">
        <v>3858892</v>
      </c>
      <c r="X16" s="141">
        <f t="shared" si="2"/>
        <v>0.69623420393611568</v>
      </c>
      <c r="Y16" s="142">
        <v>0.76</v>
      </c>
    </row>
    <row r="17" spans="1:25">
      <c r="A17" s="111"/>
      <c r="B17" s="111"/>
      <c r="C17" s="111"/>
      <c r="D17" s="148"/>
      <c r="E17" s="110"/>
      <c r="F17" s="110"/>
      <c r="G17" s="110"/>
      <c r="H17" s="110"/>
      <c r="I17" s="110"/>
      <c r="J17" s="110"/>
      <c r="K17" s="110"/>
      <c r="L17" s="110"/>
      <c r="M17" s="110"/>
      <c r="N17" s="110"/>
      <c r="O17" s="110"/>
      <c r="P17" s="110"/>
      <c r="Q17" s="110"/>
      <c r="R17" s="145"/>
      <c r="T17" s="110"/>
      <c r="U17" s="137"/>
      <c r="V17" s="137"/>
      <c r="W17" s="137"/>
      <c r="X17" s="142"/>
      <c r="Y17" s="142"/>
    </row>
    <row r="18" spans="1:25">
      <c r="A18" s="111" t="s">
        <v>619</v>
      </c>
      <c r="B18" s="111" t="s">
        <v>620</v>
      </c>
      <c r="C18" s="111" t="s">
        <v>621</v>
      </c>
      <c r="D18" s="148">
        <v>0</v>
      </c>
      <c r="E18" s="110">
        <v>33.909999999999997</v>
      </c>
      <c r="F18" s="110">
        <v>25.83</v>
      </c>
      <c r="G18" s="110">
        <v>27</v>
      </c>
      <c r="H18" s="110">
        <v>35.68</v>
      </c>
      <c r="I18" s="110">
        <v>33.17</v>
      </c>
      <c r="J18" s="110">
        <v>33.950000000000003</v>
      </c>
      <c r="K18" s="110">
        <v>42.21</v>
      </c>
      <c r="L18" s="110">
        <v>18.7</v>
      </c>
      <c r="M18" s="110">
        <v>12.58</v>
      </c>
      <c r="N18" s="110">
        <v>0</v>
      </c>
      <c r="O18" s="110">
        <v>0</v>
      </c>
      <c r="P18" s="110">
        <v>0</v>
      </c>
      <c r="Q18" s="110">
        <v>0</v>
      </c>
      <c r="R18" s="145">
        <v>263.02999999999997</v>
      </c>
      <c r="T18" s="110">
        <f>SUM(R18:S18)</f>
        <v>263.02999999999997</v>
      </c>
      <c r="U18" s="137">
        <v>2083719</v>
      </c>
      <c r="V18" s="137">
        <f>SUM(U18/T18)</f>
        <v>7921.9822833897279</v>
      </c>
      <c r="W18" s="137">
        <v>1097282.02</v>
      </c>
      <c r="X18" s="142">
        <f>SUM(W18/U18)</f>
        <v>0.52659788579938083</v>
      </c>
      <c r="Y18" s="142">
        <v>0.59399999999999997</v>
      </c>
    </row>
    <row r="19" spans="1:25">
      <c r="A19" s="111"/>
      <c r="B19" s="111"/>
      <c r="C19" s="111"/>
      <c r="D19" s="148"/>
      <c r="E19" s="110"/>
      <c r="F19" s="110"/>
      <c r="G19" s="110"/>
      <c r="H19" s="110"/>
      <c r="I19" s="110"/>
      <c r="J19" s="110"/>
      <c r="K19" s="110"/>
      <c r="L19" s="110"/>
      <c r="M19" s="110"/>
      <c r="N19" s="110"/>
      <c r="O19" s="110"/>
      <c r="P19" s="110"/>
      <c r="Q19" s="110"/>
      <c r="R19" s="145"/>
      <c r="T19" s="110"/>
      <c r="U19" s="137"/>
      <c r="V19" s="137"/>
      <c r="W19" s="137"/>
      <c r="X19" s="142"/>
      <c r="Y19" s="142"/>
    </row>
    <row r="20" spans="1:25">
      <c r="A20" s="111" t="s">
        <v>622</v>
      </c>
      <c r="B20" s="111" t="s">
        <v>623</v>
      </c>
      <c r="C20" s="111" t="s">
        <v>624</v>
      </c>
      <c r="D20" s="148">
        <v>0</v>
      </c>
      <c r="E20" s="110">
        <v>0</v>
      </c>
      <c r="F20" s="110">
        <v>0</v>
      </c>
      <c r="G20" s="110">
        <v>0</v>
      </c>
      <c r="H20" s="110">
        <v>0</v>
      </c>
      <c r="I20" s="110">
        <v>0</v>
      </c>
      <c r="J20" s="110">
        <v>0</v>
      </c>
      <c r="K20" s="110">
        <v>0</v>
      </c>
      <c r="L20" s="110">
        <v>0</v>
      </c>
      <c r="M20" s="110">
        <v>0</v>
      </c>
      <c r="N20" s="110">
        <v>16.04</v>
      </c>
      <c r="O20" s="110">
        <v>7.13</v>
      </c>
      <c r="P20" s="110">
        <v>15.9</v>
      </c>
      <c r="Q20" s="110">
        <v>18</v>
      </c>
      <c r="R20" s="145">
        <v>57.07</v>
      </c>
      <c r="T20" s="110">
        <f>SUM(R20:S20)</f>
        <v>57.07</v>
      </c>
      <c r="U20" s="137">
        <v>237368</v>
      </c>
      <c r="V20" s="137">
        <f>SUM(U20/T20)</f>
        <v>4159.2430348694588</v>
      </c>
      <c r="W20" s="137">
        <v>219171.73</v>
      </c>
      <c r="X20" s="142">
        <f>SUM(W20/U20)</f>
        <v>0.92334152033972572</v>
      </c>
      <c r="Y20" s="142">
        <v>0.95299999999999996</v>
      </c>
    </row>
    <row r="21" spans="1:25">
      <c r="A21" s="111"/>
      <c r="B21" s="111"/>
      <c r="C21" s="111"/>
      <c r="D21" s="148"/>
      <c r="E21" s="110"/>
      <c r="F21" s="110"/>
      <c r="G21" s="110"/>
      <c r="H21" s="110"/>
      <c r="I21" s="110"/>
      <c r="J21" s="110"/>
      <c r="K21" s="110"/>
      <c r="L21" s="110"/>
      <c r="M21" s="110"/>
      <c r="N21" s="110"/>
      <c r="O21" s="110"/>
      <c r="P21" s="110"/>
      <c r="Q21" s="110"/>
      <c r="R21" s="145"/>
      <c r="T21" s="110"/>
      <c r="U21" s="137"/>
      <c r="V21" s="137"/>
      <c r="W21" s="137"/>
      <c r="X21" s="142"/>
      <c r="Y21" s="142"/>
    </row>
    <row r="22" spans="1:25">
      <c r="A22" s="111" t="s">
        <v>625</v>
      </c>
      <c r="B22" s="111" t="s">
        <v>626</v>
      </c>
      <c r="C22" s="111" t="s">
        <v>627</v>
      </c>
      <c r="D22" s="148">
        <v>0</v>
      </c>
      <c r="E22" s="110">
        <v>0</v>
      </c>
      <c r="F22" s="110">
        <v>0</v>
      </c>
      <c r="G22" s="110">
        <v>0</v>
      </c>
      <c r="H22" s="110">
        <v>0</v>
      </c>
      <c r="I22" s="110">
        <v>0</v>
      </c>
      <c r="J22" s="110">
        <v>0</v>
      </c>
      <c r="K22" s="110">
        <v>1.52</v>
      </c>
      <c r="L22" s="110">
        <v>6.73</v>
      </c>
      <c r="M22" s="110">
        <v>19.73</v>
      </c>
      <c r="N22" s="110">
        <v>9.76</v>
      </c>
      <c r="O22" s="110">
        <v>4.5</v>
      </c>
      <c r="P22" s="110">
        <v>2.38</v>
      </c>
      <c r="Q22" s="110">
        <v>0</v>
      </c>
      <c r="R22" s="145">
        <v>44.61</v>
      </c>
      <c r="T22" s="110">
        <f>SUM(R22:S22)</f>
        <v>44.61</v>
      </c>
      <c r="U22" s="136" t="s">
        <v>601</v>
      </c>
      <c r="V22" s="136" t="e">
        <f>SUM(U22/T22)</f>
        <v>#VALUE!</v>
      </c>
      <c r="W22" s="136" t="s">
        <v>628</v>
      </c>
      <c r="X22" s="141" t="e">
        <f>SUM(W22/U22)</f>
        <v>#VALUE!</v>
      </c>
      <c r="Y22" s="141"/>
    </row>
    <row r="23" spans="1:25">
      <c r="A23" s="111"/>
      <c r="B23" s="111"/>
      <c r="C23" s="111"/>
      <c r="D23" s="148"/>
      <c r="E23" s="110"/>
      <c r="F23" s="110"/>
      <c r="G23" s="110"/>
      <c r="H23" s="110"/>
      <c r="I23" s="110"/>
      <c r="J23" s="110"/>
      <c r="K23" s="110"/>
      <c r="L23" s="110"/>
      <c r="M23" s="110"/>
      <c r="N23" s="110"/>
      <c r="O23" s="110"/>
      <c r="P23" s="110"/>
      <c r="Q23" s="110"/>
      <c r="R23" s="145"/>
      <c r="T23" s="110"/>
      <c r="U23" s="137"/>
      <c r="V23" s="137"/>
      <c r="W23" s="137"/>
      <c r="X23" s="142"/>
      <c r="Y23" s="142"/>
    </row>
    <row r="24" spans="1:25">
      <c r="A24" s="111" t="s">
        <v>629</v>
      </c>
      <c r="B24" s="111" t="s">
        <v>630</v>
      </c>
      <c r="C24" s="111" t="s">
        <v>631</v>
      </c>
      <c r="D24" s="148">
        <v>0</v>
      </c>
      <c r="E24" s="110">
        <v>0</v>
      </c>
      <c r="F24" s="110">
        <v>0</v>
      </c>
      <c r="G24" s="110">
        <v>0</v>
      </c>
      <c r="H24" s="110">
        <v>0</v>
      </c>
      <c r="I24" s="110">
        <v>0</v>
      </c>
      <c r="J24" s="110">
        <v>0</v>
      </c>
      <c r="K24" s="110">
        <v>0</v>
      </c>
      <c r="L24" s="110">
        <v>0</v>
      </c>
      <c r="M24" s="110">
        <v>0</v>
      </c>
      <c r="N24" s="110">
        <v>85.01</v>
      </c>
      <c r="O24" s="110">
        <v>60.32</v>
      </c>
      <c r="P24" s="110">
        <v>52.98</v>
      </c>
      <c r="Q24" s="110">
        <v>39.61</v>
      </c>
      <c r="R24" s="145">
        <v>237.92</v>
      </c>
      <c r="T24" s="110">
        <f>SUM(R24:S24)</f>
        <v>237.92</v>
      </c>
      <c r="U24" s="137">
        <v>1761849</v>
      </c>
      <c r="V24" s="137">
        <f>SUM(U24/T24)</f>
        <v>7405.2160390047075</v>
      </c>
      <c r="W24" s="137">
        <v>1011899</v>
      </c>
      <c r="X24" s="142">
        <f>SUM(W24/U24)</f>
        <v>0.57433923111458474</v>
      </c>
      <c r="Y24" s="142"/>
    </row>
    <row r="25" spans="1:25">
      <c r="A25" s="111"/>
      <c r="B25" s="111"/>
      <c r="C25" s="111"/>
      <c r="D25" s="148"/>
      <c r="E25" s="110"/>
      <c r="F25" s="110"/>
      <c r="G25" s="110"/>
      <c r="H25" s="110"/>
      <c r="I25" s="110"/>
      <c r="J25" s="110"/>
      <c r="K25" s="110"/>
      <c r="L25" s="110"/>
      <c r="M25" s="110"/>
      <c r="N25" s="110"/>
      <c r="O25" s="110"/>
      <c r="P25" s="110"/>
      <c r="Q25" s="110"/>
      <c r="R25" s="145"/>
      <c r="T25" s="110"/>
      <c r="U25" s="137"/>
      <c r="V25" s="137"/>
      <c r="W25" s="137"/>
      <c r="X25" s="142"/>
      <c r="Y25" s="142"/>
    </row>
    <row r="26" spans="1:25">
      <c r="A26" s="116" t="s">
        <v>632</v>
      </c>
      <c r="B26" s="116" t="s">
        <v>633</v>
      </c>
      <c r="C26" s="116" t="s">
        <v>634</v>
      </c>
      <c r="D26" s="148">
        <v>0</v>
      </c>
      <c r="E26" s="114">
        <v>0</v>
      </c>
      <c r="F26" s="114">
        <v>0</v>
      </c>
      <c r="G26" s="114">
        <v>0</v>
      </c>
      <c r="H26" s="114">
        <v>12.21</v>
      </c>
      <c r="I26" s="114">
        <v>16.73</v>
      </c>
      <c r="J26" s="114">
        <v>17.13</v>
      </c>
      <c r="K26" s="114">
        <v>24.48</v>
      </c>
      <c r="L26" s="114">
        <v>0</v>
      </c>
      <c r="M26" s="114">
        <v>0</v>
      </c>
      <c r="N26" s="114">
        <v>0</v>
      </c>
      <c r="O26" s="114">
        <v>0</v>
      </c>
      <c r="P26" s="114">
        <v>0</v>
      </c>
      <c r="Q26" s="114">
        <v>0</v>
      </c>
      <c r="R26" s="145">
        <v>70.56</v>
      </c>
      <c r="S26" s="115"/>
      <c r="T26" s="114">
        <f>SUM(R26:S26)</f>
        <v>70.56</v>
      </c>
      <c r="U26" s="136" t="s">
        <v>601</v>
      </c>
      <c r="V26" s="136" t="e">
        <f>SUM(U26/T26)</f>
        <v>#VALUE!</v>
      </c>
      <c r="W26" s="136" t="s">
        <v>601</v>
      </c>
      <c r="X26" s="141" t="e">
        <f>SUM(W26/U26)</f>
        <v>#VALUE!</v>
      </c>
      <c r="Y26" s="141"/>
    </row>
    <row r="27" spans="1:25">
      <c r="A27" s="111"/>
      <c r="B27" s="111"/>
      <c r="C27" s="111"/>
      <c r="D27" s="148"/>
      <c r="E27" s="110"/>
      <c r="F27" s="110"/>
      <c r="G27" s="110"/>
      <c r="H27" s="110"/>
      <c r="I27" s="110"/>
      <c r="J27" s="110"/>
      <c r="K27" s="110"/>
      <c r="L27" s="110"/>
      <c r="M27" s="110"/>
      <c r="N27" s="110"/>
      <c r="O27" s="110"/>
      <c r="P27" s="110"/>
      <c r="Q27" s="110"/>
      <c r="R27" s="145"/>
      <c r="T27" s="110"/>
      <c r="U27" s="137"/>
      <c r="V27" s="137"/>
      <c r="W27" s="137"/>
      <c r="X27" s="142"/>
      <c r="Y27" s="142"/>
    </row>
    <row r="28" spans="1:25">
      <c r="A28" s="111" t="s">
        <v>635</v>
      </c>
      <c r="B28" s="111" t="s">
        <v>636</v>
      </c>
      <c r="C28" s="111" t="s">
        <v>637</v>
      </c>
      <c r="D28" s="148">
        <v>0</v>
      </c>
      <c r="E28" s="110">
        <v>0</v>
      </c>
      <c r="F28" s="110">
        <v>0</v>
      </c>
      <c r="G28" s="110">
        <v>0</v>
      </c>
      <c r="H28" s="110">
        <v>0</v>
      </c>
      <c r="I28" s="110">
        <v>2.0099999999999998</v>
      </c>
      <c r="J28" s="110">
        <v>0.69</v>
      </c>
      <c r="K28" s="110">
        <v>2.41</v>
      </c>
      <c r="L28" s="110">
        <v>2.4700000000000002</v>
      </c>
      <c r="M28" s="110">
        <v>1.44</v>
      </c>
      <c r="N28" s="110">
        <v>0</v>
      </c>
      <c r="O28" s="110">
        <v>0</v>
      </c>
      <c r="P28" s="110">
        <v>0</v>
      </c>
      <c r="Q28" s="110">
        <v>0</v>
      </c>
      <c r="R28" s="145">
        <v>9.0299999999999994</v>
      </c>
      <c r="T28" s="110">
        <f t="shared" ref="T28:T34" si="3">SUM(R28:S28)</f>
        <v>9.0299999999999994</v>
      </c>
      <c r="U28" s="136" t="s">
        <v>601</v>
      </c>
      <c r="V28" s="136" t="e">
        <f t="shared" ref="V28:V34" si="4">SUM(U28/T28)</f>
        <v>#VALUE!</v>
      </c>
      <c r="W28" s="136" t="s">
        <v>601</v>
      </c>
      <c r="X28" s="141" t="e">
        <f t="shared" ref="X28:X34" si="5">SUM(W28/U28)</f>
        <v>#VALUE!</v>
      </c>
      <c r="Y28" s="141"/>
    </row>
    <row r="29" spans="1:25">
      <c r="A29" s="111" t="s">
        <v>635</v>
      </c>
      <c r="B29" s="111" t="s">
        <v>638</v>
      </c>
      <c r="C29" s="111" t="s">
        <v>639</v>
      </c>
      <c r="D29" s="148">
        <v>0</v>
      </c>
      <c r="E29" s="110">
        <v>0</v>
      </c>
      <c r="F29" s="110">
        <v>0</v>
      </c>
      <c r="G29" s="110">
        <v>0</v>
      </c>
      <c r="H29" s="110">
        <v>0</v>
      </c>
      <c r="I29" s="110">
        <v>0</v>
      </c>
      <c r="J29" s="110">
        <v>0</v>
      </c>
      <c r="K29" s="110">
        <v>0</v>
      </c>
      <c r="L29" s="110">
        <v>0</v>
      </c>
      <c r="M29" s="110">
        <v>0</v>
      </c>
      <c r="N29" s="110">
        <v>106.59</v>
      </c>
      <c r="O29" s="110">
        <v>121.83</v>
      </c>
      <c r="P29" s="110">
        <v>95.44</v>
      </c>
      <c r="Q29" s="110">
        <v>96.35</v>
      </c>
      <c r="R29" s="145">
        <v>420.21</v>
      </c>
      <c r="T29" s="110">
        <f t="shared" si="3"/>
        <v>420.21</v>
      </c>
      <c r="U29" s="137">
        <v>2766743</v>
      </c>
      <c r="V29" s="137">
        <f t="shared" si="4"/>
        <v>6584.1912377144763</v>
      </c>
      <c r="W29" s="137">
        <v>1519637</v>
      </c>
      <c r="X29" s="142">
        <f t="shared" si="5"/>
        <v>0.54925123150216704</v>
      </c>
      <c r="Y29" s="141">
        <v>0.65</v>
      </c>
    </row>
    <row r="30" spans="1:25">
      <c r="A30" s="111" t="s">
        <v>635</v>
      </c>
      <c r="B30" s="111" t="s">
        <v>640</v>
      </c>
      <c r="C30" s="111" t="s">
        <v>641</v>
      </c>
      <c r="D30" s="148">
        <v>0</v>
      </c>
      <c r="E30" s="110">
        <v>12.29</v>
      </c>
      <c r="F30" s="110">
        <v>0</v>
      </c>
      <c r="G30" s="110">
        <v>0</v>
      </c>
      <c r="H30" s="110">
        <v>0</v>
      </c>
      <c r="I30" s="110">
        <v>0</v>
      </c>
      <c r="J30" s="110">
        <v>0</v>
      </c>
      <c r="K30" s="110">
        <v>0</v>
      </c>
      <c r="L30" s="110">
        <v>0</v>
      </c>
      <c r="M30" s="110">
        <v>0</v>
      </c>
      <c r="N30" s="110">
        <v>0</v>
      </c>
      <c r="O30" s="110">
        <v>0</v>
      </c>
      <c r="P30" s="110">
        <v>0</v>
      </c>
      <c r="Q30" s="110">
        <v>0</v>
      </c>
      <c r="R30" s="145">
        <v>12.29</v>
      </c>
      <c r="S30" s="76">
        <v>31</v>
      </c>
      <c r="T30" s="110">
        <f t="shared" si="3"/>
        <v>43.29</v>
      </c>
      <c r="U30" s="137">
        <v>3115525</v>
      </c>
      <c r="V30" s="136">
        <f t="shared" si="4"/>
        <v>71968.699468699473</v>
      </c>
      <c r="W30" s="137">
        <v>1095573</v>
      </c>
      <c r="X30" s="141">
        <f t="shared" si="5"/>
        <v>0.35164956147037818</v>
      </c>
      <c r="Y30" s="141">
        <v>0.44</v>
      </c>
    </row>
    <row r="31" spans="1:25">
      <c r="A31" s="111" t="s">
        <v>635</v>
      </c>
      <c r="B31" s="111" t="s">
        <v>642</v>
      </c>
      <c r="C31" s="111" t="s">
        <v>643</v>
      </c>
      <c r="D31" s="148">
        <v>0</v>
      </c>
      <c r="E31" s="110">
        <v>0</v>
      </c>
      <c r="F31" s="110">
        <v>0</v>
      </c>
      <c r="G31" s="110">
        <v>1</v>
      </c>
      <c r="H31" s="110">
        <v>4.68</v>
      </c>
      <c r="I31" s="110">
        <v>6.73</v>
      </c>
      <c r="J31" s="110">
        <v>2.67</v>
      </c>
      <c r="K31" s="110">
        <v>5.13</v>
      </c>
      <c r="L31" s="110">
        <v>4.24</v>
      </c>
      <c r="M31" s="110">
        <v>13.86</v>
      </c>
      <c r="N31" s="110">
        <v>22.1</v>
      </c>
      <c r="O31" s="110">
        <v>11.96</v>
      </c>
      <c r="P31" s="110">
        <v>8.34</v>
      </c>
      <c r="Q31" s="110">
        <v>1</v>
      </c>
      <c r="R31" s="145">
        <v>81.72</v>
      </c>
      <c r="T31" s="110">
        <f t="shared" si="3"/>
        <v>81.72</v>
      </c>
      <c r="U31" s="137">
        <v>684126</v>
      </c>
      <c r="V31" s="137">
        <f t="shared" si="4"/>
        <v>8371.5859030837</v>
      </c>
      <c r="W31" s="137">
        <v>442804</v>
      </c>
      <c r="X31" s="142">
        <f t="shared" si="5"/>
        <v>0.64725503781467153</v>
      </c>
      <c r="Y31" s="141">
        <v>0.71</v>
      </c>
    </row>
    <row r="32" spans="1:25">
      <c r="A32" s="111" t="s">
        <v>635</v>
      </c>
      <c r="B32" s="111" t="s">
        <v>644</v>
      </c>
      <c r="C32" s="111" t="s">
        <v>645</v>
      </c>
      <c r="D32" s="148">
        <v>0</v>
      </c>
      <c r="E32" s="110">
        <v>0</v>
      </c>
      <c r="F32" s="110">
        <v>0</v>
      </c>
      <c r="G32" s="110">
        <v>0</v>
      </c>
      <c r="H32" s="110">
        <v>0</v>
      </c>
      <c r="I32" s="110">
        <v>0</v>
      </c>
      <c r="J32" s="110">
        <v>0</v>
      </c>
      <c r="K32" s="110">
        <v>40.130000000000003</v>
      </c>
      <c r="L32" s="110">
        <v>39.07</v>
      </c>
      <c r="M32" s="110">
        <v>38.520000000000003</v>
      </c>
      <c r="N32" s="110">
        <v>0</v>
      </c>
      <c r="O32" s="110">
        <v>0</v>
      </c>
      <c r="P32" s="110">
        <v>0</v>
      </c>
      <c r="Q32" s="110">
        <v>0</v>
      </c>
      <c r="R32" s="145">
        <v>117.72</v>
      </c>
      <c r="T32" s="110">
        <f t="shared" si="3"/>
        <v>117.72</v>
      </c>
      <c r="U32" s="137">
        <v>578525</v>
      </c>
      <c r="V32" s="137">
        <f t="shared" si="4"/>
        <v>4914.4155623513425</v>
      </c>
      <c r="W32" s="137">
        <v>299955</v>
      </c>
      <c r="X32" s="142">
        <f t="shared" si="5"/>
        <v>0.51848234734886134</v>
      </c>
      <c r="Y32" s="141">
        <v>0.56999999999999995</v>
      </c>
    </row>
    <row r="33" spans="1:25">
      <c r="A33" s="111" t="s">
        <v>635</v>
      </c>
      <c r="B33" s="111" t="s">
        <v>646</v>
      </c>
      <c r="C33" s="111" t="s">
        <v>647</v>
      </c>
      <c r="D33" s="148">
        <v>0</v>
      </c>
      <c r="E33" s="110">
        <v>20.04</v>
      </c>
      <c r="F33" s="110">
        <v>13.38</v>
      </c>
      <c r="G33" s="110">
        <v>13.46</v>
      </c>
      <c r="H33" s="110">
        <v>15.62</v>
      </c>
      <c r="I33" s="110">
        <v>14.75</v>
      </c>
      <c r="J33" s="110">
        <v>22.07</v>
      </c>
      <c r="K33" s="110">
        <v>0</v>
      </c>
      <c r="L33" s="110">
        <v>0</v>
      </c>
      <c r="M33" s="110">
        <v>0</v>
      </c>
      <c r="N33" s="110">
        <v>0</v>
      </c>
      <c r="O33" s="110">
        <v>0</v>
      </c>
      <c r="P33" s="110">
        <v>0</v>
      </c>
      <c r="Q33" s="110">
        <v>0</v>
      </c>
      <c r="R33" s="145">
        <v>99.32</v>
      </c>
      <c r="T33" s="110">
        <f t="shared" si="3"/>
        <v>99.32</v>
      </c>
      <c r="U33" s="137">
        <v>1849658</v>
      </c>
      <c r="V33" s="137">
        <f t="shared" si="4"/>
        <v>18623.217881594846</v>
      </c>
      <c r="W33" s="137">
        <v>348854</v>
      </c>
      <c r="X33" s="141">
        <f t="shared" si="5"/>
        <v>0.18860459609289934</v>
      </c>
      <c r="Y33" s="141">
        <v>0.28000000000000003</v>
      </c>
    </row>
    <row r="34" spans="1:25">
      <c r="A34" s="111" t="s">
        <v>635</v>
      </c>
      <c r="B34" s="111" t="s">
        <v>648</v>
      </c>
      <c r="C34" s="111" t="s">
        <v>649</v>
      </c>
      <c r="D34" s="148">
        <v>0</v>
      </c>
      <c r="E34" s="110">
        <v>0</v>
      </c>
      <c r="F34" s="110">
        <v>0</v>
      </c>
      <c r="G34" s="110">
        <v>0</v>
      </c>
      <c r="H34" s="110">
        <v>0</v>
      </c>
      <c r="I34" s="110">
        <v>0</v>
      </c>
      <c r="J34" s="110">
        <v>0</v>
      </c>
      <c r="K34" s="110">
        <v>0</v>
      </c>
      <c r="L34" s="110">
        <v>0</v>
      </c>
      <c r="M34" s="110">
        <v>0</v>
      </c>
      <c r="N34" s="110">
        <v>95.04</v>
      </c>
      <c r="O34" s="110">
        <v>0</v>
      </c>
      <c r="P34" s="110">
        <v>0</v>
      </c>
      <c r="Q34" s="110">
        <v>0</v>
      </c>
      <c r="R34" s="145">
        <v>95.04</v>
      </c>
      <c r="T34" s="110">
        <f t="shared" si="3"/>
        <v>95.04</v>
      </c>
      <c r="U34" s="137">
        <v>640459</v>
      </c>
      <c r="V34" s="137">
        <f t="shared" si="4"/>
        <v>6738.8362794612794</v>
      </c>
      <c r="W34" s="137">
        <v>312769</v>
      </c>
      <c r="X34" s="142">
        <f t="shared" si="5"/>
        <v>0.48835132303551049</v>
      </c>
      <c r="Y34" s="141">
        <v>0.72</v>
      </c>
    </row>
    <row r="35" spans="1:25">
      <c r="A35" s="111"/>
      <c r="B35" s="111"/>
      <c r="C35" s="111"/>
      <c r="D35" s="148"/>
      <c r="E35" s="110"/>
      <c r="F35" s="110"/>
      <c r="G35" s="110"/>
      <c r="H35" s="110"/>
      <c r="I35" s="110"/>
      <c r="J35" s="110"/>
      <c r="K35" s="110"/>
      <c r="L35" s="110"/>
      <c r="M35" s="110"/>
      <c r="N35" s="110"/>
      <c r="O35" s="110"/>
      <c r="P35" s="110"/>
      <c r="Q35" s="110"/>
      <c r="R35" s="145"/>
      <c r="T35" s="110"/>
      <c r="U35" s="137"/>
      <c r="V35" s="137"/>
      <c r="W35" s="137"/>
      <c r="X35" s="142"/>
      <c r="Y35" s="142"/>
    </row>
    <row r="36" spans="1:25">
      <c r="A36" s="111" t="s">
        <v>650</v>
      </c>
      <c r="B36" s="111" t="s">
        <v>651</v>
      </c>
      <c r="C36" s="111" t="s">
        <v>652</v>
      </c>
      <c r="D36" s="148">
        <v>0</v>
      </c>
      <c r="E36" s="110">
        <v>18.010000000000002</v>
      </c>
      <c r="F36" s="110">
        <v>16</v>
      </c>
      <c r="G36" s="110">
        <v>27.12</v>
      </c>
      <c r="H36" s="110">
        <v>15.19</v>
      </c>
      <c r="I36" s="110">
        <v>6.96</v>
      </c>
      <c r="J36" s="110">
        <v>13.21</v>
      </c>
      <c r="K36" s="110">
        <v>16.36</v>
      </c>
      <c r="L36" s="110">
        <v>15.71</v>
      </c>
      <c r="M36" s="110">
        <v>14.94</v>
      </c>
      <c r="N36" s="110">
        <v>0</v>
      </c>
      <c r="O36" s="110">
        <v>0</v>
      </c>
      <c r="P36" s="110">
        <v>0</v>
      </c>
      <c r="Q36" s="110">
        <v>0</v>
      </c>
      <c r="R36" s="145">
        <v>143.51</v>
      </c>
      <c r="T36" s="110">
        <f>SUM(R36:S36)</f>
        <v>143.51</v>
      </c>
      <c r="U36" s="137">
        <v>927920</v>
      </c>
      <c r="V36" s="137">
        <f>SUM(U36/T36)</f>
        <v>6465.8908786844122</v>
      </c>
      <c r="W36" s="137">
        <v>508736</v>
      </c>
      <c r="X36" s="142">
        <f>SUM(W36/U36)</f>
        <v>0.54825415984136561</v>
      </c>
      <c r="Y36" s="141">
        <v>0.56000000000000005</v>
      </c>
    </row>
    <row r="37" spans="1:25">
      <c r="A37" s="111"/>
      <c r="B37" s="111"/>
      <c r="C37" s="111"/>
      <c r="D37" s="148"/>
      <c r="E37" s="110"/>
      <c r="F37" s="110"/>
      <c r="G37" s="110"/>
      <c r="H37" s="110"/>
      <c r="I37" s="110"/>
      <c r="J37" s="110"/>
      <c r="K37" s="110"/>
      <c r="L37" s="110"/>
      <c r="M37" s="110"/>
      <c r="N37" s="110"/>
      <c r="O37" s="110"/>
      <c r="P37" s="110"/>
      <c r="Q37" s="110"/>
      <c r="R37" s="145"/>
      <c r="T37" s="110"/>
      <c r="U37" s="137"/>
      <c r="V37" s="137"/>
      <c r="W37" s="137"/>
      <c r="X37" s="142"/>
      <c r="Y37" s="142"/>
    </row>
    <row r="38" spans="1:25">
      <c r="A38" s="111" t="s">
        <v>653</v>
      </c>
      <c r="B38" s="111" t="s">
        <v>654</v>
      </c>
      <c r="C38" s="111" t="s">
        <v>655</v>
      </c>
      <c r="D38" s="148">
        <v>0</v>
      </c>
      <c r="E38" s="110">
        <v>17.97</v>
      </c>
      <c r="F38" s="110">
        <v>17.86</v>
      </c>
      <c r="G38" s="110">
        <v>18</v>
      </c>
      <c r="H38" s="110">
        <v>18</v>
      </c>
      <c r="I38" s="110">
        <v>18</v>
      </c>
      <c r="J38" s="110">
        <v>18</v>
      </c>
      <c r="K38" s="110">
        <v>0</v>
      </c>
      <c r="L38" s="110">
        <v>0</v>
      </c>
      <c r="M38" s="110">
        <v>0</v>
      </c>
      <c r="N38" s="110">
        <v>0</v>
      </c>
      <c r="O38" s="110">
        <v>0</v>
      </c>
      <c r="P38" s="110">
        <v>0</v>
      </c>
      <c r="Q38" s="110">
        <v>0</v>
      </c>
      <c r="R38" s="145">
        <v>107.83</v>
      </c>
      <c r="T38" s="110">
        <f>SUM(R38:S38)</f>
        <v>107.83</v>
      </c>
      <c r="U38" s="137">
        <v>622740</v>
      </c>
      <c r="V38" s="137">
        <f>SUM(U38/T38)</f>
        <v>5775.2017063896874</v>
      </c>
      <c r="W38" s="137">
        <v>426244.03</v>
      </c>
      <c r="X38" s="142">
        <f>SUM(W38/U38)</f>
        <v>0.68446547515817202</v>
      </c>
      <c r="Y38" s="142">
        <v>0.82499999999999996</v>
      </c>
    </row>
    <row r="39" spans="1:25">
      <c r="A39" s="111"/>
      <c r="B39" s="111"/>
      <c r="C39" s="111"/>
      <c r="D39" s="148"/>
      <c r="E39" s="110"/>
      <c r="F39" s="110"/>
      <c r="G39" s="110"/>
      <c r="H39" s="110"/>
      <c r="I39" s="110"/>
      <c r="J39" s="110"/>
      <c r="K39" s="110"/>
      <c r="L39" s="110"/>
      <c r="M39" s="110"/>
      <c r="N39" s="110"/>
      <c r="O39" s="110"/>
      <c r="P39" s="110"/>
      <c r="Q39" s="110"/>
      <c r="R39" s="145"/>
      <c r="T39" s="110"/>
      <c r="U39" s="137"/>
      <c r="V39" s="137"/>
      <c r="W39" s="137"/>
      <c r="X39" s="142"/>
      <c r="Y39" s="142"/>
    </row>
    <row r="40" spans="1:25">
      <c r="A40" s="111" t="s">
        <v>656</v>
      </c>
      <c r="B40" s="111" t="s">
        <v>657</v>
      </c>
      <c r="C40" s="111" t="s">
        <v>658</v>
      </c>
      <c r="D40" s="148">
        <v>0</v>
      </c>
      <c r="E40" s="110">
        <v>0</v>
      </c>
      <c r="F40" s="110">
        <v>0</v>
      </c>
      <c r="G40" s="110">
        <v>0</v>
      </c>
      <c r="H40" s="110">
        <v>0</v>
      </c>
      <c r="I40" s="110">
        <v>8.69</v>
      </c>
      <c r="J40" s="110">
        <v>10.199999999999999</v>
      </c>
      <c r="K40" s="110">
        <v>5.61</v>
      </c>
      <c r="L40" s="110">
        <v>17.170000000000002</v>
      </c>
      <c r="M40" s="110">
        <v>14.62</v>
      </c>
      <c r="N40" s="110">
        <v>0</v>
      </c>
      <c r="O40" s="110">
        <v>0</v>
      </c>
      <c r="P40" s="110">
        <v>0</v>
      </c>
      <c r="Q40" s="110">
        <v>0</v>
      </c>
      <c r="R40" s="145">
        <v>56.3</v>
      </c>
      <c r="T40" s="110">
        <f>SUM(R40:S40)</f>
        <v>56.3</v>
      </c>
      <c r="U40" s="137">
        <v>493332</v>
      </c>
      <c r="V40" s="137">
        <f>SUM(U40/T40)</f>
        <v>8762.5577264653639</v>
      </c>
      <c r="W40" s="137">
        <v>114267</v>
      </c>
      <c r="X40" s="141">
        <f>SUM(W40/U40)</f>
        <v>0.23162292330519813</v>
      </c>
      <c r="Y40" s="141">
        <v>0.24</v>
      </c>
    </row>
    <row r="41" spans="1:25">
      <c r="A41" s="111"/>
      <c r="B41" s="111"/>
      <c r="C41" s="111"/>
      <c r="D41" s="148"/>
      <c r="E41" s="110"/>
      <c r="F41" s="110"/>
      <c r="G41" s="110"/>
      <c r="H41" s="110"/>
      <c r="I41" s="110"/>
      <c r="J41" s="110"/>
      <c r="K41" s="110"/>
      <c r="L41" s="110"/>
      <c r="M41" s="110"/>
      <c r="N41" s="110"/>
      <c r="O41" s="110"/>
      <c r="P41" s="110"/>
      <c r="Q41" s="110"/>
      <c r="R41" s="145"/>
      <c r="T41" s="110"/>
      <c r="U41" s="137"/>
      <c r="V41" s="137"/>
      <c r="W41" s="137"/>
      <c r="X41" s="142"/>
      <c r="Y41" s="142"/>
    </row>
    <row r="42" spans="1:25">
      <c r="A42" s="111" t="s">
        <v>659</v>
      </c>
      <c r="B42" s="111" t="s">
        <v>660</v>
      </c>
      <c r="C42" s="111" t="s">
        <v>661</v>
      </c>
      <c r="D42" s="148">
        <v>0</v>
      </c>
      <c r="E42" s="110">
        <v>0</v>
      </c>
      <c r="F42" s="110">
        <v>0</v>
      </c>
      <c r="G42" s="110">
        <v>0</v>
      </c>
      <c r="H42" s="110">
        <v>0</v>
      </c>
      <c r="I42" s="110">
        <v>0</v>
      </c>
      <c r="J42" s="110">
        <v>0</v>
      </c>
      <c r="K42" s="110">
        <v>0</v>
      </c>
      <c r="L42" s="110">
        <v>0</v>
      </c>
      <c r="M42" s="110">
        <v>0</v>
      </c>
      <c r="N42" s="110">
        <v>0</v>
      </c>
      <c r="O42" s="110">
        <v>0</v>
      </c>
      <c r="P42" s="110">
        <v>48.74</v>
      </c>
      <c r="Q42" s="110">
        <v>43.35</v>
      </c>
      <c r="R42" s="145">
        <v>92.09</v>
      </c>
      <c r="T42" s="110">
        <f>SUM(R42:S42)</f>
        <v>92.09</v>
      </c>
      <c r="U42" s="137">
        <v>948798</v>
      </c>
      <c r="V42" s="137">
        <f>SUM(U42/T42)</f>
        <v>10302.942773373872</v>
      </c>
      <c r="W42" s="137">
        <v>611828.22</v>
      </c>
      <c r="X42" s="142">
        <f>SUM(W42/U42)</f>
        <v>0.64484560464925089</v>
      </c>
      <c r="Y42" s="142">
        <v>0.70499999999999996</v>
      </c>
    </row>
    <row r="43" spans="1:25">
      <c r="A43" s="111" t="s">
        <v>659</v>
      </c>
      <c r="B43" s="111" t="s">
        <v>662</v>
      </c>
      <c r="C43" s="111" t="s">
        <v>663</v>
      </c>
      <c r="D43" s="148">
        <v>0</v>
      </c>
      <c r="E43" s="110">
        <v>0</v>
      </c>
      <c r="F43" s="110">
        <v>0</v>
      </c>
      <c r="G43" s="110">
        <v>0</v>
      </c>
      <c r="H43" s="110">
        <v>0</v>
      </c>
      <c r="I43" s="110">
        <v>6.19</v>
      </c>
      <c r="J43" s="110">
        <v>10.039999999999999</v>
      </c>
      <c r="K43" s="110">
        <v>25.8</v>
      </c>
      <c r="L43" s="110">
        <v>23.25</v>
      </c>
      <c r="M43" s="110">
        <v>32.35</v>
      </c>
      <c r="N43" s="110">
        <v>0</v>
      </c>
      <c r="O43" s="110">
        <v>0</v>
      </c>
      <c r="P43" s="110">
        <v>0</v>
      </c>
      <c r="Q43" s="110">
        <v>0</v>
      </c>
      <c r="R43" s="145">
        <v>97.63</v>
      </c>
      <c r="T43" s="110">
        <f>SUM(R43:S43)</f>
        <v>97.63</v>
      </c>
      <c r="U43" s="137">
        <v>624861</v>
      </c>
      <c r="V43" s="137">
        <f>SUM(U43/T43)</f>
        <v>6400.2970398443103</v>
      </c>
      <c r="W43" s="137">
        <v>260863</v>
      </c>
      <c r="X43" s="142">
        <f>SUM(W43/U43)</f>
        <v>0.41747364613890131</v>
      </c>
      <c r="Y43" s="141">
        <v>0.5</v>
      </c>
    </row>
    <row r="44" spans="1:25">
      <c r="A44" s="111" t="s">
        <v>659</v>
      </c>
      <c r="B44" s="111" t="s">
        <v>664</v>
      </c>
      <c r="C44" s="111" t="s">
        <v>665</v>
      </c>
      <c r="D44" s="148">
        <v>0</v>
      </c>
      <c r="E44" s="110">
        <v>16.97</v>
      </c>
      <c r="F44" s="110">
        <v>18.12</v>
      </c>
      <c r="G44" s="110">
        <v>16.95</v>
      </c>
      <c r="H44" s="110">
        <v>17.47</v>
      </c>
      <c r="I44" s="110">
        <v>9</v>
      </c>
      <c r="J44" s="110">
        <v>10</v>
      </c>
      <c r="K44" s="110">
        <v>0</v>
      </c>
      <c r="L44" s="110">
        <v>0</v>
      </c>
      <c r="M44" s="110">
        <v>0</v>
      </c>
      <c r="N44" s="110">
        <v>0</v>
      </c>
      <c r="O44" s="110">
        <v>0</v>
      </c>
      <c r="P44" s="110">
        <v>0</v>
      </c>
      <c r="Q44" s="110">
        <v>0</v>
      </c>
      <c r="R44" s="145">
        <v>88.5</v>
      </c>
      <c r="T44" s="110">
        <f>SUM(R44:S44)</f>
        <v>88.5</v>
      </c>
      <c r="U44" s="137">
        <v>667990</v>
      </c>
      <c r="V44" s="137">
        <f>SUM(U44/T44)</f>
        <v>7547.9096045197739</v>
      </c>
      <c r="W44" s="137">
        <v>416179</v>
      </c>
      <c r="X44" s="141">
        <f>SUM(W44/U44)</f>
        <v>0.62303178191290287</v>
      </c>
      <c r="Y44" s="141">
        <v>0.69</v>
      </c>
    </row>
    <row r="45" spans="1:25">
      <c r="A45" s="111"/>
      <c r="B45" s="111"/>
      <c r="C45" s="111"/>
      <c r="D45" s="148"/>
      <c r="E45" s="110"/>
      <c r="F45" s="110"/>
      <c r="G45" s="110"/>
      <c r="H45" s="110"/>
      <c r="I45" s="110"/>
      <c r="J45" s="110"/>
      <c r="K45" s="110"/>
      <c r="L45" s="110"/>
      <c r="M45" s="110"/>
      <c r="N45" s="110"/>
      <c r="O45" s="110"/>
      <c r="P45" s="110"/>
      <c r="Q45" s="110"/>
      <c r="R45" s="145"/>
      <c r="T45" s="110"/>
      <c r="U45" s="137">
        <f>SUM(D45:T45)</f>
        <v>0</v>
      </c>
      <c r="V45" s="137"/>
      <c r="W45" s="137"/>
      <c r="X45" s="142"/>
      <c r="Y45" s="142"/>
    </row>
    <row r="46" spans="1:25">
      <c r="A46" s="111" t="s">
        <v>666</v>
      </c>
      <c r="B46" s="111" t="s">
        <v>667</v>
      </c>
      <c r="C46" s="111" t="s">
        <v>668</v>
      </c>
      <c r="D46" s="148">
        <v>0</v>
      </c>
      <c r="E46" s="110">
        <v>0</v>
      </c>
      <c r="F46" s="110">
        <v>0</v>
      </c>
      <c r="G46" s="110">
        <v>0</v>
      </c>
      <c r="H46" s="110">
        <v>0</v>
      </c>
      <c r="I46" s="110">
        <v>0</v>
      </c>
      <c r="J46" s="110">
        <v>0</v>
      </c>
      <c r="K46" s="110">
        <v>0</v>
      </c>
      <c r="L46" s="110">
        <v>0</v>
      </c>
      <c r="M46" s="110">
        <v>2.2799999999999998</v>
      </c>
      <c r="N46" s="110">
        <v>7.79</v>
      </c>
      <c r="O46" s="110">
        <v>3.87</v>
      </c>
      <c r="P46" s="110">
        <v>5.37</v>
      </c>
      <c r="Q46" s="110">
        <v>2.79</v>
      </c>
      <c r="R46" s="145">
        <v>22.1</v>
      </c>
      <c r="T46" s="110">
        <f>SUM(R46:S46)</f>
        <v>22.1</v>
      </c>
      <c r="U46" s="136">
        <v>102904</v>
      </c>
      <c r="V46" s="136">
        <f>SUM(U46/T46)</f>
        <v>4656.2895927601803</v>
      </c>
      <c r="W46" s="136">
        <v>102904</v>
      </c>
      <c r="X46" s="141">
        <f>SUM(W46/U46)</f>
        <v>1</v>
      </c>
      <c r="Y46" s="141">
        <v>1</v>
      </c>
    </row>
    <row r="47" spans="1:25">
      <c r="A47" s="111"/>
      <c r="B47" s="111"/>
      <c r="C47" s="111"/>
      <c r="D47" s="148"/>
      <c r="E47" s="110"/>
      <c r="F47" s="110"/>
      <c r="G47" s="110"/>
      <c r="H47" s="110"/>
      <c r="I47" s="110"/>
      <c r="J47" s="110"/>
      <c r="K47" s="110"/>
      <c r="L47" s="110"/>
      <c r="M47" s="110"/>
      <c r="N47" s="110"/>
      <c r="O47" s="110"/>
      <c r="P47" s="110"/>
      <c r="Q47" s="110"/>
      <c r="R47" s="145"/>
      <c r="T47" s="110"/>
      <c r="U47" s="137"/>
      <c r="V47" s="137"/>
      <c r="W47" s="137"/>
      <c r="X47" s="142"/>
      <c r="Y47" s="142"/>
    </row>
    <row r="48" spans="1:25">
      <c r="A48" s="111" t="s">
        <v>669</v>
      </c>
      <c r="B48" s="111" t="s">
        <v>670</v>
      </c>
      <c r="C48" s="111" t="s">
        <v>671</v>
      </c>
      <c r="D48" s="148">
        <v>0</v>
      </c>
      <c r="E48" s="110">
        <v>1.71</v>
      </c>
      <c r="F48" s="110">
        <v>1.35</v>
      </c>
      <c r="G48" s="110">
        <v>2.06</v>
      </c>
      <c r="H48" s="110">
        <v>2.2799999999999998</v>
      </c>
      <c r="I48" s="110">
        <v>2.9</v>
      </c>
      <c r="J48" s="110">
        <v>4.09</v>
      </c>
      <c r="K48" s="110">
        <v>3.22</v>
      </c>
      <c r="L48" s="110">
        <v>0.94</v>
      </c>
      <c r="M48" s="110">
        <v>1.69</v>
      </c>
      <c r="N48" s="110">
        <v>0</v>
      </c>
      <c r="O48" s="110">
        <v>0</v>
      </c>
      <c r="P48" s="110">
        <v>0</v>
      </c>
      <c r="Q48" s="110">
        <v>0</v>
      </c>
      <c r="R48" s="145">
        <v>20.239999999999998</v>
      </c>
      <c r="T48" s="110">
        <f>SUM(R48:S48)</f>
        <v>20.239999999999998</v>
      </c>
      <c r="U48" s="136" t="s">
        <v>601</v>
      </c>
      <c r="V48" s="136" t="e">
        <f>SUM(U48/T48)</f>
        <v>#VALUE!</v>
      </c>
      <c r="W48" s="136" t="s">
        <v>628</v>
      </c>
      <c r="X48" s="141" t="e">
        <f>SUM(W48/U48)</f>
        <v>#VALUE!</v>
      </c>
      <c r="Y48" s="142"/>
    </row>
    <row r="49" spans="1:25">
      <c r="A49" s="111"/>
      <c r="B49" s="111"/>
      <c r="C49" s="111"/>
      <c r="D49" s="110"/>
      <c r="E49" s="110"/>
      <c r="F49" s="110"/>
      <c r="G49" s="110"/>
      <c r="H49" s="110"/>
      <c r="I49" s="110"/>
      <c r="J49" s="110"/>
      <c r="K49" s="110"/>
      <c r="L49" s="110"/>
      <c r="M49" s="110"/>
      <c r="N49" s="110"/>
      <c r="O49" s="110"/>
      <c r="P49" s="110"/>
      <c r="Q49" s="110"/>
      <c r="R49" s="110"/>
      <c r="T49" s="110"/>
      <c r="U49" s="113"/>
      <c r="V49" s="113"/>
      <c r="W49" s="137"/>
      <c r="X49" s="112"/>
      <c r="Y49" s="112"/>
    </row>
    <row r="50" spans="1:25">
      <c r="A50" s="111"/>
      <c r="B50" s="111"/>
      <c r="C50" s="111"/>
      <c r="D50" s="110"/>
      <c r="E50" s="110"/>
      <c r="F50" s="110"/>
      <c r="G50" s="110"/>
      <c r="H50" s="110"/>
      <c r="I50" s="110"/>
      <c r="J50" s="110"/>
      <c r="K50" s="110"/>
      <c r="L50" s="110"/>
      <c r="M50" s="110"/>
      <c r="N50" s="110"/>
      <c r="O50" s="110"/>
      <c r="P50" s="110"/>
      <c r="Q50" s="110"/>
      <c r="R50" s="110">
        <f>SUM(R7:R48)</f>
        <v>5016.170000000001</v>
      </c>
      <c r="W50" s="140"/>
      <c r="Y50" s="110"/>
    </row>
    <row r="51" spans="1:25">
      <c r="A51" s="111"/>
      <c r="B51" s="111"/>
      <c r="C51" s="111"/>
      <c r="D51" s="110"/>
      <c r="E51" s="110"/>
      <c r="F51" s="110"/>
      <c r="G51" s="110"/>
      <c r="H51" s="110"/>
      <c r="I51" s="110"/>
      <c r="J51" s="110"/>
      <c r="K51" s="110"/>
      <c r="L51" s="110"/>
      <c r="M51" s="110"/>
      <c r="N51" s="110"/>
      <c r="O51" s="110"/>
      <c r="P51" s="110"/>
      <c r="Q51" s="110"/>
      <c r="R51" s="110"/>
      <c r="W51" s="140"/>
    </row>
    <row r="52" spans="1:25">
      <c r="A52" s="111"/>
      <c r="B52" s="111"/>
      <c r="C52" s="111"/>
      <c r="D52" s="110"/>
      <c r="E52" s="110"/>
      <c r="F52" s="110"/>
      <c r="G52" s="110"/>
      <c r="H52" s="110"/>
      <c r="I52" s="110"/>
      <c r="J52" s="110"/>
      <c r="K52" s="110"/>
      <c r="L52" s="110"/>
      <c r="M52" s="110"/>
      <c r="N52" s="110"/>
      <c r="O52" s="110"/>
      <c r="P52" s="110"/>
      <c r="Q52" s="110"/>
      <c r="R52" s="110"/>
      <c r="W52" s="140"/>
    </row>
    <row r="53" spans="1:25">
      <c r="A53" s="111"/>
      <c r="B53" s="111"/>
      <c r="C53" s="111"/>
      <c r="D53" s="110"/>
      <c r="E53" s="110"/>
      <c r="F53" s="110"/>
      <c r="G53" s="110"/>
      <c r="H53" s="110"/>
      <c r="I53" s="110"/>
      <c r="J53" s="110"/>
      <c r="K53" s="110"/>
      <c r="L53" s="110"/>
      <c r="M53" s="110"/>
      <c r="N53" s="110"/>
      <c r="O53" s="110"/>
      <c r="P53" s="110"/>
      <c r="Q53" s="110"/>
      <c r="R53" s="110"/>
    </row>
    <row r="54" spans="1:25">
      <c r="A54" s="111"/>
      <c r="B54" s="111"/>
      <c r="C54" s="111"/>
      <c r="D54" s="110"/>
      <c r="E54" s="110"/>
      <c r="F54" s="110"/>
      <c r="G54" s="110"/>
      <c r="H54" s="110"/>
      <c r="I54" s="110"/>
      <c r="J54" s="110"/>
      <c r="K54" s="110"/>
      <c r="L54" s="110"/>
      <c r="M54" s="110"/>
      <c r="N54" s="110"/>
      <c r="O54" s="110"/>
      <c r="P54" s="110"/>
      <c r="Q54" s="110"/>
      <c r="R54" s="110"/>
    </row>
    <row r="55" spans="1:25">
      <c r="A55" s="111"/>
      <c r="B55" s="111"/>
      <c r="C55" s="111"/>
      <c r="D55" s="110"/>
      <c r="E55" s="110"/>
      <c r="F55" s="110"/>
      <c r="G55" s="110"/>
      <c r="H55" s="110"/>
      <c r="I55" s="110"/>
      <c r="J55" s="110"/>
      <c r="K55" s="110"/>
      <c r="L55" s="110"/>
      <c r="M55" s="110"/>
      <c r="N55" s="110"/>
      <c r="O55" s="110"/>
      <c r="P55" s="110"/>
      <c r="Q55" s="110"/>
      <c r="R55" s="110"/>
    </row>
    <row r="56" spans="1:25">
      <c r="A56" s="111"/>
      <c r="B56" s="111"/>
      <c r="C56" s="111"/>
      <c r="D56" s="110"/>
      <c r="E56" s="110"/>
      <c r="F56" s="110"/>
      <c r="G56" s="110"/>
      <c r="H56" s="110"/>
      <c r="I56" s="110"/>
      <c r="J56" s="110"/>
      <c r="K56" s="110"/>
      <c r="L56" s="110"/>
      <c r="M56" s="110"/>
      <c r="N56" s="110"/>
      <c r="O56" s="110"/>
      <c r="P56" s="110"/>
      <c r="Q56" s="110"/>
      <c r="R56" s="110"/>
    </row>
    <row r="57" spans="1:25">
      <c r="A57" s="111"/>
      <c r="B57" s="111"/>
      <c r="C57" s="111"/>
      <c r="D57" s="110"/>
      <c r="E57" s="110"/>
      <c r="F57" s="110"/>
      <c r="G57" s="110"/>
      <c r="H57" s="110"/>
      <c r="I57" s="110"/>
      <c r="J57" s="110"/>
      <c r="K57" s="110"/>
      <c r="L57" s="110"/>
      <c r="M57" s="110"/>
      <c r="N57" s="110"/>
      <c r="O57" s="110"/>
      <c r="P57" s="110"/>
      <c r="Q57" s="110"/>
      <c r="R57" s="110"/>
    </row>
    <row r="58" spans="1:25">
      <c r="A58" s="111"/>
      <c r="B58" s="111"/>
      <c r="C58" s="111"/>
      <c r="D58" s="110"/>
      <c r="E58" s="110"/>
      <c r="F58" s="110"/>
      <c r="G58" s="110"/>
      <c r="H58" s="110"/>
      <c r="I58" s="110"/>
      <c r="J58" s="110"/>
      <c r="K58" s="110"/>
      <c r="L58" s="110"/>
      <c r="M58" s="110"/>
      <c r="N58" s="110"/>
      <c r="O58" s="110"/>
      <c r="P58" s="110"/>
      <c r="Q58" s="110"/>
      <c r="R58" s="110"/>
    </row>
    <row r="59" spans="1:25">
      <c r="A59" s="111"/>
      <c r="B59" s="111"/>
      <c r="C59" s="111"/>
      <c r="D59" s="110"/>
      <c r="E59" s="110"/>
      <c r="F59" s="110"/>
      <c r="G59" s="110"/>
      <c r="H59" s="110"/>
      <c r="I59" s="110"/>
      <c r="J59" s="110"/>
      <c r="K59" s="110"/>
      <c r="L59" s="110"/>
      <c r="M59" s="110"/>
      <c r="N59" s="110"/>
      <c r="O59" s="110"/>
      <c r="P59" s="110"/>
      <c r="Q59" s="110"/>
      <c r="R59" s="110"/>
    </row>
    <row r="60" spans="1:25">
      <c r="A60" s="111"/>
      <c r="B60" s="111"/>
      <c r="C60" s="111"/>
      <c r="D60" s="110"/>
      <c r="E60" s="110"/>
      <c r="F60" s="110"/>
      <c r="G60" s="110"/>
      <c r="H60" s="110"/>
      <c r="I60" s="110"/>
      <c r="J60" s="110"/>
      <c r="K60" s="110"/>
      <c r="L60" s="110"/>
      <c r="M60" s="110"/>
      <c r="N60" s="110"/>
      <c r="O60" s="110"/>
      <c r="P60" s="110"/>
      <c r="Q60" s="110"/>
      <c r="R60" s="110"/>
    </row>
    <row r="61" spans="1:25">
      <c r="A61" s="111"/>
      <c r="B61" s="111"/>
      <c r="C61" s="111"/>
      <c r="D61" s="110"/>
      <c r="E61" s="110"/>
      <c r="F61" s="110"/>
      <c r="G61" s="110"/>
      <c r="H61" s="110"/>
      <c r="I61" s="110"/>
      <c r="J61" s="110"/>
      <c r="K61" s="110"/>
      <c r="L61" s="110"/>
      <c r="M61" s="110"/>
      <c r="N61" s="110"/>
      <c r="O61" s="110"/>
      <c r="P61" s="110"/>
      <c r="Q61" s="110"/>
      <c r="R61" s="110"/>
    </row>
    <row r="62" spans="1:25">
      <c r="A62" s="111"/>
      <c r="B62" s="111"/>
      <c r="C62" s="111"/>
      <c r="D62" s="110"/>
      <c r="E62" s="110"/>
      <c r="F62" s="110"/>
      <c r="G62" s="110"/>
      <c r="H62" s="110"/>
      <c r="I62" s="110"/>
      <c r="J62" s="110"/>
      <c r="K62" s="110"/>
      <c r="L62" s="110"/>
      <c r="M62" s="110"/>
      <c r="N62" s="110"/>
      <c r="O62" s="110"/>
      <c r="P62" s="110"/>
      <c r="Q62" s="110"/>
      <c r="R62" s="110"/>
    </row>
    <row r="63" spans="1:25">
      <c r="A63" s="111"/>
      <c r="B63" s="111"/>
      <c r="C63" s="111"/>
      <c r="D63" s="110"/>
      <c r="E63" s="110"/>
      <c r="F63" s="110"/>
      <c r="G63" s="110"/>
      <c r="H63" s="110"/>
      <c r="I63" s="110"/>
      <c r="J63" s="110"/>
      <c r="K63" s="110"/>
      <c r="L63" s="110"/>
      <c r="M63" s="110"/>
      <c r="N63" s="110"/>
      <c r="O63" s="110"/>
      <c r="P63" s="110"/>
      <c r="Q63" s="110"/>
      <c r="R63" s="110"/>
    </row>
    <row r="64" spans="1:25">
      <c r="A64" s="111"/>
      <c r="B64" s="111"/>
      <c r="C64" s="111"/>
      <c r="D64" s="110"/>
      <c r="E64" s="110"/>
      <c r="F64" s="110"/>
      <c r="G64" s="110"/>
      <c r="H64" s="110"/>
      <c r="I64" s="110"/>
      <c r="J64" s="110"/>
      <c r="K64" s="110"/>
      <c r="L64" s="110"/>
      <c r="M64" s="110"/>
      <c r="N64" s="110"/>
      <c r="O64" s="110"/>
      <c r="P64" s="110"/>
      <c r="Q64" s="110"/>
      <c r="R64" s="110"/>
    </row>
    <row r="65" spans="1:19">
      <c r="A65" s="111"/>
      <c r="B65" s="111"/>
      <c r="C65" s="111"/>
      <c r="D65" s="110"/>
      <c r="E65" s="110"/>
      <c r="F65" s="110"/>
      <c r="G65" s="110"/>
      <c r="H65" s="110"/>
      <c r="I65" s="110"/>
      <c r="J65" s="110"/>
      <c r="K65" s="110"/>
      <c r="L65" s="110"/>
      <c r="M65" s="110"/>
      <c r="N65" s="110"/>
      <c r="O65" s="110"/>
      <c r="P65" s="110"/>
      <c r="Q65" s="110"/>
      <c r="R65" s="110"/>
    </row>
    <row r="66" spans="1:19">
      <c r="A66" s="111"/>
      <c r="B66" s="111"/>
      <c r="C66" s="111"/>
      <c r="D66" s="110"/>
      <c r="E66" s="110"/>
      <c r="F66" s="110"/>
      <c r="G66" s="110"/>
      <c r="H66" s="110"/>
      <c r="I66" s="110"/>
      <c r="J66" s="110"/>
      <c r="K66" s="110"/>
      <c r="L66" s="110"/>
      <c r="M66" s="110"/>
      <c r="N66" s="110"/>
      <c r="O66" s="110"/>
      <c r="P66" s="110"/>
      <c r="Q66" s="110"/>
      <c r="R66" s="110"/>
    </row>
    <row r="67" spans="1:19">
      <c r="A67" s="111"/>
      <c r="B67" s="111"/>
      <c r="C67" s="111"/>
      <c r="D67" s="110"/>
      <c r="E67" s="110"/>
      <c r="F67" s="110"/>
      <c r="G67" s="110"/>
      <c r="H67" s="110"/>
      <c r="I67" s="110"/>
      <c r="J67" s="110"/>
      <c r="K67" s="110"/>
      <c r="L67" s="110"/>
      <c r="M67" s="110"/>
      <c r="N67" s="110"/>
      <c r="O67" s="110"/>
      <c r="P67" s="110"/>
      <c r="Q67" s="110"/>
      <c r="R67" s="110"/>
    </row>
    <row r="68" spans="1:19">
      <c r="A68" s="111"/>
      <c r="B68" s="111"/>
      <c r="C68" s="111"/>
      <c r="D68" s="110"/>
      <c r="E68" s="110"/>
      <c r="F68" s="110"/>
      <c r="G68" s="110"/>
      <c r="H68" s="110"/>
      <c r="I68" s="110"/>
      <c r="J68" s="110"/>
      <c r="K68" s="110"/>
      <c r="L68" s="110"/>
      <c r="M68" s="110"/>
      <c r="N68" s="110"/>
      <c r="O68" s="110"/>
      <c r="P68" s="110"/>
      <c r="Q68" s="110"/>
      <c r="R68" s="110"/>
    </row>
    <row r="69" spans="1:19">
      <c r="A69" s="111"/>
      <c r="B69" s="111"/>
      <c r="C69" s="111"/>
      <c r="D69" s="110"/>
      <c r="E69" s="110"/>
      <c r="F69" s="110"/>
      <c r="G69" s="110"/>
      <c r="H69" s="110"/>
      <c r="I69" s="110"/>
      <c r="J69" s="110"/>
      <c r="K69" s="110"/>
      <c r="L69" s="110"/>
      <c r="M69" s="110"/>
      <c r="N69" s="110"/>
      <c r="O69" s="110"/>
      <c r="P69" s="110"/>
      <c r="Q69" s="110"/>
      <c r="R69" s="110"/>
    </row>
    <row r="70" spans="1:19">
      <c r="A70" s="111"/>
      <c r="B70" s="111"/>
      <c r="C70" s="111"/>
      <c r="D70" s="110"/>
      <c r="E70" s="110"/>
      <c r="F70" s="110"/>
      <c r="G70" s="110"/>
      <c r="H70" s="110"/>
      <c r="I70" s="110"/>
      <c r="J70" s="110"/>
      <c r="K70" s="110"/>
      <c r="L70" s="110"/>
      <c r="M70" s="110"/>
      <c r="N70" s="110"/>
      <c r="O70" s="110"/>
      <c r="P70" s="110"/>
      <c r="Q70" s="110"/>
      <c r="R70" s="110"/>
    </row>
    <row r="71" spans="1:19">
      <c r="A71" s="111"/>
      <c r="B71" s="111"/>
      <c r="C71" s="111"/>
      <c r="D71" s="110"/>
      <c r="E71" s="110"/>
      <c r="F71" s="110"/>
      <c r="G71" s="110"/>
      <c r="H71" s="110"/>
      <c r="I71" s="110"/>
      <c r="J71" s="110"/>
      <c r="K71" s="110"/>
      <c r="L71" s="110"/>
      <c r="M71" s="110"/>
      <c r="N71" s="110"/>
      <c r="O71" s="110"/>
      <c r="P71" s="110"/>
      <c r="Q71" s="110"/>
      <c r="R71" s="110"/>
    </row>
    <row r="72" spans="1:19">
      <c r="A72" s="111"/>
      <c r="B72" s="111"/>
      <c r="C72" s="111"/>
      <c r="D72" s="110"/>
      <c r="E72" s="110"/>
      <c r="F72" s="110"/>
      <c r="G72" s="110"/>
      <c r="H72" s="110"/>
      <c r="I72" s="110"/>
      <c r="J72" s="110"/>
      <c r="K72" s="110"/>
      <c r="L72" s="110"/>
      <c r="M72" s="110"/>
      <c r="N72" s="110"/>
      <c r="O72" s="110"/>
      <c r="P72" s="110"/>
      <c r="Q72" s="110"/>
      <c r="R72" s="110"/>
    </row>
    <row r="73" spans="1:19">
      <c r="A73" s="111"/>
      <c r="B73" s="111"/>
      <c r="C73" s="111"/>
      <c r="D73" s="110"/>
      <c r="E73" s="110"/>
      <c r="F73" s="110"/>
      <c r="G73" s="110"/>
      <c r="H73" s="110"/>
      <c r="I73" s="110"/>
      <c r="J73" s="110"/>
      <c r="K73" s="110"/>
      <c r="L73" s="110"/>
      <c r="M73" s="110"/>
      <c r="N73" s="110"/>
      <c r="O73" s="110"/>
      <c r="P73" s="110"/>
      <c r="Q73" s="110"/>
      <c r="R73" s="110"/>
      <c r="S73" s="110"/>
    </row>
    <row r="74" spans="1:19">
      <c r="A74" s="111"/>
      <c r="B74" s="111"/>
      <c r="C74" s="111"/>
      <c r="D74" s="110"/>
      <c r="E74" s="110"/>
      <c r="F74" s="110"/>
      <c r="G74" s="110"/>
      <c r="H74" s="110"/>
      <c r="I74" s="110"/>
      <c r="J74" s="110"/>
      <c r="K74" s="110"/>
      <c r="L74" s="110"/>
      <c r="M74" s="110"/>
      <c r="N74" s="110"/>
      <c r="O74" s="110"/>
      <c r="P74" s="110"/>
      <c r="Q74" s="110"/>
      <c r="R74" s="1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Worksheet Instructions</vt:lpstr>
      <vt:lpstr>Template</vt:lpstr>
      <vt:lpstr>Figures 1,2,4-Weighted</vt:lpstr>
      <vt:lpstr>Report Figures 1,3,5,6</vt:lpstr>
      <vt:lpstr>1-Download</vt:lpstr>
      <vt:lpstr>2-ID Study Revenues</vt:lpstr>
      <vt:lpstr>3-Study Revenues</vt:lpstr>
      <vt:lpstr>4-Districts Less Charters</vt:lpstr>
      <vt:lpstr>5-Charters</vt:lpstr>
      <vt:lpstr>6-Enrollment</vt:lpstr>
      <vt:lpstr>7-Charter Enrollment DOE Files</vt:lpstr>
      <vt:lpstr>'5-Charters'!Print_Area</vt:lpstr>
      <vt:lpstr>'6-Enrollment'!Print_Area</vt:lpstr>
      <vt:lpstr>'7-Charter Enrollment DOE Files'!Print_Area</vt:lpstr>
      <vt:lpstr>'Worksheet Instructions'!Print_Area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F. May</dc:creator>
  <cp:lastModifiedBy>Jay F. May</cp:lastModifiedBy>
  <cp:lastPrinted>2010-05-21T17:37:42Z</cp:lastPrinted>
  <dcterms:created xsi:type="dcterms:W3CDTF">2009-10-05T19:05:11Z</dcterms:created>
  <dcterms:modified xsi:type="dcterms:W3CDTF">2010-05-21T17:52:37Z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