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5460" yWindow="-30" windowWidth="18105" windowHeight="10440" tabRatio="874"/>
  </bookViews>
  <sheets>
    <sheet name="Completeness Report" sheetId="1" r:id="rId1"/>
    <sheet name="RegistryInfo" sheetId="2" r:id="rId2"/>
    <sheet name="Blacks" sheetId="4" r:id="rId3"/>
    <sheet name="Whites" sheetId="3" r:id="rId4"/>
    <sheet name="Instructions" sheetId="5" r:id="rId5"/>
    <sheet name="Documentation" sheetId="6" r:id="rId6"/>
    <sheet name="Pops by Race and Sex" sheetId="9" state="hidden" r:id="rId7"/>
    <sheet name="SEER US MORT Rates" sheetId="10" state="hidden" r:id="rId8"/>
    <sheet name="Adjustment Info" sheetId="7" r:id="rId9"/>
  </sheets>
  <definedNames>
    <definedName name="_xlnm._FilterDatabase" localSheetId="1" hidden="1">RegistryInfo!$A$4:$B$7</definedName>
    <definedName name="AdjHigh">'Adjustment Info'!$A$6</definedName>
    <definedName name="AdjLow">'Adjustment Info'!$A$7</definedName>
    <definedName name="AllRacesFemalePop">RegistryInfo!$A$10</definedName>
    <definedName name="AllRacesMalePop">RegistryInfo!$A$9</definedName>
    <definedName name="AllRacesTotalPop">RegistryInfo!$A$12</definedName>
    <definedName name="BlackComplete">Blacks!$P$52</definedName>
    <definedName name="BlackFemalePop">RegistryInfo!$A$15</definedName>
    <definedName name="BlackMalePop">RegistryInfo!$A$14</definedName>
    <definedName name="BlackPop">RegistryInfo!$A$13</definedName>
    <definedName name="CaseEnd">'Adjustment Info'!$B$13</definedName>
    <definedName name="CaseStart">'Adjustment Info'!$A$13</definedName>
    <definedName name="CaseYear">RegistryInfo!$A$4</definedName>
    <definedName name="IncidenceCases">RegistryInfo!$A$6</definedName>
    <definedName name="mortdata">#REF!</definedName>
    <definedName name="PercentDups">RegistryInfo!$A$7</definedName>
    <definedName name="pops">#REF!</definedName>
    <definedName name="PopSexData">'Pops by Race and Sex'!$1:$1048576</definedName>
    <definedName name="_xlnm.Print_Area" localSheetId="0">'Completeness Report'!$A$1:$F$32</definedName>
    <definedName name="_xlnm.Print_Area" localSheetId="6">'Pops by Race and Sex'!$A$1:$AQ$78</definedName>
    <definedName name="_xlnm.Print_Area" localSheetId="7">'SEER US MORT Rates'!$B$1:$Y$110</definedName>
    <definedName name="_xlnm.Print_Titles" localSheetId="6">'Pops by Race and Sex'!$5:$7</definedName>
    <definedName name="RaceSexRegistry">'Pops by Race and Sex'!$A$8:$A$78</definedName>
    <definedName name="RateData">'SEER US MORT Rates'!$A:$BC</definedName>
    <definedName name="RefSiteBF">'SEER US MORT Rates'!$D$88:$D$106</definedName>
    <definedName name="RefSiteBM">'SEER US MORT Rates'!$D$62:$D$78</definedName>
    <definedName name="RefSiteWF">'SEER US MORT Rates'!$D$34:$D$52</definedName>
    <definedName name="RefSiteWM">'SEER US MORT Rates'!$D$9:$D$25</definedName>
    <definedName name="registries">RegistryInfo!$H:$I</definedName>
    <definedName name="Registry">RegistryInfo!$A$5</definedName>
    <definedName name="Registry_Type">RegistryInfo!$D$5</definedName>
    <definedName name="RegMCurrentEnd">'Adjustment Info'!$B$14</definedName>
    <definedName name="RegMCurrentStart">'Adjustment Info'!$A$14</definedName>
    <definedName name="RegMRefEnd">'Adjustment Info'!$B$15</definedName>
    <definedName name="RegMRefStart">'Adjustment Info'!$A$15</definedName>
    <definedName name="seerData">#REF!</definedName>
    <definedName name="SEEREnd">'Adjustment Info'!$B$16</definedName>
    <definedName name="SEERStart">'Adjustment Info'!$A$16</definedName>
    <definedName name="summary_pops">RegistryInfo!$K$1:$P$2</definedName>
    <definedName name="USMortEnd">'Adjustment Info'!$B$17</definedName>
    <definedName name="USMortStart">'Adjustment Info'!$A$17</definedName>
    <definedName name="WhiteComplete">Whites!$P$52</definedName>
    <definedName name="WhiteFemalePop">RegistryInfo!$A$11</definedName>
    <definedName name="WhiteMalePop">RegistryInfo!$A$10</definedName>
    <definedName name="WhitePop">RegistryInfo!$A$9</definedName>
  </definedNames>
  <calcPr calcId="125725"/>
</workbook>
</file>

<file path=xl/calcChain.xml><?xml version="1.0" encoding="utf-8"?>
<calcChain xmlns="http://schemas.openxmlformats.org/spreadsheetml/2006/main">
  <c r="A17" i="1"/>
  <c r="A16" i="7"/>
  <c r="B17" l="1"/>
  <c r="B16"/>
  <c r="G6" i="3" s="1"/>
  <c r="B15" i="7"/>
  <c r="B14"/>
  <c r="B13"/>
  <c r="A2"/>
  <c r="A2" i="2" s="1"/>
  <c r="A13" i="7"/>
  <c r="A14"/>
  <c r="N6" i="3" s="1"/>
  <c r="A15" i="7"/>
  <c r="L29" i="4" s="1"/>
  <c r="A17" i="7"/>
  <c r="A1" i="6"/>
  <c r="A1" i="5"/>
  <c r="C1" i="3"/>
  <c r="D4"/>
  <c r="D6"/>
  <c r="F8"/>
  <c r="F9"/>
  <c r="F10"/>
  <c r="F11"/>
  <c r="F12"/>
  <c r="F13"/>
  <c r="F14"/>
  <c r="F15"/>
  <c r="F16"/>
  <c r="F17"/>
  <c r="F18"/>
  <c r="F19"/>
  <c r="F20"/>
  <c r="F21"/>
  <c r="F22"/>
  <c r="F23"/>
  <c r="D24"/>
  <c r="D27"/>
  <c r="D29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D50"/>
  <c r="D53" s="1"/>
  <c r="C1" i="4"/>
  <c r="D4"/>
  <c r="D6"/>
  <c r="F8"/>
  <c r="F9"/>
  <c r="F10"/>
  <c r="F11"/>
  <c r="F12"/>
  <c r="F13"/>
  <c r="F14"/>
  <c r="F15"/>
  <c r="F16"/>
  <c r="F17"/>
  <c r="F18"/>
  <c r="F19"/>
  <c r="F20"/>
  <c r="F21"/>
  <c r="F22"/>
  <c r="F23"/>
  <c r="D24"/>
  <c r="D27"/>
  <c r="D29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D50"/>
  <c r="D53"/>
  <c r="A1" i="2"/>
  <c r="L1"/>
  <c r="M1"/>
  <c r="N1"/>
  <c r="L2"/>
  <c r="M2"/>
  <c r="N2"/>
  <c r="D5"/>
  <c r="C2" i="3" s="1"/>
  <c r="B6" i="2"/>
  <c r="B12"/>
  <c r="B13"/>
  <c r="B14"/>
  <c r="B15"/>
  <c r="A1" i="1"/>
  <c r="A16"/>
  <c r="A19" s="1"/>
  <c r="B16"/>
  <c r="B19"/>
  <c r="B20"/>
  <c r="B22"/>
  <c r="B23"/>
  <c r="A2" l="1"/>
  <c r="A14" i="2"/>
  <c r="B10"/>
  <c r="L6" i="4"/>
  <c r="L29" i="3"/>
  <c r="N29" i="4"/>
  <c r="L6" i="3"/>
  <c r="G49" i="4"/>
  <c r="H6" i="3"/>
  <c r="E29" i="4"/>
  <c r="N6"/>
  <c r="G29"/>
  <c r="G29" i="3"/>
  <c r="E6" i="4"/>
  <c r="H29"/>
  <c r="G6"/>
  <c r="E6" i="3"/>
  <c r="H29"/>
  <c r="A30" i="1"/>
  <c r="C7" s="1"/>
  <c r="H6" i="4"/>
  <c r="H49"/>
  <c r="C28" i="3"/>
  <c r="C5"/>
  <c r="C52"/>
  <c r="C24"/>
  <c r="C50"/>
  <c r="N29"/>
  <c r="E29"/>
  <c r="B11" i="2"/>
  <c r="B9"/>
  <c r="G8" i="3"/>
  <c r="G9"/>
  <c r="G11"/>
  <c r="G12"/>
  <c r="G14"/>
  <c r="G17"/>
  <c r="G20"/>
  <c r="G23"/>
  <c r="G31"/>
  <c r="G32"/>
  <c r="G33"/>
  <c r="G34"/>
  <c r="G36"/>
  <c r="G40"/>
  <c r="G43"/>
  <c r="G44"/>
  <c r="G46"/>
  <c r="G47"/>
  <c r="G48"/>
  <c r="G49"/>
  <c r="G8" i="4"/>
  <c r="G16"/>
  <c r="G17"/>
  <c r="G19"/>
  <c r="G21"/>
  <c r="G22"/>
  <c r="G23"/>
  <c r="G31"/>
  <c r="G32"/>
  <c r="G36"/>
  <c r="G39"/>
  <c r="G42"/>
  <c r="G43"/>
  <c r="G44"/>
  <c r="G45"/>
  <c r="G46"/>
  <c r="G48"/>
  <c r="H11" i="3"/>
  <c r="H19"/>
  <c r="H22"/>
  <c r="H33"/>
  <c r="H42"/>
  <c r="H45"/>
  <c r="H9" i="4"/>
  <c r="H18"/>
  <c r="H19"/>
  <c r="H22"/>
  <c r="H38"/>
  <c r="H41"/>
  <c r="H45"/>
  <c r="H47"/>
  <c r="A15" i="2"/>
  <c r="A11"/>
  <c r="A10"/>
  <c r="G47" i="4" l="1"/>
  <c r="I47" s="1"/>
  <c r="J47" s="1"/>
  <c r="K47" s="1"/>
  <c r="G20"/>
  <c r="G39" i="3"/>
  <c r="G35"/>
  <c r="G41" i="4"/>
  <c r="I41" s="1"/>
  <c r="J41" s="1"/>
  <c r="K41" s="1"/>
  <c r="G18"/>
  <c r="I18" s="1"/>
  <c r="J18" s="1"/>
  <c r="K18" s="1"/>
  <c r="G45" i="3"/>
  <c r="G22"/>
  <c r="I22" s="1"/>
  <c r="J22" s="1"/>
  <c r="K22" s="1"/>
  <c r="G40" i="4"/>
  <c r="G21" i="3"/>
  <c r="G10"/>
  <c r="G14" i="4"/>
  <c r="G10"/>
  <c r="G37"/>
  <c r="G15"/>
  <c r="G41" i="3"/>
  <c r="G18"/>
  <c r="G38" i="4"/>
  <c r="I38" s="1"/>
  <c r="J38" s="1"/>
  <c r="K38" s="1"/>
  <c r="G42" i="3"/>
  <c r="I42" s="1"/>
  <c r="J42" s="1"/>
  <c r="K42" s="1"/>
  <c r="G19"/>
  <c r="I19" s="1"/>
  <c r="J19" s="1"/>
  <c r="K19" s="1"/>
  <c r="G33" i="4"/>
  <c r="G15" i="3"/>
  <c r="G11" i="4"/>
  <c r="G37" i="3"/>
  <c r="G34" i="4"/>
  <c r="G12"/>
  <c r="G38" i="3"/>
  <c r="G35" i="4"/>
  <c r="G13"/>
  <c r="G9"/>
  <c r="I9" s="1"/>
  <c r="J9" s="1"/>
  <c r="K9" s="1"/>
  <c r="G16" i="3"/>
  <c r="G13"/>
  <c r="H49"/>
  <c r="I49" s="1"/>
  <c r="J49" s="1"/>
  <c r="K49" s="1"/>
  <c r="H42" i="4"/>
  <c r="I42" s="1"/>
  <c r="J42" s="1"/>
  <c r="K42" s="1"/>
  <c r="H43"/>
  <c r="M43" s="1"/>
  <c r="N43" s="1"/>
  <c r="H47" i="3"/>
  <c r="I47" s="1"/>
  <c r="J47" s="1"/>
  <c r="K47" s="1"/>
  <c r="H13"/>
  <c r="M13" s="1"/>
  <c r="N13" s="1"/>
  <c r="H9"/>
  <c r="M9" s="1"/>
  <c r="N9" s="1"/>
  <c r="H46"/>
  <c r="M46" s="1"/>
  <c r="N46" s="1"/>
  <c r="H23"/>
  <c r="M23" s="1"/>
  <c r="N23" s="1"/>
  <c r="H8"/>
  <c r="I8" s="1"/>
  <c r="J8" s="1"/>
  <c r="K8" s="1"/>
  <c r="H48" i="4"/>
  <c r="M48" s="1"/>
  <c r="N48" s="1"/>
  <c r="H10"/>
  <c r="H10" i="3"/>
  <c r="M10" s="1"/>
  <c r="N10" s="1"/>
  <c r="H37" i="4"/>
  <c r="H33"/>
  <c r="H15"/>
  <c r="H11"/>
  <c r="H41" i="3"/>
  <c r="M41" s="1"/>
  <c r="N41" s="1"/>
  <c r="H37"/>
  <c r="H18"/>
  <c r="I18" s="1"/>
  <c r="J18" s="1"/>
  <c r="K18" s="1"/>
  <c r="H15"/>
  <c r="M15" s="1"/>
  <c r="N15" s="1"/>
  <c r="H44" i="4"/>
  <c r="I44" s="1"/>
  <c r="J44" s="1"/>
  <c r="K44" s="1"/>
  <c r="H48" i="3"/>
  <c r="M48" s="1"/>
  <c r="N48" s="1"/>
  <c r="H14"/>
  <c r="M14" s="1"/>
  <c r="N14" s="1"/>
  <c r="H34" i="4"/>
  <c r="H12"/>
  <c r="H38" i="3"/>
  <c r="I38" s="1"/>
  <c r="J38" s="1"/>
  <c r="K38" s="1"/>
  <c r="H39" i="4"/>
  <c r="M39" s="1"/>
  <c r="N39" s="1"/>
  <c r="H35"/>
  <c r="M35" s="1"/>
  <c r="N35" s="1"/>
  <c r="H43" i="3"/>
  <c r="M43" s="1"/>
  <c r="N43" s="1"/>
  <c r="H39"/>
  <c r="M39" s="1"/>
  <c r="N39" s="1"/>
  <c r="H46" i="4"/>
  <c r="M46" s="1"/>
  <c r="N46" s="1"/>
  <c r="H23"/>
  <c r="M23" s="1"/>
  <c r="N23" s="1"/>
  <c r="H8"/>
  <c r="I8" s="1"/>
  <c r="J8" s="1"/>
  <c r="H34" i="3"/>
  <c r="M34" s="1"/>
  <c r="N34" s="1"/>
  <c r="H12"/>
  <c r="I12" s="1"/>
  <c r="J12" s="1"/>
  <c r="K12" s="1"/>
  <c r="H31" i="4"/>
  <c r="I31" s="1"/>
  <c r="J31" s="1"/>
  <c r="H20"/>
  <c r="H16"/>
  <c r="M16" s="1"/>
  <c r="N16" s="1"/>
  <c r="H13"/>
  <c r="M13" s="1"/>
  <c r="N13" s="1"/>
  <c r="H35" i="3"/>
  <c r="M35" s="1"/>
  <c r="N35" s="1"/>
  <c r="H31"/>
  <c r="M31" s="1"/>
  <c r="N31" s="1"/>
  <c r="H20"/>
  <c r="I20" s="1"/>
  <c r="J20" s="1"/>
  <c r="K20" s="1"/>
  <c r="H16"/>
  <c r="M16" s="1"/>
  <c r="N16" s="1"/>
  <c r="H40" i="4"/>
  <c r="M40" s="1"/>
  <c r="N40" s="1"/>
  <c r="H36"/>
  <c r="M36" s="1"/>
  <c r="N36" s="1"/>
  <c r="H32"/>
  <c r="I32" s="1"/>
  <c r="J32" s="1"/>
  <c r="K32" s="1"/>
  <c r="H21"/>
  <c r="M21" s="1"/>
  <c r="N21" s="1"/>
  <c r="H17"/>
  <c r="M17" s="1"/>
  <c r="N17" s="1"/>
  <c r="H14"/>
  <c r="H44" i="3"/>
  <c r="M44" s="1"/>
  <c r="N44" s="1"/>
  <c r="H40"/>
  <c r="I40" s="1"/>
  <c r="J40" s="1"/>
  <c r="K40" s="1"/>
  <c r="H36"/>
  <c r="I36" s="1"/>
  <c r="J36" s="1"/>
  <c r="K36" s="1"/>
  <c r="H32"/>
  <c r="I32" s="1"/>
  <c r="J32" s="1"/>
  <c r="K32" s="1"/>
  <c r="H21"/>
  <c r="M21" s="1"/>
  <c r="N21" s="1"/>
  <c r="H17"/>
  <c r="M17" s="1"/>
  <c r="N17" s="1"/>
  <c r="A13" i="2"/>
  <c r="D52" i="4" s="1"/>
  <c r="M47"/>
  <c r="N47" s="1"/>
  <c r="M45"/>
  <c r="N45" s="1"/>
  <c r="I45"/>
  <c r="J45" s="1"/>
  <c r="K45" s="1"/>
  <c r="M41"/>
  <c r="N41" s="1"/>
  <c r="M38"/>
  <c r="N38" s="1"/>
  <c r="M22"/>
  <c r="N22" s="1"/>
  <c r="I22"/>
  <c r="J22" s="1"/>
  <c r="K22" s="1"/>
  <c r="M19"/>
  <c r="N19" s="1"/>
  <c r="I19"/>
  <c r="J19" s="1"/>
  <c r="K19" s="1"/>
  <c r="M18"/>
  <c r="N18" s="1"/>
  <c r="M9"/>
  <c r="N9" s="1"/>
  <c r="M45" i="3"/>
  <c r="N45" s="1"/>
  <c r="I45"/>
  <c r="J45" s="1"/>
  <c r="K45" s="1"/>
  <c r="M42"/>
  <c r="N42" s="1"/>
  <c r="M33"/>
  <c r="N33" s="1"/>
  <c r="I33"/>
  <c r="J33" s="1"/>
  <c r="K33" s="1"/>
  <c r="M22"/>
  <c r="N22" s="1"/>
  <c r="M19"/>
  <c r="N19" s="1"/>
  <c r="I11"/>
  <c r="J11" s="1"/>
  <c r="K11" s="1"/>
  <c r="M11"/>
  <c r="N11" s="1"/>
  <c r="M49" i="4"/>
  <c r="N49" s="1"/>
  <c r="I49"/>
  <c r="J49" s="1"/>
  <c r="K49" s="1"/>
  <c r="A9" i="2"/>
  <c r="A12" s="1"/>
  <c r="I12" i="4" l="1"/>
  <c r="J12" s="1"/>
  <c r="K12" s="1"/>
  <c r="I34"/>
  <c r="J34" s="1"/>
  <c r="K34" s="1"/>
  <c r="M40" i="3"/>
  <c r="N40" s="1"/>
  <c r="O40" s="1"/>
  <c r="P40" s="1"/>
  <c r="I46"/>
  <c r="J46" s="1"/>
  <c r="K46" s="1"/>
  <c r="I37"/>
  <c r="J37" s="1"/>
  <c r="K37" s="1"/>
  <c r="I23"/>
  <c r="J23" s="1"/>
  <c r="K23" s="1"/>
  <c r="I43" i="4"/>
  <c r="J43" s="1"/>
  <c r="K43" s="1"/>
  <c r="I14" i="3"/>
  <c r="J14" s="1"/>
  <c r="K14" s="1"/>
  <c r="I20" i="4"/>
  <c r="J20" s="1"/>
  <c r="K20" s="1"/>
  <c r="M18" i="3"/>
  <c r="N18" s="1"/>
  <c r="O18" s="1"/>
  <c r="P18" s="1"/>
  <c r="I9"/>
  <c r="J9" s="1"/>
  <c r="K9" s="1"/>
  <c r="I17"/>
  <c r="J17" s="1"/>
  <c r="K17" s="1"/>
  <c r="M20"/>
  <c r="N20" s="1"/>
  <c r="O20" s="1"/>
  <c r="P20" s="1"/>
  <c r="I35" i="4"/>
  <c r="J35" s="1"/>
  <c r="K35" s="1"/>
  <c r="M42"/>
  <c r="N42" s="1"/>
  <c r="O42" s="1"/>
  <c r="P42" s="1"/>
  <c r="I14"/>
  <c r="J14" s="1"/>
  <c r="K14" s="1"/>
  <c r="I11"/>
  <c r="J11" s="1"/>
  <c r="K11" s="1"/>
  <c r="M47" i="3"/>
  <c r="N47" s="1"/>
  <c r="O47" s="1"/>
  <c r="P47" s="1"/>
  <c r="I15" i="4"/>
  <c r="J15" s="1"/>
  <c r="K15" s="1"/>
  <c r="I37"/>
  <c r="J37" s="1"/>
  <c r="K37" s="1"/>
  <c r="I10"/>
  <c r="J10" s="1"/>
  <c r="K10" s="1"/>
  <c r="I13"/>
  <c r="J13" s="1"/>
  <c r="K13" s="1"/>
  <c r="M12" i="3"/>
  <c r="N12" s="1"/>
  <c r="O12" s="1"/>
  <c r="P12" s="1"/>
  <c r="I46" i="4"/>
  <c r="J46" s="1"/>
  <c r="K46" s="1"/>
  <c r="I21"/>
  <c r="J21" s="1"/>
  <c r="K21" s="1"/>
  <c r="I33"/>
  <c r="J33" s="1"/>
  <c r="K33" s="1"/>
  <c r="M34"/>
  <c r="N34" s="1"/>
  <c r="M8" i="3"/>
  <c r="N8" s="1"/>
  <c r="O8" s="1"/>
  <c r="M49"/>
  <c r="N49" s="1"/>
  <c r="O49" s="1"/>
  <c r="P49" s="1"/>
  <c r="M12" i="4"/>
  <c r="N12" s="1"/>
  <c r="M15"/>
  <c r="N15" s="1"/>
  <c r="O15" s="1"/>
  <c r="P15" s="1"/>
  <c r="I13" i="3"/>
  <c r="J13" s="1"/>
  <c r="K13" s="1"/>
  <c r="I16" i="4"/>
  <c r="J16" s="1"/>
  <c r="K16" s="1"/>
  <c r="I16" i="3"/>
  <c r="J16" s="1"/>
  <c r="K16" s="1"/>
  <c r="I10"/>
  <c r="J10" s="1"/>
  <c r="K10" s="1"/>
  <c r="I34"/>
  <c r="J34" s="1"/>
  <c r="K34" s="1"/>
  <c r="I39" i="4"/>
  <c r="J39" s="1"/>
  <c r="K39" s="1"/>
  <c r="M10"/>
  <c r="N10" s="1"/>
  <c r="M20"/>
  <c r="N20" s="1"/>
  <c r="M33"/>
  <c r="N33" s="1"/>
  <c r="M37" i="3"/>
  <c r="N37" s="1"/>
  <c r="O37" s="1"/>
  <c r="P37" s="1"/>
  <c r="I48" i="4"/>
  <c r="J48" s="1"/>
  <c r="K48" s="1"/>
  <c r="M8"/>
  <c r="N8" s="1"/>
  <c r="O8" s="1"/>
  <c r="I21" i="3"/>
  <c r="J21" s="1"/>
  <c r="K21" s="1"/>
  <c r="I48"/>
  <c r="J48" s="1"/>
  <c r="K48" s="1"/>
  <c r="I41"/>
  <c r="J41" s="1"/>
  <c r="K41" s="1"/>
  <c r="M38"/>
  <c r="N38" s="1"/>
  <c r="O38" s="1"/>
  <c r="P38" s="1"/>
  <c r="I15"/>
  <c r="J15" s="1"/>
  <c r="K15" s="1"/>
  <c r="M32"/>
  <c r="N32" s="1"/>
  <c r="O32" s="1"/>
  <c r="P32" s="1"/>
  <c r="I43"/>
  <c r="J43" s="1"/>
  <c r="K43" s="1"/>
  <c r="M11" i="4"/>
  <c r="N11" s="1"/>
  <c r="M37"/>
  <c r="N37" s="1"/>
  <c r="O37" s="1"/>
  <c r="P37" s="1"/>
  <c r="M44"/>
  <c r="N44" s="1"/>
  <c r="O44" s="1"/>
  <c r="P44" s="1"/>
  <c r="I23"/>
  <c r="J23" s="1"/>
  <c r="K23" s="1"/>
  <c r="I35" i="3"/>
  <c r="J35" s="1"/>
  <c r="K35" s="1"/>
  <c r="I39"/>
  <c r="J39" s="1"/>
  <c r="K39" s="1"/>
  <c r="I44"/>
  <c r="J44" s="1"/>
  <c r="K44" s="1"/>
  <c r="I17" i="4"/>
  <c r="J17" s="1"/>
  <c r="K17" s="1"/>
  <c r="I40"/>
  <c r="J40" s="1"/>
  <c r="K40" s="1"/>
  <c r="M32"/>
  <c r="N32" s="1"/>
  <c r="O32" s="1"/>
  <c r="P32" s="1"/>
  <c r="I31" i="3"/>
  <c r="J31" s="1"/>
  <c r="M14" i="4"/>
  <c r="N14" s="1"/>
  <c r="I36"/>
  <c r="J36" s="1"/>
  <c r="K36" s="1"/>
  <c r="M36" i="3"/>
  <c r="N36" s="1"/>
  <c r="O36" s="1"/>
  <c r="P36" s="1"/>
  <c r="M31" i="4"/>
  <c r="N31" s="1"/>
  <c r="O31" s="1"/>
  <c r="O11" i="3"/>
  <c r="P11" s="1"/>
  <c r="O19"/>
  <c r="P19" s="1"/>
  <c r="O22"/>
  <c r="P22" s="1"/>
  <c r="K8" i="4"/>
  <c r="K31"/>
  <c r="O49"/>
  <c r="P49" s="1"/>
  <c r="O33" i="3"/>
  <c r="P33" s="1"/>
  <c r="O42"/>
  <c r="P42" s="1"/>
  <c r="O45"/>
  <c r="P45" s="1"/>
  <c r="O9" i="4"/>
  <c r="P9" s="1"/>
  <c r="O18"/>
  <c r="P18" s="1"/>
  <c r="O19"/>
  <c r="P19" s="1"/>
  <c r="O22"/>
  <c r="P22" s="1"/>
  <c r="O38"/>
  <c r="P38" s="1"/>
  <c r="O41"/>
  <c r="P41" s="1"/>
  <c r="O45"/>
  <c r="P45" s="1"/>
  <c r="O47"/>
  <c r="P47" s="1"/>
  <c r="A17" i="2"/>
  <c r="B10" i="1"/>
  <c r="F10"/>
  <c r="O12" i="4" l="1"/>
  <c r="P12" s="1"/>
  <c r="O34"/>
  <c r="P34" s="1"/>
  <c r="O23" i="3"/>
  <c r="P23" s="1"/>
  <c r="O16"/>
  <c r="P16" s="1"/>
  <c r="O39" i="4"/>
  <c r="P39" s="1"/>
  <c r="O10" i="3"/>
  <c r="P10" s="1"/>
  <c r="O46"/>
  <c r="P46" s="1"/>
  <c r="O21" i="4"/>
  <c r="P21" s="1"/>
  <c r="O16"/>
  <c r="P16" s="1"/>
  <c r="O11"/>
  <c r="P11" s="1"/>
  <c r="O20"/>
  <c r="P20" s="1"/>
  <c r="O43"/>
  <c r="P43" s="1"/>
  <c r="O9" i="3"/>
  <c r="P9" s="1"/>
  <c r="O14" i="4"/>
  <c r="P14" s="1"/>
  <c r="O10"/>
  <c r="P10" s="1"/>
  <c r="O14" i="3"/>
  <c r="P14" s="1"/>
  <c r="O46" i="4"/>
  <c r="P46" s="1"/>
  <c r="O17" i="3"/>
  <c r="P17" s="1"/>
  <c r="O35" i="4"/>
  <c r="P35" s="1"/>
  <c r="O13"/>
  <c r="P13" s="1"/>
  <c r="O33"/>
  <c r="P33" s="1"/>
  <c r="J50"/>
  <c r="J53" s="1"/>
  <c r="O13" i="3"/>
  <c r="P13" s="1"/>
  <c r="O34"/>
  <c r="P34" s="1"/>
  <c r="O48" i="4"/>
  <c r="P48" s="1"/>
  <c r="O17"/>
  <c r="P17" s="1"/>
  <c r="O40"/>
  <c r="P40" s="1"/>
  <c r="O15" i="3"/>
  <c r="P15" s="1"/>
  <c r="O48"/>
  <c r="P48" s="1"/>
  <c r="O44"/>
  <c r="P44" s="1"/>
  <c r="J24"/>
  <c r="K24" s="1"/>
  <c r="O21"/>
  <c r="P21" s="1"/>
  <c r="O23" i="4"/>
  <c r="P23" s="1"/>
  <c r="O43" i="3"/>
  <c r="P43" s="1"/>
  <c r="O36" i="4"/>
  <c r="P36" s="1"/>
  <c r="O41" i="3"/>
  <c r="P41" s="1"/>
  <c r="O39"/>
  <c r="P39" s="1"/>
  <c r="J50"/>
  <c r="K50" s="1"/>
  <c r="O35"/>
  <c r="P35" s="1"/>
  <c r="J24" i="4"/>
  <c r="K24" s="1"/>
  <c r="O31" i="3"/>
  <c r="K31"/>
  <c r="D52"/>
  <c r="D10" i="1"/>
  <c r="P31" i="4"/>
  <c r="P8"/>
  <c r="P8" i="3"/>
  <c r="K50" i="4" l="1"/>
  <c r="O24"/>
  <c r="P24" s="1"/>
  <c r="J53" i="3"/>
  <c r="O50" i="4"/>
  <c r="O50" i="3"/>
  <c r="O53" s="1"/>
  <c r="O24"/>
  <c r="P24" s="1"/>
  <c r="J52"/>
  <c r="K52" s="1"/>
  <c r="J52" i="4"/>
  <c r="K52" s="1"/>
  <c r="P31" i="3"/>
  <c r="O52" i="4" l="1"/>
  <c r="P50"/>
  <c r="P52" s="1"/>
  <c r="O53"/>
  <c r="O52" i="3"/>
  <c r="P50"/>
  <c r="P52" s="1"/>
  <c r="A10" i="1" s="1"/>
  <c r="C10" l="1"/>
  <c r="E10" s="1"/>
  <c r="A18" s="1"/>
  <c r="A20" s="1"/>
  <c r="A22" s="1"/>
</calcChain>
</file>

<file path=xl/sharedStrings.xml><?xml version="1.0" encoding="utf-8"?>
<sst xmlns="http://schemas.openxmlformats.org/spreadsheetml/2006/main" count="1823" uniqueCount="409">
  <si>
    <t>Interim Completeness Estimates</t>
  </si>
  <si>
    <t>Adjusted for Reference Mortality</t>
  </si>
  <si>
    <t>Blacks</t>
  </si>
  <si>
    <t>Race Proportional</t>
  </si>
  <si>
    <t>Percent</t>
  </si>
  <si>
    <t>Complete</t>
  </si>
  <si>
    <t>Population</t>
  </si>
  <si>
    <t>Final Completeness Estimates</t>
  </si>
  <si>
    <t>Adjusted for Reference Mortality and Duplicate Records</t>
  </si>
  <si>
    <t>Percent Duplicate Records</t>
  </si>
  <si>
    <t>Race Proportional Completeness, Adjusted for Reference Mortality</t>
  </si>
  <si>
    <t>Alabama</t>
  </si>
  <si>
    <t>Alaska</t>
  </si>
  <si>
    <t>Arizona</t>
  </si>
  <si>
    <t>Calendar Year for Case Completeness Ascertainment</t>
  </si>
  <si>
    <t>Arkansas</t>
  </si>
  <si>
    <t>Connecticut</t>
  </si>
  <si>
    <t>Registry Area</t>
  </si>
  <si>
    <t>California</t>
  </si>
  <si>
    <t xml:space="preserve">   CA - Greater Bay</t>
  </si>
  <si>
    <t>Percent Duplicate Records, per NAACCR Protocol</t>
  </si>
  <si>
    <t xml:space="preserve">   CA - Los Angeles</t>
  </si>
  <si>
    <t>Colorado</t>
  </si>
  <si>
    <t>Delaware</t>
  </si>
  <si>
    <t>Washington, DC</t>
  </si>
  <si>
    <t>Florida</t>
  </si>
  <si>
    <t>Georgia</t>
  </si>
  <si>
    <t xml:space="preserve">   GA - Metropolitan Atlanta</t>
  </si>
  <si>
    <t>Hawaii</t>
  </si>
  <si>
    <t>Idaho</t>
  </si>
  <si>
    <t>Total Population, Whites and Blacks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</si>
  <si>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</si>
  <si>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</si>
  <si>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</si>
  <si>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</si>
  <si>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</si>
  <si>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</si>
  <si>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</si>
  <si>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</si>
  <si>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</si>
  <si>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</si>
  <si>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 xml:space="preserve">   MI - Metropolitan Detroit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</si>
  <si>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</si>
  <si>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</si>
  <si>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</si>
  <si>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</si>
  <si>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</si>
  <si>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</si>
  <si>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</si>
  <si>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</si>
  <si>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</si>
  <si>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</si>
  <si>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</si>
  <si>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</si>
  <si>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</si>
  <si>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</si>
  <si>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</si>
  <si>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</si>
  <si>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</si>
  <si>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</si>
  <si>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</si>
  <si>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</si>
  <si>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</si>
  <si>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</si>
  <si>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</si>
  <si>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</si>
  <si>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</si>
  <si>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 xml:space="preserve">   WA - Seattle/Puget Sound</t>
  </si>
  <si>
    <t>West Virginia</t>
  </si>
  <si>
    <t>Wisconsin</t>
  </si>
  <si>
    <t>Wyoming</t>
  </si>
  <si>
    <t>Alberta</t>
  </si>
  <si>
    <t>British Columbia</t>
  </si>
  <si>
    <t>Manitoba</t>
  </si>
  <si>
    <t>New Brunswick</t>
  </si>
  <si>
    <t>Newfoundland</t>
  </si>
  <si>
    <t>Nova Scotia</t>
  </si>
  <si>
    <t>Ontario</t>
  </si>
  <si>
    <t>Prince Edward Island</t>
  </si>
  <si>
    <t>Quebec</t>
  </si>
  <si>
    <t>Saskatchewan</t>
  </si>
  <si>
    <t>Yukon</t>
  </si>
  <si>
    <t>SEER (11 Regs) and US Mortality</t>
  </si>
  <si>
    <t>Mortality Adjustment Terms</t>
  </si>
  <si>
    <t>Adjusted for Mortality</t>
  </si>
  <si>
    <t>White Males</t>
  </si>
  <si>
    <t>Age-Adjusted Rates (2000 US)</t>
  </si>
  <si>
    <t>Expected</t>
  </si>
  <si>
    <t>Registry</t>
  </si>
  <si>
    <t>Adj Reg</t>
  </si>
  <si>
    <t>Interim</t>
  </si>
  <si>
    <t>Inc/Mort</t>
  </si>
  <si>
    <t>Incidence</t>
  </si>
  <si>
    <t>Adjust.</t>
  </si>
  <si>
    <t>Cancer Site</t>
  </si>
  <si>
    <t>Mortality</t>
  </si>
  <si>
    <t>Ratio</t>
  </si>
  <si>
    <t>Rate</t>
  </si>
  <si>
    <t>Mort Rate</t>
  </si>
  <si>
    <t>Term</t>
  </si>
  <si>
    <t>Esophagus</t>
  </si>
  <si>
    <t>Stomach</t>
  </si>
  <si>
    <t>Colon and Rectum</t>
  </si>
  <si>
    <t>Liver</t>
  </si>
  <si>
    <t>Pancreas</t>
  </si>
  <si>
    <t>Lung and Bronchus</t>
  </si>
  <si>
    <t>Melanomas of the Skin</t>
  </si>
  <si>
    <t>Prostate*</t>
  </si>
  <si>
    <t>Kidney and Renal Pelvis</t>
  </si>
  <si>
    <t>Brain and Other Nervous System</t>
  </si>
  <si>
    <t>Multiple Myeloma</t>
  </si>
  <si>
    <t>Leukemias</t>
  </si>
  <si>
    <t>White Females</t>
  </si>
  <si>
    <t>Breast</t>
  </si>
  <si>
    <t>Cervix</t>
  </si>
  <si>
    <t>Corpus and Uterus, NOS</t>
  </si>
  <si>
    <t>Ovary</t>
  </si>
  <si>
    <t>Overall Total + Breast + Prostate</t>
  </si>
  <si>
    <t>Notes:</t>
  </si>
  <si>
    <t xml:space="preserve">  The cancer rates for Male Prostate (Whites and Blacks) and Melanomas of the Skin (Blacks) are not included in the completeness estimates.</t>
  </si>
  <si>
    <t>Registry Incidence and Mortality Rates, Blacks</t>
  </si>
  <si>
    <t>Black Males</t>
  </si>
  <si>
    <t>Sum of Rates for Black Males</t>
  </si>
  <si>
    <t>Black Females</t>
  </si>
  <si>
    <t xml:space="preserve">Sum of Rates for Black Females </t>
  </si>
  <si>
    <t>Sum of Blacks, Gender Weighted</t>
  </si>
  <si>
    <t>Notes and Instructions for the Completeness of Case Ascertainment Estimate Worksheets</t>
  </si>
  <si>
    <t>1.</t>
  </si>
  <si>
    <t>The spreadsheet has been loaded with the information from the SEER Incidence and US Mortality cancer databases.</t>
  </si>
  <si>
    <t>2.</t>
  </si>
  <si>
    <t>The SEER and US Mortality rates may be suppressed due to publication schedules.</t>
  </si>
  <si>
    <t>3.</t>
  </si>
  <si>
    <t>Cancer rates throughout the spreadsheet are per 100,000 and are age-adjusted to the 2000 U.S. Standard.</t>
  </si>
  <si>
    <t>4.</t>
  </si>
  <si>
    <t>The cancer rates for Male Prostate (Whites and Blacks) and Melanomas of the Skin (Blacks) are not included</t>
  </si>
  <si>
    <t>in the completeness estimate computations.</t>
  </si>
  <si>
    <t>5.</t>
  </si>
  <si>
    <t>The areas requiring information from the Registry are highlighted in yellow.</t>
  </si>
  <si>
    <t>6.</t>
  </si>
  <si>
    <t>The Adjustment Terms have been set to .2 and .2, as per the NAACCR Data Evaluation and Publication Committee.</t>
  </si>
  <si>
    <t>Instructions:</t>
  </si>
  <si>
    <t>To obtain an estimate of the completeness of case ascertainment for your registry, perform the following steps:</t>
  </si>
  <si>
    <t>A:  Preliminary Steps:</t>
  </si>
  <si>
    <t>A1.</t>
  </si>
  <si>
    <t>Calculate the total number (count) of reportable cases for your registry for the reporting year.</t>
  </si>
  <si>
    <t>A2.</t>
  </si>
  <si>
    <t>Complete the NAACCR Duplicate Record Protocol on a sample of all reportable cases.</t>
  </si>
  <si>
    <t>B:  Spreadsheet Setup:</t>
  </si>
  <si>
    <r>
      <t xml:space="preserve">Enter the following information on the </t>
    </r>
    <r>
      <rPr>
        <i/>
        <sz val="11"/>
        <rFont val="Times New Roman"/>
        <family val="1"/>
      </rPr>
      <t>RegistryInfo</t>
    </r>
    <r>
      <rPr>
        <sz val="11"/>
        <rFont val="Times New Roman"/>
        <family val="1"/>
      </rPr>
      <t xml:space="preserve"> worksheet:</t>
    </r>
  </si>
  <si>
    <t>B1.</t>
  </si>
  <si>
    <t>Enter the Reporting Year for case ascertainment.</t>
  </si>
  <si>
    <t>B2.</t>
  </si>
  <si>
    <t>Enter the Registry Area from the list provided.</t>
  </si>
  <si>
    <t>B3.</t>
  </si>
  <si>
    <t>Enter the Total Number of reportable cases for your registry for the reporting year (from Step A1).</t>
  </si>
  <si>
    <t>B4.</t>
  </si>
  <si>
    <t>Enter the Percent of Duplicate Records per 1,000 records, as per the NAACCR protocol (from Step A2).</t>
  </si>
  <si>
    <t>C:  Registry-specific Incidence and Mortality Rates:</t>
  </si>
  <si>
    <t>C1.</t>
  </si>
  <si>
    <t>Note:</t>
  </si>
  <si>
    <t>Three sets of rates are required for each of the four race/sex groups:</t>
  </si>
  <si>
    <t>1.  Incidence rates, one year only, for the reporting year</t>
  </si>
  <si>
    <t>2.  Mortality rates, 2 year average (Current Mortality), for the 2 year period ending in the reporting year*</t>
  </si>
  <si>
    <t>3.  Mortality rates, 5 year average (Reference Mortality), for the 5 year period ending in the reporting year</t>
  </si>
  <si>
    <r>
      <t xml:space="preserve">When the Reporting Year and Registry Area are entered in the </t>
    </r>
    <r>
      <rPr>
        <i/>
        <sz val="11"/>
        <rFont val="Times New Roman"/>
        <family val="1"/>
      </rPr>
      <t>RegistryInfo</t>
    </r>
    <r>
      <rPr>
        <sz val="11"/>
        <rFont val="Times New Roman"/>
        <family val="1"/>
      </rPr>
      <t xml:space="preserve"> worksheet, the column headers</t>
    </r>
  </si>
  <si>
    <t>throughout the workbook will display the required year ranges.</t>
  </si>
  <si>
    <t>*  For registries with total populations under 500,000 for one year, use the 3 year average mortality rate</t>
  </si>
  <si>
    <t>for the 3 year period ending in the reporting year.</t>
  </si>
  <si>
    <t>For registries with no information on Race, compute the incidence and mortality rates for All Races Combined,</t>
  </si>
  <si>
    <r>
      <t xml:space="preserve">enter this information in the </t>
    </r>
    <r>
      <rPr>
        <i/>
        <sz val="11"/>
        <rFont val="Times New Roman"/>
        <family val="1"/>
      </rPr>
      <t>Whites</t>
    </r>
    <r>
      <rPr>
        <sz val="11"/>
        <rFont val="Times New Roman"/>
        <family val="1"/>
      </rPr>
      <t xml:space="preserve"> worksheet, and enter zeroes for all values in the </t>
    </r>
    <r>
      <rPr>
        <i/>
        <sz val="11"/>
        <rFont val="Times New Roman"/>
        <family val="1"/>
      </rPr>
      <t>Blacks</t>
    </r>
    <r>
      <rPr>
        <sz val="11"/>
        <rFont val="Times New Roman"/>
        <family val="1"/>
      </rPr>
      <t xml:space="preserve"> worksheet.</t>
    </r>
  </si>
  <si>
    <r>
      <t xml:space="preserve">The </t>
    </r>
    <r>
      <rPr>
        <i/>
        <sz val="11"/>
        <rFont val="Times New Roman"/>
        <family val="1"/>
      </rPr>
      <t>RegistryInfo</t>
    </r>
    <r>
      <rPr>
        <sz val="11"/>
        <rFont val="Times New Roman"/>
        <family val="1"/>
      </rPr>
      <t xml:space="preserve"> and </t>
    </r>
    <r>
      <rPr>
        <i/>
        <sz val="11"/>
        <rFont val="Times New Roman"/>
        <family val="1"/>
      </rPr>
      <t>Completeness Report</t>
    </r>
    <r>
      <rPr>
        <sz val="11"/>
        <rFont val="Times New Roman"/>
        <family val="1"/>
      </rPr>
      <t xml:space="preserve"> worksheets will report the All Races information in the</t>
    </r>
  </si>
  <si>
    <t>White race areas and zeros in the Black race areas.</t>
  </si>
  <si>
    <t>C2.</t>
  </si>
  <si>
    <t>Enter the information from step C1 above on these two worksheets:</t>
  </si>
  <si>
    <t>Whites</t>
  </si>
  <si>
    <t>Enter the Age-adjusted Incidence rates for your registry for White Males and White Females in column B.</t>
  </si>
  <si>
    <t>Enter the Age-adjusted Mortality rates (Current) for your registry for White Males and White Females in column C.</t>
  </si>
  <si>
    <t>Enter the Age-adjusted Mortality rates (Reference) for your registry for White Males and White Females in column J.</t>
  </si>
  <si>
    <t>Enter the Age-adjusted Incidence rates for your registry for Black Males and Black Females in column B.</t>
  </si>
  <si>
    <t>Enter the Age-adjusted Mortality rates (Current) for your registry for Black Males and Black Females in column C.</t>
  </si>
  <si>
    <t>Enter the Age-adjusted Mortality rates (Reference) for your registry for Black Males and Black Females in column J.</t>
  </si>
  <si>
    <t>Results:</t>
  </si>
  <si>
    <r>
      <t xml:space="preserve">The completeness of case ascertainment estimates are displayed on the </t>
    </r>
    <r>
      <rPr>
        <i/>
        <sz val="11"/>
        <rFont val="Times New Roman"/>
        <family val="1"/>
      </rPr>
      <t>Completeness Report</t>
    </r>
    <r>
      <rPr>
        <sz val="11"/>
        <rFont val="Times New Roman"/>
        <family val="1"/>
      </rPr>
      <t xml:space="preserve"> worksheet.</t>
    </r>
  </si>
  <si>
    <r>
      <t xml:space="preserve">The first set of numbers on the </t>
    </r>
    <r>
      <rPr>
        <i/>
        <sz val="11"/>
        <rFont val="Times New Roman"/>
        <family val="1"/>
      </rPr>
      <t>Completeness Report</t>
    </r>
    <r>
      <rPr>
        <sz val="11"/>
        <rFont val="Times New Roman"/>
        <family val="1"/>
      </rPr>
      <t xml:space="preserve"> worksheet shows the completeness estimates adjusted for the</t>
    </r>
  </si>
  <si>
    <t>reference mortality.  These figures are for:</t>
  </si>
  <si>
    <r>
      <t xml:space="preserve">Whites, as calculated on the </t>
    </r>
    <r>
      <rPr>
        <i/>
        <sz val="11"/>
        <rFont val="Times New Roman"/>
        <family val="1"/>
      </rPr>
      <t>Whites</t>
    </r>
    <r>
      <rPr>
        <sz val="11"/>
        <rFont val="Times New Roman"/>
        <family val="1"/>
      </rPr>
      <t xml:space="preserve"> and </t>
    </r>
    <r>
      <rPr>
        <i/>
        <sz val="11"/>
        <rFont val="Times New Roman"/>
        <family val="1"/>
      </rPr>
      <t>RegistryInfo</t>
    </r>
    <r>
      <rPr>
        <sz val="11"/>
        <rFont val="Times New Roman"/>
        <family val="1"/>
      </rPr>
      <t xml:space="preserve"> worksheets</t>
    </r>
  </si>
  <si>
    <r>
      <t xml:space="preserve">Blacks, as calculated on the </t>
    </r>
    <r>
      <rPr>
        <i/>
        <sz val="11"/>
        <rFont val="Times New Roman"/>
        <family val="1"/>
      </rPr>
      <t>Blacks</t>
    </r>
    <r>
      <rPr>
        <sz val="11"/>
        <rFont val="Times New Roman"/>
        <family val="1"/>
      </rPr>
      <t xml:space="preserve"> and </t>
    </r>
    <r>
      <rPr>
        <i/>
        <sz val="11"/>
        <rFont val="Times New Roman"/>
        <family val="1"/>
      </rPr>
      <t>RegistryInfo</t>
    </r>
    <r>
      <rPr>
        <sz val="11"/>
        <rFont val="Times New Roman"/>
        <family val="1"/>
      </rPr>
      <t xml:space="preserve"> worksheets</t>
    </r>
  </si>
  <si>
    <t>Race proportional completeness estimates</t>
  </si>
  <si>
    <r>
      <t xml:space="preserve">The second set of numbers on the </t>
    </r>
    <r>
      <rPr>
        <i/>
        <sz val="11"/>
        <rFont val="Times New Roman"/>
        <family val="1"/>
      </rPr>
      <t>Completeness Report</t>
    </r>
    <r>
      <rPr>
        <sz val="11"/>
        <rFont val="Times New Roman"/>
        <family val="1"/>
      </rPr>
      <t xml:space="preserve"> worksheet show the final completeness estimates results, adjusted for</t>
    </r>
  </si>
  <si>
    <t xml:space="preserve">reference mortality and duplicate records. </t>
  </si>
  <si>
    <t>For registries with no information on Race, the results for All Races is shown in the area for Whites.</t>
  </si>
  <si>
    <t>Questions:</t>
  </si>
  <si>
    <t>Questions regarding this spreadsheet should be directed to the NAACCR Executive Office.</t>
  </si>
  <si>
    <t>If you want to save results for each year, do the calculations and then save the spreadsheet</t>
  </si>
  <si>
    <t>Documentation for Worksheet Formulas</t>
  </si>
  <si>
    <t>Your State/Province/Area</t>
  </si>
  <si>
    <t>Race/Sex</t>
  </si>
  <si>
    <t>1994-98</t>
  </si>
  <si>
    <t>(1)</t>
  </si>
  <si>
    <t>(2)</t>
  </si>
  <si>
    <t>(3)=(1)/(2)</t>
  </si>
  <si>
    <t>(4)</t>
  </si>
  <si>
    <t>(5)</t>
  </si>
  <si>
    <t>(6)=(4)/(5)</t>
  </si>
  <si>
    <t>(7)=(6)*(2)</t>
  </si>
  <si>
    <t>(8)=[(1)/(7)]*100</t>
  </si>
  <si>
    <t>(9)</t>
  </si>
  <si>
    <t>(10)=(5)/(9)</t>
  </si>
  <si>
    <t>(11)</t>
  </si>
  <si>
    <t>(12)=(6)*(11)</t>
  </si>
  <si>
    <t>(13)=[(1)/(12)]*100</t>
  </si>
  <si>
    <t xml:space="preserve">        Current Mortality for Your State/Province/Area</t>
  </si>
  <si>
    <t xml:space="preserve">        Reference Mortality for Your State/Province/Area</t>
  </si>
  <si>
    <t xml:space="preserve">         Incidence Rates for Your State/Province/Area</t>
  </si>
  <si>
    <t>Sum of Race, Gender Weighted</t>
  </si>
  <si>
    <t>(14)</t>
  </si>
  <si>
    <t>Formula for Column (11) is as follows:</t>
  </si>
  <si>
    <t>If (10)&lt;=1</t>
  </si>
  <si>
    <t xml:space="preserve">    then (11)=(1-AdjHigh)*(2) + AdjHigh*(10)*(2)</t>
  </si>
  <si>
    <t xml:space="preserve">    else (11)=(1-AdjLow)*(2) + AdjLow*(10)*(2)</t>
  </si>
  <si>
    <r>
      <t xml:space="preserve">   where AdjHigh and AdjLow are the reference mortality adjustment terms given on the </t>
    </r>
    <r>
      <rPr>
        <i/>
        <sz val="10"/>
        <rFont val="Arial"/>
        <family val="2"/>
      </rPr>
      <t>Adjustment Info</t>
    </r>
    <r>
      <rPr>
        <sz val="10"/>
        <rFont val="Arial"/>
      </rPr>
      <t xml:space="preserve"> sheet.</t>
    </r>
  </si>
  <si>
    <t>Formula for Cell (14) is as follows:</t>
  </si>
  <si>
    <t xml:space="preserve">    (14) = ((SumOfRaceMaleCompleteness*RaceMalePop + SumOfRaceFemaleCompleteness*RaceFemalePop)/RacePop)/100</t>
  </si>
  <si>
    <r>
      <t xml:space="preserve">   where RaceMalePop and RaceFemalePop are race-specific populations for males and females from the </t>
    </r>
    <r>
      <rPr>
        <i/>
        <sz val="10"/>
        <rFont val="Arial"/>
        <family val="2"/>
      </rPr>
      <t xml:space="preserve">Populations by Race and Sex </t>
    </r>
    <r>
      <rPr>
        <sz val="10"/>
        <rFont val="Arial"/>
        <family val="2"/>
      </rPr>
      <t>sheet,</t>
    </r>
  </si>
  <si>
    <r>
      <t xml:space="preserve">   and RacePop is the race-specific population for males and females combined from the </t>
    </r>
    <r>
      <rPr>
        <i/>
        <sz val="10"/>
        <rFont val="Arial"/>
        <family val="2"/>
      </rPr>
      <t>Populations by Race</t>
    </r>
    <r>
      <rPr>
        <sz val="10"/>
        <rFont val="Arial"/>
        <family val="2"/>
      </rPr>
      <t xml:space="preserve"> sheet.</t>
    </r>
  </si>
  <si>
    <t>Interim Completeness Estimates, Adjusted for Reference Mortality</t>
  </si>
  <si>
    <t>(A)</t>
  </si>
  <si>
    <t>(B)</t>
  </si>
  <si>
    <t>(C)</t>
  </si>
  <si>
    <t>(D)</t>
  </si>
  <si>
    <t>(E)</t>
  </si>
  <si>
    <t>(F)</t>
  </si>
  <si>
    <t>Final Completeness Estimates, Adjusted for Reference Mortality and Duplicates</t>
  </si>
  <si>
    <t>(AA)</t>
  </si>
  <si>
    <t>(BB)</t>
  </si>
  <si>
    <t>(CC)=(E)</t>
  </si>
  <si>
    <t>Race Proportional Completeness Estimates, Adjusted for Reference Mortality</t>
  </si>
  <si>
    <t>(DD)</t>
  </si>
  <si>
    <t>(EE)=(AA)/(CC)</t>
  </si>
  <si>
    <t>(FF)=(DD)/(EE)</t>
  </si>
  <si>
    <t>Formula for Row (DD) is as follows:</t>
  </si>
  <si>
    <t>(DD)=(AA) - [(AA)*(BB)]</t>
  </si>
  <si>
    <t>Target Mortality Higher Than Reference Mortality (AdjHigh)</t>
  </si>
  <si>
    <t>Target Mortality Lower Than Reference Mortality (AdjLow)</t>
  </si>
  <si>
    <t>Start Year</t>
  </si>
  <si>
    <t>End Year</t>
  </si>
  <si>
    <t>Types of Rates</t>
  </si>
  <si>
    <t>Registry Case Year</t>
  </si>
  <si>
    <t>Registry Mortality (Current) Years</t>
  </si>
  <si>
    <t>Registry Mortality (Reference) Years</t>
  </si>
  <si>
    <t>SEER11 Incidence Reference Years</t>
  </si>
  <si>
    <t>US Mortality Reference Years</t>
  </si>
  <si>
    <t>White</t>
  </si>
  <si>
    <t>Black</t>
  </si>
  <si>
    <t>Male</t>
  </si>
  <si>
    <t>Female</t>
  </si>
  <si>
    <t>SEER11 Incidence Rates, US Mortality Rates, and Rate Ratios</t>
  </si>
  <si>
    <t>SEER11</t>
  </si>
  <si>
    <t>US Mort</t>
  </si>
  <si>
    <t>SEER/US</t>
  </si>
  <si>
    <t>1991-95</t>
  </si>
  <si>
    <t>1992-96</t>
  </si>
  <si>
    <t>1993-97</t>
  </si>
  <si>
    <t>1995-99</t>
  </si>
  <si>
    <t>1996-2000</t>
  </si>
  <si>
    <t>Gender</t>
  </si>
  <si>
    <t>Race</t>
  </si>
  <si>
    <t>Cancer</t>
  </si>
  <si>
    <t xml:space="preserve">  White</t>
  </si>
  <si>
    <t xml:space="preserve">* The cancer rates for Male Prostate (Whites and Blacks) and Melanomas of the Skin (Blacks) are </t>
  </si>
  <si>
    <t xml:space="preserve">   not included in the completeness estimates.</t>
  </si>
  <si>
    <t xml:space="preserve">  Black</t>
  </si>
  <si>
    <t>with a new name, e.g., complete99PA.xls</t>
  </si>
  <si>
    <r>
      <t xml:space="preserve">Data for Columns (A), (B), (C), (D), and (F) are from the </t>
    </r>
    <r>
      <rPr>
        <i/>
        <sz val="10"/>
        <rFont val="Arial"/>
        <family val="2"/>
      </rPr>
      <t>Whites, Blacks</t>
    </r>
    <r>
      <rPr>
        <sz val="10"/>
        <rFont val="Arial"/>
        <family val="2"/>
      </rPr>
      <t xml:space="preserve"> and </t>
    </r>
    <r>
      <rPr>
        <i/>
        <sz val="10"/>
        <rFont val="Arial"/>
        <family val="2"/>
      </rPr>
      <t>RegistryInfo</t>
    </r>
    <r>
      <rPr>
        <sz val="10"/>
        <rFont val="Arial"/>
        <family val="2"/>
      </rPr>
      <t xml:space="preserve"> worksheets.</t>
    </r>
  </si>
  <si>
    <t>Formula for Column (E) is (E)=[(A)*(B) + (C)*(D)]/(F)</t>
  </si>
  <si>
    <t>Formula for Column (F) is (B) + (D)</t>
  </si>
  <si>
    <t>Nunavut</t>
  </si>
  <si>
    <t>1997-2001</t>
  </si>
  <si>
    <t>2000-01</t>
  </si>
  <si>
    <t>1997-01</t>
  </si>
  <si>
    <t>Total Incidence Cases, 2001</t>
  </si>
  <si>
    <t>2001 Adjusted Total Incidence Cases</t>
  </si>
  <si>
    <t>2001 Expected Incidence Cases</t>
  </si>
  <si>
    <t>Final Completeness Estimate for 2001, Your State/Province/Area,</t>
  </si>
  <si>
    <t>Bladder (including in situ)</t>
  </si>
  <si>
    <t>Hodgkin Lymphoma</t>
  </si>
  <si>
    <t>Non-Hodgkin Lymphoma</t>
  </si>
  <si>
    <t>Worksheet for Completeness of Case Ascertainment, version 2.2.b</t>
  </si>
  <si>
    <t>Rates are per 100,000 and age-adjusted to the 2000 US Std Population (19 age groups - Census P25-1130) standard.</t>
  </si>
  <si>
    <t>1998-2002</t>
  </si>
  <si>
    <t>Sites are based on SEER Site Recode with Kaposi and mesothelioma</t>
  </si>
  <si>
    <t>Compute the age-adjusted cancer incidence and cancer mortality rates (adjusted to US Std Population (19 age groups - Census P25-1130) standard) for your registry for:</t>
  </si>
  <si>
    <t xml:space="preserve">   Rates are per 100,000 and age-adjusted to the 2000 US Std Population (19 age groups - Census P25-1130) standard.</t>
  </si>
  <si>
    <t xml:space="preserve">   Sites are based on SEER Site Recode with Kaposi and mesothelioma</t>
  </si>
  <si>
    <t>Unadjusted Results</t>
  </si>
  <si>
    <t>Unadjusted</t>
  </si>
  <si>
    <t>ALL</t>
  </si>
  <si>
    <t>1999</t>
  </si>
  <si>
    <t>2000</t>
  </si>
  <si>
    <t>1995</t>
  </si>
  <si>
    <t>1996</t>
  </si>
  <si>
    <t>1997</t>
  </si>
  <si>
    <t>1998</t>
  </si>
  <si>
    <t>2001</t>
  </si>
  <si>
    <t>2002</t>
  </si>
  <si>
    <t>1999-2003</t>
  </si>
  <si>
    <t>SEER 11</t>
  </si>
  <si>
    <t>US MORT</t>
  </si>
  <si>
    <t>RATE</t>
  </si>
  <si>
    <t>RATIO</t>
  </si>
  <si>
    <t>Puerto Rico</t>
  </si>
  <si>
    <t>Northwest Territories</t>
  </si>
  <si>
    <t>2000-2004</t>
  </si>
  <si>
    <t>Oral Cavity and Pharynx</t>
  </si>
  <si>
    <t xml:space="preserve">  The cancer rates for Female Breast (Whites and Blacks)  are not included in the completeness estimates.</t>
  </si>
  <si>
    <t>Breast*</t>
  </si>
  <si>
    <t>Melanomas of the Skin*</t>
  </si>
  <si>
    <t xml:space="preserve">   To include rates for prostate, melanomas, or breast it is necessary to unprotect the worksheet (go to tools, protection, unprotect worksheet)</t>
  </si>
  <si>
    <t>2001-2005</t>
  </si>
  <si>
    <t>Date of last spreadsheet update:  June 2008</t>
  </si>
  <si>
    <t>2005</t>
  </si>
  <si>
    <t>2002-2006</t>
  </si>
  <si>
    <t>1991-1995</t>
  </si>
  <si>
    <t>1992-1996</t>
  </si>
  <si>
    <t>1993-1997</t>
  </si>
  <si>
    <t>1994-1998</t>
  </si>
  <si>
    <t>1995-1999</t>
  </si>
  <si>
    <t>Northwest Territory</t>
  </si>
  <si>
    <t>2003-2007</t>
  </si>
  <si>
    <t>2004-2008</t>
  </si>
  <si>
    <r>
      <t>Sources:</t>
    </r>
    <r>
      <rPr>
        <sz val="10"/>
        <rFont val="Arial"/>
      </rPr>
      <t xml:space="preserve">  </t>
    </r>
    <r>
      <rPr>
        <u/>
        <sz val="10"/>
        <rFont val="Arial"/>
        <family val="2"/>
      </rPr>
      <t>United States</t>
    </r>
    <r>
      <rPr>
        <sz val="10"/>
        <rFont val="Arial"/>
        <family val="2"/>
      </rPr>
      <t xml:space="preserve">:  </t>
    </r>
    <r>
      <rPr>
        <sz val="10"/>
        <rFont val="Arial"/>
      </rPr>
      <t xml:space="preserve">US Census Bureau as of March 2010;  </t>
    </r>
    <r>
      <rPr>
        <u/>
        <sz val="10"/>
        <rFont val="Arial"/>
        <family val="2"/>
      </rPr>
      <t>Canada</t>
    </r>
    <r>
      <rPr>
        <sz val="10"/>
        <rFont val="Arial"/>
      </rPr>
      <t>:  StatCanada as of December 2010</t>
    </r>
  </si>
  <si>
    <t xml:space="preserve">Sources:  Incidence:  NCI SEER Program, December 2010 Data Submission;  Mortality:  NCHS as of April 2011;  </t>
  </si>
  <si>
    <t xml:space="preserve">                Populations:  US Census Bureau as of December 2010</t>
  </si>
  <si>
    <t>2005-2009</t>
  </si>
  <si>
    <t>State and Provincial Populations, by Race and Sex, 1995 through 2009</t>
  </si>
  <si>
    <t>2006-2010</t>
  </si>
  <si>
    <t xml:space="preserve">   CA - Greater California</t>
  </si>
  <si>
    <t>MaleWhiteOral Cavity and Pharynx</t>
  </si>
  <si>
    <t>MaleWhiteEsophagus</t>
  </si>
  <si>
    <t>MaleWhiteStomach</t>
  </si>
  <si>
    <t>MaleWhiteColon and Rectum</t>
  </si>
  <si>
    <t>MaleWhiteLiver</t>
  </si>
  <si>
    <t>MaleWhitePancreas</t>
  </si>
  <si>
    <t>MaleWhiteLung and Bronchus</t>
  </si>
  <si>
    <t>MaleWhiteMelanomas of the Skin</t>
  </si>
  <si>
    <t>MaleWhiteBreast</t>
  </si>
  <si>
    <t>MaleWhiteProstate*</t>
  </si>
  <si>
    <t>MaleWhiteBladder (including in situ)</t>
  </si>
  <si>
    <t>MaleWhiteKidney and Renal Pelvis</t>
  </si>
  <si>
    <t>MaleWhiteBrain and Other Nervous System</t>
  </si>
  <si>
    <t>MaleWhiteHodgkin Lymphoma</t>
  </si>
  <si>
    <t>MaleWhiteNon-Hodgkin Lymphoma</t>
  </si>
  <si>
    <t>MaleWhiteMultiple Myeloma</t>
  </si>
  <si>
    <t>MaleWhiteLeukemias</t>
  </si>
  <si>
    <t>FemaleWhiteOral Cavity and Pharynx</t>
  </si>
  <si>
    <t>FemaleWhiteEsophagus</t>
  </si>
  <si>
    <t>FemaleWhiteStomach</t>
  </si>
  <si>
    <t>FemaleWhiteColon and Rectum</t>
  </si>
  <si>
    <t>FemaleWhiteLiver</t>
  </si>
  <si>
    <t>FemaleWhitePancreas</t>
  </si>
  <si>
    <t>FemaleWhiteLung and Bronchus</t>
  </si>
  <si>
    <t>FemaleWhiteMelanomas of the Skin</t>
  </si>
  <si>
    <t>FemaleWhiteBreast</t>
  </si>
  <si>
    <t>FemaleWhiteCervix</t>
  </si>
  <si>
    <t>FemaleWhiteCorpus and Uterus, NOS</t>
  </si>
  <si>
    <t>FemaleWhiteOvary</t>
  </si>
  <si>
    <t>FemaleWhiteBladder (including in situ)</t>
  </si>
  <si>
    <t>FemaleWhiteKidney and Renal Pelvis</t>
  </si>
  <si>
    <t>FemaleWhiteBrain and Other Nervous System</t>
  </si>
  <si>
    <t>FemaleWhiteHodgkin Lymphoma</t>
  </si>
  <si>
    <t>FemaleWhiteNon-Hodgkin Lymphoma</t>
  </si>
  <si>
    <t>FemaleWhiteMultiple Myeloma</t>
  </si>
  <si>
    <t>FemaleWhiteLeukemias</t>
  </si>
  <si>
    <t>MaleBlackOral Cavity and Pharynx</t>
  </si>
  <si>
    <t>MaleBlackEsophagus</t>
  </si>
  <si>
    <t>MaleBlackStomach</t>
  </si>
  <si>
    <t>MaleBlackColon and Rectum</t>
  </si>
  <si>
    <t>MaleBlackLiver</t>
  </si>
  <si>
    <t>MaleBlackPancreas</t>
  </si>
  <si>
    <t>MaleBlackLung and Bronchus</t>
  </si>
  <si>
    <t>MaleBlackMelanomas of the Skin</t>
  </si>
  <si>
    <t>MaleBlackBreast</t>
  </si>
  <si>
    <t>MaleBlackProstate*</t>
  </si>
  <si>
    <t>MaleBlackBladder (including in situ)</t>
  </si>
  <si>
    <t>MaleBlackKidney and Renal Pelvis</t>
  </si>
  <si>
    <t>MaleBlackBrain and Other Nervous System</t>
  </si>
  <si>
    <t>MaleBlackHodgkin Lymphoma</t>
  </si>
  <si>
    <t>MaleBlackNon-Hodgkin Lymphoma</t>
  </si>
  <si>
    <t>MaleBlackMultiple Myeloma</t>
  </si>
  <si>
    <t>MaleBlackLeukemias</t>
  </si>
  <si>
    <t>FemaleBlackOral Cavity and Pharynx</t>
  </si>
  <si>
    <t>FemaleBlackEsophagus</t>
  </si>
  <si>
    <t>FemaleBlackStomach</t>
  </si>
  <si>
    <t>FemaleBlackColon and Rectum</t>
  </si>
  <si>
    <t>FemaleBlackLiver</t>
  </si>
  <si>
    <t>FemaleBlackPancreas</t>
  </si>
  <si>
    <t>FemaleBlackLung and Bronchus</t>
  </si>
  <si>
    <t>FemaleBlackMelanomas of the Skin</t>
  </si>
  <si>
    <t>FemaleBlackBreast</t>
  </si>
  <si>
    <t>FemaleBlackCervix</t>
  </si>
  <si>
    <t>FemaleBlackCorpus and Uterus, NOS</t>
  </si>
  <si>
    <t>FemaleBlackOvary</t>
  </si>
  <si>
    <t>FemaleBlackBladder (including in situ)</t>
  </si>
  <si>
    <t>FemaleBlackKidney and Renal Pelvis</t>
  </si>
  <si>
    <t>FemaleBlackBrain and Other Nervous System</t>
  </si>
  <si>
    <t>FemaleBlackHodgkin Lymphoma</t>
  </si>
  <si>
    <t>FemaleBlackNon-Hodgkin Lymphoma</t>
  </si>
  <si>
    <t>FemaleBlackMultiple Myeloma</t>
  </si>
  <si>
    <t>FemaleBlackLeukemias</t>
  </si>
</sst>
</file>

<file path=xl/styles.xml><?xml version="1.0" encoding="utf-8"?>
<styleSheet xmlns="http://schemas.openxmlformats.org/spreadsheetml/2006/main">
  <numFmts count="8">
    <numFmt numFmtId="43" formatCode="_(* #,##0.00_);_(* \(#,##0.00\);_(* &quot;-&quot;??_);_(@_)"/>
    <numFmt numFmtId="164" formatCode="0.0"/>
    <numFmt numFmtId="165" formatCode="0.0000"/>
    <numFmt numFmtId="166" formatCode="_(* #,##0_);_(* \(#,##0\);_(* &quot;-&quot;??_);_(@_)"/>
    <numFmt numFmtId="167" formatCode="0.0%"/>
    <numFmt numFmtId="168" formatCode="0.0&quot;%&quot;"/>
    <numFmt numFmtId="169" formatCode="00"/>
    <numFmt numFmtId="170" formatCode="0.00000"/>
  </numFmts>
  <fonts count="2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b/>
      <sz val="14"/>
      <name val="Arial"/>
      <family val="2"/>
    </font>
    <font>
      <sz val="11"/>
      <name val="Times New Roman"/>
      <family val="1"/>
    </font>
    <font>
      <i/>
      <sz val="11"/>
      <name val="Times New Roman"/>
      <family val="1"/>
    </font>
    <font>
      <u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2"/>
      <color indexed="9"/>
      <name val="Arial"/>
      <family val="2"/>
    </font>
    <font>
      <sz val="10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265">
    <xf numFmtId="0" fontId="0" fillId="0" borderId="0" xfId="0"/>
    <xf numFmtId="0" fontId="3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164" fontId="4" fillId="0" borderId="0" xfId="0" applyNumberFormat="1" applyFont="1" applyBorder="1" applyAlignment="1">
      <alignment horizontal="left"/>
    </xf>
    <xf numFmtId="165" fontId="4" fillId="0" borderId="0" xfId="0" applyNumberFormat="1" applyFont="1" applyBorder="1" applyAlignment="1">
      <alignment horizontal="left"/>
    </xf>
    <xf numFmtId="164" fontId="4" fillId="0" borderId="0" xfId="0" applyNumberFormat="1" applyFont="1" applyBorder="1" applyAlignment="1">
      <alignment horizontal="right"/>
    </xf>
    <xf numFmtId="164" fontId="4" fillId="0" borderId="4" xfId="0" applyNumberFormat="1" applyFont="1" applyBorder="1" applyAlignment="1">
      <alignment horizontal="right"/>
    </xf>
    <xf numFmtId="165" fontId="4" fillId="0" borderId="0" xfId="0" applyNumberFormat="1" applyFont="1" applyBorder="1" applyAlignment="1">
      <alignment horizontal="right"/>
    </xf>
    <xf numFmtId="164" fontId="4" fillId="0" borderId="5" xfId="0" applyNumberFormat="1" applyFont="1" applyBorder="1" applyAlignment="1">
      <alignment horizontal="right"/>
    </xf>
    <xf numFmtId="164" fontId="4" fillId="0" borderId="6" xfId="0" applyNumberFormat="1" applyFont="1" applyBorder="1" applyAlignment="1">
      <alignment horizontal="right"/>
    </xf>
    <xf numFmtId="164" fontId="4" fillId="0" borderId="7" xfId="0" applyNumberFormat="1" applyFont="1" applyBorder="1" applyAlignment="1">
      <alignment horizontal="right"/>
    </xf>
    <xf numFmtId="165" fontId="4" fillId="0" borderId="5" xfId="0" applyNumberFormat="1" applyFont="1" applyBorder="1" applyAlignment="1">
      <alignment horizontal="right"/>
    </xf>
    <xf numFmtId="164" fontId="4" fillId="0" borderId="2" xfId="0" applyNumberFormat="1" applyFont="1" applyBorder="1" applyAlignment="1">
      <alignment horizontal="righ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164" fontId="4" fillId="0" borderId="11" xfId="0" applyNumberFormat="1" applyFont="1" applyBorder="1" applyAlignment="1">
      <alignment horizontal="right"/>
    </xf>
    <xf numFmtId="0" fontId="5" fillId="0" borderId="0" xfId="0" applyFont="1"/>
    <xf numFmtId="164" fontId="3" fillId="0" borderId="0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5" fontId="3" fillId="0" borderId="0" xfId="0" applyNumberFormat="1" applyFont="1" applyBorder="1" applyAlignment="1">
      <alignment horizontal="center"/>
    </xf>
    <xf numFmtId="165" fontId="3" fillId="0" borderId="5" xfId="0" applyNumberFormat="1" applyFont="1" applyBorder="1" applyAlignment="1">
      <alignment horizontal="center"/>
    </xf>
    <xf numFmtId="0" fontId="3" fillId="0" borderId="12" xfId="0" applyNumberFormat="1" applyFont="1" applyBorder="1" applyAlignment="1">
      <alignment horizontal="center"/>
    </xf>
    <xf numFmtId="164" fontId="3" fillId="0" borderId="13" xfId="0" applyNumberFormat="1" applyFont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2" fontId="4" fillId="0" borderId="0" xfId="0" applyNumberFormat="1" applyFont="1" applyBorder="1" applyAlignment="1">
      <alignment horizontal="right"/>
    </xf>
    <xf numFmtId="2" fontId="4" fillId="0" borderId="5" xfId="0" applyNumberFormat="1" applyFont="1" applyBorder="1" applyAlignment="1">
      <alignment horizontal="right"/>
    </xf>
    <xf numFmtId="164" fontId="4" fillId="0" borderId="14" xfId="0" applyNumberFormat="1" applyFont="1" applyBorder="1" applyAlignment="1">
      <alignment horizontal="right"/>
    </xf>
    <xf numFmtId="164" fontId="4" fillId="0" borderId="15" xfId="0" applyNumberFormat="1" applyFont="1" applyBorder="1" applyAlignment="1">
      <alignment horizontal="right"/>
    </xf>
    <xf numFmtId="164" fontId="4" fillId="0" borderId="16" xfId="0" applyNumberFormat="1" applyFont="1" applyBorder="1" applyAlignment="1">
      <alignment horizontal="righ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43" fontId="4" fillId="0" borderId="3" xfId="1" applyFont="1" applyBorder="1" applyAlignment="1">
      <alignment horizontal="right"/>
    </xf>
    <xf numFmtId="43" fontId="4" fillId="0" borderId="7" xfId="1" applyFont="1" applyBorder="1" applyAlignment="1">
      <alignment horizontal="right"/>
    </xf>
    <xf numFmtId="2" fontId="4" fillId="0" borderId="4" xfId="0" applyNumberFormat="1" applyFont="1" applyBorder="1" applyAlignment="1">
      <alignment horizontal="right"/>
    </xf>
    <xf numFmtId="2" fontId="4" fillId="0" borderId="6" xfId="0" applyNumberFormat="1" applyFont="1" applyBorder="1" applyAlignment="1">
      <alignment horizontal="right"/>
    </xf>
    <xf numFmtId="43" fontId="4" fillId="0" borderId="14" xfId="1" applyFont="1" applyBorder="1" applyAlignment="1">
      <alignment horizontal="right"/>
    </xf>
    <xf numFmtId="43" fontId="4" fillId="0" borderId="15" xfId="1" applyFont="1" applyBorder="1" applyAlignment="1">
      <alignment horizontal="right"/>
    </xf>
    <xf numFmtId="43" fontId="4" fillId="0" borderId="16" xfId="1" applyFont="1" applyBorder="1" applyAlignment="1">
      <alignment horizontal="right"/>
    </xf>
    <xf numFmtId="43" fontId="4" fillId="0" borderId="2" xfId="1" applyFont="1" applyBorder="1" applyAlignment="1">
      <alignment horizontal="right"/>
    </xf>
    <xf numFmtId="43" fontId="4" fillId="0" borderId="12" xfId="1" applyFont="1" applyBorder="1" applyAlignment="1">
      <alignment horizontal="right"/>
    </xf>
    <xf numFmtId="43" fontId="4" fillId="0" borderId="13" xfId="1" applyFont="1" applyBorder="1" applyAlignment="1">
      <alignment horizontal="right"/>
    </xf>
    <xf numFmtId="43" fontId="4" fillId="0" borderId="5" xfId="1" applyFont="1" applyBorder="1" applyAlignment="1">
      <alignment horizontal="right"/>
    </xf>
    <xf numFmtId="43" fontId="4" fillId="0" borderId="0" xfId="1" applyFont="1" applyBorder="1" applyAlignment="1">
      <alignment horizontal="right"/>
    </xf>
    <xf numFmtId="43" fontId="4" fillId="0" borderId="0" xfId="1" applyNumberFormat="1" applyFont="1" applyBorder="1" applyAlignment="1">
      <alignment horizontal="right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4" fillId="0" borderId="10" xfId="0" applyFont="1" applyBorder="1" applyAlignment="1">
      <alignment horizontal="left"/>
    </xf>
    <xf numFmtId="49" fontId="4" fillId="0" borderId="12" xfId="0" applyNumberFormat="1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167" fontId="0" fillId="0" borderId="18" xfId="2" applyNumberFormat="1" applyFont="1" applyBorder="1" applyAlignment="1">
      <alignment horizontal="center"/>
    </xf>
    <xf numFmtId="166" fontId="0" fillId="0" borderId="19" xfId="1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1" applyNumberFormat="1" applyFont="1" applyAlignment="1">
      <alignment horizontal="center"/>
    </xf>
    <xf numFmtId="49" fontId="7" fillId="0" borderId="0" xfId="2" applyNumberFormat="1" applyFont="1" applyAlignment="1">
      <alignment horizontal="center"/>
    </xf>
    <xf numFmtId="0" fontId="7" fillId="0" borderId="0" xfId="0" applyFont="1"/>
    <xf numFmtId="49" fontId="0" fillId="0" borderId="0" xfId="1" applyNumberFormat="1" applyFont="1" applyFill="1" applyAlignment="1" applyProtection="1">
      <alignment horizontal="center"/>
    </xf>
    <xf numFmtId="49" fontId="0" fillId="0" borderId="0" xfId="2" applyNumberFormat="1" applyFont="1" applyFill="1" applyAlignment="1" applyProtection="1">
      <alignment horizontal="center"/>
    </xf>
    <xf numFmtId="0" fontId="8" fillId="0" borderId="0" xfId="0" applyFont="1"/>
    <xf numFmtId="166" fontId="8" fillId="0" borderId="0" xfId="1" applyNumberFormat="1" applyFont="1" applyFill="1" applyProtection="1"/>
    <xf numFmtId="0" fontId="9" fillId="0" borderId="0" xfId="0" applyFont="1" applyBorder="1"/>
    <xf numFmtId="0" fontId="8" fillId="0" borderId="0" xfId="0" applyFont="1" applyBorder="1"/>
    <xf numFmtId="0" fontId="8" fillId="2" borderId="0" xfId="0" applyFont="1" applyFill="1" applyProtection="1">
      <protection locked="0"/>
    </xf>
    <xf numFmtId="0" fontId="8" fillId="2" borderId="0" xfId="0" applyFont="1" applyFill="1" applyAlignment="1" applyProtection="1">
      <alignment horizontal="right"/>
      <protection locked="0"/>
    </xf>
    <xf numFmtId="166" fontId="8" fillId="2" borderId="0" xfId="1" applyNumberFormat="1" applyFont="1" applyFill="1" applyProtection="1">
      <protection locked="0"/>
    </xf>
    <xf numFmtId="0" fontId="10" fillId="0" borderId="0" xfId="0" applyFont="1"/>
    <xf numFmtId="49" fontId="10" fillId="0" borderId="0" xfId="0" applyNumberFormat="1" applyFont="1"/>
    <xf numFmtId="49" fontId="11" fillId="0" borderId="0" xfId="0" applyNumberFormat="1" applyFont="1"/>
    <xf numFmtId="0" fontId="11" fillId="0" borderId="0" xfId="0" applyFont="1"/>
    <xf numFmtId="49" fontId="12" fillId="0" borderId="0" xfId="0" applyNumberFormat="1" applyFont="1"/>
    <xf numFmtId="49" fontId="4" fillId="3" borderId="12" xfId="0" applyNumberFormat="1" applyFont="1" applyFill="1" applyBorder="1" applyAlignment="1">
      <alignment horizontal="center"/>
    </xf>
    <xf numFmtId="49" fontId="4" fillId="3" borderId="0" xfId="0" applyNumberFormat="1" applyFont="1" applyFill="1" applyBorder="1" applyAlignment="1">
      <alignment horizontal="center"/>
    </xf>
    <xf numFmtId="2" fontId="4" fillId="0" borderId="0" xfId="0" applyNumberFormat="1" applyFont="1" applyBorder="1" applyAlignment="1">
      <alignment horizontal="left"/>
    </xf>
    <xf numFmtId="0" fontId="13" fillId="0" borderId="0" xfId="0" applyFont="1" applyAlignment="1"/>
    <xf numFmtId="0" fontId="11" fillId="0" borderId="5" xfId="0" applyFont="1" applyBorder="1" applyAlignment="1">
      <alignment horizontal="center"/>
    </xf>
    <xf numFmtId="0" fontId="11" fillId="0" borderId="5" xfId="0" applyFont="1" applyBorder="1"/>
    <xf numFmtId="0" fontId="13" fillId="0" borderId="0" xfId="0" applyFont="1"/>
    <xf numFmtId="49" fontId="14" fillId="0" borderId="0" xfId="0" applyNumberFormat="1" applyFont="1"/>
    <xf numFmtId="0" fontId="9" fillId="0" borderId="0" xfId="0" applyFont="1"/>
    <xf numFmtId="167" fontId="13" fillId="0" borderId="3" xfId="2" applyNumberFormat="1" applyFont="1" applyBorder="1"/>
    <xf numFmtId="166" fontId="10" fillId="0" borderId="0" xfId="1" applyNumberFormat="1" applyFont="1" applyFill="1" applyProtection="1"/>
    <xf numFmtId="167" fontId="10" fillId="0" borderId="0" xfId="0" applyNumberFormat="1" applyFont="1"/>
    <xf numFmtId="166" fontId="10" fillId="0" borderId="0" xfId="1" applyNumberFormat="1" applyFont="1"/>
    <xf numFmtId="0" fontId="0" fillId="0" borderId="0" xfId="0" applyBorder="1"/>
    <xf numFmtId="49" fontId="7" fillId="0" borderId="0" xfId="0" applyNumberFormat="1" applyFont="1"/>
    <xf numFmtId="0" fontId="10" fillId="0" borderId="20" xfId="0" applyFont="1" applyBorder="1" applyAlignment="1">
      <alignment horizontal="right"/>
    </xf>
    <xf numFmtId="0" fontId="10" fillId="0" borderId="6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166" fontId="8" fillId="0" borderId="21" xfId="1" applyNumberFormat="1" applyFont="1" applyBorder="1" applyAlignment="1">
      <alignment horizontal="right"/>
    </xf>
    <xf numFmtId="0" fontId="10" fillId="0" borderId="14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167" fontId="9" fillId="0" borderId="22" xfId="2" applyNumberFormat="1" applyFont="1" applyBorder="1" applyAlignment="1">
      <alignment horizontal="right"/>
    </xf>
    <xf numFmtId="2" fontId="0" fillId="0" borderId="0" xfId="0" applyNumberFormat="1"/>
    <xf numFmtId="3" fontId="8" fillId="0" borderId="0" xfId="0" applyNumberFormat="1" applyFont="1"/>
    <xf numFmtId="2" fontId="3" fillId="0" borderId="0" xfId="0" applyNumberFormat="1" applyFont="1" applyBorder="1" applyAlignment="1">
      <alignment horizontal="center"/>
    </xf>
    <xf numFmtId="2" fontId="3" fillId="0" borderId="13" xfId="0" applyNumberFormat="1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2" fontId="4" fillId="0" borderId="2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43" fontId="4" fillId="0" borderId="23" xfId="1" applyFont="1" applyBorder="1" applyAlignment="1">
      <alignment horizontal="right"/>
    </xf>
    <xf numFmtId="164" fontId="4" fillId="0" borderId="20" xfId="0" applyNumberFormat="1" applyFont="1" applyBorder="1" applyAlignment="1">
      <alignment horizontal="right"/>
    </xf>
    <xf numFmtId="43" fontId="4" fillId="0" borderId="24" xfId="1" applyFont="1" applyBorder="1" applyAlignment="1">
      <alignment horizontal="right"/>
    </xf>
    <xf numFmtId="164" fontId="4" fillId="0" borderId="25" xfId="0" applyNumberFormat="1" applyFont="1" applyBorder="1" applyAlignment="1">
      <alignment horizontal="right"/>
    </xf>
    <xf numFmtId="0" fontId="5" fillId="0" borderId="0" xfId="0" applyFont="1" applyBorder="1"/>
    <xf numFmtId="3" fontId="4" fillId="0" borderId="0" xfId="0" applyNumberFormat="1" applyFont="1" applyBorder="1"/>
    <xf numFmtId="0" fontId="4" fillId="0" borderId="0" xfId="0" applyFont="1" applyBorder="1"/>
    <xf numFmtId="0" fontId="4" fillId="0" borderId="26" xfId="0" applyFont="1" applyBorder="1"/>
    <xf numFmtId="0" fontId="4" fillId="0" borderId="4" xfId="0" applyFont="1" applyBorder="1"/>
    <xf numFmtId="0" fontId="4" fillId="0" borderId="30" xfId="0" applyFont="1" applyBorder="1"/>
    <xf numFmtId="0" fontId="4" fillId="0" borderId="6" xfId="0" applyFont="1" applyBorder="1"/>
    <xf numFmtId="10" fontId="4" fillId="0" borderId="0" xfId="2" applyNumberFormat="1" applyFont="1" applyBorder="1" applyAlignment="1">
      <alignment horizontal="right"/>
    </xf>
    <xf numFmtId="0" fontId="9" fillId="0" borderId="0" xfId="0" applyFont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9" fillId="0" borderId="33" xfId="0" applyFont="1" applyBorder="1" applyAlignment="1">
      <alignment horizontal="centerContinuous"/>
    </xf>
    <xf numFmtId="0" fontId="13" fillId="0" borderId="0" xfId="0" applyFont="1" applyAlignment="1">
      <alignment horizontal="centerContinuous"/>
    </xf>
    <xf numFmtId="164" fontId="3" fillId="0" borderId="34" xfId="0" applyNumberFormat="1" applyFont="1" applyBorder="1" applyAlignment="1">
      <alignment horizontal="centerContinuous"/>
    </xf>
    <xf numFmtId="164" fontId="3" fillId="0" borderId="35" xfId="0" applyNumberFormat="1" applyFont="1" applyBorder="1" applyAlignment="1">
      <alignment horizontal="centerContinuous"/>
    </xf>
    <xf numFmtId="164" fontId="3" fillId="0" borderId="36" xfId="0" applyNumberFormat="1" applyFont="1" applyBorder="1" applyAlignment="1">
      <alignment horizontal="centerContinuous"/>
    </xf>
    <xf numFmtId="164" fontId="3" fillId="0" borderId="12" xfId="0" applyNumberFormat="1" applyFont="1" applyBorder="1" applyAlignment="1">
      <alignment horizontal="centerContinuous"/>
    </xf>
    <xf numFmtId="164" fontId="3" fillId="0" borderId="0" xfId="0" applyNumberFormat="1" applyFont="1" applyBorder="1" applyAlignment="1">
      <alignment horizontal="centerContinuous"/>
    </xf>
    <xf numFmtId="164" fontId="3" fillId="0" borderId="4" xfId="0" applyNumberFormat="1" applyFont="1" applyBorder="1" applyAlignment="1">
      <alignment horizontal="centerContinuous"/>
    </xf>
    <xf numFmtId="2" fontId="3" fillId="0" borderId="34" xfId="0" applyNumberFormat="1" applyFont="1" applyBorder="1" applyAlignment="1">
      <alignment horizontal="centerContinuous"/>
    </xf>
    <xf numFmtId="2" fontId="3" fillId="0" borderId="35" xfId="0" applyNumberFormat="1" applyFont="1" applyBorder="1" applyAlignment="1">
      <alignment horizontal="centerContinuous"/>
    </xf>
    <xf numFmtId="2" fontId="3" fillId="0" borderId="36" xfId="0" applyNumberFormat="1" applyFont="1" applyBorder="1" applyAlignment="1">
      <alignment horizontal="centerContinuous"/>
    </xf>
    <xf numFmtId="2" fontId="3" fillId="0" borderId="12" xfId="0" applyNumberFormat="1" applyFont="1" applyBorder="1" applyAlignment="1">
      <alignment horizontal="centerContinuous"/>
    </xf>
    <xf numFmtId="2" fontId="3" fillId="0" borderId="0" xfId="0" applyNumberFormat="1" applyFont="1" applyBorder="1" applyAlignment="1">
      <alignment horizontal="centerContinuous"/>
    </xf>
    <xf numFmtId="2" fontId="3" fillId="0" borderId="4" xfId="0" applyNumberFormat="1" applyFont="1" applyBorder="1" applyAlignment="1">
      <alignment horizontal="centerContinuous"/>
    </xf>
    <xf numFmtId="0" fontId="0" fillId="0" borderId="34" xfId="0" applyBorder="1" applyAlignment="1">
      <alignment horizontal="centerContinuous"/>
    </xf>
    <xf numFmtId="0" fontId="0" fillId="0" borderId="36" xfId="0" applyBorder="1" applyAlignment="1">
      <alignment horizontal="centerContinuous"/>
    </xf>
    <xf numFmtId="0" fontId="5" fillId="0" borderId="0" xfId="0" applyFont="1" applyBorder="1" applyAlignment="1"/>
    <xf numFmtId="0" fontId="13" fillId="0" borderId="0" xfId="0" applyFont="1" applyBorder="1" applyAlignment="1"/>
    <xf numFmtId="0" fontId="0" fillId="0" borderId="0" xfId="0" applyAlignment="1"/>
    <xf numFmtId="2" fontId="4" fillId="0" borderId="0" xfId="0" applyNumberFormat="1" applyFont="1"/>
    <xf numFmtId="10" fontId="4" fillId="0" borderId="0" xfId="1" applyNumberFormat="1" applyFont="1" applyBorder="1" applyAlignment="1"/>
    <xf numFmtId="49" fontId="4" fillId="0" borderId="6" xfId="1" applyNumberFormat="1" applyFont="1" applyBorder="1" applyAlignment="1">
      <alignment horizontal="center"/>
    </xf>
    <xf numFmtId="167" fontId="8" fillId="0" borderId="0" xfId="2" applyNumberFormat="1" applyFont="1" applyFill="1" applyProtection="1"/>
    <xf numFmtId="0" fontId="4" fillId="2" borderId="23" xfId="0" applyFont="1" applyFill="1" applyBorder="1" applyProtection="1">
      <protection locked="0"/>
    </xf>
    <xf numFmtId="0" fontId="4" fillId="2" borderId="0" xfId="0" applyFont="1" applyFill="1" applyProtection="1">
      <protection locked="0"/>
    </xf>
    <xf numFmtId="0" fontId="4" fillId="2" borderId="12" xfId="0" applyFont="1" applyFill="1" applyBorder="1" applyProtection="1">
      <protection locked="0"/>
    </xf>
    <xf numFmtId="0" fontId="4" fillId="2" borderId="13" xfId="0" applyFont="1" applyFill="1" applyBorder="1" applyProtection="1">
      <protection locked="0"/>
    </xf>
    <xf numFmtId="0" fontId="4" fillId="2" borderId="5" xfId="0" applyFont="1" applyFill="1" applyBorder="1" applyProtection="1">
      <protection locked="0"/>
    </xf>
    <xf numFmtId="167" fontId="4" fillId="0" borderId="5" xfId="1" applyNumberFormat="1" applyFont="1" applyBorder="1" applyAlignment="1"/>
    <xf numFmtId="2" fontId="4" fillId="2" borderId="23" xfId="0" applyNumberFormat="1" applyFont="1" applyFill="1" applyBorder="1" applyProtection="1">
      <protection locked="0"/>
    </xf>
    <xf numFmtId="2" fontId="4" fillId="2" borderId="12" xfId="0" applyNumberFormat="1" applyFont="1" applyFill="1" applyBorder="1" applyProtection="1">
      <protection locked="0"/>
    </xf>
    <xf numFmtId="2" fontId="4" fillId="2" borderId="13" xfId="0" applyNumberFormat="1" applyFont="1" applyFill="1" applyBorder="1" applyProtection="1">
      <protection locked="0"/>
    </xf>
    <xf numFmtId="2" fontId="3" fillId="0" borderId="12" xfId="0" applyNumberFormat="1" applyFont="1" applyBorder="1" applyAlignment="1">
      <alignment horizontal="center"/>
    </xf>
    <xf numFmtId="2" fontId="17" fillId="0" borderId="0" xfId="0" applyNumberFormat="1" applyFont="1"/>
    <xf numFmtId="3" fontId="0" fillId="0" borderId="0" xfId="0" applyNumberFormat="1"/>
    <xf numFmtId="1" fontId="8" fillId="0" borderId="0" xfId="0" applyNumberFormat="1" applyFont="1" applyAlignment="1">
      <alignment horizontal="right"/>
    </xf>
    <xf numFmtId="2" fontId="17" fillId="0" borderId="13" xfId="0" applyNumberFormat="1" applyFont="1" applyBorder="1"/>
    <xf numFmtId="43" fontId="4" fillId="0" borderId="2" xfId="1" applyNumberFormat="1" applyFont="1" applyBorder="1" applyAlignment="1">
      <alignment horizontal="right"/>
    </xf>
    <xf numFmtId="43" fontId="4" fillId="0" borderId="7" xfId="1" applyNumberFormat="1" applyFont="1" applyBorder="1" applyAlignment="1">
      <alignment horizontal="right"/>
    </xf>
    <xf numFmtId="43" fontId="4" fillId="0" borderId="5" xfId="1" applyNumberFormat="1" applyFont="1" applyBorder="1" applyAlignment="1">
      <alignment horizontal="right"/>
    </xf>
    <xf numFmtId="168" fontId="8" fillId="2" borderId="0" xfId="2" applyNumberFormat="1" applyFont="1" applyFill="1" applyProtection="1">
      <protection locked="0"/>
    </xf>
    <xf numFmtId="168" fontId="10" fillId="0" borderId="0" xfId="2" applyNumberFormat="1" applyFont="1" applyFill="1" applyProtection="1"/>
    <xf numFmtId="2" fontId="13" fillId="0" borderId="0" xfId="0" applyNumberFormat="1" applyFont="1"/>
    <xf numFmtId="2" fontId="5" fillId="0" borderId="0" xfId="0" applyNumberFormat="1" applyFont="1"/>
    <xf numFmtId="0" fontId="3" fillId="0" borderId="37" xfId="0" applyNumberFormat="1" applyFont="1" applyBorder="1"/>
    <xf numFmtId="0" fontId="3" fillId="0" borderId="37" xfId="0" applyNumberFormat="1" applyFont="1" applyBorder="1" applyAlignment="1">
      <alignment horizontal="center"/>
    </xf>
    <xf numFmtId="0" fontId="4" fillId="0" borderId="0" xfId="0" applyNumberFormat="1" applyFont="1"/>
    <xf numFmtId="169" fontId="10" fillId="0" borderId="0" xfId="0" applyNumberFormat="1" applyFont="1" applyAlignment="1">
      <alignment horizontal="center"/>
    </xf>
    <xf numFmtId="0" fontId="3" fillId="0" borderId="17" xfId="0" applyNumberFormat="1" applyFont="1" applyBorder="1" applyAlignment="1">
      <alignment horizontal="center"/>
    </xf>
    <xf numFmtId="164" fontId="3" fillId="0" borderId="17" xfId="0" applyNumberFormat="1" applyFont="1" applyBorder="1" applyAlignment="1">
      <alignment horizontal="center"/>
    </xf>
    <xf numFmtId="164" fontId="3" fillId="0" borderId="16" xfId="0" applyNumberFormat="1" applyFont="1" applyBorder="1" applyAlignment="1">
      <alignment horizontal="center"/>
    </xf>
    <xf numFmtId="164" fontId="3" fillId="0" borderId="15" xfId="0" applyNumberFormat="1" applyFont="1" applyBorder="1" applyAlignment="1">
      <alignment horizontal="center"/>
    </xf>
    <xf numFmtId="165" fontId="3" fillId="0" borderId="17" xfId="0" applyNumberFormat="1" applyFont="1" applyBorder="1" applyAlignment="1">
      <alignment horizontal="center"/>
    </xf>
    <xf numFmtId="165" fontId="3" fillId="0" borderId="15" xfId="0" applyNumberFormat="1" applyFont="1" applyBorder="1" applyAlignment="1">
      <alignment horizontal="center"/>
    </xf>
    <xf numFmtId="165" fontId="3" fillId="0" borderId="16" xfId="0" applyNumberFormat="1" applyFont="1" applyBorder="1" applyAlignment="1">
      <alignment horizontal="center"/>
    </xf>
    <xf numFmtId="0" fontId="3" fillId="0" borderId="15" xfId="0" applyNumberFormat="1" applyFont="1" applyBorder="1" applyAlignment="1">
      <alignment horizontal="center"/>
    </xf>
    <xf numFmtId="2" fontId="3" fillId="0" borderId="15" xfId="0" applyNumberFormat="1" applyFont="1" applyBorder="1" applyAlignment="1">
      <alignment horizontal="center"/>
    </xf>
    <xf numFmtId="2" fontId="3" fillId="0" borderId="16" xfId="0" applyNumberFormat="1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2" fontId="17" fillId="0" borderId="5" xfId="0" applyNumberFormat="1" applyFont="1" applyBorder="1"/>
    <xf numFmtId="0" fontId="13" fillId="0" borderId="0" xfId="0" applyFont="1" applyAlignment="1">
      <alignment horizontal="left"/>
    </xf>
    <xf numFmtId="0" fontId="3" fillId="0" borderId="3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4" fillId="0" borderId="43" xfId="0" applyFont="1" applyBorder="1"/>
    <xf numFmtId="0" fontId="0" fillId="0" borderId="0" xfId="0" applyFill="1"/>
    <xf numFmtId="0" fontId="4" fillId="0" borderId="0" xfId="0" applyFont="1" applyFill="1" applyBorder="1"/>
    <xf numFmtId="3" fontId="0" fillId="0" borderId="0" xfId="0" applyNumberFormat="1" applyFill="1"/>
    <xf numFmtId="0" fontId="4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Fill="1"/>
    <xf numFmtId="0" fontId="20" fillId="0" borderId="0" xfId="0" applyFont="1" applyFill="1"/>
    <xf numFmtId="0" fontId="21" fillId="0" borderId="0" xfId="0" applyFont="1"/>
    <xf numFmtId="0" fontId="10" fillId="0" borderId="15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2" fontId="4" fillId="0" borderId="0" xfId="0" applyNumberFormat="1" applyFont="1" applyFill="1"/>
    <xf numFmtId="0" fontId="4" fillId="0" borderId="0" xfId="0" applyNumberFormat="1" applyFont="1" applyFill="1"/>
    <xf numFmtId="0" fontId="4" fillId="0" borderId="0" xfId="0" applyNumberFormat="1" applyFont="1" applyFill="1" applyBorder="1" applyAlignment="1">
      <alignment horizontal="left"/>
    </xf>
    <xf numFmtId="2" fontId="0" fillId="0" borderId="0" xfId="0" applyNumberFormat="1" applyFill="1"/>
    <xf numFmtId="0" fontId="3" fillId="0" borderId="37" xfId="0" applyNumberFormat="1" applyFont="1" applyFill="1" applyBorder="1"/>
    <xf numFmtId="0" fontId="3" fillId="0" borderId="37" xfId="0" applyNumberFormat="1" applyFont="1" applyFill="1" applyBorder="1" applyAlignment="1">
      <alignment horizontal="center"/>
    </xf>
    <xf numFmtId="2" fontId="4" fillId="0" borderId="0" xfId="0" applyNumberFormat="1" applyFont="1" applyFill="1" applyBorder="1"/>
    <xf numFmtId="0" fontId="0" fillId="0" borderId="0" xfId="0" applyFill="1" applyBorder="1"/>
    <xf numFmtId="3" fontId="4" fillId="0" borderId="0" xfId="0" applyNumberFormat="1" applyFont="1" applyFill="1" applyBorder="1"/>
    <xf numFmtId="167" fontId="4" fillId="0" borderId="5" xfId="1" applyNumberFormat="1" applyFont="1" applyBorder="1" applyAlignment="1">
      <alignment horizontal="right"/>
    </xf>
    <xf numFmtId="43" fontId="4" fillId="0" borderId="12" xfId="1" applyFont="1" applyFill="1" applyBorder="1" applyProtection="1"/>
    <xf numFmtId="0" fontId="4" fillId="4" borderId="0" xfId="0" applyFont="1" applyFill="1" applyBorder="1" applyProtection="1"/>
    <xf numFmtId="0" fontId="4" fillId="4" borderId="0" xfId="0" applyFont="1" applyFill="1" applyProtection="1"/>
    <xf numFmtId="2" fontId="4" fillId="4" borderId="12" xfId="0" applyNumberFormat="1" applyFont="1" applyFill="1" applyBorder="1" applyProtection="1"/>
    <xf numFmtId="2" fontId="4" fillId="0" borderId="12" xfId="0" applyNumberFormat="1" applyFont="1" applyBorder="1" applyProtection="1"/>
    <xf numFmtId="2" fontId="0" fillId="0" borderId="0" xfId="0" applyNumberFormat="1" applyProtection="1">
      <protection locked="0"/>
    </xf>
    <xf numFmtId="2" fontId="3" fillId="0" borderId="0" xfId="0" applyNumberFormat="1" applyFont="1" applyAlignment="1" applyProtection="1">
      <alignment horizontal="center"/>
      <protection locked="0"/>
    </xf>
    <xf numFmtId="2" fontId="3" fillId="0" borderId="37" xfId="0" applyNumberFormat="1" applyFont="1" applyBorder="1" applyAlignment="1" applyProtection="1">
      <alignment horizontal="center"/>
      <protection locked="0"/>
    </xf>
    <xf numFmtId="2" fontId="0" fillId="0" borderId="0" xfId="0" applyNumberFormat="1" applyFill="1" applyProtection="1">
      <protection locked="0"/>
    </xf>
    <xf numFmtId="2" fontId="3" fillId="0" borderId="0" xfId="0" applyNumberFormat="1" applyFont="1" applyFill="1" applyAlignment="1" applyProtection="1">
      <alignment horizontal="center"/>
      <protection locked="0"/>
    </xf>
    <xf numFmtId="2" fontId="3" fillId="0" borderId="37" xfId="0" applyNumberFormat="1" applyFont="1" applyFill="1" applyBorder="1" applyAlignment="1" applyProtection="1">
      <alignment horizontal="center"/>
      <protection locked="0"/>
    </xf>
    <xf numFmtId="2" fontId="4" fillId="0" borderId="0" xfId="0" applyNumberFormat="1" applyFont="1" applyFill="1" applyProtection="1">
      <protection locked="0"/>
    </xf>
    <xf numFmtId="2" fontId="4" fillId="0" borderId="0" xfId="0" applyNumberFormat="1" applyFont="1" applyProtection="1">
      <protection locked="0"/>
    </xf>
    <xf numFmtId="0" fontId="0" fillId="0" borderId="0" xfId="0" applyProtection="1">
      <protection locked="0"/>
    </xf>
    <xf numFmtId="170" fontId="0" fillId="0" borderId="0" xfId="0" applyNumberFormat="1" applyProtection="1">
      <protection locked="0"/>
    </xf>
    <xf numFmtId="2" fontId="17" fillId="0" borderId="0" xfId="0" applyNumberFormat="1" applyFont="1" applyProtection="1">
      <protection locked="0"/>
    </xf>
    <xf numFmtId="49" fontId="3" fillId="0" borderId="0" xfId="0" applyNumberFormat="1" applyFont="1" applyAlignment="1" applyProtection="1">
      <alignment horizontal="center"/>
      <protection locked="0"/>
    </xf>
    <xf numFmtId="49" fontId="3" fillId="0" borderId="0" xfId="0" applyNumberFormat="1" applyFont="1" applyFill="1" applyAlignment="1" applyProtection="1">
      <alignment horizontal="center"/>
      <protection locked="0"/>
    </xf>
    <xf numFmtId="2" fontId="0" fillId="0" borderId="0" xfId="0" applyNumberFormat="1" applyProtection="1">
      <protection hidden="1"/>
    </xf>
    <xf numFmtId="2" fontId="3" fillId="0" borderId="0" xfId="0" applyNumberFormat="1" applyFont="1" applyAlignment="1" applyProtection="1">
      <alignment horizontal="center"/>
      <protection hidden="1"/>
    </xf>
    <xf numFmtId="2" fontId="3" fillId="0" borderId="37" xfId="0" applyNumberFormat="1" applyFont="1" applyBorder="1" applyAlignment="1" applyProtection="1">
      <alignment horizontal="center"/>
      <protection hidden="1"/>
    </xf>
    <xf numFmtId="43" fontId="4" fillId="0" borderId="0" xfId="1" applyNumberFormat="1" applyFont="1" applyFill="1" applyProtection="1">
      <protection hidden="1"/>
    </xf>
    <xf numFmtId="2" fontId="0" fillId="0" borderId="0" xfId="0" applyNumberFormat="1" applyFill="1" applyProtection="1">
      <protection hidden="1"/>
    </xf>
    <xf numFmtId="2" fontId="0" fillId="0" borderId="0" xfId="0" applyNumberFormat="1" applyFill="1" applyBorder="1" applyProtection="1">
      <protection hidden="1"/>
    </xf>
    <xf numFmtId="2" fontId="3" fillId="0" borderId="0" xfId="0" applyNumberFormat="1" applyFont="1" applyFill="1" applyAlignment="1" applyProtection="1">
      <alignment horizontal="center"/>
      <protection hidden="1"/>
    </xf>
    <xf numFmtId="2" fontId="3" fillId="0" borderId="37" xfId="0" applyNumberFormat="1" applyFont="1" applyFill="1" applyBorder="1" applyAlignment="1" applyProtection="1">
      <alignment horizontal="center"/>
      <protection hidden="1"/>
    </xf>
    <xf numFmtId="2" fontId="4" fillId="0" borderId="0" xfId="0" applyNumberFormat="1" applyFont="1" applyFill="1" applyProtection="1">
      <protection hidden="1"/>
    </xf>
    <xf numFmtId="2" fontId="4" fillId="0" borderId="0" xfId="0" applyNumberFormat="1" applyFont="1" applyProtection="1">
      <protection hidden="1"/>
    </xf>
    <xf numFmtId="0" fontId="0" fillId="0" borderId="0" xfId="0" applyProtection="1">
      <protection hidden="1"/>
    </xf>
    <xf numFmtId="170" fontId="0" fillId="0" borderId="0" xfId="0" applyNumberFormat="1" applyProtection="1">
      <protection hidden="1"/>
    </xf>
    <xf numFmtId="2" fontId="17" fillId="0" borderId="0" xfId="0" applyNumberFormat="1" applyFont="1" applyProtection="1">
      <protection hidden="1"/>
    </xf>
    <xf numFmtId="49" fontId="3" fillId="0" borderId="0" xfId="0" applyNumberFormat="1" applyFont="1" applyAlignment="1" applyProtection="1">
      <alignment horizontal="center"/>
      <protection hidden="1"/>
    </xf>
    <xf numFmtId="49" fontId="3" fillId="0" borderId="0" xfId="0" applyNumberFormat="1" applyFont="1" applyFill="1" applyAlignment="1" applyProtection="1">
      <alignment horizontal="center"/>
      <protection hidden="1"/>
    </xf>
    <xf numFmtId="170" fontId="0" fillId="0" borderId="0" xfId="0" applyNumberFormat="1" applyFill="1" applyProtection="1">
      <protection locked="0"/>
    </xf>
    <xf numFmtId="2" fontId="17" fillId="0" borderId="0" xfId="0" applyNumberFormat="1" applyFont="1" applyFill="1" applyProtection="1">
      <protection locked="0"/>
    </xf>
    <xf numFmtId="170" fontId="4" fillId="0" borderId="0" xfId="0" applyNumberFormat="1" applyFont="1" applyFill="1" applyProtection="1">
      <protection locked="0"/>
    </xf>
    <xf numFmtId="2" fontId="4" fillId="0" borderId="0" xfId="0" applyNumberFormat="1" applyFont="1" applyFill="1" applyBorder="1" applyAlignment="1" applyProtection="1">
      <alignment horizontal="right"/>
      <protection locked="0"/>
    </xf>
    <xf numFmtId="2" fontId="18" fillId="0" borderId="0" xfId="0" applyNumberFormat="1" applyFont="1" applyAlignment="1" applyProtection="1">
      <alignment horizontal="center"/>
      <protection locked="0"/>
    </xf>
    <xf numFmtId="2" fontId="18" fillId="0" borderId="37" xfId="0" applyNumberFormat="1" applyFont="1" applyBorder="1" applyAlignment="1" applyProtection="1">
      <alignment horizontal="center"/>
      <protection locked="0"/>
    </xf>
    <xf numFmtId="2" fontId="18" fillId="0" borderId="0" xfId="0" applyNumberFormat="1" applyFont="1" applyFill="1" applyAlignment="1" applyProtection="1">
      <alignment horizontal="center"/>
      <protection locked="0"/>
    </xf>
    <xf numFmtId="0" fontId="17" fillId="0" borderId="0" xfId="0" applyFont="1" applyFill="1" applyProtection="1">
      <protection locked="0"/>
    </xf>
    <xf numFmtId="2" fontId="5" fillId="0" borderId="0" xfId="0" applyNumberFormat="1" applyFont="1" applyAlignment="1"/>
    <xf numFmtId="0" fontId="4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42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49" fontId="3" fillId="0" borderId="39" xfId="0" applyNumberFormat="1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49" fontId="3" fillId="0" borderId="41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/>
    <xf numFmtId="3" fontId="0" fillId="0" borderId="0" xfId="0" applyNumberFormat="1"/>
    <xf numFmtId="0" fontId="3" fillId="0" borderId="3" xfId="0" applyFont="1" applyBorder="1" applyAlignment="1">
      <alignment horizontal="center"/>
    </xf>
  </cellXfs>
  <cellStyles count="4">
    <cellStyle name="Comma" xfId="1" builtinId="3"/>
    <cellStyle name="Normal" xfId="0" builtinId="0"/>
    <cellStyle name="Normal 2" xfId="3"/>
    <cellStyle name="Percent" xfId="2" builtinId="5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7CE"/>
      <color rgb="FF9C0006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6</xdr:col>
      <xdr:colOff>19050</xdr:colOff>
      <xdr:row>1</xdr:row>
      <xdr:rowOff>9525</xdr:rowOff>
    </xdr:to>
    <xdr:sp macro="" textlink="">
      <xdr:nvSpPr>
        <xdr:cNvPr id="5136" name="Line 1"/>
        <xdr:cNvSpPr>
          <a:spLocks noChangeShapeType="1"/>
        </xdr:cNvSpPr>
      </xdr:nvSpPr>
      <xdr:spPr bwMode="auto">
        <a:xfrm>
          <a:off x="9525" y="314325"/>
          <a:ext cx="5886450" cy="0"/>
        </a:xfrm>
        <a:prstGeom prst="line">
          <a:avLst/>
        </a:prstGeom>
        <a:noFill/>
        <a:ln w="2476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314325</xdr:colOff>
      <xdr:row>9</xdr:row>
      <xdr:rowOff>38100</xdr:rowOff>
    </xdr:from>
    <xdr:to>
      <xdr:col>1</xdr:col>
      <xdr:colOff>314325</xdr:colOff>
      <xdr:row>11</xdr:row>
      <xdr:rowOff>133350</xdr:rowOff>
    </xdr:to>
    <xdr:sp macro="" textlink="">
      <xdr:nvSpPr>
        <xdr:cNvPr id="6192" name="Drawing 11"/>
        <xdr:cNvSpPr>
          <a:spLocks/>
        </xdr:cNvSpPr>
      </xdr:nvSpPr>
      <xdr:spPr bwMode="auto">
        <a:xfrm>
          <a:off x="2162175" y="1485900"/>
          <a:ext cx="0" cy="400050"/>
        </a:xfrm>
        <a:custGeom>
          <a:avLst/>
          <a:gdLst>
            <a:gd name="T0" fmla="*/ 0 w 16384"/>
            <a:gd name="T1" fmla="*/ 0 h 16384"/>
            <a:gd name="T2" fmla="*/ 0 w 16384"/>
            <a:gd name="T3" fmla="*/ 2147483647 h 16384"/>
            <a:gd name="T4" fmla="*/ 0 60000 65536"/>
            <a:gd name="T5" fmla="*/ 0 60000 65536"/>
            <a:gd name="T6" fmla="*/ 0 w 16384"/>
            <a:gd name="T7" fmla="*/ 0 h 16384"/>
            <a:gd name="T8" fmla="*/ 0 w 16384"/>
            <a:gd name="T9" fmla="*/ 16384 h 16384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6384" h="16384">
              <a:moveTo>
                <a:pt x="0" y="0"/>
              </a:moveTo>
              <a:lnTo>
                <a:pt x="16384" y="16384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295275</xdr:colOff>
      <xdr:row>9</xdr:row>
      <xdr:rowOff>19050</xdr:rowOff>
    </xdr:from>
    <xdr:to>
      <xdr:col>2</xdr:col>
      <xdr:colOff>295275</xdr:colOff>
      <xdr:row>10</xdr:row>
      <xdr:rowOff>133350</xdr:rowOff>
    </xdr:to>
    <xdr:sp macro="" textlink="">
      <xdr:nvSpPr>
        <xdr:cNvPr id="6193" name="Drawing 12"/>
        <xdr:cNvSpPr>
          <a:spLocks/>
        </xdr:cNvSpPr>
      </xdr:nvSpPr>
      <xdr:spPr bwMode="auto">
        <a:xfrm>
          <a:off x="2752725" y="1466850"/>
          <a:ext cx="0" cy="266700"/>
        </a:xfrm>
        <a:custGeom>
          <a:avLst/>
          <a:gdLst>
            <a:gd name="T0" fmla="*/ 0 w 16384"/>
            <a:gd name="T1" fmla="*/ 0 h 16384"/>
            <a:gd name="T2" fmla="*/ 0 w 16384"/>
            <a:gd name="T3" fmla="*/ 1150354165 h 16384"/>
            <a:gd name="T4" fmla="*/ 0 60000 65536"/>
            <a:gd name="T5" fmla="*/ 0 60000 65536"/>
            <a:gd name="T6" fmla="*/ 0 w 16384"/>
            <a:gd name="T7" fmla="*/ 0 h 16384"/>
            <a:gd name="T8" fmla="*/ 0 w 16384"/>
            <a:gd name="T9" fmla="*/ 16384 h 16384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6384" h="16384">
              <a:moveTo>
                <a:pt x="0" y="0"/>
              </a:moveTo>
              <a:lnTo>
                <a:pt x="16384" y="16384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304800</xdr:colOff>
      <xdr:row>9</xdr:row>
      <xdr:rowOff>38100</xdr:rowOff>
    </xdr:from>
    <xdr:to>
      <xdr:col>9</xdr:col>
      <xdr:colOff>304800</xdr:colOff>
      <xdr:row>10</xdr:row>
      <xdr:rowOff>133350</xdr:rowOff>
    </xdr:to>
    <xdr:sp macro="" textlink="">
      <xdr:nvSpPr>
        <xdr:cNvPr id="6194" name="Drawing 13"/>
        <xdr:cNvSpPr>
          <a:spLocks/>
        </xdr:cNvSpPr>
      </xdr:nvSpPr>
      <xdr:spPr bwMode="auto">
        <a:xfrm>
          <a:off x="7391400" y="1485900"/>
          <a:ext cx="0" cy="247650"/>
        </a:xfrm>
        <a:custGeom>
          <a:avLst/>
          <a:gdLst>
            <a:gd name="T0" fmla="*/ 0 w 16384"/>
            <a:gd name="T1" fmla="*/ 0 h 16384"/>
            <a:gd name="T2" fmla="*/ 0 w 16384"/>
            <a:gd name="T3" fmla="*/ 855249919 h 16384"/>
            <a:gd name="T4" fmla="*/ 0 60000 65536"/>
            <a:gd name="T5" fmla="*/ 0 60000 65536"/>
            <a:gd name="T6" fmla="*/ 0 w 16384"/>
            <a:gd name="T7" fmla="*/ 0 h 16384"/>
            <a:gd name="T8" fmla="*/ 0 w 16384"/>
            <a:gd name="T9" fmla="*/ 16384 h 16384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6384" h="16384">
              <a:moveTo>
                <a:pt x="0" y="0"/>
              </a:moveTo>
              <a:lnTo>
                <a:pt x="16384" y="16384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enableFormatConditionsCalculation="0">
    <tabColor indexed="11"/>
  </sheetPr>
  <dimension ref="A1:I106"/>
  <sheetViews>
    <sheetView showGridLines="0" tabSelected="1" workbookViewId="0"/>
  </sheetViews>
  <sheetFormatPr defaultRowHeight="15"/>
  <cols>
    <col min="1" max="1" width="13.7109375" style="65" customWidth="1"/>
    <col min="2" max="2" width="14.7109375" style="65" customWidth="1"/>
    <col min="3" max="3" width="13.7109375" style="65" customWidth="1"/>
    <col min="4" max="4" width="14.7109375" style="65" customWidth="1"/>
    <col min="5" max="5" width="13.7109375" style="65" customWidth="1"/>
    <col min="6" max="6" width="17.5703125" style="65" customWidth="1"/>
    <col min="7" max="7" width="2.7109375" style="65" customWidth="1"/>
    <col min="8" max="10" width="9.140625" style="65"/>
    <col min="11" max="11" width="9.42578125" style="65" customWidth="1"/>
    <col min="12" max="16384" width="9.140625" style="65"/>
  </cols>
  <sheetData>
    <row r="1" spans="1:9" ht="24" customHeight="1">
      <c r="A1" s="185" t="str">
        <f>'Adjustment Info'!A1</f>
        <v>Worksheet for Completeness of Case Ascertainment, version 2.2.b</v>
      </c>
      <c r="B1" s="68"/>
      <c r="C1" s="68"/>
      <c r="D1" s="68"/>
      <c r="E1" s="68"/>
      <c r="F1" s="68"/>
    </row>
    <row r="2" spans="1:9" ht="20.100000000000001" customHeight="1">
      <c r="A2" s="119" t="str">
        <f>'Adjustment Info'!A2</f>
        <v>Alabama, Year of Diagnosis 2010</v>
      </c>
      <c r="B2" s="119"/>
      <c r="C2" s="119"/>
      <c r="D2" s="119"/>
      <c r="E2" s="119"/>
      <c r="F2" s="119"/>
    </row>
    <row r="3" spans="1:9" ht="13.5" customHeight="1">
      <c r="D3" s="123"/>
      <c r="E3" s="123"/>
      <c r="F3" s="123"/>
      <c r="G3" s="123"/>
      <c r="H3" s="123"/>
      <c r="I3" s="68"/>
    </row>
    <row r="4" spans="1:9" ht="15.75">
      <c r="A4" s="119" t="s">
        <v>0</v>
      </c>
      <c r="B4" s="119"/>
      <c r="C4" s="119"/>
      <c r="D4" s="119"/>
      <c r="E4" s="119"/>
      <c r="F4" s="119"/>
    </row>
    <row r="5" spans="1:9" ht="15.75">
      <c r="A5" s="119" t="s">
        <v>1</v>
      </c>
      <c r="B5" s="119"/>
      <c r="C5" s="119"/>
      <c r="D5" s="119"/>
      <c r="E5" s="119"/>
      <c r="F5" s="119"/>
    </row>
    <row r="6" spans="1:9" ht="13.5" customHeight="1">
      <c r="A6" s="68"/>
      <c r="B6" s="68"/>
      <c r="C6" s="68"/>
      <c r="D6" s="68"/>
      <c r="E6" s="68"/>
      <c r="F6" s="68"/>
    </row>
    <row r="7" spans="1:9" ht="16.5" thickBot="1">
      <c r="A7" s="120" t="s">
        <v>174</v>
      </c>
      <c r="B7" s="121"/>
      <c r="C7" s="120" t="str">
        <f>IF($A$30=2,"All Races","Blacks")</f>
        <v>Blacks</v>
      </c>
      <c r="D7" s="122"/>
      <c r="E7" s="121" t="s">
        <v>3</v>
      </c>
      <c r="F7" s="122"/>
    </row>
    <row r="8" spans="1:9">
      <c r="A8" s="96" t="s">
        <v>4</v>
      </c>
      <c r="B8" s="94"/>
      <c r="C8" s="198" t="s">
        <v>4</v>
      </c>
      <c r="D8" s="199"/>
      <c r="E8" s="96" t="s">
        <v>4</v>
      </c>
      <c r="F8" s="92"/>
    </row>
    <row r="9" spans="1:9" ht="15.75" thickBot="1">
      <c r="A9" s="97" t="s">
        <v>5</v>
      </c>
      <c r="B9" s="93" t="s">
        <v>6</v>
      </c>
      <c r="C9" s="97" t="s">
        <v>5</v>
      </c>
      <c r="D9" s="93" t="s">
        <v>6</v>
      </c>
      <c r="E9" s="97" t="s">
        <v>5</v>
      </c>
      <c r="F9" s="93" t="s">
        <v>6</v>
      </c>
    </row>
    <row r="10" spans="1:9" ht="16.5" thickBot="1">
      <c r="A10" s="98">
        <f>WhiteComplete</f>
        <v>0</v>
      </c>
      <c r="B10" s="95">
        <f>WhitePop</f>
        <v>3401085</v>
      </c>
      <c r="C10" s="98">
        <f>IF(Registry_Type=2,WhiteComplete,BlackComplete)</f>
        <v>0</v>
      </c>
      <c r="D10" s="95">
        <f>IF(Registry_Type=2,AllRacesTotalPop,BlackPop)</f>
        <v>1283143</v>
      </c>
      <c r="E10" s="98">
        <f>((A10*B10)+(C10*D10))/F10</f>
        <v>0</v>
      </c>
      <c r="F10" s="95">
        <f>WhitePop+BlackPop</f>
        <v>4684228</v>
      </c>
    </row>
    <row r="11" spans="1:9">
      <c r="F11" s="100"/>
    </row>
    <row r="12" spans="1:9" ht="18" customHeight="1"/>
    <row r="13" spans="1:9" ht="15.75">
      <c r="A13" s="119" t="s">
        <v>7</v>
      </c>
      <c r="B13" s="119"/>
      <c r="C13" s="119"/>
      <c r="D13" s="119"/>
      <c r="E13" s="119"/>
      <c r="F13" s="119"/>
    </row>
    <row r="14" spans="1:9" ht="15.75">
      <c r="A14" s="119" t="s">
        <v>8</v>
      </c>
      <c r="B14" s="119"/>
      <c r="C14" s="119"/>
      <c r="D14" s="119"/>
      <c r="E14" s="119"/>
      <c r="F14" s="119"/>
    </row>
    <row r="15" spans="1:9" ht="13.5" customHeight="1"/>
    <row r="16" spans="1:9">
      <c r="A16" s="87">
        <f>IncidenceCases</f>
        <v>0</v>
      </c>
      <c r="B16" s="72" t="str">
        <f>"Total Incidence Cases, "&amp;CaseYear</f>
        <v>Total Incidence Cases, 2010</v>
      </c>
    </row>
    <row r="17" spans="1:6">
      <c r="A17" s="163">
        <f>PercentDups</f>
        <v>0</v>
      </c>
      <c r="B17" s="72" t="s">
        <v>9</v>
      </c>
    </row>
    <row r="18" spans="1:6">
      <c r="A18" s="88">
        <f>IF(Registry_Type=4,E10,C10)</f>
        <v>0</v>
      </c>
      <c r="B18" s="72" t="s">
        <v>10</v>
      </c>
    </row>
    <row r="19" spans="1:6">
      <c r="A19" s="89">
        <f>A16-(A16*A17/100)</f>
        <v>0</v>
      </c>
      <c r="B19" s="72" t="str">
        <f>CaseYear&amp;" Adjusted Total Incidence Cases"</f>
        <v>2010 Adjusted Total Incidence Cases</v>
      </c>
    </row>
    <row r="20" spans="1:6">
      <c r="A20" s="89">
        <f>IF(A18=0,0,A16/A18)</f>
        <v>0</v>
      </c>
      <c r="B20" s="72" t="str">
        <f>CaseYear&amp;" Expected Incidence Cases"</f>
        <v>2010 Expected Incidence Cases</v>
      </c>
    </row>
    <row r="21" spans="1:6" ht="15.75" thickBot="1"/>
    <row r="22" spans="1:6" ht="21.95" customHeight="1" thickBot="1">
      <c r="A22" s="86">
        <f>IF(A20=0,0,A19/A20)</f>
        <v>0</v>
      </c>
      <c r="B22" s="67" t="str">
        <f>"Final Completeness Estimate for "&amp;CaseYear&amp;", "&amp;Registry</f>
        <v>Final Completeness Estimate for 2010, Alabama</v>
      </c>
      <c r="C22" s="68"/>
      <c r="D22" s="68"/>
      <c r="E22" s="68"/>
      <c r="F22" s="68"/>
    </row>
    <row r="23" spans="1:6" ht="15" customHeight="1">
      <c r="A23" s="68"/>
      <c r="B23" s="67" t="str">
        <f>"Adjusted for Reference Mortality and Duplicate Records"</f>
        <v>Adjusted for Reference Mortality and Duplicate Records</v>
      </c>
      <c r="C23" s="68"/>
      <c r="D23" s="68"/>
      <c r="E23" s="68"/>
      <c r="F23" s="68"/>
    </row>
    <row r="24" spans="1:6" hidden="1"/>
    <row r="27" spans="1:6">
      <c r="A27" s="91"/>
    </row>
    <row r="28" spans="1:6">
      <c r="A28" s="91"/>
    </row>
    <row r="29" spans="1:6">
      <c r="A29" s="62"/>
    </row>
    <row r="30" spans="1:6">
      <c r="A30" s="197">
        <f>Registry_Type</f>
        <v>4</v>
      </c>
    </row>
    <row r="31" spans="1:6">
      <c r="A31" s="62"/>
    </row>
    <row r="50" hidden="1"/>
    <row r="53" hidden="1"/>
    <row r="54" hidden="1"/>
    <row r="56" hidden="1"/>
    <row r="70" hidden="1"/>
    <row r="71" hidden="1"/>
    <row r="91" ht="12.75" hidden="1" customHeight="1"/>
    <row r="103" hidden="1"/>
    <row r="106" hidden="1"/>
  </sheetData>
  <phoneticPr fontId="19" type="noConversion"/>
  <conditionalFormatting sqref="A7:B10 E7:F10">
    <cfRule type="expression" dxfId="3" priority="1" stopIfTrue="1">
      <formula>IF($A$30=2,TRUE,FALSE)</formula>
    </cfRule>
  </conditionalFormatting>
  <printOptions horizontalCentered="1"/>
  <pageMargins left="0.5" right="0.5" top="1" bottom="0.5" header="0.5" footer="0.5"/>
  <pageSetup orientation="portrait" r:id="rId1"/>
  <headerFooter alignWithMargins="0">
    <oddFooter>&amp;CCase Completeness Report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N281"/>
  <sheetViews>
    <sheetView showGridLines="0" workbookViewId="0"/>
  </sheetViews>
  <sheetFormatPr defaultRowHeight="15"/>
  <cols>
    <col min="1" max="1" width="25.5703125" style="65" customWidth="1"/>
    <col min="2" max="2" width="61.42578125" style="65" bestFit="1" customWidth="1"/>
    <col min="3" max="3" width="9.140625" style="65"/>
    <col min="4" max="4" width="7.140625" style="65" customWidth="1"/>
    <col min="5" max="5" width="9.140625" style="65"/>
    <col min="6" max="6" width="12" style="65" customWidth="1"/>
    <col min="7" max="7" width="8.42578125" style="65" customWidth="1"/>
    <col min="8" max="8" width="23.28515625" style="65" hidden="1" customWidth="1"/>
    <col min="9" max="9" width="8.42578125" style="65" hidden="1" customWidth="1"/>
    <col min="10" max="10" width="6.42578125" style="65" hidden="1" customWidth="1"/>
    <col min="11" max="11" width="9.140625" style="65" hidden="1" customWidth="1"/>
    <col min="12" max="12" width="46.28515625" style="65" hidden="1" customWidth="1"/>
    <col min="13" max="13" width="54.42578125" style="65" hidden="1" customWidth="1"/>
    <col min="14" max="14" width="57.140625" style="65" hidden="1" customWidth="1"/>
    <col min="15" max="15" width="10.42578125" style="65" bestFit="1" customWidth="1"/>
    <col min="16" max="16" width="53.42578125" style="65" bestFit="1" customWidth="1"/>
    <col min="17" max="17" width="49.42578125" style="65" bestFit="1" customWidth="1"/>
    <col min="18" max="16384" width="9.140625" style="65"/>
  </cols>
  <sheetData>
    <row r="1" spans="1:14" ht="18">
      <c r="A1" s="83" t="str">
        <f>'Adjustment Info'!A1</f>
        <v>Worksheet for Completeness of Case Ascertainment, version 2.2.b</v>
      </c>
      <c r="H1" s="114" t="s">
        <v>11</v>
      </c>
      <c r="I1" s="193">
        <v>4</v>
      </c>
      <c r="J1" s="65">
        <v>2010</v>
      </c>
      <c r="K1" s="65">
        <v>2</v>
      </c>
      <c r="L1" s="65" t="str">
        <f>"Populations for All Races in "&amp;TRIM(Registry)&amp;" for "&amp;CaseYear</f>
        <v>Populations for All Races in Alabama for 2010</v>
      </c>
      <c r="M1" s="65" t="str">
        <f>"Populations for All Races, Males, in "&amp;TRIM(Registry)&amp;" for "&amp;CaseYear</f>
        <v>Populations for All Races, Males, in Alabama for 2010</v>
      </c>
      <c r="N1" s="65" t="str">
        <f>"Populations for All Races, Females, in "&amp;TRIM(Registry)&amp;" for "&amp;CaseYear</f>
        <v>Populations for All Races, Females, in Alabama for 2010</v>
      </c>
    </row>
    <row r="2" spans="1:14" ht="20.100000000000001" customHeight="1">
      <c r="A2" s="85" t="str">
        <f>TRIM('Adjustment Info'!A2)</f>
        <v>Alabama, Year of Diagnosis 2010</v>
      </c>
      <c r="H2" s="114" t="s">
        <v>12</v>
      </c>
      <c r="I2" s="193">
        <v>4</v>
      </c>
      <c r="J2" s="65">
        <v>2009</v>
      </c>
      <c r="K2" s="65">
        <v>4</v>
      </c>
      <c r="L2" s="65" t="str">
        <f>"Populations for Whites in "&amp;TRIM(Registry)&amp;" for "&amp;CaseYear</f>
        <v>Populations for Whites in Alabama for 2010</v>
      </c>
      <c r="M2" s="65" t="str">
        <f>"Populations for White Males in "&amp;TRIM(Registry)&amp;" for "&amp;CaseYear</f>
        <v>Populations for White Males in Alabama for 2010</v>
      </c>
      <c r="N2" s="65" t="str">
        <f>"Populations for White Females in "&amp;TRIM(Registry)&amp;" for "&amp;CaseYear</f>
        <v>Populations for White Females in Alabama for 2010</v>
      </c>
    </row>
    <row r="3" spans="1:14">
      <c r="H3" s="114" t="s">
        <v>13</v>
      </c>
      <c r="I3" s="193">
        <v>4</v>
      </c>
      <c r="J3" s="65">
        <v>2008</v>
      </c>
    </row>
    <row r="4" spans="1:14">
      <c r="A4" s="69">
        <v>2010</v>
      </c>
      <c r="B4" s="65" t="s">
        <v>14</v>
      </c>
      <c r="H4" s="114" t="s">
        <v>15</v>
      </c>
      <c r="I4" s="193">
        <v>4</v>
      </c>
      <c r="J4" s="65">
        <v>2007</v>
      </c>
    </row>
    <row r="5" spans="1:14">
      <c r="A5" s="70" t="s">
        <v>11</v>
      </c>
      <c r="B5" s="65" t="s">
        <v>17</v>
      </c>
      <c r="D5" s="196">
        <f>VLOOKUP(Registry,registries,2,FALSE)</f>
        <v>4</v>
      </c>
      <c r="H5" s="114" t="s">
        <v>18</v>
      </c>
      <c r="I5" s="193">
        <v>4</v>
      </c>
      <c r="J5" s="65">
        <v>2006</v>
      </c>
      <c r="M5" s="194"/>
    </row>
    <row r="6" spans="1:14">
      <c r="A6" s="71"/>
      <c r="B6" s="65" t="str">
        <f>"Total Incidence Cases in "&amp;TRIM(Registry)&amp;" for "&amp;CaseYear</f>
        <v>Total Incidence Cases in Alabama for 2010</v>
      </c>
      <c r="H6" s="114" t="s">
        <v>19</v>
      </c>
      <c r="I6" s="193">
        <v>4</v>
      </c>
      <c r="J6" s="65">
        <v>2005</v>
      </c>
    </row>
    <row r="7" spans="1:14">
      <c r="A7" s="162"/>
      <c r="B7" s="65" t="s">
        <v>20</v>
      </c>
      <c r="H7" s="114" t="s">
        <v>336</v>
      </c>
      <c r="I7" s="193">
        <v>4</v>
      </c>
      <c r="J7" s="65">
        <v>2004</v>
      </c>
    </row>
    <row r="8" spans="1:14">
      <c r="A8" s="144"/>
      <c r="H8" s="114" t="s">
        <v>21</v>
      </c>
      <c r="I8" s="193">
        <v>4</v>
      </c>
      <c r="J8" s="65">
        <v>2003</v>
      </c>
    </row>
    <row r="9" spans="1:14">
      <c r="A9" s="66">
        <f>IF(Registry_Type=4,WhiteMalePop+WhiteFemalePop,VLOOKUP(Registry, PopSexData, 6*(CaseYear-1995)+D5, 0))</f>
        <v>3401085</v>
      </c>
      <c r="B9" s="195" t="str">
        <f>IF(Registry_Type=4,VLOOKUP($D$5,summary_pops,2,0),VLOOKUP(Registry_Type,summary_pops,3,0))</f>
        <v>Populations for Whites in Alabama for 2010</v>
      </c>
      <c r="C9" s="195"/>
      <c r="D9" s="195"/>
      <c r="E9" s="195"/>
      <c r="F9" s="195"/>
      <c r="G9" s="195"/>
      <c r="H9" s="114" t="s">
        <v>22</v>
      </c>
      <c r="I9" s="193">
        <v>4</v>
      </c>
      <c r="J9" s="65">
        <v>2002</v>
      </c>
    </row>
    <row r="10" spans="1:14">
      <c r="A10" s="66">
        <f>IF(Registry_Type=4,VLOOKUP(Registry,PopSexData,6*(CaseYear-1995)+D5,0),VLOOKUP(Registry,PopSexData,6*(CaseYear-1995)+D5+1,0))</f>
        <v>1674201</v>
      </c>
      <c r="B10" s="195" t="str">
        <f>IF(Registry_Type=4,VLOOKUP($D$5,summary_pops,3,0),VLOOKUP(Registry_Type,summary_pops,4,0))</f>
        <v>Populations for White Males in Alabama for 2010</v>
      </c>
      <c r="C10" s="195"/>
      <c r="D10" s="195"/>
      <c r="E10" s="195"/>
      <c r="F10" s="195"/>
      <c r="G10" s="195"/>
      <c r="H10" s="114" t="s">
        <v>16</v>
      </c>
      <c r="I10" s="193">
        <v>4</v>
      </c>
      <c r="J10" s="65">
        <v>2001</v>
      </c>
    </row>
    <row r="11" spans="1:14">
      <c r="A11" s="66">
        <f>VLOOKUP(Registry, PopSexData, 6*(CaseYear-1995)+D5+1, 0)</f>
        <v>1726884</v>
      </c>
      <c r="B11" s="195" t="str">
        <f>VLOOKUP($D$5,summary_pops,4,0)</f>
        <v>Populations for White Females in Alabama for 2010</v>
      </c>
      <c r="C11" s="195"/>
      <c r="D11" s="195"/>
      <c r="E11" s="195"/>
      <c r="F11" s="195"/>
      <c r="G11" s="195"/>
      <c r="H11" s="114" t="s">
        <v>23</v>
      </c>
      <c r="I11" s="193">
        <v>4</v>
      </c>
      <c r="J11" s="65">
        <v>2000</v>
      </c>
    </row>
    <row r="12" spans="1:14">
      <c r="A12" s="66">
        <f>IF(ISERROR(AllRacesMalePop+AllRacesFemalePop),"No Pop Data Available",AllRacesMalePop+AllRacesFemalePop)</f>
        <v>5075286</v>
      </c>
      <c r="B12" s="65" t="str">
        <f>"Total Population, All Races, in "&amp;Registry&amp; " for "&amp;CaseYear</f>
        <v>Total Population, All Races, in Alabama for 2010</v>
      </c>
      <c r="H12" s="114" t="s">
        <v>24</v>
      </c>
      <c r="I12" s="193">
        <v>4</v>
      </c>
      <c r="J12" s="157">
        <v>1999</v>
      </c>
    </row>
    <row r="13" spans="1:14">
      <c r="A13" s="66">
        <f>BlackMalePop+BlackFemalePop</f>
        <v>1283143</v>
      </c>
      <c r="B13" s="195" t="str">
        <f>"Populations for Blacks in "&amp;TRIM(Registry)&amp;" for "&amp;CaseYear</f>
        <v>Populations for Blacks in Alabama for 2010</v>
      </c>
      <c r="C13" s="195"/>
      <c r="D13" s="195"/>
      <c r="E13" s="195"/>
      <c r="F13" s="195"/>
      <c r="G13" s="195"/>
      <c r="H13" s="114" t="s">
        <v>25</v>
      </c>
      <c r="I13" s="193">
        <v>4</v>
      </c>
      <c r="J13" s="157">
        <v>1998</v>
      </c>
    </row>
    <row r="14" spans="1:14">
      <c r="A14" s="66">
        <f>VLOOKUP(Registry, PopSexData, 6*(CaseYear-1995)+(D5+2), 0)</f>
        <v>598478</v>
      </c>
      <c r="B14" s="195" t="str">
        <f>"Populations for Black Males in "&amp;TRIM(Registry)&amp;" for "&amp;CaseYear</f>
        <v>Populations for Black Males in Alabama for 2010</v>
      </c>
      <c r="C14" s="195"/>
      <c r="D14" s="195"/>
      <c r="E14" s="195"/>
      <c r="F14" s="195"/>
      <c r="G14" s="195"/>
      <c r="H14" s="114" t="s">
        <v>26</v>
      </c>
      <c r="I14" s="193">
        <v>4</v>
      </c>
      <c r="J14" s="157">
        <v>1997</v>
      </c>
    </row>
    <row r="15" spans="1:14">
      <c r="A15" s="66">
        <f>VLOOKUP(Registry, PopSexData, 6*(CaseYear-1995)+(D5+3), 0)</f>
        <v>684665</v>
      </c>
      <c r="B15" s="195" t="str">
        <f>"Populations for Black Females in "&amp;TRIM(Registry)&amp;" for "&amp;CaseYear</f>
        <v>Populations for Black Females in Alabama for 2010</v>
      </c>
      <c r="C15" s="195"/>
      <c r="D15" s="195"/>
      <c r="E15" s="195"/>
      <c r="F15" s="195"/>
      <c r="G15" s="195"/>
      <c r="H15" s="114" t="s">
        <v>27</v>
      </c>
      <c r="I15" s="193">
        <v>2</v>
      </c>
      <c r="J15" s="157">
        <v>1996</v>
      </c>
    </row>
    <row r="16" spans="1:14">
      <c r="A16" s="66"/>
      <c r="B16" s="195"/>
      <c r="C16" s="195"/>
      <c r="D16" s="195"/>
      <c r="E16" s="195"/>
      <c r="F16" s="195"/>
      <c r="G16" s="195"/>
      <c r="H16" s="114" t="s">
        <v>28</v>
      </c>
      <c r="I16" s="193">
        <v>4</v>
      </c>
      <c r="J16" s="157">
        <v>1995</v>
      </c>
    </row>
    <row r="17" spans="1:14">
      <c r="A17" s="66">
        <f>WhitePop+BlackPop</f>
        <v>4684228</v>
      </c>
      <c r="B17" s="195" t="s">
        <v>30</v>
      </c>
      <c r="C17" s="195"/>
      <c r="D17" s="195"/>
      <c r="E17" s="195"/>
      <c r="F17" s="195"/>
      <c r="G17" s="195"/>
      <c r="H17" s="114" t="s">
        <v>29</v>
      </c>
      <c r="I17" s="193">
        <v>4</v>
      </c>
    </row>
    <row r="18" spans="1:14">
      <c r="H18" s="114" t="s">
        <v>31</v>
      </c>
      <c r="I18" s="193">
        <v>4</v>
      </c>
    </row>
    <row r="19" spans="1:14">
      <c r="H19" s="114" t="s">
        <v>32</v>
      </c>
      <c r="I19" s="193">
        <v>4</v>
      </c>
    </row>
    <row r="20" spans="1:14">
      <c r="H20" s="114" t="s">
        <v>33</v>
      </c>
      <c r="I20" s="193">
        <v>4</v>
      </c>
    </row>
    <row r="21" spans="1:14">
      <c r="H21" s="114" t="s">
        <v>34</v>
      </c>
      <c r="I21" s="193">
        <v>4</v>
      </c>
    </row>
    <row r="22" spans="1:14">
      <c r="A22"/>
      <c r="B22"/>
      <c r="C22"/>
      <c r="D22"/>
      <c r="E22"/>
      <c r="F22"/>
      <c r="G22"/>
      <c r="H22" s="114" t="s">
        <v>35</v>
      </c>
      <c r="I22" s="193">
        <v>4</v>
      </c>
      <c r="K22"/>
      <c r="L22"/>
      <c r="M22"/>
      <c r="N22"/>
    </row>
    <row r="23" spans="1:14">
      <c r="A23"/>
      <c r="B23"/>
      <c r="C23"/>
      <c r="D23"/>
      <c r="E23"/>
      <c r="F23"/>
      <c r="G23"/>
      <c r="H23" s="114" t="s">
        <v>36</v>
      </c>
      <c r="I23" s="193">
        <v>4</v>
      </c>
      <c r="K23"/>
      <c r="L23"/>
      <c r="M23"/>
      <c r="N23"/>
    </row>
    <row r="24" spans="1:14">
      <c r="A24"/>
      <c r="B24"/>
      <c r="C24"/>
      <c r="D24"/>
      <c r="E24"/>
      <c r="F24"/>
      <c r="G24"/>
      <c r="H24" s="114" t="s">
        <v>37</v>
      </c>
      <c r="I24" s="193">
        <v>4</v>
      </c>
      <c r="J24"/>
      <c r="K24"/>
      <c r="L24"/>
      <c r="M24"/>
      <c r="N24"/>
    </row>
    <row r="25" spans="1:14">
      <c r="A25"/>
      <c r="B25"/>
      <c r="C25"/>
      <c r="D25"/>
      <c r="E25"/>
      <c r="F25"/>
      <c r="G25"/>
      <c r="H25" s="114" t="s">
        <v>38</v>
      </c>
      <c r="I25" s="193">
        <v>4</v>
      </c>
      <c r="J25"/>
      <c r="K25"/>
      <c r="L25"/>
      <c r="M25"/>
      <c r="N25"/>
    </row>
    <row r="26" spans="1:14">
      <c r="A26"/>
      <c r="B26"/>
      <c r="C26"/>
      <c r="D26"/>
      <c r="E26"/>
      <c r="F26"/>
      <c r="G26"/>
      <c r="H26" s="114" t="s">
        <v>39</v>
      </c>
      <c r="I26" s="193">
        <v>4</v>
      </c>
      <c r="J26"/>
      <c r="K26"/>
      <c r="L26"/>
      <c r="M26"/>
      <c r="N26"/>
    </row>
    <row r="27" spans="1:14">
      <c r="A27"/>
      <c r="B27"/>
      <c r="C27"/>
      <c r="D27"/>
      <c r="E27"/>
      <c r="F27"/>
      <c r="G27"/>
      <c r="H27" s="114" t="s">
        <v>40</v>
      </c>
      <c r="I27" s="193">
        <v>4</v>
      </c>
      <c r="J27"/>
      <c r="K27"/>
      <c r="L27"/>
      <c r="M27"/>
      <c r="N27"/>
    </row>
    <row r="28" spans="1:14">
      <c r="A28"/>
      <c r="B28"/>
      <c r="C28"/>
      <c r="D28"/>
      <c r="E28"/>
      <c r="F28"/>
      <c r="G28"/>
      <c r="H28" s="114" t="s">
        <v>41</v>
      </c>
      <c r="I28" s="193">
        <v>4</v>
      </c>
      <c r="J28"/>
      <c r="K28"/>
      <c r="L28"/>
      <c r="M28"/>
      <c r="N28"/>
    </row>
    <row r="29" spans="1:14">
      <c r="A29"/>
      <c r="B29"/>
      <c r="C29"/>
      <c r="D29"/>
      <c r="E29"/>
      <c r="F29"/>
      <c r="G29"/>
      <c r="H29" s="114" t="s">
        <v>42</v>
      </c>
      <c r="I29" s="193">
        <v>4</v>
      </c>
      <c r="J29"/>
      <c r="K29"/>
      <c r="L29"/>
      <c r="M29"/>
      <c r="N29"/>
    </row>
    <row r="30" spans="1:14">
      <c r="A30"/>
      <c r="B30"/>
      <c r="C30"/>
      <c r="D30"/>
      <c r="E30"/>
      <c r="F30"/>
      <c r="G30"/>
      <c r="H30" s="114" t="s">
        <v>43</v>
      </c>
      <c r="I30" s="193">
        <v>4</v>
      </c>
      <c r="J30"/>
      <c r="K30"/>
      <c r="L30"/>
      <c r="M30"/>
      <c r="N30"/>
    </row>
    <row r="31" spans="1:14">
      <c r="A31"/>
      <c r="B31"/>
      <c r="C31"/>
      <c r="D31"/>
      <c r="E31"/>
      <c r="F31"/>
      <c r="G31"/>
      <c r="H31" s="114" t="s">
        <v>44</v>
      </c>
      <c r="I31" s="193">
        <v>4</v>
      </c>
      <c r="J31"/>
      <c r="K31"/>
      <c r="L31"/>
      <c r="M31"/>
      <c r="N31"/>
    </row>
    <row r="32" spans="1:14">
      <c r="A32"/>
      <c r="B32"/>
      <c r="C32"/>
      <c r="D32"/>
      <c r="E32"/>
      <c r="F32"/>
      <c r="G32"/>
      <c r="H32" s="114" t="s">
        <v>45</v>
      </c>
      <c r="I32" s="193">
        <v>4</v>
      </c>
      <c r="J32"/>
      <c r="K32"/>
      <c r="L32"/>
      <c r="M32"/>
      <c r="N32"/>
    </row>
    <row r="33" spans="1:14">
      <c r="A33"/>
      <c r="B33"/>
      <c r="C33"/>
      <c r="D33"/>
      <c r="E33"/>
      <c r="F33"/>
      <c r="G33"/>
      <c r="H33" s="114" t="s">
        <v>46</v>
      </c>
      <c r="I33" s="193">
        <v>4</v>
      </c>
      <c r="J33"/>
      <c r="K33"/>
      <c r="L33"/>
      <c r="M33"/>
      <c r="N33"/>
    </row>
    <row r="34" spans="1:14">
      <c r="A34"/>
      <c r="B34"/>
      <c r="C34"/>
      <c r="D34"/>
      <c r="E34"/>
      <c r="F34"/>
      <c r="G34"/>
      <c r="H34" s="114" t="s">
        <v>47</v>
      </c>
      <c r="I34" s="193">
        <v>4</v>
      </c>
      <c r="J34"/>
      <c r="K34"/>
      <c r="L34"/>
      <c r="M34"/>
      <c r="N34"/>
    </row>
    <row r="35" spans="1:14">
      <c r="A35"/>
      <c r="B35"/>
      <c r="C35"/>
      <c r="D35"/>
      <c r="E35"/>
      <c r="F35"/>
      <c r="G35"/>
      <c r="H35" s="114" t="s">
        <v>48</v>
      </c>
      <c r="I35" s="193">
        <v>4</v>
      </c>
      <c r="J35"/>
      <c r="K35"/>
      <c r="L35"/>
      <c r="M35"/>
      <c r="N35"/>
    </row>
    <row r="36" spans="1:14">
      <c r="A36"/>
      <c r="B36"/>
      <c r="C36"/>
      <c r="D36"/>
      <c r="E36"/>
      <c r="F36"/>
      <c r="G36"/>
      <c r="H36" s="114" t="s">
        <v>49</v>
      </c>
      <c r="I36" s="193">
        <v>4</v>
      </c>
      <c r="J36"/>
      <c r="K36"/>
      <c r="L36"/>
      <c r="M36"/>
      <c r="N36"/>
    </row>
    <row r="37" spans="1:14">
      <c r="A37"/>
      <c r="B37"/>
      <c r="C37"/>
      <c r="D37"/>
      <c r="E37"/>
      <c r="F37"/>
      <c r="G37"/>
      <c r="H37" s="114" t="s">
        <v>50</v>
      </c>
      <c r="I37" s="193">
        <v>4</v>
      </c>
      <c r="J37"/>
      <c r="K37"/>
      <c r="L37"/>
      <c r="M37"/>
      <c r="N37"/>
    </row>
    <row r="38" spans="1:14">
      <c r="A38"/>
      <c r="B38"/>
      <c r="C38"/>
      <c r="D38"/>
      <c r="E38"/>
      <c r="F38"/>
      <c r="G38"/>
      <c r="H38" s="114" t="s">
        <v>51</v>
      </c>
      <c r="I38" s="193">
        <v>4</v>
      </c>
      <c r="J38"/>
      <c r="K38"/>
      <c r="L38"/>
      <c r="M38"/>
      <c r="N38"/>
    </row>
    <row r="39" spans="1:14">
      <c r="A39"/>
      <c r="B39"/>
      <c r="C39"/>
      <c r="D39"/>
      <c r="E39"/>
      <c r="F39"/>
      <c r="G39"/>
      <c r="H39" s="114" t="s">
        <v>52</v>
      </c>
      <c r="I39" s="193">
        <v>4</v>
      </c>
      <c r="J39"/>
      <c r="K39"/>
      <c r="L39"/>
      <c r="M39"/>
      <c r="N39"/>
    </row>
    <row r="40" spans="1:14">
      <c r="A40"/>
      <c r="B40"/>
      <c r="C40"/>
      <c r="D40"/>
      <c r="E40"/>
      <c r="F40"/>
      <c r="G40"/>
      <c r="H40" s="114" t="s">
        <v>53</v>
      </c>
      <c r="I40" s="193">
        <v>4</v>
      </c>
      <c r="J40"/>
      <c r="K40"/>
      <c r="L40"/>
      <c r="M40"/>
      <c r="N40"/>
    </row>
    <row r="41" spans="1:14">
      <c r="A41"/>
      <c r="B41"/>
      <c r="C41"/>
      <c r="D41"/>
      <c r="E41"/>
      <c r="F41"/>
      <c r="G41"/>
      <c r="H41" s="114" t="s">
        <v>54</v>
      </c>
      <c r="I41" s="193">
        <v>4</v>
      </c>
      <c r="J41"/>
      <c r="K41"/>
      <c r="L41"/>
      <c r="M41"/>
      <c r="N41"/>
    </row>
    <row r="42" spans="1:14">
      <c r="A42"/>
      <c r="B42"/>
      <c r="C42"/>
      <c r="D42"/>
      <c r="E42"/>
      <c r="F42"/>
      <c r="G42"/>
      <c r="H42" s="114" t="s">
        <v>55</v>
      </c>
      <c r="I42" s="193">
        <v>4</v>
      </c>
      <c r="J42"/>
      <c r="K42"/>
      <c r="L42"/>
      <c r="M42"/>
      <c r="N42"/>
    </row>
    <row r="43" spans="1:14">
      <c r="A43"/>
      <c r="B43"/>
      <c r="C43"/>
      <c r="D43"/>
      <c r="E43"/>
      <c r="F43"/>
      <c r="G43"/>
      <c r="H43" s="114" t="s">
        <v>56</v>
      </c>
      <c r="I43" s="193">
        <v>4</v>
      </c>
      <c r="J43"/>
      <c r="K43"/>
      <c r="L43"/>
      <c r="M43"/>
      <c r="N43"/>
    </row>
    <row r="44" spans="1:14" ht="15" customHeight="1">
      <c r="A44"/>
      <c r="B44"/>
      <c r="C44"/>
      <c r="D44"/>
      <c r="E44"/>
      <c r="F44"/>
      <c r="G44"/>
      <c r="H44" s="114" t="s">
        <v>57</v>
      </c>
      <c r="I44" s="193">
        <v>4</v>
      </c>
      <c r="J44"/>
      <c r="K44"/>
      <c r="L44"/>
      <c r="M44"/>
      <c r="N44"/>
    </row>
    <row r="45" spans="1:14" ht="15" customHeight="1">
      <c r="A45"/>
      <c r="B45"/>
      <c r="C45"/>
      <c r="D45"/>
      <c r="E45"/>
      <c r="F45"/>
      <c r="G45"/>
      <c r="H45" s="114" t="s">
        <v>58</v>
      </c>
      <c r="I45" s="193">
        <v>4</v>
      </c>
      <c r="J45"/>
      <c r="K45"/>
      <c r="L45"/>
      <c r="M45"/>
      <c r="N45"/>
    </row>
    <row r="46" spans="1:14" ht="15" customHeight="1">
      <c r="A46"/>
      <c r="B46"/>
      <c r="C46"/>
      <c r="D46"/>
      <c r="E46"/>
      <c r="F46"/>
      <c r="G46"/>
      <c r="H46" s="114" t="s">
        <v>59</v>
      </c>
      <c r="I46" s="193">
        <v>4</v>
      </c>
      <c r="J46"/>
      <c r="K46"/>
      <c r="L46"/>
      <c r="M46"/>
      <c r="N46"/>
    </row>
    <row r="47" spans="1:14" ht="15" customHeight="1">
      <c r="A47"/>
      <c r="B47"/>
      <c r="C47"/>
      <c r="D47"/>
      <c r="E47"/>
      <c r="F47"/>
      <c r="G47"/>
      <c r="H47" s="114" t="s">
        <v>60</v>
      </c>
      <c r="I47" s="193">
        <v>4</v>
      </c>
      <c r="J47"/>
      <c r="K47"/>
      <c r="L47"/>
      <c r="M47"/>
      <c r="N47"/>
    </row>
    <row r="48" spans="1:14" ht="15" customHeight="1">
      <c r="A48"/>
      <c r="B48"/>
      <c r="C48"/>
      <c r="D48"/>
      <c r="E48"/>
      <c r="F48"/>
      <c r="G48"/>
      <c r="H48" s="114" t="s">
        <v>61</v>
      </c>
      <c r="I48" s="193">
        <v>4</v>
      </c>
      <c r="J48"/>
      <c r="K48"/>
      <c r="L48"/>
      <c r="M48"/>
      <c r="N48"/>
    </row>
    <row r="49" spans="1:14" ht="15" customHeight="1">
      <c r="A49"/>
      <c r="B49"/>
      <c r="C49"/>
      <c r="D49"/>
      <c r="E49"/>
      <c r="F49"/>
      <c r="G49"/>
      <c r="H49" s="114" t="s">
        <v>62</v>
      </c>
      <c r="I49" s="193">
        <v>4</v>
      </c>
      <c r="J49"/>
      <c r="K49"/>
      <c r="L49"/>
      <c r="M49"/>
      <c r="N49"/>
    </row>
    <row r="50" spans="1:14" ht="15" customHeight="1">
      <c r="A50"/>
      <c r="B50"/>
      <c r="C50"/>
      <c r="D50"/>
      <c r="E50"/>
      <c r="F50"/>
      <c r="G50"/>
      <c r="H50" s="114" t="s">
        <v>63</v>
      </c>
      <c r="I50" s="193">
        <v>4</v>
      </c>
      <c r="J50"/>
      <c r="K50"/>
      <c r="L50"/>
      <c r="M50"/>
      <c r="N50"/>
    </row>
    <row r="51" spans="1:14" ht="15" customHeight="1">
      <c r="A51"/>
      <c r="B51"/>
      <c r="C51"/>
      <c r="D51"/>
      <c r="E51"/>
      <c r="F51"/>
      <c r="G51"/>
      <c r="H51" s="114" t="s">
        <v>64</v>
      </c>
      <c r="I51" s="193">
        <v>4</v>
      </c>
      <c r="J51"/>
      <c r="K51"/>
      <c r="L51"/>
      <c r="M51"/>
      <c r="N51"/>
    </row>
    <row r="52" spans="1:14" ht="15" customHeight="1">
      <c r="A52"/>
      <c r="B52"/>
      <c r="C52"/>
      <c r="D52"/>
      <c r="E52"/>
      <c r="F52"/>
      <c r="G52"/>
      <c r="H52" s="114" t="s">
        <v>65</v>
      </c>
      <c r="I52" s="193">
        <v>4</v>
      </c>
      <c r="J52"/>
      <c r="K52"/>
      <c r="L52"/>
      <c r="M52"/>
      <c r="N52"/>
    </row>
    <row r="53" spans="1:14" ht="15" customHeight="1">
      <c r="A53"/>
      <c r="B53"/>
      <c r="C53"/>
      <c r="D53"/>
      <c r="E53"/>
      <c r="F53"/>
      <c r="G53"/>
      <c r="H53" s="114" t="s">
        <v>66</v>
      </c>
      <c r="I53" s="193">
        <v>4</v>
      </c>
      <c r="J53"/>
      <c r="K53"/>
      <c r="L53"/>
      <c r="M53"/>
      <c r="N53"/>
    </row>
    <row r="54" spans="1:14" ht="15" customHeight="1">
      <c r="A54"/>
      <c r="B54"/>
      <c r="C54"/>
      <c r="D54"/>
      <c r="E54"/>
      <c r="F54"/>
      <c r="G54"/>
      <c r="H54" s="114" t="s">
        <v>67</v>
      </c>
      <c r="I54" s="193">
        <v>4</v>
      </c>
      <c r="J54"/>
      <c r="K54"/>
      <c r="L54"/>
      <c r="M54"/>
      <c r="N54"/>
    </row>
    <row r="55" spans="1:14" ht="15" customHeight="1">
      <c r="A55"/>
      <c r="B55"/>
      <c r="C55"/>
      <c r="D55"/>
      <c r="E55"/>
      <c r="F55"/>
      <c r="G55"/>
      <c r="H55" s="114" t="s">
        <v>68</v>
      </c>
      <c r="I55" s="193">
        <v>4</v>
      </c>
      <c r="J55"/>
      <c r="K55"/>
      <c r="L55"/>
      <c r="M55"/>
      <c r="N55"/>
    </row>
    <row r="56" spans="1:14" ht="15" customHeight="1">
      <c r="A56"/>
      <c r="B56"/>
      <c r="C56"/>
      <c r="D56"/>
      <c r="E56"/>
      <c r="F56"/>
      <c r="G56"/>
      <c r="H56" s="114" t="s">
        <v>69</v>
      </c>
      <c r="I56" s="193">
        <v>4</v>
      </c>
      <c r="J56"/>
      <c r="K56"/>
      <c r="L56"/>
      <c r="M56"/>
      <c r="N56"/>
    </row>
    <row r="57" spans="1:14" ht="15" customHeight="1">
      <c r="A57"/>
      <c r="B57"/>
      <c r="C57"/>
      <c r="D57"/>
      <c r="E57"/>
      <c r="F57"/>
      <c r="G57"/>
      <c r="H57" s="114" t="s">
        <v>70</v>
      </c>
      <c r="I57" s="193">
        <v>2</v>
      </c>
      <c r="J57"/>
      <c r="K57"/>
      <c r="L57"/>
      <c r="M57"/>
      <c r="N57"/>
    </row>
    <row r="58" spans="1:14" ht="15" customHeight="1">
      <c r="A58"/>
      <c r="B58"/>
      <c r="C58"/>
      <c r="D58"/>
      <c r="E58"/>
      <c r="F58"/>
      <c r="G58"/>
      <c r="H58" s="114" t="s">
        <v>310</v>
      </c>
      <c r="I58" s="193">
        <v>2</v>
      </c>
      <c r="J58"/>
      <c r="K58"/>
      <c r="L58"/>
      <c r="M58"/>
      <c r="N58"/>
    </row>
    <row r="59" spans="1:14" ht="15" customHeight="1">
      <c r="A59"/>
      <c r="B59"/>
      <c r="C59"/>
      <c r="D59"/>
      <c r="E59"/>
      <c r="F59"/>
      <c r="G59"/>
      <c r="H59" s="114" t="s">
        <v>71</v>
      </c>
      <c r="I59" s="193">
        <v>2</v>
      </c>
      <c r="J59"/>
      <c r="K59"/>
      <c r="L59"/>
      <c r="M59"/>
      <c r="N59"/>
    </row>
    <row r="60" spans="1:14" ht="15" customHeight="1">
      <c r="A60"/>
      <c r="B60"/>
      <c r="C60"/>
      <c r="D60"/>
      <c r="E60"/>
      <c r="F60"/>
      <c r="G60"/>
      <c r="H60" s="114" t="s">
        <v>72</v>
      </c>
      <c r="I60" s="193">
        <v>2</v>
      </c>
      <c r="J60"/>
      <c r="K60"/>
      <c r="L60"/>
      <c r="M60"/>
      <c r="N60"/>
    </row>
    <row r="61" spans="1:14" ht="15" customHeight="1">
      <c r="A61"/>
      <c r="B61"/>
      <c r="C61"/>
      <c r="D61"/>
      <c r="E61"/>
      <c r="F61"/>
      <c r="G61"/>
      <c r="H61" s="114" t="s">
        <v>73</v>
      </c>
      <c r="I61" s="193">
        <v>2</v>
      </c>
      <c r="J61"/>
      <c r="K61"/>
      <c r="L61"/>
      <c r="M61"/>
      <c r="N61"/>
    </row>
    <row r="62" spans="1:14" ht="15" customHeight="1">
      <c r="A62"/>
      <c r="B62"/>
      <c r="C62"/>
      <c r="D62"/>
      <c r="E62"/>
      <c r="F62"/>
      <c r="G62"/>
      <c r="H62" s="114" t="s">
        <v>74</v>
      </c>
      <c r="I62" s="193">
        <v>2</v>
      </c>
      <c r="J62"/>
      <c r="K62"/>
      <c r="L62"/>
      <c r="M62"/>
      <c r="N62"/>
    </row>
    <row r="63" spans="1:14" ht="15" customHeight="1">
      <c r="A63"/>
      <c r="B63"/>
      <c r="C63"/>
      <c r="D63"/>
      <c r="E63"/>
      <c r="F63"/>
      <c r="G63"/>
      <c r="H63" s="114" t="s">
        <v>75</v>
      </c>
      <c r="I63" s="193">
        <v>2</v>
      </c>
      <c r="J63"/>
      <c r="K63"/>
      <c r="L63"/>
      <c r="M63"/>
      <c r="N63"/>
    </row>
    <row r="64" spans="1:14" ht="15" customHeight="1">
      <c r="A64"/>
      <c r="B64"/>
      <c r="C64"/>
      <c r="D64"/>
      <c r="E64"/>
      <c r="F64"/>
      <c r="G64"/>
      <c r="H64" s="114" t="s">
        <v>311</v>
      </c>
      <c r="I64" s="193">
        <v>2</v>
      </c>
      <c r="J64"/>
      <c r="K64"/>
      <c r="L64"/>
      <c r="M64"/>
      <c r="N64"/>
    </row>
    <row r="65" spans="1:14" ht="15" customHeight="1">
      <c r="A65"/>
      <c r="B65"/>
      <c r="C65"/>
      <c r="D65"/>
      <c r="E65"/>
      <c r="F65"/>
      <c r="G65"/>
      <c r="H65" s="114" t="s">
        <v>76</v>
      </c>
      <c r="I65" s="193">
        <v>2</v>
      </c>
      <c r="J65"/>
      <c r="K65"/>
      <c r="L65"/>
      <c r="M65"/>
      <c r="N65"/>
    </row>
    <row r="66" spans="1:14" ht="15" customHeight="1">
      <c r="A66"/>
      <c r="B66"/>
      <c r="C66"/>
      <c r="D66"/>
      <c r="E66"/>
      <c r="F66"/>
      <c r="G66"/>
      <c r="H66" s="114" t="s">
        <v>276</v>
      </c>
      <c r="I66" s="193">
        <v>2</v>
      </c>
      <c r="J66"/>
      <c r="K66"/>
      <c r="L66"/>
      <c r="M66"/>
      <c r="N66"/>
    </row>
    <row r="67" spans="1:14" ht="15" customHeight="1">
      <c r="A67"/>
      <c r="B67"/>
      <c r="C67"/>
      <c r="D67"/>
      <c r="E67"/>
      <c r="F67"/>
      <c r="G67"/>
      <c r="H67" s="114" t="s">
        <v>77</v>
      </c>
      <c r="I67" s="193">
        <v>2</v>
      </c>
      <c r="J67"/>
      <c r="K67"/>
      <c r="L67"/>
      <c r="M67"/>
      <c r="N67"/>
    </row>
    <row r="68" spans="1:14" ht="15" customHeight="1">
      <c r="A68"/>
      <c r="B68"/>
      <c r="C68"/>
      <c r="D68"/>
      <c r="E68"/>
      <c r="F68"/>
      <c r="G68"/>
      <c r="H68" s="114" t="s">
        <v>78</v>
      </c>
      <c r="I68" s="193">
        <v>2</v>
      </c>
      <c r="J68"/>
      <c r="K68"/>
      <c r="L68"/>
      <c r="M68"/>
      <c r="N68"/>
    </row>
    <row r="69" spans="1:14" ht="15" customHeight="1">
      <c r="A69"/>
      <c r="B69"/>
      <c r="C69"/>
      <c r="D69"/>
      <c r="E69"/>
      <c r="F69"/>
      <c r="G69"/>
      <c r="H69" s="114" t="s">
        <v>79</v>
      </c>
      <c r="I69" s="193">
        <v>2</v>
      </c>
      <c r="J69"/>
      <c r="K69"/>
      <c r="L69"/>
      <c r="M69"/>
      <c r="N69"/>
    </row>
    <row r="70" spans="1:14" ht="15" customHeight="1">
      <c r="A70"/>
      <c r="B70"/>
      <c r="C70"/>
      <c r="D70"/>
      <c r="E70"/>
      <c r="F70"/>
      <c r="G70"/>
      <c r="H70" s="114" t="s">
        <v>80</v>
      </c>
      <c r="I70" s="193">
        <v>2</v>
      </c>
      <c r="J70"/>
      <c r="K70"/>
      <c r="L70"/>
      <c r="M70"/>
      <c r="N70"/>
    </row>
    <row r="71" spans="1:14" ht="15.75" thickBot="1">
      <c r="A71"/>
      <c r="B71"/>
      <c r="C71"/>
      <c r="D71"/>
      <c r="E71"/>
      <c r="F71"/>
      <c r="G71"/>
      <c r="H71" s="116" t="s">
        <v>81</v>
      </c>
      <c r="I71"/>
      <c r="J71"/>
      <c r="K71"/>
      <c r="L71"/>
      <c r="M71"/>
      <c r="N71"/>
    </row>
    <row r="72" spans="1:14">
      <c r="A72"/>
      <c r="B72"/>
      <c r="C72"/>
      <c r="D72"/>
      <c r="E72"/>
      <c r="F72"/>
      <c r="G72"/>
      <c r="H72" s="115"/>
      <c r="I72"/>
      <c r="J72"/>
      <c r="K72"/>
      <c r="L72"/>
      <c r="M72"/>
      <c r="N72"/>
    </row>
    <row r="73" spans="1:14">
      <c r="A73"/>
      <c r="B73"/>
      <c r="C73"/>
      <c r="D73"/>
      <c r="E73"/>
      <c r="F73"/>
      <c r="G73"/>
      <c r="H73" s="115"/>
      <c r="I73"/>
      <c r="J73"/>
      <c r="K73"/>
      <c r="L73"/>
      <c r="M73"/>
      <c r="N73"/>
    </row>
    <row r="74" spans="1:14">
      <c r="A74"/>
      <c r="B74"/>
      <c r="C74"/>
      <c r="D74"/>
      <c r="E74"/>
      <c r="F74"/>
      <c r="G74"/>
      <c r="H74" s="115"/>
      <c r="I74"/>
      <c r="J74"/>
      <c r="K74"/>
      <c r="L74"/>
      <c r="M74"/>
      <c r="N74"/>
    </row>
    <row r="75" spans="1:14">
      <c r="A75"/>
      <c r="B75"/>
      <c r="C75"/>
      <c r="D75"/>
      <c r="E75"/>
      <c r="F75"/>
      <c r="G75"/>
      <c r="H75" s="115"/>
      <c r="I75"/>
      <c r="J75"/>
      <c r="K75"/>
      <c r="L75"/>
      <c r="M75"/>
      <c r="N75"/>
    </row>
    <row r="76" spans="1:14">
      <c r="A76"/>
      <c r="B76"/>
      <c r="C76"/>
      <c r="D76"/>
      <c r="E76"/>
      <c r="F76"/>
      <c r="G76"/>
      <c r="H76" s="115"/>
      <c r="I76"/>
      <c r="J76"/>
      <c r="K76"/>
      <c r="L76"/>
      <c r="M76"/>
      <c r="N76"/>
    </row>
    <row r="77" spans="1:14">
      <c r="A77"/>
      <c r="B77"/>
      <c r="C77"/>
      <c r="D77"/>
      <c r="E77"/>
      <c r="F77"/>
      <c r="G77"/>
      <c r="H77" s="115"/>
      <c r="I77"/>
      <c r="J77"/>
      <c r="K77"/>
      <c r="L77"/>
      <c r="M77"/>
      <c r="N77"/>
    </row>
    <row r="78" spans="1:14">
      <c r="A78"/>
      <c r="B78"/>
      <c r="C78"/>
      <c r="D78"/>
      <c r="E78"/>
      <c r="F78"/>
      <c r="G78"/>
      <c r="H78" s="115"/>
      <c r="I78"/>
      <c r="J78"/>
      <c r="K78"/>
      <c r="L78"/>
      <c r="M78"/>
      <c r="N78"/>
    </row>
    <row r="79" spans="1:14">
      <c r="A79"/>
      <c r="B79"/>
      <c r="C79"/>
      <c r="D79"/>
      <c r="E79"/>
      <c r="F79"/>
      <c r="G79"/>
      <c r="H79" s="115"/>
      <c r="I79"/>
      <c r="J79"/>
      <c r="K79"/>
      <c r="L79"/>
      <c r="M79"/>
      <c r="N79"/>
    </row>
    <row r="80" spans="1:14">
      <c r="A80"/>
      <c r="B80"/>
      <c r="C80"/>
      <c r="D80"/>
      <c r="E80"/>
      <c r="F80"/>
      <c r="G80"/>
      <c r="H80" s="115"/>
      <c r="I80"/>
      <c r="J80"/>
      <c r="K80"/>
      <c r="L80"/>
      <c r="M80"/>
      <c r="N80"/>
    </row>
    <row r="81" spans="1:14">
      <c r="A81"/>
      <c r="B81"/>
      <c r="C81"/>
      <c r="D81"/>
      <c r="E81"/>
      <c r="F81"/>
      <c r="G81"/>
      <c r="H81" s="115"/>
      <c r="I81"/>
      <c r="J81"/>
      <c r="K81"/>
      <c r="L81"/>
      <c r="M81"/>
      <c r="N81"/>
    </row>
    <row r="82" spans="1:14">
      <c r="A82"/>
      <c r="B82"/>
      <c r="C82"/>
      <c r="D82"/>
      <c r="E82"/>
      <c r="F82"/>
      <c r="G82"/>
      <c r="H82" s="115"/>
      <c r="I82"/>
      <c r="J82"/>
      <c r="K82"/>
      <c r="L82"/>
      <c r="M82"/>
      <c r="N82"/>
    </row>
    <row r="83" spans="1:14">
      <c r="A83"/>
      <c r="B83"/>
      <c r="C83"/>
      <c r="D83"/>
      <c r="E83"/>
      <c r="F83"/>
      <c r="G83"/>
      <c r="H83" s="115"/>
      <c r="I83"/>
      <c r="J83"/>
      <c r="K83"/>
      <c r="L83"/>
      <c r="M83"/>
      <c r="N83"/>
    </row>
    <row r="84" spans="1:14">
      <c r="A84"/>
      <c r="B84"/>
      <c r="C84"/>
      <c r="D84"/>
      <c r="E84"/>
      <c r="F84"/>
      <c r="G84"/>
      <c r="H84" s="115"/>
      <c r="I84"/>
      <c r="J84"/>
      <c r="K84"/>
      <c r="L84"/>
      <c r="M84"/>
      <c r="N84"/>
    </row>
    <row r="85" spans="1:14">
      <c r="A85"/>
      <c r="B85"/>
      <c r="C85"/>
      <c r="D85"/>
      <c r="E85"/>
      <c r="F85"/>
      <c r="G85"/>
      <c r="H85" s="115"/>
      <c r="I85"/>
      <c r="J85"/>
      <c r="K85"/>
      <c r="L85"/>
      <c r="M85"/>
      <c r="N85"/>
    </row>
    <row r="86" spans="1:14">
      <c r="A86"/>
      <c r="B86"/>
      <c r="C86"/>
      <c r="D86"/>
      <c r="E86"/>
      <c r="F86"/>
      <c r="G86"/>
      <c r="H86" s="115"/>
      <c r="I86"/>
      <c r="J86"/>
      <c r="K86"/>
      <c r="L86"/>
      <c r="M86"/>
      <c r="N86"/>
    </row>
    <row r="87" spans="1:14">
      <c r="A87"/>
      <c r="B87"/>
      <c r="C87"/>
      <c r="D87"/>
      <c r="E87"/>
      <c r="F87"/>
      <c r="G87"/>
      <c r="H87" s="115"/>
      <c r="I87"/>
      <c r="J87"/>
      <c r="K87"/>
      <c r="L87"/>
      <c r="M87"/>
      <c r="N87"/>
    </row>
    <row r="88" spans="1:14">
      <c r="A88"/>
      <c r="B88"/>
      <c r="C88"/>
      <c r="D88"/>
      <c r="E88"/>
      <c r="F88"/>
      <c r="G88"/>
      <c r="H88" s="115"/>
      <c r="I88"/>
      <c r="J88"/>
      <c r="K88"/>
      <c r="L88"/>
      <c r="M88"/>
      <c r="N88"/>
    </row>
    <row r="89" spans="1:14">
      <c r="A89"/>
      <c r="B89"/>
      <c r="C89"/>
      <c r="D89"/>
      <c r="E89"/>
      <c r="F89"/>
      <c r="G89"/>
      <c r="H89" s="115"/>
      <c r="I89"/>
      <c r="J89"/>
      <c r="K89"/>
      <c r="L89"/>
      <c r="M89"/>
      <c r="N89"/>
    </row>
    <row r="90" spans="1:14">
      <c r="A90"/>
      <c r="B90"/>
      <c r="C90"/>
      <c r="D90"/>
      <c r="E90"/>
      <c r="F90"/>
      <c r="G90"/>
      <c r="H90" s="115"/>
      <c r="I90"/>
      <c r="J90"/>
      <c r="K90"/>
      <c r="L90"/>
      <c r="M90"/>
      <c r="N90"/>
    </row>
    <row r="91" spans="1:14">
      <c r="A91"/>
      <c r="B91"/>
      <c r="C91"/>
      <c r="D91"/>
      <c r="E91"/>
      <c r="F91"/>
      <c r="G91"/>
      <c r="H91" s="115"/>
      <c r="I91"/>
      <c r="J91"/>
      <c r="K91"/>
      <c r="L91"/>
      <c r="M91"/>
      <c r="N91"/>
    </row>
    <row r="92" spans="1:14">
      <c r="A92"/>
      <c r="B92"/>
      <c r="C92"/>
      <c r="D92"/>
      <c r="E92"/>
      <c r="F92"/>
      <c r="G92"/>
      <c r="H92" s="115"/>
      <c r="I92"/>
      <c r="J92"/>
      <c r="K92"/>
      <c r="L92"/>
      <c r="M92"/>
      <c r="N92"/>
    </row>
    <row r="93" spans="1:14">
      <c r="A93"/>
      <c r="B93"/>
      <c r="C93"/>
      <c r="D93"/>
      <c r="E93"/>
      <c r="F93"/>
      <c r="G93"/>
      <c r="H93" s="115"/>
      <c r="I93"/>
      <c r="J93"/>
      <c r="K93"/>
      <c r="L93"/>
      <c r="M93"/>
      <c r="N93"/>
    </row>
    <row r="94" spans="1:14">
      <c r="A94"/>
      <c r="B94"/>
      <c r="C94"/>
      <c r="D94"/>
      <c r="E94"/>
      <c r="F94"/>
      <c r="G94"/>
      <c r="H94" s="115"/>
      <c r="I94"/>
      <c r="J94"/>
      <c r="K94"/>
      <c r="L94"/>
      <c r="M94"/>
      <c r="N94"/>
    </row>
    <row r="95" spans="1:14" ht="15.75" thickBot="1">
      <c r="A95"/>
      <c r="B95"/>
      <c r="C95"/>
      <c r="D95"/>
      <c r="E95"/>
      <c r="F95"/>
      <c r="G95"/>
      <c r="H95" s="117"/>
      <c r="I95"/>
      <c r="J95"/>
      <c r="K95"/>
      <c r="L95"/>
      <c r="M95"/>
      <c r="N95"/>
    </row>
    <row r="96" spans="1:14">
      <c r="A96"/>
      <c r="B96"/>
      <c r="C96"/>
      <c r="D96"/>
      <c r="E96"/>
      <c r="F96"/>
      <c r="G96"/>
      <c r="I96"/>
      <c r="J96"/>
      <c r="K96"/>
      <c r="L96"/>
      <c r="M96"/>
      <c r="N96"/>
    </row>
    <row r="97" spans="1:14">
      <c r="A97"/>
      <c r="B97"/>
      <c r="C97"/>
      <c r="D97"/>
      <c r="E97"/>
      <c r="F97"/>
      <c r="G97"/>
      <c r="I97"/>
      <c r="J97"/>
      <c r="K97"/>
      <c r="L97"/>
      <c r="M97"/>
      <c r="N97"/>
    </row>
    <row r="98" spans="1:14">
      <c r="A98"/>
      <c r="B98"/>
      <c r="C98"/>
      <c r="D98"/>
      <c r="E98"/>
      <c r="F98"/>
      <c r="G98"/>
      <c r="I98"/>
      <c r="J98"/>
      <c r="K98"/>
      <c r="L98"/>
      <c r="M98"/>
      <c r="N98"/>
    </row>
    <row r="99" spans="1:14">
      <c r="A99"/>
      <c r="B99"/>
      <c r="C99"/>
      <c r="D99"/>
      <c r="E99"/>
      <c r="F99"/>
      <c r="G99"/>
      <c r="I99"/>
      <c r="J99"/>
      <c r="K99"/>
      <c r="L99"/>
      <c r="M99"/>
      <c r="N99"/>
    </row>
    <row r="100" spans="1:14">
      <c r="A100"/>
      <c r="B100"/>
      <c r="C100"/>
      <c r="D100"/>
      <c r="E100"/>
      <c r="F100"/>
      <c r="G100"/>
      <c r="I100"/>
      <c r="J100"/>
      <c r="K100"/>
      <c r="L100"/>
      <c r="M100"/>
      <c r="N100"/>
    </row>
    <row r="101" spans="1:14">
      <c r="A101"/>
      <c r="B101"/>
      <c r="C101"/>
      <c r="D101"/>
      <c r="E101"/>
      <c r="F101"/>
      <c r="G101"/>
      <c r="I101"/>
      <c r="J101"/>
      <c r="K101"/>
      <c r="L101"/>
      <c r="M101"/>
      <c r="N101"/>
    </row>
    <row r="102" spans="1:14">
      <c r="A102"/>
      <c r="B102"/>
      <c r="C102"/>
      <c r="D102"/>
      <c r="E102"/>
      <c r="F102"/>
      <c r="G102"/>
      <c r="I102"/>
      <c r="J102"/>
      <c r="K102"/>
      <c r="L102"/>
      <c r="M102"/>
      <c r="N102"/>
    </row>
    <row r="103" spans="1:14">
      <c r="A103"/>
      <c r="B103"/>
      <c r="C103"/>
      <c r="D103"/>
      <c r="E103"/>
      <c r="F103"/>
      <c r="G103"/>
      <c r="I103"/>
      <c r="J103"/>
      <c r="K103"/>
      <c r="L103"/>
      <c r="M103"/>
      <c r="N103"/>
    </row>
    <row r="104" spans="1:14">
      <c r="A104"/>
      <c r="B104"/>
      <c r="C104"/>
      <c r="D104"/>
      <c r="E104"/>
      <c r="F104"/>
      <c r="G104"/>
      <c r="I104"/>
      <c r="J104"/>
      <c r="K104"/>
      <c r="L104"/>
      <c r="M104"/>
      <c r="N104"/>
    </row>
    <row r="105" spans="1:14">
      <c r="A105"/>
      <c r="B105"/>
      <c r="C105"/>
      <c r="D105"/>
      <c r="E105"/>
      <c r="F105"/>
      <c r="G105"/>
      <c r="I105"/>
      <c r="J105"/>
      <c r="K105"/>
      <c r="L105"/>
      <c r="M105"/>
      <c r="N105"/>
    </row>
    <row r="106" spans="1:14">
      <c r="A106"/>
      <c r="B106"/>
      <c r="C106"/>
      <c r="D106"/>
      <c r="E106"/>
      <c r="F106"/>
      <c r="G106"/>
      <c r="I106"/>
      <c r="J106"/>
      <c r="K106"/>
      <c r="L106"/>
      <c r="M106"/>
      <c r="N106"/>
    </row>
    <row r="107" spans="1:14">
      <c r="A107"/>
      <c r="B107"/>
      <c r="C107"/>
      <c r="D107"/>
      <c r="E107"/>
      <c r="F107"/>
      <c r="G107"/>
      <c r="I107"/>
      <c r="J107"/>
      <c r="K107"/>
      <c r="L107"/>
      <c r="M107"/>
      <c r="N107"/>
    </row>
    <row r="108" spans="1:14">
      <c r="A108"/>
      <c r="B108"/>
      <c r="C108"/>
      <c r="D108"/>
      <c r="E108"/>
      <c r="F108"/>
      <c r="G108"/>
      <c r="I108"/>
      <c r="J108"/>
      <c r="K108"/>
      <c r="L108"/>
      <c r="M108"/>
      <c r="N108"/>
    </row>
    <row r="109" spans="1:14">
      <c r="A109"/>
      <c r="B109"/>
      <c r="C109"/>
      <c r="D109"/>
      <c r="E109"/>
      <c r="F109"/>
      <c r="G109"/>
      <c r="I109"/>
      <c r="J109"/>
      <c r="K109"/>
      <c r="L109"/>
      <c r="M109"/>
      <c r="N109"/>
    </row>
    <row r="110" spans="1:14">
      <c r="A110"/>
      <c r="B110"/>
      <c r="C110"/>
      <c r="D110"/>
      <c r="E110"/>
      <c r="F110"/>
      <c r="G110"/>
      <c r="I110"/>
      <c r="J110"/>
      <c r="K110"/>
      <c r="L110"/>
      <c r="M110"/>
      <c r="N110"/>
    </row>
    <row r="111" spans="1:14">
      <c r="A111"/>
      <c r="B111"/>
      <c r="C111"/>
      <c r="D111"/>
      <c r="E111"/>
      <c r="F111"/>
      <c r="G111"/>
      <c r="I111"/>
      <c r="J111"/>
      <c r="K111"/>
      <c r="L111"/>
      <c r="M111"/>
      <c r="N111"/>
    </row>
    <row r="112" spans="1:14">
      <c r="A112"/>
      <c r="B112"/>
      <c r="C112"/>
      <c r="D112"/>
      <c r="E112"/>
      <c r="F112"/>
      <c r="G112"/>
      <c r="I112"/>
      <c r="J112"/>
      <c r="K112"/>
      <c r="L112"/>
      <c r="M112"/>
      <c r="N112"/>
    </row>
    <row r="113" spans="1:14">
      <c r="A113"/>
      <c r="B113"/>
      <c r="C113"/>
      <c r="D113"/>
      <c r="E113"/>
      <c r="F113"/>
      <c r="G113"/>
      <c r="I113"/>
      <c r="J113"/>
      <c r="K113"/>
      <c r="L113"/>
      <c r="M113"/>
      <c r="N113"/>
    </row>
    <row r="114" spans="1:14">
      <c r="A114"/>
      <c r="B114"/>
      <c r="C114"/>
      <c r="D114"/>
      <c r="E114"/>
      <c r="F114"/>
      <c r="G114"/>
      <c r="I114"/>
      <c r="J114"/>
      <c r="K114"/>
      <c r="L114"/>
      <c r="M114"/>
      <c r="N114"/>
    </row>
    <row r="115" spans="1:14">
      <c r="A115"/>
      <c r="B115"/>
      <c r="C115"/>
      <c r="D115"/>
      <c r="E115"/>
      <c r="F115"/>
      <c r="G115"/>
      <c r="I115"/>
      <c r="J115"/>
      <c r="K115"/>
      <c r="L115"/>
      <c r="M115"/>
      <c r="N115"/>
    </row>
    <row r="116" spans="1:14">
      <c r="A116"/>
      <c r="B116"/>
      <c r="C116"/>
      <c r="D116"/>
      <c r="E116"/>
      <c r="F116"/>
      <c r="G116"/>
      <c r="I116"/>
      <c r="J116"/>
      <c r="K116"/>
      <c r="L116"/>
      <c r="M116"/>
      <c r="N116"/>
    </row>
    <row r="117" spans="1:14">
      <c r="A117"/>
      <c r="B117"/>
      <c r="C117"/>
      <c r="D117"/>
      <c r="E117"/>
      <c r="F117"/>
      <c r="G117"/>
      <c r="I117"/>
      <c r="J117"/>
      <c r="K117"/>
      <c r="L117"/>
      <c r="M117"/>
      <c r="N117"/>
    </row>
    <row r="118" spans="1:14">
      <c r="A118"/>
      <c r="B118"/>
      <c r="C118"/>
      <c r="D118"/>
      <c r="E118"/>
      <c r="F118"/>
      <c r="G118"/>
      <c r="I118"/>
      <c r="J118"/>
      <c r="K118"/>
      <c r="L118"/>
      <c r="M118"/>
      <c r="N118"/>
    </row>
    <row r="119" spans="1:14">
      <c r="A119"/>
      <c r="B119"/>
      <c r="C119"/>
      <c r="D119"/>
      <c r="E119"/>
      <c r="F119"/>
      <c r="G119"/>
      <c r="I119"/>
      <c r="J119"/>
      <c r="K119"/>
      <c r="L119"/>
      <c r="M119"/>
      <c r="N119"/>
    </row>
    <row r="120" spans="1:14">
      <c r="A120"/>
      <c r="B120"/>
      <c r="C120"/>
      <c r="D120"/>
      <c r="E120"/>
      <c r="F120"/>
      <c r="G120"/>
      <c r="I120"/>
      <c r="J120"/>
      <c r="K120"/>
      <c r="L120"/>
      <c r="M120"/>
      <c r="N120"/>
    </row>
    <row r="121" spans="1:14">
      <c r="A121"/>
      <c r="B121"/>
      <c r="C121"/>
      <c r="D121"/>
      <c r="E121"/>
      <c r="F121"/>
      <c r="G121"/>
      <c r="I121"/>
      <c r="J121"/>
      <c r="K121"/>
      <c r="L121"/>
      <c r="M121"/>
      <c r="N121"/>
    </row>
    <row r="122" spans="1:14">
      <c r="A122"/>
      <c r="B122"/>
      <c r="C122"/>
      <c r="D122"/>
      <c r="E122"/>
      <c r="F122"/>
      <c r="G122"/>
      <c r="I122"/>
      <c r="J122"/>
      <c r="K122"/>
      <c r="L122"/>
      <c r="M122"/>
      <c r="N122"/>
    </row>
    <row r="123" spans="1:14">
      <c r="A123"/>
      <c r="B123"/>
      <c r="C123"/>
      <c r="D123"/>
      <c r="E123"/>
      <c r="F123"/>
      <c r="G123"/>
      <c r="I123"/>
      <c r="J123"/>
      <c r="K123"/>
      <c r="L123"/>
      <c r="M123"/>
      <c r="N123"/>
    </row>
    <row r="124" spans="1:14">
      <c r="A124"/>
      <c r="B124"/>
      <c r="C124"/>
      <c r="D124"/>
      <c r="E124"/>
      <c r="F124"/>
      <c r="G124"/>
      <c r="I124"/>
      <c r="J124"/>
      <c r="K124"/>
      <c r="L124"/>
      <c r="M124"/>
      <c r="N124"/>
    </row>
    <row r="125" spans="1:14">
      <c r="A125"/>
      <c r="B125"/>
      <c r="C125"/>
      <c r="D125"/>
      <c r="E125"/>
      <c r="F125"/>
      <c r="G125"/>
      <c r="I125"/>
      <c r="J125"/>
      <c r="K125"/>
      <c r="L125"/>
      <c r="M125"/>
      <c r="N125"/>
    </row>
    <row r="126" spans="1:14">
      <c r="A126"/>
      <c r="B126"/>
      <c r="C126"/>
      <c r="D126"/>
      <c r="E126"/>
      <c r="F126"/>
      <c r="G126"/>
      <c r="I126"/>
      <c r="J126"/>
      <c r="K126"/>
      <c r="L126"/>
      <c r="M126"/>
      <c r="N126"/>
    </row>
    <row r="127" spans="1:14">
      <c r="A127"/>
      <c r="B127"/>
      <c r="C127"/>
      <c r="D127"/>
      <c r="E127"/>
      <c r="F127"/>
      <c r="G127"/>
      <c r="I127"/>
      <c r="J127"/>
      <c r="K127"/>
      <c r="L127"/>
      <c r="M127"/>
      <c r="N127"/>
    </row>
    <row r="128" spans="1:14">
      <c r="A128"/>
      <c r="B128"/>
      <c r="C128"/>
      <c r="D128"/>
      <c r="E128"/>
      <c r="F128"/>
      <c r="G128"/>
      <c r="I128"/>
      <c r="J128"/>
      <c r="K128"/>
      <c r="L128"/>
      <c r="M128"/>
      <c r="N128"/>
    </row>
    <row r="129" spans="1:14">
      <c r="A129"/>
      <c r="B129"/>
      <c r="C129"/>
      <c r="D129"/>
      <c r="E129"/>
      <c r="F129"/>
      <c r="G129"/>
      <c r="I129"/>
      <c r="J129"/>
      <c r="K129"/>
      <c r="L129"/>
      <c r="M129"/>
      <c r="N129"/>
    </row>
    <row r="130" spans="1:14">
      <c r="A130"/>
      <c r="B130"/>
      <c r="C130"/>
      <c r="D130"/>
      <c r="E130"/>
      <c r="F130"/>
      <c r="G130"/>
      <c r="I130"/>
      <c r="J130"/>
      <c r="K130"/>
      <c r="L130"/>
      <c r="M130"/>
      <c r="N130"/>
    </row>
    <row r="131" spans="1:14">
      <c r="A131"/>
      <c r="B131"/>
      <c r="C131"/>
      <c r="D131"/>
      <c r="E131"/>
      <c r="F131"/>
      <c r="G131"/>
      <c r="I131"/>
      <c r="J131"/>
      <c r="K131"/>
      <c r="L131"/>
      <c r="M131"/>
      <c r="N131"/>
    </row>
    <row r="132" spans="1:14">
      <c r="A132"/>
      <c r="B132"/>
      <c r="C132"/>
      <c r="D132"/>
      <c r="E132"/>
      <c r="F132"/>
      <c r="G132"/>
      <c r="I132"/>
      <c r="J132"/>
      <c r="K132"/>
      <c r="L132"/>
      <c r="M132"/>
      <c r="N132"/>
    </row>
    <row r="133" spans="1:14">
      <c r="A133"/>
      <c r="B133"/>
      <c r="C133"/>
      <c r="D133"/>
      <c r="E133"/>
      <c r="F133"/>
      <c r="G133"/>
      <c r="I133"/>
      <c r="J133"/>
      <c r="K133"/>
      <c r="L133"/>
      <c r="M133"/>
      <c r="N133"/>
    </row>
    <row r="134" spans="1:14">
      <c r="A134"/>
      <c r="B134"/>
      <c r="C134"/>
      <c r="D134"/>
      <c r="E134"/>
      <c r="F134"/>
      <c r="G134"/>
      <c r="I134"/>
      <c r="J134"/>
      <c r="K134"/>
      <c r="L134"/>
      <c r="M134"/>
      <c r="N134"/>
    </row>
    <row r="135" spans="1:14">
      <c r="A135"/>
      <c r="B135"/>
      <c r="C135"/>
      <c r="D135"/>
      <c r="E135"/>
      <c r="F135"/>
      <c r="G135"/>
      <c r="I135"/>
      <c r="J135"/>
      <c r="K135"/>
      <c r="L135"/>
      <c r="M135"/>
      <c r="N135"/>
    </row>
    <row r="136" spans="1:14">
      <c r="A136"/>
      <c r="B136"/>
      <c r="C136"/>
      <c r="D136"/>
      <c r="E136"/>
      <c r="F136"/>
      <c r="G136"/>
      <c r="I136"/>
      <c r="J136"/>
      <c r="K136"/>
      <c r="L136"/>
      <c r="M136"/>
      <c r="N136"/>
    </row>
    <row r="137" spans="1:14">
      <c r="A137"/>
      <c r="B137"/>
      <c r="C137"/>
      <c r="D137"/>
      <c r="E137"/>
      <c r="F137"/>
      <c r="G137"/>
      <c r="I137"/>
      <c r="J137"/>
      <c r="K137"/>
      <c r="L137"/>
      <c r="M137"/>
      <c r="N137"/>
    </row>
    <row r="138" spans="1:14">
      <c r="A138"/>
      <c r="B138"/>
      <c r="C138"/>
      <c r="D138"/>
      <c r="E138"/>
      <c r="F138"/>
      <c r="G138"/>
      <c r="I138"/>
      <c r="J138"/>
      <c r="K138"/>
      <c r="L138"/>
      <c r="M138"/>
      <c r="N138"/>
    </row>
    <row r="139" spans="1:14">
      <c r="A139"/>
      <c r="B139"/>
      <c r="C139"/>
      <c r="D139"/>
      <c r="E139"/>
      <c r="F139"/>
      <c r="G139"/>
      <c r="I139"/>
      <c r="J139"/>
      <c r="K139"/>
      <c r="L139"/>
      <c r="M139"/>
      <c r="N139"/>
    </row>
    <row r="140" spans="1:14">
      <c r="A140"/>
      <c r="B140"/>
      <c r="C140"/>
      <c r="D140"/>
      <c r="E140"/>
      <c r="F140"/>
      <c r="G140"/>
      <c r="I140"/>
      <c r="J140"/>
      <c r="K140"/>
      <c r="L140"/>
      <c r="M140"/>
      <c r="N140"/>
    </row>
    <row r="141" spans="1:14">
      <c r="A141"/>
      <c r="B141"/>
      <c r="C141"/>
      <c r="D141"/>
      <c r="E141"/>
      <c r="F141"/>
      <c r="G141"/>
      <c r="I141"/>
      <c r="J141"/>
      <c r="K141"/>
      <c r="L141"/>
      <c r="M141"/>
      <c r="N141"/>
    </row>
    <row r="142" spans="1:14">
      <c r="A142"/>
      <c r="B142"/>
      <c r="C142"/>
      <c r="D142"/>
      <c r="E142"/>
      <c r="F142"/>
      <c r="G142"/>
      <c r="I142"/>
      <c r="J142"/>
      <c r="K142"/>
      <c r="L142"/>
      <c r="M142"/>
      <c r="N142"/>
    </row>
    <row r="143" spans="1:14">
      <c r="A143"/>
      <c r="B143"/>
      <c r="C143"/>
      <c r="D143"/>
      <c r="E143"/>
      <c r="F143"/>
      <c r="G143"/>
      <c r="I143"/>
      <c r="J143"/>
      <c r="K143"/>
      <c r="L143"/>
      <c r="M143"/>
      <c r="N143"/>
    </row>
    <row r="144" spans="1:14">
      <c r="A144"/>
      <c r="B144"/>
      <c r="C144"/>
      <c r="D144"/>
      <c r="E144"/>
      <c r="F144"/>
      <c r="G144"/>
      <c r="I144"/>
      <c r="J144"/>
      <c r="K144"/>
      <c r="L144"/>
      <c r="M144"/>
      <c r="N144"/>
    </row>
    <row r="145" spans="1:14">
      <c r="A145"/>
      <c r="B145"/>
      <c r="C145"/>
      <c r="D145"/>
      <c r="E145"/>
      <c r="F145"/>
      <c r="G145"/>
      <c r="I145"/>
      <c r="J145"/>
      <c r="K145"/>
      <c r="L145"/>
      <c r="M145"/>
      <c r="N145"/>
    </row>
    <row r="146" spans="1:14">
      <c r="A146"/>
      <c r="B146"/>
      <c r="C146"/>
      <c r="D146"/>
      <c r="E146"/>
      <c r="F146"/>
      <c r="G146"/>
      <c r="I146"/>
      <c r="J146"/>
      <c r="K146"/>
      <c r="L146"/>
      <c r="M146"/>
      <c r="N146"/>
    </row>
    <row r="147" spans="1:14">
      <c r="A147"/>
      <c r="B147"/>
      <c r="C147"/>
      <c r="D147"/>
      <c r="E147"/>
      <c r="F147"/>
      <c r="G147"/>
      <c r="I147"/>
      <c r="J147"/>
      <c r="K147"/>
      <c r="L147"/>
      <c r="M147"/>
      <c r="N147"/>
    </row>
    <row r="148" spans="1:14">
      <c r="A148"/>
      <c r="B148"/>
      <c r="C148"/>
      <c r="D148"/>
      <c r="E148"/>
      <c r="F148"/>
      <c r="G148"/>
      <c r="I148"/>
      <c r="J148"/>
      <c r="K148"/>
      <c r="L148"/>
      <c r="M148"/>
      <c r="N148"/>
    </row>
    <row r="149" spans="1:14">
      <c r="A149"/>
      <c r="B149"/>
      <c r="C149"/>
      <c r="D149"/>
      <c r="E149"/>
      <c r="F149"/>
      <c r="G149"/>
      <c r="I149"/>
      <c r="J149"/>
      <c r="K149"/>
      <c r="L149"/>
      <c r="M149"/>
      <c r="N149"/>
    </row>
    <row r="150" spans="1:14">
      <c r="A150"/>
      <c r="B150"/>
      <c r="C150"/>
      <c r="D150"/>
      <c r="E150"/>
      <c r="F150"/>
      <c r="G150"/>
      <c r="I150"/>
      <c r="J150"/>
      <c r="K150"/>
      <c r="L150"/>
      <c r="M150"/>
      <c r="N150"/>
    </row>
    <row r="151" spans="1:14">
      <c r="A151"/>
      <c r="B151"/>
      <c r="C151"/>
      <c r="D151"/>
      <c r="E151"/>
      <c r="F151"/>
      <c r="G151"/>
      <c r="I151"/>
      <c r="J151"/>
      <c r="K151"/>
      <c r="L151"/>
      <c r="M151"/>
      <c r="N151"/>
    </row>
    <row r="152" spans="1:14">
      <c r="A152"/>
      <c r="B152"/>
      <c r="C152"/>
      <c r="D152"/>
      <c r="E152"/>
      <c r="F152"/>
      <c r="G152"/>
      <c r="I152"/>
      <c r="J152"/>
      <c r="K152"/>
      <c r="L152"/>
      <c r="M152"/>
      <c r="N152"/>
    </row>
    <row r="153" spans="1:14">
      <c r="A153"/>
      <c r="B153"/>
      <c r="C153"/>
      <c r="D153"/>
      <c r="E153"/>
      <c r="F153"/>
      <c r="G153"/>
      <c r="I153"/>
      <c r="J153"/>
      <c r="K153"/>
      <c r="L153"/>
      <c r="M153"/>
      <c r="N153"/>
    </row>
    <row r="154" spans="1:14">
      <c r="A154"/>
      <c r="B154"/>
      <c r="C154"/>
      <c r="D154"/>
      <c r="E154"/>
      <c r="F154"/>
      <c r="G154"/>
      <c r="I154"/>
      <c r="J154"/>
      <c r="K154"/>
      <c r="L154"/>
      <c r="M154"/>
      <c r="N154"/>
    </row>
    <row r="155" spans="1:14">
      <c r="A155"/>
      <c r="B155"/>
      <c r="C155"/>
      <c r="D155"/>
      <c r="E155"/>
      <c r="F155"/>
      <c r="G155"/>
      <c r="I155"/>
      <c r="J155"/>
      <c r="K155"/>
      <c r="L155"/>
      <c r="M155"/>
      <c r="N155"/>
    </row>
    <row r="156" spans="1:14">
      <c r="A156"/>
      <c r="B156"/>
      <c r="C156"/>
      <c r="D156"/>
      <c r="E156"/>
      <c r="F156"/>
      <c r="G156"/>
      <c r="I156"/>
      <c r="J156"/>
      <c r="K156"/>
      <c r="L156"/>
      <c r="M156"/>
      <c r="N156"/>
    </row>
    <row r="157" spans="1:14">
      <c r="A157"/>
      <c r="B157"/>
      <c r="C157"/>
      <c r="D157"/>
      <c r="E157"/>
      <c r="F157"/>
      <c r="G157"/>
      <c r="I157"/>
      <c r="J157"/>
      <c r="K157"/>
      <c r="L157"/>
      <c r="M157"/>
      <c r="N157"/>
    </row>
    <row r="158" spans="1:14">
      <c r="A158"/>
      <c r="B158"/>
      <c r="C158"/>
      <c r="D158"/>
      <c r="E158"/>
      <c r="F158"/>
      <c r="G158"/>
      <c r="I158"/>
      <c r="J158"/>
      <c r="K158"/>
      <c r="L158"/>
      <c r="M158"/>
      <c r="N158"/>
    </row>
    <row r="159" spans="1:14">
      <c r="A159"/>
      <c r="B159"/>
      <c r="C159"/>
      <c r="D159"/>
      <c r="E159"/>
      <c r="F159"/>
      <c r="G159"/>
      <c r="I159"/>
      <c r="J159"/>
      <c r="K159"/>
      <c r="L159"/>
      <c r="M159"/>
      <c r="N159"/>
    </row>
    <row r="160" spans="1:14">
      <c r="A160"/>
      <c r="B160"/>
      <c r="C160"/>
      <c r="D160"/>
      <c r="E160"/>
      <c r="F160"/>
      <c r="G160"/>
      <c r="I160"/>
      <c r="J160"/>
      <c r="K160"/>
      <c r="L160"/>
      <c r="M160"/>
      <c r="N160"/>
    </row>
    <row r="161" spans="1:14">
      <c r="A161"/>
      <c r="B161"/>
      <c r="C161"/>
      <c r="D161"/>
      <c r="E161"/>
      <c r="F161"/>
      <c r="G161"/>
      <c r="I161"/>
      <c r="J161"/>
      <c r="K161"/>
      <c r="L161"/>
      <c r="M161"/>
      <c r="N161"/>
    </row>
    <row r="162" spans="1:14">
      <c r="A162"/>
      <c r="B162"/>
      <c r="C162"/>
      <c r="D162"/>
      <c r="E162"/>
      <c r="F162"/>
      <c r="G162"/>
      <c r="I162"/>
      <c r="J162"/>
      <c r="K162"/>
      <c r="L162"/>
      <c r="M162"/>
      <c r="N162"/>
    </row>
    <row r="163" spans="1:14">
      <c r="A163"/>
      <c r="B163"/>
      <c r="C163"/>
      <c r="D163"/>
      <c r="E163"/>
      <c r="F163"/>
      <c r="G163"/>
      <c r="I163"/>
      <c r="J163"/>
      <c r="K163"/>
      <c r="L163"/>
      <c r="M163"/>
      <c r="N163"/>
    </row>
    <row r="164" spans="1:14">
      <c r="A164"/>
      <c r="B164"/>
      <c r="C164"/>
      <c r="D164"/>
      <c r="E164"/>
      <c r="F164"/>
      <c r="G164"/>
      <c r="I164"/>
      <c r="J164"/>
      <c r="K164"/>
      <c r="L164"/>
      <c r="M164"/>
      <c r="N164"/>
    </row>
    <row r="165" spans="1:14">
      <c r="A165"/>
      <c r="B165"/>
      <c r="C165"/>
      <c r="D165"/>
      <c r="E165"/>
      <c r="F165"/>
      <c r="G165"/>
      <c r="I165"/>
      <c r="J165"/>
      <c r="K165"/>
      <c r="L165"/>
      <c r="M165"/>
      <c r="N165"/>
    </row>
    <row r="166" spans="1:14">
      <c r="A166"/>
      <c r="B166"/>
      <c r="C166"/>
      <c r="D166"/>
      <c r="E166"/>
      <c r="F166"/>
      <c r="G166"/>
      <c r="I166"/>
      <c r="J166"/>
      <c r="K166"/>
      <c r="L166"/>
      <c r="M166"/>
      <c r="N166"/>
    </row>
    <row r="167" spans="1:14">
      <c r="A167"/>
      <c r="B167"/>
      <c r="C167"/>
      <c r="D167"/>
      <c r="E167"/>
      <c r="F167"/>
      <c r="G167"/>
      <c r="I167"/>
      <c r="J167"/>
      <c r="K167"/>
      <c r="L167"/>
      <c r="M167"/>
      <c r="N167"/>
    </row>
    <row r="168" spans="1:14">
      <c r="A168"/>
      <c r="B168"/>
      <c r="C168"/>
      <c r="D168"/>
      <c r="E168"/>
      <c r="F168"/>
      <c r="G168"/>
      <c r="I168"/>
      <c r="J168"/>
      <c r="K168"/>
      <c r="L168"/>
      <c r="M168"/>
      <c r="N168"/>
    </row>
    <row r="169" spans="1:14">
      <c r="A169"/>
      <c r="B169"/>
      <c r="C169"/>
      <c r="D169"/>
      <c r="E169"/>
      <c r="F169"/>
      <c r="G169"/>
      <c r="I169"/>
      <c r="J169"/>
      <c r="K169"/>
      <c r="L169"/>
      <c r="M169"/>
      <c r="N169"/>
    </row>
    <row r="170" spans="1:14">
      <c r="A170"/>
      <c r="B170"/>
      <c r="C170"/>
      <c r="D170"/>
      <c r="E170"/>
      <c r="F170"/>
      <c r="G170"/>
      <c r="I170"/>
      <c r="J170"/>
      <c r="K170"/>
      <c r="L170"/>
      <c r="M170"/>
      <c r="N170"/>
    </row>
    <row r="171" spans="1:14">
      <c r="A171"/>
      <c r="B171"/>
      <c r="C171"/>
      <c r="D171"/>
      <c r="E171"/>
      <c r="F171"/>
      <c r="G171"/>
      <c r="I171"/>
      <c r="J171"/>
      <c r="K171"/>
      <c r="L171"/>
      <c r="M171"/>
      <c r="N171"/>
    </row>
    <row r="172" spans="1:14">
      <c r="A172"/>
      <c r="B172"/>
      <c r="C172"/>
      <c r="D172"/>
      <c r="E172"/>
      <c r="F172"/>
      <c r="G172"/>
      <c r="I172"/>
      <c r="J172"/>
      <c r="K172"/>
      <c r="L172"/>
      <c r="M172"/>
      <c r="N172"/>
    </row>
    <row r="173" spans="1:14">
      <c r="A173"/>
      <c r="B173"/>
      <c r="C173"/>
      <c r="D173"/>
      <c r="E173"/>
      <c r="F173"/>
      <c r="G173"/>
      <c r="I173"/>
      <c r="J173"/>
      <c r="K173"/>
      <c r="L173"/>
      <c r="M173"/>
      <c r="N173"/>
    </row>
    <row r="174" spans="1:14">
      <c r="A174"/>
      <c r="B174"/>
      <c r="C174"/>
      <c r="D174"/>
      <c r="E174"/>
      <c r="F174"/>
      <c r="G174"/>
      <c r="I174"/>
      <c r="J174"/>
      <c r="K174"/>
      <c r="L174"/>
      <c r="M174"/>
      <c r="N174"/>
    </row>
    <row r="175" spans="1:14">
      <c r="A175"/>
      <c r="B175"/>
      <c r="C175"/>
      <c r="D175"/>
      <c r="E175"/>
      <c r="F175"/>
      <c r="G175"/>
      <c r="I175"/>
      <c r="J175"/>
      <c r="K175"/>
      <c r="L175"/>
      <c r="M175"/>
      <c r="N175"/>
    </row>
    <row r="176" spans="1:14">
      <c r="A176"/>
      <c r="B176"/>
      <c r="C176"/>
      <c r="D176"/>
      <c r="E176"/>
      <c r="F176"/>
      <c r="G176"/>
      <c r="I176"/>
      <c r="J176"/>
      <c r="K176"/>
      <c r="L176"/>
      <c r="M176"/>
      <c r="N176"/>
    </row>
    <row r="177" spans="1:14">
      <c r="A177"/>
      <c r="B177"/>
      <c r="C177"/>
      <c r="D177"/>
      <c r="E177"/>
      <c r="F177"/>
      <c r="G177"/>
      <c r="I177"/>
      <c r="J177"/>
      <c r="K177"/>
      <c r="L177"/>
      <c r="M177"/>
      <c r="N177"/>
    </row>
    <row r="178" spans="1:14">
      <c r="A178"/>
      <c r="B178"/>
      <c r="C178"/>
      <c r="D178"/>
      <c r="E178"/>
      <c r="F178"/>
      <c r="G178"/>
      <c r="I178"/>
      <c r="J178"/>
      <c r="K178"/>
      <c r="L178"/>
      <c r="M178"/>
      <c r="N178"/>
    </row>
    <row r="179" spans="1:14">
      <c r="A179"/>
      <c r="B179"/>
      <c r="C179"/>
      <c r="D179"/>
      <c r="E179"/>
      <c r="F179"/>
      <c r="G179"/>
      <c r="I179"/>
      <c r="J179"/>
      <c r="K179"/>
      <c r="L179"/>
      <c r="M179"/>
      <c r="N179"/>
    </row>
    <row r="180" spans="1:14">
      <c r="A180"/>
      <c r="B180"/>
      <c r="C180"/>
      <c r="D180"/>
      <c r="E180"/>
      <c r="F180"/>
      <c r="G180"/>
      <c r="I180"/>
      <c r="J180"/>
      <c r="K180"/>
      <c r="L180"/>
      <c r="M180"/>
      <c r="N180"/>
    </row>
    <row r="181" spans="1:14">
      <c r="A181"/>
      <c r="B181"/>
      <c r="C181"/>
      <c r="D181"/>
      <c r="E181"/>
      <c r="F181"/>
      <c r="G181"/>
      <c r="I181"/>
      <c r="J181"/>
      <c r="K181"/>
      <c r="L181"/>
      <c r="M181"/>
      <c r="N181"/>
    </row>
    <row r="182" spans="1:14">
      <c r="A182"/>
      <c r="B182"/>
      <c r="C182"/>
      <c r="D182"/>
      <c r="E182"/>
      <c r="F182"/>
      <c r="G182"/>
      <c r="I182"/>
      <c r="J182"/>
      <c r="K182"/>
      <c r="L182"/>
      <c r="M182"/>
      <c r="N182"/>
    </row>
    <row r="183" spans="1:14">
      <c r="A183"/>
      <c r="B183"/>
      <c r="C183"/>
      <c r="D183"/>
      <c r="E183"/>
      <c r="F183"/>
      <c r="G183"/>
      <c r="I183"/>
      <c r="J183"/>
      <c r="K183"/>
      <c r="L183"/>
      <c r="M183"/>
      <c r="N183"/>
    </row>
    <row r="184" spans="1:14">
      <c r="A184"/>
      <c r="B184"/>
      <c r="C184"/>
      <c r="D184"/>
      <c r="E184"/>
      <c r="F184"/>
      <c r="G184"/>
      <c r="I184"/>
      <c r="J184"/>
      <c r="K184"/>
      <c r="L184"/>
      <c r="M184"/>
      <c r="N184"/>
    </row>
    <row r="185" spans="1:14">
      <c r="A185"/>
      <c r="B185"/>
      <c r="C185"/>
      <c r="D185"/>
      <c r="E185"/>
      <c r="F185"/>
      <c r="G185"/>
      <c r="I185"/>
      <c r="J185"/>
      <c r="K185"/>
      <c r="L185"/>
      <c r="M185"/>
      <c r="N185"/>
    </row>
    <row r="186" spans="1:14">
      <c r="A186"/>
      <c r="B186"/>
      <c r="C186"/>
      <c r="D186"/>
      <c r="E186"/>
      <c r="F186"/>
      <c r="G186"/>
      <c r="I186"/>
      <c r="J186"/>
      <c r="K186"/>
      <c r="L186"/>
      <c r="M186"/>
      <c r="N186"/>
    </row>
    <row r="187" spans="1:14">
      <c r="A187"/>
      <c r="B187"/>
      <c r="C187"/>
      <c r="D187"/>
      <c r="E187"/>
      <c r="F187"/>
      <c r="G187"/>
      <c r="I187"/>
      <c r="J187"/>
      <c r="K187"/>
      <c r="L187"/>
      <c r="M187"/>
      <c r="N187"/>
    </row>
    <row r="188" spans="1:14">
      <c r="A188"/>
      <c r="B188"/>
      <c r="C188"/>
      <c r="D188"/>
      <c r="E188"/>
      <c r="F188"/>
      <c r="G188"/>
      <c r="I188"/>
      <c r="J188"/>
      <c r="K188"/>
      <c r="L188"/>
      <c r="M188"/>
      <c r="N188"/>
    </row>
    <row r="189" spans="1:14">
      <c r="A189"/>
      <c r="B189"/>
      <c r="C189"/>
      <c r="D189"/>
      <c r="E189"/>
      <c r="F189"/>
      <c r="G189"/>
      <c r="I189"/>
      <c r="J189"/>
      <c r="K189"/>
      <c r="L189"/>
      <c r="M189"/>
      <c r="N189"/>
    </row>
    <row r="190" spans="1:14">
      <c r="A190"/>
      <c r="B190"/>
      <c r="C190"/>
      <c r="D190"/>
      <c r="E190"/>
      <c r="F190"/>
      <c r="G190"/>
      <c r="I190"/>
      <c r="J190"/>
      <c r="K190"/>
      <c r="L190"/>
      <c r="M190"/>
      <c r="N190"/>
    </row>
    <row r="191" spans="1:14">
      <c r="A191"/>
      <c r="B191"/>
      <c r="C191"/>
      <c r="D191"/>
      <c r="E191"/>
      <c r="F191"/>
      <c r="G191"/>
      <c r="I191"/>
      <c r="J191"/>
      <c r="K191"/>
      <c r="L191"/>
      <c r="M191"/>
      <c r="N191"/>
    </row>
    <row r="192" spans="1:14">
      <c r="A192"/>
      <c r="B192"/>
      <c r="C192"/>
      <c r="D192"/>
      <c r="E192"/>
      <c r="F192"/>
      <c r="G192"/>
      <c r="I192"/>
      <c r="J192"/>
      <c r="K192"/>
      <c r="L192"/>
      <c r="M192"/>
      <c r="N192"/>
    </row>
    <row r="193" spans="1:14">
      <c r="A193"/>
      <c r="B193"/>
      <c r="C193"/>
      <c r="D193"/>
      <c r="E193"/>
      <c r="F193"/>
      <c r="G193"/>
      <c r="I193"/>
      <c r="J193"/>
      <c r="K193"/>
      <c r="L193"/>
      <c r="M193"/>
      <c r="N193"/>
    </row>
    <row r="194" spans="1:14">
      <c r="A194"/>
      <c r="B194"/>
      <c r="C194"/>
      <c r="D194"/>
      <c r="E194"/>
      <c r="F194"/>
      <c r="G194"/>
      <c r="I194"/>
      <c r="J194"/>
      <c r="K194"/>
      <c r="L194"/>
      <c r="M194"/>
      <c r="N194"/>
    </row>
    <row r="195" spans="1:14">
      <c r="A195"/>
      <c r="B195"/>
      <c r="C195"/>
      <c r="D195"/>
      <c r="E195"/>
      <c r="F195"/>
      <c r="G195"/>
      <c r="I195"/>
      <c r="J195"/>
      <c r="K195"/>
      <c r="L195"/>
      <c r="M195"/>
      <c r="N195"/>
    </row>
    <row r="196" spans="1:14">
      <c r="A196"/>
      <c r="B196"/>
      <c r="C196"/>
      <c r="D196"/>
      <c r="E196"/>
      <c r="F196"/>
      <c r="G196"/>
      <c r="I196"/>
      <c r="J196"/>
      <c r="K196"/>
      <c r="L196"/>
      <c r="M196"/>
      <c r="N196"/>
    </row>
    <row r="197" spans="1:14">
      <c r="A197"/>
      <c r="B197"/>
      <c r="C197"/>
      <c r="D197"/>
      <c r="E197"/>
      <c r="F197"/>
      <c r="G197"/>
      <c r="I197"/>
      <c r="J197"/>
      <c r="K197"/>
      <c r="L197"/>
      <c r="M197"/>
      <c r="N197"/>
    </row>
    <row r="198" spans="1:14">
      <c r="A198"/>
      <c r="B198"/>
      <c r="C198"/>
      <c r="D198"/>
      <c r="E198"/>
      <c r="F198"/>
      <c r="G198"/>
      <c r="I198"/>
      <c r="J198"/>
      <c r="K198"/>
      <c r="L198"/>
      <c r="M198"/>
      <c r="N198"/>
    </row>
    <row r="199" spans="1:14">
      <c r="A199"/>
      <c r="B199"/>
      <c r="C199"/>
      <c r="D199"/>
      <c r="E199"/>
      <c r="F199"/>
      <c r="G199"/>
      <c r="I199"/>
      <c r="J199"/>
      <c r="K199"/>
      <c r="L199"/>
      <c r="M199"/>
      <c r="N199"/>
    </row>
    <row r="200" spans="1:14">
      <c r="A200"/>
      <c r="B200"/>
      <c r="C200"/>
      <c r="D200"/>
      <c r="E200"/>
      <c r="F200"/>
      <c r="G200"/>
      <c r="I200"/>
      <c r="J200"/>
      <c r="K200"/>
      <c r="L200"/>
      <c r="M200"/>
      <c r="N200"/>
    </row>
    <row r="201" spans="1:14">
      <c r="A201"/>
      <c r="B201"/>
      <c r="C201"/>
      <c r="D201"/>
      <c r="E201"/>
      <c r="F201"/>
      <c r="G201"/>
      <c r="I201"/>
      <c r="J201"/>
      <c r="K201"/>
      <c r="L201"/>
      <c r="M201"/>
      <c r="N201"/>
    </row>
    <row r="202" spans="1:14">
      <c r="A202"/>
      <c r="B202"/>
      <c r="C202"/>
      <c r="D202"/>
      <c r="E202"/>
      <c r="F202"/>
      <c r="G202"/>
      <c r="I202"/>
      <c r="J202"/>
      <c r="K202"/>
      <c r="L202"/>
      <c r="M202"/>
      <c r="N202"/>
    </row>
    <row r="203" spans="1:14">
      <c r="A203"/>
      <c r="B203"/>
      <c r="C203"/>
      <c r="D203"/>
      <c r="E203"/>
      <c r="F203"/>
      <c r="G203"/>
      <c r="I203"/>
      <c r="J203"/>
      <c r="K203"/>
      <c r="L203"/>
      <c r="M203"/>
      <c r="N203"/>
    </row>
    <row r="204" spans="1:14">
      <c r="A204"/>
      <c r="B204"/>
      <c r="C204"/>
      <c r="D204"/>
      <c r="E204"/>
      <c r="F204"/>
      <c r="G204"/>
      <c r="I204"/>
      <c r="J204"/>
      <c r="K204"/>
      <c r="L204"/>
      <c r="M204"/>
      <c r="N204"/>
    </row>
    <row r="205" spans="1:14">
      <c r="A205"/>
      <c r="B205"/>
      <c r="C205"/>
      <c r="D205"/>
      <c r="E205"/>
      <c r="F205"/>
      <c r="G205"/>
      <c r="I205"/>
      <c r="J205"/>
      <c r="K205"/>
      <c r="L205"/>
      <c r="M205"/>
      <c r="N205"/>
    </row>
    <row r="206" spans="1:14">
      <c r="A206"/>
      <c r="B206"/>
      <c r="C206"/>
      <c r="D206"/>
      <c r="E206"/>
      <c r="F206"/>
      <c r="G206"/>
      <c r="I206"/>
      <c r="J206"/>
      <c r="K206"/>
      <c r="L206"/>
      <c r="M206"/>
      <c r="N206"/>
    </row>
    <row r="207" spans="1:14">
      <c r="A207"/>
      <c r="B207"/>
      <c r="C207"/>
      <c r="D207"/>
      <c r="E207"/>
      <c r="F207"/>
      <c r="G207"/>
      <c r="I207"/>
      <c r="J207"/>
      <c r="K207"/>
      <c r="L207"/>
      <c r="M207"/>
      <c r="N207"/>
    </row>
    <row r="208" spans="1:14">
      <c r="A208"/>
      <c r="B208"/>
      <c r="C208"/>
      <c r="D208"/>
      <c r="E208"/>
      <c r="F208"/>
      <c r="G208"/>
      <c r="I208"/>
      <c r="J208"/>
      <c r="K208"/>
      <c r="L208"/>
      <c r="M208"/>
      <c r="N208"/>
    </row>
    <row r="209" spans="1:14">
      <c r="A209"/>
      <c r="B209"/>
      <c r="C209"/>
      <c r="D209"/>
      <c r="E209"/>
      <c r="F209"/>
      <c r="G209"/>
      <c r="I209"/>
      <c r="J209"/>
      <c r="K209"/>
      <c r="L209"/>
      <c r="M209"/>
      <c r="N209"/>
    </row>
    <row r="210" spans="1:14">
      <c r="A210"/>
      <c r="B210"/>
      <c r="C210"/>
      <c r="D210"/>
      <c r="E210"/>
      <c r="F210"/>
      <c r="G210"/>
      <c r="I210"/>
      <c r="J210"/>
      <c r="K210"/>
      <c r="L210"/>
      <c r="M210"/>
      <c r="N210"/>
    </row>
    <row r="211" spans="1:14">
      <c r="A211"/>
      <c r="B211"/>
      <c r="C211"/>
      <c r="D211"/>
      <c r="E211"/>
      <c r="F211"/>
      <c r="G211"/>
      <c r="I211"/>
      <c r="J211"/>
      <c r="K211"/>
      <c r="L211"/>
      <c r="M211"/>
      <c r="N211"/>
    </row>
    <row r="212" spans="1:14">
      <c r="A212"/>
      <c r="B212"/>
      <c r="C212"/>
      <c r="D212"/>
      <c r="E212"/>
      <c r="F212"/>
      <c r="G212"/>
      <c r="I212"/>
      <c r="J212"/>
      <c r="K212"/>
      <c r="L212"/>
      <c r="M212"/>
      <c r="N212"/>
    </row>
    <row r="213" spans="1:14">
      <c r="A213"/>
      <c r="B213"/>
      <c r="C213"/>
      <c r="D213"/>
      <c r="E213"/>
      <c r="F213"/>
      <c r="G213"/>
      <c r="I213"/>
      <c r="J213"/>
      <c r="K213"/>
      <c r="L213"/>
      <c r="M213"/>
      <c r="N213"/>
    </row>
    <row r="214" spans="1:14">
      <c r="A214"/>
      <c r="B214"/>
      <c r="C214"/>
      <c r="D214"/>
      <c r="E214"/>
      <c r="F214"/>
      <c r="G214"/>
      <c r="I214"/>
      <c r="J214"/>
      <c r="K214"/>
      <c r="L214"/>
      <c r="M214"/>
      <c r="N214"/>
    </row>
    <row r="215" spans="1:14">
      <c r="A215"/>
      <c r="B215"/>
      <c r="C215"/>
      <c r="D215"/>
      <c r="E215"/>
      <c r="F215"/>
      <c r="G215"/>
      <c r="I215"/>
      <c r="J215"/>
      <c r="K215"/>
      <c r="L215"/>
      <c r="M215"/>
      <c r="N215"/>
    </row>
    <row r="216" spans="1:14">
      <c r="A216"/>
      <c r="B216"/>
      <c r="C216"/>
      <c r="D216"/>
      <c r="E216"/>
      <c r="F216"/>
      <c r="G216"/>
      <c r="I216"/>
      <c r="J216"/>
      <c r="K216"/>
      <c r="L216"/>
      <c r="M216"/>
      <c r="N216"/>
    </row>
    <row r="217" spans="1:14">
      <c r="A217"/>
      <c r="B217"/>
      <c r="C217"/>
      <c r="D217"/>
      <c r="E217"/>
      <c r="F217"/>
      <c r="G217"/>
      <c r="I217"/>
      <c r="J217"/>
      <c r="K217"/>
      <c r="L217"/>
      <c r="M217"/>
      <c r="N217"/>
    </row>
    <row r="218" spans="1:14">
      <c r="A218"/>
      <c r="B218"/>
      <c r="C218"/>
      <c r="D218"/>
      <c r="E218"/>
      <c r="F218"/>
      <c r="G218"/>
      <c r="I218"/>
      <c r="J218"/>
      <c r="K218"/>
      <c r="L218"/>
      <c r="M218"/>
      <c r="N218"/>
    </row>
    <row r="219" spans="1:14">
      <c r="A219"/>
      <c r="B219"/>
      <c r="C219"/>
      <c r="D219"/>
      <c r="E219"/>
      <c r="F219"/>
      <c r="G219"/>
      <c r="I219"/>
      <c r="J219"/>
      <c r="K219"/>
      <c r="L219"/>
      <c r="M219"/>
      <c r="N219"/>
    </row>
    <row r="220" spans="1:14">
      <c r="A220"/>
      <c r="B220"/>
      <c r="C220"/>
      <c r="D220"/>
      <c r="E220"/>
      <c r="F220"/>
      <c r="G220"/>
      <c r="I220"/>
      <c r="J220"/>
      <c r="K220"/>
      <c r="L220"/>
      <c r="M220"/>
      <c r="N220"/>
    </row>
    <row r="221" spans="1:14">
      <c r="A221"/>
      <c r="B221"/>
      <c r="C221"/>
      <c r="D221"/>
      <c r="E221"/>
      <c r="F221"/>
      <c r="G221"/>
      <c r="I221"/>
      <c r="J221"/>
      <c r="K221"/>
      <c r="L221"/>
      <c r="M221"/>
      <c r="N221"/>
    </row>
    <row r="222" spans="1:14">
      <c r="A222"/>
      <c r="B222"/>
      <c r="C222"/>
      <c r="D222"/>
      <c r="E222"/>
      <c r="F222"/>
      <c r="G222"/>
      <c r="I222"/>
      <c r="J222"/>
      <c r="K222"/>
      <c r="L222"/>
      <c r="M222"/>
      <c r="N222"/>
    </row>
    <row r="223" spans="1:14">
      <c r="A223"/>
      <c r="B223"/>
      <c r="C223"/>
      <c r="D223"/>
      <c r="E223"/>
      <c r="F223"/>
      <c r="G223"/>
      <c r="I223"/>
      <c r="J223"/>
      <c r="K223"/>
      <c r="L223"/>
      <c r="M223"/>
      <c r="N223"/>
    </row>
    <row r="224" spans="1:14">
      <c r="A224"/>
      <c r="B224"/>
      <c r="C224"/>
      <c r="D224"/>
      <c r="E224"/>
      <c r="F224"/>
      <c r="G224"/>
      <c r="I224"/>
      <c r="J224"/>
      <c r="K224"/>
      <c r="L224"/>
      <c r="M224"/>
      <c r="N224"/>
    </row>
    <row r="225" spans="1:14">
      <c r="A225"/>
      <c r="B225"/>
      <c r="C225"/>
      <c r="D225"/>
      <c r="E225"/>
      <c r="F225"/>
      <c r="G225"/>
      <c r="I225"/>
      <c r="J225"/>
      <c r="K225"/>
      <c r="L225"/>
      <c r="M225"/>
      <c r="N225"/>
    </row>
    <row r="226" spans="1:14">
      <c r="A226"/>
      <c r="B226"/>
      <c r="C226"/>
      <c r="D226"/>
      <c r="E226"/>
      <c r="F226"/>
      <c r="G226"/>
      <c r="I226"/>
      <c r="J226"/>
      <c r="K226"/>
      <c r="L226"/>
      <c r="M226"/>
      <c r="N226"/>
    </row>
    <row r="227" spans="1:14">
      <c r="A227"/>
      <c r="B227"/>
      <c r="C227"/>
      <c r="D227"/>
      <c r="E227"/>
      <c r="F227"/>
      <c r="G227"/>
      <c r="I227"/>
      <c r="J227"/>
      <c r="K227"/>
      <c r="L227"/>
      <c r="M227"/>
      <c r="N227"/>
    </row>
    <row r="228" spans="1:14">
      <c r="A228"/>
      <c r="B228"/>
      <c r="C228"/>
      <c r="D228"/>
      <c r="E228"/>
      <c r="F228"/>
      <c r="G228"/>
      <c r="I228"/>
      <c r="J228"/>
      <c r="K228"/>
      <c r="L228"/>
      <c r="M228"/>
      <c r="N228"/>
    </row>
    <row r="229" spans="1:14">
      <c r="A229"/>
      <c r="B229"/>
      <c r="C229"/>
      <c r="D229"/>
      <c r="E229"/>
      <c r="F229"/>
      <c r="G229"/>
      <c r="I229"/>
      <c r="J229"/>
      <c r="K229"/>
      <c r="L229"/>
      <c r="M229"/>
      <c r="N229"/>
    </row>
    <row r="230" spans="1:14">
      <c r="A230"/>
      <c r="B230"/>
      <c r="C230"/>
      <c r="D230"/>
      <c r="E230"/>
      <c r="F230"/>
      <c r="G230"/>
      <c r="I230"/>
      <c r="J230"/>
      <c r="K230"/>
      <c r="L230"/>
      <c r="M230"/>
      <c r="N230"/>
    </row>
    <row r="231" spans="1:14">
      <c r="A231"/>
      <c r="B231"/>
      <c r="C231"/>
      <c r="D231"/>
      <c r="E231"/>
      <c r="F231"/>
      <c r="G231"/>
      <c r="I231"/>
      <c r="J231"/>
      <c r="K231"/>
      <c r="L231"/>
      <c r="M231"/>
      <c r="N231"/>
    </row>
    <row r="232" spans="1:14">
      <c r="A232"/>
      <c r="B232"/>
      <c r="C232"/>
      <c r="D232"/>
      <c r="E232"/>
      <c r="F232"/>
      <c r="G232"/>
      <c r="I232"/>
      <c r="J232"/>
      <c r="K232"/>
      <c r="L232"/>
      <c r="M232"/>
      <c r="N232"/>
    </row>
    <row r="233" spans="1:14">
      <c r="A233"/>
      <c r="B233"/>
      <c r="C233"/>
      <c r="D233"/>
      <c r="E233"/>
      <c r="F233"/>
      <c r="G233"/>
      <c r="I233"/>
      <c r="J233"/>
      <c r="K233"/>
      <c r="L233"/>
      <c r="M233"/>
      <c r="N233"/>
    </row>
    <row r="234" spans="1:14">
      <c r="A234"/>
      <c r="B234"/>
      <c r="C234"/>
      <c r="D234"/>
      <c r="E234"/>
      <c r="F234"/>
      <c r="G234"/>
      <c r="I234"/>
      <c r="J234"/>
      <c r="K234"/>
      <c r="L234"/>
      <c r="M234"/>
      <c r="N234"/>
    </row>
    <row r="235" spans="1:14">
      <c r="A235"/>
      <c r="B235"/>
      <c r="C235"/>
      <c r="D235"/>
      <c r="E235"/>
      <c r="F235"/>
      <c r="G235"/>
      <c r="I235"/>
      <c r="J235"/>
      <c r="K235"/>
      <c r="L235"/>
      <c r="M235"/>
      <c r="N235"/>
    </row>
    <row r="236" spans="1:14">
      <c r="A236"/>
      <c r="B236"/>
      <c r="C236"/>
      <c r="D236"/>
      <c r="E236"/>
      <c r="F236"/>
      <c r="G236"/>
      <c r="I236"/>
      <c r="J236"/>
      <c r="K236"/>
      <c r="L236"/>
      <c r="M236"/>
      <c r="N236"/>
    </row>
    <row r="237" spans="1:14">
      <c r="A237"/>
      <c r="B237"/>
      <c r="C237"/>
      <c r="D237"/>
      <c r="E237"/>
      <c r="F237"/>
      <c r="G237"/>
      <c r="I237"/>
      <c r="J237"/>
      <c r="K237"/>
      <c r="L237"/>
      <c r="M237"/>
      <c r="N237"/>
    </row>
    <row r="238" spans="1:14">
      <c r="A238"/>
      <c r="B238"/>
      <c r="C238"/>
      <c r="D238"/>
      <c r="E238"/>
      <c r="F238"/>
      <c r="G238"/>
      <c r="I238"/>
      <c r="J238"/>
      <c r="K238"/>
      <c r="L238"/>
      <c r="M238"/>
      <c r="N238"/>
    </row>
    <row r="239" spans="1:14">
      <c r="A239"/>
      <c r="B239"/>
      <c r="C239"/>
      <c r="D239"/>
      <c r="E239"/>
      <c r="F239"/>
      <c r="G239"/>
      <c r="I239"/>
      <c r="J239"/>
      <c r="K239"/>
      <c r="L239"/>
      <c r="M239"/>
      <c r="N239"/>
    </row>
    <row r="240" spans="1:14">
      <c r="A240"/>
      <c r="B240"/>
      <c r="C240"/>
      <c r="D240"/>
      <c r="E240"/>
      <c r="F240"/>
      <c r="G240"/>
      <c r="I240"/>
      <c r="J240"/>
      <c r="K240"/>
      <c r="L240"/>
      <c r="M240"/>
      <c r="N240"/>
    </row>
    <row r="241" spans="1:14">
      <c r="A241"/>
      <c r="B241"/>
      <c r="C241"/>
      <c r="D241"/>
      <c r="E241"/>
      <c r="F241"/>
      <c r="G241"/>
      <c r="I241"/>
      <c r="J241"/>
      <c r="K241"/>
      <c r="L241"/>
      <c r="M241"/>
      <c r="N241"/>
    </row>
    <row r="242" spans="1:14">
      <c r="A242"/>
      <c r="B242"/>
      <c r="C242"/>
      <c r="D242"/>
      <c r="E242"/>
      <c r="F242"/>
      <c r="G242"/>
      <c r="I242"/>
      <c r="J242"/>
      <c r="K242"/>
      <c r="L242"/>
      <c r="M242"/>
      <c r="N242"/>
    </row>
    <row r="243" spans="1:14">
      <c r="A243"/>
      <c r="B243"/>
      <c r="C243"/>
      <c r="D243"/>
      <c r="E243"/>
      <c r="F243"/>
      <c r="G243"/>
      <c r="I243"/>
      <c r="J243"/>
      <c r="K243"/>
      <c r="L243"/>
      <c r="M243"/>
      <c r="N243"/>
    </row>
    <row r="244" spans="1:14">
      <c r="A244"/>
      <c r="B244"/>
      <c r="C244"/>
      <c r="D244"/>
      <c r="E244"/>
      <c r="F244"/>
      <c r="G244"/>
      <c r="I244"/>
      <c r="J244"/>
      <c r="K244"/>
      <c r="L244"/>
      <c r="M244"/>
      <c r="N244"/>
    </row>
    <row r="245" spans="1:14">
      <c r="A245"/>
      <c r="B245"/>
      <c r="C245"/>
      <c r="D245"/>
      <c r="E245"/>
      <c r="F245"/>
      <c r="G245"/>
      <c r="I245"/>
      <c r="J245"/>
      <c r="K245"/>
      <c r="L245"/>
      <c r="M245"/>
      <c r="N245"/>
    </row>
    <row r="246" spans="1:14">
      <c r="A246"/>
      <c r="B246"/>
      <c r="C246"/>
      <c r="D246"/>
      <c r="E246"/>
      <c r="F246"/>
      <c r="G246"/>
      <c r="I246"/>
      <c r="J246"/>
      <c r="K246"/>
      <c r="L246"/>
      <c r="M246"/>
      <c r="N246"/>
    </row>
    <row r="247" spans="1:14">
      <c r="A247"/>
      <c r="B247"/>
      <c r="C247"/>
      <c r="D247"/>
      <c r="E247"/>
      <c r="F247"/>
      <c r="G247"/>
      <c r="I247"/>
      <c r="J247"/>
      <c r="K247"/>
      <c r="L247"/>
      <c r="M247"/>
      <c r="N247"/>
    </row>
    <row r="248" spans="1:14">
      <c r="A248"/>
      <c r="B248"/>
      <c r="C248"/>
      <c r="D248"/>
      <c r="E248"/>
      <c r="F248"/>
      <c r="G248"/>
      <c r="I248"/>
      <c r="J248"/>
      <c r="K248"/>
      <c r="L248"/>
      <c r="M248"/>
      <c r="N248"/>
    </row>
    <row r="249" spans="1:14">
      <c r="A249"/>
      <c r="B249"/>
      <c r="C249"/>
      <c r="D249"/>
      <c r="E249"/>
      <c r="F249"/>
      <c r="G249"/>
      <c r="I249"/>
      <c r="J249"/>
      <c r="K249"/>
      <c r="L249"/>
      <c r="M249"/>
      <c r="N249"/>
    </row>
    <row r="250" spans="1:14">
      <c r="A250"/>
      <c r="B250"/>
      <c r="C250"/>
      <c r="D250"/>
      <c r="E250"/>
      <c r="F250"/>
      <c r="G250"/>
      <c r="I250"/>
      <c r="J250"/>
      <c r="K250"/>
      <c r="L250"/>
      <c r="M250"/>
      <c r="N250"/>
    </row>
    <row r="251" spans="1:14">
      <c r="A251"/>
      <c r="B251"/>
      <c r="C251"/>
      <c r="D251"/>
      <c r="E251"/>
      <c r="F251"/>
      <c r="G251"/>
      <c r="I251"/>
      <c r="J251"/>
      <c r="K251"/>
      <c r="L251"/>
      <c r="M251"/>
      <c r="N251"/>
    </row>
    <row r="252" spans="1:14">
      <c r="A252"/>
      <c r="B252"/>
      <c r="C252"/>
      <c r="D252"/>
      <c r="E252"/>
      <c r="F252"/>
      <c r="G252"/>
      <c r="I252"/>
      <c r="J252"/>
      <c r="K252"/>
      <c r="L252"/>
      <c r="M252"/>
      <c r="N252"/>
    </row>
    <row r="253" spans="1:14">
      <c r="A253"/>
      <c r="B253"/>
      <c r="C253"/>
      <c r="D253"/>
      <c r="E253"/>
      <c r="F253"/>
      <c r="G253"/>
      <c r="I253"/>
      <c r="J253"/>
      <c r="K253"/>
      <c r="L253"/>
      <c r="M253"/>
      <c r="N253"/>
    </row>
    <row r="254" spans="1:14">
      <c r="A254"/>
      <c r="B254"/>
      <c r="C254"/>
      <c r="D254"/>
      <c r="E254"/>
      <c r="F254"/>
      <c r="G254"/>
      <c r="I254"/>
      <c r="J254"/>
      <c r="K254"/>
      <c r="L254"/>
      <c r="M254"/>
      <c r="N254"/>
    </row>
    <row r="255" spans="1:14">
      <c r="A255"/>
      <c r="B255"/>
      <c r="C255"/>
      <c r="D255"/>
      <c r="E255"/>
      <c r="F255"/>
      <c r="G255"/>
      <c r="I255"/>
      <c r="J255"/>
      <c r="K255"/>
      <c r="L255"/>
      <c r="M255"/>
      <c r="N255"/>
    </row>
    <row r="256" spans="1:14">
      <c r="A256"/>
      <c r="B256"/>
      <c r="C256"/>
      <c r="D256"/>
      <c r="E256"/>
      <c r="F256"/>
      <c r="G256"/>
      <c r="I256"/>
      <c r="J256"/>
      <c r="K256"/>
      <c r="L256"/>
      <c r="M256"/>
      <c r="N256"/>
    </row>
    <row r="257" spans="1:14">
      <c r="A257"/>
      <c r="B257"/>
      <c r="C257"/>
      <c r="D257"/>
      <c r="E257"/>
      <c r="F257"/>
      <c r="G257"/>
      <c r="I257"/>
      <c r="J257"/>
      <c r="K257"/>
      <c r="L257"/>
      <c r="M257"/>
      <c r="N257"/>
    </row>
    <row r="258" spans="1:14">
      <c r="A258"/>
      <c r="B258"/>
      <c r="C258"/>
      <c r="D258"/>
      <c r="E258"/>
      <c r="F258"/>
      <c r="G258"/>
      <c r="I258"/>
      <c r="J258"/>
      <c r="K258"/>
      <c r="L258"/>
      <c r="M258"/>
      <c r="N258"/>
    </row>
    <row r="259" spans="1:14">
      <c r="A259"/>
      <c r="B259"/>
      <c r="C259"/>
      <c r="D259"/>
      <c r="E259"/>
      <c r="F259"/>
      <c r="G259"/>
      <c r="I259"/>
      <c r="J259"/>
      <c r="K259"/>
      <c r="L259"/>
      <c r="M259"/>
      <c r="N259"/>
    </row>
    <row r="260" spans="1:14">
      <c r="A260"/>
      <c r="B260"/>
      <c r="C260"/>
      <c r="D260"/>
      <c r="E260"/>
      <c r="F260"/>
      <c r="G260"/>
      <c r="I260"/>
      <c r="J260"/>
      <c r="K260"/>
      <c r="L260"/>
      <c r="M260"/>
      <c r="N260"/>
    </row>
    <row r="261" spans="1:14">
      <c r="A261"/>
      <c r="B261"/>
      <c r="C261"/>
      <c r="D261"/>
      <c r="E261"/>
      <c r="F261"/>
      <c r="G261"/>
      <c r="I261"/>
      <c r="J261"/>
      <c r="K261"/>
      <c r="L261"/>
      <c r="M261"/>
      <c r="N261"/>
    </row>
    <row r="262" spans="1:14">
      <c r="A262"/>
      <c r="B262"/>
      <c r="C262"/>
      <c r="D262"/>
      <c r="E262"/>
      <c r="F262"/>
      <c r="G262"/>
      <c r="I262"/>
      <c r="J262"/>
      <c r="K262"/>
      <c r="L262"/>
      <c r="M262"/>
      <c r="N262"/>
    </row>
    <row r="263" spans="1:14">
      <c r="A263"/>
      <c r="B263"/>
      <c r="C263"/>
      <c r="D263"/>
      <c r="E263"/>
      <c r="F263"/>
      <c r="G263"/>
      <c r="I263"/>
      <c r="J263"/>
      <c r="K263"/>
      <c r="L263"/>
      <c r="M263"/>
      <c r="N263"/>
    </row>
    <row r="264" spans="1:14">
      <c r="A264"/>
      <c r="B264"/>
      <c r="C264"/>
      <c r="D264"/>
      <c r="E264"/>
      <c r="F264"/>
      <c r="G264"/>
      <c r="I264"/>
      <c r="J264"/>
      <c r="K264"/>
      <c r="L264"/>
      <c r="M264"/>
      <c r="N264"/>
    </row>
    <row r="265" spans="1:14">
      <c r="A265"/>
      <c r="B265"/>
      <c r="C265"/>
      <c r="D265"/>
      <c r="E265"/>
      <c r="F265"/>
      <c r="G265"/>
      <c r="I265"/>
      <c r="J265"/>
      <c r="K265"/>
      <c r="L265"/>
      <c r="M265"/>
      <c r="N265"/>
    </row>
    <row r="266" spans="1:14">
      <c r="A266"/>
      <c r="B266"/>
      <c r="C266"/>
      <c r="D266"/>
      <c r="E266"/>
      <c r="F266"/>
      <c r="G266"/>
      <c r="I266"/>
      <c r="J266"/>
      <c r="K266"/>
      <c r="L266"/>
      <c r="M266"/>
      <c r="N266"/>
    </row>
    <row r="267" spans="1:14">
      <c r="A267"/>
      <c r="B267"/>
      <c r="C267"/>
      <c r="D267"/>
      <c r="E267"/>
      <c r="F267"/>
      <c r="G267"/>
      <c r="I267"/>
      <c r="J267"/>
      <c r="K267"/>
      <c r="L267"/>
      <c r="M267"/>
      <c r="N267"/>
    </row>
    <row r="268" spans="1:14">
      <c r="A268"/>
      <c r="B268"/>
      <c r="C268"/>
      <c r="D268"/>
      <c r="E268"/>
      <c r="F268"/>
      <c r="G268"/>
      <c r="I268"/>
      <c r="J268"/>
      <c r="K268"/>
      <c r="L268"/>
      <c r="M268"/>
      <c r="N268"/>
    </row>
    <row r="269" spans="1:14">
      <c r="A269"/>
      <c r="B269"/>
      <c r="C269"/>
      <c r="D269"/>
      <c r="E269"/>
      <c r="F269"/>
      <c r="G269"/>
      <c r="I269"/>
      <c r="J269"/>
      <c r="K269"/>
      <c r="L269"/>
      <c r="M269"/>
      <c r="N269"/>
    </row>
    <row r="270" spans="1:14">
      <c r="A270"/>
      <c r="B270"/>
      <c r="C270"/>
      <c r="D270"/>
      <c r="E270"/>
      <c r="F270"/>
      <c r="G270"/>
      <c r="I270"/>
      <c r="J270"/>
      <c r="K270"/>
      <c r="L270"/>
      <c r="M270"/>
      <c r="N270"/>
    </row>
    <row r="271" spans="1:14">
      <c r="A271"/>
      <c r="B271"/>
      <c r="C271"/>
      <c r="D271"/>
      <c r="E271"/>
      <c r="F271"/>
      <c r="G271"/>
      <c r="I271"/>
      <c r="J271"/>
      <c r="K271"/>
      <c r="L271"/>
      <c r="M271"/>
      <c r="N271"/>
    </row>
    <row r="272" spans="1:14">
      <c r="A272"/>
      <c r="B272"/>
      <c r="C272"/>
      <c r="D272"/>
      <c r="E272"/>
      <c r="F272"/>
      <c r="G272"/>
      <c r="I272"/>
      <c r="J272"/>
      <c r="K272"/>
      <c r="L272"/>
      <c r="M272"/>
      <c r="N272"/>
    </row>
    <row r="273" spans="1:14">
      <c r="A273"/>
      <c r="B273"/>
      <c r="C273"/>
      <c r="D273"/>
      <c r="E273"/>
      <c r="F273"/>
      <c r="G273"/>
      <c r="I273"/>
      <c r="J273"/>
      <c r="K273"/>
      <c r="L273"/>
      <c r="M273"/>
      <c r="N273"/>
    </row>
    <row r="274" spans="1:14">
      <c r="A274"/>
      <c r="B274"/>
      <c r="C274"/>
      <c r="D274"/>
      <c r="E274"/>
      <c r="F274"/>
      <c r="G274"/>
      <c r="J274"/>
      <c r="K274"/>
      <c r="L274"/>
      <c r="M274"/>
      <c r="N274"/>
    </row>
    <row r="275" spans="1:14">
      <c r="A275"/>
      <c r="B275"/>
      <c r="C275"/>
      <c r="D275"/>
      <c r="E275"/>
      <c r="F275"/>
      <c r="G275"/>
      <c r="J275"/>
      <c r="K275"/>
      <c r="L275"/>
      <c r="M275"/>
      <c r="N275"/>
    </row>
    <row r="276" spans="1:14">
      <c r="A276"/>
      <c r="B276"/>
      <c r="C276"/>
      <c r="D276"/>
      <c r="E276"/>
      <c r="F276"/>
      <c r="G276"/>
      <c r="J276"/>
      <c r="K276"/>
      <c r="L276"/>
      <c r="M276"/>
      <c r="N276"/>
    </row>
    <row r="277" spans="1:14">
      <c r="A277"/>
      <c r="B277"/>
      <c r="C277"/>
      <c r="D277"/>
      <c r="E277"/>
      <c r="F277"/>
      <c r="G277"/>
      <c r="J277"/>
      <c r="K277"/>
      <c r="L277"/>
      <c r="M277"/>
      <c r="N277"/>
    </row>
    <row r="278" spans="1:14">
      <c r="A278"/>
      <c r="B278"/>
      <c r="C278"/>
      <c r="D278"/>
      <c r="E278"/>
      <c r="F278"/>
      <c r="G278"/>
      <c r="J278"/>
      <c r="K278"/>
      <c r="L278"/>
      <c r="M278"/>
      <c r="N278"/>
    </row>
    <row r="279" spans="1:14">
      <c r="A279"/>
      <c r="B279"/>
      <c r="C279"/>
      <c r="D279"/>
      <c r="E279"/>
      <c r="F279"/>
      <c r="G279"/>
      <c r="J279"/>
      <c r="K279"/>
      <c r="L279"/>
      <c r="M279"/>
      <c r="N279"/>
    </row>
    <row r="280" spans="1:14">
      <c r="J280"/>
    </row>
    <row r="281" spans="1:14">
      <c r="J281"/>
    </row>
  </sheetData>
  <phoneticPr fontId="19" type="noConversion"/>
  <conditionalFormatting sqref="D13:G17 A11:B11 A13:B17">
    <cfRule type="expression" dxfId="2" priority="4" stopIfTrue="1">
      <formula>IF($D$5=2,TRUE,FALSE)</formula>
    </cfRule>
  </conditionalFormatting>
  <conditionalFormatting sqref="J14:J16 D11:G11 K11:IV11">
    <cfRule type="expression" dxfId="1" priority="5" stopIfTrue="1">
      <formula>"if(d5=2,TRUE,FALSE)"</formula>
    </cfRule>
  </conditionalFormatting>
  <conditionalFormatting sqref="A12:B12">
    <cfRule type="expression" dxfId="0" priority="7" stopIfTrue="1">
      <formula>IF($D$5=4,TRUE,FALSE)</formula>
    </cfRule>
  </conditionalFormatting>
  <dataValidations count="4">
    <dataValidation type="whole" allowBlank="1" showInputMessage="1" showErrorMessage="1" errorTitle="Numeric Data field" error="Please enter the number of incidence cases" sqref="A6">
      <formula1>0</formula1>
      <formula2>100000000</formula2>
    </dataValidation>
    <dataValidation type="decimal" allowBlank="1" showInputMessage="1" showErrorMessage="1" errorTitle="Numeric Data Field" error="Please enter the percentage of duplicate records." promptTitle="Duplicate Percentage Data" prompt="Enter only the numeric percentage. No '%' sign is necessary." sqref="A7">
      <formula1>0</formula1>
      <formula2>99.99</formula2>
    </dataValidation>
    <dataValidation type="list" allowBlank="1" showInputMessage="1" showErrorMessage="1" sqref="A4">
      <formula1>$J$1:$J$16</formula1>
    </dataValidation>
    <dataValidation type="list" allowBlank="1" showInputMessage="1" showErrorMessage="1" sqref="A5">
      <formula1>$H$1:$H$71</formula1>
    </dataValidation>
  </dataValidations>
  <printOptions horizontalCentered="1"/>
  <pageMargins left="0.5" right="0.5" top="1" bottom="1" header="0.5" footer="0.5"/>
  <pageSetup orientation="portrait" r:id="rId1"/>
  <headerFooter alignWithMargins="0">
    <oddFooter>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4"/>
  <dimension ref="A1:Q107"/>
  <sheetViews>
    <sheetView topLeftCell="C1" workbookViewId="0">
      <selection activeCell="C1" sqref="C1"/>
    </sheetView>
  </sheetViews>
  <sheetFormatPr defaultRowHeight="12"/>
  <cols>
    <col min="1" max="2" width="0" style="2" hidden="1" customWidth="1"/>
    <col min="3" max="3" width="27.42578125" style="2" customWidth="1"/>
    <col min="4" max="7" width="9.140625" style="79"/>
    <col min="8" max="10" width="9.140625" style="6"/>
    <col min="11" max="11" width="10.42578125" style="6" customWidth="1"/>
    <col min="12" max="12" width="9.140625" style="6"/>
    <col min="13" max="13" width="9.42578125" style="7" customWidth="1"/>
    <col min="14" max="16" width="9.140625" style="6"/>
    <col min="17" max="16384" width="9.140625" style="2"/>
  </cols>
  <sheetData>
    <row r="1" spans="1:17" ht="18">
      <c r="C1" s="83" t="str">
        <f>'Adjustment Info'!A1</f>
        <v>Worksheet for Completeness of Case Ascertainment, version 2.2.b</v>
      </c>
    </row>
    <row r="2" spans="1:17" ht="12.75">
      <c r="C2" s="21" t="s">
        <v>120</v>
      </c>
    </row>
    <row r="3" spans="1:17" ht="12.75">
      <c r="C3"/>
    </row>
    <row r="4" spans="1:17" ht="13.5" customHeight="1" thickBot="1">
      <c r="D4" s="130" t="str">
        <f>Registry</f>
        <v>Alabama</v>
      </c>
      <c r="E4" s="131"/>
      <c r="F4" s="132"/>
      <c r="G4" s="130" t="s">
        <v>82</v>
      </c>
      <c r="H4" s="125"/>
      <c r="I4" s="126"/>
      <c r="J4" s="124" t="s">
        <v>294</v>
      </c>
      <c r="K4" s="126"/>
      <c r="L4" s="124" t="s">
        <v>83</v>
      </c>
      <c r="M4" s="125"/>
      <c r="N4" s="126"/>
      <c r="O4" s="124" t="s">
        <v>84</v>
      </c>
      <c r="P4" s="126"/>
    </row>
    <row r="5" spans="1:17" ht="12.75" customHeight="1">
      <c r="C5" s="17" t="s">
        <v>121</v>
      </c>
      <c r="D5" s="124" t="s">
        <v>86</v>
      </c>
      <c r="E5" s="125"/>
      <c r="F5" s="126"/>
      <c r="G5" s="130" t="s">
        <v>86</v>
      </c>
      <c r="H5" s="131"/>
      <c r="I5" s="126"/>
      <c r="J5" s="171" t="s">
        <v>87</v>
      </c>
      <c r="K5" s="171" t="s">
        <v>295</v>
      </c>
      <c r="L5" s="171" t="s">
        <v>88</v>
      </c>
      <c r="M5" s="174"/>
      <c r="N5" s="171" t="s">
        <v>89</v>
      </c>
      <c r="O5" s="171" t="s">
        <v>87</v>
      </c>
      <c r="P5" s="171" t="s">
        <v>90</v>
      </c>
    </row>
    <row r="6" spans="1:17" ht="12.75" thickBot="1">
      <c r="C6" s="19"/>
      <c r="D6" s="177">
        <f>CaseYear</f>
        <v>2010</v>
      </c>
      <c r="E6" s="173" t="str">
        <f>RegMCurrentStart&amp;"-"&amp;TEXT(RegMCurrentEnd,"00")</f>
        <v>2009-2010</v>
      </c>
      <c r="F6" s="173" t="s">
        <v>91</v>
      </c>
      <c r="G6" s="178" t="str">
        <f>SEERStart&amp;"-"&amp;TEXT(SEEREnd,"00")</f>
        <v>2006-2010</v>
      </c>
      <c r="H6" s="178" t="str">
        <f>USMortStart&amp;"-"&amp;TEXT(USMortEnd,"00")</f>
        <v>2006-2010</v>
      </c>
      <c r="I6" s="173" t="s">
        <v>91</v>
      </c>
      <c r="J6" s="173" t="s">
        <v>92</v>
      </c>
      <c r="K6" s="173" t="s">
        <v>4</v>
      </c>
      <c r="L6" s="173" t="str">
        <f>RegMRefStart&amp;"-"&amp;TEXT(RegMRefEnd,"00")</f>
        <v>2006-2010</v>
      </c>
      <c r="M6" s="175" t="s">
        <v>93</v>
      </c>
      <c r="N6" s="173" t="str">
        <f>RegMCurrentStart&amp;"-"&amp;TEXT(RegMCurrentEnd,"00")</f>
        <v>2009-2010</v>
      </c>
      <c r="O6" s="173" t="s">
        <v>92</v>
      </c>
      <c r="P6" s="173" t="s">
        <v>4</v>
      </c>
    </row>
    <row r="7" spans="1:17" ht="12.75" thickBot="1">
      <c r="C7" s="16" t="s">
        <v>94</v>
      </c>
      <c r="D7" s="172" t="s">
        <v>92</v>
      </c>
      <c r="E7" s="172" t="s">
        <v>95</v>
      </c>
      <c r="F7" s="172" t="s">
        <v>96</v>
      </c>
      <c r="G7" s="179" t="s">
        <v>92</v>
      </c>
      <c r="H7" s="179" t="s">
        <v>95</v>
      </c>
      <c r="I7" s="172" t="s">
        <v>96</v>
      </c>
      <c r="J7" s="172" t="s">
        <v>97</v>
      </c>
      <c r="K7" s="172" t="s">
        <v>5</v>
      </c>
      <c r="L7" s="172" t="s">
        <v>98</v>
      </c>
      <c r="M7" s="176" t="s">
        <v>99</v>
      </c>
      <c r="N7" s="172" t="s">
        <v>98</v>
      </c>
      <c r="O7" s="172" t="s">
        <v>97</v>
      </c>
      <c r="P7" s="172" t="s">
        <v>5</v>
      </c>
    </row>
    <row r="8" spans="1:17">
      <c r="A8" s="2" t="s">
        <v>254</v>
      </c>
      <c r="B8" s="2" t="s">
        <v>253</v>
      </c>
      <c r="C8" s="19" t="s">
        <v>313</v>
      </c>
      <c r="D8" s="151"/>
      <c r="E8" s="146"/>
      <c r="F8" s="40">
        <f>IF(E8=0,0,D8/E8)</f>
        <v>0</v>
      </c>
      <c r="G8" s="155">
        <f t="shared" ref="G8:G23" si="0">VLOOKUP(TRIM(A8)&amp;TRIM(B8)&amp;TRIM(C8), RateData, 3*(CaseYear-1995)+5, 0)</f>
        <v>14.874657979</v>
      </c>
      <c r="H8" s="155">
        <f t="shared" ref="H8:H23" si="1">VLOOKUP(TRIM(A8)&amp;TRIM(B8)&amp;TRIM(C8), RateData, 3*(CaseYear-1995)+6, 0)</f>
        <v>5.1800348229999997</v>
      </c>
      <c r="I8" s="40">
        <f>G8/H8</f>
        <v>2.8715362902493755</v>
      </c>
      <c r="J8" s="107">
        <f t="shared" ref="J8:J23" si="2">E8*I8</f>
        <v>0</v>
      </c>
      <c r="K8" s="108">
        <f t="shared" ref="K8:K24" si="3">IF(J8=0,0,(D8/J8*100))</f>
        <v>0</v>
      </c>
      <c r="L8" s="146"/>
      <c r="M8" s="10">
        <f t="shared" ref="M8:M23" si="4">IF(H8=0,1,IF(L8=0,1,H8/L8))</f>
        <v>1</v>
      </c>
      <c r="N8" s="50">
        <f t="shared" ref="N8:N23" si="5">IF(M8&lt;=1,(((1-AdjHigh)*E8)+(AdjHigh*M8*E8)),(((1-AdjLow)*E8)+(AdjLow*M8*E8)))</f>
        <v>0</v>
      </c>
      <c r="O8" s="42">
        <f t="shared" ref="O8:O23" si="6">N8*I8</f>
        <v>0</v>
      </c>
      <c r="P8" s="33">
        <f t="shared" ref="P8:P24" si="7">IF(O8=0,0,D8/O8*100)</f>
        <v>0</v>
      </c>
      <c r="Q8" s="8"/>
    </row>
    <row r="9" spans="1:17">
      <c r="A9" s="2" t="s">
        <v>254</v>
      </c>
      <c r="B9" s="2" t="s">
        <v>253</v>
      </c>
      <c r="C9" s="19" t="s">
        <v>100</v>
      </c>
      <c r="D9" s="152"/>
      <c r="E9" s="146"/>
      <c r="F9" s="40">
        <f t="shared" ref="F9:F23" si="8">IF(E9=0,0,D9/E9)</f>
        <v>0</v>
      </c>
      <c r="G9" s="155">
        <f t="shared" si="0"/>
        <v>7.4181170029999999</v>
      </c>
      <c r="H9" s="155">
        <f t="shared" si="1"/>
        <v>7.7210963079999999</v>
      </c>
      <c r="I9" s="40">
        <f t="shared" ref="I9:I23" si="9">G9/H9</f>
        <v>0.96075954852601997</v>
      </c>
      <c r="J9" s="46">
        <f t="shared" si="2"/>
        <v>0</v>
      </c>
      <c r="K9" s="9">
        <f>IF(J9=0,0,(D9/J9*100))</f>
        <v>0</v>
      </c>
      <c r="L9" s="146"/>
      <c r="M9" s="10">
        <f t="shared" si="4"/>
        <v>1</v>
      </c>
      <c r="N9" s="49">
        <f t="shared" si="5"/>
        <v>0</v>
      </c>
      <c r="O9" s="43">
        <f t="shared" si="6"/>
        <v>0</v>
      </c>
      <c r="P9" s="34">
        <f t="shared" si="7"/>
        <v>0</v>
      </c>
    </row>
    <row r="10" spans="1:17">
      <c r="A10" s="2" t="s">
        <v>254</v>
      </c>
      <c r="B10" s="2" t="s">
        <v>253</v>
      </c>
      <c r="C10" s="19" t="s">
        <v>101</v>
      </c>
      <c r="D10" s="152"/>
      <c r="E10" s="146"/>
      <c r="F10" s="40">
        <f t="shared" si="8"/>
        <v>0</v>
      </c>
      <c r="G10" s="155">
        <f t="shared" si="0"/>
        <v>15.66455706</v>
      </c>
      <c r="H10" s="155">
        <f t="shared" si="1"/>
        <v>9.8378818379999995</v>
      </c>
      <c r="I10" s="40">
        <f t="shared" si="9"/>
        <v>1.5922692829561917</v>
      </c>
      <c r="J10" s="46">
        <f t="shared" si="2"/>
        <v>0</v>
      </c>
      <c r="K10" s="9">
        <f t="shared" si="3"/>
        <v>0</v>
      </c>
      <c r="L10" s="146"/>
      <c r="M10" s="10">
        <f t="shared" si="4"/>
        <v>1</v>
      </c>
      <c r="N10" s="49">
        <f t="shared" si="5"/>
        <v>0</v>
      </c>
      <c r="O10" s="43">
        <f t="shared" si="6"/>
        <v>0</v>
      </c>
      <c r="P10" s="34">
        <f t="shared" si="7"/>
        <v>0</v>
      </c>
    </row>
    <row r="11" spans="1:17">
      <c r="A11" s="2" t="s">
        <v>254</v>
      </c>
      <c r="B11" s="2" t="s">
        <v>253</v>
      </c>
      <c r="C11" s="19" t="s">
        <v>102</v>
      </c>
      <c r="D11" s="152"/>
      <c r="E11" s="146"/>
      <c r="F11" s="40">
        <f t="shared" si="8"/>
        <v>0</v>
      </c>
      <c r="G11" s="155">
        <f t="shared" si="0"/>
        <v>62.572737803000003</v>
      </c>
      <c r="H11" s="155">
        <f t="shared" si="1"/>
        <v>28.683925395999999</v>
      </c>
      <c r="I11" s="40">
        <f t="shared" si="9"/>
        <v>2.1814565802672821</v>
      </c>
      <c r="J11" s="46">
        <f t="shared" si="2"/>
        <v>0</v>
      </c>
      <c r="K11" s="9">
        <f t="shared" si="3"/>
        <v>0</v>
      </c>
      <c r="L11" s="146"/>
      <c r="M11" s="10">
        <f t="shared" si="4"/>
        <v>1</v>
      </c>
      <c r="N11" s="49">
        <f t="shared" si="5"/>
        <v>0</v>
      </c>
      <c r="O11" s="43">
        <f t="shared" si="6"/>
        <v>0</v>
      </c>
      <c r="P11" s="34">
        <f t="shared" si="7"/>
        <v>0</v>
      </c>
    </row>
    <row r="12" spans="1:17">
      <c r="A12" s="2" t="s">
        <v>254</v>
      </c>
      <c r="B12" s="2" t="s">
        <v>253</v>
      </c>
      <c r="C12" s="19" t="s">
        <v>103</v>
      </c>
      <c r="D12" s="152"/>
      <c r="E12" s="146"/>
      <c r="F12" s="40">
        <f t="shared" si="8"/>
        <v>0</v>
      </c>
      <c r="G12" s="155">
        <f t="shared" si="0"/>
        <v>16.826307543999999</v>
      </c>
      <c r="H12" s="155">
        <f t="shared" si="1"/>
        <v>10.432575384</v>
      </c>
      <c r="I12" s="40">
        <f t="shared" si="9"/>
        <v>1.6128623014606533</v>
      </c>
      <c r="J12" s="46">
        <f t="shared" si="2"/>
        <v>0</v>
      </c>
      <c r="K12" s="9">
        <f t="shared" si="3"/>
        <v>0</v>
      </c>
      <c r="L12" s="146"/>
      <c r="M12" s="10">
        <f t="shared" si="4"/>
        <v>1</v>
      </c>
      <c r="N12" s="49">
        <f t="shared" si="5"/>
        <v>0</v>
      </c>
      <c r="O12" s="43">
        <f t="shared" si="6"/>
        <v>0</v>
      </c>
      <c r="P12" s="34">
        <f t="shared" si="7"/>
        <v>0</v>
      </c>
    </row>
    <row r="13" spans="1:17">
      <c r="A13" s="2" t="s">
        <v>254</v>
      </c>
      <c r="B13" s="2" t="s">
        <v>253</v>
      </c>
      <c r="C13" s="19" t="s">
        <v>104</v>
      </c>
      <c r="D13" s="152"/>
      <c r="E13" s="146"/>
      <c r="F13" s="40">
        <f t="shared" si="8"/>
        <v>0</v>
      </c>
      <c r="G13" s="155">
        <f t="shared" si="0"/>
        <v>17.958897045000001</v>
      </c>
      <c r="H13" s="155">
        <f t="shared" si="1"/>
        <v>15.268009860999999</v>
      </c>
      <c r="I13" s="40">
        <f t="shared" si="9"/>
        <v>1.1762434795692329</v>
      </c>
      <c r="J13" s="46">
        <f t="shared" si="2"/>
        <v>0</v>
      </c>
      <c r="K13" s="9">
        <f t="shared" si="3"/>
        <v>0</v>
      </c>
      <c r="L13" s="146"/>
      <c r="M13" s="10">
        <f t="shared" si="4"/>
        <v>1</v>
      </c>
      <c r="N13" s="49">
        <f t="shared" si="5"/>
        <v>0</v>
      </c>
      <c r="O13" s="43">
        <f t="shared" si="6"/>
        <v>0</v>
      </c>
      <c r="P13" s="34">
        <f t="shared" si="7"/>
        <v>0</v>
      </c>
    </row>
    <row r="14" spans="1:17">
      <c r="A14" s="2" t="s">
        <v>254</v>
      </c>
      <c r="B14" s="2" t="s">
        <v>253</v>
      </c>
      <c r="C14" s="19" t="s">
        <v>105</v>
      </c>
      <c r="D14" s="152"/>
      <c r="E14" s="146"/>
      <c r="F14" s="40">
        <f t="shared" si="8"/>
        <v>0</v>
      </c>
      <c r="G14" s="155">
        <f t="shared" si="0"/>
        <v>92.062273279999999</v>
      </c>
      <c r="H14" s="155">
        <f t="shared" si="1"/>
        <v>78.484001191000004</v>
      </c>
      <c r="I14" s="40">
        <f t="shared" si="9"/>
        <v>1.1730068788918608</v>
      </c>
      <c r="J14" s="46">
        <f t="shared" si="2"/>
        <v>0</v>
      </c>
      <c r="K14" s="9">
        <f t="shared" si="3"/>
        <v>0</v>
      </c>
      <c r="L14" s="146"/>
      <c r="M14" s="10">
        <f t="shared" si="4"/>
        <v>1</v>
      </c>
      <c r="N14" s="49">
        <f t="shared" si="5"/>
        <v>0</v>
      </c>
      <c r="O14" s="43">
        <f t="shared" si="6"/>
        <v>0</v>
      </c>
      <c r="P14" s="34">
        <f t="shared" si="7"/>
        <v>0</v>
      </c>
    </row>
    <row r="15" spans="1:17">
      <c r="A15" s="2" t="s">
        <v>254</v>
      </c>
      <c r="B15" s="2" t="s">
        <v>253</v>
      </c>
      <c r="C15" s="19" t="s">
        <v>316</v>
      </c>
      <c r="D15" s="213"/>
      <c r="E15" s="212"/>
      <c r="F15" s="40">
        <f t="shared" si="8"/>
        <v>0</v>
      </c>
      <c r="G15" s="155">
        <f t="shared" si="0"/>
        <v>1.2251176029999999</v>
      </c>
      <c r="H15" s="155">
        <f t="shared" si="1"/>
        <v>0.52085821600000004</v>
      </c>
      <c r="I15" s="40">
        <f t="shared" si="9"/>
        <v>2.3521134261996548</v>
      </c>
      <c r="J15" s="46">
        <f>E15*I15</f>
        <v>0</v>
      </c>
      <c r="K15" s="9">
        <f>IF(J15=0,0,(D15/J15*100))</f>
        <v>0</v>
      </c>
      <c r="L15" s="212"/>
      <c r="M15" s="10">
        <f t="shared" si="4"/>
        <v>1</v>
      </c>
      <c r="N15" s="49">
        <f t="shared" si="5"/>
        <v>0</v>
      </c>
      <c r="O15" s="43">
        <f t="shared" si="6"/>
        <v>0</v>
      </c>
      <c r="P15" s="34">
        <f t="shared" si="7"/>
        <v>0</v>
      </c>
    </row>
    <row r="16" spans="1:17" ht="12" customHeight="1">
      <c r="A16" s="2" t="s">
        <v>254</v>
      </c>
      <c r="B16" s="2" t="s">
        <v>253</v>
      </c>
      <c r="C16" s="19" t="s">
        <v>107</v>
      </c>
      <c r="D16" s="214"/>
      <c r="E16" s="212"/>
      <c r="F16" s="40">
        <f t="shared" si="8"/>
        <v>0</v>
      </c>
      <c r="G16" s="155">
        <f t="shared" si="0"/>
        <v>233.04992854</v>
      </c>
      <c r="H16" s="155">
        <f t="shared" si="1"/>
        <v>50.942309186999999</v>
      </c>
      <c r="I16" s="40">
        <f t="shared" si="9"/>
        <v>4.5747813999659082</v>
      </c>
      <c r="J16" s="46">
        <f>E16*I16</f>
        <v>0</v>
      </c>
      <c r="K16" s="9">
        <f>IF(J16=0,0,(D16/J16*100))</f>
        <v>0</v>
      </c>
      <c r="L16" s="212"/>
      <c r="M16" s="10">
        <f t="shared" si="4"/>
        <v>1</v>
      </c>
      <c r="N16" s="49">
        <f t="shared" si="5"/>
        <v>0</v>
      </c>
      <c r="O16" s="43">
        <f t="shared" si="6"/>
        <v>0</v>
      </c>
      <c r="P16" s="34">
        <f t="shared" si="7"/>
        <v>0</v>
      </c>
    </row>
    <row r="17" spans="1:17">
      <c r="A17" s="2" t="s">
        <v>254</v>
      </c>
      <c r="B17" s="2" t="s">
        <v>253</v>
      </c>
      <c r="C17" s="19" t="s">
        <v>284</v>
      </c>
      <c r="D17" s="152"/>
      <c r="E17" s="146"/>
      <c r="F17" s="40">
        <f t="shared" si="8"/>
        <v>0</v>
      </c>
      <c r="G17" s="155">
        <f t="shared" si="0"/>
        <v>21.775746038000001</v>
      </c>
      <c r="H17" s="155">
        <f t="shared" si="1"/>
        <v>5.4737352760000002</v>
      </c>
      <c r="I17" s="40">
        <f t="shared" si="9"/>
        <v>3.9782241814793968</v>
      </c>
      <c r="J17" s="46">
        <f t="shared" si="2"/>
        <v>0</v>
      </c>
      <c r="K17" s="9">
        <f t="shared" si="3"/>
        <v>0</v>
      </c>
      <c r="L17" s="146"/>
      <c r="M17" s="10">
        <f t="shared" si="4"/>
        <v>1</v>
      </c>
      <c r="N17" s="49">
        <f t="shared" si="5"/>
        <v>0</v>
      </c>
      <c r="O17" s="43">
        <f t="shared" si="6"/>
        <v>0</v>
      </c>
      <c r="P17" s="34">
        <f t="shared" si="7"/>
        <v>0</v>
      </c>
    </row>
    <row r="18" spans="1:17">
      <c r="A18" s="2" t="s">
        <v>254</v>
      </c>
      <c r="B18" s="2" t="s">
        <v>253</v>
      </c>
      <c r="C18" s="19" t="s">
        <v>108</v>
      </c>
      <c r="D18" s="152"/>
      <c r="E18" s="146"/>
      <c r="F18" s="40">
        <f t="shared" si="8"/>
        <v>0</v>
      </c>
      <c r="G18" s="155">
        <f t="shared" si="0"/>
        <v>25.692784057000001</v>
      </c>
      <c r="H18" s="155">
        <f t="shared" si="1"/>
        <v>5.7201727580000004</v>
      </c>
      <c r="I18" s="40">
        <f t="shared" si="9"/>
        <v>4.4916098069008701</v>
      </c>
      <c r="J18" s="46">
        <f t="shared" si="2"/>
        <v>0</v>
      </c>
      <c r="K18" s="9">
        <f t="shared" si="3"/>
        <v>0</v>
      </c>
      <c r="L18" s="146"/>
      <c r="M18" s="10">
        <f t="shared" si="4"/>
        <v>1</v>
      </c>
      <c r="N18" s="49">
        <f t="shared" si="5"/>
        <v>0</v>
      </c>
      <c r="O18" s="43">
        <f t="shared" si="6"/>
        <v>0</v>
      </c>
      <c r="P18" s="34">
        <f t="shared" si="7"/>
        <v>0</v>
      </c>
    </row>
    <row r="19" spans="1:17">
      <c r="A19" s="2" t="s">
        <v>254</v>
      </c>
      <c r="B19" s="2" t="s">
        <v>253</v>
      </c>
      <c r="C19" s="19" t="s">
        <v>109</v>
      </c>
      <c r="D19" s="152"/>
      <c r="E19" s="146"/>
      <c r="F19" s="40">
        <f t="shared" si="8"/>
        <v>0</v>
      </c>
      <c r="G19" s="155">
        <f t="shared" si="0"/>
        <v>4.3393071230000002</v>
      </c>
      <c r="H19" s="155">
        <f t="shared" si="1"/>
        <v>2.9802758360000001</v>
      </c>
      <c r="I19" s="40">
        <f t="shared" si="9"/>
        <v>1.4560085581957523</v>
      </c>
      <c r="J19" s="46">
        <f t="shared" si="2"/>
        <v>0</v>
      </c>
      <c r="K19" s="9">
        <f t="shared" si="3"/>
        <v>0</v>
      </c>
      <c r="L19" s="146"/>
      <c r="M19" s="10">
        <f t="shared" si="4"/>
        <v>1</v>
      </c>
      <c r="N19" s="49">
        <f t="shared" si="5"/>
        <v>0</v>
      </c>
      <c r="O19" s="43">
        <f t="shared" si="6"/>
        <v>0</v>
      </c>
      <c r="P19" s="34">
        <f t="shared" si="7"/>
        <v>0</v>
      </c>
    </row>
    <row r="20" spans="1:17">
      <c r="A20" s="2" t="s">
        <v>254</v>
      </c>
      <c r="B20" s="2" t="s">
        <v>253</v>
      </c>
      <c r="C20" s="19" t="s">
        <v>285</v>
      </c>
      <c r="D20" s="152"/>
      <c r="E20" s="146"/>
      <c r="F20" s="40">
        <f t="shared" si="8"/>
        <v>0</v>
      </c>
      <c r="G20" s="155">
        <f t="shared" si="0"/>
        <v>3.3539319989999998</v>
      </c>
      <c r="H20" s="155">
        <f t="shared" si="1"/>
        <v>0.44687500400000002</v>
      </c>
      <c r="I20" s="40">
        <f t="shared" si="9"/>
        <v>7.5053023082042865</v>
      </c>
      <c r="J20" s="46">
        <f t="shared" si="2"/>
        <v>0</v>
      </c>
      <c r="K20" s="9">
        <f t="shared" si="3"/>
        <v>0</v>
      </c>
      <c r="L20" s="146"/>
      <c r="M20" s="10">
        <f t="shared" si="4"/>
        <v>1</v>
      </c>
      <c r="N20" s="49">
        <f t="shared" si="5"/>
        <v>0</v>
      </c>
      <c r="O20" s="43">
        <f t="shared" si="6"/>
        <v>0</v>
      </c>
      <c r="P20" s="34">
        <f t="shared" si="7"/>
        <v>0</v>
      </c>
    </row>
    <row r="21" spans="1:17">
      <c r="A21" s="2" t="s">
        <v>254</v>
      </c>
      <c r="B21" s="2" t="s">
        <v>253</v>
      </c>
      <c r="C21" s="19" t="s">
        <v>286</v>
      </c>
      <c r="D21" s="152"/>
      <c r="E21" s="146"/>
      <c r="F21" s="40">
        <f t="shared" si="8"/>
        <v>0</v>
      </c>
      <c r="G21" s="155">
        <f t="shared" si="0"/>
        <v>19.097089891</v>
      </c>
      <c r="H21" s="155">
        <f t="shared" si="1"/>
        <v>5.9005298469999996</v>
      </c>
      <c r="I21" s="40">
        <f t="shared" si="9"/>
        <v>3.2365042438874387</v>
      </c>
      <c r="J21" s="46">
        <f t="shared" si="2"/>
        <v>0</v>
      </c>
      <c r="K21" s="9">
        <f t="shared" si="3"/>
        <v>0</v>
      </c>
      <c r="L21" s="146"/>
      <c r="M21" s="10">
        <f t="shared" si="4"/>
        <v>1</v>
      </c>
      <c r="N21" s="49">
        <f t="shared" si="5"/>
        <v>0</v>
      </c>
      <c r="O21" s="43">
        <f t="shared" si="6"/>
        <v>0</v>
      </c>
      <c r="P21" s="34">
        <f t="shared" si="7"/>
        <v>0</v>
      </c>
    </row>
    <row r="22" spans="1:17">
      <c r="A22" s="2" t="s">
        <v>254</v>
      </c>
      <c r="B22" s="2" t="s">
        <v>253</v>
      </c>
      <c r="C22" s="19" t="s">
        <v>110</v>
      </c>
      <c r="D22" s="152"/>
      <c r="E22" s="146"/>
      <c r="F22" s="40">
        <f t="shared" si="8"/>
        <v>0</v>
      </c>
      <c r="G22" s="155">
        <f t="shared" si="0"/>
        <v>15.128208538999999</v>
      </c>
      <c r="H22" s="155">
        <f t="shared" si="1"/>
        <v>7.8932680819999996</v>
      </c>
      <c r="I22" s="40">
        <f t="shared" si="9"/>
        <v>1.9165963174998115</v>
      </c>
      <c r="J22" s="46">
        <f t="shared" si="2"/>
        <v>0</v>
      </c>
      <c r="K22" s="9">
        <f t="shared" si="3"/>
        <v>0</v>
      </c>
      <c r="L22" s="146"/>
      <c r="M22" s="10">
        <f t="shared" si="4"/>
        <v>1</v>
      </c>
      <c r="N22" s="49">
        <f t="shared" si="5"/>
        <v>0</v>
      </c>
      <c r="O22" s="43">
        <f t="shared" si="6"/>
        <v>0</v>
      </c>
      <c r="P22" s="34">
        <f t="shared" si="7"/>
        <v>0</v>
      </c>
    </row>
    <row r="23" spans="1:17" ht="12.75" thickBot="1">
      <c r="A23" s="2" t="s">
        <v>254</v>
      </c>
      <c r="B23" s="2" t="s">
        <v>253</v>
      </c>
      <c r="C23" s="3" t="s">
        <v>111</v>
      </c>
      <c r="D23" s="153"/>
      <c r="E23" s="149"/>
      <c r="F23" s="41">
        <f t="shared" si="8"/>
        <v>0</v>
      </c>
      <c r="G23" s="158">
        <f t="shared" si="0"/>
        <v>13.503148619999999</v>
      </c>
      <c r="H23" s="184">
        <f t="shared" si="1"/>
        <v>8.2149920979999997</v>
      </c>
      <c r="I23" s="41">
        <f t="shared" si="9"/>
        <v>1.643720220167642</v>
      </c>
      <c r="J23" s="47">
        <f t="shared" si="2"/>
        <v>0</v>
      </c>
      <c r="K23" s="12">
        <f t="shared" si="3"/>
        <v>0</v>
      </c>
      <c r="L23" s="149"/>
      <c r="M23" s="14">
        <f t="shared" si="4"/>
        <v>1</v>
      </c>
      <c r="N23" s="48">
        <f t="shared" si="5"/>
        <v>0</v>
      </c>
      <c r="O23" s="44">
        <f t="shared" si="6"/>
        <v>0</v>
      </c>
      <c r="P23" s="35">
        <f t="shared" si="7"/>
        <v>0</v>
      </c>
    </row>
    <row r="24" spans="1:17" ht="12.75" thickBot="1">
      <c r="C24" s="5" t="s">
        <v>122</v>
      </c>
      <c r="D24" s="159">
        <f>SUM(D8:D14)+SUM(D17:D23)</f>
        <v>0</v>
      </c>
      <c r="E24" s="31"/>
      <c r="F24" s="31"/>
      <c r="G24" s="31"/>
      <c r="H24" s="8"/>
      <c r="I24" s="8"/>
      <c r="J24" s="38">
        <f>SUM(J8:J14)+SUM(J17:J23)</f>
        <v>0</v>
      </c>
      <c r="K24" s="20">
        <f t="shared" si="3"/>
        <v>0</v>
      </c>
      <c r="L24" s="8"/>
      <c r="M24" s="10"/>
      <c r="N24" s="8"/>
      <c r="O24" s="38">
        <f>SUM(O8:O14)+SUM(O17:O23)</f>
        <v>0</v>
      </c>
      <c r="P24" s="20">
        <f t="shared" si="7"/>
        <v>0</v>
      </c>
    </row>
    <row r="25" spans="1:17">
      <c r="C25" s="1"/>
      <c r="D25" s="31"/>
      <c r="E25" s="31"/>
      <c r="F25" s="31"/>
      <c r="G25" s="31"/>
      <c r="H25" s="8"/>
      <c r="I25" s="8"/>
      <c r="J25" s="8"/>
      <c r="K25" s="8"/>
      <c r="L25" s="8"/>
      <c r="M25" s="10"/>
      <c r="N25" s="8"/>
      <c r="O25" s="8"/>
      <c r="P25" s="8"/>
    </row>
    <row r="26" spans="1:17">
      <c r="C26" s="1"/>
      <c r="D26" s="31"/>
      <c r="E26" s="31"/>
      <c r="F26" s="31"/>
      <c r="G26" s="31"/>
      <c r="H26" s="8"/>
      <c r="I26" s="8"/>
      <c r="J26" s="8"/>
      <c r="K26" s="8"/>
      <c r="L26" s="8"/>
      <c r="M26" s="10"/>
      <c r="N26" s="8"/>
      <c r="O26" s="8"/>
      <c r="P26" s="8"/>
    </row>
    <row r="27" spans="1:17" ht="12.75" thickBot="1">
      <c r="D27" s="130" t="str">
        <f>Registry</f>
        <v>Alabama</v>
      </c>
      <c r="E27" s="131"/>
      <c r="F27" s="132"/>
      <c r="G27" s="130" t="s">
        <v>82</v>
      </c>
      <c r="H27" s="125"/>
      <c r="I27" s="126"/>
      <c r="J27" s="124" t="s">
        <v>294</v>
      </c>
      <c r="K27" s="126"/>
      <c r="L27" s="124" t="s">
        <v>83</v>
      </c>
      <c r="M27" s="125"/>
      <c r="N27" s="126"/>
      <c r="O27" s="124" t="s">
        <v>84</v>
      </c>
      <c r="P27" s="126"/>
    </row>
    <row r="28" spans="1:17">
      <c r="C28" s="17" t="s">
        <v>123</v>
      </c>
      <c r="D28" s="133" t="s">
        <v>86</v>
      </c>
      <c r="E28" s="134"/>
      <c r="F28" s="135"/>
      <c r="G28" s="133" t="s">
        <v>86</v>
      </c>
      <c r="H28" s="128"/>
      <c r="I28" s="129"/>
      <c r="J28" s="30" t="s">
        <v>87</v>
      </c>
      <c r="K28" s="171" t="s">
        <v>295</v>
      </c>
      <c r="L28" s="30" t="s">
        <v>88</v>
      </c>
      <c r="M28" s="26"/>
      <c r="N28" s="22" t="s">
        <v>89</v>
      </c>
      <c r="O28" s="30" t="s">
        <v>87</v>
      </c>
      <c r="P28" s="23" t="s">
        <v>90</v>
      </c>
    </row>
    <row r="29" spans="1:17" ht="12.75" thickBot="1">
      <c r="C29" s="19"/>
      <c r="D29" s="28">
        <f>CaseYear</f>
        <v>2010</v>
      </c>
      <c r="E29" s="22" t="str">
        <f>RegMCurrentStart&amp;"-"&amp;TEXT(RegMCurrentEnd,"00")</f>
        <v>2009-2010</v>
      </c>
      <c r="F29" s="23" t="s">
        <v>91</v>
      </c>
      <c r="G29" s="154" t="str">
        <f>SEERStart&amp;"-"&amp;TEXT(SEEREnd,"00")</f>
        <v>2006-2010</v>
      </c>
      <c r="H29" s="101" t="str">
        <f>USMortStart&amp;"-"&amp;TEXT(USMortEnd,"00")</f>
        <v>2006-2010</v>
      </c>
      <c r="I29" s="22" t="s">
        <v>91</v>
      </c>
      <c r="J29" s="30" t="s">
        <v>92</v>
      </c>
      <c r="K29" s="22" t="s">
        <v>4</v>
      </c>
      <c r="L29" s="30" t="str">
        <f>RegMRefStart&amp;"-"&amp;TEXT(RegMRefEnd,"00")</f>
        <v>2006-2010</v>
      </c>
      <c r="M29" s="26" t="s">
        <v>93</v>
      </c>
      <c r="N29" s="22" t="str">
        <f>RegMCurrentStart&amp;"-"&amp;TEXT(RegMCurrentEnd,"00")</f>
        <v>2009-2010</v>
      </c>
      <c r="O29" s="30" t="s">
        <v>92</v>
      </c>
      <c r="P29" s="23" t="s">
        <v>4</v>
      </c>
    </row>
    <row r="30" spans="1:17" ht="12.75" thickBot="1">
      <c r="C30" s="16" t="s">
        <v>94</v>
      </c>
      <c r="D30" s="102" t="s">
        <v>92</v>
      </c>
      <c r="E30" s="103" t="s">
        <v>95</v>
      </c>
      <c r="F30" s="104" t="s">
        <v>96</v>
      </c>
      <c r="G30" s="102" t="s">
        <v>92</v>
      </c>
      <c r="H30" s="24" t="s">
        <v>95</v>
      </c>
      <c r="I30" s="24" t="s">
        <v>96</v>
      </c>
      <c r="J30" s="30" t="s">
        <v>97</v>
      </c>
      <c r="K30" s="22" t="s">
        <v>5</v>
      </c>
      <c r="L30" s="29" t="s">
        <v>98</v>
      </c>
      <c r="M30" s="27" t="s">
        <v>99</v>
      </c>
      <c r="N30" s="24" t="s">
        <v>98</v>
      </c>
      <c r="O30" s="29" t="s">
        <v>97</v>
      </c>
      <c r="P30" s="25" t="s">
        <v>5</v>
      </c>
    </row>
    <row r="31" spans="1:17">
      <c r="A31" s="2" t="s">
        <v>255</v>
      </c>
      <c r="B31" s="2" t="s">
        <v>253</v>
      </c>
      <c r="C31" s="19" t="s">
        <v>313</v>
      </c>
      <c r="D31" s="151"/>
      <c r="E31" s="146"/>
      <c r="F31" s="40">
        <f t="shared" ref="F31:F49" si="10">IF(E31=0,0,D31/E31)</f>
        <v>0</v>
      </c>
      <c r="G31" s="155">
        <f t="shared" ref="G31:G49" si="11">VLOOKUP(TRIM(A31)&amp;TRIM(B31)&amp;TRIM(C31), RateData, 3*(CaseYear-1995)+5, 0)</f>
        <v>5.4865083329999997</v>
      </c>
      <c r="H31" s="155">
        <f t="shared" ref="H31:H49" si="12">VLOOKUP(TRIM(A31)&amp;TRIM(B31)&amp;TRIM(C31), RateData, 3*(CaseYear-1995)+6, 0)</f>
        <v>1.424800278</v>
      </c>
      <c r="I31" s="40">
        <f t="shared" ref="I31:I49" si="13">G31/H31</f>
        <v>3.8507209871557873</v>
      </c>
      <c r="J31" s="109">
        <f t="shared" ref="J31:J49" si="14">E31*I31</f>
        <v>0</v>
      </c>
      <c r="K31" s="110">
        <f t="shared" ref="K31:K50" si="15">IF(J31=0,0,(D31/J31*100))</f>
        <v>0</v>
      </c>
      <c r="L31" s="146"/>
      <c r="M31" s="10">
        <f t="shared" ref="M31:M49" si="16">IF(H31=0,1,IF(L31=0,1,H31/L31))</f>
        <v>1</v>
      </c>
      <c r="N31" s="49">
        <f t="shared" ref="N31:N49" si="17">IF(M31&lt;=1,(((1-AdjHigh)*E31)+(AdjHigh*M31*E31)),(((1-AdjLow)*E31)+(AdjLow*M31*E31)))</f>
        <v>0</v>
      </c>
      <c r="O31" s="42">
        <f t="shared" ref="O31:O49" si="18">N31*I31</f>
        <v>0</v>
      </c>
      <c r="P31" s="33">
        <f t="shared" ref="P31:P50" si="19">IF(O31=0,0,D31/O31*100)</f>
        <v>0</v>
      </c>
      <c r="Q31" s="8"/>
    </row>
    <row r="32" spans="1:17">
      <c r="A32" s="2" t="s">
        <v>255</v>
      </c>
      <c r="B32" s="2" t="s">
        <v>253</v>
      </c>
      <c r="C32" s="19" t="s">
        <v>100</v>
      </c>
      <c r="D32" s="152"/>
      <c r="E32" s="146"/>
      <c r="F32" s="40">
        <f t="shared" si="10"/>
        <v>0</v>
      </c>
      <c r="G32" s="155">
        <f t="shared" si="11"/>
        <v>2.636931895</v>
      </c>
      <c r="H32" s="155">
        <f t="shared" si="12"/>
        <v>2.1339416789999999</v>
      </c>
      <c r="I32" s="40">
        <f t="shared" si="13"/>
        <v>1.2357094483649196</v>
      </c>
      <c r="J32" s="46">
        <f t="shared" si="14"/>
        <v>0</v>
      </c>
      <c r="K32" s="9">
        <f t="shared" si="15"/>
        <v>0</v>
      </c>
      <c r="L32" s="146"/>
      <c r="M32" s="10">
        <f t="shared" si="16"/>
        <v>1</v>
      </c>
      <c r="N32" s="49">
        <f t="shared" si="17"/>
        <v>0</v>
      </c>
      <c r="O32" s="43">
        <f t="shared" si="18"/>
        <v>0</v>
      </c>
      <c r="P32" s="34">
        <f t="shared" si="19"/>
        <v>0</v>
      </c>
    </row>
    <row r="33" spans="1:16">
      <c r="A33" s="2" t="s">
        <v>255</v>
      </c>
      <c r="B33" s="2" t="s">
        <v>253</v>
      </c>
      <c r="C33" s="19" t="s">
        <v>101</v>
      </c>
      <c r="D33" s="152"/>
      <c r="E33" s="146"/>
      <c r="F33" s="40">
        <f t="shared" si="10"/>
        <v>0</v>
      </c>
      <c r="G33" s="155">
        <f t="shared" si="11"/>
        <v>8.5268794680000006</v>
      </c>
      <c r="H33" s="155">
        <f t="shared" si="12"/>
        <v>4.6579312399999999</v>
      </c>
      <c r="I33" s="40">
        <f t="shared" si="13"/>
        <v>1.8306151440741321</v>
      </c>
      <c r="J33" s="46">
        <f t="shared" si="14"/>
        <v>0</v>
      </c>
      <c r="K33" s="9">
        <f t="shared" si="15"/>
        <v>0</v>
      </c>
      <c r="L33" s="146"/>
      <c r="M33" s="10">
        <f t="shared" si="16"/>
        <v>1</v>
      </c>
      <c r="N33" s="49">
        <f t="shared" si="17"/>
        <v>0</v>
      </c>
      <c r="O33" s="43">
        <f t="shared" si="18"/>
        <v>0</v>
      </c>
      <c r="P33" s="34">
        <f t="shared" si="19"/>
        <v>0</v>
      </c>
    </row>
    <row r="34" spans="1:16">
      <c r="A34" s="2" t="s">
        <v>255</v>
      </c>
      <c r="B34" s="2" t="s">
        <v>253</v>
      </c>
      <c r="C34" s="19" t="s">
        <v>102</v>
      </c>
      <c r="D34" s="152"/>
      <c r="E34" s="146"/>
      <c r="F34" s="40">
        <f t="shared" si="10"/>
        <v>0</v>
      </c>
      <c r="G34" s="155">
        <f t="shared" si="11"/>
        <v>49.909480223000003</v>
      </c>
      <c r="H34" s="155">
        <f t="shared" si="12"/>
        <v>19.024095696</v>
      </c>
      <c r="I34" s="40">
        <f t="shared" si="13"/>
        <v>2.6234876558938858</v>
      </c>
      <c r="J34" s="46">
        <f t="shared" si="14"/>
        <v>0</v>
      </c>
      <c r="K34" s="9">
        <f t="shared" si="15"/>
        <v>0</v>
      </c>
      <c r="L34" s="146"/>
      <c r="M34" s="10">
        <f t="shared" si="16"/>
        <v>1</v>
      </c>
      <c r="N34" s="49">
        <f t="shared" si="17"/>
        <v>0</v>
      </c>
      <c r="O34" s="43">
        <f t="shared" si="18"/>
        <v>0</v>
      </c>
      <c r="P34" s="34">
        <f t="shared" si="19"/>
        <v>0</v>
      </c>
    </row>
    <row r="35" spans="1:16">
      <c r="A35" s="2" t="s">
        <v>255</v>
      </c>
      <c r="B35" s="2" t="s">
        <v>253</v>
      </c>
      <c r="C35" s="19" t="s">
        <v>103</v>
      </c>
      <c r="D35" s="152"/>
      <c r="E35" s="146"/>
      <c r="F35" s="40">
        <f t="shared" si="10"/>
        <v>0</v>
      </c>
      <c r="G35" s="155">
        <f t="shared" si="11"/>
        <v>4.3669654380000003</v>
      </c>
      <c r="H35" s="155">
        <f t="shared" si="12"/>
        <v>3.0403811369999998</v>
      </c>
      <c r="I35" s="40">
        <f t="shared" si="13"/>
        <v>1.4363217113986457</v>
      </c>
      <c r="J35" s="46">
        <f t="shared" si="14"/>
        <v>0</v>
      </c>
      <c r="K35" s="9">
        <f t="shared" si="15"/>
        <v>0</v>
      </c>
      <c r="L35" s="146"/>
      <c r="M35" s="10">
        <f t="shared" si="16"/>
        <v>1</v>
      </c>
      <c r="N35" s="49">
        <f t="shared" si="17"/>
        <v>0</v>
      </c>
      <c r="O35" s="43">
        <f t="shared" si="18"/>
        <v>0</v>
      </c>
      <c r="P35" s="34">
        <f t="shared" si="19"/>
        <v>0</v>
      </c>
    </row>
    <row r="36" spans="1:16">
      <c r="A36" s="2" t="s">
        <v>255</v>
      </c>
      <c r="B36" s="2" t="s">
        <v>253</v>
      </c>
      <c r="C36" s="19" t="s">
        <v>104</v>
      </c>
      <c r="D36" s="152"/>
      <c r="E36" s="146"/>
      <c r="F36" s="40">
        <f t="shared" si="10"/>
        <v>0</v>
      </c>
      <c r="G36" s="155">
        <f t="shared" si="11"/>
        <v>14.946437852000001</v>
      </c>
      <c r="H36" s="155">
        <f t="shared" si="12"/>
        <v>12.47624519</v>
      </c>
      <c r="I36" s="40">
        <f t="shared" si="13"/>
        <v>1.1979916733265163</v>
      </c>
      <c r="J36" s="46">
        <f t="shared" si="14"/>
        <v>0</v>
      </c>
      <c r="K36" s="9">
        <f t="shared" si="15"/>
        <v>0</v>
      </c>
      <c r="L36" s="146"/>
      <c r="M36" s="10">
        <f t="shared" si="16"/>
        <v>1</v>
      </c>
      <c r="N36" s="49">
        <f t="shared" si="17"/>
        <v>0</v>
      </c>
      <c r="O36" s="43">
        <f t="shared" si="18"/>
        <v>0</v>
      </c>
      <c r="P36" s="34">
        <f t="shared" si="19"/>
        <v>0</v>
      </c>
    </row>
    <row r="37" spans="1:16">
      <c r="A37" s="2" t="s">
        <v>255</v>
      </c>
      <c r="B37" s="2" t="s">
        <v>253</v>
      </c>
      <c r="C37" s="19" t="s">
        <v>105</v>
      </c>
      <c r="D37" s="152"/>
      <c r="E37" s="146"/>
      <c r="F37" s="40">
        <f t="shared" si="10"/>
        <v>0</v>
      </c>
      <c r="G37" s="155">
        <f t="shared" si="11"/>
        <v>54.406229572999997</v>
      </c>
      <c r="H37" s="155">
        <f t="shared" si="12"/>
        <v>37.212903179999998</v>
      </c>
      <c r="I37" s="40">
        <f t="shared" si="13"/>
        <v>1.4620259351933744</v>
      </c>
      <c r="J37" s="46">
        <f t="shared" si="14"/>
        <v>0</v>
      </c>
      <c r="K37" s="9">
        <f t="shared" si="15"/>
        <v>0</v>
      </c>
      <c r="L37" s="146"/>
      <c r="M37" s="10">
        <f t="shared" si="16"/>
        <v>1</v>
      </c>
      <c r="N37" s="49">
        <f t="shared" si="17"/>
        <v>0</v>
      </c>
      <c r="O37" s="43">
        <f t="shared" si="18"/>
        <v>0</v>
      </c>
      <c r="P37" s="34">
        <f t="shared" si="19"/>
        <v>0</v>
      </c>
    </row>
    <row r="38" spans="1:16">
      <c r="A38" s="2" t="s">
        <v>255</v>
      </c>
      <c r="B38" s="2" t="s">
        <v>253</v>
      </c>
      <c r="C38" s="19" t="s">
        <v>316</v>
      </c>
      <c r="D38" s="213"/>
      <c r="E38" s="212"/>
      <c r="F38" s="40">
        <f t="shared" si="10"/>
        <v>0</v>
      </c>
      <c r="G38" s="155">
        <f t="shared" si="11"/>
        <v>0.89533255099999998</v>
      </c>
      <c r="H38" s="155">
        <f t="shared" si="12"/>
        <v>0.37869984400000001</v>
      </c>
      <c r="I38" s="40">
        <f t="shared" si="13"/>
        <v>2.3642274090823232</v>
      </c>
      <c r="J38" s="46">
        <f>E38*I38</f>
        <v>0</v>
      </c>
      <c r="K38" s="9">
        <f>IF(J38=0,0,(D38/J38*100))</f>
        <v>0</v>
      </c>
      <c r="L38" s="212"/>
      <c r="M38" s="10">
        <f t="shared" si="16"/>
        <v>1</v>
      </c>
      <c r="N38" s="49">
        <f t="shared" si="17"/>
        <v>0</v>
      </c>
      <c r="O38" s="43">
        <f t="shared" si="18"/>
        <v>0</v>
      </c>
      <c r="P38" s="34">
        <f t="shared" si="19"/>
        <v>0</v>
      </c>
    </row>
    <row r="39" spans="1:16">
      <c r="A39" s="2" t="s">
        <v>255</v>
      </c>
      <c r="B39" s="2" t="s">
        <v>253</v>
      </c>
      <c r="C39" s="19" t="s">
        <v>315</v>
      </c>
      <c r="D39" s="210"/>
      <c r="E39" s="211"/>
      <c r="F39" s="40">
        <f t="shared" si="10"/>
        <v>0</v>
      </c>
      <c r="G39" s="155">
        <f t="shared" si="11"/>
        <v>124.31599876999999</v>
      </c>
      <c r="H39" s="155">
        <f t="shared" si="12"/>
        <v>30.835993587000001</v>
      </c>
      <c r="I39" s="40">
        <f t="shared" si="13"/>
        <v>4.0315223966841716</v>
      </c>
      <c r="J39" s="46">
        <f>E39*I39</f>
        <v>0</v>
      </c>
      <c r="K39" s="9">
        <f>IF(J39=0,0,(D39/J39*100))</f>
        <v>0</v>
      </c>
      <c r="L39" s="212"/>
      <c r="M39" s="10">
        <f t="shared" si="16"/>
        <v>1</v>
      </c>
      <c r="N39" s="49">
        <f t="shared" si="17"/>
        <v>0</v>
      </c>
      <c r="O39" s="43">
        <f t="shared" si="18"/>
        <v>0</v>
      </c>
      <c r="P39" s="34">
        <f t="shared" si="19"/>
        <v>0</v>
      </c>
    </row>
    <row r="40" spans="1:16">
      <c r="A40" s="2" t="s">
        <v>255</v>
      </c>
      <c r="B40" s="2" t="s">
        <v>253</v>
      </c>
      <c r="C40" s="19" t="s">
        <v>114</v>
      </c>
      <c r="D40" s="152"/>
      <c r="E40" s="146"/>
      <c r="F40" s="40">
        <f t="shared" si="10"/>
        <v>0</v>
      </c>
      <c r="G40" s="155">
        <f t="shared" si="11"/>
        <v>8.3466770639999996</v>
      </c>
      <c r="H40" s="155">
        <f t="shared" si="12"/>
        <v>4.150901342</v>
      </c>
      <c r="I40" s="40">
        <f t="shared" si="13"/>
        <v>2.0108107556173276</v>
      </c>
      <c r="J40" s="46">
        <f t="shared" si="14"/>
        <v>0</v>
      </c>
      <c r="K40" s="9">
        <f t="shared" si="15"/>
        <v>0</v>
      </c>
      <c r="L40" s="146"/>
      <c r="M40" s="10">
        <f t="shared" si="16"/>
        <v>1</v>
      </c>
      <c r="N40" s="49">
        <f t="shared" si="17"/>
        <v>0</v>
      </c>
      <c r="O40" s="43">
        <f t="shared" si="18"/>
        <v>0</v>
      </c>
      <c r="P40" s="34">
        <f t="shared" si="19"/>
        <v>0</v>
      </c>
    </row>
    <row r="41" spans="1:16">
      <c r="A41" s="2" t="s">
        <v>255</v>
      </c>
      <c r="B41" s="2" t="s">
        <v>253</v>
      </c>
      <c r="C41" s="19" t="s">
        <v>115</v>
      </c>
      <c r="D41" s="152"/>
      <c r="E41" s="146"/>
      <c r="F41" s="40">
        <f t="shared" si="10"/>
        <v>0</v>
      </c>
      <c r="G41" s="155">
        <f t="shared" si="11"/>
        <v>23.284969163</v>
      </c>
      <c r="H41" s="155">
        <f t="shared" si="12"/>
        <v>7.3812106039999996</v>
      </c>
      <c r="I41" s="40">
        <f t="shared" si="13"/>
        <v>3.1546273927452351</v>
      </c>
      <c r="J41" s="46">
        <f t="shared" si="14"/>
        <v>0</v>
      </c>
      <c r="K41" s="9">
        <f t="shared" si="15"/>
        <v>0</v>
      </c>
      <c r="L41" s="146"/>
      <c r="M41" s="10">
        <f t="shared" si="16"/>
        <v>1</v>
      </c>
      <c r="N41" s="49">
        <f t="shared" si="17"/>
        <v>0</v>
      </c>
      <c r="O41" s="43">
        <f t="shared" si="18"/>
        <v>0</v>
      </c>
      <c r="P41" s="34">
        <f t="shared" si="19"/>
        <v>0</v>
      </c>
    </row>
    <row r="42" spans="1:16">
      <c r="A42" s="2" t="s">
        <v>255</v>
      </c>
      <c r="B42" s="2" t="s">
        <v>253</v>
      </c>
      <c r="C42" s="19" t="s">
        <v>116</v>
      </c>
      <c r="D42" s="152"/>
      <c r="E42" s="146"/>
      <c r="F42" s="40">
        <f t="shared" si="10"/>
        <v>0</v>
      </c>
      <c r="G42" s="155">
        <f t="shared" si="11"/>
        <v>9.8063826600000006</v>
      </c>
      <c r="H42" s="155">
        <f t="shared" si="12"/>
        <v>6.6815501719999997</v>
      </c>
      <c r="I42" s="40">
        <f t="shared" si="13"/>
        <v>1.4676807638285891</v>
      </c>
      <c r="J42" s="46">
        <f t="shared" si="14"/>
        <v>0</v>
      </c>
      <c r="K42" s="9">
        <f t="shared" si="15"/>
        <v>0</v>
      </c>
      <c r="L42" s="146"/>
      <c r="M42" s="10">
        <f t="shared" si="16"/>
        <v>1</v>
      </c>
      <c r="N42" s="49">
        <f t="shared" si="17"/>
        <v>0</v>
      </c>
      <c r="O42" s="43">
        <f t="shared" si="18"/>
        <v>0</v>
      </c>
      <c r="P42" s="34">
        <f t="shared" si="19"/>
        <v>0</v>
      </c>
    </row>
    <row r="43" spans="1:16">
      <c r="A43" s="2" t="s">
        <v>255</v>
      </c>
      <c r="B43" s="2" t="s">
        <v>253</v>
      </c>
      <c r="C43" s="19" t="s">
        <v>284</v>
      </c>
      <c r="D43" s="152"/>
      <c r="E43" s="146"/>
      <c r="F43" s="40">
        <f t="shared" si="10"/>
        <v>0</v>
      </c>
      <c r="G43" s="155">
        <f t="shared" si="11"/>
        <v>7.2934984649999999</v>
      </c>
      <c r="H43" s="155">
        <f t="shared" si="12"/>
        <v>2.6257656960000002</v>
      </c>
      <c r="I43" s="40">
        <f t="shared" si="13"/>
        <v>2.7776653781830802</v>
      </c>
      <c r="J43" s="46">
        <f t="shared" si="14"/>
        <v>0</v>
      </c>
      <c r="K43" s="9">
        <f t="shared" si="15"/>
        <v>0</v>
      </c>
      <c r="L43" s="146"/>
      <c r="M43" s="10">
        <f t="shared" si="16"/>
        <v>1</v>
      </c>
      <c r="N43" s="49">
        <f t="shared" si="17"/>
        <v>0</v>
      </c>
      <c r="O43" s="43">
        <f t="shared" si="18"/>
        <v>0</v>
      </c>
      <c r="P43" s="34">
        <f t="shared" si="19"/>
        <v>0</v>
      </c>
    </row>
    <row r="44" spans="1:16">
      <c r="A44" s="2" t="s">
        <v>255</v>
      </c>
      <c r="B44" s="2" t="s">
        <v>253</v>
      </c>
      <c r="C44" s="19" t="s">
        <v>108</v>
      </c>
      <c r="D44" s="152"/>
      <c r="E44" s="146"/>
      <c r="F44" s="40">
        <f t="shared" si="10"/>
        <v>0</v>
      </c>
      <c r="G44" s="155">
        <f t="shared" si="11"/>
        <v>12.257756927000001</v>
      </c>
      <c r="H44" s="155">
        <f t="shared" si="12"/>
        <v>2.613438902</v>
      </c>
      <c r="I44" s="40">
        <f t="shared" si="13"/>
        <v>4.6902787425485419</v>
      </c>
      <c r="J44" s="46">
        <f t="shared" si="14"/>
        <v>0</v>
      </c>
      <c r="K44" s="9">
        <f t="shared" si="15"/>
        <v>0</v>
      </c>
      <c r="L44" s="146"/>
      <c r="M44" s="10">
        <f t="shared" si="16"/>
        <v>1</v>
      </c>
      <c r="N44" s="49">
        <f t="shared" si="17"/>
        <v>0</v>
      </c>
      <c r="O44" s="43">
        <f t="shared" si="18"/>
        <v>0</v>
      </c>
      <c r="P44" s="34">
        <f t="shared" si="19"/>
        <v>0</v>
      </c>
    </row>
    <row r="45" spans="1:16">
      <c r="A45" s="2" t="s">
        <v>255</v>
      </c>
      <c r="B45" s="2" t="s">
        <v>253</v>
      </c>
      <c r="C45" s="19" t="s">
        <v>109</v>
      </c>
      <c r="D45" s="152"/>
      <c r="E45" s="146"/>
      <c r="F45" s="40">
        <f t="shared" si="10"/>
        <v>0</v>
      </c>
      <c r="G45" s="155">
        <f t="shared" si="11"/>
        <v>3.6960579939999998</v>
      </c>
      <c r="H45" s="155">
        <f t="shared" si="12"/>
        <v>2.0695405579999999</v>
      </c>
      <c r="I45" s="40">
        <f t="shared" si="13"/>
        <v>1.785931655078006</v>
      </c>
      <c r="J45" s="46">
        <f t="shared" si="14"/>
        <v>0</v>
      </c>
      <c r="K45" s="9">
        <f t="shared" si="15"/>
        <v>0</v>
      </c>
      <c r="L45" s="146"/>
      <c r="M45" s="10">
        <f t="shared" si="16"/>
        <v>1</v>
      </c>
      <c r="N45" s="49">
        <f t="shared" si="17"/>
        <v>0</v>
      </c>
      <c r="O45" s="43">
        <f t="shared" si="18"/>
        <v>0</v>
      </c>
      <c r="P45" s="34">
        <f t="shared" si="19"/>
        <v>0</v>
      </c>
    </row>
    <row r="46" spans="1:16">
      <c r="A46" s="2" t="s">
        <v>255</v>
      </c>
      <c r="B46" s="2" t="s">
        <v>253</v>
      </c>
      <c r="C46" s="19" t="s">
        <v>285</v>
      </c>
      <c r="D46" s="152"/>
      <c r="E46" s="146"/>
      <c r="F46" s="40">
        <f t="shared" si="10"/>
        <v>0</v>
      </c>
      <c r="G46" s="155">
        <f t="shared" si="11"/>
        <v>2.3624796340000001</v>
      </c>
      <c r="H46" s="155">
        <f t="shared" si="12"/>
        <v>0.28425553999999997</v>
      </c>
      <c r="I46" s="40">
        <f t="shared" si="13"/>
        <v>8.3111120156180611</v>
      </c>
      <c r="J46" s="46">
        <f t="shared" si="14"/>
        <v>0</v>
      </c>
      <c r="K46" s="9">
        <f t="shared" si="15"/>
        <v>0</v>
      </c>
      <c r="L46" s="146"/>
      <c r="M46" s="10">
        <f t="shared" si="16"/>
        <v>1</v>
      </c>
      <c r="N46" s="49">
        <f t="shared" si="17"/>
        <v>0</v>
      </c>
      <c r="O46" s="43">
        <f t="shared" si="18"/>
        <v>0</v>
      </c>
      <c r="P46" s="34">
        <f t="shared" si="19"/>
        <v>0</v>
      </c>
    </row>
    <row r="47" spans="1:16">
      <c r="A47" s="2" t="s">
        <v>255</v>
      </c>
      <c r="B47" s="2" t="s">
        <v>253</v>
      </c>
      <c r="C47" s="19" t="s">
        <v>286</v>
      </c>
      <c r="D47" s="152"/>
      <c r="E47" s="146"/>
      <c r="F47" s="40">
        <f t="shared" si="10"/>
        <v>0</v>
      </c>
      <c r="G47" s="155">
        <f t="shared" si="11"/>
        <v>12.659901697</v>
      </c>
      <c r="H47" s="155">
        <f t="shared" si="12"/>
        <v>3.6058672980000002</v>
      </c>
      <c r="I47" s="40">
        <f t="shared" si="13"/>
        <v>3.5109172497894847</v>
      </c>
      <c r="J47" s="46">
        <f t="shared" si="14"/>
        <v>0</v>
      </c>
      <c r="K47" s="9">
        <f t="shared" si="15"/>
        <v>0</v>
      </c>
      <c r="L47" s="146"/>
      <c r="M47" s="10">
        <f t="shared" si="16"/>
        <v>1</v>
      </c>
      <c r="N47" s="49">
        <f t="shared" si="17"/>
        <v>0</v>
      </c>
      <c r="O47" s="43">
        <f t="shared" si="18"/>
        <v>0</v>
      </c>
      <c r="P47" s="34">
        <f t="shared" si="19"/>
        <v>0</v>
      </c>
    </row>
    <row r="48" spans="1:16">
      <c r="A48" s="2" t="s">
        <v>255</v>
      </c>
      <c r="B48" s="2" t="s">
        <v>253</v>
      </c>
      <c r="C48" s="19" t="s">
        <v>110</v>
      </c>
      <c r="D48" s="152"/>
      <c r="E48" s="146"/>
      <c r="F48" s="40">
        <f t="shared" si="10"/>
        <v>0</v>
      </c>
      <c r="G48" s="155">
        <f t="shared" si="11"/>
        <v>10.839309767</v>
      </c>
      <c r="H48" s="155">
        <f t="shared" si="12"/>
        <v>5.3859162600000001</v>
      </c>
      <c r="I48" s="40">
        <f t="shared" si="13"/>
        <v>2.0125284619631274</v>
      </c>
      <c r="J48" s="46">
        <f t="shared" si="14"/>
        <v>0</v>
      </c>
      <c r="K48" s="9">
        <f t="shared" si="15"/>
        <v>0</v>
      </c>
      <c r="L48" s="146"/>
      <c r="M48" s="10">
        <f t="shared" si="16"/>
        <v>1</v>
      </c>
      <c r="N48" s="49">
        <f t="shared" si="17"/>
        <v>0</v>
      </c>
      <c r="O48" s="43">
        <f t="shared" si="18"/>
        <v>0</v>
      </c>
      <c r="P48" s="34">
        <f t="shared" si="19"/>
        <v>0</v>
      </c>
    </row>
    <row r="49" spans="1:17" ht="12.75" thickBot="1">
      <c r="A49" s="2" t="s">
        <v>255</v>
      </c>
      <c r="B49" s="2" t="s">
        <v>253</v>
      </c>
      <c r="C49" s="3" t="s">
        <v>111</v>
      </c>
      <c r="D49" s="153"/>
      <c r="E49" s="149"/>
      <c r="F49" s="41">
        <f t="shared" si="10"/>
        <v>0</v>
      </c>
      <c r="G49" s="158">
        <f t="shared" si="11"/>
        <v>7.9363908680000002</v>
      </c>
      <c r="H49" s="184">
        <f t="shared" si="12"/>
        <v>4.7653733139999996</v>
      </c>
      <c r="I49" s="41">
        <f t="shared" si="13"/>
        <v>1.6654289905649144</v>
      </c>
      <c r="J49" s="47">
        <f t="shared" si="14"/>
        <v>0</v>
      </c>
      <c r="K49" s="12">
        <f t="shared" si="15"/>
        <v>0</v>
      </c>
      <c r="L49" s="149"/>
      <c r="M49" s="14">
        <f t="shared" si="16"/>
        <v>1</v>
      </c>
      <c r="N49" s="48">
        <f t="shared" si="17"/>
        <v>0</v>
      </c>
      <c r="O49" s="44">
        <f t="shared" si="18"/>
        <v>0</v>
      </c>
      <c r="P49" s="35">
        <f t="shared" si="19"/>
        <v>0</v>
      </c>
    </row>
    <row r="50" spans="1:17" ht="12.75" thickBot="1">
      <c r="C50" s="5" t="s">
        <v>124</v>
      </c>
      <c r="D50" s="160">
        <f>SUM(D31:D37)+SUM(D39:D49)</f>
        <v>0</v>
      </c>
      <c r="E50" s="31"/>
      <c r="F50" s="31"/>
      <c r="G50" s="31"/>
      <c r="H50" s="8"/>
      <c r="I50" s="8"/>
      <c r="J50" s="45">
        <f>SUM(J31:J37)+SUM(J39:J49)</f>
        <v>0</v>
      </c>
      <c r="K50" s="13">
        <f t="shared" si="15"/>
        <v>0</v>
      </c>
      <c r="L50" s="8"/>
      <c r="M50" s="10"/>
      <c r="N50" s="8"/>
      <c r="O50" s="45">
        <f>SUM(O31:O37)+SUM(O39:O49)</f>
        <v>0</v>
      </c>
      <c r="P50" s="13">
        <f t="shared" si="19"/>
        <v>0</v>
      </c>
    </row>
    <row r="51" spans="1:17">
      <c r="D51" s="31"/>
      <c r="E51" s="31"/>
      <c r="F51" s="31"/>
      <c r="G51" s="31"/>
      <c r="H51" s="8"/>
      <c r="I51" s="8"/>
      <c r="J51" s="8"/>
      <c r="K51" s="8"/>
      <c r="L51" s="8"/>
      <c r="M51" s="10"/>
      <c r="N51" s="8"/>
      <c r="O51" s="8"/>
      <c r="P51" s="8"/>
    </row>
    <row r="52" spans="1:17" ht="12.75" thickBot="1">
      <c r="C52" s="18" t="s">
        <v>125</v>
      </c>
      <c r="D52" s="161">
        <f>IF(BlackPop=0,0,((D24*BlackMalePop+D50*BlackFemalePop)/BlackPop))</f>
        <v>0</v>
      </c>
      <c r="E52" s="32"/>
      <c r="F52" s="32"/>
      <c r="G52" s="32"/>
      <c r="H52" s="11"/>
      <c r="I52" s="11"/>
      <c r="J52" s="48">
        <f>IF(BlackPop=0,0,((J24*BlackMalePop+J50*BlackFemalePop)/BlackPop))</f>
        <v>0</v>
      </c>
      <c r="K52" s="11">
        <f>IF(J52=0,0,(D52/J52*100))</f>
        <v>0</v>
      </c>
      <c r="L52" s="11"/>
      <c r="M52" s="14"/>
      <c r="N52" s="11"/>
      <c r="O52" s="48">
        <f>IF(BlackPop=0,0,((O24*BlackMalePop+O50*BlackFemalePop)/BlackPop))</f>
        <v>0</v>
      </c>
      <c r="P52" s="150">
        <f>IF(BlackPop=0,0,((P24*BlackMalePop+P50*BlackFemalePop)/BlackPop)/100)</f>
        <v>0</v>
      </c>
    </row>
    <row r="53" spans="1:17" ht="12.75" hidden="1" thickBot="1">
      <c r="C53" s="4" t="s">
        <v>117</v>
      </c>
      <c r="D53" s="105" t="e">
        <f>#REF!+D50</f>
        <v>#REF!</v>
      </c>
      <c r="E53" s="31"/>
      <c r="F53" s="31"/>
      <c r="G53" s="31"/>
      <c r="H53" s="8"/>
      <c r="I53" s="8"/>
      <c r="J53" s="15" t="e">
        <f>#REF!+J50</f>
        <v>#REF!</v>
      </c>
      <c r="K53" s="13"/>
      <c r="L53" s="8"/>
      <c r="M53" s="10"/>
      <c r="N53" s="8"/>
      <c r="O53" s="15" t="e">
        <f>#REF!+O50</f>
        <v>#REF!</v>
      </c>
      <c r="P53" s="13"/>
    </row>
    <row r="54" spans="1:17">
      <c r="P54" s="79"/>
    </row>
    <row r="55" spans="1:17" ht="12.75">
      <c r="C55" t="s">
        <v>118</v>
      </c>
      <c r="D55" s="99"/>
      <c r="E55" s="99"/>
      <c r="F55" s="99"/>
      <c r="G55" s="99"/>
      <c r="H55"/>
      <c r="I55"/>
      <c r="J55"/>
      <c r="K55"/>
      <c r="L55"/>
      <c r="M55"/>
      <c r="N55"/>
      <c r="O55"/>
      <c r="P55" s="118"/>
      <c r="Q55"/>
    </row>
    <row r="56" spans="1:17" ht="12.75">
      <c r="C56" t="s">
        <v>119</v>
      </c>
      <c r="D56" s="99"/>
      <c r="E56" s="99"/>
      <c r="F56" s="99"/>
      <c r="G56" s="99"/>
      <c r="H56"/>
      <c r="I56"/>
      <c r="J56"/>
      <c r="K56"/>
      <c r="L56"/>
      <c r="M56"/>
      <c r="N56"/>
      <c r="O56"/>
      <c r="P56"/>
      <c r="Q56"/>
    </row>
    <row r="57" spans="1:17" ht="12.75">
      <c r="C57" t="s">
        <v>314</v>
      </c>
      <c r="D57"/>
      <c r="E57"/>
      <c r="F57"/>
      <c r="G57" s="99"/>
      <c r="H57" s="99"/>
      <c r="I57"/>
      <c r="J57"/>
      <c r="K57"/>
      <c r="L57"/>
      <c r="M57"/>
      <c r="N57"/>
      <c r="O57"/>
      <c r="P57"/>
      <c r="Q57"/>
    </row>
    <row r="58" spans="1:17" ht="12.75">
      <c r="C58" s="2" t="s">
        <v>317</v>
      </c>
      <c r="D58"/>
      <c r="E58"/>
      <c r="F58"/>
      <c r="G58" s="99"/>
      <c r="H58" s="99"/>
      <c r="I58"/>
      <c r="J58"/>
      <c r="K58"/>
      <c r="L58"/>
      <c r="M58"/>
      <c r="N58"/>
      <c r="O58"/>
      <c r="P58"/>
      <c r="Q58"/>
    </row>
    <row r="59" spans="1:17" ht="12.75">
      <c r="C59" s="168" t="s">
        <v>292</v>
      </c>
      <c r="D59" s="99"/>
      <c r="E59" s="99"/>
      <c r="F59" s="99"/>
      <c r="G59" s="99"/>
      <c r="H59"/>
      <c r="I59"/>
      <c r="J59"/>
      <c r="K59"/>
      <c r="L59"/>
      <c r="M59"/>
      <c r="N59"/>
      <c r="O59"/>
      <c r="P59"/>
      <c r="Q59"/>
    </row>
    <row r="60" spans="1:17" ht="12.75">
      <c r="C60" s="168" t="s">
        <v>293</v>
      </c>
      <c r="D60" s="99"/>
      <c r="E60" s="99"/>
      <c r="F60" s="99"/>
      <c r="G60" s="99"/>
      <c r="H60"/>
      <c r="I60"/>
      <c r="J60"/>
      <c r="K60"/>
      <c r="L60"/>
      <c r="M60"/>
      <c r="N60"/>
      <c r="O60"/>
      <c r="P60"/>
      <c r="Q60"/>
    </row>
    <row r="61" spans="1:17" ht="12.75">
      <c r="C61"/>
      <c r="D61" s="99"/>
      <c r="E61" s="99"/>
      <c r="F61" s="99"/>
      <c r="G61" s="99"/>
      <c r="H61"/>
      <c r="I61"/>
      <c r="J61"/>
      <c r="K61"/>
      <c r="L61"/>
      <c r="M61"/>
      <c r="N61"/>
      <c r="O61"/>
      <c r="P61"/>
      <c r="Q61"/>
    </row>
    <row r="62" spans="1:17" ht="12.75">
      <c r="C62"/>
      <c r="D62" s="99"/>
      <c r="E62" s="99"/>
      <c r="F62" s="99"/>
      <c r="G62" s="99"/>
      <c r="H62"/>
      <c r="I62"/>
      <c r="J62"/>
      <c r="K62"/>
      <c r="L62"/>
      <c r="M62"/>
      <c r="N62"/>
      <c r="O62"/>
      <c r="P62"/>
      <c r="Q62"/>
    </row>
    <row r="63" spans="1:17" ht="12.75">
      <c r="C63"/>
      <c r="D63" s="99"/>
      <c r="E63" s="99"/>
      <c r="F63" s="99"/>
      <c r="G63" s="99"/>
      <c r="H63"/>
      <c r="I63"/>
      <c r="J63"/>
      <c r="K63"/>
      <c r="L63"/>
      <c r="M63"/>
      <c r="N63"/>
      <c r="O63"/>
      <c r="P63"/>
      <c r="Q63"/>
    </row>
    <row r="64" spans="1:17" ht="12.75">
      <c r="C64"/>
      <c r="D64" s="99"/>
      <c r="E64" s="99"/>
      <c r="F64" s="99"/>
      <c r="G64" s="99"/>
      <c r="H64"/>
      <c r="I64"/>
      <c r="J64"/>
      <c r="K64"/>
      <c r="L64"/>
      <c r="M64"/>
      <c r="N64"/>
      <c r="O64"/>
      <c r="P64"/>
      <c r="Q64"/>
    </row>
    <row r="65" spans="3:17" ht="12.75">
      <c r="C65"/>
      <c r="D65" s="99"/>
      <c r="E65" s="99"/>
      <c r="F65" s="99"/>
      <c r="G65" s="99"/>
      <c r="H65"/>
      <c r="I65"/>
      <c r="J65"/>
      <c r="K65"/>
      <c r="L65"/>
      <c r="M65"/>
      <c r="N65"/>
      <c r="O65"/>
      <c r="P65"/>
      <c r="Q65"/>
    </row>
    <row r="66" spans="3:17" ht="12.75">
      <c r="C66"/>
      <c r="D66" s="99"/>
      <c r="E66" s="99"/>
      <c r="F66" s="99"/>
      <c r="G66" s="99"/>
      <c r="H66"/>
      <c r="I66"/>
      <c r="J66"/>
      <c r="K66"/>
      <c r="L66"/>
      <c r="M66"/>
      <c r="N66"/>
      <c r="O66"/>
      <c r="P66"/>
      <c r="Q66"/>
    </row>
    <row r="67" spans="3:17" ht="12.75">
      <c r="C67"/>
      <c r="D67" s="99"/>
      <c r="E67" s="99"/>
      <c r="F67" s="99"/>
      <c r="G67" s="99"/>
      <c r="H67"/>
      <c r="I67"/>
      <c r="J67"/>
      <c r="K67"/>
      <c r="L67"/>
      <c r="M67"/>
      <c r="N67"/>
      <c r="O67"/>
      <c r="P67"/>
      <c r="Q67"/>
    </row>
    <row r="68" spans="3:17" ht="12.75">
      <c r="C68"/>
      <c r="D68" s="99"/>
      <c r="E68" s="99"/>
      <c r="F68" s="99"/>
      <c r="G68" s="99"/>
      <c r="H68"/>
      <c r="I68"/>
      <c r="J68"/>
      <c r="K68"/>
      <c r="L68"/>
      <c r="M68"/>
      <c r="N68"/>
      <c r="O68"/>
      <c r="P68"/>
      <c r="Q68"/>
    </row>
    <row r="69" spans="3:17" ht="12.75" hidden="1">
      <c r="C69"/>
      <c r="D69" s="99"/>
      <c r="E69" s="99"/>
      <c r="F69" s="99"/>
      <c r="G69" s="99"/>
      <c r="H69"/>
      <c r="I69"/>
      <c r="J69"/>
      <c r="K69"/>
      <c r="L69"/>
      <c r="M69"/>
      <c r="N69"/>
      <c r="O69"/>
      <c r="P69"/>
      <c r="Q69"/>
    </row>
    <row r="70" spans="3:17" ht="12.75" hidden="1">
      <c r="C70"/>
      <c r="D70" s="99"/>
      <c r="E70" s="99"/>
      <c r="F70" s="99"/>
      <c r="G70" s="99"/>
      <c r="H70"/>
      <c r="I70"/>
      <c r="J70"/>
      <c r="K70"/>
      <c r="L70"/>
      <c r="M70"/>
      <c r="N70"/>
      <c r="O70"/>
      <c r="P70"/>
      <c r="Q70"/>
    </row>
    <row r="71" spans="3:17" ht="12.75">
      <c r="C71"/>
      <c r="D71" s="99"/>
      <c r="E71" s="99"/>
      <c r="F71" s="99"/>
      <c r="G71" s="99"/>
      <c r="H71"/>
      <c r="I71"/>
      <c r="J71"/>
      <c r="K71"/>
      <c r="L71"/>
      <c r="M71"/>
      <c r="N71"/>
      <c r="O71"/>
      <c r="P71"/>
      <c r="Q71"/>
    </row>
    <row r="72" spans="3:17" ht="12.75">
      <c r="C72"/>
      <c r="D72" s="99"/>
      <c r="E72" s="99"/>
      <c r="F72" s="99"/>
      <c r="G72" s="99"/>
      <c r="H72"/>
      <c r="I72"/>
      <c r="J72"/>
      <c r="K72"/>
      <c r="L72"/>
      <c r="M72"/>
      <c r="N72"/>
      <c r="O72"/>
      <c r="P72"/>
      <c r="Q72"/>
    </row>
    <row r="73" spans="3:17" ht="12.75">
      <c r="C73"/>
      <c r="D73" s="99"/>
      <c r="E73" s="99"/>
      <c r="F73" s="99"/>
      <c r="G73" s="99"/>
      <c r="H73"/>
      <c r="I73"/>
      <c r="J73"/>
      <c r="K73"/>
      <c r="L73"/>
      <c r="M73"/>
      <c r="N73"/>
      <c r="O73"/>
      <c r="P73"/>
      <c r="Q73"/>
    </row>
    <row r="74" spans="3:17" ht="12.75">
      <c r="C74"/>
      <c r="D74" s="99"/>
      <c r="E74" s="99"/>
      <c r="F74" s="99"/>
      <c r="G74" s="99"/>
      <c r="H74"/>
      <c r="I74"/>
      <c r="J74"/>
      <c r="K74"/>
      <c r="L74"/>
      <c r="M74"/>
      <c r="N74"/>
      <c r="O74"/>
      <c r="P74"/>
      <c r="Q74"/>
    </row>
    <row r="75" spans="3:17" ht="12.75">
      <c r="C75"/>
      <c r="D75" s="99"/>
      <c r="E75" s="99"/>
      <c r="F75" s="99"/>
      <c r="G75" s="99"/>
      <c r="H75"/>
      <c r="I75"/>
      <c r="J75"/>
      <c r="K75"/>
      <c r="L75"/>
      <c r="M75"/>
      <c r="N75"/>
      <c r="O75"/>
      <c r="P75"/>
      <c r="Q75"/>
    </row>
    <row r="76" spans="3:17" ht="12.75">
      <c r="C76"/>
      <c r="D76" s="99"/>
      <c r="E76" s="99"/>
      <c r="F76" s="99"/>
      <c r="G76" s="99"/>
      <c r="H76"/>
      <c r="I76"/>
      <c r="J76"/>
      <c r="K76"/>
      <c r="L76"/>
      <c r="M76"/>
      <c r="N76"/>
      <c r="O76"/>
      <c r="P76"/>
      <c r="Q76"/>
    </row>
    <row r="77" spans="3:17" ht="12.75">
      <c r="C77"/>
      <c r="D77" s="99"/>
      <c r="E77" s="99"/>
      <c r="F77" s="99"/>
      <c r="G77" s="99"/>
      <c r="H77"/>
      <c r="I77"/>
      <c r="J77"/>
      <c r="K77"/>
      <c r="L77"/>
      <c r="M77"/>
      <c r="N77"/>
      <c r="O77"/>
      <c r="P77"/>
      <c r="Q77"/>
    </row>
    <row r="78" spans="3:17" ht="12.75">
      <c r="C78"/>
      <c r="D78" s="99"/>
      <c r="E78" s="99"/>
      <c r="F78" s="99"/>
      <c r="G78" s="99"/>
      <c r="H78"/>
      <c r="I78"/>
      <c r="J78"/>
      <c r="K78"/>
      <c r="L78"/>
      <c r="M78"/>
      <c r="N78"/>
      <c r="O78"/>
      <c r="P78"/>
      <c r="Q78"/>
    </row>
    <row r="79" spans="3:17" ht="12.75">
      <c r="C79"/>
      <c r="D79" s="99"/>
      <c r="E79" s="99"/>
      <c r="F79" s="99"/>
      <c r="G79" s="99"/>
      <c r="H79"/>
      <c r="I79"/>
      <c r="J79"/>
      <c r="K79"/>
      <c r="L79"/>
      <c r="M79"/>
      <c r="N79"/>
      <c r="O79"/>
      <c r="P79"/>
      <c r="Q79"/>
    </row>
    <row r="80" spans="3:17" ht="12.75">
      <c r="C80"/>
      <c r="D80" s="99"/>
      <c r="E80" s="99"/>
      <c r="F80" s="99"/>
      <c r="G80" s="99"/>
      <c r="H80"/>
      <c r="I80"/>
      <c r="J80"/>
      <c r="K80"/>
      <c r="L80"/>
      <c r="M80"/>
      <c r="N80"/>
      <c r="O80"/>
      <c r="P80"/>
      <c r="Q80"/>
    </row>
    <row r="81" spans="3:17" ht="12.75">
      <c r="C81"/>
      <c r="D81" s="99"/>
      <c r="E81" s="99"/>
      <c r="F81" s="99"/>
      <c r="G81" s="99"/>
      <c r="H81"/>
      <c r="I81"/>
      <c r="J81"/>
      <c r="K81"/>
      <c r="L81"/>
      <c r="M81"/>
      <c r="N81"/>
      <c r="O81"/>
      <c r="P81"/>
      <c r="Q81"/>
    </row>
    <row r="82" spans="3:17" ht="12.75">
      <c r="C82"/>
      <c r="D82" s="99"/>
      <c r="E82" s="99"/>
      <c r="F82" s="99"/>
      <c r="G82" s="99"/>
      <c r="H82"/>
      <c r="I82"/>
      <c r="J82"/>
      <c r="K82"/>
      <c r="L82"/>
      <c r="M82"/>
      <c r="N82"/>
      <c r="O82"/>
      <c r="P82"/>
      <c r="Q82"/>
    </row>
    <row r="83" spans="3:17" ht="12.75">
      <c r="C83"/>
      <c r="D83" s="99"/>
      <c r="E83" s="99"/>
      <c r="F83" s="99"/>
      <c r="G83" s="99"/>
      <c r="H83"/>
      <c r="I83"/>
      <c r="J83"/>
      <c r="K83"/>
      <c r="L83"/>
      <c r="M83"/>
      <c r="N83"/>
      <c r="O83"/>
      <c r="P83"/>
      <c r="Q83"/>
    </row>
    <row r="84" spans="3:17" ht="12.75">
      <c r="C84"/>
      <c r="D84" s="99"/>
      <c r="E84" s="99"/>
      <c r="F84" s="99"/>
      <c r="G84" s="99"/>
      <c r="H84"/>
      <c r="I84"/>
      <c r="J84"/>
      <c r="K84"/>
      <c r="L84"/>
      <c r="M84"/>
      <c r="N84"/>
      <c r="O84"/>
      <c r="P84"/>
      <c r="Q84"/>
    </row>
    <row r="85" spans="3:17" ht="12.75">
      <c r="C85"/>
      <c r="D85" s="99"/>
      <c r="E85" s="99"/>
      <c r="F85" s="99"/>
      <c r="G85" s="99"/>
      <c r="H85"/>
      <c r="I85"/>
      <c r="J85"/>
      <c r="K85"/>
      <c r="L85"/>
      <c r="M85"/>
      <c r="N85"/>
      <c r="O85"/>
      <c r="P85"/>
      <c r="Q85"/>
    </row>
    <row r="86" spans="3:17" ht="12.75">
      <c r="C86"/>
      <c r="D86" s="99"/>
      <c r="E86" s="99"/>
      <c r="F86" s="99"/>
      <c r="G86" s="99"/>
      <c r="H86"/>
      <c r="I86"/>
      <c r="J86"/>
      <c r="K86"/>
      <c r="L86"/>
      <c r="M86"/>
      <c r="N86"/>
      <c r="O86"/>
      <c r="P86"/>
      <c r="Q86"/>
    </row>
    <row r="87" spans="3:17" ht="12.75">
      <c r="C87"/>
      <c r="D87" s="99"/>
      <c r="E87" s="99"/>
      <c r="F87" s="99"/>
      <c r="G87" s="99"/>
      <c r="H87"/>
      <c r="I87"/>
      <c r="J87"/>
      <c r="K87"/>
      <c r="L87"/>
      <c r="M87"/>
      <c r="N87"/>
      <c r="O87"/>
      <c r="P87"/>
      <c r="Q87"/>
    </row>
    <row r="88" spans="3:17" ht="12.75">
      <c r="C88"/>
      <c r="D88" s="99"/>
      <c r="E88" s="99"/>
      <c r="F88" s="99"/>
      <c r="G88" s="99"/>
      <c r="H88"/>
      <c r="I88"/>
      <c r="J88"/>
      <c r="K88"/>
      <c r="L88"/>
      <c r="M88"/>
      <c r="N88"/>
      <c r="O88"/>
      <c r="P88"/>
      <c r="Q88"/>
    </row>
    <row r="89" spans="3:17" ht="12.75">
      <c r="C89"/>
      <c r="D89" s="99"/>
      <c r="E89" s="99"/>
      <c r="F89" s="99"/>
      <c r="G89" s="99"/>
      <c r="H89"/>
      <c r="I89"/>
      <c r="J89"/>
      <c r="K89"/>
      <c r="L89"/>
      <c r="M89"/>
      <c r="N89"/>
      <c r="O89"/>
      <c r="P89"/>
      <c r="Q89"/>
    </row>
    <row r="90" spans="3:17" ht="12.75" hidden="1" customHeight="1">
      <c r="C90"/>
      <c r="D90" s="99"/>
      <c r="E90" s="99"/>
      <c r="F90" s="99"/>
      <c r="G90" s="99"/>
      <c r="H90"/>
      <c r="I90"/>
      <c r="J90"/>
      <c r="K90"/>
      <c r="L90"/>
      <c r="M90"/>
      <c r="N90"/>
      <c r="O90"/>
      <c r="P90"/>
      <c r="Q90"/>
    </row>
    <row r="91" spans="3:17" ht="12.75">
      <c r="C91"/>
      <c r="D91" s="99"/>
      <c r="E91" s="99"/>
      <c r="F91" s="99"/>
      <c r="G91" s="99"/>
      <c r="H91"/>
      <c r="I91"/>
      <c r="J91"/>
      <c r="K91"/>
      <c r="L91"/>
      <c r="M91"/>
      <c r="N91"/>
      <c r="O91"/>
      <c r="P91"/>
      <c r="Q91"/>
    </row>
    <row r="92" spans="3:17" ht="12.75">
      <c r="C92"/>
      <c r="D92" s="99"/>
      <c r="E92" s="99"/>
      <c r="F92" s="99"/>
      <c r="G92" s="99"/>
      <c r="H92"/>
      <c r="I92"/>
      <c r="J92"/>
      <c r="K92"/>
      <c r="L92"/>
      <c r="M92"/>
      <c r="N92"/>
      <c r="O92"/>
      <c r="P92"/>
      <c r="Q92"/>
    </row>
    <row r="93" spans="3:17" ht="12.75">
      <c r="C93"/>
      <c r="D93" s="99"/>
      <c r="E93" s="99"/>
      <c r="F93" s="99"/>
      <c r="G93" s="99"/>
      <c r="H93"/>
      <c r="I93"/>
      <c r="J93"/>
      <c r="K93"/>
      <c r="L93"/>
      <c r="M93"/>
      <c r="N93"/>
      <c r="O93"/>
      <c r="P93"/>
      <c r="Q93"/>
    </row>
    <row r="94" spans="3:17" ht="12.75">
      <c r="C94"/>
      <c r="D94" s="99"/>
      <c r="E94" s="99"/>
      <c r="F94" s="99"/>
      <c r="G94" s="99"/>
      <c r="H94"/>
      <c r="I94"/>
      <c r="J94"/>
      <c r="K94"/>
      <c r="L94"/>
      <c r="M94"/>
      <c r="N94"/>
      <c r="O94"/>
      <c r="P94"/>
      <c r="Q94"/>
    </row>
    <row r="95" spans="3:17" ht="12.75">
      <c r="C95"/>
      <c r="D95" s="99"/>
      <c r="E95" s="99"/>
      <c r="F95" s="99"/>
      <c r="G95" s="99"/>
      <c r="H95"/>
      <c r="I95"/>
      <c r="J95"/>
      <c r="K95"/>
      <c r="L95"/>
      <c r="M95"/>
      <c r="N95"/>
      <c r="O95"/>
      <c r="P95"/>
      <c r="Q95"/>
    </row>
    <row r="96" spans="3:17" ht="12.75">
      <c r="C96"/>
      <c r="D96" s="99"/>
      <c r="E96" s="99"/>
      <c r="F96" s="99"/>
      <c r="G96" s="99"/>
      <c r="H96"/>
      <c r="I96"/>
      <c r="J96"/>
      <c r="K96"/>
      <c r="L96"/>
      <c r="M96"/>
      <c r="N96"/>
      <c r="O96"/>
      <c r="P96"/>
      <c r="Q96"/>
    </row>
    <row r="97" spans="3:17" ht="12.75">
      <c r="C97"/>
      <c r="D97" s="99"/>
      <c r="E97" s="99"/>
      <c r="F97" s="99"/>
      <c r="G97" s="99"/>
      <c r="H97"/>
      <c r="I97"/>
      <c r="J97"/>
      <c r="K97"/>
      <c r="L97"/>
      <c r="M97"/>
      <c r="N97"/>
      <c r="O97"/>
      <c r="P97"/>
      <c r="Q97"/>
    </row>
    <row r="98" spans="3:17" ht="12.75">
      <c r="C98"/>
      <c r="D98" s="99"/>
      <c r="E98" s="99"/>
      <c r="F98" s="99"/>
      <c r="G98" s="99"/>
      <c r="H98"/>
      <c r="I98"/>
      <c r="J98"/>
      <c r="K98"/>
      <c r="L98"/>
      <c r="M98"/>
      <c r="N98"/>
      <c r="O98"/>
      <c r="P98"/>
      <c r="Q98"/>
    </row>
    <row r="99" spans="3:17" ht="12.75">
      <c r="C99"/>
      <c r="D99" s="99"/>
      <c r="E99" s="99"/>
      <c r="F99" s="99"/>
      <c r="G99" s="99"/>
      <c r="H99"/>
      <c r="I99"/>
      <c r="J99"/>
      <c r="K99"/>
      <c r="L99"/>
      <c r="M99"/>
      <c r="N99"/>
      <c r="O99"/>
      <c r="P99"/>
      <c r="Q99"/>
    </row>
    <row r="100" spans="3:17" ht="12.75">
      <c r="C100"/>
      <c r="D100" s="99"/>
      <c r="E100" s="99"/>
      <c r="F100" s="99"/>
      <c r="G100" s="99"/>
      <c r="H100"/>
      <c r="I100"/>
      <c r="J100"/>
      <c r="K100"/>
      <c r="L100"/>
      <c r="M100"/>
      <c r="N100"/>
      <c r="O100"/>
      <c r="P100"/>
      <c r="Q100"/>
    </row>
    <row r="101" spans="3:17" ht="12.75">
      <c r="C101"/>
      <c r="D101" s="99"/>
      <c r="E101" s="99"/>
      <c r="F101" s="99"/>
      <c r="G101" s="99"/>
      <c r="H101"/>
      <c r="I101"/>
      <c r="J101"/>
      <c r="K101"/>
      <c r="L101"/>
      <c r="M101"/>
      <c r="N101"/>
      <c r="O101"/>
      <c r="P101"/>
      <c r="Q101"/>
    </row>
    <row r="102" spans="3:17" ht="12.75" hidden="1">
      <c r="C102"/>
      <c r="D102" s="99"/>
      <c r="E102" s="99"/>
      <c r="F102" s="99"/>
      <c r="G102" s="99"/>
      <c r="H102"/>
      <c r="I102"/>
      <c r="J102"/>
      <c r="K102"/>
      <c r="L102"/>
      <c r="M102"/>
      <c r="N102"/>
      <c r="O102"/>
      <c r="P102"/>
      <c r="Q102"/>
    </row>
    <row r="103" spans="3:17" ht="12.75">
      <c r="C103"/>
      <c r="D103" s="99"/>
      <c r="E103" s="99"/>
      <c r="F103" s="99"/>
      <c r="G103" s="99"/>
      <c r="H103"/>
      <c r="I103"/>
      <c r="J103"/>
      <c r="K103"/>
      <c r="L103"/>
      <c r="M103"/>
      <c r="N103"/>
      <c r="O103"/>
      <c r="P103"/>
      <c r="Q103"/>
    </row>
    <row r="104" spans="3:17" ht="12.75">
      <c r="C104"/>
      <c r="D104" s="99"/>
      <c r="E104" s="99"/>
      <c r="F104" s="99"/>
      <c r="G104" s="99"/>
      <c r="H104"/>
      <c r="I104"/>
      <c r="J104"/>
      <c r="K104"/>
      <c r="L104"/>
      <c r="M104"/>
      <c r="N104"/>
      <c r="O104"/>
      <c r="P104"/>
      <c r="Q104"/>
    </row>
    <row r="105" spans="3:17" ht="12.75" hidden="1">
      <c r="C105"/>
      <c r="D105" s="99"/>
      <c r="E105" s="99"/>
      <c r="F105" s="99"/>
      <c r="G105" s="99"/>
      <c r="H105"/>
      <c r="I105"/>
      <c r="J105"/>
      <c r="K105"/>
      <c r="L105"/>
      <c r="M105"/>
      <c r="N105"/>
      <c r="O105"/>
      <c r="P105"/>
      <c r="Q105"/>
    </row>
    <row r="106" spans="3:17" ht="12.75">
      <c r="C106"/>
      <c r="D106" s="99"/>
      <c r="E106" s="99"/>
      <c r="F106" s="99"/>
      <c r="G106" s="99"/>
      <c r="H106"/>
      <c r="I106"/>
      <c r="J106"/>
      <c r="K106"/>
      <c r="L106"/>
      <c r="M106"/>
      <c r="N106"/>
      <c r="O106"/>
      <c r="P106"/>
      <c r="Q106"/>
    </row>
    <row r="107" spans="3:17" ht="12.75">
      <c r="C107"/>
      <c r="D107" s="99"/>
      <c r="E107" s="99"/>
      <c r="F107" s="99"/>
      <c r="G107" s="99"/>
      <c r="H107"/>
      <c r="I107"/>
      <c r="J107"/>
      <c r="K107"/>
      <c r="L107"/>
      <c r="M107"/>
      <c r="N107"/>
      <c r="O107"/>
      <c r="P107"/>
      <c r="Q107"/>
    </row>
  </sheetData>
  <sheetProtection selectLockedCells="1"/>
  <phoneticPr fontId="19" type="noConversion"/>
  <pageMargins left="0.5" right="0.5" top="0.25" bottom="0.25" header="0.25" footer="0.25"/>
  <pageSetup scale="80" orientation="landscape" r:id="rId1"/>
  <headerFooter alignWithMargins="0">
    <oddFooter>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/>
  <dimension ref="A1:Q105"/>
  <sheetViews>
    <sheetView topLeftCell="C1" workbookViewId="0">
      <selection activeCell="C38" sqref="C38"/>
    </sheetView>
  </sheetViews>
  <sheetFormatPr defaultRowHeight="12"/>
  <cols>
    <col min="1" max="2" width="0" style="2" hidden="1" customWidth="1"/>
    <col min="3" max="3" width="30.7109375" style="2" customWidth="1"/>
    <col min="4" max="6" width="9.140625" style="6"/>
    <col min="7" max="8" width="9.140625" style="79"/>
    <col min="9" max="10" width="9.140625" style="6"/>
    <col min="11" max="11" width="10.42578125" style="6" customWidth="1"/>
    <col min="12" max="12" width="9.140625" style="6"/>
    <col min="13" max="13" width="9.42578125" style="7" customWidth="1"/>
    <col min="14" max="15" width="9.140625" style="6"/>
    <col min="16" max="16" width="10" style="6" customWidth="1"/>
    <col min="17" max="16384" width="9.140625" style="2"/>
  </cols>
  <sheetData>
    <row r="1" spans="1:17" ht="18">
      <c r="C1" s="83" t="str">
        <f>'Adjustment Info'!A1</f>
        <v>Worksheet for Completeness of Case Ascertainment, version 2.2.b</v>
      </c>
    </row>
    <row r="2" spans="1:17" ht="12.75">
      <c r="C2" s="21" t="str">
        <f>IF(Registry_Type=4,"Registry Incidence and Mortality Rates, Whites","Registry Incidence and Mortality Rates, All Races")</f>
        <v>Registry Incidence and Mortality Rates, Whites</v>
      </c>
    </row>
    <row r="3" spans="1:17" ht="12.75">
      <c r="C3"/>
    </row>
    <row r="4" spans="1:17" ht="13.5" customHeight="1" thickBot="1">
      <c r="D4" s="124" t="str">
        <f>Registry</f>
        <v>Alabama</v>
      </c>
      <c r="E4" s="125"/>
      <c r="F4" s="126"/>
      <c r="G4" s="130" t="s">
        <v>82</v>
      </c>
      <c r="H4" s="131"/>
      <c r="I4" s="126"/>
      <c r="J4" s="124" t="s">
        <v>294</v>
      </c>
      <c r="K4" s="126"/>
      <c r="L4" s="124" t="s">
        <v>83</v>
      </c>
      <c r="M4" s="125"/>
      <c r="N4" s="126"/>
      <c r="O4" s="124" t="s">
        <v>84</v>
      </c>
      <c r="P4" s="126"/>
    </row>
    <row r="5" spans="1:17" ht="12.75" customHeight="1">
      <c r="C5" s="17" t="str">
        <f>IF(Registry_Type=4,"White Males","All Races, Males")</f>
        <v>White Males</v>
      </c>
      <c r="D5" s="124" t="s">
        <v>86</v>
      </c>
      <c r="E5" s="125"/>
      <c r="F5" s="126"/>
      <c r="G5" s="130" t="s">
        <v>86</v>
      </c>
      <c r="H5" s="131"/>
      <c r="I5" s="126"/>
      <c r="J5" s="171" t="s">
        <v>87</v>
      </c>
      <c r="K5" s="171" t="s">
        <v>295</v>
      </c>
      <c r="L5" s="171" t="s">
        <v>88</v>
      </c>
      <c r="M5" s="174"/>
      <c r="N5" s="171" t="s">
        <v>89</v>
      </c>
      <c r="O5" s="171" t="s">
        <v>87</v>
      </c>
      <c r="P5" s="171" t="s">
        <v>90</v>
      </c>
    </row>
    <row r="6" spans="1:17" ht="12.75" thickBot="1">
      <c r="C6" s="19"/>
      <c r="D6" s="177">
        <f>CaseYear</f>
        <v>2010</v>
      </c>
      <c r="E6" s="173" t="str">
        <f>RegMCurrentStart&amp;"-"&amp;TEXT(RegMCurrentEnd,"00")</f>
        <v>2009-2010</v>
      </c>
      <c r="F6" s="173" t="s">
        <v>91</v>
      </c>
      <c r="G6" s="178" t="str">
        <f>SEERStart&amp;"-"&amp;TEXT(SEEREnd,"00")</f>
        <v>2006-2010</v>
      </c>
      <c r="H6" s="178" t="str">
        <f>USMortStart&amp;"-"&amp;TEXT(USMortEnd,"00")</f>
        <v>2006-2010</v>
      </c>
      <c r="I6" s="173" t="s">
        <v>91</v>
      </c>
      <c r="J6" s="173" t="s">
        <v>92</v>
      </c>
      <c r="K6" s="173" t="s">
        <v>4</v>
      </c>
      <c r="L6" s="173" t="str">
        <f>RegMRefStart&amp;"-"&amp;TEXT(RegMRefEnd,"00")</f>
        <v>2006-2010</v>
      </c>
      <c r="M6" s="175" t="s">
        <v>93</v>
      </c>
      <c r="N6" s="173" t="str">
        <f>RegMCurrentStart&amp;"-"&amp;TEXT(RegMCurrentEnd,"00")</f>
        <v>2009-2010</v>
      </c>
      <c r="O6" s="173" t="s">
        <v>92</v>
      </c>
      <c r="P6" s="173" t="s">
        <v>4</v>
      </c>
    </row>
    <row r="7" spans="1:17" ht="12.75" thickBot="1">
      <c r="C7" s="16" t="s">
        <v>94</v>
      </c>
      <c r="D7" s="172" t="s">
        <v>92</v>
      </c>
      <c r="E7" s="172" t="s">
        <v>95</v>
      </c>
      <c r="F7" s="172" t="s">
        <v>96</v>
      </c>
      <c r="G7" s="179" t="s">
        <v>92</v>
      </c>
      <c r="H7" s="179" t="s">
        <v>95</v>
      </c>
      <c r="I7" s="172" t="s">
        <v>96</v>
      </c>
      <c r="J7" s="172" t="s">
        <v>97</v>
      </c>
      <c r="K7" s="172" t="s">
        <v>5</v>
      </c>
      <c r="L7" s="172" t="s">
        <v>98</v>
      </c>
      <c r="M7" s="176" t="s">
        <v>99</v>
      </c>
      <c r="N7" s="172" t="s">
        <v>98</v>
      </c>
      <c r="O7" s="172" t="s">
        <v>97</v>
      </c>
      <c r="P7" s="172" t="s">
        <v>5</v>
      </c>
    </row>
    <row r="8" spans="1:17">
      <c r="A8" s="2" t="s">
        <v>254</v>
      </c>
      <c r="B8" s="2" t="s">
        <v>252</v>
      </c>
      <c r="C8" s="19" t="s">
        <v>313</v>
      </c>
      <c r="D8" s="145"/>
      <c r="E8" s="146"/>
      <c r="F8" s="106">
        <f>IF(E8=0,0,D8/E8)</f>
        <v>0</v>
      </c>
      <c r="G8" s="155">
        <f t="shared" ref="G8:G23" si="0">VLOOKUP(TRIM(A8)&amp;TRIM(B8)&amp;TRIM(C8), RateData, 3*(CaseYear-1995)+5, 0)</f>
        <v>15.871861676</v>
      </c>
      <c r="H8" s="155">
        <f t="shared" ref="H8:H23" si="1">VLOOKUP(TRIM(A8)&amp;TRIM(B8)&amp;TRIM(C8), RateData, 3*(CaseYear-1995)+6, 0)</f>
        <v>3.6266046950000002</v>
      </c>
      <c r="I8" s="40">
        <f t="shared" ref="I8:I23" si="2">G8/H8</f>
        <v>4.3765072322005585</v>
      </c>
      <c r="J8" s="107">
        <f>E8*I8</f>
        <v>0</v>
      </c>
      <c r="K8" s="108">
        <f>IF(J8=0,0,(D8/J8*100))</f>
        <v>0</v>
      </c>
      <c r="L8" s="146"/>
      <c r="M8" s="10">
        <f>IF(H8=0,1,IF(L8=0,1,H8/L8))</f>
        <v>1</v>
      </c>
      <c r="N8" s="50">
        <f>IF(M8&lt;=1,(((1-AdjHigh)*E8)+(AdjHigh*M8*E8)),(((1-AdjLow)*E8)+(AdjLow*M8*E8)))</f>
        <v>0</v>
      </c>
      <c r="O8" s="42">
        <f>N8*I8</f>
        <v>0</v>
      </c>
      <c r="P8" s="33">
        <f>IF(O8=0,0,D8/O8*100)</f>
        <v>0</v>
      </c>
      <c r="Q8" s="8"/>
    </row>
    <row r="9" spans="1:17">
      <c r="A9" s="2" t="s">
        <v>254</v>
      </c>
      <c r="B9" s="2" t="s">
        <v>252</v>
      </c>
      <c r="C9" s="19" t="s">
        <v>100</v>
      </c>
      <c r="D9" s="147"/>
      <c r="E9" s="146"/>
      <c r="F9" s="40">
        <f t="shared" ref="F9:F23" si="3">IF(E9=0,0,D9/E9)</f>
        <v>0</v>
      </c>
      <c r="G9" s="155">
        <f t="shared" si="0"/>
        <v>7.8307690890000003</v>
      </c>
      <c r="H9" s="155">
        <f t="shared" si="1"/>
        <v>7.8062708230000002</v>
      </c>
      <c r="I9" s="40">
        <f t="shared" si="2"/>
        <v>1.0031382803076496</v>
      </c>
      <c r="J9" s="46">
        <f t="shared" ref="J9:J23" si="4">E9*I9</f>
        <v>0</v>
      </c>
      <c r="K9" s="9">
        <f t="shared" ref="K9:K24" si="5">IF(J9=0,0,(D9/J9*100))</f>
        <v>0</v>
      </c>
      <c r="L9" s="146"/>
      <c r="M9" s="10">
        <f t="shared" ref="M9:M15" si="6">IF(H9=0,1,IF(L9=0,1,H9/L9))</f>
        <v>1</v>
      </c>
      <c r="N9" s="49">
        <f t="shared" ref="N9:N23" si="7">IF(M9&lt;=1,(((1-AdjHigh)*E9)+(AdjHigh*M9*E9)),(((1-AdjLow)*E9)+(AdjLow*M9*E9)))</f>
        <v>0</v>
      </c>
      <c r="O9" s="43">
        <f t="shared" ref="O9:O23" si="8">N9*I9</f>
        <v>0</v>
      </c>
      <c r="P9" s="34">
        <f t="shared" ref="P9:P24" si="9">IF(O9=0,0,D9/O9*100)</f>
        <v>0</v>
      </c>
    </row>
    <row r="10" spans="1:17">
      <c r="A10" s="2" t="s">
        <v>254</v>
      </c>
      <c r="B10" s="2" t="s">
        <v>252</v>
      </c>
      <c r="C10" s="19" t="s">
        <v>101</v>
      </c>
      <c r="D10" s="147"/>
      <c r="E10" s="146"/>
      <c r="F10" s="40">
        <f t="shared" si="3"/>
        <v>0</v>
      </c>
      <c r="G10" s="155">
        <f t="shared" si="0"/>
        <v>9.6045281239999998</v>
      </c>
      <c r="H10" s="155">
        <f t="shared" si="1"/>
        <v>4.2371547239999998</v>
      </c>
      <c r="I10" s="40">
        <f t="shared" si="2"/>
        <v>2.266740005881362</v>
      </c>
      <c r="J10" s="46">
        <f t="shared" si="4"/>
        <v>0</v>
      </c>
      <c r="K10" s="9">
        <f t="shared" si="5"/>
        <v>0</v>
      </c>
      <c r="L10" s="146"/>
      <c r="M10" s="10">
        <f t="shared" si="6"/>
        <v>1</v>
      </c>
      <c r="N10" s="49">
        <f t="shared" si="7"/>
        <v>0</v>
      </c>
      <c r="O10" s="43">
        <f t="shared" si="8"/>
        <v>0</v>
      </c>
      <c r="P10" s="34">
        <f t="shared" si="9"/>
        <v>0</v>
      </c>
    </row>
    <row r="11" spans="1:17">
      <c r="A11" s="2" t="s">
        <v>254</v>
      </c>
      <c r="B11" s="2" t="s">
        <v>252</v>
      </c>
      <c r="C11" s="19" t="s">
        <v>102</v>
      </c>
      <c r="D11" s="147"/>
      <c r="E11" s="146"/>
      <c r="F11" s="40">
        <f t="shared" si="3"/>
        <v>0</v>
      </c>
      <c r="G11" s="155">
        <f t="shared" si="0"/>
        <v>49.313824859999997</v>
      </c>
      <c r="H11" s="155">
        <f t="shared" si="1"/>
        <v>19.057425811000002</v>
      </c>
      <c r="I11" s="40">
        <f t="shared" si="2"/>
        <v>2.5876435437327485</v>
      </c>
      <c r="J11" s="46">
        <f t="shared" si="4"/>
        <v>0</v>
      </c>
      <c r="K11" s="9">
        <f t="shared" si="5"/>
        <v>0</v>
      </c>
      <c r="L11" s="146"/>
      <c r="M11" s="10">
        <f t="shared" si="6"/>
        <v>1</v>
      </c>
      <c r="N11" s="49">
        <f t="shared" si="7"/>
        <v>0</v>
      </c>
      <c r="O11" s="43">
        <f t="shared" si="8"/>
        <v>0</v>
      </c>
      <c r="P11" s="34">
        <f t="shared" si="9"/>
        <v>0</v>
      </c>
    </row>
    <row r="12" spans="1:17">
      <c r="A12" s="2" t="s">
        <v>254</v>
      </c>
      <c r="B12" s="2" t="s">
        <v>252</v>
      </c>
      <c r="C12" s="19" t="s">
        <v>103</v>
      </c>
      <c r="D12" s="147"/>
      <c r="E12" s="146"/>
      <c r="F12" s="40">
        <f t="shared" si="3"/>
        <v>0</v>
      </c>
      <c r="G12" s="155">
        <f t="shared" si="0"/>
        <v>9.6820390419999995</v>
      </c>
      <c r="H12" s="155">
        <f t="shared" si="1"/>
        <v>6.0915644049999997</v>
      </c>
      <c r="I12" s="40">
        <f t="shared" si="2"/>
        <v>1.5894174957836631</v>
      </c>
      <c r="J12" s="46">
        <f t="shared" si="4"/>
        <v>0</v>
      </c>
      <c r="K12" s="9">
        <f t="shared" si="5"/>
        <v>0</v>
      </c>
      <c r="L12" s="146"/>
      <c r="M12" s="10">
        <f t="shared" si="6"/>
        <v>1</v>
      </c>
      <c r="N12" s="49">
        <f t="shared" si="7"/>
        <v>0</v>
      </c>
      <c r="O12" s="43">
        <f t="shared" si="8"/>
        <v>0</v>
      </c>
      <c r="P12" s="34">
        <f t="shared" si="9"/>
        <v>0</v>
      </c>
    </row>
    <row r="13" spans="1:17">
      <c r="A13" s="2" t="s">
        <v>254</v>
      </c>
      <c r="B13" s="2" t="s">
        <v>252</v>
      </c>
      <c r="C13" s="19" t="s">
        <v>104</v>
      </c>
      <c r="D13" s="147"/>
      <c r="E13" s="146"/>
      <c r="F13" s="40">
        <f t="shared" si="3"/>
        <v>0</v>
      </c>
      <c r="G13" s="155">
        <f t="shared" si="0"/>
        <v>13.802945359000001</v>
      </c>
      <c r="H13" s="155">
        <f t="shared" si="1"/>
        <v>12.457834722999999</v>
      </c>
      <c r="I13" s="40">
        <f t="shared" si="2"/>
        <v>1.1079730680257478</v>
      </c>
      <c r="J13" s="46">
        <f t="shared" si="4"/>
        <v>0</v>
      </c>
      <c r="K13" s="9">
        <f t="shared" si="5"/>
        <v>0</v>
      </c>
      <c r="L13" s="146"/>
      <c r="M13" s="10">
        <f t="shared" si="6"/>
        <v>1</v>
      </c>
      <c r="N13" s="49">
        <f t="shared" si="7"/>
        <v>0</v>
      </c>
      <c r="O13" s="43">
        <f t="shared" si="8"/>
        <v>0</v>
      </c>
      <c r="P13" s="34">
        <f t="shared" si="9"/>
        <v>0</v>
      </c>
    </row>
    <row r="14" spans="1:17">
      <c r="A14" s="2" t="s">
        <v>254</v>
      </c>
      <c r="B14" s="2" t="s">
        <v>252</v>
      </c>
      <c r="C14" s="19" t="s">
        <v>105</v>
      </c>
      <c r="D14" s="147"/>
      <c r="E14" s="146"/>
      <c r="F14" s="40">
        <f t="shared" si="3"/>
        <v>0</v>
      </c>
      <c r="G14" s="155">
        <f t="shared" si="0"/>
        <v>65.827582862</v>
      </c>
      <c r="H14" s="155">
        <f t="shared" si="1"/>
        <v>63.24751277</v>
      </c>
      <c r="I14" s="40">
        <f t="shared" si="2"/>
        <v>1.040793226152346</v>
      </c>
      <c r="J14" s="46">
        <f t="shared" si="4"/>
        <v>0</v>
      </c>
      <c r="K14" s="9">
        <f t="shared" si="5"/>
        <v>0</v>
      </c>
      <c r="L14" s="146"/>
      <c r="M14" s="10">
        <f t="shared" si="6"/>
        <v>1</v>
      </c>
      <c r="N14" s="49">
        <f t="shared" si="7"/>
        <v>0</v>
      </c>
      <c r="O14" s="43">
        <f t="shared" si="8"/>
        <v>0</v>
      </c>
      <c r="P14" s="34">
        <f t="shared" si="9"/>
        <v>0</v>
      </c>
    </row>
    <row r="15" spans="1:17">
      <c r="A15" s="2" t="s">
        <v>254</v>
      </c>
      <c r="B15" s="2" t="s">
        <v>252</v>
      </c>
      <c r="C15" s="19" t="s">
        <v>106</v>
      </c>
      <c r="D15" s="147"/>
      <c r="E15" s="146"/>
      <c r="F15" s="40">
        <f t="shared" si="3"/>
        <v>0</v>
      </c>
      <c r="G15" s="155">
        <f t="shared" si="0"/>
        <v>32.554522210000002</v>
      </c>
      <c r="H15" s="155">
        <f t="shared" si="1"/>
        <v>4.6444764139999997</v>
      </c>
      <c r="I15" s="40">
        <f t="shared" si="2"/>
        <v>7.0092986395344417</v>
      </c>
      <c r="J15" s="46">
        <f t="shared" si="4"/>
        <v>0</v>
      </c>
      <c r="K15" s="9">
        <f t="shared" si="5"/>
        <v>0</v>
      </c>
      <c r="L15" s="146"/>
      <c r="M15" s="10">
        <f t="shared" si="6"/>
        <v>1</v>
      </c>
      <c r="N15" s="49">
        <f t="shared" si="7"/>
        <v>0</v>
      </c>
      <c r="O15" s="43">
        <f t="shared" si="8"/>
        <v>0</v>
      </c>
      <c r="P15" s="34">
        <f t="shared" si="9"/>
        <v>0</v>
      </c>
    </row>
    <row r="16" spans="1:17" ht="12" customHeight="1">
      <c r="A16" s="2" t="s">
        <v>254</v>
      </c>
      <c r="B16" s="2" t="s">
        <v>252</v>
      </c>
      <c r="C16" s="19" t="s">
        <v>107</v>
      </c>
      <c r="D16" s="210"/>
      <c r="E16" s="211"/>
      <c r="F16" s="40">
        <f t="shared" si="3"/>
        <v>0</v>
      </c>
      <c r="G16" s="155">
        <f t="shared" si="0"/>
        <v>149.58026879299999</v>
      </c>
      <c r="H16" s="155">
        <f t="shared" si="1"/>
        <v>21.236600373000002</v>
      </c>
      <c r="I16" s="40">
        <f t="shared" si="2"/>
        <v>7.043512905350652</v>
      </c>
      <c r="J16" s="46">
        <f>E16*I16</f>
        <v>0</v>
      </c>
      <c r="K16" s="9">
        <f>IF(J16=0,0,(D16/J16*100))</f>
        <v>0</v>
      </c>
      <c r="L16" s="212"/>
      <c r="M16" s="10">
        <f t="shared" ref="M16:M23" si="10">IF(H16=0,1,IF(L16=0,1,H16/L16))</f>
        <v>1</v>
      </c>
      <c r="N16" s="49">
        <f t="shared" si="7"/>
        <v>0</v>
      </c>
      <c r="O16" s="43">
        <f t="shared" si="8"/>
        <v>0</v>
      </c>
      <c r="P16" s="34">
        <f t="shared" si="9"/>
        <v>0</v>
      </c>
    </row>
    <row r="17" spans="1:17">
      <c r="A17" s="2" t="s">
        <v>254</v>
      </c>
      <c r="B17" s="2" t="s">
        <v>252</v>
      </c>
      <c r="C17" s="19" t="s">
        <v>284</v>
      </c>
      <c r="D17" s="147"/>
      <c r="E17" s="146"/>
      <c r="F17" s="40">
        <f t="shared" si="3"/>
        <v>0</v>
      </c>
      <c r="G17" s="155">
        <f t="shared" si="0"/>
        <v>39.621134548000001</v>
      </c>
      <c r="H17" s="155">
        <f t="shared" si="1"/>
        <v>8.0806703869999996</v>
      </c>
      <c r="I17" s="40">
        <f t="shared" si="2"/>
        <v>4.9031989489067129</v>
      </c>
      <c r="J17" s="46">
        <f t="shared" si="4"/>
        <v>0</v>
      </c>
      <c r="K17" s="9">
        <f t="shared" si="5"/>
        <v>0</v>
      </c>
      <c r="L17" s="146"/>
      <c r="M17" s="10">
        <f t="shared" si="10"/>
        <v>1</v>
      </c>
      <c r="N17" s="49">
        <f t="shared" si="7"/>
        <v>0</v>
      </c>
      <c r="O17" s="43">
        <f t="shared" si="8"/>
        <v>0</v>
      </c>
      <c r="P17" s="34">
        <f t="shared" si="9"/>
        <v>0</v>
      </c>
    </row>
    <row r="18" spans="1:17">
      <c r="A18" s="2" t="s">
        <v>254</v>
      </c>
      <c r="B18" s="2" t="s">
        <v>252</v>
      </c>
      <c r="C18" s="19" t="s">
        <v>108</v>
      </c>
      <c r="D18" s="147"/>
      <c r="E18" s="146"/>
      <c r="F18" s="40">
        <f t="shared" si="3"/>
        <v>0</v>
      </c>
      <c r="G18" s="155">
        <f t="shared" si="0"/>
        <v>20.602593259999999</v>
      </c>
      <c r="H18" s="155">
        <f t="shared" si="1"/>
        <v>5.8698557439999997</v>
      </c>
      <c r="I18" s="40">
        <f t="shared" si="2"/>
        <v>3.5098977144471371</v>
      </c>
      <c r="J18" s="46">
        <f t="shared" si="4"/>
        <v>0</v>
      </c>
      <c r="K18" s="9">
        <f t="shared" si="5"/>
        <v>0</v>
      </c>
      <c r="L18" s="146"/>
      <c r="M18" s="10">
        <f t="shared" si="10"/>
        <v>1</v>
      </c>
      <c r="N18" s="49">
        <f t="shared" si="7"/>
        <v>0</v>
      </c>
      <c r="O18" s="43">
        <f t="shared" si="8"/>
        <v>0</v>
      </c>
      <c r="P18" s="34">
        <f t="shared" si="9"/>
        <v>0</v>
      </c>
    </row>
    <row r="19" spans="1:17">
      <c r="A19" s="2" t="s">
        <v>254</v>
      </c>
      <c r="B19" s="2" t="s">
        <v>252</v>
      </c>
      <c r="C19" s="19" t="s">
        <v>109</v>
      </c>
      <c r="D19" s="147"/>
      <c r="E19" s="146"/>
      <c r="F19" s="40">
        <f t="shared" si="3"/>
        <v>0</v>
      </c>
      <c r="G19" s="155">
        <f t="shared" si="0"/>
        <v>8.4448764829999998</v>
      </c>
      <c r="H19" s="155">
        <f t="shared" si="1"/>
        <v>5.6117134550000003</v>
      </c>
      <c r="I19" s="40">
        <f t="shared" si="2"/>
        <v>1.5048659470443326</v>
      </c>
      <c r="J19" s="46">
        <f t="shared" si="4"/>
        <v>0</v>
      </c>
      <c r="K19" s="9">
        <f t="shared" si="5"/>
        <v>0</v>
      </c>
      <c r="L19" s="146"/>
      <c r="M19" s="10">
        <f t="shared" si="10"/>
        <v>1</v>
      </c>
      <c r="N19" s="49">
        <f t="shared" si="7"/>
        <v>0</v>
      </c>
      <c r="O19" s="43">
        <f t="shared" si="8"/>
        <v>0</v>
      </c>
      <c r="P19" s="34">
        <f t="shared" si="9"/>
        <v>0</v>
      </c>
    </row>
    <row r="20" spans="1:17">
      <c r="A20" s="2" t="s">
        <v>254</v>
      </c>
      <c r="B20" s="2" t="s">
        <v>252</v>
      </c>
      <c r="C20" s="19" t="s">
        <v>285</v>
      </c>
      <c r="D20" s="147"/>
      <c r="E20" s="146"/>
      <c r="F20" s="40">
        <f t="shared" si="3"/>
        <v>0</v>
      </c>
      <c r="G20" s="155">
        <f t="shared" si="0"/>
        <v>3.4633138720000001</v>
      </c>
      <c r="H20" s="155">
        <f t="shared" si="1"/>
        <v>0.51528345499999995</v>
      </c>
      <c r="I20" s="40">
        <f t="shared" si="2"/>
        <v>6.7211819793437781</v>
      </c>
      <c r="J20" s="46">
        <f t="shared" si="4"/>
        <v>0</v>
      </c>
      <c r="K20" s="9">
        <f t="shared" si="5"/>
        <v>0</v>
      </c>
      <c r="L20" s="146"/>
      <c r="M20" s="10">
        <f t="shared" si="10"/>
        <v>1</v>
      </c>
      <c r="N20" s="49">
        <f t="shared" si="7"/>
        <v>0</v>
      </c>
      <c r="O20" s="43">
        <f t="shared" si="8"/>
        <v>0</v>
      </c>
      <c r="P20" s="34">
        <f t="shared" si="9"/>
        <v>0</v>
      </c>
    </row>
    <row r="21" spans="1:17">
      <c r="A21" s="2" t="s">
        <v>254</v>
      </c>
      <c r="B21" s="2" t="s">
        <v>252</v>
      </c>
      <c r="C21" s="19" t="s">
        <v>286</v>
      </c>
      <c r="D21" s="147"/>
      <c r="E21" s="146"/>
      <c r="F21" s="40">
        <f t="shared" si="3"/>
        <v>0</v>
      </c>
      <c r="G21" s="155">
        <f t="shared" si="0"/>
        <v>26.071594598000001</v>
      </c>
      <c r="H21" s="155">
        <f t="shared" si="1"/>
        <v>8.5010937989999995</v>
      </c>
      <c r="I21" s="40">
        <f t="shared" si="2"/>
        <v>3.0668517739525298</v>
      </c>
      <c r="J21" s="46">
        <f t="shared" si="4"/>
        <v>0</v>
      </c>
      <c r="K21" s="9">
        <f t="shared" si="5"/>
        <v>0</v>
      </c>
      <c r="L21" s="146"/>
      <c r="M21" s="10">
        <f t="shared" si="10"/>
        <v>1</v>
      </c>
      <c r="N21" s="49">
        <f t="shared" si="7"/>
        <v>0</v>
      </c>
      <c r="O21" s="43">
        <f t="shared" si="8"/>
        <v>0</v>
      </c>
      <c r="P21" s="34">
        <f t="shared" si="9"/>
        <v>0</v>
      </c>
    </row>
    <row r="22" spans="1:17">
      <c r="A22" s="2" t="s">
        <v>254</v>
      </c>
      <c r="B22" s="2" t="s">
        <v>252</v>
      </c>
      <c r="C22" s="19" t="s">
        <v>110</v>
      </c>
      <c r="D22" s="147"/>
      <c r="E22" s="146"/>
      <c r="F22" s="40">
        <f t="shared" si="3"/>
        <v>0</v>
      </c>
      <c r="G22" s="155">
        <f t="shared" si="0"/>
        <v>7.2500080059999998</v>
      </c>
      <c r="H22" s="155">
        <f t="shared" si="1"/>
        <v>4.0394602129999999</v>
      </c>
      <c r="I22" s="40">
        <f t="shared" si="2"/>
        <v>1.794796241009541</v>
      </c>
      <c r="J22" s="46">
        <f t="shared" si="4"/>
        <v>0</v>
      </c>
      <c r="K22" s="9">
        <f t="shared" si="5"/>
        <v>0</v>
      </c>
      <c r="L22" s="146"/>
      <c r="M22" s="10">
        <f t="shared" si="10"/>
        <v>1</v>
      </c>
      <c r="N22" s="49">
        <f t="shared" si="7"/>
        <v>0</v>
      </c>
      <c r="O22" s="43">
        <f t="shared" si="8"/>
        <v>0</v>
      </c>
      <c r="P22" s="34">
        <f t="shared" si="9"/>
        <v>0</v>
      </c>
    </row>
    <row r="23" spans="1:17" ht="12.75" thickBot="1">
      <c r="A23" s="2" t="s">
        <v>254</v>
      </c>
      <c r="B23" s="2" t="s">
        <v>252</v>
      </c>
      <c r="C23" s="3" t="s">
        <v>111</v>
      </c>
      <c r="D23" s="148"/>
      <c r="E23" s="149"/>
      <c r="F23" s="41">
        <f t="shared" si="3"/>
        <v>0</v>
      </c>
      <c r="G23" s="158">
        <f t="shared" si="0"/>
        <v>18.102435478</v>
      </c>
      <c r="H23" s="184">
        <f t="shared" si="1"/>
        <v>9.8180022299999994</v>
      </c>
      <c r="I23" s="41">
        <f t="shared" si="2"/>
        <v>1.843800302131323</v>
      </c>
      <c r="J23" s="47">
        <f t="shared" si="4"/>
        <v>0</v>
      </c>
      <c r="K23" s="12">
        <f t="shared" si="5"/>
        <v>0</v>
      </c>
      <c r="L23" s="149"/>
      <c r="M23" s="14">
        <f t="shared" si="10"/>
        <v>1</v>
      </c>
      <c r="N23" s="48">
        <f t="shared" si="7"/>
        <v>0</v>
      </c>
      <c r="O23" s="44">
        <f t="shared" si="8"/>
        <v>0</v>
      </c>
      <c r="P23" s="35">
        <f t="shared" si="9"/>
        <v>0</v>
      </c>
    </row>
    <row r="24" spans="1:17" ht="12.75" thickBot="1">
      <c r="C24" s="5" t="str">
        <f>IF(Registry_Type=4,"Sum of Rates for White Males","Sum of Rates for All Races, Males")</f>
        <v>Sum of Rates for White Males</v>
      </c>
      <c r="D24" s="45">
        <f>SUM(D8:D15)+SUM(D17:D23)</f>
        <v>0</v>
      </c>
      <c r="E24" s="8"/>
      <c r="F24" s="8"/>
      <c r="G24" s="31"/>
      <c r="H24" s="31"/>
      <c r="I24" s="8"/>
      <c r="J24" s="38">
        <f>SUM(J8:J15)+SUM(J17:J23)</f>
        <v>0</v>
      </c>
      <c r="K24" s="20">
        <f t="shared" si="5"/>
        <v>0</v>
      </c>
      <c r="L24" s="8"/>
      <c r="M24" s="10"/>
      <c r="N24" s="8"/>
      <c r="O24" s="38">
        <f>SUM(O8:O15)+SUM(O17:O23)</f>
        <v>0</v>
      </c>
      <c r="P24" s="20">
        <f t="shared" si="9"/>
        <v>0</v>
      </c>
    </row>
    <row r="25" spans="1:17">
      <c r="C25" s="1"/>
      <c r="D25" s="8"/>
      <c r="E25" s="8"/>
      <c r="F25" s="8"/>
      <c r="G25" s="31"/>
      <c r="H25" s="31"/>
      <c r="I25" s="8"/>
      <c r="J25" s="8"/>
      <c r="K25" s="8"/>
      <c r="L25" s="8"/>
      <c r="M25" s="10"/>
      <c r="N25" s="8"/>
      <c r="O25" s="8"/>
      <c r="P25" s="8"/>
    </row>
    <row r="26" spans="1:17">
      <c r="C26" s="1"/>
      <c r="D26" s="8"/>
      <c r="E26" s="8"/>
      <c r="F26" s="8"/>
      <c r="G26" s="31"/>
      <c r="H26" s="31"/>
      <c r="I26" s="8"/>
      <c r="J26" s="8"/>
      <c r="K26" s="8"/>
      <c r="L26" s="8"/>
      <c r="M26" s="10"/>
      <c r="N26" s="8"/>
      <c r="O26" s="8"/>
      <c r="P26" s="8"/>
    </row>
    <row r="27" spans="1:17" ht="12.75" thickBot="1">
      <c r="D27" s="124" t="str">
        <f>Registry</f>
        <v>Alabama</v>
      </c>
      <c r="E27" s="125"/>
      <c r="F27" s="126"/>
      <c r="G27" s="130" t="s">
        <v>82</v>
      </c>
      <c r="H27" s="131"/>
      <c r="I27" s="126"/>
      <c r="J27" s="124" t="s">
        <v>294</v>
      </c>
      <c r="K27" s="126"/>
      <c r="L27" s="124" t="s">
        <v>83</v>
      </c>
      <c r="M27" s="125"/>
      <c r="N27" s="126"/>
      <c r="O27" s="124" t="s">
        <v>84</v>
      </c>
      <c r="P27" s="126"/>
    </row>
    <row r="28" spans="1:17">
      <c r="C28" s="17" t="str">
        <f>IF(Registry_Type=4,"White Females","All Races, Females")</f>
        <v>White Females</v>
      </c>
      <c r="D28" s="127" t="s">
        <v>86</v>
      </c>
      <c r="E28" s="128"/>
      <c r="F28" s="129"/>
      <c r="G28" s="133" t="s">
        <v>86</v>
      </c>
      <c r="H28" s="134"/>
      <c r="I28" s="129"/>
      <c r="J28" s="30" t="s">
        <v>87</v>
      </c>
      <c r="K28" s="171" t="s">
        <v>295</v>
      </c>
      <c r="L28" s="30" t="s">
        <v>88</v>
      </c>
      <c r="M28" s="26"/>
      <c r="N28" s="22" t="s">
        <v>89</v>
      </c>
      <c r="O28" s="30" t="s">
        <v>87</v>
      </c>
      <c r="P28" s="23" t="s">
        <v>90</v>
      </c>
    </row>
    <row r="29" spans="1:17" ht="12.75" thickBot="1">
      <c r="C29" s="19"/>
      <c r="D29" s="28">
        <f>CaseYear</f>
        <v>2010</v>
      </c>
      <c r="E29" s="22" t="str">
        <f>RegMCurrentStart&amp;"-"&amp;TEXT(RegMCurrentEnd,"00")</f>
        <v>2009-2010</v>
      </c>
      <c r="F29" s="23" t="s">
        <v>91</v>
      </c>
      <c r="G29" s="154" t="str">
        <f>SEERStart&amp;"-"&amp;TEXT(SEEREnd,"00")</f>
        <v>2006-2010</v>
      </c>
      <c r="H29" s="101" t="str">
        <f>USMortStart&amp;"-"&amp;TEXT(USMortEnd,"00")</f>
        <v>2006-2010</v>
      </c>
      <c r="I29" s="22" t="s">
        <v>91</v>
      </c>
      <c r="J29" s="30" t="s">
        <v>92</v>
      </c>
      <c r="K29" s="22" t="s">
        <v>4</v>
      </c>
      <c r="L29" s="30" t="str">
        <f>RegMRefStart&amp;"-"&amp;TEXT(RegMRefEnd,"00")</f>
        <v>2006-2010</v>
      </c>
      <c r="M29" s="26" t="s">
        <v>93</v>
      </c>
      <c r="N29" s="22" t="str">
        <f>RegMCurrentStart&amp;"-"&amp;TEXT(RegMCurrentEnd,"00")</f>
        <v>2009-2010</v>
      </c>
      <c r="O29" s="30" t="s">
        <v>92</v>
      </c>
      <c r="P29" s="23" t="s">
        <v>4</v>
      </c>
    </row>
    <row r="30" spans="1:17" ht="12.75" thickBot="1">
      <c r="C30" s="16" t="s">
        <v>94</v>
      </c>
      <c r="D30" s="29" t="s">
        <v>92</v>
      </c>
      <c r="E30" s="24" t="s">
        <v>95</v>
      </c>
      <c r="F30" s="25" t="s">
        <v>96</v>
      </c>
      <c r="G30" s="102" t="s">
        <v>92</v>
      </c>
      <c r="H30" s="103" t="s">
        <v>95</v>
      </c>
      <c r="I30" s="24" t="s">
        <v>96</v>
      </c>
      <c r="J30" s="30" t="s">
        <v>97</v>
      </c>
      <c r="K30" s="22" t="s">
        <v>5</v>
      </c>
      <c r="L30" s="29" t="s">
        <v>98</v>
      </c>
      <c r="M30" s="27" t="s">
        <v>99</v>
      </c>
      <c r="N30" s="24" t="s">
        <v>98</v>
      </c>
      <c r="O30" s="29" t="s">
        <v>97</v>
      </c>
      <c r="P30" s="25" t="s">
        <v>5</v>
      </c>
    </row>
    <row r="31" spans="1:17">
      <c r="A31" s="2" t="s">
        <v>255</v>
      </c>
      <c r="B31" s="2" t="s">
        <v>252</v>
      </c>
      <c r="C31" s="19" t="s">
        <v>313</v>
      </c>
      <c r="D31" s="145"/>
      <c r="E31" s="146"/>
      <c r="F31" s="40">
        <f t="shared" ref="F31:F49" si="11">IF(E31=0,0,D31/E31)</f>
        <v>0</v>
      </c>
      <c r="G31" s="155">
        <f t="shared" ref="G31:G49" si="12">VLOOKUP(TRIM(A31)&amp;TRIM(B31)&amp;TRIM(C31), RateData, 3*(CaseYear-1995)+5, 0)</f>
        <v>6.2092333660000003</v>
      </c>
      <c r="H31" s="155">
        <f t="shared" ref="H31:H49" si="13">VLOOKUP(TRIM(A31)&amp;TRIM(B31)&amp;TRIM(C31), RateData, 3*(CaseYear-1995)+6, 0)</f>
        <v>1.376525024</v>
      </c>
      <c r="I31" s="40">
        <f t="shared" ref="I31:I49" si="14">G31/H31</f>
        <v>4.5108031149021812</v>
      </c>
      <c r="J31" s="109">
        <f t="shared" ref="J31:J49" si="15">E31*I31</f>
        <v>0</v>
      </c>
      <c r="K31" s="110">
        <f t="shared" ref="K31:K52" si="16">IF(J31=0,0,(D31/J31*100))</f>
        <v>0</v>
      </c>
      <c r="L31" s="146"/>
      <c r="M31" s="10">
        <f t="shared" ref="M31:M49" si="17">IF(H31=0,1,IF(L31=0,1,H31/L31))</f>
        <v>1</v>
      </c>
      <c r="N31" s="49">
        <f t="shared" ref="N31:N49" si="18">IF(M31&lt;=1,(((1-AdjHigh)*E31)+(AdjHigh*M31*E31)),(((1-AdjLow)*E31)+(AdjLow*M31*E31)))</f>
        <v>0</v>
      </c>
      <c r="O31" s="42">
        <f t="shared" ref="O31:O49" si="19">N31*I31</f>
        <v>0</v>
      </c>
      <c r="P31" s="33">
        <f t="shared" ref="P31:P50" si="20">IF(O31=0,0,D31/O31*100)</f>
        <v>0</v>
      </c>
      <c r="Q31" s="8"/>
    </row>
    <row r="32" spans="1:17">
      <c r="A32" s="2" t="s">
        <v>255</v>
      </c>
      <c r="B32" s="2" t="s">
        <v>252</v>
      </c>
      <c r="C32" s="19" t="s">
        <v>100</v>
      </c>
      <c r="D32" s="147"/>
      <c r="E32" s="146"/>
      <c r="F32" s="40">
        <f t="shared" si="11"/>
        <v>0</v>
      </c>
      <c r="G32" s="155">
        <f t="shared" si="12"/>
        <v>1.814711983</v>
      </c>
      <c r="H32" s="155">
        <f t="shared" si="13"/>
        <v>1.568346332</v>
      </c>
      <c r="I32" s="40">
        <f t="shared" si="14"/>
        <v>1.157086254466402</v>
      </c>
      <c r="J32" s="46">
        <f t="shared" si="15"/>
        <v>0</v>
      </c>
      <c r="K32" s="9">
        <f t="shared" si="16"/>
        <v>0</v>
      </c>
      <c r="L32" s="146"/>
      <c r="M32" s="10">
        <f t="shared" si="17"/>
        <v>1</v>
      </c>
      <c r="N32" s="49">
        <f t="shared" si="18"/>
        <v>0</v>
      </c>
      <c r="O32" s="43">
        <f t="shared" si="19"/>
        <v>0</v>
      </c>
      <c r="P32" s="34">
        <f t="shared" si="20"/>
        <v>0</v>
      </c>
    </row>
    <row r="33" spans="1:16">
      <c r="A33" s="2" t="s">
        <v>255</v>
      </c>
      <c r="B33" s="2" t="s">
        <v>252</v>
      </c>
      <c r="C33" s="19" t="s">
        <v>101</v>
      </c>
      <c r="D33" s="147"/>
      <c r="E33" s="146"/>
      <c r="F33" s="40">
        <f t="shared" si="11"/>
        <v>0</v>
      </c>
      <c r="G33" s="155">
        <f t="shared" si="12"/>
        <v>4.6807184350000002</v>
      </c>
      <c r="H33" s="155">
        <f t="shared" si="13"/>
        <v>2.1989153369999999</v>
      </c>
      <c r="I33" s="40">
        <f t="shared" si="14"/>
        <v>2.1286487734384294</v>
      </c>
      <c r="J33" s="46">
        <f t="shared" si="15"/>
        <v>0</v>
      </c>
      <c r="K33" s="9">
        <f t="shared" si="16"/>
        <v>0</v>
      </c>
      <c r="L33" s="146"/>
      <c r="M33" s="10">
        <f t="shared" si="17"/>
        <v>1</v>
      </c>
      <c r="N33" s="49">
        <f t="shared" si="18"/>
        <v>0</v>
      </c>
      <c r="O33" s="43">
        <f t="shared" si="19"/>
        <v>0</v>
      </c>
      <c r="P33" s="34">
        <f t="shared" si="20"/>
        <v>0</v>
      </c>
    </row>
    <row r="34" spans="1:16">
      <c r="A34" s="2" t="s">
        <v>255</v>
      </c>
      <c r="B34" s="2" t="s">
        <v>252</v>
      </c>
      <c r="C34" s="19" t="s">
        <v>102</v>
      </c>
      <c r="D34" s="147"/>
      <c r="E34" s="146"/>
      <c r="F34" s="40">
        <f t="shared" si="11"/>
        <v>0</v>
      </c>
      <c r="G34" s="155">
        <f t="shared" si="12"/>
        <v>37.825965334000003</v>
      </c>
      <c r="H34" s="155">
        <f t="shared" si="13"/>
        <v>13.413172600999999</v>
      </c>
      <c r="I34" s="40">
        <f t="shared" si="14"/>
        <v>2.8200610294972228</v>
      </c>
      <c r="J34" s="46">
        <f t="shared" si="15"/>
        <v>0</v>
      </c>
      <c r="K34" s="9">
        <f t="shared" si="16"/>
        <v>0</v>
      </c>
      <c r="L34" s="146"/>
      <c r="M34" s="10">
        <f t="shared" si="17"/>
        <v>1</v>
      </c>
      <c r="N34" s="49">
        <f t="shared" si="18"/>
        <v>0</v>
      </c>
      <c r="O34" s="43">
        <f t="shared" si="19"/>
        <v>0</v>
      </c>
      <c r="P34" s="34">
        <f t="shared" si="20"/>
        <v>0</v>
      </c>
    </row>
    <row r="35" spans="1:16">
      <c r="A35" s="2" t="s">
        <v>255</v>
      </c>
      <c r="B35" s="2" t="s">
        <v>252</v>
      </c>
      <c r="C35" s="19" t="s">
        <v>103</v>
      </c>
      <c r="D35" s="147"/>
      <c r="E35" s="146"/>
      <c r="F35" s="40">
        <f t="shared" si="11"/>
        <v>0</v>
      </c>
      <c r="G35" s="155">
        <f t="shared" si="12"/>
        <v>2.9304058460000002</v>
      </c>
      <c r="H35" s="155">
        <f t="shared" si="13"/>
        <v>2.0012561550000001</v>
      </c>
      <c r="I35" s="40">
        <f t="shared" si="14"/>
        <v>1.4642832396435528</v>
      </c>
      <c r="J35" s="46">
        <f t="shared" si="15"/>
        <v>0</v>
      </c>
      <c r="K35" s="9">
        <f t="shared" si="16"/>
        <v>0</v>
      </c>
      <c r="L35" s="146"/>
      <c r="M35" s="10">
        <f t="shared" si="17"/>
        <v>1</v>
      </c>
      <c r="N35" s="49">
        <f t="shared" si="18"/>
        <v>0</v>
      </c>
      <c r="O35" s="43">
        <f t="shared" si="19"/>
        <v>0</v>
      </c>
      <c r="P35" s="34">
        <f t="shared" si="20"/>
        <v>0</v>
      </c>
    </row>
    <row r="36" spans="1:16">
      <c r="A36" s="2" t="s">
        <v>255</v>
      </c>
      <c r="B36" s="2" t="s">
        <v>252</v>
      </c>
      <c r="C36" s="19" t="s">
        <v>104</v>
      </c>
      <c r="D36" s="147"/>
      <c r="E36" s="146"/>
      <c r="F36" s="40">
        <f t="shared" si="11"/>
        <v>0</v>
      </c>
      <c r="G36" s="155">
        <f t="shared" si="12"/>
        <v>10.692990619</v>
      </c>
      <c r="H36" s="155">
        <f t="shared" si="13"/>
        <v>9.365945666</v>
      </c>
      <c r="I36" s="40">
        <f t="shared" si="14"/>
        <v>1.1416883035972973</v>
      </c>
      <c r="J36" s="46">
        <f t="shared" si="15"/>
        <v>0</v>
      </c>
      <c r="K36" s="9">
        <f t="shared" si="16"/>
        <v>0</v>
      </c>
      <c r="L36" s="146"/>
      <c r="M36" s="10">
        <f t="shared" si="17"/>
        <v>1</v>
      </c>
      <c r="N36" s="49">
        <f t="shared" si="18"/>
        <v>0</v>
      </c>
      <c r="O36" s="43">
        <f t="shared" si="19"/>
        <v>0</v>
      </c>
      <c r="P36" s="34">
        <f t="shared" si="20"/>
        <v>0</v>
      </c>
    </row>
    <row r="37" spans="1:16">
      <c r="A37" s="2" t="s">
        <v>255</v>
      </c>
      <c r="B37" s="2" t="s">
        <v>252</v>
      </c>
      <c r="C37" s="19" t="s">
        <v>105</v>
      </c>
      <c r="D37" s="147"/>
      <c r="E37" s="146"/>
      <c r="F37" s="40">
        <f t="shared" si="11"/>
        <v>0</v>
      </c>
      <c r="G37" s="155">
        <f t="shared" si="12"/>
        <v>50.088373930000003</v>
      </c>
      <c r="H37" s="155">
        <f t="shared" si="13"/>
        <v>40.410485846999997</v>
      </c>
      <c r="I37" s="40">
        <f t="shared" si="14"/>
        <v>1.2394895255563594</v>
      </c>
      <c r="J37" s="46">
        <f t="shared" si="15"/>
        <v>0</v>
      </c>
      <c r="K37" s="9">
        <f t="shared" si="16"/>
        <v>0</v>
      </c>
      <c r="L37" s="146"/>
      <c r="M37" s="10">
        <f t="shared" si="17"/>
        <v>1</v>
      </c>
      <c r="N37" s="49">
        <f t="shared" si="18"/>
        <v>0</v>
      </c>
      <c r="O37" s="43">
        <f t="shared" si="19"/>
        <v>0</v>
      </c>
      <c r="P37" s="34">
        <f t="shared" si="20"/>
        <v>0</v>
      </c>
    </row>
    <row r="38" spans="1:16">
      <c r="A38" s="2" t="s">
        <v>255</v>
      </c>
      <c r="B38" s="2" t="s">
        <v>252</v>
      </c>
      <c r="C38" s="19" t="s">
        <v>106</v>
      </c>
      <c r="D38" s="147"/>
      <c r="E38" s="146"/>
      <c r="F38" s="40">
        <f t="shared" si="11"/>
        <v>0</v>
      </c>
      <c r="G38" s="155">
        <f t="shared" si="12"/>
        <v>20.851025447000001</v>
      </c>
      <c r="H38" s="155">
        <f t="shared" si="13"/>
        <v>1.9678280560000001</v>
      </c>
      <c r="I38" s="40">
        <f t="shared" si="14"/>
        <v>10.595959023667868</v>
      </c>
      <c r="J38" s="46">
        <f t="shared" si="15"/>
        <v>0</v>
      </c>
      <c r="K38" s="9">
        <f t="shared" si="16"/>
        <v>0</v>
      </c>
      <c r="L38" s="146"/>
      <c r="M38" s="10">
        <f t="shared" si="17"/>
        <v>1</v>
      </c>
      <c r="N38" s="49">
        <f t="shared" si="18"/>
        <v>0</v>
      </c>
      <c r="O38" s="43">
        <f t="shared" si="19"/>
        <v>0</v>
      </c>
      <c r="P38" s="34">
        <f t="shared" si="20"/>
        <v>0</v>
      </c>
    </row>
    <row r="39" spans="1:16">
      <c r="A39" s="2" t="s">
        <v>255</v>
      </c>
      <c r="B39" s="2" t="s">
        <v>252</v>
      </c>
      <c r="C39" s="19" t="s">
        <v>315</v>
      </c>
      <c r="D39" s="210"/>
      <c r="E39" s="211"/>
      <c r="F39" s="40">
        <f t="shared" si="11"/>
        <v>0</v>
      </c>
      <c r="G39" s="155">
        <f t="shared" si="12"/>
        <v>129.10562875599999</v>
      </c>
      <c r="H39" s="155">
        <f t="shared" si="13"/>
        <v>22.091871659999999</v>
      </c>
      <c r="I39" s="40">
        <f t="shared" si="14"/>
        <v>5.8440330789066328</v>
      </c>
      <c r="J39" s="46">
        <f>E39*I39</f>
        <v>0</v>
      </c>
      <c r="K39" s="9">
        <f>IF(J39=0,0,(D39/J39*100))</f>
        <v>0</v>
      </c>
      <c r="L39" s="212"/>
      <c r="M39" s="10">
        <f t="shared" si="17"/>
        <v>1</v>
      </c>
      <c r="N39" s="49">
        <f t="shared" si="18"/>
        <v>0</v>
      </c>
      <c r="O39" s="43">
        <f t="shared" si="19"/>
        <v>0</v>
      </c>
      <c r="P39" s="34">
        <f t="shared" si="20"/>
        <v>0</v>
      </c>
    </row>
    <row r="40" spans="1:16">
      <c r="A40" s="2" t="s">
        <v>255</v>
      </c>
      <c r="B40" s="2" t="s">
        <v>252</v>
      </c>
      <c r="C40" s="19" t="s">
        <v>114</v>
      </c>
      <c r="D40" s="147"/>
      <c r="E40" s="146"/>
      <c r="F40" s="40">
        <f t="shared" si="11"/>
        <v>0</v>
      </c>
      <c r="G40" s="155">
        <f t="shared" si="12"/>
        <v>7.4015314280000002</v>
      </c>
      <c r="H40" s="155">
        <f t="shared" si="13"/>
        <v>2.152045711</v>
      </c>
      <c r="I40" s="40">
        <f t="shared" si="14"/>
        <v>3.439300285383204</v>
      </c>
      <c r="J40" s="46">
        <f t="shared" si="15"/>
        <v>0</v>
      </c>
      <c r="K40" s="9">
        <f t="shared" si="16"/>
        <v>0</v>
      </c>
      <c r="L40" s="146"/>
      <c r="M40" s="10">
        <f t="shared" si="17"/>
        <v>1</v>
      </c>
      <c r="N40" s="49">
        <f t="shared" si="18"/>
        <v>0</v>
      </c>
      <c r="O40" s="43">
        <f t="shared" si="19"/>
        <v>0</v>
      </c>
      <c r="P40" s="34">
        <f t="shared" si="20"/>
        <v>0</v>
      </c>
    </row>
    <row r="41" spans="1:16">
      <c r="A41" s="2" t="s">
        <v>255</v>
      </c>
      <c r="B41" s="2" t="s">
        <v>252</v>
      </c>
      <c r="C41" s="19" t="s">
        <v>115</v>
      </c>
      <c r="D41" s="147"/>
      <c r="E41" s="146"/>
      <c r="F41" s="40">
        <f t="shared" si="11"/>
        <v>0</v>
      </c>
      <c r="G41" s="155">
        <f t="shared" si="12"/>
        <v>26.456663583000001</v>
      </c>
      <c r="H41" s="155">
        <f t="shared" si="13"/>
        <v>3.9729981699999999</v>
      </c>
      <c r="I41" s="40">
        <f t="shared" si="14"/>
        <v>6.6591179887203422</v>
      </c>
      <c r="J41" s="46">
        <f t="shared" si="15"/>
        <v>0</v>
      </c>
      <c r="K41" s="9">
        <f t="shared" si="16"/>
        <v>0</v>
      </c>
      <c r="L41" s="146"/>
      <c r="M41" s="10">
        <f t="shared" si="17"/>
        <v>1</v>
      </c>
      <c r="N41" s="49">
        <f t="shared" si="18"/>
        <v>0</v>
      </c>
      <c r="O41" s="43">
        <f t="shared" si="19"/>
        <v>0</v>
      </c>
      <c r="P41" s="34">
        <f t="shared" si="20"/>
        <v>0</v>
      </c>
    </row>
    <row r="42" spans="1:16">
      <c r="A42" s="2" t="s">
        <v>255</v>
      </c>
      <c r="B42" s="2" t="s">
        <v>252</v>
      </c>
      <c r="C42" s="19" t="s">
        <v>116</v>
      </c>
      <c r="D42" s="147"/>
      <c r="E42" s="146"/>
      <c r="F42" s="40">
        <f t="shared" si="11"/>
        <v>0</v>
      </c>
      <c r="G42" s="155">
        <f t="shared" si="12"/>
        <v>13.523524387</v>
      </c>
      <c r="H42" s="155">
        <f t="shared" si="13"/>
        <v>8.4164912350000005</v>
      </c>
      <c r="I42" s="40">
        <f t="shared" si="14"/>
        <v>1.6067888636017809</v>
      </c>
      <c r="J42" s="46">
        <f t="shared" si="15"/>
        <v>0</v>
      </c>
      <c r="K42" s="9">
        <f t="shared" si="16"/>
        <v>0</v>
      </c>
      <c r="L42" s="146"/>
      <c r="M42" s="10">
        <f t="shared" si="17"/>
        <v>1</v>
      </c>
      <c r="N42" s="49">
        <f t="shared" si="18"/>
        <v>0</v>
      </c>
      <c r="O42" s="43">
        <f t="shared" si="19"/>
        <v>0</v>
      </c>
      <c r="P42" s="34">
        <f t="shared" si="20"/>
        <v>0</v>
      </c>
    </row>
    <row r="43" spans="1:16">
      <c r="A43" s="2" t="s">
        <v>255</v>
      </c>
      <c r="B43" s="2" t="s">
        <v>252</v>
      </c>
      <c r="C43" s="19" t="s">
        <v>284</v>
      </c>
      <c r="D43" s="147"/>
      <c r="E43" s="146"/>
      <c r="F43" s="40">
        <f t="shared" si="11"/>
        <v>0</v>
      </c>
      <c r="G43" s="155">
        <f t="shared" si="12"/>
        <v>9.4049362730000006</v>
      </c>
      <c r="H43" s="155">
        <f t="shared" si="13"/>
        <v>2.2271376479999998</v>
      </c>
      <c r="I43" s="40">
        <f t="shared" si="14"/>
        <v>4.2228805576726529</v>
      </c>
      <c r="J43" s="46">
        <f t="shared" si="15"/>
        <v>0</v>
      </c>
      <c r="K43" s="9">
        <f t="shared" si="16"/>
        <v>0</v>
      </c>
      <c r="L43" s="146"/>
      <c r="M43" s="10">
        <f t="shared" si="17"/>
        <v>1</v>
      </c>
      <c r="N43" s="49">
        <f t="shared" si="18"/>
        <v>0</v>
      </c>
      <c r="O43" s="43">
        <f t="shared" si="19"/>
        <v>0</v>
      </c>
      <c r="P43" s="34">
        <f t="shared" si="20"/>
        <v>0</v>
      </c>
    </row>
    <row r="44" spans="1:16">
      <c r="A44" s="2" t="s">
        <v>255</v>
      </c>
      <c r="B44" s="2" t="s">
        <v>252</v>
      </c>
      <c r="C44" s="19" t="s">
        <v>108</v>
      </c>
      <c r="D44" s="147"/>
      <c r="E44" s="146"/>
      <c r="F44" s="40">
        <f t="shared" si="11"/>
        <v>0</v>
      </c>
      <c r="G44" s="155">
        <f t="shared" si="12"/>
        <v>10.427870259000001</v>
      </c>
      <c r="H44" s="155">
        <f t="shared" si="13"/>
        <v>2.6294555470000001</v>
      </c>
      <c r="I44" s="40">
        <f t="shared" si="14"/>
        <v>3.9657906637354534</v>
      </c>
      <c r="J44" s="46">
        <f t="shared" si="15"/>
        <v>0</v>
      </c>
      <c r="K44" s="9">
        <f t="shared" si="16"/>
        <v>0</v>
      </c>
      <c r="L44" s="146"/>
      <c r="M44" s="10">
        <f t="shared" si="17"/>
        <v>1</v>
      </c>
      <c r="N44" s="49">
        <f t="shared" si="18"/>
        <v>0</v>
      </c>
      <c r="O44" s="43">
        <f t="shared" si="19"/>
        <v>0</v>
      </c>
      <c r="P44" s="34">
        <f t="shared" si="20"/>
        <v>0</v>
      </c>
    </row>
    <row r="45" spans="1:16">
      <c r="A45" s="2" t="s">
        <v>255</v>
      </c>
      <c r="B45" s="2" t="s">
        <v>252</v>
      </c>
      <c r="C45" s="19" t="s">
        <v>109</v>
      </c>
      <c r="D45" s="147"/>
      <c r="E45" s="146"/>
      <c r="F45" s="40">
        <f t="shared" si="11"/>
        <v>0</v>
      </c>
      <c r="G45" s="155">
        <f t="shared" si="12"/>
        <v>5.9149982080000001</v>
      </c>
      <c r="H45" s="155">
        <f t="shared" si="13"/>
        <v>3.7564075520000002</v>
      </c>
      <c r="I45" s="40">
        <f t="shared" si="14"/>
        <v>1.5746422948305263</v>
      </c>
      <c r="J45" s="46">
        <f t="shared" si="15"/>
        <v>0</v>
      </c>
      <c r="K45" s="9">
        <f t="shared" si="16"/>
        <v>0</v>
      </c>
      <c r="L45" s="146"/>
      <c r="M45" s="10">
        <f t="shared" si="17"/>
        <v>1</v>
      </c>
      <c r="N45" s="49">
        <f t="shared" si="18"/>
        <v>0</v>
      </c>
      <c r="O45" s="43">
        <f t="shared" si="19"/>
        <v>0</v>
      </c>
      <c r="P45" s="34">
        <f t="shared" si="20"/>
        <v>0</v>
      </c>
    </row>
    <row r="46" spans="1:16">
      <c r="A46" s="2" t="s">
        <v>255</v>
      </c>
      <c r="B46" s="2" t="s">
        <v>252</v>
      </c>
      <c r="C46" s="19" t="s">
        <v>285</v>
      </c>
      <c r="D46" s="147"/>
      <c r="E46" s="146"/>
      <c r="F46" s="40">
        <f t="shared" si="11"/>
        <v>0</v>
      </c>
      <c r="G46" s="155">
        <f t="shared" si="12"/>
        <v>2.7029233430000001</v>
      </c>
      <c r="H46" s="155">
        <f t="shared" si="13"/>
        <v>0.33592876300000002</v>
      </c>
      <c r="I46" s="40">
        <f t="shared" si="14"/>
        <v>8.0461206086124868</v>
      </c>
      <c r="J46" s="46">
        <f t="shared" si="15"/>
        <v>0</v>
      </c>
      <c r="K46" s="9">
        <f t="shared" si="16"/>
        <v>0</v>
      </c>
      <c r="L46" s="146"/>
      <c r="M46" s="10">
        <f t="shared" si="17"/>
        <v>1</v>
      </c>
      <c r="N46" s="49">
        <f t="shared" si="18"/>
        <v>0</v>
      </c>
      <c r="O46" s="43">
        <f t="shared" si="19"/>
        <v>0</v>
      </c>
      <c r="P46" s="34">
        <f t="shared" si="20"/>
        <v>0</v>
      </c>
    </row>
    <row r="47" spans="1:16">
      <c r="A47" s="2" t="s">
        <v>255</v>
      </c>
      <c r="B47" s="2" t="s">
        <v>252</v>
      </c>
      <c r="C47" s="19" t="s">
        <v>286</v>
      </c>
      <c r="D47" s="147"/>
      <c r="E47" s="146"/>
      <c r="F47" s="40">
        <f t="shared" si="11"/>
        <v>0</v>
      </c>
      <c r="G47" s="155">
        <f t="shared" si="12"/>
        <v>17.78103342</v>
      </c>
      <c r="H47" s="155">
        <f t="shared" si="13"/>
        <v>5.326700464</v>
      </c>
      <c r="I47" s="40">
        <f t="shared" si="14"/>
        <v>3.3380952317802417</v>
      </c>
      <c r="J47" s="46">
        <f t="shared" si="15"/>
        <v>0</v>
      </c>
      <c r="K47" s="9">
        <f t="shared" si="16"/>
        <v>0</v>
      </c>
      <c r="L47" s="146"/>
      <c r="M47" s="10">
        <f t="shared" si="17"/>
        <v>1</v>
      </c>
      <c r="N47" s="49">
        <f t="shared" si="18"/>
        <v>0</v>
      </c>
      <c r="O47" s="43">
        <f t="shared" si="19"/>
        <v>0</v>
      </c>
      <c r="P47" s="34">
        <f t="shared" si="20"/>
        <v>0</v>
      </c>
    </row>
    <row r="48" spans="1:16">
      <c r="A48" s="2" t="s">
        <v>255</v>
      </c>
      <c r="B48" s="2" t="s">
        <v>252</v>
      </c>
      <c r="C48" s="19" t="s">
        <v>110</v>
      </c>
      <c r="D48" s="147"/>
      <c r="E48" s="146"/>
      <c r="F48" s="40">
        <f t="shared" si="11"/>
        <v>0</v>
      </c>
      <c r="G48" s="155">
        <f t="shared" si="12"/>
        <v>4.3177284350000003</v>
      </c>
      <c r="H48" s="155">
        <f t="shared" si="13"/>
        <v>2.4823312390000001</v>
      </c>
      <c r="I48" s="40">
        <f t="shared" si="14"/>
        <v>1.7393844814761243</v>
      </c>
      <c r="J48" s="46">
        <f t="shared" si="15"/>
        <v>0</v>
      </c>
      <c r="K48" s="9">
        <f t="shared" si="16"/>
        <v>0</v>
      </c>
      <c r="L48" s="146"/>
      <c r="M48" s="10">
        <f t="shared" si="17"/>
        <v>1</v>
      </c>
      <c r="N48" s="49">
        <f t="shared" si="18"/>
        <v>0</v>
      </c>
      <c r="O48" s="43">
        <f t="shared" si="19"/>
        <v>0</v>
      </c>
      <c r="P48" s="34">
        <f t="shared" si="20"/>
        <v>0</v>
      </c>
    </row>
    <row r="49" spans="1:17" ht="12.75" thickBot="1">
      <c r="A49" s="2" t="s">
        <v>255</v>
      </c>
      <c r="B49" s="2" t="s">
        <v>252</v>
      </c>
      <c r="C49" s="3" t="s">
        <v>111</v>
      </c>
      <c r="D49" s="148"/>
      <c r="E49" s="149"/>
      <c r="F49" s="41">
        <f t="shared" si="11"/>
        <v>0</v>
      </c>
      <c r="G49" s="158">
        <f t="shared" si="12"/>
        <v>10.868480697000001</v>
      </c>
      <c r="H49" s="184">
        <f t="shared" si="13"/>
        <v>5.4756623129999999</v>
      </c>
      <c r="I49" s="41">
        <f t="shared" si="14"/>
        <v>1.9848705189866591</v>
      </c>
      <c r="J49" s="47">
        <f t="shared" si="15"/>
        <v>0</v>
      </c>
      <c r="K49" s="12">
        <f t="shared" si="16"/>
        <v>0</v>
      </c>
      <c r="L49" s="149"/>
      <c r="M49" s="14">
        <f t="shared" si="17"/>
        <v>1</v>
      </c>
      <c r="N49" s="48">
        <f t="shared" si="18"/>
        <v>0</v>
      </c>
      <c r="O49" s="44">
        <f t="shared" si="19"/>
        <v>0</v>
      </c>
      <c r="P49" s="35">
        <f t="shared" si="20"/>
        <v>0</v>
      </c>
    </row>
    <row r="50" spans="1:17" ht="12.75" thickBot="1">
      <c r="C50" s="5" t="str">
        <f>IF(Registry_Type=4,"Sum of Rates for White Females","Sum of Rates for All Races, Females")</f>
        <v>Sum of Rates for White Females</v>
      </c>
      <c r="D50" s="39">
        <f>SUM(D31:D49)</f>
        <v>0</v>
      </c>
      <c r="E50" s="8"/>
      <c r="F50" s="8"/>
      <c r="G50" s="31"/>
      <c r="H50" s="31"/>
      <c r="I50" s="8"/>
      <c r="J50" s="45">
        <f>SUM(J31:J49)</f>
        <v>0</v>
      </c>
      <c r="K50" s="13">
        <f t="shared" si="16"/>
        <v>0</v>
      </c>
      <c r="L50" s="8"/>
      <c r="M50" s="10"/>
      <c r="N50" s="8"/>
      <c r="O50" s="45">
        <f>SUM(O31:O49)</f>
        <v>0</v>
      </c>
      <c r="P50" s="13">
        <f t="shared" si="20"/>
        <v>0</v>
      </c>
    </row>
    <row r="51" spans="1:17">
      <c r="D51" s="8"/>
      <c r="E51" s="8"/>
      <c r="F51" s="8"/>
      <c r="G51" s="31"/>
      <c r="H51" s="31"/>
      <c r="I51" s="8"/>
      <c r="J51" s="8"/>
      <c r="K51" s="8"/>
      <c r="L51" s="8"/>
      <c r="M51" s="10"/>
      <c r="N51" s="8"/>
      <c r="O51" s="8"/>
      <c r="P51" s="8"/>
    </row>
    <row r="52" spans="1:17" ht="12.75" thickBot="1">
      <c r="C52" s="18" t="str">
        <f>IF(Registry_Type=4,"Sum of Whites, Gender Weighted","Sum of All Races, Gender Weighted")</f>
        <v>Sum of Whites, Gender Weighted</v>
      </c>
      <c r="D52" s="48">
        <f>IF(Registry_Type=4,(D24*WhiteMalePop+D50*WhiteFemalePop)/WhitePop,(D24*AllRacesMalePop+D50*AllRacesFemalePop)/AllRacesTotalPop)</f>
        <v>0</v>
      </c>
      <c r="E52" s="11"/>
      <c r="F52" s="11"/>
      <c r="G52" s="32"/>
      <c r="H52" s="32"/>
      <c r="I52" s="11"/>
      <c r="J52" s="48">
        <f>IF(Registry_Type=4,((J24*WhiteMalePop+J50*WhiteFemalePop)/WhitePop),((J24*AllRacesMalePop+J50*AllRacesFemalePop)/AllRacesTotalPop))</f>
        <v>0</v>
      </c>
      <c r="K52" s="11">
        <f t="shared" si="16"/>
        <v>0</v>
      </c>
      <c r="L52" s="11"/>
      <c r="M52" s="14"/>
      <c r="N52" s="11"/>
      <c r="O52" s="48">
        <f>IF(Registry_Type=4,((O24*WhiteMalePop+O50*WhiteFemalePop)/WhitePop),((O24*AllRacesMalePop+O50*AllRacesFemalePop)/AllRacesTotalPop))</f>
        <v>0</v>
      </c>
      <c r="P52" s="209">
        <f>IF(Registry_Type=4,((P24*WhiteMalePop+P50*WhiteFemalePop)/WhitePop)/100,((P24*AllRacesMalePop+P50*AllRacesFemalePop)/AllRacesTotalPop)/100)</f>
        <v>0</v>
      </c>
    </row>
    <row r="53" spans="1:17" ht="12.75" hidden="1" thickBot="1">
      <c r="C53" s="4" t="s">
        <v>117</v>
      </c>
      <c r="D53" s="15" t="e">
        <f>#REF!+D50</f>
        <v>#REF!</v>
      </c>
      <c r="E53" s="8"/>
      <c r="F53" s="8"/>
      <c r="G53" s="31"/>
      <c r="H53" s="31"/>
      <c r="I53" s="8"/>
      <c r="J53" s="15" t="e">
        <f>#REF!+J50</f>
        <v>#REF!</v>
      </c>
      <c r="K53" s="13"/>
      <c r="L53" s="8"/>
      <c r="M53" s="10"/>
      <c r="N53" s="8"/>
      <c r="O53" s="15" t="e">
        <f>#REF!+O50</f>
        <v>#REF!</v>
      </c>
      <c r="P53" s="13"/>
    </row>
    <row r="55" spans="1:17" ht="12.75">
      <c r="C55" t="s">
        <v>118</v>
      </c>
      <c r="D55"/>
      <c r="E55"/>
      <c r="F55"/>
      <c r="G55" s="99"/>
      <c r="H55" s="99"/>
      <c r="I55"/>
      <c r="J55"/>
      <c r="K55"/>
      <c r="L55"/>
      <c r="M55"/>
      <c r="N55"/>
      <c r="O55"/>
      <c r="P55" s="118"/>
      <c r="Q55"/>
    </row>
    <row r="56" spans="1:17" ht="12.75">
      <c r="C56" t="s">
        <v>119</v>
      </c>
      <c r="D56"/>
      <c r="E56"/>
      <c r="F56"/>
      <c r="G56" s="99"/>
      <c r="H56" s="99"/>
      <c r="I56"/>
      <c r="J56"/>
      <c r="K56"/>
      <c r="L56"/>
      <c r="M56"/>
      <c r="N56"/>
      <c r="O56"/>
      <c r="P56"/>
      <c r="Q56"/>
    </row>
    <row r="57" spans="1:17" ht="12.75">
      <c r="C57" t="s">
        <v>314</v>
      </c>
      <c r="D57"/>
      <c r="E57"/>
      <c r="F57"/>
      <c r="G57" s="99"/>
      <c r="H57" s="99"/>
      <c r="I57"/>
      <c r="J57"/>
      <c r="K57"/>
      <c r="L57"/>
      <c r="M57"/>
      <c r="N57"/>
      <c r="O57"/>
      <c r="P57"/>
      <c r="Q57"/>
    </row>
    <row r="58" spans="1:17" ht="12.75">
      <c r="C58" s="2" t="s">
        <v>317</v>
      </c>
      <c r="D58"/>
      <c r="E58"/>
      <c r="F58"/>
      <c r="G58" s="99"/>
      <c r="H58" s="99"/>
      <c r="I58"/>
      <c r="J58"/>
      <c r="K58"/>
      <c r="L58"/>
      <c r="M58"/>
      <c r="N58"/>
      <c r="O58"/>
      <c r="P58"/>
      <c r="Q58"/>
    </row>
    <row r="59" spans="1:17" ht="12.75">
      <c r="C59" s="168" t="s">
        <v>292</v>
      </c>
      <c r="D59"/>
      <c r="E59"/>
      <c r="F59"/>
      <c r="G59" s="99"/>
      <c r="H59" s="99"/>
      <c r="I59"/>
      <c r="J59"/>
      <c r="K59"/>
      <c r="L59"/>
      <c r="M59"/>
      <c r="N59"/>
      <c r="O59"/>
      <c r="P59"/>
      <c r="Q59"/>
    </row>
    <row r="60" spans="1:17" ht="12.75">
      <c r="C60" s="168" t="s">
        <v>293</v>
      </c>
      <c r="D60"/>
      <c r="E60"/>
      <c r="F60"/>
      <c r="G60" s="99"/>
      <c r="H60" s="99"/>
      <c r="I60"/>
      <c r="J60"/>
      <c r="K60"/>
      <c r="L60"/>
      <c r="M60"/>
      <c r="N60"/>
      <c r="O60"/>
      <c r="P60"/>
      <c r="Q60"/>
    </row>
    <row r="61" spans="1:17" ht="12.75">
      <c r="C61"/>
      <c r="D61"/>
      <c r="E61"/>
      <c r="F61"/>
      <c r="G61" s="99"/>
      <c r="H61" s="99"/>
      <c r="I61"/>
      <c r="J61"/>
      <c r="K61"/>
      <c r="L61"/>
      <c r="M61"/>
      <c r="N61"/>
      <c r="O61"/>
      <c r="P61"/>
      <c r="Q61"/>
    </row>
    <row r="62" spans="1:17" ht="12.75">
      <c r="C62"/>
      <c r="D62"/>
      <c r="E62"/>
      <c r="F62"/>
      <c r="G62" s="99"/>
      <c r="H62" s="99"/>
      <c r="I62"/>
      <c r="J62"/>
      <c r="K62"/>
      <c r="L62"/>
      <c r="M62"/>
      <c r="N62"/>
      <c r="O62"/>
      <c r="P62"/>
      <c r="Q62"/>
    </row>
    <row r="63" spans="1:17" ht="12.75">
      <c r="C63"/>
      <c r="D63"/>
      <c r="E63"/>
      <c r="F63"/>
      <c r="G63" s="99"/>
      <c r="H63" s="99"/>
      <c r="I63"/>
      <c r="J63"/>
      <c r="K63"/>
      <c r="L63"/>
      <c r="M63"/>
      <c r="N63"/>
      <c r="O63"/>
      <c r="P63"/>
      <c r="Q63"/>
    </row>
    <row r="64" spans="1:17" ht="12.75">
      <c r="C64"/>
      <c r="D64"/>
      <c r="E64"/>
      <c r="F64"/>
      <c r="G64" s="99"/>
      <c r="H64" s="99"/>
      <c r="I64"/>
      <c r="J64"/>
      <c r="K64"/>
      <c r="L64"/>
      <c r="M64"/>
      <c r="N64"/>
      <c r="O64"/>
      <c r="P64"/>
      <c r="Q64"/>
    </row>
    <row r="65" spans="3:17" ht="12.75">
      <c r="C65"/>
      <c r="D65"/>
      <c r="E65"/>
      <c r="F65"/>
      <c r="G65" s="99"/>
      <c r="H65" s="99"/>
      <c r="I65"/>
      <c r="J65"/>
      <c r="K65"/>
      <c r="L65"/>
      <c r="M65"/>
      <c r="N65"/>
      <c r="O65"/>
      <c r="P65"/>
      <c r="Q65"/>
    </row>
    <row r="66" spans="3:17" ht="12.75">
      <c r="C66"/>
      <c r="D66"/>
      <c r="E66"/>
      <c r="F66"/>
      <c r="G66" s="99"/>
      <c r="H66" s="99"/>
      <c r="I66"/>
      <c r="J66"/>
      <c r="K66"/>
      <c r="L66"/>
      <c r="M66"/>
      <c r="N66"/>
      <c r="O66"/>
      <c r="P66"/>
      <c r="Q66"/>
    </row>
    <row r="67" spans="3:17" ht="12.75" hidden="1">
      <c r="C67"/>
      <c r="D67"/>
      <c r="E67"/>
      <c r="F67"/>
      <c r="G67" s="99"/>
      <c r="H67" s="99"/>
      <c r="I67"/>
      <c r="J67"/>
      <c r="K67"/>
      <c r="L67"/>
      <c r="M67"/>
      <c r="N67"/>
      <c r="O67"/>
      <c r="P67"/>
      <c r="Q67"/>
    </row>
    <row r="68" spans="3:17" ht="12.75" hidden="1">
      <c r="C68"/>
      <c r="D68"/>
      <c r="E68"/>
      <c r="F68"/>
      <c r="G68" s="99"/>
      <c r="H68" s="99"/>
      <c r="I68"/>
      <c r="J68"/>
      <c r="K68"/>
      <c r="L68"/>
      <c r="M68"/>
      <c r="N68"/>
      <c r="O68"/>
      <c r="P68"/>
      <c r="Q68"/>
    </row>
    <row r="69" spans="3:17" ht="12.75">
      <c r="C69"/>
      <c r="D69"/>
      <c r="E69"/>
      <c r="F69"/>
      <c r="G69" s="99"/>
      <c r="H69" s="99"/>
      <c r="I69"/>
      <c r="J69"/>
      <c r="K69"/>
      <c r="L69"/>
      <c r="M69"/>
      <c r="N69"/>
      <c r="O69"/>
      <c r="P69"/>
      <c r="Q69"/>
    </row>
    <row r="70" spans="3:17" ht="12.75">
      <c r="C70"/>
      <c r="D70"/>
      <c r="E70"/>
      <c r="F70"/>
      <c r="G70" s="99"/>
      <c r="H70" s="99"/>
      <c r="I70"/>
      <c r="J70"/>
      <c r="K70"/>
      <c r="L70"/>
      <c r="M70"/>
      <c r="N70"/>
      <c r="O70"/>
      <c r="P70"/>
      <c r="Q70"/>
    </row>
    <row r="71" spans="3:17" ht="12.75">
      <c r="C71"/>
      <c r="D71"/>
      <c r="E71"/>
      <c r="F71"/>
      <c r="G71" s="99"/>
      <c r="H71" s="99"/>
      <c r="I71"/>
      <c r="J71"/>
      <c r="K71"/>
      <c r="L71"/>
      <c r="M71"/>
      <c r="N71"/>
      <c r="O71"/>
      <c r="P71"/>
      <c r="Q71"/>
    </row>
    <row r="72" spans="3:17" ht="12.75">
      <c r="C72"/>
      <c r="D72"/>
      <c r="E72"/>
      <c r="F72"/>
      <c r="G72" s="99"/>
      <c r="H72" s="99"/>
      <c r="I72"/>
      <c r="J72"/>
      <c r="K72"/>
      <c r="L72"/>
      <c r="M72"/>
      <c r="N72"/>
      <c r="O72"/>
      <c r="P72"/>
      <c r="Q72"/>
    </row>
    <row r="73" spans="3:17" ht="12.75">
      <c r="C73"/>
      <c r="D73"/>
      <c r="E73"/>
      <c r="F73"/>
      <c r="G73" s="99"/>
      <c r="H73" s="99"/>
      <c r="I73"/>
      <c r="J73"/>
      <c r="K73"/>
      <c r="L73"/>
      <c r="M73"/>
      <c r="N73"/>
      <c r="O73"/>
      <c r="P73"/>
      <c r="Q73"/>
    </row>
    <row r="74" spans="3:17" ht="12.75">
      <c r="C74"/>
      <c r="D74"/>
      <c r="E74"/>
      <c r="F74"/>
      <c r="G74" s="99"/>
      <c r="H74" s="99"/>
      <c r="I74"/>
      <c r="J74"/>
      <c r="K74"/>
      <c r="L74"/>
      <c r="M74"/>
      <c r="N74"/>
      <c r="O74"/>
      <c r="P74"/>
      <c r="Q74"/>
    </row>
    <row r="75" spans="3:17" ht="12.75">
      <c r="C75"/>
      <c r="D75"/>
      <c r="E75"/>
      <c r="F75"/>
      <c r="G75" s="99"/>
      <c r="H75" s="99"/>
      <c r="I75"/>
      <c r="J75"/>
      <c r="K75"/>
      <c r="L75"/>
      <c r="M75"/>
      <c r="N75"/>
      <c r="O75"/>
      <c r="P75"/>
      <c r="Q75"/>
    </row>
    <row r="76" spans="3:17" ht="12.75">
      <c r="C76"/>
      <c r="D76"/>
      <c r="E76"/>
      <c r="F76"/>
      <c r="G76" s="99"/>
      <c r="H76" s="99"/>
      <c r="I76"/>
      <c r="J76"/>
      <c r="K76"/>
      <c r="L76"/>
      <c r="M76"/>
      <c r="N76"/>
      <c r="O76"/>
      <c r="P76"/>
      <c r="Q76"/>
    </row>
    <row r="77" spans="3:17" ht="12.75">
      <c r="C77"/>
      <c r="D77"/>
      <c r="E77"/>
      <c r="F77"/>
      <c r="G77" s="99"/>
      <c r="H77" s="99"/>
      <c r="I77"/>
      <c r="J77"/>
      <c r="K77"/>
      <c r="L77"/>
      <c r="M77"/>
      <c r="N77"/>
      <c r="O77"/>
      <c r="P77"/>
      <c r="Q77"/>
    </row>
    <row r="78" spans="3:17" ht="12.75">
      <c r="C78"/>
      <c r="D78"/>
      <c r="E78"/>
      <c r="F78"/>
      <c r="G78" s="99"/>
      <c r="H78" s="99"/>
      <c r="I78"/>
      <c r="J78"/>
      <c r="K78"/>
      <c r="L78"/>
      <c r="M78"/>
      <c r="N78"/>
      <c r="O78"/>
      <c r="P78"/>
      <c r="Q78"/>
    </row>
    <row r="79" spans="3:17" ht="12.75">
      <c r="C79"/>
      <c r="D79"/>
      <c r="E79"/>
      <c r="F79"/>
      <c r="G79" s="99"/>
      <c r="H79" s="99"/>
      <c r="I79"/>
      <c r="J79"/>
      <c r="K79"/>
      <c r="L79"/>
      <c r="M79"/>
      <c r="N79"/>
      <c r="O79"/>
      <c r="P79"/>
      <c r="Q79"/>
    </row>
    <row r="80" spans="3:17" ht="12.75">
      <c r="C80"/>
      <c r="D80"/>
      <c r="E80"/>
      <c r="F80"/>
      <c r="G80" s="99"/>
      <c r="H80" s="99"/>
      <c r="I80"/>
      <c r="J80"/>
      <c r="K80"/>
      <c r="L80"/>
      <c r="M80"/>
      <c r="N80"/>
      <c r="O80"/>
      <c r="P80"/>
      <c r="Q80"/>
    </row>
    <row r="81" spans="3:17" ht="12.75">
      <c r="C81"/>
      <c r="D81"/>
      <c r="E81"/>
      <c r="F81"/>
      <c r="G81" s="99"/>
      <c r="H81" s="99"/>
      <c r="I81"/>
      <c r="J81"/>
      <c r="K81"/>
      <c r="L81"/>
      <c r="M81"/>
      <c r="N81"/>
      <c r="O81"/>
      <c r="P81"/>
      <c r="Q81"/>
    </row>
    <row r="82" spans="3:17" ht="12.75">
      <c r="C82"/>
      <c r="D82"/>
      <c r="E82"/>
      <c r="F82"/>
      <c r="G82" s="99"/>
      <c r="H82" s="99"/>
      <c r="I82"/>
      <c r="J82"/>
      <c r="K82"/>
      <c r="L82"/>
      <c r="M82"/>
      <c r="N82"/>
      <c r="O82"/>
      <c r="P82"/>
      <c r="Q82"/>
    </row>
    <row r="83" spans="3:17" ht="12.75">
      <c r="C83"/>
      <c r="D83"/>
      <c r="E83"/>
      <c r="F83"/>
      <c r="G83" s="99"/>
      <c r="H83" s="99"/>
      <c r="I83"/>
      <c r="J83"/>
      <c r="K83"/>
      <c r="L83"/>
      <c r="M83"/>
      <c r="N83"/>
      <c r="O83"/>
      <c r="P83"/>
      <c r="Q83"/>
    </row>
    <row r="84" spans="3:17" ht="12.75">
      <c r="C84"/>
      <c r="D84"/>
      <c r="E84"/>
      <c r="F84"/>
      <c r="G84" s="99"/>
      <c r="H84" s="99"/>
      <c r="I84"/>
      <c r="J84"/>
      <c r="K84"/>
      <c r="L84"/>
      <c r="M84"/>
      <c r="N84"/>
      <c r="O84"/>
      <c r="P84"/>
      <c r="Q84"/>
    </row>
    <row r="85" spans="3:17" ht="12.75">
      <c r="C85"/>
      <c r="D85"/>
      <c r="E85"/>
      <c r="F85"/>
      <c r="G85" s="99"/>
      <c r="H85" s="99"/>
      <c r="I85"/>
      <c r="J85"/>
      <c r="K85"/>
      <c r="L85"/>
      <c r="M85"/>
      <c r="N85"/>
      <c r="O85"/>
      <c r="P85"/>
      <c r="Q85"/>
    </row>
    <row r="86" spans="3:17" ht="12.75">
      <c r="C86"/>
      <c r="D86"/>
      <c r="E86"/>
      <c r="F86"/>
      <c r="G86" s="99"/>
      <c r="H86" s="99"/>
      <c r="I86"/>
      <c r="J86"/>
      <c r="K86"/>
      <c r="L86"/>
      <c r="M86"/>
      <c r="N86"/>
      <c r="O86"/>
      <c r="P86"/>
      <c r="Q86"/>
    </row>
    <row r="87" spans="3:17" ht="12.75">
      <c r="C87"/>
      <c r="D87"/>
      <c r="E87"/>
      <c r="F87"/>
      <c r="G87" s="99"/>
      <c r="H87" s="99"/>
      <c r="I87"/>
      <c r="J87"/>
      <c r="K87"/>
      <c r="L87"/>
      <c r="M87"/>
      <c r="N87"/>
      <c r="O87"/>
      <c r="P87"/>
      <c r="Q87"/>
    </row>
    <row r="88" spans="3:17" ht="12.75" hidden="1" customHeight="1">
      <c r="C88"/>
      <c r="D88"/>
      <c r="E88"/>
      <c r="F88"/>
      <c r="G88" s="99"/>
      <c r="H88" s="99"/>
      <c r="I88"/>
      <c r="J88"/>
      <c r="K88"/>
      <c r="L88"/>
      <c r="M88"/>
      <c r="N88"/>
      <c r="O88"/>
      <c r="P88"/>
      <c r="Q88"/>
    </row>
    <row r="89" spans="3:17" ht="12.75">
      <c r="C89"/>
      <c r="D89"/>
      <c r="E89"/>
      <c r="F89"/>
      <c r="G89" s="99"/>
      <c r="H89" s="99"/>
      <c r="I89"/>
      <c r="J89"/>
      <c r="K89"/>
      <c r="L89"/>
      <c r="M89"/>
      <c r="N89"/>
      <c r="O89"/>
      <c r="P89"/>
      <c r="Q89"/>
    </row>
    <row r="90" spans="3:17" ht="12.75">
      <c r="C90"/>
      <c r="D90"/>
      <c r="E90"/>
      <c r="F90"/>
      <c r="G90" s="99"/>
      <c r="H90" s="99"/>
      <c r="I90"/>
      <c r="J90"/>
      <c r="K90"/>
      <c r="L90"/>
      <c r="M90"/>
      <c r="N90"/>
      <c r="O90"/>
      <c r="P90"/>
      <c r="Q90"/>
    </row>
    <row r="91" spans="3:17" ht="12.75">
      <c r="C91"/>
      <c r="D91"/>
      <c r="E91"/>
      <c r="F91"/>
      <c r="G91" s="99"/>
      <c r="H91" s="99"/>
      <c r="I91"/>
      <c r="J91"/>
      <c r="K91"/>
      <c r="L91"/>
      <c r="M91"/>
      <c r="N91"/>
      <c r="O91"/>
      <c r="P91"/>
      <c r="Q91"/>
    </row>
    <row r="92" spans="3:17" ht="12.75">
      <c r="C92"/>
      <c r="D92"/>
      <c r="E92"/>
      <c r="F92"/>
      <c r="G92" s="99"/>
      <c r="H92" s="99"/>
      <c r="I92"/>
      <c r="J92"/>
      <c r="K92"/>
      <c r="L92"/>
      <c r="M92"/>
      <c r="N92"/>
      <c r="O92"/>
      <c r="P92"/>
      <c r="Q92"/>
    </row>
    <row r="93" spans="3:17" ht="12.75">
      <c r="C93"/>
      <c r="D93"/>
      <c r="E93"/>
      <c r="F93"/>
      <c r="G93" s="99"/>
      <c r="H93" s="99"/>
      <c r="I93"/>
      <c r="J93"/>
      <c r="K93"/>
      <c r="L93"/>
      <c r="M93"/>
      <c r="N93"/>
      <c r="O93"/>
      <c r="P93"/>
      <c r="Q93"/>
    </row>
    <row r="94" spans="3:17" ht="12.75">
      <c r="C94"/>
      <c r="D94"/>
      <c r="E94"/>
      <c r="F94"/>
      <c r="G94" s="99"/>
      <c r="H94" s="99"/>
      <c r="I94"/>
      <c r="J94"/>
      <c r="K94"/>
      <c r="L94"/>
      <c r="M94"/>
      <c r="N94"/>
      <c r="O94"/>
      <c r="P94"/>
      <c r="Q94"/>
    </row>
    <row r="95" spans="3:17" ht="12.75">
      <c r="C95"/>
      <c r="D95"/>
      <c r="E95"/>
      <c r="F95"/>
      <c r="G95" s="99"/>
      <c r="H95" s="99"/>
      <c r="I95"/>
      <c r="J95"/>
      <c r="K95"/>
      <c r="L95"/>
      <c r="M95"/>
      <c r="N95"/>
      <c r="O95"/>
      <c r="P95"/>
      <c r="Q95"/>
    </row>
    <row r="96" spans="3:17" ht="12.75">
      <c r="C96"/>
      <c r="D96"/>
      <c r="E96"/>
      <c r="F96"/>
      <c r="G96" s="99"/>
      <c r="H96" s="99"/>
      <c r="I96"/>
      <c r="J96"/>
      <c r="K96"/>
      <c r="L96"/>
      <c r="M96"/>
      <c r="N96"/>
      <c r="O96"/>
      <c r="P96"/>
      <c r="Q96"/>
    </row>
    <row r="97" spans="3:17" ht="12.75">
      <c r="C97"/>
      <c r="D97"/>
      <c r="E97"/>
      <c r="F97"/>
      <c r="G97" s="99"/>
      <c r="H97" s="99"/>
      <c r="I97"/>
      <c r="J97"/>
      <c r="K97"/>
      <c r="L97"/>
      <c r="M97"/>
      <c r="N97"/>
      <c r="O97"/>
      <c r="P97"/>
      <c r="Q97"/>
    </row>
    <row r="98" spans="3:17" ht="12.75">
      <c r="C98"/>
      <c r="D98"/>
      <c r="E98"/>
      <c r="F98"/>
      <c r="G98" s="99"/>
      <c r="H98" s="99"/>
      <c r="I98"/>
      <c r="J98"/>
      <c r="K98"/>
      <c r="L98"/>
      <c r="M98"/>
      <c r="N98"/>
      <c r="O98"/>
      <c r="P98"/>
      <c r="Q98"/>
    </row>
    <row r="99" spans="3:17" ht="12.75">
      <c r="C99"/>
      <c r="D99"/>
      <c r="E99"/>
      <c r="F99"/>
      <c r="G99" s="99"/>
      <c r="H99" s="99"/>
      <c r="I99"/>
      <c r="J99"/>
      <c r="K99"/>
      <c r="L99"/>
      <c r="M99"/>
      <c r="N99"/>
      <c r="O99"/>
      <c r="P99"/>
      <c r="Q99"/>
    </row>
    <row r="100" spans="3:17" ht="12.75" hidden="1">
      <c r="C100"/>
      <c r="D100"/>
      <c r="E100"/>
      <c r="F100"/>
      <c r="G100" s="99"/>
      <c r="H100" s="99"/>
      <c r="I100"/>
      <c r="J100"/>
      <c r="K100"/>
      <c r="L100"/>
      <c r="M100"/>
      <c r="N100"/>
      <c r="O100"/>
      <c r="P100"/>
      <c r="Q100"/>
    </row>
    <row r="101" spans="3:17" ht="12.75">
      <c r="C101"/>
      <c r="D101"/>
      <c r="E101"/>
      <c r="F101"/>
      <c r="G101" s="99"/>
      <c r="H101" s="99"/>
      <c r="I101"/>
      <c r="J101"/>
      <c r="K101"/>
      <c r="L101"/>
      <c r="M101"/>
      <c r="N101"/>
      <c r="O101"/>
      <c r="P101"/>
      <c r="Q101"/>
    </row>
    <row r="102" spans="3:17" ht="12.75">
      <c r="C102"/>
      <c r="D102"/>
      <c r="E102"/>
      <c r="F102"/>
      <c r="G102" s="99"/>
      <c r="H102" s="99"/>
      <c r="I102"/>
      <c r="J102"/>
      <c r="K102"/>
      <c r="L102"/>
      <c r="M102"/>
      <c r="N102"/>
      <c r="O102"/>
      <c r="P102"/>
      <c r="Q102"/>
    </row>
    <row r="103" spans="3:17" ht="12.75" hidden="1">
      <c r="C103"/>
      <c r="D103"/>
      <c r="E103"/>
      <c r="F103"/>
      <c r="G103" s="99"/>
      <c r="H103" s="99"/>
      <c r="I103"/>
      <c r="J103"/>
      <c r="K103"/>
      <c r="L103"/>
      <c r="M103"/>
      <c r="N103"/>
      <c r="O103"/>
      <c r="P103"/>
      <c r="Q103"/>
    </row>
    <row r="104" spans="3:17" ht="12.75">
      <c r="C104"/>
      <c r="D104"/>
      <c r="E104"/>
      <c r="F104"/>
      <c r="G104" s="99"/>
      <c r="H104" s="99"/>
      <c r="I104"/>
      <c r="J104"/>
      <c r="K104"/>
      <c r="L104"/>
      <c r="M104"/>
      <c r="N104"/>
      <c r="O104"/>
      <c r="P104"/>
      <c r="Q104"/>
    </row>
    <row r="105" spans="3:17" ht="12.75">
      <c r="C105"/>
      <c r="D105"/>
      <c r="E105"/>
      <c r="F105"/>
      <c r="G105" s="99"/>
      <c r="H105" s="99"/>
      <c r="I105"/>
      <c r="J105"/>
      <c r="K105"/>
      <c r="L105"/>
      <c r="M105"/>
      <c r="N105"/>
      <c r="O105"/>
      <c r="P105"/>
      <c r="Q105"/>
    </row>
  </sheetData>
  <sheetProtection selectLockedCells="1"/>
  <phoneticPr fontId="19" type="noConversion"/>
  <pageMargins left="0.5" right="0.5" top="0.25" bottom="0.25" header="0.25" footer="0.25"/>
  <pageSetup scale="80" orientation="landscape" r:id="rId1"/>
  <headerFooter alignWithMargins="0">
    <oddFooter>&amp;CWhites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1:E78"/>
  <sheetViews>
    <sheetView showGridLines="0" showRowColHeaders="0" workbookViewId="0"/>
  </sheetViews>
  <sheetFormatPr defaultRowHeight="12.95" customHeight="1"/>
  <cols>
    <col min="1" max="3" width="5.7109375" style="73" customWidth="1"/>
    <col min="4" max="4" width="6.85546875" style="73" customWidth="1"/>
    <col min="5" max="10" width="9.140625" style="73"/>
    <col min="11" max="11" width="9.42578125" style="73" customWidth="1"/>
    <col min="12" max="16384" width="9.140625" style="73"/>
  </cols>
  <sheetData>
    <row r="1" spans="1:2" ht="18">
      <c r="A1" s="83" t="str">
        <f>'Adjustment Info'!A1</f>
        <v>Worksheet for Completeness of Case Ascertainment, version 2.2.b</v>
      </c>
    </row>
    <row r="2" spans="1:2" ht="12.95" customHeight="1">
      <c r="A2" s="84" t="s">
        <v>126</v>
      </c>
    </row>
    <row r="4" spans="1:2" ht="12.95" customHeight="1">
      <c r="A4" s="74" t="s">
        <v>118</v>
      </c>
    </row>
    <row r="5" spans="1:2" ht="12.95" customHeight="1">
      <c r="A5" s="73" t="s">
        <v>127</v>
      </c>
      <c r="B5" s="84" t="s">
        <v>128</v>
      </c>
    </row>
    <row r="6" spans="1:2" ht="12.95" customHeight="1">
      <c r="A6" s="73" t="s">
        <v>129</v>
      </c>
      <c r="B6" s="84" t="s">
        <v>130</v>
      </c>
    </row>
    <row r="7" spans="1:2" ht="12.95" customHeight="1">
      <c r="A7" s="73" t="s">
        <v>131</v>
      </c>
      <c r="B7" s="84" t="s">
        <v>132</v>
      </c>
    </row>
    <row r="8" spans="1:2" ht="12.95" customHeight="1">
      <c r="A8" s="73" t="s">
        <v>133</v>
      </c>
      <c r="B8" s="84" t="s">
        <v>134</v>
      </c>
    </row>
    <row r="9" spans="1:2" ht="12.95" customHeight="1">
      <c r="B9" s="84" t="s">
        <v>135</v>
      </c>
    </row>
    <row r="10" spans="1:2" ht="12.95" customHeight="1">
      <c r="A10" s="73" t="s">
        <v>136</v>
      </c>
      <c r="B10" s="84" t="s">
        <v>137</v>
      </c>
    </row>
    <row r="11" spans="1:2" ht="12.95" customHeight="1">
      <c r="A11" s="73" t="s">
        <v>138</v>
      </c>
      <c r="B11" s="84" t="s">
        <v>139</v>
      </c>
    </row>
    <row r="14" spans="1:2" ht="12.95" customHeight="1">
      <c r="A14" s="74" t="s">
        <v>140</v>
      </c>
    </row>
    <row r="15" spans="1:2" ht="12.95" customHeight="1">
      <c r="A15" s="84" t="s">
        <v>141</v>
      </c>
    </row>
    <row r="16" spans="1:2" ht="12.95" customHeight="1">
      <c r="B16" s="74" t="s">
        <v>142</v>
      </c>
    </row>
    <row r="17" spans="2:4" ht="12.95" customHeight="1">
      <c r="B17" s="73" t="s">
        <v>143</v>
      </c>
      <c r="C17" s="84" t="s">
        <v>144</v>
      </c>
    </row>
    <row r="18" spans="2:4" ht="12.95" customHeight="1">
      <c r="B18" s="73" t="s">
        <v>145</v>
      </c>
      <c r="C18" s="84" t="s">
        <v>146</v>
      </c>
    </row>
    <row r="20" spans="2:4" ht="12.95" customHeight="1">
      <c r="B20" s="74" t="s">
        <v>147</v>
      </c>
    </row>
    <row r="21" spans="2:4" ht="12.95" customHeight="1">
      <c r="B21" s="74"/>
      <c r="C21" s="84" t="s">
        <v>148</v>
      </c>
    </row>
    <row r="22" spans="2:4" ht="12.95" customHeight="1">
      <c r="B22" s="73" t="s">
        <v>149</v>
      </c>
      <c r="C22" s="84" t="s">
        <v>150</v>
      </c>
    </row>
    <row r="23" spans="2:4" ht="12.95" customHeight="1">
      <c r="B23" s="73" t="s">
        <v>151</v>
      </c>
      <c r="C23" s="84" t="s">
        <v>152</v>
      </c>
    </row>
    <row r="24" spans="2:4" ht="12.95" customHeight="1">
      <c r="B24" s="73" t="s">
        <v>153</v>
      </c>
      <c r="C24" s="84" t="s">
        <v>154</v>
      </c>
    </row>
    <row r="25" spans="2:4" ht="12.95" customHeight="1">
      <c r="B25" s="73" t="s">
        <v>155</v>
      </c>
      <c r="C25" s="84" t="s">
        <v>156</v>
      </c>
    </row>
    <row r="26" spans="2:4" ht="12.95" customHeight="1">
      <c r="B26" s="72"/>
      <c r="C26" s="72"/>
    </row>
    <row r="27" spans="2:4" ht="12.75" customHeight="1">
      <c r="B27" s="75" t="s">
        <v>157</v>
      </c>
      <c r="C27" s="72"/>
    </row>
    <row r="28" spans="2:4" ht="12.95" customHeight="1">
      <c r="B28" s="73" t="s">
        <v>158</v>
      </c>
      <c r="C28" s="84" t="s">
        <v>291</v>
      </c>
      <c r="D28" s="84"/>
    </row>
    <row r="29" spans="2:4" ht="12.75" customHeight="1">
      <c r="C29" s="84"/>
      <c r="D29" s="84" t="s">
        <v>85</v>
      </c>
    </row>
    <row r="30" spans="2:4" ht="12.95" customHeight="1">
      <c r="C30" s="84"/>
      <c r="D30" s="84" t="s">
        <v>112</v>
      </c>
    </row>
    <row r="31" spans="2:4" ht="12.95" customHeight="1">
      <c r="C31" s="84"/>
      <c r="D31" s="84" t="s">
        <v>121</v>
      </c>
    </row>
    <row r="32" spans="2:4" ht="12.95" customHeight="1">
      <c r="C32" s="84"/>
      <c r="D32" s="84" t="s">
        <v>123</v>
      </c>
    </row>
    <row r="33" spans="2:5" ht="12.95" customHeight="1">
      <c r="C33" s="74" t="s">
        <v>159</v>
      </c>
      <c r="D33" s="84" t="s">
        <v>160</v>
      </c>
    </row>
    <row r="34" spans="2:5" ht="12.95" customHeight="1">
      <c r="D34" s="84" t="s">
        <v>161</v>
      </c>
    </row>
    <row r="35" spans="2:5" ht="12.95" customHeight="1">
      <c r="D35" s="84" t="s">
        <v>162</v>
      </c>
    </row>
    <row r="36" spans="2:5" ht="12.95" customHeight="1">
      <c r="D36" s="84" t="s">
        <v>163</v>
      </c>
    </row>
    <row r="37" spans="2:5" ht="12.95" customHeight="1">
      <c r="D37" s="84" t="s">
        <v>164</v>
      </c>
    </row>
    <row r="38" spans="2:5" ht="12.95" customHeight="1">
      <c r="D38" s="84" t="s">
        <v>165</v>
      </c>
    </row>
    <row r="39" spans="2:5" ht="12.95" customHeight="1">
      <c r="E39" s="84" t="s">
        <v>166</v>
      </c>
    </row>
    <row r="40" spans="2:5" ht="12.95" customHeight="1">
      <c r="E40" s="84" t="s">
        <v>167</v>
      </c>
    </row>
    <row r="41" spans="2:5" ht="12.95" customHeight="1">
      <c r="B41" s="72"/>
      <c r="C41" s="72"/>
      <c r="D41" s="72"/>
    </row>
    <row r="42" spans="2:5" ht="12.95" customHeight="1">
      <c r="C42" s="74" t="s">
        <v>159</v>
      </c>
      <c r="D42" s="84" t="s">
        <v>168</v>
      </c>
    </row>
    <row r="43" spans="2:5" ht="12.95" customHeight="1">
      <c r="D43" s="84" t="s">
        <v>169</v>
      </c>
    </row>
    <row r="44" spans="2:5" ht="12.95" customHeight="1">
      <c r="D44" s="84" t="s">
        <v>170</v>
      </c>
    </row>
    <row r="45" spans="2:5" ht="12.95" customHeight="1">
      <c r="D45" s="84" t="s">
        <v>171</v>
      </c>
    </row>
    <row r="46" spans="2:5" ht="12.95" customHeight="1">
      <c r="B46" s="73" t="s">
        <v>172</v>
      </c>
      <c r="C46" s="84" t="s">
        <v>173</v>
      </c>
    </row>
    <row r="47" spans="2:5" ht="12.95" customHeight="1">
      <c r="C47" s="76" t="s">
        <v>174</v>
      </c>
    </row>
    <row r="48" spans="2:5" ht="12.95" customHeight="1">
      <c r="D48" s="84" t="s">
        <v>175</v>
      </c>
    </row>
    <row r="49" spans="1:4" ht="12.95" customHeight="1">
      <c r="D49" s="84" t="s">
        <v>176</v>
      </c>
    </row>
    <row r="50" spans="1:4" ht="12.95" customHeight="1">
      <c r="D50" s="84" t="s">
        <v>177</v>
      </c>
    </row>
    <row r="51" spans="1:4" ht="12.95" customHeight="1">
      <c r="C51" s="76" t="s">
        <v>2</v>
      </c>
      <c r="D51" s="84"/>
    </row>
    <row r="52" spans="1:4" ht="12.95" customHeight="1">
      <c r="D52" s="84" t="s">
        <v>178</v>
      </c>
    </row>
    <row r="53" spans="1:4" ht="12.95" customHeight="1">
      <c r="D53" s="84" t="s">
        <v>179</v>
      </c>
    </row>
    <row r="54" spans="1:4" ht="12.95" customHeight="1">
      <c r="C54" s="72"/>
      <c r="D54" s="84" t="s">
        <v>180</v>
      </c>
    </row>
    <row r="55" spans="1:4" ht="12.95" customHeight="1">
      <c r="C55" s="72"/>
      <c r="D55" s="72"/>
    </row>
    <row r="58" spans="1:4" ht="12.95" customHeight="1">
      <c r="A58" s="74" t="s">
        <v>181</v>
      </c>
    </row>
    <row r="59" spans="1:4" ht="12.95" customHeight="1">
      <c r="A59" s="84" t="s">
        <v>182</v>
      </c>
      <c r="B59" s="84"/>
    </row>
    <row r="60" spans="1:4" ht="12.95" customHeight="1">
      <c r="A60" s="84"/>
      <c r="B60" s="84"/>
    </row>
    <row r="61" spans="1:4" ht="12.95" customHeight="1">
      <c r="A61" s="84" t="s">
        <v>183</v>
      </c>
      <c r="B61" s="84"/>
    </row>
    <row r="62" spans="1:4" ht="12.95" customHeight="1">
      <c r="A62" s="84" t="s">
        <v>184</v>
      </c>
      <c r="B62" s="84"/>
    </row>
    <row r="63" spans="1:4" ht="12.95" customHeight="1">
      <c r="A63" s="84"/>
      <c r="B63" s="84" t="s">
        <v>185</v>
      </c>
    </row>
    <row r="64" spans="1:4" ht="12.95" customHeight="1">
      <c r="A64" s="84"/>
      <c r="B64" s="84" t="s">
        <v>186</v>
      </c>
    </row>
    <row r="65" spans="1:2" ht="12.95" customHeight="1">
      <c r="A65" s="84"/>
      <c r="B65" s="84" t="s">
        <v>187</v>
      </c>
    </row>
    <row r="66" spans="1:2" ht="12.95" customHeight="1">
      <c r="A66" s="84"/>
      <c r="B66" s="84"/>
    </row>
    <row r="67" spans="1:2" ht="12.95" customHeight="1">
      <c r="A67" s="84" t="s">
        <v>188</v>
      </c>
      <c r="B67" s="84"/>
    </row>
    <row r="68" spans="1:2" ht="12.95" customHeight="1">
      <c r="A68" s="84" t="s">
        <v>189</v>
      </c>
      <c r="B68" s="84"/>
    </row>
    <row r="69" spans="1:2" ht="12.95" customHeight="1">
      <c r="A69" s="84"/>
      <c r="B69" s="84"/>
    </row>
    <row r="70" spans="1:2" ht="12.95" customHeight="1">
      <c r="A70" s="84" t="s">
        <v>190</v>
      </c>
      <c r="B70" s="84"/>
    </row>
    <row r="73" spans="1:2" ht="12.95" customHeight="1">
      <c r="A73" s="74" t="s">
        <v>191</v>
      </c>
    </row>
    <row r="74" spans="1:2" ht="12.95" customHeight="1">
      <c r="A74" s="84" t="s">
        <v>192</v>
      </c>
    </row>
    <row r="76" spans="1:2" ht="12.95" customHeight="1">
      <c r="A76" s="74" t="s">
        <v>159</v>
      </c>
    </row>
    <row r="77" spans="1:2" ht="12.95" customHeight="1">
      <c r="A77" s="84" t="s">
        <v>193</v>
      </c>
    </row>
    <row r="78" spans="1:2" ht="12.95" customHeight="1">
      <c r="B78" s="84" t="s">
        <v>272</v>
      </c>
    </row>
  </sheetData>
  <sheetProtection sheet="1" objects="1" scenarios="1"/>
  <phoneticPr fontId="19" type="noConversion"/>
  <pageMargins left="0.5" right="0.5" top="0.5" bottom="1" header="0.5" footer="0.5"/>
  <pageSetup orientation="landscape" r:id="rId1"/>
  <headerFooter alignWithMargins="0">
    <oddFooter>&amp;A&amp;RPage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O119"/>
  <sheetViews>
    <sheetView showGridLines="0" showRowColHeaders="0" showOutlineSymbols="0" workbookViewId="0"/>
  </sheetViews>
  <sheetFormatPr defaultRowHeight="12" customHeight="1"/>
  <cols>
    <col min="1" max="1" width="27.7109375" style="2" customWidth="1"/>
    <col min="2" max="8" width="9.140625" style="6"/>
    <col min="9" max="9" width="14.5703125" style="6" customWidth="1"/>
    <col min="10" max="10" width="9.140625" style="6"/>
    <col min="11" max="11" width="9.42578125" style="7" customWidth="1"/>
    <col min="12" max="12" width="9.140625" style="6"/>
    <col min="13" max="13" width="11.85546875" style="6" customWidth="1"/>
    <col min="14" max="14" width="16.140625" style="6" customWidth="1"/>
    <col min="15" max="16384" width="9.140625" style="2"/>
  </cols>
  <sheetData>
    <row r="1" spans="1:14" ht="18">
      <c r="A1" s="83" t="str">
        <f>'Adjustment Info'!A1</f>
        <v>Worksheet for Completeness of Case Ascertainment, version 2.2.b</v>
      </c>
    </row>
    <row r="3" spans="1:14" ht="12" customHeight="1">
      <c r="A3" t="s">
        <v>194</v>
      </c>
    </row>
    <row r="4" spans="1:14" ht="12" customHeight="1">
      <c r="A4"/>
    </row>
    <row r="5" spans="1:14" ht="12" customHeight="1" thickBot="1">
      <c r="B5" s="124" t="s">
        <v>195</v>
      </c>
      <c r="C5" s="125"/>
      <c r="D5" s="126"/>
      <c r="E5" s="124" t="s">
        <v>82</v>
      </c>
      <c r="F5" s="125"/>
      <c r="G5" s="126"/>
      <c r="H5" s="124" t="s">
        <v>294</v>
      </c>
      <c r="I5" s="126"/>
      <c r="J5" s="124" t="s">
        <v>83</v>
      </c>
      <c r="K5" s="125"/>
      <c r="L5" s="126"/>
      <c r="M5" s="124" t="s">
        <v>84</v>
      </c>
      <c r="N5" s="126"/>
    </row>
    <row r="6" spans="1:14" ht="12" customHeight="1">
      <c r="A6" s="17" t="s">
        <v>196</v>
      </c>
      <c r="B6" s="124" t="s">
        <v>86</v>
      </c>
      <c r="C6" s="125"/>
      <c r="D6" s="126"/>
      <c r="E6" s="124" t="s">
        <v>86</v>
      </c>
      <c r="F6" s="125"/>
      <c r="G6" s="126"/>
      <c r="H6" s="171" t="s">
        <v>87</v>
      </c>
      <c r="I6" s="171" t="s">
        <v>295</v>
      </c>
      <c r="J6" s="171" t="s">
        <v>88</v>
      </c>
      <c r="K6" s="174"/>
      <c r="L6" s="171" t="s">
        <v>89</v>
      </c>
      <c r="M6" s="171" t="s">
        <v>87</v>
      </c>
      <c r="N6" s="171" t="s">
        <v>90</v>
      </c>
    </row>
    <row r="7" spans="1:14" ht="12" customHeight="1" thickBot="1">
      <c r="A7" s="19"/>
      <c r="B7" s="170">
        <v>2001</v>
      </c>
      <c r="C7" s="171" t="s">
        <v>278</v>
      </c>
      <c r="D7" s="171" t="s">
        <v>91</v>
      </c>
      <c r="E7" s="171" t="s">
        <v>279</v>
      </c>
      <c r="F7" s="171" t="s">
        <v>279</v>
      </c>
      <c r="G7" s="171" t="s">
        <v>91</v>
      </c>
      <c r="H7" s="173" t="s">
        <v>92</v>
      </c>
      <c r="I7" s="173" t="s">
        <v>4</v>
      </c>
      <c r="J7" s="173" t="s">
        <v>279</v>
      </c>
      <c r="K7" s="175" t="s">
        <v>93</v>
      </c>
      <c r="L7" s="173" t="s">
        <v>278</v>
      </c>
      <c r="M7" s="173" t="s">
        <v>92</v>
      </c>
      <c r="N7" s="173" t="s">
        <v>4</v>
      </c>
    </row>
    <row r="8" spans="1:14" ht="12" customHeight="1" thickBot="1">
      <c r="A8" s="16" t="s">
        <v>94</v>
      </c>
      <c r="B8" s="172" t="s">
        <v>92</v>
      </c>
      <c r="C8" s="172" t="s">
        <v>95</v>
      </c>
      <c r="D8" s="172" t="s">
        <v>96</v>
      </c>
      <c r="E8" s="172" t="s">
        <v>92</v>
      </c>
      <c r="F8" s="172" t="s">
        <v>95</v>
      </c>
      <c r="G8" s="172" t="s">
        <v>96</v>
      </c>
      <c r="H8" s="172" t="s">
        <v>97</v>
      </c>
      <c r="I8" s="172" t="s">
        <v>5</v>
      </c>
      <c r="J8" s="172" t="s">
        <v>98</v>
      </c>
      <c r="K8" s="176" t="s">
        <v>99</v>
      </c>
      <c r="L8" s="172" t="s">
        <v>98</v>
      </c>
      <c r="M8" s="172" t="s">
        <v>97</v>
      </c>
      <c r="N8" s="172" t="s">
        <v>5</v>
      </c>
    </row>
    <row r="9" spans="1:14" ht="12" customHeight="1">
      <c r="A9" s="53"/>
      <c r="B9" s="77" t="s">
        <v>198</v>
      </c>
      <c r="C9" s="78" t="s">
        <v>199</v>
      </c>
      <c r="D9" s="56" t="s">
        <v>200</v>
      </c>
      <c r="E9" s="54" t="s">
        <v>201</v>
      </c>
      <c r="F9" s="55" t="s">
        <v>202</v>
      </c>
      <c r="G9" s="55" t="s">
        <v>203</v>
      </c>
      <c r="H9" s="54" t="s">
        <v>204</v>
      </c>
      <c r="I9" s="55" t="s">
        <v>205</v>
      </c>
      <c r="J9" s="77" t="s">
        <v>206</v>
      </c>
      <c r="K9" s="55" t="s">
        <v>207</v>
      </c>
      <c r="L9" s="55" t="s">
        <v>208</v>
      </c>
      <c r="M9" s="54" t="s">
        <v>209</v>
      </c>
      <c r="N9" s="56" t="s">
        <v>210</v>
      </c>
    </row>
    <row r="10" spans="1:14" ht="12" customHeight="1">
      <c r="A10" s="19"/>
      <c r="B10" s="30"/>
      <c r="C10" s="22"/>
      <c r="D10" s="23"/>
      <c r="E10" s="30"/>
      <c r="F10" s="22"/>
      <c r="G10" s="22"/>
      <c r="H10" s="30"/>
      <c r="I10" s="22"/>
      <c r="J10" s="30"/>
      <c r="K10" s="26"/>
      <c r="L10" s="22"/>
      <c r="M10" s="30"/>
      <c r="N10" s="23"/>
    </row>
    <row r="11" spans="1:14" ht="12" customHeight="1">
      <c r="A11" s="1"/>
      <c r="B11" s="22"/>
      <c r="C11" s="22"/>
      <c r="E11" s="22"/>
      <c r="F11" s="22"/>
      <c r="G11" s="22"/>
      <c r="H11" s="22"/>
      <c r="I11" s="22"/>
      <c r="J11" s="22"/>
      <c r="K11" s="26"/>
      <c r="M11" s="22"/>
      <c r="N11" s="23"/>
    </row>
    <row r="12" spans="1:14" ht="12" customHeight="1">
      <c r="A12" s="1"/>
      <c r="C12" s="6" t="s">
        <v>211</v>
      </c>
      <c r="E12" s="22"/>
      <c r="F12" s="22"/>
      <c r="G12" s="22"/>
      <c r="H12" s="22"/>
      <c r="I12" s="22"/>
      <c r="J12" s="6" t="s">
        <v>212</v>
      </c>
      <c r="K12" s="26"/>
      <c r="L12" s="22"/>
      <c r="M12" s="22"/>
      <c r="N12" s="23"/>
    </row>
    <row r="13" spans="1:14" ht="12" customHeight="1">
      <c r="A13" s="1"/>
      <c r="B13" s="6" t="s">
        <v>213</v>
      </c>
      <c r="C13" s="22"/>
      <c r="D13" s="22"/>
      <c r="E13" s="22"/>
      <c r="F13" s="22"/>
      <c r="G13" s="22"/>
      <c r="H13" s="22"/>
      <c r="I13" s="22"/>
      <c r="J13" s="22"/>
      <c r="K13" s="26"/>
      <c r="L13" s="22"/>
      <c r="M13" s="22"/>
      <c r="N13" s="23"/>
    </row>
    <row r="14" spans="1:14" ht="12.75" thickBot="1">
      <c r="A14" s="3" t="s">
        <v>214</v>
      </c>
      <c r="B14" s="48"/>
      <c r="C14" s="11"/>
      <c r="D14" s="11"/>
      <c r="E14" s="11"/>
      <c r="F14" s="11"/>
      <c r="G14" s="11"/>
      <c r="H14" s="48"/>
      <c r="I14" s="11"/>
      <c r="J14" s="11"/>
      <c r="K14" s="14"/>
      <c r="L14" s="11"/>
      <c r="M14" s="48"/>
      <c r="N14" s="143" t="s">
        <v>215</v>
      </c>
    </row>
    <row r="15" spans="1:14">
      <c r="A15" s="1"/>
      <c r="B15" s="49"/>
      <c r="C15" s="8"/>
      <c r="D15" s="8"/>
      <c r="E15" s="8"/>
      <c r="F15" s="8"/>
      <c r="G15" s="8"/>
      <c r="H15" s="49"/>
      <c r="I15" s="8"/>
      <c r="J15" s="8"/>
      <c r="K15" s="10"/>
      <c r="L15" s="8"/>
      <c r="M15" s="49"/>
      <c r="N15" s="142"/>
    </row>
    <row r="16" spans="1:14" ht="12" customHeight="1">
      <c r="A16" t="s">
        <v>216</v>
      </c>
      <c r="B16"/>
      <c r="C16"/>
      <c r="D16"/>
      <c r="E16"/>
      <c r="F16"/>
      <c r="G16"/>
      <c r="H16"/>
      <c r="I16"/>
      <c r="J16"/>
      <c r="K16"/>
      <c r="L16"/>
      <c r="M16"/>
      <c r="N16"/>
    </row>
    <row r="17" spans="1:14" ht="12" customHeight="1">
      <c r="A17" t="s">
        <v>217</v>
      </c>
      <c r="B17"/>
      <c r="C17"/>
      <c r="D17"/>
      <c r="E17"/>
      <c r="F17"/>
      <c r="G17"/>
      <c r="H17"/>
      <c r="I17"/>
      <c r="J17"/>
      <c r="K17"/>
      <c r="L17"/>
      <c r="M17"/>
      <c r="N17"/>
    </row>
    <row r="18" spans="1:14" ht="12" customHeight="1">
      <c r="A18" t="s">
        <v>218</v>
      </c>
      <c r="B18"/>
      <c r="C18"/>
      <c r="D18"/>
      <c r="E18"/>
      <c r="F18"/>
      <c r="G18"/>
      <c r="H18"/>
      <c r="I18"/>
      <c r="J18"/>
      <c r="K18"/>
      <c r="L18"/>
      <c r="M18"/>
      <c r="N18"/>
    </row>
    <row r="19" spans="1:14" ht="12" customHeight="1">
      <c r="A19" t="s">
        <v>219</v>
      </c>
      <c r="B19"/>
      <c r="C19"/>
      <c r="D19"/>
      <c r="E19"/>
      <c r="F19"/>
      <c r="G19"/>
      <c r="H19"/>
      <c r="I19"/>
      <c r="J19"/>
      <c r="K19"/>
      <c r="L19"/>
      <c r="M19"/>
      <c r="N19"/>
    </row>
    <row r="20" spans="1:14" ht="12" customHeight="1">
      <c r="A20" t="s">
        <v>220</v>
      </c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1:14" ht="12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1:14" ht="12" customHeight="1">
      <c r="A22" t="s">
        <v>221</v>
      </c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1:14" ht="12" customHeight="1">
      <c r="A23" s="140" t="s">
        <v>222</v>
      </c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1:14" ht="12" customHeight="1">
      <c r="A24" t="s">
        <v>223</v>
      </c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1:14" ht="12" customHeight="1">
      <c r="A25" t="s">
        <v>224</v>
      </c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1:14" ht="12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1:14" ht="12" customHeight="1">
      <c r="A27" s="21" t="s">
        <v>225</v>
      </c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4" ht="12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1:14" ht="12" customHeight="1">
      <c r="A29" s="136" t="s">
        <v>174</v>
      </c>
      <c r="B29" s="137"/>
      <c r="C29" s="136" t="s">
        <v>2</v>
      </c>
      <c r="D29" s="137"/>
      <c r="E29" s="136" t="s">
        <v>3</v>
      </c>
      <c r="F29" s="137"/>
      <c r="G29"/>
      <c r="H29"/>
      <c r="I29"/>
      <c r="J29"/>
      <c r="K29"/>
      <c r="L29"/>
      <c r="M29"/>
      <c r="N29"/>
    </row>
    <row r="30" spans="1:14" ht="12" customHeight="1">
      <c r="A30" s="36" t="s">
        <v>4</v>
      </c>
      <c r="B30" s="51"/>
      <c r="C30" s="36" t="s">
        <v>4</v>
      </c>
      <c r="D30" s="51"/>
      <c r="E30" s="36" t="s">
        <v>4</v>
      </c>
      <c r="F30" s="51"/>
      <c r="G30"/>
      <c r="H30"/>
      <c r="I30"/>
      <c r="J30"/>
      <c r="K30"/>
      <c r="L30"/>
      <c r="M30"/>
      <c r="N30"/>
    </row>
    <row r="31" spans="1:14" ht="12" customHeight="1" thickBot="1">
      <c r="A31" s="37" t="s">
        <v>5</v>
      </c>
      <c r="B31" s="52" t="s">
        <v>6</v>
      </c>
      <c r="C31" s="37" t="s">
        <v>5</v>
      </c>
      <c r="D31" s="52" t="s">
        <v>6</v>
      </c>
      <c r="E31" s="37" t="s">
        <v>5</v>
      </c>
      <c r="F31" s="52" t="s">
        <v>6</v>
      </c>
      <c r="G31"/>
      <c r="H31"/>
      <c r="I31"/>
      <c r="J31"/>
      <c r="K31"/>
      <c r="L31"/>
      <c r="M31"/>
      <c r="N31"/>
    </row>
    <row r="32" spans="1:14" ht="12" customHeight="1">
      <c r="A32" s="57" t="s">
        <v>226</v>
      </c>
      <c r="B32" s="58" t="s">
        <v>227</v>
      </c>
      <c r="C32" s="57" t="s">
        <v>228</v>
      </c>
      <c r="D32" s="58" t="s">
        <v>229</v>
      </c>
      <c r="E32" s="57" t="s">
        <v>230</v>
      </c>
      <c r="F32" s="58" t="s">
        <v>231</v>
      </c>
      <c r="G32"/>
      <c r="H32"/>
      <c r="I32"/>
      <c r="J32"/>
      <c r="K32"/>
      <c r="L32"/>
      <c r="M32"/>
      <c r="N32"/>
    </row>
    <row r="33" spans="1:15" ht="12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1:15" ht="12" customHeight="1">
      <c r="A34" t="s">
        <v>273</v>
      </c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1:15" ht="12" customHeight="1">
      <c r="A35" t="s">
        <v>274</v>
      </c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1:15" ht="12" customHeight="1">
      <c r="A36" t="s">
        <v>275</v>
      </c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1:15" ht="12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1:15" ht="12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5" ht="12" customHeight="1">
      <c r="A39" s="21" t="s">
        <v>232</v>
      </c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5" ht="12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5" ht="12" customHeight="1">
      <c r="A41" s="63" t="s">
        <v>233</v>
      </c>
      <c r="B41" t="s">
        <v>280</v>
      </c>
      <c r="C41"/>
      <c r="D41"/>
      <c r="E41"/>
      <c r="F41"/>
      <c r="G41"/>
      <c r="H41"/>
      <c r="I41"/>
      <c r="J41"/>
      <c r="K41"/>
      <c r="L41"/>
      <c r="M41"/>
      <c r="N41"/>
    </row>
    <row r="42" spans="1:15" ht="12" customHeight="1">
      <c r="A42" s="64" t="s">
        <v>234</v>
      </c>
      <c r="B42" t="s">
        <v>9</v>
      </c>
      <c r="C42"/>
      <c r="D42"/>
      <c r="E42"/>
      <c r="F42"/>
      <c r="G42"/>
      <c r="H42"/>
      <c r="I42"/>
      <c r="J42"/>
      <c r="K42"/>
      <c r="L42"/>
      <c r="M42"/>
      <c r="N42"/>
    </row>
    <row r="43" spans="1:15" ht="12" customHeight="1">
      <c r="A43" s="59" t="s">
        <v>235</v>
      </c>
      <c r="B43" t="s">
        <v>236</v>
      </c>
      <c r="C43"/>
      <c r="D43"/>
      <c r="E43"/>
      <c r="F43"/>
      <c r="G43"/>
      <c r="H43"/>
      <c r="I43"/>
      <c r="J43"/>
      <c r="K43"/>
      <c r="L43"/>
      <c r="M43"/>
      <c r="N43"/>
    </row>
    <row r="44" spans="1:15" ht="12" customHeight="1">
      <c r="A44" s="60" t="s">
        <v>237</v>
      </c>
      <c r="B44" t="s">
        <v>281</v>
      </c>
      <c r="C44"/>
      <c r="D44"/>
      <c r="E44"/>
      <c r="F44"/>
      <c r="G44"/>
      <c r="H44"/>
      <c r="I44"/>
      <c r="J44"/>
      <c r="K44"/>
      <c r="L44"/>
      <c r="M44"/>
      <c r="N44"/>
      <c r="O44" s="8"/>
    </row>
    <row r="45" spans="1:15" ht="12" customHeight="1">
      <c r="A45" s="60" t="s">
        <v>238</v>
      </c>
      <c r="B45" t="s">
        <v>282</v>
      </c>
      <c r="C45"/>
      <c r="D45"/>
      <c r="E45"/>
      <c r="F45"/>
      <c r="G45"/>
      <c r="H45"/>
      <c r="I45"/>
      <c r="J45"/>
      <c r="K45"/>
      <c r="L45"/>
      <c r="M45"/>
      <c r="N45"/>
    </row>
    <row r="46" spans="1:15" ht="12" customHeight="1">
      <c r="A46" s="59"/>
      <c r="B46"/>
      <c r="C46"/>
      <c r="D46"/>
      <c r="E46"/>
      <c r="F46"/>
      <c r="G46"/>
      <c r="H46"/>
      <c r="I46"/>
      <c r="J46"/>
      <c r="K46"/>
      <c r="L46"/>
      <c r="M46"/>
      <c r="N46"/>
    </row>
    <row r="47" spans="1:15" ht="12" customHeight="1">
      <c r="A47" s="61" t="s">
        <v>239</v>
      </c>
      <c r="B47" s="62" t="s">
        <v>283</v>
      </c>
      <c r="C47"/>
      <c r="D47"/>
      <c r="E47"/>
      <c r="F47"/>
      <c r="G47"/>
      <c r="H47"/>
      <c r="I47"/>
      <c r="J47"/>
      <c r="K47"/>
      <c r="L47"/>
      <c r="M47"/>
      <c r="N47"/>
    </row>
    <row r="48" spans="1:15" ht="12" customHeight="1">
      <c r="A48" s="61"/>
      <c r="B48" s="62" t="s">
        <v>8</v>
      </c>
      <c r="C48"/>
      <c r="D48"/>
      <c r="E48"/>
      <c r="F48"/>
      <c r="G48"/>
      <c r="H48"/>
      <c r="I48"/>
      <c r="J48"/>
      <c r="K48"/>
      <c r="L48"/>
      <c r="M48"/>
      <c r="N48"/>
    </row>
    <row r="49" spans="1:14" ht="12" customHeight="1">
      <c r="A49"/>
      <c r="B49"/>
      <c r="C49"/>
      <c r="D49"/>
      <c r="E49"/>
      <c r="F49"/>
      <c r="G49"/>
      <c r="H49"/>
      <c r="I49"/>
      <c r="J49"/>
      <c r="K49"/>
      <c r="L49"/>
      <c r="M49"/>
      <c r="N49"/>
    </row>
    <row r="50" spans="1:14" ht="12" customHeight="1">
      <c r="A50" t="s">
        <v>240</v>
      </c>
      <c r="B50"/>
      <c r="C50"/>
      <c r="D50"/>
      <c r="E50"/>
      <c r="F50"/>
      <c r="G50"/>
      <c r="H50"/>
      <c r="I50"/>
      <c r="J50"/>
      <c r="K50"/>
      <c r="L50"/>
      <c r="M50"/>
      <c r="N50"/>
    </row>
    <row r="51" spans="1:14" ht="12" customHeight="1">
      <c r="A51" t="s">
        <v>241</v>
      </c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1:14" ht="12" customHeight="1">
      <c r="A52"/>
      <c r="B52"/>
      <c r="C52"/>
      <c r="D52"/>
      <c r="E52"/>
      <c r="F52"/>
      <c r="G52"/>
      <c r="H52"/>
      <c r="I52"/>
      <c r="J52"/>
      <c r="K52"/>
      <c r="L52"/>
      <c r="M52"/>
      <c r="N52"/>
    </row>
    <row r="53" spans="1:14" ht="12" customHeight="1">
      <c r="A53"/>
      <c r="B53"/>
      <c r="C53"/>
      <c r="D53"/>
      <c r="E53"/>
      <c r="F53"/>
      <c r="G53"/>
      <c r="H53"/>
      <c r="I53"/>
      <c r="J53"/>
      <c r="K53"/>
      <c r="L53"/>
      <c r="M53"/>
      <c r="N53"/>
    </row>
    <row r="54" spans="1:14" ht="12" customHeight="1">
      <c r="A54"/>
      <c r="B54"/>
      <c r="C54"/>
      <c r="D54"/>
      <c r="E54"/>
      <c r="F54"/>
      <c r="G54"/>
      <c r="H54"/>
      <c r="I54"/>
      <c r="J54"/>
      <c r="K54"/>
      <c r="L54"/>
      <c r="M54"/>
      <c r="N54"/>
    </row>
    <row r="55" spans="1:14" ht="12" customHeight="1">
      <c r="A55"/>
      <c r="B55"/>
      <c r="C55"/>
      <c r="D55"/>
      <c r="E55"/>
      <c r="F55"/>
      <c r="G55"/>
      <c r="H55"/>
      <c r="I55"/>
      <c r="J55"/>
      <c r="K55"/>
      <c r="L55"/>
      <c r="M55"/>
      <c r="N55"/>
    </row>
    <row r="56" spans="1:14" ht="12" customHeight="1">
      <c r="A56"/>
      <c r="B56"/>
      <c r="C56"/>
      <c r="D56"/>
      <c r="E56"/>
      <c r="F56"/>
      <c r="G56"/>
      <c r="H56"/>
      <c r="I56"/>
      <c r="J56"/>
      <c r="K56"/>
      <c r="L56"/>
      <c r="M56"/>
      <c r="N56"/>
    </row>
    <row r="57" spans="1:14" ht="12" customHeight="1">
      <c r="A57"/>
      <c r="B57"/>
      <c r="C57"/>
      <c r="D57"/>
      <c r="E57"/>
      <c r="F57"/>
      <c r="G57"/>
      <c r="H57"/>
      <c r="I57"/>
      <c r="J57"/>
      <c r="K57"/>
      <c r="L57"/>
      <c r="M57"/>
      <c r="N57"/>
    </row>
    <row r="58" spans="1:14" ht="12" customHeight="1">
      <c r="A58"/>
      <c r="B58"/>
      <c r="C58"/>
      <c r="D58"/>
      <c r="E58"/>
      <c r="F58"/>
      <c r="G58"/>
      <c r="H58"/>
      <c r="I58"/>
      <c r="J58"/>
      <c r="K58"/>
      <c r="L58"/>
      <c r="M58"/>
      <c r="N58"/>
    </row>
    <row r="59" spans="1:14" ht="12" customHeight="1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 ht="12" customHeight="1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 ht="12" customHeight="1">
      <c r="A61"/>
      <c r="B61"/>
      <c r="C61"/>
      <c r="D61"/>
      <c r="E61"/>
      <c r="F61"/>
      <c r="G61"/>
      <c r="H61"/>
      <c r="I61"/>
      <c r="J61"/>
      <c r="K61"/>
      <c r="L61"/>
      <c r="M61"/>
      <c r="N61"/>
    </row>
    <row r="62" spans="1:14" ht="12" customHeight="1">
      <c r="A62"/>
      <c r="B62"/>
      <c r="C62"/>
      <c r="D62"/>
      <c r="E62"/>
      <c r="F62"/>
      <c r="G62"/>
      <c r="H62"/>
      <c r="I62"/>
      <c r="J62"/>
      <c r="K62"/>
      <c r="L62"/>
      <c r="M62"/>
      <c r="N62"/>
    </row>
    <row r="63" spans="1:14" ht="12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</row>
    <row r="64" spans="1:14" ht="12" customHeight="1">
      <c r="A64"/>
      <c r="B64"/>
      <c r="C64"/>
      <c r="D64"/>
      <c r="E64"/>
      <c r="F64"/>
      <c r="G64"/>
      <c r="H64"/>
      <c r="I64"/>
      <c r="J64"/>
      <c r="K64"/>
      <c r="L64"/>
      <c r="M64"/>
      <c r="N64"/>
    </row>
    <row r="65" spans="1:15" ht="12" customHeight="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 ht="12" customHeigh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 ht="12" customHeight="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 ht="12" customHeight="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 ht="12" customHeight="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 ht="12" customHeight="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 ht="12" customHeight="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 ht="12" customHeigh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 ht="12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 ht="12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 ht="12" customHeight="1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 ht="12" customHeight="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 ht="12" customHeight="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 ht="12" customHeigh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 ht="12" customHeight="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 ht="12" customHeight="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 ht="12" customHeight="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 ht="12" customHeigh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 ht="12" customHeight="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 ht="12" customHeight="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 ht="12" customHeight="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 ht="12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 ht="12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 ht="12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 ht="12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 ht="12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 ht="12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 ht="12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 ht="12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ht="12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ht="12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ht="12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ht="12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ht="12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ht="12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ht="12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ht="12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ht="12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ht="12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 ht="12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ht="12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ht="12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ht="12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ht="12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ht="12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ht="12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ht="12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ht="12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ht="12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ht="12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ht="12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ht="12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ht="12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ht="12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ht="12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</sheetData>
  <sheetProtection sheet="1" objects="1" scenarios="1"/>
  <phoneticPr fontId="19" type="noConversion"/>
  <pageMargins left="0.5" right="0.5" top="0.5" bottom="0.5" header="0.5" footer="0.5"/>
  <pageSetup scale="80" orientation="landscape" r:id="rId1"/>
  <headerFooter alignWithMargins="0">
    <oddFooter>&amp;A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8" enableFormatConditionsCalculation="0">
    <tabColor indexed="10"/>
  </sheetPr>
  <dimension ref="A1:DF147"/>
  <sheetViews>
    <sheetView workbookViewId="0"/>
  </sheetViews>
  <sheetFormatPr defaultRowHeight="12.75"/>
  <cols>
    <col min="1" max="1" width="94.140625" style="90" bestFit="1" customWidth="1"/>
    <col min="2" max="5" width="10.140625" bestFit="1" customWidth="1"/>
    <col min="6" max="7" width="9.140625" bestFit="1" customWidth="1"/>
    <col min="8" max="11" width="10.140625" bestFit="1" customWidth="1"/>
    <col min="12" max="13" width="9.140625" bestFit="1" customWidth="1"/>
    <col min="14" max="17" width="10.140625" bestFit="1" customWidth="1"/>
    <col min="18" max="19" width="9.140625" bestFit="1" customWidth="1"/>
    <col min="20" max="23" width="10.140625" bestFit="1" customWidth="1"/>
    <col min="24" max="25" width="9.140625" bestFit="1" customWidth="1"/>
    <col min="26" max="29" width="10.140625" bestFit="1" customWidth="1"/>
    <col min="30" max="31" width="9.140625" bestFit="1" customWidth="1"/>
    <col min="32" max="35" width="10.140625" bestFit="1" customWidth="1"/>
    <col min="36" max="37" width="9.140625" bestFit="1" customWidth="1"/>
    <col min="38" max="41" width="10.140625" bestFit="1" customWidth="1"/>
    <col min="42" max="43" width="9.140625" bestFit="1" customWidth="1"/>
    <col min="44" max="47" width="10.140625" bestFit="1" customWidth="1"/>
    <col min="50" max="53" width="10.140625" bestFit="1" customWidth="1"/>
    <col min="56" max="59" width="10.140625" bestFit="1" customWidth="1"/>
    <col min="62" max="62" width="10.140625" customWidth="1"/>
    <col min="63" max="65" width="10.140625" bestFit="1" customWidth="1"/>
    <col min="68" max="68" width="10.140625" customWidth="1"/>
    <col min="69" max="71" width="10.140625" bestFit="1" customWidth="1"/>
    <col min="74" max="77" width="10.140625" bestFit="1" customWidth="1"/>
    <col min="80" max="83" width="10.140625" style="262" bestFit="1" customWidth="1"/>
    <col min="84" max="85" width="9.140625" style="262"/>
    <col min="86" max="89" width="10.140625" style="262" bestFit="1" customWidth="1"/>
    <col min="90" max="91" width="9.140625" style="262"/>
    <col min="92" max="95" width="10.140625" bestFit="1" customWidth="1"/>
  </cols>
  <sheetData>
    <row r="1" spans="1:97" s="90" customFormat="1" ht="18" customHeight="1">
      <c r="A1" s="139" t="s">
        <v>287</v>
      </c>
      <c r="B1" s="140"/>
      <c r="C1" s="140"/>
      <c r="D1" s="140"/>
      <c r="E1" s="140"/>
      <c r="F1" s="140"/>
    </row>
    <row r="2" spans="1:97" s="90" customFormat="1">
      <c r="A2" s="138" t="s">
        <v>334</v>
      </c>
      <c r="B2" s="140"/>
      <c r="C2" s="140"/>
      <c r="D2" s="140"/>
      <c r="E2" s="140"/>
      <c r="F2" s="140"/>
    </row>
    <row r="3" spans="1:97" s="90" customFormat="1">
      <c r="A3" s="138" t="s">
        <v>330</v>
      </c>
      <c r="B3" s="140"/>
      <c r="C3" s="140"/>
      <c r="D3" s="140"/>
      <c r="E3" s="140"/>
      <c r="F3" s="140"/>
      <c r="G3" s="140"/>
    </row>
    <row r="4" spans="1:97" s="90" customFormat="1" ht="13.5" thickBot="1">
      <c r="A4" s="111"/>
    </row>
    <row r="5" spans="1:97" s="261" customFormat="1" ht="13.5" thickBot="1">
      <c r="A5" s="254"/>
      <c r="B5" s="255">
        <v>1995</v>
      </c>
      <c r="C5" s="186">
        <v>1995</v>
      </c>
      <c r="D5" s="256" t="s">
        <v>299</v>
      </c>
      <c r="E5" s="186">
        <v>1995</v>
      </c>
      <c r="F5" s="186">
        <v>1995</v>
      </c>
      <c r="G5" s="257">
        <v>1995</v>
      </c>
      <c r="H5" s="255">
        <v>1996</v>
      </c>
      <c r="I5" s="186">
        <v>1996</v>
      </c>
      <c r="J5" s="256" t="s">
        <v>300</v>
      </c>
      <c r="K5" s="186">
        <v>1996</v>
      </c>
      <c r="L5" s="186">
        <v>1996</v>
      </c>
      <c r="M5" s="257">
        <v>1996</v>
      </c>
      <c r="N5" s="255">
        <v>1997</v>
      </c>
      <c r="O5" s="186">
        <v>1997</v>
      </c>
      <c r="P5" s="256" t="s">
        <v>301</v>
      </c>
      <c r="Q5" s="186">
        <v>1997</v>
      </c>
      <c r="R5" s="186">
        <v>1997</v>
      </c>
      <c r="S5" s="257">
        <v>1997</v>
      </c>
      <c r="T5" s="255">
        <v>1998</v>
      </c>
      <c r="U5" s="186">
        <v>1998</v>
      </c>
      <c r="V5" s="256" t="s">
        <v>302</v>
      </c>
      <c r="W5" s="186">
        <v>1998</v>
      </c>
      <c r="X5" s="186">
        <v>1998</v>
      </c>
      <c r="Y5" s="257">
        <v>1998</v>
      </c>
      <c r="Z5" s="255">
        <v>1999</v>
      </c>
      <c r="AA5" s="186">
        <v>1999</v>
      </c>
      <c r="AB5" s="256" t="s">
        <v>297</v>
      </c>
      <c r="AC5" s="186">
        <v>1999</v>
      </c>
      <c r="AD5" s="186">
        <v>1999</v>
      </c>
      <c r="AE5" s="257">
        <v>1999</v>
      </c>
      <c r="AF5" s="258">
        <v>2000</v>
      </c>
      <c r="AG5" s="188">
        <v>2000</v>
      </c>
      <c r="AH5" s="259" t="s">
        <v>298</v>
      </c>
      <c r="AI5" s="188">
        <v>2000</v>
      </c>
      <c r="AJ5" s="188">
        <v>2000</v>
      </c>
      <c r="AK5" s="260">
        <v>2000</v>
      </c>
      <c r="AL5" s="258">
        <v>2001</v>
      </c>
      <c r="AM5" s="188">
        <v>2001</v>
      </c>
      <c r="AN5" s="259" t="s">
        <v>303</v>
      </c>
      <c r="AO5" s="188">
        <v>2001</v>
      </c>
      <c r="AP5" s="188">
        <v>2001</v>
      </c>
      <c r="AQ5" s="260">
        <v>2001</v>
      </c>
      <c r="AR5" s="258">
        <v>2002</v>
      </c>
      <c r="AS5" s="188">
        <v>2002</v>
      </c>
      <c r="AT5" s="259" t="s">
        <v>304</v>
      </c>
      <c r="AU5" s="188">
        <v>2002</v>
      </c>
      <c r="AV5" s="188">
        <v>2002</v>
      </c>
      <c r="AW5" s="260">
        <v>2002</v>
      </c>
      <c r="AX5" s="258">
        <v>2003</v>
      </c>
      <c r="AY5" s="188">
        <v>2003</v>
      </c>
      <c r="AZ5" s="259">
        <v>2003</v>
      </c>
      <c r="BA5" s="188">
        <v>2003</v>
      </c>
      <c r="BB5" s="188">
        <v>2003</v>
      </c>
      <c r="BC5" s="260">
        <v>2003</v>
      </c>
      <c r="BD5" s="258">
        <v>2004</v>
      </c>
      <c r="BE5" s="188">
        <v>2004</v>
      </c>
      <c r="BF5" s="259">
        <v>2004</v>
      </c>
      <c r="BG5" s="188">
        <v>2004</v>
      </c>
      <c r="BH5" s="188">
        <v>2004</v>
      </c>
      <c r="BI5" s="260">
        <v>2004</v>
      </c>
      <c r="BJ5" s="258">
        <v>2005</v>
      </c>
      <c r="BK5" s="188">
        <v>2005</v>
      </c>
      <c r="BL5" s="259" t="s">
        <v>320</v>
      </c>
      <c r="BM5" s="188">
        <v>2005</v>
      </c>
      <c r="BN5" s="188">
        <v>2005</v>
      </c>
      <c r="BO5" s="260">
        <v>2005</v>
      </c>
      <c r="BP5" s="258">
        <v>2006</v>
      </c>
      <c r="BQ5" s="258">
        <v>2006</v>
      </c>
      <c r="BR5" s="258">
        <v>2006</v>
      </c>
      <c r="BS5" s="258">
        <v>2006</v>
      </c>
      <c r="BT5" s="258">
        <v>2006</v>
      </c>
      <c r="BU5" s="258">
        <v>2006</v>
      </c>
      <c r="BV5" s="258">
        <v>2007</v>
      </c>
      <c r="BW5" s="258">
        <v>2007</v>
      </c>
      <c r="BX5" s="258">
        <v>2007</v>
      </c>
      <c r="BY5" s="258">
        <v>2007</v>
      </c>
      <c r="BZ5" s="258">
        <v>2007</v>
      </c>
      <c r="CA5" s="264">
        <v>2007</v>
      </c>
      <c r="CB5" s="258">
        <v>2008</v>
      </c>
      <c r="CC5" s="258">
        <v>2008</v>
      </c>
      <c r="CD5" s="258">
        <v>2008</v>
      </c>
      <c r="CE5" s="258">
        <v>2008</v>
      </c>
      <c r="CF5" s="258">
        <v>2008</v>
      </c>
      <c r="CG5" s="264">
        <v>2008</v>
      </c>
      <c r="CH5" s="258">
        <v>2009</v>
      </c>
      <c r="CI5" s="258">
        <v>2009</v>
      </c>
      <c r="CJ5" s="258">
        <v>2009</v>
      </c>
      <c r="CK5" s="258">
        <v>2009</v>
      </c>
      <c r="CL5" s="258">
        <v>2009</v>
      </c>
      <c r="CM5" s="264">
        <v>2009</v>
      </c>
      <c r="CN5" s="258">
        <v>2010</v>
      </c>
      <c r="CO5" s="258">
        <v>2010</v>
      </c>
      <c r="CP5" s="258">
        <v>2010</v>
      </c>
      <c r="CQ5" s="258">
        <v>2010</v>
      </c>
      <c r="CR5" s="258">
        <v>2010</v>
      </c>
      <c r="CS5" s="264">
        <v>2010</v>
      </c>
    </row>
    <row r="6" spans="1:97" s="253" customFormat="1">
      <c r="A6" s="252"/>
      <c r="B6" s="187" t="s">
        <v>296</v>
      </c>
      <c r="C6" s="180" t="s">
        <v>296</v>
      </c>
      <c r="D6" s="181" t="s">
        <v>252</v>
      </c>
      <c r="E6" s="180" t="s">
        <v>252</v>
      </c>
      <c r="F6" s="182" t="s">
        <v>253</v>
      </c>
      <c r="G6" s="183" t="s">
        <v>253</v>
      </c>
      <c r="H6" s="187" t="s">
        <v>296</v>
      </c>
      <c r="I6" s="182" t="s">
        <v>296</v>
      </c>
      <c r="J6" s="181" t="s">
        <v>252</v>
      </c>
      <c r="K6" s="180" t="s">
        <v>252</v>
      </c>
      <c r="L6" s="182" t="s">
        <v>253</v>
      </c>
      <c r="M6" s="183" t="s">
        <v>253</v>
      </c>
      <c r="N6" s="187" t="s">
        <v>296</v>
      </c>
      <c r="O6" s="182" t="s">
        <v>296</v>
      </c>
      <c r="P6" s="181" t="s">
        <v>252</v>
      </c>
      <c r="Q6" s="180" t="s">
        <v>252</v>
      </c>
      <c r="R6" s="182" t="s">
        <v>253</v>
      </c>
      <c r="S6" s="183" t="s">
        <v>253</v>
      </c>
      <c r="T6" s="187" t="s">
        <v>296</v>
      </c>
      <c r="U6" s="182" t="s">
        <v>296</v>
      </c>
      <c r="V6" s="181" t="s">
        <v>252</v>
      </c>
      <c r="W6" s="180" t="s">
        <v>252</v>
      </c>
      <c r="X6" s="182" t="s">
        <v>253</v>
      </c>
      <c r="Y6" s="183" t="s">
        <v>253</v>
      </c>
      <c r="Z6" s="187" t="s">
        <v>296</v>
      </c>
      <c r="AA6" s="182" t="s">
        <v>296</v>
      </c>
      <c r="AB6" s="181" t="s">
        <v>252</v>
      </c>
      <c r="AC6" s="180" t="s">
        <v>252</v>
      </c>
      <c r="AD6" s="182" t="s">
        <v>253</v>
      </c>
      <c r="AE6" s="183" t="s">
        <v>253</v>
      </c>
      <c r="AF6" s="187" t="s">
        <v>296</v>
      </c>
      <c r="AG6" s="182" t="s">
        <v>296</v>
      </c>
      <c r="AH6" s="181" t="s">
        <v>252</v>
      </c>
      <c r="AI6" s="180" t="s">
        <v>252</v>
      </c>
      <c r="AJ6" s="182" t="s">
        <v>253</v>
      </c>
      <c r="AK6" s="183" t="s">
        <v>253</v>
      </c>
      <c r="AL6" s="187" t="s">
        <v>296</v>
      </c>
      <c r="AM6" s="182" t="s">
        <v>296</v>
      </c>
      <c r="AN6" s="181" t="s">
        <v>252</v>
      </c>
      <c r="AO6" s="180" t="s">
        <v>252</v>
      </c>
      <c r="AP6" s="182" t="s">
        <v>253</v>
      </c>
      <c r="AQ6" s="183" t="s">
        <v>253</v>
      </c>
      <c r="AR6" s="187" t="s">
        <v>296</v>
      </c>
      <c r="AS6" s="182" t="s">
        <v>296</v>
      </c>
      <c r="AT6" s="181" t="s">
        <v>252</v>
      </c>
      <c r="AU6" s="180" t="s">
        <v>252</v>
      </c>
      <c r="AV6" s="182" t="s">
        <v>253</v>
      </c>
      <c r="AW6" s="183" t="s">
        <v>253</v>
      </c>
      <c r="AX6" s="187" t="s">
        <v>296</v>
      </c>
      <c r="AY6" s="182" t="s">
        <v>296</v>
      </c>
      <c r="AZ6" s="181" t="s">
        <v>252</v>
      </c>
      <c r="BA6" s="180" t="s">
        <v>252</v>
      </c>
      <c r="BB6" s="182" t="s">
        <v>253</v>
      </c>
      <c r="BC6" s="183" t="s">
        <v>253</v>
      </c>
      <c r="BD6" s="187" t="s">
        <v>296</v>
      </c>
      <c r="BE6" s="182" t="s">
        <v>296</v>
      </c>
      <c r="BF6" s="181" t="s">
        <v>252</v>
      </c>
      <c r="BG6" s="180" t="s">
        <v>252</v>
      </c>
      <c r="BH6" s="182" t="s">
        <v>253</v>
      </c>
      <c r="BI6" s="183" t="s">
        <v>253</v>
      </c>
      <c r="BJ6" s="187" t="s">
        <v>296</v>
      </c>
      <c r="BK6" s="182" t="s">
        <v>296</v>
      </c>
      <c r="BL6" s="181" t="s">
        <v>252</v>
      </c>
      <c r="BM6" s="180" t="s">
        <v>252</v>
      </c>
      <c r="BN6" s="182" t="s">
        <v>253</v>
      </c>
      <c r="BO6" s="183" t="s">
        <v>253</v>
      </c>
      <c r="BP6" s="187" t="s">
        <v>296</v>
      </c>
      <c r="BQ6" s="182" t="s">
        <v>296</v>
      </c>
      <c r="BR6" s="181" t="s">
        <v>252</v>
      </c>
      <c r="BS6" s="180" t="s">
        <v>252</v>
      </c>
      <c r="BT6" s="182" t="s">
        <v>253</v>
      </c>
      <c r="BU6" s="183" t="s">
        <v>253</v>
      </c>
      <c r="BV6" s="187" t="s">
        <v>296</v>
      </c>
      <c r="BW6" s="182" t="s">
        <v>296</v>
      </c>
      <c r="BX6" s="181" t="s">
        <v>252</v>
      </c>
      <c r="BY6" s="180" t="s">
        <v>252</v>
      </c>
      <c r="BZ6" s="182" t="s">
        <v>253</v>
      </c>
      <c r="CA6" s="183" t="s">
        <v>253</v>
      </c>
      <c r="CB6" s="187" t="s">
        <v>296</v>
      </c>
      <c r="CC6" s="182" t="s">
        <v>296</v>
      </c>
      <c r="CD6" s="181" t="s">
        <v>252</v>
      </c>
      <c r="CE6" s="180" t="s">
        <v>252</v>
      </c>
      <c r="CF6" s="182" t="s">
        <v>253</v>
      </c>
      <c r="CG6" s="183" t="s">
        <v>253</v>
      </c>
      <c r="CH6" s="187" t="s">
        <v>296</v>
      </c>
      <c r="CI6" s="182" t="s">
        <v>296</v>
      </c>
      <c r="CJ6" s="181" t="s">
        <v>252</v>
      </c>
      <c r="CK6" s="180" t="s">
        <v>252</v>
      </c>
      <c r="CL6" s="182" t="s">
        <v>253</v>
      </c>
      <c r="CM6" s="183" t="s">
        <v>253</v>
      </c>
      <c r="CN6" s="187" t="s">
        <v>296</v>
      </c>
      <c r="CO6" s="182" t="s">
        <v>296</v>
      </c>
      <c r="CP6" s="181" t="s">
        <v>252</v>
      </c>
      <c r="CQ6" s="180" t="s">
        <v>252</v>
      </c>
      <c r="CR6" s="182" t="s">
        <v>253</v>
      </c>
      <c r="CS6" s="183" t="s">
        <v>253</v>
      </c>
    </row>
    <row r="7" spans="1:97" ht="13.5" thickBot="1">
      <c r="A7" s="18"/>
      <c r="B7" s="187" t="s">
        <v>254</v>
      </c>
      <c r="C7" s="180" t="s">
        <v>255</v>
      </c>
      <c r="D7" s="181" t="s">
        <v>254</v>
      </c>
      <c r="E7" s="180" t="s">
        <v>255</v>
      </c>
      <c r="F7" s="182" t="s">
        <v>254</v>
      </c>
      <c r="G7" s="183" t="s">
        <v>255</v>
      </c>
      <c r="H7" s="187" t="s">
        <v>254</v>
      </c>
      <c r="I7" s="182" t="s">
        <v>255</v>
      </c>
      <c r="J7" s="181" t="s">
        <v>254</v>
      </c>
      <c r="K7" s="180" t="s">
        <v>255</v>
      </c>
      <c r="L7" s="182" t="s">
        <v>254</v>
      </c>
      <c r="M7" s="183" t="s">
        <v>255</v>
      </c>
      <c r="N7" s="187" t="s">
        <v>254</v>
      </c>
      <c r="O7" s="182" t="s">
        <v>255</v>
      </c>
      <c r="P7" s="181" t="s">
        <v>254</v>
      </c>
      <c r="Q7" s="180" t="s">
        <v>255</v>
      </c>
      <c r="R7" s="182" t="s">
        <v>254</v>
      </c>
      <c r="S7" s="183" t="s">
        <v>255</v>
      </c>
      <c r="T7" s="187" t="s">
        <v>254</v>
      </c>
      <c r="U7" s="182" t="s">
        <v>255</v>
      </c>
      <c r="V7" s="181" t="s">
        <v>254</v>
      </c>
      <c r="W7" s="180" t="s">
        <v>255</v>
      </c>
      <c r="X7" s="182" t="s">
        <v>254</v>
      </c>
      <c r="Y7" s="183" t="s">
        <v>255</v>
      </c>
      <c r="Z7" s="187" t="s">
        <v>254</v>
      </c>
      <c r="AA7" s="182" t="s">
        <v>255</v>
      </c>
      <c r="AB7" s="181" t="s">
        <v>254</v>
      </c>
      <c r="AC7" s="180" t="s">
        <v>255</v>
      </c>
      <c r="AD7" s="182" t="s">
        <v>254</v>
      </c>
      <c r="AE7" s="183" t="s">
        <v>255</v>
      </c>
      <c r="AF7" s="187" t="s">
        <v>254</v>
      </c>
      <c r="AG7" s="182" t="s">
        <v>255</v>
      </c>
      <c r="AH7" s="181" t="s">
        <v>254</v>
      </c>
      <c r="AI7" s="180" t="s">
        <v>255</v>
      </c>
      <c r="AJ7" s="182" t="s">
        <v>254</v>
      </c>
      <c r="AK7" s="183" t="s">
        <v>255</v>
      </c>
      <c r="AL7" s="187" t="s">
        <v>254</v>
      </c>
      <c r="AM7" s="182" t="s">
        <v>255</v>
      </c>
      <c r="AN7" s="181" t="s">
        <v>254</v>
      </c>
      <c r="AO7" s="180" t="s">
        <v>255</v>
      </c>
      <c r="AP7" s="181" t="s">
        <v>254</v>
      </c>
      <c r="AQ7" s="183" t="s">
        <v>255</v>
      </c>
      <c r="AR7" s="187" t="s">
        <v>254</v>
      </c>
      <c r="AS7" s="182" t="s">
        <v>255</v>
      </c>
      <c r="AT7" s="181" t="s">
        <v>254</v>
      </c>
      <c r="AU7" s="180" t="s">
        <v>255</v>
      </c>
      <c r="AV7" s="182" t="s">
        <v>254</v>
      </c>
      <c r="AW7" s="183" t="s">
        <v>255</v>
      </c>
      <c r="AX7" s="187" t="s">
        <v>254</v>
      </c>
      <c r="AY7" s="182" t="s">
        <v>255</v>
      </c>
      <c r="AZ7" s="181" t="s">
        <v>254</v>
      </c>
      <c r="BA7" s="180" t="s">
        <v>255</v>
      </c>
      <c r="BB7" s="182" t="s">
        <v>254</v>
      </c>
      <c r="BC7" s="183" t="s">
        <v>255</v>
      </c>
      <c r="BD7" s="187" t="s">
        <v>254</v>
      </c>
      <c r="BE7" s="182" t="s">
        <v>255</v>
      </c>
      <c r="BF7" s="181" t="s">
        <v>254</v>
      </c>
      <c r="BG7" s="180" t="s">
        <v>255</v>
      </c>
      <c r="BH7" s="182" t="s">
        <v>254</v>
      </c>
      <c r="BI7" s="183" t="s">
        <v>255</v>
      </c>
      <c r="BJ7" s="187" t="s">
        <v>254</v>
      </c>
      <c r="BK7" s="182" t="s">
        <v>255</v>
      </c>
      <c r="BL7" s="181" t="s">
        <v>254</v>
      </c>
      <c r="BM7" s="180" t="s">
        <v>255</v>
      </c>
      <c r="BN7" s="182" t="s">
        <v>254</v>
      </c>
      <c r="BO7" s="183" t="s">
        <v>255</v>
      </c>
      <c r="BP7" s="187" t="s">
        <v>254</v>
      </c>
      <c r="BQ7" s="182" t="s">
        <v>255</v>
      </c>
      <c r="BR7" s="181" t="s">
        <v>254</v>
      </c>
      <c r="BS7" s="180" t="s">
        <v>255</v>
      </c>
      <c r="BT7" s="182" t="s">
        <v>254</v>
      </c>
      <c r="BU7" s="183" t="s">
        <v>255</v>
      </c>
      <c r="BV7" s="187" t="s">
        <v>254</v>
      </c>
      <c r="BW7" s="182" t="s">
        <v>255</v>
      </c>
      <c r="BX7" s="181" t="s">
        <v>254</v>
      </c>
      <c r="BY7" s="180" t="s">
        <v>255</v>
      </c>
      <c r="BZ7" s="182" t="s">
        <v>254</v>
      </c>
      <c r="CA7" s="183" t="s">
        <v>255</v>
      </c>
      <c r="CB7" s="187" t="s">
        <v>254</v>
      </c>
      <c r="CC7" s="182" t="s">
        <v>255</v>
      </c>
      <c r="CD7" s="181" t="s">
        <v>254</v>
      </c>
      <c r="CE7" s="180" t="s">
        <v>255</v>
      </c>
      <c r="CF7" s="182" t="s">
        <v>254</v>
      </c>
      <c r="CG7" s="183" t="s">
        <v>255</v>
      </c>
      <c r="CH7" s="187" t="s">
        <v>254</v>
      </c>
      <c r="CI7" s="182" t="s">
        <v>255</v>
      </c>
      <c r="CJ7" s="181" t="s">
        <v>254</v>
      </c>
      <c r="CK7" s="180" t="s">
        <v>255</v>
      </c>
      <c r="CL7" s="182" t="s">
        <v>254</v>
      </c>
      <c r="CM7" s="183" t="s">
        <v>255</v>
      </c>
      <c r="CN7" s="187" t="s">
        <v>254</v>
      </c>
      <c r="CO7" s="182" t="s">
        <v>255</v>
      </c>
      <c r="CP7" s="181" t="s">
        <v>254</v>
      </c>
      <c r="CQ7" s="180" t="s">
        <v>255</v>
      </c>
      <c r="CR7" s="182" t="s">
        <v>254</v>
      </c>
      <c r="CS7" s="183" t="s">
        <v>255</v>
      </c>
    </row>
    <row r="8" spans="1:97">
      <c r="A8" s="189" t="s">
        <v>11</v>
      </c>
      <c r="B8" s="156">
        <v>2066303</v>
      </c>
      <c r="C8" s="263">
        <v>2230497</v>
      </c>
      <c r="D8" s="263">
        <v>1527045</v>
      </c>
      <c r="E8" s="263">
        <v>1607048</v>
      </c>
      <c r="F8" s="263">
        <v>515742</v>
      </c>
      <c r="G8" s="263">
        <v>598291</v>
      </c>
      <c r="H8" s="263">
        <v>2083879</v>
      </c>
      <c r="I8" s="263">
        <v>2247223</v>
      </c>
      <c r="J8" s="263">
        <v>1538349</v>
      </c>
      <c r="K8" s="263">
        <v>1616610</v>
      </c>
      <c r="L8" s="263">
        <v>520918</v>
      </c>
      <c r="M8" s="263">
        <v>604175</v>
      </c>
      <c r="N8" s="263">
        <v>2103125</v>
      </c>
      <c r="O8" s="263">
        <v>2264810</v>
      </c>
      <c r="P8" s="263">
        <v>1549462</v>
      </c>
      <c r="Q8" s="263">
        <v>1625381</v>
      </c>
      <c r="R8" s="263">
        <v>528001</v>
      </c>
      <c r="S8" s="263">
        <v>612119</v>
      </c>
      <c r="T8" s="263">
        <v>2122835</v>
      </c>
      <c r="U8" s="263">
        <v>2281866</v>
      </c>
      <c r="V8" s="263">
        <v>1562991</v>
      </c>
      <c r="W8" s="263">
        <v>1635049</v>
      </c>
      <c r="X8" s="263">
        <v>533599</v>
      </c>
      <c r="Y8" s="263">
        <v>618649</v>
      </c>
      <c r="Z8" s="263">
        <v>2136882</v>
      </c>
      <c r="AA8" s="263">
        <v>2293259</v>
      </c>
      <c r="AB8" s="263">
        <v>1570643</v>
      </c>
      <c r="AC8" s="263">
        <v>1640665</v>
      </c>
      <c r="AD8" s="263">
        <v>539198</v>
      </c>
      <c r="AE8" s="263">
        <v>623475</v>
      </c>
      <c r="AF8" s="263">
        <v>2149338</v>
      </c>
      <c r="AG8" s="263">
        <v>2302835</v>
      </c>
      <c r="AH8" s="263">
        <v>1576095</v>
      </c>
      <c r="AI8" s="263">
        <v>1643761</v>
      </c>
      <c r="AJ8" s="263">
        <v>543178</v>
      </c>
      <c r="AK8" s="263">
        <v>627439</v>
      </c>
      <c r="AL8" s="263">
        <v>2158138</v>
      </c>
      <c r="AM8" s="263">
        <v>2309496</v>
      </c>
      <c r="AN8" s="263">
        <v>1580087</v>
      </c>
      <c r="AO8" s="263">
        <v>1645541</v>
      </c>
      <c r="AP8" s="263">
        <v>546578</v>
      </c>
      <c r="AQ8" s="263">
        <v>630901</v>
      </c>
      <c r="AR8" s="263">
        <v>2165719</v>
      </c>
      <c r="AS8" s="263">
        <v>2314370</v>
      </c>
      <c r="AT8" s="263">
        <v>1583267</v>
      </c>
      <c r="AU8" s="263">
        <v>1646445</v>
      </c>
      <c r="AV8" s="263">
        <v>549217</v>
      </c>
      <c r="AW8" s="263">
        <v>633374</v>
      </c>
      <c r="AX8" s="263">
        <v>2179422</v>
      </c>
      <c r="AY8" s="263">
        <v>2324069</v>
      </c>
      <c r="AZ8" s="263">
        <v>1590946</v>
      </c>
      <c r="BA8" s="263">
        <v>1650890</v>
      </c>
      <c r="BB8" s="263">
        <v>553307</v>
      </c>
      <c r="BC8" s="263">
        <v>636876</v>
      </c>
      <c r="BD8" s="263">
        <v>2192872</v>
      </c>
      <c r="BE8" s="263">
        <v>2337857</v>
      </c>
      <c r="BF8" s="263">
        <v>1598272</v>
      </c>
      <c r="BG8" s="263">
        <v>1657539</v>
      </c>
      <c r="BH8" s="263">
        <v>557319</v>
      </c>
      <c r="BI8" s="263">
        <v>641873</v>
      </c>
      <c r="BJ8" s="263">
        <v>2211403</v>
      </c>
      <c r="BK8" s="263">
        <v>2354514</v>
      </c>
      <c r="BL8" s="263">
        <v>1609163</v>
      </c>
      <c r="BM8" s="263">
        <v>1666877</v>
      </c>
      <c r="BN8" s="263">
        <v>562888</v>
      </c>
      <c r="BO8" s="263">
        <v>647132</v>
      </c>
      <c r="BP8" s="263">
        <v>2243501</v>
      </c>
      <c r="BQ8" s="263">
        <v>2385480</v>
      </c>
      <c r="BR8" s="263">
        <v>1629110</v>
      </c>
      <c r="BS8" s="263">
        <v>1685050</v>
      </c>
      <c r="BT8" s="263">
        <v>572880</v>
      </c>
      <c r="BU8" s="263">
        <v>657654</v>
      </c>
      <c r="BV8" s="263">
        <v>2265565</v>
      </c>
      <c r="BW8" s="263">
        <v>2407275</v>
      </c>
      <c r="BX8" s="263">
        <v>1643115</v>
      </c>
      <c r="BY8" s="263">
        <v>1697518</v>
      </c>
      <c r="BZ8" s="263">
        <v>579036</v>
      </c>
      <c r="CA8" s="263">
        <v>664831</v>
      </c>
      <c r="CB8" s="263">
        <v>2287949</v>
      </c>
      <c r="CC8" s="263">
        <v>2430257</v>
      </c>
      <c r="CD8" s="263">
        <v>1656414</v>
      </c>
      <c r="CE8" s="263">
        <v>1710122</v>
      </c>
      <c r="CF8" s="263">
        <v>586075</v>
      </c>
      <c r="CG8" s="263">
        <v>673102</v>
      </c>
      <c r="CH8" s="263">
        <v>2309779</v>
      </c>
      <c r="CI8" s="263">
        <v>2448159</v>
      </c>
      <c r="CJ8" s="263">
        <v>1669087</v>
      </c>
      <c r="CK8" s="263">
        <v>1720115</v>
      </c>
      <c r="CL8" s="263">
        <v>592661</v>
      </c>
      <c r="CM8" s="263">
        <v>678586</v>
      </c>
      <c r="CN8" s="263">
        <v>2322488</v>
      </c>
      <c r="CO8" s="263">
        <v>2462913</v>
      </c>
      <c r="CP8" s="263">
        <v>1674201</v>
      </c>
      <c r="CQ8" s="263">
        <v>1726884</v>
      </c>
      <c r="CR8" s="263">
        <v>598478</v>
      </c>
      <c r="CS8" s="263">
        <v>684665</v>
      </c>
    </row>
    <row r="9" spans="1:97">
      <c r="A9" s="191" t="s">
        <v>12</v>
      </c>
      <c r="B9" s="263">
        <v>315209</v>
      </c>
      <c r="C9" s="263">
        <v>289203</v>
      </c>
      <c r="D9" s="263">
        <v>241228</v>
      </c>
      <c r="E9" s="263">
        <v>215737</v>
      </c>
      <c r="F9" s="263">
        <v>13063</v>
      </c>
      <c r="G9" s="263">
        <v>11791</v>
      </c>
      <c r="H9" s="263">
        <v>316614</v>
      </c>
      <c r="I9" s="263">
        <v>291955</v>
      </c>
      <c r="J9" s="263">
        <v>240895</v>
      </c>
      <c r="K9" s="263">
        <v>216874</v>
      </c>
      <c r="L9" s="263">
        <v>12972</v>
      </c>
      <c r="M9" s="263">
        <v>11491</v>
      </c>
      <c r="N9" s="263">
        <v>318156</v>
      </c>
      <c r="O9" s="263">
        <v>294812</v>
      </c>
      <c r="P9" s="263">
        <v>240363</v>
      </c>
      <c r="Q9" s="263">
        <v>217545</v>
      </c>
      <c r="R9" s="263">
        <v>13341</v>
      </c>
      <c r="S9" s="263">
        <v>12011</v>
      </c>
      <c r="T9" s="263">
        <v>321423</v>
      </c>
      <c r="U9" s="263">
        <v>298509</v>
      </c>
      <c r="V9" s="263">
        <v>241625</v>
      </c>
      <c r="W9" s="263">
        <v>218931</v>
      </c>
      <c r="X9" s="263">
        <v>13747</v>
      </c>
      <c r="Y9" s="263">
        <v>12447</v>
      </c>
      <c r="Z9" s="263">
        <v>323513</v>
      </c>
      <c r="AA9" s="263">
        <v>301266</v>
      </c>
      <c r="AB9" s="263">
        <v>242016</v>
      </c>
      <c r="AC9" s="263">
        <v>220036</v>
      </c>
      <c r="AD9" s="263">
        <v>13900</v>
      </c>
      <c r="AE9" s="263">
        <v>12710</v>
      </c>
      <c r="AF9" s="263">
        <v>324750</v>
      </c>
      <c r="AG9" s="263">
        <v>303213</v>
      </c>
      <c r="AH9" s="263">
        <v>241212</v>
      </c>
      <c r="AI9" s="263">
        <v>219884</v>
      </c>
      <c r="AJ9" s="263">
        <v>13979</v>
      </c>
      <c r="AK9" s="263">
        <v>12728</v>
      </c>
      <c r="AL9" s="263">
        <v>328135</v>
      </c>
      <c r="AM9" s="263">
        <v>305579</v>
      </c>
      <c r="AN9" s="263">
        <v>243010</v>
      </c>
      <c r="AO9" s="263">
        <v>220808</v>
      </c>
      <c r="AP9" s="263">
        <v>14442</v>
      </c>
      <c r="AQ9" s="263">
        <v>12905</v>
      </c>
      <c r="AR9" s="263">
        <v>332704</v>
      </c>
      <c r="AS9" s="263">
        <v>309633</v>
      </c>
      <c r="AT9" s="263">
        <v>245728</v>
      </c>
      <c r="AU9" s="263">
        <v>222980</v>
      </c>
      <c r="AV9" s="263">
        <v>14871</v>
      </c>
      <c r="AW9" s="263">
        <v>13286</v>
      </c>
      <c r="AX9" s="263">
        <v>335380</v>
      </c>
      <c r="AY9" s="263">
        <v>313034</v>
      </c>
      <c r="AZ9" s="263">
        <v>246827</v>
      </c>
      <c r="BA9" s="263">
        <v>224714</v>
      </c>
      <c r="BB9" s="263">
        <v>14778</v>
      </c>
      <c r="BC9" s="263">
        <v>13418</v>
      </c>
      <c r="BD9" s="263">
        <v>341479</v>
      </c>
      <c r="BE9" s="263">
        <v>317807</v>
      </c>
      <c r="BF9" s="263">
        <v>250719</v>
      </c>
      <c r="BG9" s="263">
        <v>227747</v>
      </c>
      <c r="BH9" s="263">
        <v>15144</v>
      </c>
      <c r="BI9" s="263">
        <v>13519</v>
      </c>
      <c r="BJ9" s="263">
        <v>346026</v>
      </c>
      <c r="BK9" s="263">
        <v>320920</v>
      </c>
      <c r="BL9" s="263">
        <v>253360</v>
      </c>
      <c r="BM9" s="263">
        <v>229332</v>
      </c>
      <c r="BN9" s="263">
        <v>15369</v>
      </c>
      <c r="BO9" s="263">
        <v>13402</v>
      </c>
      <c r="BP9" s="263">
        <v>350181</v>
      </c>
      <c r="BQ9" s="263">
        <v>325121</v>
      </c>
      <c r="BR9" s="263">
        <v>256051</v>
      </c>
      <c r="BS9" s="263">
        <v>231903</v>
      </c>
      <c r="BT9" s="263">
        <v>15466</v>
      </c>
      <c r="BU9" s="263">
        <v>13612</v>
      </c>
      <c r="BV9" s="263">
        <v>353162</v>
      </c>
      <c r="BW9" s="263">
        <v>327138</v>
      </c>
      <c r="BX9" s="263">
        <v>257707</v>
      </c>
      <c r="BY9" s="263">
        <v>232706</v>
      </c>
      <c r="BZ9" s="263">
        <v>15857</v>
      </c>
      <c r="CA9" s="263">
        <v>13735</v>
      </c>
      <c r="CB9" s="263">
        <v>358043</v>
      </c>
      <c r="CC9" s="263">
        <v>329412</v>
      </c>
      <c r="CD9" s="263">
        <v>260411</v>
      </c>
      <c r="CE9" s="263">
        <v>233554</v>
      </c>
      <c r="CF9" s="263">
        <v>16304</v>
      </c>
      <c r="CG9" s="263">
        <v>13771</v>
      </c>
      <c r="CH9" s="263">
        <v>361893</v>
      </c>
      <c r="CI9" s="263">
        <v>337002</v>
      </c>
      <c r="CJ9" s="263">
        <v>261942</v>
      </c>
      <c r="CK9" s="263">
        <v>237925</v>
      </c>
      <c r="CL9" s="263">
        <v>16271</v>
      </c>
      <c r="CM9" s="263">
        <v>14302</v>
      </c>
      <c r="CN9" s="263">
        <v>371569</v>
      </c>
      <c r="CO9" s="263">
        <v>342577</v>
      </c>
      <c r="CP9" s="263">
        <v>268492</v>
      </c>
      <c r="CQ9" s="263">
        <v>241296</v>
      </c>
      <c r="CR9" s="263">
        <v>17207</v>
      </c>
      <c r="CS9" s="263">
        <v>14538</v>
      </c>
    </row>
    <row r="10" spans="1:97">
      <c r="A10" s="191" t="s">
        <v>13</v>
      </c>
      <c r="B10" s="263">
        <v>2200659</v>
      </c>
      <c r="C10" s="263">
        <v>2231840</v>
      </c>
      <c r="D10" s="263">
        <v>1957485</v>
      </c>
      <c r="E10" s="263">
        <v>1984303</v>
      </c>
      <c r="F10" s="263">
        <v>77955</v>
      </c>
      <c r="G10" s="263">
        <v>72469</v>
      </c>
      <c r="H10" s="263">
        <v>2280058</v>
      </c>
      <c r="I10" s="263">
        <v>2306882</v>
      </c>
      <c r="J10" s="263">
        <v>2026609</v>
      </c>
      <c r="K10" s="263">
        <v>2049348</v>
      </c>
      <c r="L10" s="263">
        <v>81961</v>
      </c>
      <c r="M10" s="263">
        <v>75907</v>
      </c>
      <c r="N10" s="263">
        <v>2357403</v>
      </c>
      <c r="O10" s="263">
        <v>2379587</v>
      </c>
      <c r="P10" s="263">
        <v>2095145</v>
      </c>
      <c r="Q10" s="263">
        <v>2112672</v>
      </c>
      <c r="R10" s="263">
        <v>85452</v>
      </c>
      <c r="S10" s="263">
        <v>78993</v>
      </c>
      <c r="T10" s="263">
        <v>2432754</v>
      </c>
      <c r="U10" s="263">
        <v>2450588</v>
      </c>
      <c r="V10" s="263">
        <v>2161465</v>
      </c>
      <c r="W10" s="263">
        <v>2176043</v>
      </c>
      <c r="X10" s="263">
        <v>89380</v>
      </c>
      <c r="Y10" s="263">
        <v>82060</v>
      </c>
      <c r="Z10" s="263">
        <v>2505524</v>
      </c>
      <c r="AA10" s="263">
        <v>2518299</v>
      </c>
      <c r="AB10" s="263">
        <v>2225387</v>
      </c>
      <c r="AC10" s="263">
        <v>2235195</v>
      </c>
      <c r="AD10" s="263">
        <v>92706</v>
      </c>
      <c r="AE10" s="263">
        <v>84913</v>
      </c>
      <c r="AF10" s="263">
        <v>2576007</v>
      </c>
      <c r="AG10" s="263">
        <v>2584579</v>
      </c>
      <c r="AH10" s="263">
        <v>2286610</v>
      </c>
      <c r="AI10" s="263">
        <v>2292305</v>
      </c>
      <c r="AJ10" s="263">
        <v>96657</v>
      </c>
      <c r="AK10" s="263">
        <v>88186</v>
      </c>
      <c r="AL10" s="263">
        <v>2631801</v>
      </c>
      <c r="AM10" s="263">
        <v>2641676</v>
      </c>
      <c r="AN10" s="263">
        <v>2331036</v>
      </c>
      <c r="AO10" s="263">
        <v>2338263</v>
      </c>
      <c r="AP10" s="263">
        <v>101524</v>
      </c>
      <c r="AQ10" s="263">
        <v>92677</v>
      </c>
      <c r="AR10" s="263">
        <v>2692038</v>
      </c>
      <c r="AS10" s="263">
        <v>2704217</v>
      </c>
      <c r="AT10" s="263">
        <v>2378350</v>
      </c>
      <c r="AU10" s="263">
        <v>2387929</v>
      </c>
      <c r="AV10" s="263">
        <v>106719</v>
      </c>
      <c r="AW10" s="263">
        <v>97457</v>
      </c>
      <c r="AX10" s="263">
        <v>2746287</v>
      </c>
      <c r="AY10" s="263">
        <v>2764077</v>
      </c>
      <c r="AZ10" s="263">
        <v>2419988</v>
      </c>
      <c r="BA10" s="263">
        <v>2434530</v>
      </c>
      <c r="BB10" s="263">
        <v>111521</v>
      </c>
      <c r="BC10" s="263">
        <v>102472</v>
      </c>
      <c r="BD10" s="263">
        <v>2816798</v>
      </c>
      <c r="BE10" s="263">
        <v>2835606</v>
      </c>
      <c r="BF10" s="263">
        <v>2474943</v>
      </c>
      <c r="BG10" s="263">
        <v>2490861</v>
      </c>
      <c r="BH10" s="263">
        <v>118344</v>
      </c>
      <c r="BI10" s="263">
        <v>108612</v>
      </c>
      <c r="BJ10" s="263">
        <v>2908266</v>
      </c>
      <c r="BK10" s="263">
        <v>2930811</v>
      </c>
      <c r="BL10" s="263">
        <v>2546316</v>
      </c>
      <c r="BM10" s="263">
        <v>2565676</v>
      </c>
      <c r="BN10" s="263">
        <v>126665</v>
      </c>
      <c r="BO10" s="263">
        <v>116409</v>
      </c>
      <c r="BP10" s="263">
        <v>3003007</v>
      </c>
      <c r="BQ10" s="263">
        <v>3026134</v>
      </c>
      <c r="BR10" s="263">
        <v>2617740</v>
      </c>
      <c r="BS10" s="263">
        <v>2637738</v>
      </c>
      <c r="BT10" s="263">
        <v>136589</v>
      </c>
      <c r="BU10" s="263">
        <v>125561</v>
      </c>
      <c r="BV10" s="263">
        <v>3070683</v>
      </c>
      <c r="BW10" s="263">
        <v>3096998</v>
      </c>
      <c r="BX10" s="263">
        <v>2665511</v>
      </c>
      <c r="BY10" s="263">
        <v>2688894</v>
      </c>
      <c r="BZ10" s="263">
        <v>145010</v>
      </c>
      <c r="CA10" s="263">
        <v>133527</v>
      </c>
      <c r="CB10" s="263">
        <v>3125084</v>
      </c>
      <c r="CC10" s="263">
        <v>3155278</v>
      </c>
      <c r="CD10" s="263">
        <v>2701226</v>
      </c>
      <c r="CE10" s="263">
        <v>2728728</v>
      </c>
      <c r="CF10" s="263">
        <v>153329</v>
      </c>
      <c r="CG10" s="263">
        <v>141288</v>
      </c>
      <c r="CH10" s="263">
        <v>3153246</v>
      </c>
      <c r="CI10" s="263">
        <v>3189908</v>
      </c>
      <c r="CJ10" s="263">
        <v>2715119</v>
      </c>
      <c r="CK10" s="263">
        <v>2748928</v>
      </c>
      <c r="CL10" s="263">
        <v>160123</v>
      </c>
      <c r="CM10" s="263">
        <v>147897</v>
      </c>
      <c r="CN10" s="263">
        <v>3186528</v>
      </c>
      <c r="CO10" s="263">
        <v>3226630</v>
      </c>
      <c r="CP10" s="263">
        <v>2736863</v>
      </c>
      <c r="CQ10" s="263">
        <v>2774090</v>
      </c>
      <c r="CR10" s="263">
        <v>164874</v>
      </c>
      <c r="CS10" s="263">
        <v>152472</v>
      </c>
    </row>
    <row r="11" spans="1:97">
      <c r="A11" s="191" t="s">
        <v>15</v>
      </c>
      <c r="B11" s="263">
        <v>1228626</v>
      </c>
      <c r="C11" s="263">
        <v>1306773</v>
      </c>
      <c r="D11" s="263">
        <v>1024618</v>
      </c>
      <c r="E11" s="263">
        <v>1074863</v>
      </c>
      <c r="F11" s="263">
        <v>189107</v>
      </c>
      <c r="G11" s="263">
        <v>215520</v>
      </c>
      <c r="H11" s="263">
        <v>1248406</v>
      </c>
      <c r="I11" s="263">
        <v>1323703</v>
      </c>
      <c r="J11" s="263">
        <v>1039552</v>
      </c>
      <c r="K11" s="263">
        <v>1087518</v>
      </c>
      <c r="L11" s="263">
        <v>192760</v>
      </c>
      <c r="M11" s="263">
        <v>218690</v>
      </c>
      <c r="N11" s="263">
        <v>1263936</v>
      </c>
      <c r="O11" s="263">
        <v>1337154</v>
      </c>
      <c r="P11" s="263">
        <v>1051586</v>
      </c>
      <c r="Q11" s="263">
        <v>1097570</v>
      </c>
      <c r="R11" s="263">
        <v>195240</v>
      </c>
      <c r="S11" s="263">
        <v>221051</v>
      </c>
      <c r="T11" s="263">
        <v>1277869</v>
      </c>
      <c r="U11" s="263">
        <v>1348420</v>
      </c>
      <c r="V11" s="263">
        <v>1062455</v>
      </c>
      <c r="W11" s="263">
        <v>1105664</v>
      </c>
      <c r="X11" s="263">
        <v>197552</v>
      </c>
      <c r="Y11" s="263">
        <v>223228</v>
      </c>
      <c r="Z11" s="263">
        <v>1292415</v>
      </c>
      <c r="AA11" s="263">
        <v>1359445</v>
      </c>
      <c r="AB11" s="263">
        <v>1073571</v>
      </c>
      <c r="AC11" s="263">
        <v>1114373</v>
      </c>
      <c r="AD11" s="263">
        <v>199799</v>
      </c>
      <c r="AE11" s="263">
        <v>224639</v>
      </c>
      <c r="AF11" s="263">
        <v>1307573</v>
      </c>
      <c r="AG11" s="263">
        <v>1371015</v>
      </c>
      <c r="AH11" s="263">
        <v>1084495</v>
      </c>
      <c r="AI11" s="263">
        <v>1122258</v>
      </c>
      <c r="AJ11" s="263">
        <v>201462</v>
      </c>
      <c r="AK11" s="263">
        <v>225797</v>
      </c>
      <c r="AL11" s="263">
        <v>1314726</v>
      </c>
      <c r="AM11" s="263">
        <v>1376845</v>
      </c>
      <c r="AN11" s="263">
        <v>1089018</v>
      </c>
      <c r="AO11" s="263">
        <v>1125638</v>
      </c>
      <c r="AP11" s="263">
        <v>202944</v>
      </c>
      <c r="AQ11" s="263">
        <v>226985</v>
      </c>
      <c r="AR11" s="263">
        <v>1322688</v>
      </c>
      <c r="AS11" s="263">
        <v>1383239</v>
      </c>
      <c r="AT11" s="263">
        <v>1094352</v>
      </c>
      <c r="AU11" s="263">
        <v>1129765</v>
      </c>
      <c r="AV11" s="263">
        <v>204372</v>
      </c>
      <c r="AW11" s="263">
        <v>227958</v>
      </c>
      <c r="AX11" s="263">
        <v>1333293</v>
      </c>
      <c r="AY11" s="263">
        <v>1391523</v>
      </c>
      <c r="AZ11" s="263">
        <v>1101895</v>
      </c>
      <c r="BA11" s="263">
        <v>1135532</v>
      </c>
      <c r="BB11" s="263">
        <v>205988</v>
      </c>
      <c r="BC11" s="263">
        <v>229037</v>
      </c>
      <c r="BD11" s="263">
        <v>1346638</v>
      </c>
      <c r="BE11" s="263">
        <v>1403048</v>
      </c>
      <c r="BF11" s="263">
        <v>1111849</v>
      </c>
      <c r="BG11" s="263">
        <v>1143496</v>
      </c>
      <c r="BH11" s="263">
        <v>207731</v>
      </c>
      <c r="BI11" s="263">
        <v>230981</v>
      </c>
      <c r="BJ11" s="263">
        <v>1362802</v>
      </c>
      <c r="BK11" s="263">
        <v>1418295</v>
      </c>
      <c r="BL11" s="263">
        <v>1123888</v>
      </c>
      <c r="BM11" s="263">
        <v>1155109</v>
      </c>
      <c r="BN11" s="263">
        <v>209922</v>
      </c>
      <c r="BO11" s="263">
        <v>232752</v>
      </c>
      <c r="BP11" s="263">
        <v>1383333</v>
      </c>
      <c r="BQ11" s="263">
        <v>1438428</v>
      </c>
      <c r="BR11" s="263">
        <v>1139123</v>
      </c>
      <c r="BS11" s="263">
        <v>1169326</v>
      </c>
      <c r="BT11" s="263">
        <v>213691</v>
      </c>
      <c r="BU11" s="263">
        <v>236691</v>
      </c>
      <c r="BV11" s="263">
        <v>1397292</v>
      </c>
      <c r="BW11" s="263">
        <v>1451358</v>
      </c>
      <c r="BX11" s="263">
        <v>1149772</v>
      </c>
      <c r="BY11" s="263">
        <v>1179180</v>
      </c>
      <c r="BZ11" s="263">
        <v>215316</v>
      </c>
      <c r="CA11" s="263">
        <v>238117</v>
      </c>
      <c r="CB11" s="263">
        <v>1410334</v>
      </c>
      <c r="CC11" s="263">
        <v>1464220</v>
      </c>
      <c r="CD11" s="263">
        <v>1158925</v>
      </c>
      <c r="CE11" s="263">
        <v>1187921</v>
      </c>
      <c r="CF11" s="263">
        <v>217674</v>
      </c>
      <c r="CG11" s="263">
        <v>240701</v>
      </c>
      <c r="CH11" s="263">
        <v>1421830</v>
      </c>
      <c r="CI11" s="263">
        <v>1475013</v>
      </c>
      <c r="CJ11" s="263">
        <v>1166316</v>
      </c>
      <c r="CK11" s="263">
        <v>1195266</v>
      </c>
      <c r="CL11" s="263">
        <v>219939</v>
      </c>
      <c r="CM11" s="263">
        <v>242268</v>
      </c>
      <c r="CN11" s="263">
        <v>1434619</v>
      </c>
      <c r="CO11" s="263">
        <v>1486969</v>
      </c>
      <c r="CP11" s="263">
        <v>1174454</v>
      </c>
      <c r="CQ11" s="263">
        <v>1202791</v>
      </c>
      <c r="CR11" s="263">
        <v>222744</v>
      </c>
      <c r="CS11" s="263">
        <v>245011</v>
      </c>
    </row>
    <row r="12" spans="1:97">
      <c r="A12" s="191" t="s">
        <v>18</v>
      </c>
      <c r="B12" s="263">
        <v>15828381</v>
      </c>
      <c r="C12" s="263">
        <v>15868201</v>
      </c>
      <c r="D12" s="263">
        <v>12702578</v>
      </c>
      <c r="E12" s="263">
        <v>12595432</v>
      </c>
      <c r="F12" s="263">
        <v>1190468</v>
      </c>
      <c r="G12" s="263">
        <v>1228166</v>
      </c>
      <c r="H12" s="263">
        <v>15980592</v>
      </c>
      <c r="I12" s="263">
        <v>16038242</v>
      </c>
      <c r="J12" s="263">
        <v>12793592</v>
      </c>
      <c r="K12" s="263">
        <v>12690865</v>
      </c>
      <c r="L12" s="263">
        <v>1197412</v>
      </c>
      <c r="M12" s="263">
        <v>1237485</v>
      </c>
      <c r="N12" s="263">
        <v>16204891</v>
      </c>
      <c r="O12" s="263">
        <v>16281119</v>
      </c>
      <c r="P12" s="263">
        <v>12946925</v>
      </c>
      <c r="Q12" s="263">
        <v>12848152</v>
      </c>
      <c r="R12" s="263">
        <v>1206551</v>
      </c>
      <c r="S12" s="263">
        <v>1248857</v>
      </c>
      <c r="T12" s="263">
        <v>16455412</v>
      </c>
      <c r="U12" s="263">
        <v>16532263</v>
      </c>
      <c r="V12" s="263">
        <v>13124408</v>
      </c>
      <c r="W12" s="263">
        <v>13017282</v>
      </c>
      <c r="X12" s="263">
        <v>1217671</v>
      </c>
      <c r="Y12" s="263">
        <v>1260010</v>
      </c>
      <c r="Z12" s="263">
        <v>16699043</v>
      </c>
      <c r="AA12" s="263">
        <v>16800161</v>
      </c>
      <c r="AB12" s="263">
        <v>13289192</v>
      </c>
      <c r="AC12" s="263">
        <v>13203242</v>
      </c>
      <c r="AD12" s="263">
        <v>1228282</v>
      </c>
      <c r="AE12" s="263">
        <v>1274187</v>
      </c>
      <c r="AF12" s="263">
        <v>16937562</v>
      </c>
      <c r="AG12" s="263">
        <v>17050415</v>
      </c>
      <c r="AH12" s="263">
        <v>13444200</v>
      </c>
      <c r="AI12" s="263">
        <v>13367420</v>
      </c>
      <c r="AJ12" s="263">
        <v>1238245</v>
      </c>
      <c r="AK12" s="263">
        <v>1285547</v>
      </c>
      <c r="AL12" s="263">
        <v>17185235</v>
      </c>
      <c r="AM12" s="263">
        <v>17294223</v>
      </c>
      <c r="AN12" s="263">
        <v>13592819</v>
      </c>
      <c r="AO12" s="263">
        <v>13505365</v>
      </c>
      <c r="AP12" s="263">
        <v>1251049</v>
      </c>
      <c r="AQ12" s="263">
        <v>1296780</v>
      </c>
      <c r="AR12" s="263">
        <v>17373381</v>
      </c>
      <c r="AS12" s="263">
        <v>17498462</v>
      </c>
      <c r="AT12" s="263">
        <v>13697250</v>
      </c>
      <c r="AU12" s="263">
        <v>13611768</v>
      </c>
      <c r="AV12" s="263">
        <v>1260806</v>
      </c>
      <c r="AW12" s="263">
        <v>1306520</v>
      </c>
      <c r="AX12" s="263">
        <v>17543650</v>
      </c>
      <c r="AY12" s="263">
        <v>17709509</v>
      </c>
      <c r="AZ12" s="263">
        <v>13786662</v>
      </c>
      <c r="BA12" s="263">
        <v>13724880</v>
      </c>
      <c r="BB12" s="263">
        <v>1268907</v>
      </c>
      <c r="BC12" s="263">
        <v>1316660</v>
      </c>
      <c r="BD12" s="263">
        <v>17703161</v>
      </c>
      <c r="BE12" s="263">
        <v>17871415</v>
      </c>
      <c r="BF12" s="263">
        <v>13866357</v>
      </c>
      <c r="BG12" s="263">
        <v>13797310</v>
      </c>
      <c r="BH12" s="263">
        <v>1278594</v>
      </c>
      <c r="BI12" s="263">
        <v>1324558</v>
      </c>
      <c r="BJ12" s="263">
        <v>17831713</v>
      </c>
      <c r="BK12" s="263">
        <v>17996230</v>
      </c>
      <c r="BL12" s="263">
        <v>13913945</v>
      </c>
      <c r="BM12" s="263">
        <v>13832450</v>
      </c>
      <c r="BN12" s="263">
        <v>1286444</v>
      </c>
      <c r="BO12" s="263">
        <v>1328963</v>
      </c>
      <c r="BP12" s="263">
        <v>17923731</v>
      </c>
      <c r="BQ12" s="263">
        <v>18097471</v>
      </c>
      <c r="BR12" s="263">
        <v>13927575</v>
      </c>
      <c r="BS12" s="263">
        <v>13846008</v>
      </c>
      <c r="BT12" s="263">
        <v>1293213</v>
      </c>
      <c r="BU12" s="263">
        <v>1333724</v>
      </c>
      <c r="BV12" s="263">
        <v>18035385</v>
      </c>
      <c r="BW12" s="263">
        <v>18214926</v>
      </c>
      <c r="BX12" s="263">
        <v>13957514</v>
      </c>
      <c r="BY12" s="263">
        <v>13874822</v>
      </c>
      <c r="BZ12" s="263">
        <v>1301121</v>
      </c>
      <c r="CA12" s="263">
        <v>1338248</v>
      </c>
      <c r="CB12" s="263">
        <v>18207365</v>
      </c>
      <c r="CC12" s="263">
        <v>18396972</v>
      </c>
      <c r="CD12" s="263">
        <v>14035802</v>
      </c>
      <c r="CE12" s="263">
        <v>13954544</v>
      </c>
      <c r="CF12" s="263">
        <v>1313789</v>
      </c>
      <c r="CG12" s="263">
        <v>1348565</v>
      </c>
      <c r="CH12" s="263">
        <v>18378154</v>
      </c>
      <c r="CI12" s="263">
        <v>18583075</v>
      </c>
      <c r="CJ12" s="263">
        <v>14111915</v>
      </c>
      <c r="CK12" s="263">
        <v>14035595</v>
      </c>
      <c r="CL12" s="263">
        <v>1328571</v>
      </c>
      <c r="CM12" s="263">
        <v>1363153</v>
      </c>
      <c r="CN12" s="263">
        <v>18561458</v>
      </c>
      <c r="CO12" s="263">
        <v>18776740</v>
      </c>
      <c r="CP12" s="263">
        <v>14202283</v>
      </c>
      <c r="CQ12" s="263">
        <v>14127946</v>
      </c>
      <c r="CR12" s="263">
        <v>1345820</v>
      </c>
      <c r="CS12" s="263">
        <v>1379530</v>
      </c>
    </row>
    <row r="13" spans="1:97">
      <c r="A13" s="191" t="s">
        <v>19</v>
      </c>
      <c r="B13" s="263">
        <v>3044170</v>
      </c>
      <c r="C13" s="263">
        <v>3057113</v>
      </c>
      <c r="D13" s="263">
        <v>2198846</v>
      </c>
      <c r="E13" s="263">
        <v>2171723</v>
      </c>
      <c r="F13" s="263">
        <v>253117</v>
      </c>
      <c r="G13" s="263">
        <v>263000</v>
      </c>
      <c r="H13" s="263">
        <v>3082830</v>
      </c>
      <c r="I13" s="263">
        <v>3096625</v>
      </c>
      <c r="J13" s="263">
        <v>2216332</v>
      </c>
      <c r="K13" s="263">
        <v>2186238</v>
      </c>
      <c r="L13" s="263">
        <v>251964</v>
      </c>
      <c r="M13" s="263">
        <v>262718</v>
      </c>
      <c r="N13" s="263">
        <v>3139539</v>
      </c>
      <c r="O13" s="263">
        <v>3152414</v>
      </c>
      <c r="P13" s="263">
        <v>2248089</v>
      </c>
      <c r="Q13" s="263">
        <v>2213283</v>
      </c>
      <c r="R13" s="263">
        <v>252460</v>
      </c>
      <c r="S13" s="263">
        <v>263433</v>
      </c>
      <c r="T13" s="263">
        <v>3191611</v>
      </c>
      <c r="U13" s="263">
        <v>3200383</v>
      </c>
      <c r="V13" s="263">
        <v>2278021</v>
      </c>
      <c r="W13" s="263">
        <v>2236459</v>
      </c>
      <c r="X13" s="263">
        <v>252084</v>
      </c>
      <c r="Y13" s="263">
        <v>263321</v>
      </c>
      <c r="Z13" s="263">
        <v>3227150</v>
      </c>
      <c r="AA13" s="263">
        <v>3235369</v>
      </c>
      <c r="AB13" s="263">
        <v>2293360</v>
      </c>
      <c r="AC13" s="263">
        <v>2251550</v>
      </c>
      <c r="AD13" s="263">
        <v>250233</v>
      </c>
      <c r="AE13" s="263">
        <v>262499</v>
      </c>
      <c r="AF13" s="263">
        <v>3263942</v>
      </c>
      <c r="AG13" s="263">
        <v>3269486</v>
      </c>
      <c r="AH13" s="263">
        <v>2307356</v>
      </c>
      <c r="AI13" s="263">
        <v>2263098</v>
      </c>
      <c r="AJ13" s="263">
        <v>249419</v>
      </c>
      <c r="AK13" s="263">
        <v>262298</v>
      </c>
      <c r="AL13" s="263">
        <v>3289339</v>
      </c>
      <c r="AM13" s="263">
        <v>3291302</v>
      </c>
      <c r="AN13" s="263">
        <v>2302267</v>
      </c>
      <c r="AO13" s="263">
        <v>2254472</v>
      </c>
      <c r="AP13" s="263">
        <v>247362</v>
      </c>
      <c r="AQ13" s="263">
        <v>260098</v>
      </c>
      <c r="AR13" s="263">
        <v>3268835</v>
      </c>
      <c r="AS13" s="263">
        <v>3277621</v>
      </c>
      <c r="AT13" s="263">
        <v>2269121</v>
      </c>
      <c r="AU13" s="263">
        <v>2223655</v>
      </c>
      <c r="AV13" s="263">
        <v>243661</v>
      </c>
      <c r="AW13" s="263">
        <v>256267</v>
      </c>
      <c r="AX13" s="263">
        <v>3254514</v>
      </c>
      <c r="AY13" s="263">
        <v>3272987</v>
      </c>
      <c r="AZ13" s="263">
        <v>2243692</v>
      </c>
      <c r="BA13" s="263">
        <v>2202445</v>
      </c>
      <c r="BB13" s="263">
        <v>240782</v>
      </c>
      <c r="BC13" s="263">
        <v>253285</v>
      </c>
      <c r="BD13" s="263">
        <v>3243705</v>
      </c>
      <c r="BE13" s="263">
        <v>3268798</v>
      </c>
      <c r="BF13" s="263">
        <v>2222824</v>
      </c>
      <c r="BG13" s="263">
        <v>2183293</v>
      </c>
      <c r="BH13" s="263">
        <v>238032</v>
      </c>
      <c r="BI13" s="263">
        <v>250707</v>
      </c>
      <c r="BJ13" s="263">
        <v>3247643</v>
      </c>
      <c r="BK13" s="263">
        <v>3276690</v>
      </c>
      <c r="BL13" s="263">
        <v>2211264</v>
      </c>
      <c r="BM13" s="263">
        <v>2171512</v>
      </c>
      <c r="BN13" s="263">
        <v>236727</v>
      </c>
      <c r="BO13" s="263">
        <v>248903</v>
      </c>
      <c r="BP13" s="263">
        <v>3256538</v>
      </c>
      <c r="BQ13" s="263">
        <v>3290916</v>
      </c>
      <c r="BR13" s="263">
        <v>2202194</v>
      </c>
      <c r="BS13" s="263">
        <v>2164005</v>
      </c>
      <c r="BT13" s="263">
        <v>236441</v>
      </c>
      <c r="BU13" s="263">
        <v>248317</v>
      </c>
      <c r="BV13" s="263">
        <v>3284416</v>
      </c>
      <c r="BW13" s="263">
        <v>3320999</v>
      </c>
      <c r="BX13" s="263">
        <v>2207334</v>
      </c>
      <c r="BY13" s="263">
        <v>2167774</v>
      </c>
      <c r="BZ13" s="263">
        <v>237207</v>
      </c>
      <c r="CA13" s="263">
        <v>248656</v>
      </c>
      <c r="CB13" s="263">
        <v>3331457</v>
      </c>
      <c r="CC13" s="263">
        <v>3370248</v>
      </c>
      <c r="CD13" s="263">
        <v>2224714</v>
      </c>
      <c r="CE13" s="263">
        <v>2184838</v>
      </c>
      <c r="CF13" s="263">
        <v>239859</v>
      </c>
      <c r="CG13" s="263">
        <v>250269</v>
      </c>
      <c r="CH13" s="263">
        <v>3376072</v>
      </c>
      <c r="CI13" s="263">
        <v>3416603</v>
      </c>
      <c r="CJ13" s="263">
        <v>2241774</v>
      </c>
      <c r="CK13" s="263">
        <v>2199898</v>
      </c>
      <c r="CL13" s="263">
        <v>242919</v>
      </c>
      <c r="CM13" s="263">
        <v>253456</v>
      </c>
      <c r="CN13" s="263">
        <v>3410957</v>
      </c>
      <c r="CO13" s="263">
        <v>3453457</v>
      </c>
      <c r="CP13" s="263">
        <v>2252683</v>
      </c>
      <c r="CQ13" s="263">
        <v>2209586</v>
      </c>
      <c r="CR13" s="263">
        <v>245882</v>
      </c>
      <c r="CS13" s="263">
        <v>256131</v>
      </c>
    </row>
    <row r="14" spans="1:97" s="262" customFormat="1">
      <c r="A14" s="191" t="s">
        <v>336</v>
      </c>
      <c r="B14" s="263">
        <v>8271379</v>
      </c>
      <c r="C14" s="263">
        <v>8234905</v>
      </c>
      <c r="D14" s="263">
        <v>7063943</v>
      </c>
      <c r="E14" s="263">
        <v>7020680</v>
      </c>
      <c r="F14" s="263">
        <v>454780</v>
      </c>
      <c r="G14" s="263">
        <v>421927</v>
      </c>
      <c r="H14" s="263">
        <v>8371459</v>
      </c>
      <c r="I14" s="263">
        <v>8340878</v>
      </c>
      <c r="J14" s="263">
        <v>7129769</v>
      </c>
      <c r="K14" s="263">
        <v>7088535</v>
      </c>
      <c r="L14" s="263">
        <v>466432</v>
      </c>
      <c r="M14" s="263">
        <v>433598</v>
      </c>
      <c r="N14" s="263">
        <v>8504702</v>
      </c>
      <c r="O14" s="263">
        <v>8482817</v>
      </c>
      <c r="P14" s="263">
        <v>7226787</v>
      </c>
      <c r="Q14" s="263">
        <v>7189313</v>
      </c>
      <c r="R14" s="263">
        <v>477461</v>
      </c>
      <c r="S14" s="263">
        <v>445165</v>
      </c>
      <c r="T14" s="263">
        <v>8652134</v>
      </c>
      <c r="U14" s="263">
        <v>8629958</v>
      </c>
      <c r="V14" s="263">
        <v>7336059</v>
      </c>
      <c r="W14" s="263">
        <v>7295615</v>
      </c>
      <c r="X14" s="263">
        <v>489877</v>
      </c>
      <c r="Y14" s="263">
        <v>456970</v>
      </c>
      <c r="Z14" s="263">
        <v>8804506</v>
      </c>
      <c r="AA14" s="263">
        <v>8794889</v>
      </c>
      <c r="AB14" s="263">
        <v>7445677</v>
      </c>
      <c r="AC14" s="263">
        <v>7417262</v>
      </c>
      <c r="AD14" s="263">
        <v>503346</v>
      </c>
      <c r="AE14" s="263">
        <v>471016</v>
      </c>
      <c r="AF14" s="263">
        <v>8958885</v>
      </c>
      <c r="AG14" s="263">
        <v>8957473</v>
      </c>
      <c r="AH14" s="263">
        <v>7554634</v>
      </c>
      <c r="AI14" s="263">
        <v>7532502</v>
      </c>
      <c r="AJ14" s="263">
        <v>515759</v>
      </c>
      <c r="AK14" s="263">
        <v>484518</v>
      </c>
      <c r="AL14" s="263">
        <v>9139276</v>
      </c>
      <c r="AM14" s="263">
        <v>9133507</v>
      </c>
      <c r="AN14" s="263">
        <v>7681770</v>
      </c>
      <c r="AO14" s="263">
        <v>7651004</v>
      </c>
      <c r="AP14" s="263">
        <v>529816</v>
      </c>
      <c r="AQ14" s="263">
        <v>497876</v>
      </c>
      <c r="AR14" s="263">
        <v>9310647</v>
      </c>
      <c r="AS14" s="263">
        <v>9308827</v>
      </c>
      <c r="AT14" s="263">
        <v>7798659</v>
      </c>
      <c r="AU14" s="263">
        <v>7765330</v>
      </c>
      <c r="AV14" s="263">
        <v>542500</v>
      </c>
      <c r="AW14" s="263">
        <v>511380</v>
      </c>
      <c r="AX14" s="263">
        <v>9468223</v>
      </c>
      <c r="AY14" s="263">
        <v>9490290</v>
      </c>
      <c r="AZ14" s="263">
        <v>7901102</v>
      </c>
      <c r="BA14" s="263">
        <v>7884080</v>
      </c>
      <c r="BB14" s="263">
        <v>554459</v>
      </c>
      <c r="BC14" s="263">
        <v>525426</v>
      </c>
      <c r="BD14" s="263">
        <v>9626841</v>
      </c>
      <c r="BE14" s="263">
        <v>9641969</v>
      </c>
      <c r="BF14" s="263">
        <v>8000991</v>
      </c>
      <c r="BG14" s="263">
        <v>7974575</v>
      </c>
      <c r="BH14" s="263">
        <v>568811</v>
      </c>
      <c r="BI14" s="263">
        <v>538650</v>
      </c>
      <c r="BJ14" s="263">
        <v>9755064</v>
      </c>
      <c r="BK14" s="263">
        <v>9762173</v>
      </c>
      <c r="BL14" s="263">
        <v>8072577</v>
      </c>
      <c r="BM14" s="263">
        <v>8035709</v>
      </c>
      <c r="BN14" s="263">
        <v>581513</v>
      </c>
      <c r="BO14" s="263">
        <v>549934</v>
      </c>
      <c r="BP14" s="263">
        <v>9864395</v>
      </c>
      <c r="BQ14" s="263">
        <v>9871398</v>
      </c>
      <c r="BR14" s="263">
        <v>8125478</v>
      </c>
      <c r="BS14" s="263">
        <v>8085551</v>
      </c>
      <c r="BT14" s="263">
        <v>594458</v>
      </c>
      <c r="BU14" s="263">
        <v>562144</v>
      </c>
      <c r="BV14" s="263">
        <v>9967017</v>
      </c>
      <c r="BW14" s="263">
        <v>9977520</v>
      </c>
      <c r="BX14" s="263">
        <v>8175477</v>
      </c>
      <c r="BY14" s="263">
        <v>8136352</v>
      </c>
      <c r="BZ14" s="263">
        <v>606499</v>
      </c>
      <c r="CA14" s="263">
        <v>572800</v>
      </c>
      <c r="CB14" s="263">
        <v>10075003</v>
      </c>
      <c r="CC14" s="263">
        <v>10092482</v>
      </c>
      <c r="CD14" s="263">
        <v>8231253</v>
      </c>
      <c r="CE14" s="263">
        <v>8194943</v>
      </c>
      <c r="CF14" s="263">
        <v>618623</v>
      </c>
      <c r="CG14" s="263">
        <v>584965</v>
      </c>
      <c r="CH14" s="263">
        <v>10175995</v>
      </c>
      <c r="CI14" s="263">
        <v>10205159</v>
      </c>
      <c r="CJ14" s="263">
        <v>8279094</v>
      </c>
      <c r="CK14" s="263">
        <v>8249840</v>
      </c>
      <c r="CL14" s="263">
        <v>629368</v>
      </c>
      <c r="CM14" s="263">
        <v>596594</v>
      </c>
      <c r="CN14" s="263">
        <v>10306293</v>
      </c>
      <c r="CO14" s="263">
        <v>10340718</v>
      </c>
      <c r="CP14" s="263">
        <v>8352761</v>
      </c>
      <c r="CQ14" s="263">
        <v>8324900</v>
      </c>
      <c r="CR14" s="263">
        <v>641306</v>
      </c>
      <c r="CS14" s="263">
        <v>609215</v>
      </c>
    </row>
    <row r="15" spans="1:97">
      <c r="A15" s="191" t="s">
        <v>21</v>
      </c>
      <c r="B15" s="263">
        <v>4512832</v>
      </c>
      <c r="C15" s="263">
        <v>4576183</v>
      </c>
      <c r="D15" s="263">
        <v>3439789</v>
      </c>
      <c r="E15" s="263">
        <v>3403029</v>
      </c>
      <c r="F15" s="263">
        <v>482571</v>
      </c>
      <c r="G15" s="263">
        <v>543239</v>
      </c>
      <c r="H15" s="263">
        <v>4526303</v>
      </c>
      <c r="I15" s="263">
        <v>4600739</v>
      </c>
      <c r="J15" s="263">
        <v>3447491</v>
      </c>
      <c r="K15" s="263">
        <v>3416092</v>
      </c>
      <c r="L15" s="263">
        <v>479016</v>
      </c>
      <c r="M15" s="263">
        <v>541169</v>
      </c>
      <c r="N15" s="263">
        <v>4560650</v>
      </c>
      <c r="O15" s="263">
        <v>4645888</v>
      </c>
      <c r="P15" s="263">
        <v>3472049</v>
      </c>
      <c r="Q15" s="263">
        <v>3445556</v>
      </c>
      <c r="R15" s="263">
        <v>476630</v>
      </c>
      <c r="S15" s="263">
        <v>540259</v>
      </c>
      <c r="T15" s="263">
        <v>4611667</v>
      </c>
      <c r="U15" s="263">
        <v>4701922</v>
      </c>
      <c r="V15" s="263">
        <v>3510328</v>
      </c>
      <c r="W15" s="263">
        <v>3485208</v>
      </c>
      <c r="X15" s="263">
        <v>475710</v>
      </c>
      <c r="Y15" s="263">
        <v>539719</v>
      </c>
      <c r="Z15" s="263">
        <v>4667387</v>
      </c>
      <c r="AA15" s="263">
        <v>4769903</v>
      </c>
      <c r="AB15" s="263">
        <v>3550155</v>
      </c>
      <c r="AC15" s="263">
        <v>3534430</v>
      </c>
      <c r="AD15" s="263">
        <v>474703</v>
      </c>
      <c r="AE15" s="263">
        <v>540672</v>
      </c>
      <c r="AF15" s="263">
        <v>4714735</v>
      </c>
      <c r="AG15" s="263">
        <v>4823456</v>
      </c>
      <c r="AH15" s="263">
        <v>3582210</v>
      </c>
      <c r="AI15" s="263">
        <v>3571820</v>
      </c>
      <c r="AJ15" s="263">
        <v>473067</v>
      </c>
      <c r="AK15" s="263">
        <v>538731</v>
      </c>
      <c r="AL15" s="263">
        <v>4756620</v>
      </c>
      <c r="AM15" s="263">
        <v>4869414</v>
      </c>
      <c r="AN15" s="263">
        <v>3608782</v>
      </c>
      <c r="AO15" s="263">
        <v>3599889</v>
      </c>
      <c r="AP15" s="263">
        <v>473871</v>
      </c>
      <c r="AQ15" s="263">
        <v>538806</v>
      </c>
      <c r="AR15" s="263">
        <v>4793899</v>
      </c>
      <c r="AS15" s="263">
        <v>4912014</v>
      </c>
      <c r="AT15" s="263">
        <v>3629470</v>
      </c>
      <c r="AU15" s="263">
        <v>3622783</v>
      </c>
      <c r="AV15" s="263">
        <v>474645</v>
      </c>
      <c r="AW15" s="263">
        <v>538873</v>
      </c>
      <c r="AX15" s="263">
        <v>4820913</v>
      </c>
      <c r="AY15" s="263">
        <v>4946232</v>
      </c>
      <c r="AZ15" s="263">
        <v>3641868</v>
      </c>
      <c r="BA15" s="263">
        <v>3638355</v>
      </c>
      <c r="BB15" s="263">
        <v>473666</v>
      </c>
      <c r="BC15" s="263">
        <v>537949</v>
      </c>
      <c r="BD15" s="263">
        <v>4832615</v>
      </c>
      <c r="BE15" s="263">
        <v>4960648</v>
      </c>
      <c r="BF15" s="263">
        <v>3642542</v>
      </c>
      <c r="BG15" s="263">
        <v>3639442</v>
      </c>
      <c r="BH15" s="263">
        <v>471751</v>
      </c>
      <c r="BI15" s="263">
        <v>535201</v>
      </c>
      <c r="BJ15" s="263">
        <v>4829006</v>
      </c>
      <c r="BK15" s="263">
        <v>4957367</v>
      </c>
      <c r="BL15" s="263">
        <v>3630104</v>
      </c>
      <c r="BM15" s="263">
        <v>3625229</v>
      </c>
      <c r="BN15" s="263">
        <v>468204</v>
      </c>
      <c r="BO15" s="263">
        <v>530126</v>
      </c>
      <c r="BP15" s="263">
        <v>4802798</v>
      </c>
      <c r="BQ15" s="263">
        <v>4935157</v>
      </c>
      <c r="BR15" s="263">
        <v>3599903</v>
      </c>
      <c r="BS15" s="263">
        <v>3596452</v>
      </c>
      <c r="BT15" s="263">
        <v>462314</v>
      </c>
      <c r="BU15" s="263">
        <v>523263</v>
      </c>
      <c r="BV15" s="263">
        <v>4783952</v>
      </c>
      <c r="BW15" s="263">
        <v>4916407</v>
      </c>
      <c r="BX15" s="263">
        <v>3574703</v>
      </c>
      <c r="BY15" s="263">
        <v>3570696</v>
      </c>
      <c r="BZ15" s="263">
        <v>457415</v>
      </c>
      <c r="CA15" s="263">
        <v>516792</v>
      </c>
      <c r="CB15" s="263">
        <v>4800905</v>
      </c>
      <c r="CC15" s="263">
        <v>4934242</v>
      </c>
      <c r="CD15" s="263">
        <v>3579835</v>
      </c>
      <c r="CE15" s="263">
        <v>3574763</v>
      </c>
      <c r="CF15" s="263">
        <v>455307</v>
      </c>
      <c r="CG15" s="263">
        <v>513331</v>
      </c>
      <c r="CH15" s="263">
        <v>4826087</v>
      </c>
      <c r="CI15" s="263">
        <v>4961313</v>
      </c>
      <c r="CJ15" s="263">
        <v>3591047</v>
      </c>
      <c r="CK15" s="263">
        <v>3585857</v>
      </c>
      <c r="CL15" s="263">
        <v>456284</v>
      </c>
      <c r="CM15" s="263">
        <v>513103</v>
      </c>
      <c r="CN15" s="263">
        <v>4844208</v>
      </c>
      <c r="CO15" s="263">
        <v>4982565</v>
      </c>
      <c r="CP15" s="263">
        <v>3596839</v>
      </c>
      <c r="CQ15" s="263">
        <v>3593460</v>
      </c>
      <c r="CR15" s="263">
        <v>458632</v>
      </c>
      <c r="CS15" s="263">
        <v>514184</v>
      </c>
    </row>
    <row r="16" spans="1:97" s="90" customFormat="1">
      <c r="A16" s="191" t="s">
        <v>22</v>
      </c>
      <c r="B16" s="263">
        <v>1911737</v>
      </c>
      <c r="C16" s="263">
        <v>1914916</v>
      </c>
      <c r="D16" s="263">
        <v>1767688</v>
      </c>
      <c r="E16" s="263">
        <v>1770171</v>
      </c>
      <c r="F16" s="263">
        <v>83285</v>
      </c>
      <c r="G16" s="263">
        <v>79274</v>
      </c>
      <c r="H16" s="263">
        <v>1960500</v>
      </c>
      <c r="I16" s="263">
        <v>1959472</v>
      </c>
      <c r="J16" s="263">
        <v>1811015</v>
      </c>
      <c r="K16" s="263">
        <v>1808880</v>
      </c>
      <c r="L16" s="263">
        <v>85277</v>
      </c>
      <c r="M16" s="263">
        <v>81395</v>
      </c>
      <c r="N16" s="263">
        <v>2012788</v>
      </c>
      <c r="O16" s="263">
        <v>2005505</v>
      </c>
      <c r="P16" s="263">
        <v>1856972</v>
      </c>
      <c r="Q16" s="263">
        <v>1848917</v>
      </c>
      <c r="R16" s="263">
        <v>87795</v>
      </c>
      <c r="S16" s="263">
        <v>83511</v>
      </c>
      <c r="T16" s="263">
        <v>2065913</v>
      </c>
      <c r="U16" s="263">
        <v>2050726</v>
      </c>
      <c r="V16" s="263">
        <v>1902138</v>
      </c>
      <c r="W16" s="263">
        <v>1886832</v>
      </c>
      <c r="X16" s="263">
        <v>91458</v>
      </c>
      <c r="Y16" s="263">
        <v>86014</v>
      </c>
      <c r="Z16" s="263">
        <v>2124660</v>
      </c>
      <c r="AA16" s="263">
        <v>2101358</v>
      </c>
      <c r="AB16" s="263">
        <v>1952428</v>
      </c>
      <c r="AC16" s="263">
        <v>1930473</v>
      </c>
      <c r="AD16" s="263">
        <v>94708</v>
      </c>
      <c r="AE16" s="263">
        <v>88362</v>
      </c>
      <c r="AF16" s="263">
        <v>2179179</v>
      </c>
      <c r="AG16" s="263">
        <v>2147742</v>
      </c>
      <c r="AH16" s="263">
        <v>1996137</v>
      </c>
      <c r="AI16" s="263">
        <v>1967790</v>
      </c>
      <c r="AJ16" s="263">
        <v>98844</v>
      </c>
      <c r="AK16" s="263">
        <v>91026</v>
      </c>
      <c r="AL16" s="263">
        <v>2229982</v>
      </c>
      <c r="AM16" s="263">
        <v>2195705</v>
      </c>
      <c r="AN16" s="263">
        <v>2038752</v>
      </c>
      <c r="AO16" s="263">
        <v>2007381</v>
      </c>
      <c r="AP16" s="263">
        <v>102249</v>
      </c>
      <c r="AQ16" s="263">
        <v>94127</v>
      </c>
      <c r="AR16" s="263">
        <v>2261741</v>
      </c>
      <c r="AS16" s="263">
        <v>2228665</v>
      </c>
      <c r="AT16" s="263">
        <v>2064190</v>
      </c>
      <c r="AU16" s="263">
        <v>2033557</v>
      </c>
      <c r="AV16" s="263">
        <v>104651</v>
      </c>
      <c r="AW16" s="263">
        <v>96498</v>
      </c>
      <c r="AX16" s="263">
        <v>2275518</v>
      </c>
      <c r="AY16" s="263">
        <v>2253214</v>
      </c>
      <c r="AZ16" s="263">
        <v>2074461</v>
      </c>
      <c r="BA16" s="263">
        <v>2053169</v>
      </c>
      <c r="BB16" s="263">
        <v>105326</v>
      </c>
      <c r="BC16" s="263">
        <v>97723</v>
      </c>
      <c r="BD16" s="263">
        <v>2300502</v>
      </c>
      <c r="BE16" s="263">
        <v>2274511</v>
      </c>
      <c r="BF16" s="263">
        <v>2092418</v>
      </c>
      <c r="BG16" s="263">
        <v>2068534</v>
      </c>
      <c r="BH16" s="263">
        <v>108718</v>
      </c>
      <c r="BI16" s="263">
        <v>99604</v>
      </c>
      <c r="BJ16" s="263">
        <v>2323650</v>
      </c>
      <c r="BK16" s="263">
        <v>2308238</v>
      </c>
      <c r="BL16" s="263">
        <v>2110882</v>
      </c>
      <c r="BM16" s="263">
        <v>2095666</v>
      </c>
      <c r="BN16" s="263">
        <v>109941</v>
      </c>
      <c r="BO16" s="263">
        <v>101535</v>
      </c>
      <c r="BP16" s="263">
        <v>2367463</v>
      </c>
      <c r="BQ16" s="263">
        <v>2352960</v>
      </c>
      <c r="BR16" s="263">
        <v>2146621</v>
      </c>
      <c r="BS16" s="263">
        <v>2131843</v>
      </c>
      <c r="BT16" s="263">
        <v>113775</v>
      </c>
      <c r="BU16" s="263">
        <v>105035</v>
      </c>
      <c r="BV16" s="263">
        <v>2407435</v>
      </c>
      <c r="BW16" s="263">
        <v>2396433</v>
      </c>
      <c r="BX16" s="263">
        <v>2179296</v>
      </c>
      <c r="BY16" s="263">
        <v>2167190</v>
      </c>
      <c r="BZ16" s="263">
        <v>116916</v>
      </c>
      <c r="CA16" s="263">
        <v>107830</v>
      </c>
      <c r="CB16" s="263">
        <v>2450670</v>
      </c>
      <c r="CC16" s="263">
        <v>2439060</v>
      </c>
      <c r="CD16" s="263">
        <v>2213403</v>
      </c>
      <c r="CE16" s="263">
        <v>2201124</v>
      </c>
      <c r="CF16" s="263">
        <v>120954</v>
      </c>
      <c r="CG16" s="263">
        <v>110838</v>
      </c>
      <c r="CH16" s="263">
        <v>2491485</v>
      </c>
      <c r="CI16" s="263">
        <v>2480710</v>
      </c>
      <c r="CJ16" s="263">
        <v>2244756</v>
      </c>
      <c r="CK16" s="263">
        <v>2233809</v>
      </c>
      <c r="CL16" s="263">
        <v>125052</v>
      </c>
      <c r="CM16" s="263">
        <v>114257</v>
      </c>
      <c r="CN16" s="263">
        <v>2531802</v>
      </c>
      <c r="CO16" s="263">
        <v>2515890</v>
      </c>
      <c r="CP16" s="263">
        <v>2274730</v>
      </c>
      <c r="CQ16" s="263">
        <v>2259546</v>
      </c>
      <c r="CR16" s="263">
        <v>129824</v>
      </c>
      <c r="CS16" s="263">
        <v>117642</v>
      </c>
    </row>
    <row r="17" spans="1:97" s="90" customFormat="1">
      <c r="A17" s="191" t="s">
        <v>16</v>
      </c>
      <c r="B17" s="263">
        <v>1608911</v>
      </c>
      <c r="C17" s="263">
        <v>1715233</v>
      </c>
      <c r="D17" s="263">
        <v>1420040</v>
      </c>
      <c r="E17" s="263">
        <v>1510081</v>
      </c>
      <c r="F17" s="263">
        <v>148889</v>
      </c>
      <c r="G17" s="263">
        <v>164498</v>
      </c>
      <c r="H17" s="263">
        <v>1614900</v>
      </c>
      <c r="I17" s="263">
        <v>1721785</v>
      </c>
      <c r="J17" s="263">
        <v>1421613</v>
      </c>
      <c r="K17" s="263">
        <v>1511353</v>
      </c>
      <c r="L17" s="263">
        <v>151534</v>
      </c>
      <c r="M17" s="263">
        <v>167654</v>
      </c>
      <c r="N17" s="263">
        <v>1621129</v>
      </c>
      <c r="O17" s="263">
        <v>1728219</v>
      </c>
      <c r="P17" s="263">
        <v>1422732</v>
      </c>
      <c r="Q17" s="263">
        <v>1511865</v>
      </c>
      <c r="R17" s="263">
        <v>154558</v>
      </c>
      <c r="S17" s="263">
        <v>170869</v>
      </c>
      <c r="T17" s="263">
        <v>1628166</v>
      </c>
      <c r="U17" s="263">
        <v>1737186</v>
      </c>
      <c r="V17" s="263">
        <v>1423548</v>
      </c>
      <c r="W17" s="263">
        <v>1514084</v>
      </c>
      <c r="X17" s="263">
        <v>158799</v>
      </c>
      <c r="Y17" s="263">
        <v>175029</v>
      </c>
      <c r="Z17" s="263">
        <v>1639253</v>
      </c>
      <c r="AA17" s="263">
        <v>1747148</v>
      </c>
      <c r="AB17" s="263">
        <v>1427459</v>
      </c>
      <c r="AC17" s="263">
        <v>1517316</v>
      </c>
      <c r="AD17" s="263">
        <v>162682</v>
      </c>
      <c r="AE17" s="263">
        <v>179119</v>
      </c>
      <c r="AF17" s="263">
        <v>1652459</v>
      </c>
      <c r="AG17" s="263">
        <v>1759318</v>
      </c>
      <c r="AH17" s="263">
        <v>1433867</v>
      </c>
      <c r="AI17" s="263">
        <v>1522945</v>
      </c>
      <c r="AJ17" s="263">
        <v>166129</v>
      </c>
      <c r="AK17" s="263">
        <v>182925</v>
      </c>
      <c r="AL17" s="263">
        <v>1663876</v>
      </c>
      <c r="AM17" s="263">
        <v>1768959</v>
      </c>
      <c r="AN17" s="263">
        <v>1439050</v>
      </c>
      <c r="AO17" s="263">
        <v>1526178</v>
      </c>
      <c r="AP17" s="263">
        <v>169368</v>
      </c>
      <c r="AQ17" s="263">
        <v>186072</v>
      </c>
      <c r="AR17" s="263">
        <v>1678249</v>
      </c>
      <c r="AS17" s="263">
        <v>1780500</v>
      </c>
      <c r="AT17" s="263">
        <v>1445949</v>
      </c>
      <c r="AU17" s="263">
        <v>1529990</v>
      </c>
      <c r="AV17" s="263">
        <v>172984</v>
      </c>
      <c r="AW17" s="263">
        <v>190038</v>
      </c>
      <c r="AX17" s="263">
        <v>1690868</v>
      </c>
      <c r="AY17" s="263">
        <v>1793468</v>
      </c>
      <c r="AZ17" s="263">
        <v>1451258</v>
      </c>
      <c r="BA17" s="263">
        <v>1534880</v>
      </c>
      <c r="BB17" s="263">
        <v>176457</v>
      </c>
      <c r="BC17" s="263">
        <v>193960</v>
      </c>
      <c r="BD17" s="263">
        <v>1698016</v>
      </c>
      <c r="BE17" s="263">
        <v>1798078</v>
      </c>
      <c r="BF17" s="263">
        <v>1452688</v>
      </c>
      <c r="BG17" s="263">
        <v>1533567</v>
      </c>
      <c r="BH17" s="263">
        <v>179197</v>
      </c>
      <c r="BI17" s="263">
        <v>196678</v>
      </c>
      <c r="BJ17" s="263">
        <v>1704888</v>
      </c>
      <c r="BK17" s="263">
        <v>1802068</v>
      </c>
      <c r="BL17" s="263">
        <v>1453683</v>
      </c>
      <c r="BM17" s="263">
        <v>1531059</v>
      </c>
      <c r="BN17" s="263">
        <v>182038</v>
      </c>
      <c r="BO17" s="263">
        <v>199514</v>
      </c>
      <c r="BP17" s="263">
        <v>1709785</v>
      </c>
      <c r="BQ17" s="263">
        <v>1807675</v>
      </c>
      <c r="BR17" s="263">
        <v>1452267</v>
      </c>
      <c r="BS17" s="263">
        <v>1529847</v>
      </c>
      <c r="BT17" s="263">
        <v>185020</v>
      </c>
      <c r="BU17" s="263">
        <v>203100</v>
      </c>
      <c r="BV17" s="263">
        <v>1715653</v>
      </c>
      <c r="BW17" s="263">
        <v>1811617</v>
      </c>
      <c r="BX17" s="263">
        <v>1451874</v>
      </c>
      <c r="BY17" s="263">
        <v>1527439</v>
      </c>
      <c r="BZ17" s="263">
        <v>188372</v>
      </c>
      <c r="CA17" s="263">
        <v>206268</v>
      </c>
      <c r="CB17" s="263">
        <v>1724830</v>
      </c>
      <c r="CC17" s="263">
        <v>1820749</v>
      </c>
      <c r="CD17" s="263">
        <v>1454712</v>
      </c>
      <c r="CE17" s="263">
        <v>1529304</v>
      </c>
      <c r="CF17" s="263">
        <v>191680</v>
      </c>
      <c r="CG17" s="263">
        <v>209963</v>
      </c>
      <c r="CH17" s="263">
        <v>1733028</v>
      </c>
      <c r="CI17" s="263">
        <v>1828779</v>
      </c>
      <c r="CJ17" s="263">
        <v>1456309</v>
      </c>
      <c r="CK17" s="263">
        <v>1529535</v>
      </c>
      <c r="CL17" s="263">
        <v>195522</v>
      </c>
      <c r="CM17" s="263">
        <v>214375</v>
      </c>
      <c r="CN17" s="263">
        <v>1740634</v>
      </c>
      <c r="CO17" s="263">
        <v>1834864</v>
      </c>
      <c r="CP17" s="263">
        <v>1457834</v>
      </c>
      <c r="CQ17" s="263">
        <v>1529228</v>
      </c>
      <c r="CR17" s="263">
        <v>198752</v>
      </c>
      <c r="CS17" s="263">
        <v>217858</v>
      </c>
    </row>
    <row r="18" spans="1:97" s="90" customFormat="1">
      <c r="A18" s="191" t="s">
        <v>23</v>
      </c>
      <c r="B18" s="263">
        <v>354589</v>
      </c>
      <c r="C18" s="263">
        <v>375145</v>
      </c>
      <c r="D18" s="263">
        <v>282726</v>
      </c>
      <c r="E18" s="263">
        <v>295806</v>
      </c>
      <c r="F18" s="263">
        <v>64125</v>
      </c>
      <c r="G18" s="263">
        <v>71047</v>
      </c>
      <c r="H18" s="263">
        <v>359824</v>
      </c>
      <c r="I18" s="263">
        <v>381153</v>
      </c>
      <c r="J18" s="263">
        <v>285583</v>
      </c>
      <c r="K18" s="263">
        <v>299109</v>
      </c>
      <c r="L18" s="263">
        <v>66178</v>
      </c>
      <c r="M18" s="263">
        <v>73341</v>
      </c>
      <c r="N18" s="263">
        <v>364883</v>
      </c>
      <c r="O18" s="263">
        <v>386604</v>
      </c>
      <c r="P18" s="263">
        <v>288106</v>
      </c>
      <c r="Q18" s="263">
        <v>301250</v>
      </c>
      <c r="R18" s="263">
        <v>68290</v>
      </c>
      <c r="S18" s="263">
        <v>76004</v>
      </c>
      <c r="T18" s="263">
        <v>370353</v>
      </c>
      <c r="U18" s="263">
        <v>392982</v>
      </c>
      <c r="V18" s="263">
        <v>290641</v>
      </c>
      <c r="W18" s="263">
        <v>304676</v>
      </c>
      <c r="X18" s="263">
        <v>70705</v>
      </c>
      <c r="Y18" s="263">
        <v>78298</v>
      </c>
      <c r="Z18" s="263">
        <v>376258</v>
      </c>
      <c r="AA18" s="263">
        <v>398732</v>
      </c>
      <c r="AB18" s="263">
        <v>293655</v>
      </c>
      <c r="AC18" s="263">
        <v>307558</v>
      </c>
      <c r="AD18" s="263">
        <v>72959</v>
      </c>
      <c r="AE18" s="263">
        <v>80684</v>
      </c>
      <c r="AF18" s="263">
        <v>381926</v>
      </c>
      <c r="AG18" s="263">
        <v>404447</v>
      </c>
      <c r="AH18" s="263">
        <v>296453</v>
      </c>
      <c r="AI18" s="263">
        <v>310521</v>
      </c>
      <c r="AJ18" s="263">
        <v>75017</v>
      </c>
      <c r="AK18" s="263">
        <v>82943</v>
      </c>
      <c r="AL18" s="263">
        <v>386350</v>
      </c>
      <c r="AM18" s="263">
        <v>409349</v>
      </c>
      <c r="AN18" s="263">
        <v>298155</v>
      </c>
      <c r="AO18" s="263">
        <v>312287</v>
      </c>
      <c r="AP18" s="263">
        <v>76965</v>
      </c>
      <c r="AQ18" s="263">
        <v>85241</v>
      </c>
      <c r="AR18" s="263">
        <v>391517</v>
      </c>
      <c r="AS18" s="263">
        <v>414652</v>
      </c>
      <c r="AT18" s="263">
        <v>300600</v>
      </c>
      <c r="AU18" s="263">
        <v>314428</v>
      </c>
      <c r="AV18" s="263">
        <v>79055</v>
      </c>
      <c r="AW18" s="263">
        <v>87528</v>
      </c>
      <c r="AX18" s="263">
        <v>397201</v>
      </c>
      <c r="AY18" s="263">
        <v>420802</v>
      </c>
      <c r="AZ18" s="263">
        <v>303329</v>
      </c>
      <c r="BA18" s="263">
        <v>317170</v>
      </c>
      <c r="BB18" s="263">
        <v>81084</v>
      </c>
      <c r="BC18" s="263">
        <v>89938</v>
      </c>
      <c r="BD18" s="263">
        <v>403483</v>
      </c>
      <c r="BE18" s="263">
        <v>427320</v>
      </c>
      <c r="BF18" s="263">
        <v>306533</v>
      </c>
      <c r="BG18" s="263">
        <v>320300</v>
      </c>
      <c r="BH18" s="263">
        <v>83158</v>
      </c>
      <c r="BI18" s="263">
        <v>92447</v>
      </c>
      <c r="BJ18" s="263">
        <v>409923</v>
      </c>
      <c r="BK18" s="263">
        <v>435227</v>
      </c>
      <c r="BL18" s="263">
        <v>309321</v>
      </c>
      <c r="BM18" s="263">
        <v>324077</v>
      </c>
      <c r="BN18" s="263">
        <v>85890</v>
      </c>
      <c r="BO18" s="263">
        <v>95590</v>
      </c>
      <c r="BP18" s="263">
        <v>416502</v>
      </c>
      <c r="BQ18" s="263">
        <v>442766</v>
      </c>
      <c r="BR18" s="263">
        <v>312288</v>
      </c>
      <c r="BS18" s="263">
        <v>327765</v>
      </c>
      <c r="BT18" s="263">
        <v>88542</v>
      </c>
      <c r="BU18" s="263">
        <v>98606</v>
      </c>
      <c r="BV18" s="263">
        <v>422351</v>
      </c>
      <c r="BW18" s="263">
        <v>449398</v>
      </c>
      <c r="BX18" s="263">
        <v>314907</v>
      </c>
      <c r="BY18" s="263">
        <v>330199</v>
      </c>
      <c r="BZ18" s="263">
        <v>90860</v>
      </c>
      <c r="CA18" s="263">
        <v>101755</v>
      </c>
      <c r="CB18" s="263">
        <v>428393</v>
      </c>
      <c r="CC18" s="263">
        <v>455481</v>
      </c>
      <c r="CD18" s="263">
        <v>317486</v>
      </c>
      <c r="CE18" s="263">
        <v>332825</v>
      </c>
      <c r="CF18" s="263">
        <v>93496</v>
      </c>
      <c r="CG18" s="263">
        <v>104317</v>
      </c>
      <c r="CH18" s="263">
        <v>431935</v>
      </c>
      <c r="CI18" s="263">
        <v>459795</v>
      </c>
      <c r="CJ18" s="263">
        <v>318480</v>
      </c>
      <c r="CK18" s="263">
        <v>334125</v>
      </c>
      <c r="CL18" s="263">
        <v>95280</v>
      </c>
      <c r="CM18" s="263">
        <v>106495</v>
      </c>
      <c r="CN18" s="263">
        <v>435955</v>
      </c>
      <c r="CO18" s="263">
        <v>463837</v>
      </c>
      <c r="CP18" s="263">
        <v>320212</v>
      </c>
      <c r="CQ18" s="263">
        <v>335836</v>
      </c>
      <c r="CR18" s="263">
        <v>97065</v>
      </c>
      <c r="CS18" s="263">
        <v>108269</v>
      </c>
    </row>
    <row r="19" spans="1:97" s="90" customFormat="1">
      <c r="A19" s="191" t="s">
        <v>24</v>
      </c>
      <c r="B19" s="263">
        <v>272609</v>
      </c>
      <c r="C19" s="263">
        <v>307908</v>
      </c>
      <c r="D19" s="263">
        <v>92720</v>
      </c>
      <c r="E19" s="263">
        <v>94241</v>
      </c>
      <c r="F19" s="263">
        <v>171451</v>
      </c>
      <c r="G19" s="263">
        <v>203928</v>
      </c>
      <c r="H19" s="263">
        <v>268368</v>
      </c>
      <c r="I19" s="263">
        <v>304009</v>
      </c>
      <c r="J19" s="263">
        <v>93414</v>
      </c>
      <c r="K19" s="263">
        <v>94174</v>
      </c>
      <c r="L19" s="263">
        <v>166784</v>
      </c>
      <c r="M19" s="263">
        <v>200068</v>
      </c>
      <c r="N19" s="263">
        <v>266993</v>
      </c>
      <c r="O19" s="263">
        <v>300743</v>
      </c>
      <c r="P19" s="263">
        <v>94768</v>
      </c>
      <c r="Q19" s="263">
        <v>94908</v>
      </c>
      <c r="R19" s="263">
        <v>164193</v>
      </c>
      <c r="S19" s="263">
        <v>196112</v>
      </c>
      <c r="T19" s="263">
        <v>265900</v>
      </c>
      <c r="U19" s="263">
        <v>299330</v>
      </c>
      <c r="V19" s="263">
        <v>95894</v>
      </c>
      <c r="W19" s="263">
        <v>95900</v>
      </c>
      <c r="X19" s="263">
        <v>161869</v>
      </c>
      <c r="Y19" s="263">
        <v>193436</v>
      </c>
      <c r="Z19" s="263">
        <v>268416</v>
      </c>
      <c r="AA19" s="263">
        <v>301797</v>
      </c>
      <c r="AB19" s="263">
        <v>98977</v>
      </c>
      <c r="AC19" s="263">
        <v>98382</v>
      </c>
      <c r="AD19" s="263">
        <v>160821</v>
      </c>
      <c r="AE19" s="263">
        <v>193200</v>
      </c>
      <c r="AF19" s="263">
        <v>269403</v>
      </c>
      <c r="AG19" s="263">
        <v>302643</v>
      </c>
      <c r="AH19" s="263">
        <v>100130</v>
      </c>
      <c r="AI19" s="263">
        <v>98857</v>
      </c>
      <c r="AJ19" s="263">
        <v>160510</v>
      </c>
      <c r="AK19" s="263">
        <v>192954</v>
      </c>
      <c r="AL19" s="263">
        <v>270764</v>
      </c>
      <c r="AM19" s="263">
        <v>303740</v>
      </c>
      <c r="AN19" s="263">
        <v>103117</v>
      </c>
      <c r="AO19" s="263">
        <v>101567</v>
      </c>
      <c r="AP19" s="263">
        <v>158551</v>
      </c>
      <c r="AQ19" s="263">
        <v>190985</v>
      </c>
      <c r="AR19" s="263">
        <v>270012</v>
      </c>
      <c r="AS19" s="263">
        <v>303146</v>
      </c>
      <c r="AT19" s="263">
        <v>103704</v>
      </c>
      <c r="AU19" s="263">
        <v>102628</v>
      </c>
      <c r="AV19" s="263">
        <v>157094</v>
      </c>
      <c r="AW19" s="263">
        <v>188986</v>
      </c>
      <c r="AX19" s="263">
        <v>267895</v>
      </c>
      <c r="AY19" s="263">
        <v>300607</v>
      </c>
      <c r="AZ19" s="263">
        <v>103760</v>
      </c>
      <c r="BA19" s="263">
        <v>102745</v>
      </c>
      <c r="BB19" s="263">
        <v>154702</v>
      </c>
      <c r="BC19" s="263">
        <v>186049</v>
      </c>
      <c r="BD19" s="263">
        <v>267470</v>
      </c>
      <c r="BE19" s="263">
        <v>300284</v>
      </c>
      <c r="BF19" s="263">
        <v>105620</v>
      </c>
      <c r="BG19" s="263">
        <v>104632</v>
      </c>
      <c r="BH19" s="263">
        <v>152025</v>
      </c>
      <c r="BI19" s="263">
        <v>183272</v>
      </c>
      <c r="BJ19" s="263">
        <v>267523</v>
      </c>
      <c r="BK19" s="263">
        <v>299613</v>
      </c>
      <c r="BL19" s="263">
        <v>108393</v>
      </c>
      <c r="BM19" s="263">
        <v>107161</v>
      </c>
      <c r="BN19" s="263">
        <v>149286</v>
      </c>
      <c r="BO19" s="263">
        <v>180043</v>
      </c>
      <c r="BP19" s="263">
        <v>269359</v>
      </c>
      <c r="BQ19" s="263">
        <v>301322</v>
      </c>
      <c r="BR19" s="263">
        <v>111125</v>
      </c>
      <c r="BS19" s="263">
        <v>110139</v>
      </c>
      <c r="BT19" s="263">
        <v>147437</v>
      </c>
      <c r="BU19" s="263">
        <v>177627</v>
      </c>
      <c r="BV19" s="263">
        <v>271455</v>
      </c>
      <c r="BW19" s="263">
        <v>302949</v>
      </c>
      <c r="BX19" s="263">
        <v>114615</v>
      </c>
      <c r="BY19" s="263">
        <v>114031</v>
      </c>
      <c r="BZ19" s="263">
        <v>145989</v>
      </c>
      <c r="CA19" s="263">
        <v>175505</v>
      </c>
      <c r="CB19" s="263">
        <v>273971</v>
      </c>
      <c r="CC19" s="263">
        <v>306265</v>
      </c>
      <c r="CD19" s="263">
        <v>117737</v>
      </c>
      <c r="CE19" s="263">
        <v>117683</v>
      </c>
      <c r="CF19" s="263">
        <v>144700</v>
      </c>
      <c r="CG19" s="263">
        <v>173692</v>
      </c>
      <c r="CH19" s="263">
        <v>280400</v>
      </c>
      <c r="CI19" s="263">
        <v>311828</v>
      </c>
      <c r="CJ19" s="263">
        <v>123355</v>
      </c>
      <c r="CK19" s="263">
        <v>123832</v>
      </c>
      <c r="CL19" s="263">
        <v>144766</v>
      </c>
      <c r="CM19" s="263">
        <v>173212</v>
      </c>
      <c r="CN19" s="263">
        <v>285786</v>
      </c>
      <c r="CO19" s="263">
        <v>319126</v>
      </c>
      <c r="CP19" s="263">
        <v>127952</v>
      </c>
      <c r="CQ19" s="263">
        <v>128759</v>
      </c>
      <c r="CR19" s="263">
        <v>145296</v>
      </c>
      <c r="CS19" s="263">
        <v>174135</v>
      </c>
    </row>
    <row r="20" spans="1:97" s="90" customFormat="1">
      <c r="A20" s="191" t="s">
        <v>25</v>
      </c>
      <c r="B20" s="263">
        <v>7065377</v>
      </c>
      <c r="C20" s="263">
        <v>7472498</v>
      </c>
      <c r="D20" s="263">
        <v>5903522</v>
      </c>
      <c r="E20" s="263">
        <v>6212436</v>
      </c>
      <c r="F20" s="263">
        <v>1027031</v>
      </c>
      <c r="G20" s="263">
        <v>1110512</v>
      </c>
      <c r="H20" s="263">
        <v>7227663</v>
      </c>
      <c r="I20" s="263">
        <v>7625697</v>
      </c>
      <c r="J20" s="263">
        <v>6022911</v>
      </c>
      <c r="K20" s="263">
        <v>6320722</v>
      </c>
      <c r="L20" s="263">
        <v>1060709</v>
      </c>
      <c r="M20" s="263">
        <v>1145426</v>
      </c>
      <c r="N20" s="263">
        <v>7397858</v>
      </c>
      <c r="O20" s="263">
        <v>7788446</v>
      </c>
      <c r="P20" s="263">
        <v>6146129</v>
      </c>
      <c r="Q20" s="263">
        <v>6433051</v>
      </c>
      <c r="R20" s="263">
        <v>1098010</v>
      </c>
      <c r="S20" s="263">
        <v>1184627</v>
      </c>
      <c r="T20" s="263">
        <v>7547848</v>
      </c>
      <c r="U20" s="263">
        <v>7938711</v>
      </c>
      <c r="V20" s="263">
        <v>6254483</v>
      </c>
      <c r="W20" s="263">
        <v>6537641</v>
      </c>
      <c r="X20" s="263">
        <v>1130961</v>
      </c>
      <c r="Y20" s="263">
        <v>1220266</v>
      </c>
      <c r="Z20" s="263">
        <v>7685574</v>
      </c>
      <c r="AA20" s="263">
        <v>8073847</v>
      </c>
      <c r="AB20" s="263">
        <v>6349696</v>
      </c>
      <c r="AC20" s="263">
        <v>6629027</v>
      </c>
      <c r="AD20" s="263">
        <v>1163720</v>
      </c>
      <c r="AE20" s="263">
        <v>1255363</v>
      </c>
      <c r="AF20" s="263">
        <v>7830201</v>
      </c>
      <c r="AG20" s="263">
        <v>8217314</v>
      </c>
      <c r="AH20" s="263">
        <v>6452035</v>
      </c>
      <c r="AI20" s="263">
        <v>6729433</v>
      </c>
      <c r="AJ20" s="263">
        <v>1193224</v>
      </c>
      <c r="AK20" s="263">
        <v>1286905</v>
      </c>
      <c r="AL20" s="263">
        <v>7984190</v>
      </c>
      <c r="AM20" s="263">
        <v>8372776</v>
      </c>
      <c r="AN20" s="263">
        <v>6559116</v>
      </c>
      <c r="AO20" s="263">
        <v>6833739</v>
      </c>
      <c r="AP20" s="263">
        <v>1228606</v>
      </c>
      <c r="AQ20" s="263">
        <v>1324608</v>
      </c>
      <c r="AR20" s="263">
        <v>8147636</v>
      </c>
      <c r="AS20" s="263">
        <v>8541734</v>
      </c>
      <c r="AT20" s="263">
        <v>6674585</v>
      </c>
      <c r="AU20" s="263">
        <v>6948991</v>
      </c>
      <c r="AV20" s="263">
        <v>1263764</v>
      </c>
      <c r="AW20" s="263">
        <v>1363767</v>
      </c>
      <c r="AX20" s="263">
        <v>8306512</v>
      </c>
      <c r="AY20" s="263">
        <v>8697573</v>
      </c>
      <c r="AZ20" s="263">
        <v>6784942</v>
      </c>
      <c r="BA20" s="263">
        <v>7053660</v>
      </c>
      <c r="BB20" s="263">
        <v>1299486</v>
      </c>
      <c r="BC20" s="263">
        <v>1400657</v>
      </c>
      <c r="BD20" s="263">
        <v>8512871</v>
      </c>
      <c r="BE20" s="263">
        <v>8902447</v>
      </c>
      <c r="BF20" s="263">
        <v>6935095</v>
      </c>
      <c r="BG20" s="263">
        <v>7196797</v>
      </c>
      <c r="BH20" s="263">
        <v>1340686</v>
      </c>
      <c r="BI20" s="263">
        <v>1445760</v>
      </c>
      <c r="BJ20" s="263">
        <v>8724088</v>
      </c>
      <c r="BK20" s="263">
        <v>9117950</v>
      </c>
      <c r="BL20" s="263">
        <v>7084592</v>
      </c>
      <c r="BM20" s="263">
        <v>7344055</v>
      </c>
      <c r="BN20" s="263">
        <v>1386372</v>
      </c>
      <c r="BO20" s="263">
        <v>1495414</v>
      </c>
      <c r="BP20" s="263">
        <v>8886910</v>
      </c>
      <c r="BQ20" s="263">
        <v>9280080</v>
      </c>
      <c r="BR20" s="263">
        <v>7189757</v>
      </c>
      <c r="BS20" s="263">
        <v>7444486</v>
      </c>
      <c r="BT20" s="263">
        <v>1429084</v>
      </c>
      <c r="BU20" s="263">
        <v>1540166</v>
      </c>
      <c r="BV20" s="263">
        <v>8989255</v>
      </c>
      <c r="BW20" s="263">
        <v>9378587</v>
      </c>
      <c r="BX20" s="263">
        <v>7250652</v>
      </c>
      <c r="BY20" s="263">
        <v>7500333</v>
      </c>
      <c r="BZ20" s="263">
        <v>1458981</v>
      </c>
      <c r="CA20" s="263">
        <v>1570043</v>
      </c>
      <c r="CB20" s="263">
        <v>9062026</v>
      </c>
      <c r="CC20" s="263">
        <v>9465279</v>
      </c>
      <c r="CD20" s="263">
        <v>7286783</v>
      </c>
      <c r="CE20" s="263">
        <v>7546154</v>
      </c>
      <c r="CF20" s="263">
        <v>1486562</v>
      </c>
      <c r="CG20" s="263">
        <v>1599833</v>
      </c>
      <c r="CH20" s="263">
        <v>9118355</v>
      </c>
      <c r="CI20" s="263">
        <v>9534289</v>
      </c>
      <c r="CJ20" s="263">
        <v>7312821</v>
      </c>
      <c r="CK20" s="263">
        <v>7581370</v>
      </c>
      <c r="CL20" s="263">
        <v>1509098</v>
      </c>
      <c r="CM20" s="263">
        <v>1624390</v>
      </c>
      <c r="CN20" s="263">
        <v>9209018</v>
      </c>
      <c r="CO20" s="263">
        <v>9629595</v>
      </c>
      <c r="CP20" s="263">
        <v>7372111</v>
      </c>
      <c r="CQ20" s="263">
        <v>7643162</v>
      </c>
      <c r="CR20" s="263">
        <v>1531846</v>
      </c>
      <c r="CS20" s="263">
        <v>1648634</v>
      </c>
    </row>
    <row r="21" spans="1:97" s="90" customFormat="1">
      <c r="A21" s="191" t="s">
        <v>26</v>
      </c>
      <c r="B21" s="263">
        <v>3575774</v>
      </c>
      <c r="C21" s="263">
        <v>3752639</v>
      </c>
      <c r="D21" s="263">
        <v>2535340</v>
      </c>
      <c r="E21" s="263">
        <v>2583605</v>
      </c>
      <c r="F21" s="263">
        <v>970219</v>
      </c>
      <c r="G21" s="263">
        <v>1096739</v>
      </c>
      <c r="H21" s="263">
        <v>3663928</v>
      </c>
      <c r="I21" s="263">
        <v>3837141</v>
      </c>
      <c r="J21" s="263">
        <v>2585697</v>
      </c>
      <c r="K21" s="263">
        <v>2627454</v>
      </c>
      <c r="L21" s="263">
        <v>1001827</v>
      </c>
      <c r="M21" s="263">
        <v>1130977</v>
      </c>
      <c r="N21" s="263">
        <v>3759807</v>
      </c>
      <c r="O21" s="263">
        <v>3925292</v>
      </c>
      <c r="P21" s="263">
        <v>2641081</v>
      </c>
      <c r="Q21" s="263">
        <v>2673041</v>
      </c>
      <c r="R21" s="263">
        <v>1035949</v>
      </c>
      <c r="S21" s="263">
        <v>1166700</v>
      </c>
      <c r="T21" s="263">
        <v>3853034</v>
      </c>
      <c r="U21" s="263">
        <v>4010502</v>
      </c>
      <c r="V21" s="263">
        <v>2693836</v>
      </c>
      <c r="W21" s="263">
        <v>2714797</v>
      </c>
      <c r="X21" s="263">
        <v>1069406</v>
      </c>
      <c r="Y21" s="263">
        <v>1202591</v>
      </c>
      <c r="Z21" s="263">
        <v>3949934</v>
      </c>
      <c r="AA21" s="263">
        <v>4096031</v>
      </c>
      <c r="AB21" s="263">
        <v>2747297</v>
      </c>
      <c r="AC21" s="263">
        <v>2756311</v>
      </c>
      <c r="AD21" s="263">
        <v>1104549</v>
      </c>
      <c r="AE21" s="263">
        <v>1239075</v>
      </c>
      <c r="AF21" s="263">
        <v>4047070</v>
      </c>
      <c r="AG21" s="263">
        <v>4180233</v>
      </c>
      <c r="AH21" s="263">
        <v>2798842</v>
      </c>
      <c r="AI21" s="263">
        <v>2795947</v>
      </c>
      <c r="AJ21" s="263">
        <v>1137327</v>
      </c>
      <c r="AK21" s="263">
        <v>1272752</v>
      </c>
      <c r="AL21" s="263">
        <v>4120876</v>
      </c>
      <c r="AM21" s="263">
        <v>4256162</v>
      </c>
      <c r="AN21" s="263">
        <v>2836389</v>
      </c>
      <c r="AO21" s="263">
        <v>2832055</v>
      </c>
      <c r="AP21" s="263">
        <v>1164928</v>
      </c>
      <c r="AQ21" s="263">
        <v>1303258</v>
      </c>
      <c r="AR21" s="263">
        <v>4180322</v>
      </c>
      <c r="AS21" s="263">
        <v>4327934</v>
      </c>
      <c r="AT21" s="263">
        <v>2863301</v>
      </c>
      <c r="AU21" s="263">
        <v>2864104</v>
      </c>
      <c r="AV21" s="263">
        <v>1188862</v>
      </c>
      <c r="AW21" s="263">
        <v>1333660</v>
      </c>
      <c r="AX21" s="263">
        <v>4227841</v>
      </c>
      <c r="AY21" s="263">
        <v>4394952</v>
      </c>
      <c r="AZ21" s="263">
        <v>2882539</v>
      </c>
      <c r="BA21" s="263">
        <v>2894047</v>
      </c>
      <c r="BB21" s="263">
        <v>1209405</v>
      </c>
      <c r="BC21" s="263">
        <v>1362086</v>
      </c>
      <c r="BD21" s="263">
        <v>4305728</v>
      </c>
      <c r="BE21" s="263">
        <v>4463524</v>
      </c>
      <c r="BF21" s="263">
        <v>2919529</v>
      </c>
      <c r="BG21" s="263">
        <v>2921848</v>
      </c>
      <c r="BH21" s="263">
        <v>1241619</v>
      </c>
      <c r="BI21" s="263">
        <v>1393717</v>
      </c>
      <c r="BJ21" s="263">
        <v>4370659</v>
      </c>
      <c r="BK21" s="263">
        <v>4555263</v>
      </c>
      <c r="BL21" s="263">
        <v>2947221</v>
      </c>
      <c r="BM21" s="263">
        <v>2964185</v>
      </c>
      <c r="BN21" s="263">
        <v>1269514</v>
      </c>
      <c r="BO21" s="263">
        <v>1432882</v>
      </c>
      <c r="BP21" s="263">
        <v>4485207</v>
      </c>
      <c r="BQ21" s="263">
        <v>4670606</v>
      </c>
      <c r="BR21" s="263">
        <v>3001381</v>
      </c>
      <c r="BS21" s="263">
        <v>3013099</v>
      </c>
      <c r="BT21" s="263">
        <v>1318673</v>
      </c>
      <c r="BU21" s="263">
        <v>1487254</v>
      </c>
      <c r="BV21" s="263">
        <v>4572416</v>
      </c>
      <c r="BW21" s="263">
        <v>4777572</v>
      </c>
      <c r="BX21" s="263">
        <v>3040753</v>
      </c>
      <c r="BY21" s="263">
        <v>3061219</v>
      </c>
      <c r="BZ21" s="263">
        <v>1356433</v>
      </c>
      <c r="CA21" s="263">
        <v>1535492</v>
      </c>
      <c r="CB21" s="263">
        <v>4647859</v>
      </c>
      <c r="CC21" s="263">
        <v>4856984</v>
      </c>
      <c r="CD21" s="263">
        <v>3072335</v>
      </c>
      <c r="CE21" s="263">
        <v>3093581</v>
      </c>
      <c r="CF21" s="263">
        <v>1390436</v>
      </c>
      <c r="CG21" s="263">
        <v>1572192</v>
      </c>
      <c r="CH21" s="263">
        <v>4703090</v>
      </c>
      <c r="CI21" s="263">
        <v>4917756</v>
      </c>
      <c r="CJ21" s="263">
        <v>3090882</v>
      </c>
      <c r="CK21" s="263">
        <v>3113298</v>
      </c>
      <c r="CL21" s="263">
        <v>1418697</v>
      </c>
      <c r="CM21" s="263">
        <v>1604312</v>
      </c>
      <c r="CN21" s="263">
        <v>4740976</v>
      </c>
      <c r="CO21" s="263">
        <v>4971181</v>
      </c>
      <c r="CP21" s="263">
        <v>3101675</v>
      </c>
      <c r="CQ21" s="263">
        <v>3133378</v>
      </c>
      <c r="CR21" s="263">
        <v>1438287</v>
      </c>
      <c r="CS21" s="263">
        <v>1629784</v>
      </c>
    </row>
    <row r="22" spans="1:97">
      <c r="A22" s="191" t="s">
        <v>27</v>
      </c>
      <c r="B22" s="263">
        <v>1244941</v>
      </c>
      <c r="C22" s="263">
        <v>1305225</v>
      </c>
      <c r="D22" s="263">
        <v>798117</v>
      </c>
      <c r="E22" s="263">
        <v>806311</v>
      </c>
      <c r="F22" s="263">
        <v>399885</v>
      </c>
      <c r="G22" s="263">
        <v>453214</v>
      </c>
      <c r="H22" s="263">
        <v>1282081</v>
      </c>
      <c r="I22" s="263">
        <v>1340468</v>
      </c>
      <c r="J22" s="263">
        <v>810807</v>
      </c>
      <c r="K22" s="263">
        <v>814592</v>
      </c>
      <c r="L22" s="263">
        <v>419819</v>
      </c>
      <c r="M22" s="263">
        <v>475507</v>
      </c>
      <c r="N22" s="263">
        <v>1320024</v>
      </c>
      <c r="O22" s="263">
        <v>1374353</v>
      </c>
      <c r="P22" s="263">
        <v>824469</v>
      </c>
      <c r="Q22" s="263">
        <v>821856</v>
      </c>
      <c r="R22" s="263">
        <v>439306</v>
      </c>
      <c r="S22" s="263">
        <v>497063</v>
      </c>
      <c r="T22" s="263">
        <v>1359628</v>
      </c>
      <c r="U22" s="263">
        <v>1410687</v>
      </c>
      <c r="V22" s="263">
        <v>837686</v>
      </c>
      <c r="W22" s="263">
        <v>828692</v>
      </c>
      <c r="X22" s="263">
        <v>460557</v>
      </c>
      <c r="Y22" s="263">
        <v>521052</v>
      </c>
      <c r="Z22" s="263">
        <v>1402279</v>
      </c>
      <c r="AA22" s="263">
        <v>1448117</v>
      </c>
      <c r="AB22" s="263">
        <v>851808</v>
      </c>
      <c r="AC22" s="263">
        <v>835634</v>
      </c>
      <c r="AD22" s="263">
        <v>482954</v>
      </c>
      <c r="AE22" s="263">
        <v>545986</v>
      </c>
      <c r="AF22" s="263">
        <v>1444881</v>
      </c>
      <c r="AG22" s="263">
        <v>1484748</v>
      </c>
      <c r="AH22" s="263">
        <v>867711</v>
      </c>
      <c r="AI22" s="263">
        <v>844454</v>
      </c>
      <c r="AJ22" s="263">
        <v>503189</v>
      </c>
      <c r="AK22" s="263">
        <v>568391</v>
      </c>
      <c r="AL22" s="263">
        <v>1467300</v>
      </c>
      <c r="AM22" s="263">
        <v>1512171</v>
      </c>
      <c r="AN22" s="263">
        <v>871219</v>
      </c>
      <c r="AO22" s="263">
        <v>848882</v>
      </c>
      <c r="AP22" s="263">
        <v>516925</v>
      </c>
      <c r="AQ22" s="263">
        <v>585772</v>
      </c>
      <c r="AR22" s="263">
        <v>1477692</v>
      </c>
      <c r="AS22" s="263">
        <v>1529279</v>
      </c>
      <c r="AT22" s="263">
        <v>866592</v>
      </c>
      <c r="AU22" s="263">
        <v>846404</v>
      </c>
      <c r="AV22" s="263">
        <v>526501</v>
      </c>
      <c r="AW22" s="263">
        <v>599645</v>
      </c>
      <c r="AX22" s="263">
        <v>1486312</v>
      </c>
      <c r="AY22" s="263">
        <v>1545064</v>
      </c>
      <c r="AZ22" s="263">
        <v>862703</v>
      </c>
      <c r="BA22" s="263">
        <v>844816</v>
      </c>
      <c r="BB22" s="263">
        <v>534203</v>
      </c>
      <c r="BC22" s="263">
        <v>611579</v>
      </c>
      <c r="BD22" s="263">
        <v>1500141</v>
      </c>
      <c r="BE22" s="263">
        <v>1558680</v>
      </c>
      <c r="BF22" s="263">
        <v>860492</v>
      </c>
      <c r="BG22" s="263">
        <v>841139</v>
      </c>
      <c r="BH22" s="263">
        <v>545071</v>
      </c>
      <c r="BI22" s="263">
        <v>623529</v>
      </c>
      <c r="BJ22" s="263">
        <v>1515366</v>
      </c>
      <c r="BK22" s="263">
        <v>1586393</v>
      </c>
      <c r="BL22" s="263">
        <v>858691</v>
      </c>
      <c r="BM22" s="263">
        <v>845206</v>
      </c>
      <c r="BN22" s="263">
        <v>556173</v>
      </c>
      <c r="BO22" s="263">
        <v>641111</v>
      </c>
      <c r="BP22" s="263">
        <v>1554298</v>
      </c>
      <c r="BQ22" s="263">
        <v>1628302</v>
      </c>
      <c r="BR22" s="263">
        <v>867278</v>
      </c>
      <c r="BS22" s="263">
        <v>851716</v>
      </c>
      <c r="BT22" s="263">
        <v>579793</v>
      </c>
      <c r="BU22" s="263">
        <v>668969</v>
      </c>
      <c r="BV22" s="263">
        <v>1581529</v>
      </c>
      <c r="BW22" s="263">
        <v>1663770</v>
      </c>
      <c r="BX22" s="263">
        <v>871571</v>
      </c>
      <c r="BY22" s="263">
        <v>858650</v>
      </c>
      <c r="BZ22" s="263">
        <v>596460</v>
      </c>
      <c r="CA22" s="263">
        <v>691432</v>
      </c>
      <c r="CB22" s="263">
        <v>1605774</v>
      </c>
      <c r="CC22" s="263">
        <v>1691208</v>
      </c>
      <c r="CD22" s="263">
        <v>875760</v>
      </c>
      <c r="CE22" s="263">
        <v>863760</v>
      </c>
      <c r="CF22" s="263">
        <v>610633</v>
      </c>
      <c r="CG22" s="263">
        <v>707723</v>
      </c>
      <c r="CH22" s="263">
        <v>1623560</v>
      </c>
      <c r="CI22" s="263">
        <v>1713728</v>
      </c>
      <c r="CJ22" s="263">
        <v>875326</v>
      </c>
      <c r="CK22" s="263">
        <v>864632</v>
      </c>
      <c r="CL22" s="263">
        <v>624201</v>
      </c>
      <c r="CM22" s="263">
        <v>724112</v>
      </c>
      <c r="CN22" s="263">
        <v>1640579</v>
      </c>
      <c r="CO22" s="263">
        <v>1735880</v>
      </c>
      <c r="CP22" s="263">
        <v>877218</v>
      </c>
      <c r="CQ22" s="263">
        <v>868722</v>
      </c>
      <c r="CR22" s="263">
        <v>634822</v>
      </c>
      <c r="CS22" s="263">
        <v>737544</v>
      </c>
    </row>
    <row r="23" spans="1:97">
      <c r="A23" s="191" t="s">
        <v>28</v>
      </c>
      <c r="B23" s="263">
        <v>606980</v>
      </c>
      <c r="C23" s="263">
        <v>589874</v>
      </c>
      <c r="D23" s="263">
        <v>162847</v>
      </c>
      <c r="E23" s="263">
        <v>144003</v>
      </c>
      <c r="F23" s="263">
        <v>19242</v>
      </c>
      <c r="G23" s="263">
        <v>14209</v>
      </c>
      <c r="H23" s="263">
        <v>608989</v>
      </c>
      <c r="I23" s="263">
        <v>594766</v>
      </c>
      <c r="J23" s="263">
        <v>155668</v>
      </c>
      <c r="K23" s="263">
        <v>140475</v>
      </c>
      <c r="L23" s="263">
        <v>19173</v>
      </c>
      <c r="M23" s="263">
        <v>13948</v>
      </c>
      <c r="N23" s="263">
        <v>611107</v>
      </c>
      <c r="O23" s="263">
        <v>600533</v>
      </c>
      <c r="P23" s="263">
        <v>152048</v>
      </c>
      <c r="Q23" s="263">
        <v>139207</v>
      </c>
      <c r="R23" s="263">
        <v>18971</v>
      </c>
      <c r="S23" s="263">
        <v>13828</v>
      </c>
      <c r="T23" s="263">
        <v>612368</v>
      </c>
      <c r="U23" s="263">
        <v>602865</v>
      </c>
      <c r="V23" s="263">
        <v>153600</v>
      </c>
      <c r="W23" s="263">
        <v>139779</v>
      </c>
      <c r="X23" s="263">
        <v>18993</v>
      </c>
      <c r="Y23" s="263">
        <v>13638</v>
      </c>
      <c r="Z23" s="263">
        <v>608470</v>
      </c>
      <c r="AA23" s="263">
        <v>601830</v>
      </c>
      <c r="AB23" s="263">
        <v>156121</v>
      </c>
      <c r="AC23" s="263">
        <v>139252</v>
      </c>
      <c r="AD23" s="263">
        <v>18295</v>
      </c>
      <c r="AE23" s="263">
        <v>12866</v>
      </c>
      <c r="AF23" s="263">
        <v>610025</v>
      </c>
      <c r="AG23" s="263">
        <v>603494</v>
      </c>
      <c r="AH23" s="263">
        <v>158453</v>
      </c>
      <c r="AI23" s="263">
        <v>136404</v>
      </c>
      <c r="AJ23" s="263">
        <v>18074</v>
      </c>
      <c r="AK23" s="263">
        <v>12334</v>
      </c>
      <c r="AL23" s="263">
        <v>616759</v>
      </c>
      <c r="AM23" s="263">
        <v>609189</v>
      </c>
      <c r="AN23" s="263">
        <v>160635</v>
      </c>
      <c r="AO23" s="263">
        <v>137884</v>
      </c>
      <c r="AP23" s="263">
        <v>19238</v>
      </c>
      <c r="AQ23" s="263">
        <v>13295</v>
      </c>
      <c r="AR23" s="263">
        <v>623421</v>
      </c>
      <c r="AS23" s="263">
        <v>616192</v>
      </c>
      <c r="AT23" s="263">
        <v>162733</v>
      </c>
      <c r="AU23" s="263">
        <v>139542</v>
      </c>
      <c r="AV23" s="263">
        <v>19881</v>
      </c>
      <c r="AW23" s="263">
        <v>14037</v>
      </c>
      <c r="AX23" s="263">
        <v>627401</v>
      </c>
      <c r="AY23" s="263">
        <v>623753</v>
      </c>
      <c r="AZ23" s="263">
        <v>164048</v>
      </c>
      <c r="BA23" s="263">
        <v>141420</v>
      </c>
      <c r="BB23" s="263">
        <v>19359</v>
      </c>
      <c r="BC23" s="263">
        <v>14026</v>
      </c>
      <c r="BD23" s="263">
        <v>636705</v>
      </c>
      <c r="BE23" s="263">
        <v>636864</v>
      </c>
      <c r="BF23" s="263">
        <v>166718</v>
      </c>
      <c r="BG23" s="263">
        <v>144563</v>
      </c>
      <c r="BH23" s="263">
        <v>18813</v>
      </c>
      <c r="BI23" s="263">
        <v>14101</v>
      </c>
      <c r="BJ23" s="263">
        <v>647916</v>
      </c>
      <c r="BK23" s="263">
        <v>644813</v>
      </c>
      <c r="BL23" s="263">
        <v>170271</v>
      </c>
      <c r="BM23" s="263">
        <v>146538</v>
      </c>
      <c r="BN23" s="263">
        <v>19580</v>
      </c>
      <c r="BO23" s="263">
        <v>14189</v>
      </c>
      <c r="BP23" s="263">
        <v>657380</v>
      </c>
      <c r="BQ23" s="263">
        <v>652351</v>
      </c>
      <c r="BR23" s="263">
        <v>173189</v>
      </c>
      <c r="BS23" s="263">
        <v>148470</v>
      </c>
      <c r="BT23" s="263">
        <v>19781</v>
      </c>
      <c r="BU23" s="263">
        <v>14108</v>
      </c>
      <c r="BV23" s="263">
        <v>658490</v>
      </c>
      <c r="BW23" s="263">
        <v>657185</v>
      </c>
      <c r="BX23" s="263">
        <v>173797</v>
      </c>
      <c r="BY23" s="263">
        <v>149812</v>
      </c>
      <c r="BZ23" s="263">
        <v>19107</v>
      </c>
      <c r="CA23" s="263">
        <v>13715</v>
      </c>
      <c r="CB23" s="263">
        <v>666900</v>
      </c>
      <c r="CC23" s="263">
        <v>665313</v>
      </c>
      <c r="CD23" s="263">
        <v>176539</v>
      </c>
      <c r="CE23" s="263">
        <v>151946</v>
      </c>
      <c r="CF23" s="263">
        <v>19340</v>
      </c>
      <c r="CG23" s="263">
        <v>13727</v>
      </c>
      <c r="CH23" s="263">
        <v>673642</v>
      </c>
      <c r="CI23" s="263">
        <v>673075</v>
      </c>
      <c r="CJ23" s="263">
        <v>178725</v>
      </c>
      <c r="CK23" s="263">
        <v>153888</v>
      </c>
      <c r="CL23" s="263">
        <v>19546</v>
      </c>
      <c r="CM23" s="263">
        <v>13750</v>
      </c>
      <c r="CN23" s="263">
        <v>682252</v>
      </c>
      <c r="CO23" s="263">
        <v>681107</v>
      </c>
      <c r="CP23" s="263">
        <v>181455</v>
      </c>
      <c r="CQ23" s="263">
        <v>155895</v>
      </c>
      <c r="CR23" s="263">
        <v>19926</v>
      </c>
      <c r="CS23" s="263">
        <v>13967</v>
      </c>
    </row>
    <row r="24" spans="1:97">
      <c r="A24" s="191" t="s">
        <v>29</v>
      </c>
      <c r="B24" s="263">
        <v>588138</v>
      </c>
      <c r="C24" s="263">
        <v>589184</v>
      </c>
      <c r="D24" s="263">
        <v>571499</v>
      </c>
      <c r="E24" s="263">
        <v>572560</v>
      </c>
      <c r="F24" s="263">
        <v>3038</v>
      </c>
      <c r="G24" s="263">
        <v>2215</v>
      </c>
      <c r="H24" s="263">
        <v>601136</v>
      </c>
      <c r="I24" s="263">
        <v>601947</v>
      </c>
      <c r="J24" s="263">
        <v>583960</v>
      </c>
      <c r="K24" s="263">
        <v>584689</v>
      </c>
      <c r="L24" s="263">
        <v>3081</v>
      </c>
      <c r="M24" s="263">
        <v>2285</v>
      </c>
      <c r="N24" s="263">
        <v>614282</v>
      </c>
      <c r="O24" s="263">
        <v>614238</v>
      </c>
      <c r="P24" s="263">
        <v>596369</v>
      </c>
      <c r="Q24" s="263">
        <v>596168</v>
      </c>
      <c r="R24" s="263">
        <v>3140</v>
      </c>
      <c r="S24" s="263">
        <v>2248</v>
      </c>
      <c r="T24" s="263">
        <v>626436</v>
      </c>
      <c r="U24" s="263">
        <v>625894</v>
      </c>
      <c r="V24" s="263">
        <v>607646</v>
      </c>
      <c r="W24" s="263">
        <v>606693</v>
      </c>
      <c r="X24" s="263">
        <v>3393</v>
      </c>
      <c r="Y24" s="263">
        <v>2514</v>
      </c>
      <c r="Z24" s="263">
        <v>638876</v>
      </c>
      <c r="AA24" s="263">
        <v>636798</v>
      </c>
      <c r="AB24" s="263">
        <v>619156</v>
      </c>
      <c r="AC24" s="263">
        <v>616853</v>
      </c>
      <c r="AD24" s="263">
        <v>3592</v>
      </c>
      <c r="AE24" s="263">
        <v>2651</v>
      </c>
      <c r="AF24" s="263">
        <v>651446</v>
      </c>
      <c r="AG24" s="263">
        <v>647984</v>
      </c>
      <c r="AH24" s="263">
        <v>629486</v>
      </c>
      <c r="AI24" s="263">
        <v>626115</v>
      </c>
      <c r="AJ24" s="263">
        <v>4438</v>
      </c>
      <c r="AK24" s="263">
        <v>3245</v>
      </c>
      <c r="AL24" s="263">
        <v>661919</v>
      </c>
      <c r="AM24" s="263">
        <v>658043</v>
      </c>
      <c r="AN24" s="263">
        <v>638757</v>
      </c>
      <c r="AO24" s="263">
        <v>634947</v>
      </c>
      <c r="AP24" s="263">
        <v>4876</v>
      </c>
      <c r="AQ24" s="263">
        <v>3677</v>
      </c>
      <c r="AR24" s="263">
        <v>671686</v>
      </c>
      <c r="AS24" s="263">
        <v>668686</v>
      </c>
      <c r="AT24" s="263">
        <v>647518</v>
      </c>
      <c r="AU24" s="263">
        <v>644420</v>
      </c>
      <c r="AV24" s="263">
        <v>5195</v>
      </c>
      <c r="AW24" s="263">
        <v>4084</v>
      </c>
      <c r="AX24" s="263">
        <v>683503</v>
      </c>
      <c r="AY24" s="263">
        <v>679877</v>
      </c>
      <c r="AZ24" s="263">
        <v>658114</v>
      </c>
      <c r="BA24" s="263">
        <v>654457</v>
      </c>
      <c r="BB24" s="263">
        <v>5588</v>
      </c>
      <c r="BC24" s="263">
        <v>4406</v>
      </c>
      <c r="BD24" s="263">
        <v>698616</v>
      </c>
      <c r="BE24" s="263">
        <v>693186</v>
      </c>
      <c r="BF24" s="263">
        <v>671918</v>
      </c>
      <c r="BG24" s="263">
        <v>666462</v>
      </c>
      <c r="BH24" s="263">
        <v>6056</v>
      </c>
      <c r="BI24" s="263">
        <v>4767</v>
      </c>
      <c r="BJ24" s="263">
        <v>716258</v>
      </c>
      <c r="BK24" s="263">
        <v>711983</v>
      </c>
      <c r="BL24" s="263">
        <v>687759</v>
      </c>
      <c r="BM24" s="263">
        <v>683535</v>
      </c>
      <c r="BN24" s="263">
        <v>6543</v>
      </c>
      <c r="BO24" s="263">
        <v>5227</v>
      </c>
      <c r="BP24" s="263">
        <v>736565</v>
      </c>
      <c r="BQ24" s="263">
        <v>732104</v>
      </c>
      <c r="BR24" s="263">
        <v>706286</v>
      </c>
      <c r="BS24" s="263">
        <v>702170</v>
      </c>
      <c r="BT24" s="263">
        <v>7151</v>
      </c>
      <c r="BU24" s="263">
        <v>5551</v>
      </c>
      <c r="BV24" s="263">
        <v>754978</v>
      </c>
      <c r="BW24" s="263">
        <v>750127</v>
      </c>
      <c r="BX24" s="263">
        <v>722964</v>
      </c>
      <c r="BY24" s="263">
        <v>718285</v>
      </c>
      <c r="BZ24" s="263">
        <v>7657</v>
      </c>
      <c r="CA24" s="263">
        <v>5971</v>
      </c>
      <c r="CB24" s="263">
        <v>769528</v>
      </c>
      <c r="CC24" s="263">
        <v>764792</v>
      </c>
      <c r="CD24" s="263">
        <v>736219</v>
      </c>
      <c r="CE24" s="263">
        <v>731524</v>
      </c>
      <c r="CF24" s="263">
        <v>7985</v>
      </c>
      <c r="CG24" s="263">
        <v>6259</v>
      </c>
      <c r="CH24" s="263">
        <v>779041</v>
      </c>
      <c r="CI24" s="263">
        <v>775398</v>
      </c>
      <c r="CJ24" s="263">
        <v>744244</v>
      </c>
      <c r="CK24" s="263">
        <v>740921</v>
      </c>
      <c r="CL24" s="263">
        <v>8449</v>
      </c>
      <c r="CM24" s="263">
        <v>6605</v>
      </c>
      <c r="CN24" s="263">
        <v>787182</v>
      </c>
      <c r="CO24" s="263">
        <v>783920</v>
      </c>
      <c r="CP24" s="263">
        <v>751397</v>
      </c>
      <c r="CQ24" s="263">
        <v>748336</v>
      </c>
      <c r="CR24" s="263">
        <v>8614</v>
      </c>
      <c r="CS24" s="263">
        <v>6741</v>
      </c>
    </row>
    <row r="25" spans="1:97">
      <c r="A25" s="191" t="s">
        <v>31</v>
      </c>
      <c r="B25" s="263">
        <v>5857333</v>
      </c>
      <c r="C25" s="263">
        <v>6151104</v>
      </c>
      <c r="D25" s="263">
        <v>4791099</v>
      </c>
      <c r="E25" s="263">
        <v>4961701</v>
      </c>
      <c r="F25" s="263">
        <v>867793</v>
      </c>
      <c r="G25" s="263">
        <v>982134</v>
      </c>
      <c r="H25" s="263">
        <v>5908358</v>
      </c>
      <c r="I25" s="263">
        <v>6193639</v>
      </c>
      <c r="J25" s="263">
        <v>4824707</v>
      </c>
      <c r="K25" s="263">
        <v>4983927</v>
      </c>
      <c r="L25" s="263">
        <v>876117</v>
      </c>
      <c r="M25" s="263">
        <v>992696</v>
      </c>
      <c r="N25" s="263">
        <v>5952466</v>
      </c>
      <c r="O25" s="263">
        <v>6233249</v>
      </c>
      <c r="P25" s="263">
        <v>4851609</v>
      </c>
      <c r="Q25" s="263">
        <v>5004105</v>
      </c>
      <c r="R25" s="263">
        <v>884801</v>
      </c>
      <c r="S25" s="263">
        <v>1002696</v>
      </c>
      <c r="T25" s="263">
        <v>5999491</v>
      </c>
      <c r="U25" s="263">
        <v>6272356</v>
      </c>
      <c r="V25" s="263">
        <v>4881104</v>
      </c>
      <c r="W25" s="263">
        <v>5024408</v>
      </c>
      <c r="X25" s="263">
        <v>893216</v>
      </c>
      <c r="Y25" s="263">
        <v>1010763</v>
      </c>
      <c r="Z25" s="263">
        <v>6045670</v>
      </c>
      <c r="AA25" s="263">
        <v>6313350</v>
      </c>
      <c r="AB25" s="263">
        <v>4906281</v>
      </c>
      <c r="AC25" s="263">
        <v>5045484</v>
      </c>
      <c r="AD25" s="263">
        <v>902429</v>
      </c>
      <c r="AE25" s="263">
        <v>1020831</v>
      </c>
      <c r="AF25" s="263">
        <v>6088884</v>
      </c>
      <c r="AG25" s="263">
        <v>6345277</v>
      </c>
      <c r="AH25" s="263">
        <v>4929054</v>
      </c>
      <c r="AI25" s="263">
        <v>5058781</v>
      </c>
      <c r="AJ25" s="263">
        <v>908855</v>
      </c>
      <c r="AK25" s="263">
        <v>1027677</v>
      </c>
      <c r="AL25" s="263">
        <v>6118002</v>
      </c>
      <c r="AM25" s="263">
        <v>6370443</v>
      </c>
      <c r="AN25" s="263">
        <v>4945920</v>
      </c>
      <c r="AO25" s="263">
        <v>5069579</v>
      </c>
      <c r="AP25" s="263">
        <v>910304</v>
      </c>
      <c r="AQ25" s="263">
        <v>1029945</v>
      </c>
      <c r="AR25" s="263">
        <v>6137659</v>
      </c>
      <c r="AS25" s="263">
        <v>6387897</v>
      </c>
      <c r="AT25" s="263">
        <v>4953956</v>
      </c>
      <c r="AU25" s="263">
        <v>5074378</v>
      </c>
      <c r="AV25" s="263">
        <v>911417</v>
      </c>
      <c r="AW25" s="263">
        <v>1030826</v>
      </c>
      <c r="AX25" s="263">
        <v>6153147</v>
      </c>
      <c r="AY25" s="263">
        <v>6402859</v>
      </c>
      <c r="AZ25" s="263">
        <v>4959900</v>
      </c>
      <c r="BA25" s="263">
        <v>5077409</v>
      </c>
      <c r="BB25" s="263">
        <v>910922</v>
      </c>
      <c r="BC25" s="263">
        <v>1031418</v>
      </c>
      <c r="BD25" s="263">
        <v>6175564</v>
      </c>
      <c r="BE25" s="263">
        <v>6414209</v>
      </c>
      <c r="BF25" s="263">
        <v>4969832</v>
      </c>
      <c r="BG25" s="263">
        <v>5078001</v>
      </c>
      <c r="BH25" s="263">
        <v>913045</v>
      </c>
      <c r="BI25" s="263">
        <v>1031428</v>
      </c>
      <c r="BJ25" s="263">
        <v>6186072</v>
      </c>
      <c r="BK25" s="263">
        <v>6423831</v>
      </c>
      <c r="BL25" s="263">
        <v>4969968</v>
      </c>
      <c r="BM25" s="263">
        <v>5076409</v>
      </c>
      <c r="BN25" s="263">
        <v>913540</v>
      </c>
      <c r="BO25" s="263">
        <v>1031313</v>
      </c>
      <c r="BP25" s="263">
        <v>6203933</v>
      </c>
      <c r="BQ25" s="263">
        <v>6440022</v>
      </c>
      <c r="BR25" s="263">
        <v>4975113</v>
      </c>
      <c r="BS25" s="263">
        <v>5079323</v>
      </c>
      <c r="BT25" s="263">
        <v>915160</v>
      </c>
      <c r="BU25" s="263">
        <v>1032676</v>
      </c>
      <c r="BV25" s="263">
        <v>6228289</v>
      </c>
      <c r="BW25" s="263">
        <v>6467577</v>
      </c>
      <c r="BX25" s="263">
        <v>4986628</v>
      </c>
      <c r="BY25" s="263">
        <v>5091715</v>
      </c>
      <c r="BZ25" s="263">
        <v>916207</v>
      </c>
      <c r="CA25" s="263">
        <v>1034950</v>
      </c>
      <c r="CB25" s="263">
        <v>6253501</v>
      </c>
      <c r="CC25" s="263">
        <v>6493537</v>
      </c>
      <c r="CD25" s="263">
        <v>4999575</v>
      </c>
      <c r="CE25" s="263">
        <v>5103088</v>
      </c>
      <c r="CF25" s="263">
        <v>917777</v>
      </c>
      <c r="CG25" s="263">
        <v>1037454</v>
      </c>
      <c r="CH25" s="263">
        <v>6276055</v>
      </c>
      <c r="CI25" s="263">
        <v>6520723</v>
      </c>
      <c r="CJ25" s="263">
        <v>5009049</v>
      </c>
      <c r="CK25" s="263">
        <v>5114689</v>
      </c>
      <c r="CL25" s="263">
        <v>920044</v>
      </c>
      <c r="CM25" s="263">
        <v>1040782</v>
      </c>
      <c r="CN25" s="263">
        <v>6299095</v>
      </c>
      <c r="CO25" s="263">
        <v>6542885</v>
      </c>
      <c r="CP25" s="263">
        <v>5017845</v>
      </c>
      <c r="CQ25" s="263">
        <v>5122054</v>
      </c>
      <c r="CR25" s="263">
        <v>924474</v>
      </c>
      <c r="CS25" s="263">
        <v>1045164</v>
      </c>
    </row>
    <row r="26" spans="1:97">
      <c r="A26" s="191" t="s">
        <v>32</v>
      </c>
      <c r="B26" s="263">
        <v>2852799</v>
      </c>
      <c r="C26" s="263">
        <v>2998660</v>
      </c>
      <c r="D26" s="263">
        <v>2590452</v>
      </c>
      <c r="E26" s="263">
        <v>2710704</v>
      </c>
      <c r="F26" s="263">
        <v>231370</v>
      </c>
      <c r="G26" s="263">
        <v>255500</v>
      </c>
      <c r="H26" s="263">
        <v>2882635</v>
      </c>
      <c r="I26" s="263">
        <v>3023378</v>
      </c>
      <c r="J26" s="263">
        <v>2614223</v>
      </c>
      <c r="K26" s="263">
        <v>2728981</v>
      </c>
      <c r="L26" s="263">
        <v>235492</v>
      </c>
      <c r="M26" s="263">
        <v>259819</v>
      </c>
      <c r="N26" s="263">
        <v>2909977</v>
      </c>
      <c r="O26" s="263">
        <v>3045290</v>
      </c>
      <c r="P26" s="263">
        <v>2633824</v>
      </c>
      <c r="Q26" s="263">
        <v>2744098</v>
      </c>
      <c r="R26" s="263">
        <v>241870</v>
      </c>
      <c r="S26" s="263">
        <v>264853</v>
      </c>
      <c r="T26" s="263">
        <v>2933703</v>
      </c>
      <c r="U26" s="263">
        <v>3065177</v>
      </c>
      <c r="V26" s="263">
        <v>2651316</v>
      </c>
      <c r="W26" s="263">
        <v>2757049</v>
      </c>
      <c r="X26" s="263">
        <v>246615</v>
      </c>
      <c r="Y26" s="263">
        <v>269789</v>
      </c>
      <c r="Z26" s="263">
        <v>2961618</v>
      </c>
      <c r="AA26" s="263">
        <v>3083351</v>
      </c>
      <c r="AB26" s="263">
        <v>2670936</v>
      </c>
      <c r="AC26" s="263">
        <v>2768991</v>
      </c>
      <c r="AD26" s="263">
        <v>251422</v>
      </c>
      <c r="AE26" s="263">
        <v>273749</v>
      </c>
      <c r="AF26" s="263">
        <v>2988697</v>
      </c>
      <c r="AG26" s="263">
        <v>3103169</v>
      </c>
      <c r="AH26" s="263">
        <v>2687658</v>
      </c>
      <c r="AI26" s="263">
        <v>2780236</v>
      </c>
      <c r="AJ26" s="263">
        <v>257085</v>
      </c>
      <c r="AK26" s="263">
        <v>278644</v>
      </c>
      <c r="AL26" s="263">
        <v>3007602</v>
      </c>
      <c r="AM26" s="263">
        <v>3120158</v>
      </c>
      <c r="AN26" s="263">
        <v>2698948</v>
      </c>
      <c r="AO26" s="263">
        <v>2789280</v>
      </c>
      <c r="AP26" s="263">
        <v>262126</v>
      </c>
      <c r="AQ26" s="263">
        <v>283848</v>
      </c>
      <c r="AR26" s="263">
        <v>3022625</v>
      </c>
      <c r="AS26" s="263">
        <v>3133342</v>
      </c>
      <c r="AT26" s="263">
        <v>2706803</v>
      </c>
      <c r="AU26" s="263">
        <v>2794992</v>
      </c>
      <c r="AV26" s="263">
        <v>266552</v>
      </c>
      <c r="AW26" s="263">
        <v>288465</v>
      </c>
      <c r="AX26" s="263">
        <v>3044272</v>
      </c>
      <c r="AY26" s="263">
        <v>3152366</v>
      </c>
      <c r="AZ26" s="263">
        <v>2720533</v>
      </c>
      <c r="BA26" s="263">
        <v>2805787</v>
      </c>
      <c r="BB26" s="263">
        <v>271681</v>
      </c>
      <c r="BC26" s="263">
        <v>293730</v>
      </c>
      <c r="BD26" s="263">
        <v>3064055</v>
      </c>
      <c r="BE26" s="263">
        <v>3168952</v>
      </c>
      <c r="BF26" s="263">
        <v>2732259</v>
      </c>
      <c r="BG26" s="263">
        <v>2814221</v>
      </c>
      <c r="BH26" s="263">
        <v>276916</v>
      </c>
      <c r="BI26" s="263">
        <v>298818</v>
      </c>
      <c r="BJ26" s="263">
        <v>3087135</v>
      </c>
      <c r="BK26" s="263">
        <v>3191481</v>
      </c>
      <c r="BL26" s="263">
        <v>2746926</v>
      </c>
      <c r="BM26" s="263">
        <v>2827616</v>
      </c>
      <c r="BN26" s="263">
        <v>282386</v>
      </c>
      <c r="BO26" s="263">
        <v>304557</v>
      </c>
      <c r="BP26" s="263">
        <v>3114466</v>
      </c>
      <c r="BQ26" s="263">
        <v>3218203</v>
      </c>
      <c r="BR26" s="263">
        <v>2764585</v>
      </c>
      <c r="BS26" s="263">
        <v>2843846</v>
      </c>
      <c r="BT26" s="263">
        <v>288673</v>
      </c>
      <c r="BU26" s="263">
        <v>311695</v>
      </c>
      <c r="BV26" s="263">
        <v>3138145</v>
      </c>
      <c r="BW26" s="263">
        <v>3241454</v>
      </c>
      <c r="BX26" s="263">
        <v>2779635</v>
      </c>
      <c r="BY26" s="263">
        <v>2857687</v>
      </c>
      <c r="BZ26" s="263">
        <v>294392</v>
      </c>
      <c r="CA26" s="263">
        <v>317941</v>
      </c>
      <c r="CB26" s="263">
        <v>3160843</v>
      </c>
      <c r="CC26" s="263">
        <v>3263963</v>
      </c>
      <c r="CD26" s="263">
        <v>2793841</v>
      </c>
      <c r="CE26" s="263">
        <v>2870969</v>
      </c>
      <c r="CF26" s="263">
        <v>300246</v>
      </c>
      <c r="CG26" s="263">
        <v>323939</v>
      </c>
      <c r="CH26" s="263">
        <v>3177848</v>
      </c>
      <c r="CI26" s="263">
        <v>3281477</v>
      </c>
      <c r="CJ26" s="263">
        <v>2802193</v>
      </c>
      <c r="CK26" s="263">
        <v>2879571</v>
      </c>
      <c r="CL26" s="263">
        <v>305632</v>
      </c>
      <c r="CM26" s="263">
        <v>329602</v>
      </c>
      <c r="CN26" s="263">
        <v>3193881</v>
      </c>
      <c r="CO26" s="263">
        <v>3296741</v>
      </c>
      <c r="CP26" s="263">
        <v>2810373</v>
      </c>
      <c r="CQ26" s="263">
        <v>2886042</v>
      </c>
      <c r="CR26" s="263">
        <v>310691</v>
      </c>
      <c r="CS26" s="263">
        <v>335106</v>
      </c>
    </row>
    <row r="27" spans="1:97">
      <c r="A27" s="191" t="s">
        <v>33</v>
      </c>
      <c r="B27" s="263">
        <v>1397861</v>
      </c>
      <c r="C27" s="263">
        <v>1469512</v>
      </c>
      <c r="D27" s="263">
        <v>1348467</v>
      </c>
      <c r="E27" s="263">
        <v>1420536</v>
      </c>
      <c r="F27" s="263">
        <v>29352</v>
      </c>
      <c r="G27" s="263">
        <v>28302</v>
      </c>
      <c r="H27" s="263">
        <v>1405791</v>
      </c>
      <c r="I27" s="263">
        <v>1474209</v>
      </c>
      <c r="J27" s="263">
        <v>1354823</v>
      </c>
      <c r="K27" s="263">
        <v>1423624</v>
      </c>
      <c r="L27" s="263">
        <v>30400</v>
      </c>
      <c r="M27" s="263">
        <v>29119</v>
      </c>
      <c r="N27" s="263">
        <v>1412673</v>
      </c>
      <c r="O27" s="263">
        <v>1478446</v>
      </c>
      <c r="P27" s="263">
        <v>1360248</v>
      </c>
      <c r="Q27" s="263">
        <v>1426677</v>
      </c>
      <c r="R27" s="263">
        <v>31288</v>
      </c>
      <c r="S27" s="263">
        <v>29799</v>
      </c>
      <c r="T27" s="263">
        <v>1419648</v>
      </c>
      <c r="U27" s="263">
        <v>1483224</v>
      </c>
      <c r="V27" s="263">
        <v>1365708</v>
      </c>
      <c r="W27" s="263">
        <v>1430143</v>
      </c>
      <c r="X27" s="263">
        <v>32450</v>
      </c>
      <c r="Y27" s="263">
        <v>30723</v>
      </c>
      <c r="Z27" s="263">
        <v>1429411</v>
      </c>
      <c r="AA27" s="263">
        <v>1488223</v>
      </c>
      <c r="AB27" s="263">
        <v>1372916</v>
      </c>
      <c r="AC27" s="263">
        <v>1433552</v>
      </c>
      <c r="AD27" s="263">
        <v>33795</v>
      </c>
      <c r="AE27" s="263">
        <v>31496</v>
      </c>
      <c r="AF27" s="263">
        <v>1437292</v>
      </c>
      <c r="AG27" s="263">
        <v>1491775</v>
      </c>
      <c r="AH27" s="263">
        <v>1375103</v>
      </c>
      <c r="AI27" s="263">
        <v>1432127</v>
      </c>
      <c r="AJ27" s="263">
        <v>36754</v>
      </c>
      <c r="AK27" s="263">
        <v>33838</v>
      </c>
      <c r="AL27" s="263">
        <v>1439710</v>
      </c>
      <c r="AM27" s="263">
        <v>1492287</v>
      </c>
      <c r="AN27" s="263">
        <v>1375397</v>
      </c>
      <c r="AO27" s="263">
        <v>1430441</v>
      </c>
      <c r="AP27" s="263">
        <v>38063</v>
      </c>
      <c r="AQ27" s="263">
        <v>35120</v>
      </c>
      <c r="AR27" s="263">
        <v>1442784</v>
      </c>
      <c r="AS27" s="263">
        <v>1491450</v>
      </c>
      <c r="AT27" s="263">
        <v>1375965</v>
      </c>
      <c r="AU27" s="263">
        <v>1427561</v>
      </c>
      <c r="AV27" s="263">
        <v>39644</v>
      </c>
      <c r="AW27" s="263">
        <v>36126</v>
      </c>
      <c r="AX27" s="263">
        <v>1448092</v>
      </c>
      <c r="AY27" s="263">
        <v>1493907</v>
      </c>
      <c r="AZ27" s="263">
        <v>1378448</v>
      </c>
      <c r="BA27" s="263">
        <v>1427556</v>
      </c>
      <c r="BB27" s="263">
        <v>41139</v>
      </c>
      <c r="BC27" s="263">
        <v>37508</v>
      </c>
      <c r="BD27" s="263">
        <v>1454747</v>
      </c>
      <c r="BE27" s="263">
        <v>1498888</v>
      </c>
      <c r="BF27" s="263">
        <v>1382123</v>
      </c>
      <c r="BG27" s="263">
        <v>1429900</v>
      </c>
      <c r="BH27" s="263">
        <v>42933</v>
      </c>
      <c r="BI27" s="263">
        <v>38973</v>
      </c>
      <c r="BJ27" s="263">
        <v>1461435</v>
      </c>
      <c r="BK27" s="263">
        <v>1503019</v>
      </c>
      <c r="BL27" s="263">
        <v>1385968</v>
      </c>
      <c r="BM27" s="263">
        <v>1431007</v>
      </c>
      <c r="BN27" s="263">
        <v>44848</v>
      </c>
      <c r="BO27" s="263">
        <v>40768</v>
      </c>
      <c r="BP27" s="263">
        <v>1471520</v>
      </c>
      <c r="BQ27" s="263">
        <v>1511124</v>
      </c>
      <c r="BR27" s="263">
        <v>1392522</v>
      </c>
      <c r="BS27" s="263">
        <v>1435786</v>
      </c>
      <c r="BT27" s="263">
        <v>47146</v>
      </c>
      <c r="BU27" s="263">
        <v>42885</v>
      </c>
      <c r="BV27" s="263">
        <v>1481189</v>
      </c>
      <c r="BW27" s="263">
        <v>1518023</v>
      </c>
      <c r="BX27" s="263">
        <v>1398264</v>
      </c>
      <c r="BY27" s="263">
        <v>1439268</v>
      </c>
      <c r="BZ27" s="263">
        <v>49732</v>
      </c>
      <c r="CA27" s="263">
        <v>45098</v>
      </c>
      <c r="CB27" s="263">
        <v>1491195</v>
      </c>
      <c r="CC27" s="263">
        <v>1525539</v>
      </c>
      <c r="CD27" s="263">
        <v>1404470</v>
      </c>
      <c r="CE27" s="263">
        <v>1443448</v>
      </c>
      <c r="CF27" s="263">
        <v>52346</v>
      </c>
      <c r="CG27" s="263">
        <v>47276</v>
      </c>
      <c r="CH27" s="263">
        <v>1500131</v>
      </c>
      <c r="CI27" s="263">
        <v>1532739</v>
      </c>
      <c r="CJ27" s="263">
        <v>1409638</v>
      </c>
      <c r="CK27" s="263">
        <v>1446818</v>
      </c>
      <c r="CL27" s="263">
        <v>54638</v>
      </c>
      <c r="CM27" s="263">
        <v>49407</v>
      </c>
      <c r="CN27" s="263">
        <v>1510584</v>
      </c>
      <c r="CO27" s="263">
        <v>1539618</v>
      </c>
      <c r="CP27" s="263">
        <v>1415865</v>
      </c>
      <c r="CQ27" s="263">
        <v>1450387</v>
      </c>
      <c r="CR27" s="263">
        <v>56871</v>
      </c>
      <c r="CS27" s="263">
        <v>51150</v>
      </c>
    </row>
    <row r="28" spans="1:97" s="90" customFormat="1">
      <c r="A28" s="191" t="s">
        <v>34</v>
      </c>
      <c r="B28" s="263">
        <v>1280944</v>
      </c>
      <c r="C28" s="263">
        <v>1320063</v>
      </c>
      <c r="D28" s="263">
        <v>1169922</v>
      </c>
      <c r="E28" s="263">
        <v>1207882</v>
      </c>
      <c r="F28" s="263">
        <v>78385</v>
      </c>
      <c r="G28" s="263">
        <v>78190</v>
      </c>
      <c r="H28" s="263">
        <v>1286805</v>
      </c>
      <c r="I28" s="263">
        <v>1327749</v>
      </c>
      <c r="J28" s="263">
        <v>1174662</v>
      </c>
      <c r="K28" s="263">
        <v>1213831</v>
      </c>
      <c r="L28" s="263">
        <v>78445</v>
      </c>
      <c r="M28" s="263">
        <v>78571</v>
      </c>
      <c r="N28" s="263">
        <v>1297783</v>
      </c>
      <c r="O28" s="263">
        <v>1337509</v>
      </c>
      <c r="P28" s="263">
        <v>1183648</v>
      </c>
      <c r="Q28" s="263">
        <v>1221585</v>
      </c>
      <c r="R28" s="263">
        <v>79227</v>
      </c>
      <c r="S28" s="263">
        <v>79330</v>
      </c>
      <c r="T28" s="263">
        <v>1311791</v>
      </c>
      <c r="U28" s="263">
        <v>1348807</v>
      </c>
      <c r="V28" s="263">
        <v>1193975</v>
      </c>
      <c r="W28" s="263">
        <v>1229638</v>
      </c>
      <c r="X28" s="263">
        <v>81170</v>
      </c>
      <c r="Y28" s="263">
        <v>81006</v>
      </c>
      <c r="Z28" s="263">
        <v>1322294</v>
      </c>
      <c r="AA28" s="263">
        <v>1356044</v>
      </c>
      <c r="AB28" s="263">
        <v>1200915</v>
      </c>
      <c r="AC28" s="263">
        <v>1234248</v>
      </c>
      <c r="AD28" s="263">
        <v>82831</v>
      </c>
      <c r="AE28" s="263">
        <v>82123</v>
      </c>
      <c r="AF28" s="263">
        <v>1331181</v>
      </c>
      <c r="AG28" s="263">
        <v>1362500</v>
      </c>
      <c r="AH28" s="263">
        <v>1204570</v>
      </c>
      <c r="AI28" s="263">
        <v>1236557</v>
      </c>
      <c r="AJ28" s="263">
        <v>84680</v>
      </c>
      <c r="AK28" s="263">
        <v>83376</v>
      </c>
      <c r="AL28" s="263">
        <v>1336196</v>
      </c>
      <c r="AM28" s="263">
        <v>1365966</v>
      </c>
      <c r="AN28" s="263">
        <v>1207392</v>
      </c>
      <c r="AO28" s="263">
        <v>1237363</v>
      </c>
      <c r="AP28" s="263">
        <v>85408</v>
      </c>
      <c r="AQ28" s="263">
        <v>84263</v>
      </c>
      <c r="AR28" s="263">
        <v>1341637</v>
      </c>
      <c r="AS28" s="263">
        <v>1371898</v>
      </c>
      <c r="AT28" s="263">
        <v>1210032</v>
      </c>
      <c r="AU28" s="263">
        <v>1240111</v>
      </c>
      <c r="AV28" s="263">
        <v>86412</v>
      </c>
      <c r="AW28" s="263">
        <v>85378</v>
      </c>
      <c r="AX28" s="263">
        <v>1345589</v>
      </c>
      <c r="AY28" s="263">
        <v>1377415</v>
      </c>
      <c r="AZ28" s="263">
        <v>1211445</v>
      </c>
      <c r="BA28" s="263">
        <v>1243290</v>
      </c>
      <c r="BB28" s="263">
        <v>87152</v>
      </c>
      <c r="BC28" s="263">
        <v>85944</v>
      </c>
      <c r="BD28" s="263">
        <v>1351977</v>
      </c>
      <c r="BE28" s="263">
        <v>1382396</v>
      </c>
      <c r="BF28" s="263">
        <v>1215185</v>
      </c>
      <c r="BG28" s="263">
        <v>1245793</v>
      </c>
      <c r="BH28" s="263">
        <v>88457</v>
      </c>
      <c r="BI28" s="263">
        <v>86853</v>
      </c>
      <c r="BJ28" s="263">
        <v>1357341</v>
      </c>
      <c r="BK28" s="263">
        <v>1387958</v>
      </c>
      <c r="BL28" s="263">
        <v>1218228</v>
      </c>
      <c r="BM28" s="263">
        <v>1248977</v>
      </c>
      <c r="BN28" s="263">
        <v>89284</v>
      </c>
      <c r="BO28" s="263">
        <v>87465</v>
      </c>
      <c r="BP28" s="263">
        <v>1368839</v>
      </c>
      <c r="BQ28" s="263">
        <v>1394092</v>
      </c>
      <c r="BR28" s="263">
        <v>1226076</v>
      </c>
      <c r="BS28" s="263">
        <v>1252316</v>
      </c>
      <c r="BT28" s="263">
        <v>91620</v>
      </c>
      <c r="BU28" s="263">
        <v>88889</v>
      </c>
      <c r="BV28" s="263">
        <v>1378080</v>
      </c>
      <c r="BW28" s="263">
        <v>1405705</v>
      </c>
      <c r="BX28" s="263">
        <v>1232339</v>
      </c>
      <c r="BY28" s="263">
        <v>1260320</v>
      </c>
      <c r="BZ28" s="263">
        <v>93116</v>
      </c>
      <c r="CA28" s="263">
        <v>90696</v>
      </c>
      <c r="CB28" s="263">
        <v>1392513</v>
      </c>
      <c r="CC28" s="263">
        <v>1415563</v>
      </c>
      <c r="CD28" s="263">
        <v>1241957</v>
      </c>
      <c r="CE28" s="263">
        <v>1266406</v>
      </c>
      <c r="CF28" s="263">
        <v>96010</v>
      </c>
      <c r="CG28" s="263">
        <v>92475</v>
      </c>
      <c r="CH28" s="263">
        <v>1404565</v>
      </c>
      <c r="CI28" s="263">
        <v>1428139</v>
      </c>
      <c r="CJ28" s="263">
        <v>1250055</v>
      </c>
      <c r="CK28" s="263">
        <v>1275042</v>
      </c>
      <c r="CL28" s="263">
        <v>97768</v>
      </c>
      <c r="CM28" s="263">
        <v>94290</v>
      </c>
      <c r="CN28" s="263">
        <v>1419353</v>
      </c>
      <c r="CO28" s="263">
        <v>1439790</v>
      </c>
      <c r="CP28" s="263">
        <v>1260329</v>
      </c>
      <c r="CQ28" s="263">
        <v>1282373</v>
      </c>
      <c r="CR28" s="263">
        <v>100378</v>
      </c>
      <c r="CS28" s="263">
        <v>96286</v>
      </c>
    </row>
    <row r="29" spans="1:97" s="90" customFormat="1">
      <c r="A29" s="191" t="s">
        <v>35</v>
      </c>
      <c r="B29" s="263">
        <v>1889990</v>
      </c>
      <c r="C29" s="263">
        <v>1997437</v>
      </c>
      <c r="D29" s="263">
        <v>1740184</v>
      </c>
      <c r="E29" s="263">
        <v>1834170</v>
      </c>
      <c r="F29" s="263">
        <v>135798</v>
      </c>
      <c r="G29" s="263">
        <v>148002</v>
      </c>
      <c r="H29" s="263">
        <v>1906587</v>
      </c>
      <c r="I29" s="263">
        <v>2012948</v>
      </c>
      <c r="J29" s="263">
        <v>1753523</v>
      </c>
      <c r="K29" s="263">
        <v>1846500</v>
      </c>
      <c r="L29" s="263">
        <v>137886</v>
      </c>
      <c r="M29" s="263">
        <v>149989</v>
      </c>
      <c r="N29" s="263">
        <v>1924678</v>
      </c>
      <c r="O29" s="263">
        <v>2028069</v>
      </c>
      <c r="P29" s="263">
        <v>1767998</v>
      </c>
      <c r="Q29" s="263">
        <v>1858607</v>
      </c>
      <c r="R29" s="263">
        <v>140784</v>
      </c>
      <c r="S29" s="263">
        <v>152036</v>
      </c>
      <c r="T29" s="263">
        <v>1942650</v>
      </c>
      <c r="U29" s="263">
        <v>2042740</v>
      </c>
      <c r="V29" s="263">
        <v>1781569</v>
      </c>
      <c r="W29" s="263">
        <v>1870314</v>
      </c>
      <c r="X29" s="263">
        <v>144231</v>
      </c>
      <c r="Y29" s="263">
        <v>153919</v>
      </c>
      <c r="Z29" s="263">
        <v>1961652</v>
      </c>
      <c r="AA29" s="263">
        <v>2056401</v>
      </c>
      <c r="AB29" s="263">
        <v>1796038</v>
      </c>
      <c r="AC29" s="263">
        <v>1880797</v>
      </c>
      <c r="AD29" s="263">
        <v>147415</v>
      </c>
      <c r="AE29" s="263">
        <v>156229</v>
      </c>
      <c r="AF29" s="263">
        <v>1979305</v>
      </c>
      <c r="AG29" s="263">
        <v>2069716</v>
      </c>
      <c r="AH29" s="263">
        <v>1806927</v>
      </c>
      <c r="AI29" s="263">
        <v>1888959</v>
      </c>
      <c r="AJ29" s="263">
        <v>150741</v>
      </c>
      <c r="AK29" s="263">
        <v>158331</v>
      </c>
      <c r="AL29" s="263">
        <v>1991261</v>
      </c>
      <c r="AM29" s="263">
        <v>2076871</v>
      </c>
      <c r="AN29" s="263">
        <v>1814544</v>
      </c>
      <c r="AO29" s="263">
        <v>1892815</v>
      </c>
      <c r="AP29" s="263">
        <v>153774</v>
      </c>
      <c r="AQ29" s="263">
        <v>160394</v>
      </c>
      <c r="AR29" s="263">
        <v>2002652</v>
      </c>
      <c r="AS29" s="263">
        <v>2087223</v>
      </c>
      <c r="AT29" s="263">
        <v>1822631</v>
      </c>
      <c r="AU29" s="263">
        <v>1899528</v>
      </c>
      <c r="AV29" s="263">
        <v>155962</v>
      </c>
      <c r="AW29" s="263">
        <v>162609</v>
      </c>
      <c r="AX29" s="263">
        <v>2014862</v>
      </c>
      <c r="AY29" s="263">
        <v>2102308</v>
      </c>
      <c r="AZ29" s="263">
        <v>1832126</v>
      </c>
      <c r="BA29" s="263">
        <v>1911217</v>
      </c>
      <c r="BB29" s="263">
        <v>157518</v>
      </c>
      <c r="BC29" s="263">
        <v>164736</v>
      </c>
      <c r="BD29" s="263">
        <v>2034050</v>
      </c>
      <c r="BE29" s="263">
        <v>2112051</v>
      </c>
      <c r="BF29" s="263">
        <v>1845594</v>
      </c>
      <c r="BG29" s="263">
        <v>1917417</v>
      </c>
      <c r="BH29" s="263">
        <v>161629</v>
      </c>
      <c r="BI29" s="263">
        <v>166917</v>
      </c>
      <c r="BJ29" s="263">
        <v>2053084</v>
      </c>
      <c r="BK29" s="263">
        <v>2129658</v>
      </c>
      <c r="BL29" s="263">
        <v>1860223</v>
      </c>
      <c r="BM29" s="263">
        <v>1930529</v>
      </c>
      <c r="BN29" s="263">
        <v>164667</v>
      </c>
      <c r="BO29" s="263">
        <v>169735</v>
      </c>
      <c r="BP29" s="263">
        <v>2070143</v>
      </c>
      <c r="BQ29" s="263">
        <v>2149096</v>
      </c>
      <c r="BR29" s="263">
        <v>1873675</v>
      </c>
      <c r="BS29" s="263">
        <v>1945648</v>
      </c>
      <c r="BT29" s="263">
        <v>167240</v>
      </c>
      <c r="BU29" s="263">
        <v>172496</v>
      </c>
      <c r="BV29" s="263">
        <v>2092462</v>
      </c>
      <c r="BW29" s="263">
        <v>2164210</v>
      </c>
      <c r="BX29" s="263">
        <v>1890200</v>
      </c>
      <c r="BY29" s="263">
        <v>1956423</v>
      </c>
      <c r="BZ29" s="263">
        <v>171611</v>
      </c>
      <c r="CA29" s="263">
        <v>175450</v>
      </c>
      <c r="CB29" s="263">
        <v>2106346</v>
      </c>
      <c r="CC29" s="263">
        <v>2183532</v>
      </c>
      <c r="CD29" s="263">
        <v>1901122</v>
      </c>
      <c r="CE29" s="263">
        <v>1971188</v>
      </c>
      <c r="CF29" s="263">
        <v>173574</v>
      </c>
      <c r="CG29" s="263">
        <v>178462</v>
      </c>
      <c r="CH29" s="263">
        <v>2123938</v>
      </c>
      <c r="CI29" s="263">
        <v>2193136</v>
      </c>
      <c r="CJ29" s="263">
        <v>1912737</v>
      </c>
      <c r="CK29" s="263">
        <v>1976761</v>
      </c>
      <c r="CL29" s="263">
        <v>178066</v>
      </c>
      <c r="CM29" s="263">
        <v>181162</v>
      </c>
      <c r="CN29" s="263">
        <v>2137849</v>
      </c>
      <c r="CO29" s="263">
        <v>2209374</v>
      </c>
      <c r="CP29" s="263">
        <v>1922634</v>
      </c>
      <c r="CQ29" s="263">
        <v>1988228</v>
      </c>
      <c r="CR29" s="263">
        <v>180889</v>
      </c>
      <c r="CS29" s="263">
        <v>184558</v>
      </c>
    </row>
    <row r="30" spans="1:97">
      <c r="A30" s="191" t="s">
        <v>36</v>
      </c>
      <c r="B30" s="263">
        <v>2113978</v>
      </c>
      <c r="C30" s="263">
        <v>2264801</v>
      </c>
      <c r="D30" s="263">
        <v>1417950</v>
      </c>
      <c r="E30" s="263">
        <v>1481105</v>
      </c>
      <c r="F30" s="263">
        <v>659210</v>
      </c>
      <c r="G30" s="263">
        <v>746689</v>
      </c>
      <c r="H30" s="263">
        <v>2124028</v>
      </c>
      <c r="I30" s="263">
        <v>2274849</v>
      </c>
      <c r="J30" s="263">
        <v>1418775</v>
      </c>
      <c r="K30" s="263">
        <v>1481746</v>
      </c>
      <c r="L30" s="263">
        <v>666942</v>
      </c>
      <c r="M30" s="263">
        <v>754581</v>
      </c>
      <c r="N30" s="263">
        <v>2135933</v>
      </c>
      <c r="O30" s="263">
        <v>2285138</v>
      </c>
      <c r="P30" s="263">
        <v>1422532</v>
      </c>
      <c r="Q30" s="263">
        <v>1483893</v>
      </c>
      <c r="R30" s="263">
        <v>674131</v>
      </c>
      <c r="S30" s="263">
        <v>761558</v>
      </c>
      <c r="T30" s="263">
        <v>2146944</v>
      </c>
      <c r="U30" s="263">
        <v>2293400</v>
      </c>
      <c r="V30" s="263">
        <v>1425433</v>
      </c>
      <c r="W30" s="263">
        <v>1485802</v>
      </c>
      <c r="X30" s="263">
        <v>681410</v>
      </c>
      <c r="Y30" s="263">
        <v>766946</v>
      </c>
      <c r="Z30" s="263">
        <v>2158067</v>
      </c>
      <c r="AA30" s="263">
        <v>2302744</v>
      </c>
      <c r="AB30" s="263">
        <v>1428404</v>
      </c>
      <c r="AC30" s="263">
        <v>1487157</v>
      </c>
      <c r="AD30" s="263">
        <v>687824</v>
      </c>
      <c r="AE30" s="263">
        <v>773609</v>
      </c>
      <c r="AF30" s="263">
        <v>2164907</v>
      </c>
      <c r="AG30" s="263">
        <v>2306978</v>
      </c>
      <c r="AH30" s="263">
        <v>1427311</v>
      </c>
      <c r="AI30" s="263">
        <v>1484729</v>
      </c>
      <c r="AJ30" s="263">
        <v>692740</v>
      </c>
      <c r="AK30" s="263">
        <v>777942</v>
      </c>
      <c r="AL30" s="263">
        <v>2169812</v>
      </c>
      <c r="AM30" s="263">
        <v>2308063</v>
      </c>
      <c r="AN30" s="263">
        <v>1427940</v>
      </c>
      <c r="AO30" s="263">
        <v>1482470</v>
      </c>
      <c r="AP30" s="263">
        <v>695880</v>
      </c>
      <c r="AQ30" s="263">
        <v>780095</v>
      </c>
      <c r="AR30" s="263">
        <v>2181743</v>
      </c>
      <c r="AS30" s="263">
        <v>2315524</v>
      </c>
      <c r="AT30" s="263">
        <v>1432723</v>
      </c>
      <c r="AU30" s="263">
        <v>1484245</v>
      </c>
      <c r="AV30" s="263">
        <v>701426</v>
      </c>
      <c r="AW30" s="263">
        <v>784149</v>
      </c>
      <c r="AX30" s="263">
        <v>2193889</v>
      </c>
      <c r="AY30" s="263">
        <v>2327153</v>
      </c>
      <c r="AZ30" s="263">
        <v>1437559</v>
      </c>
      <c r="BA30" s="263">
        <v>1488962</v>
      </c>
      <c r="BB30" s="263">
        <v>707224</v>
      </c>
      <c r="BC30" s="263">
        <v>789385</v>
      </c>
      <c r="BD30" s="263">
        <v>2213485</v>
      </c>
      <c r="BE30" s="263">
        <v>2338753</v>
      </c>
      <c r="BF30" s="263">
        <v>1448163</v>
      </c>
      <c r="BG30" s="263">
        <v>1492737</v>
      </c>
      <c r="BH30" s="263">
        <v>714370</v>
      </c>
      <c r="BI30" s="263">
        <v>795452</v>
      </c>
      <c r="BJ30" s="263">
        <v>2148195</v>
      </c>
      <c r="BK30" s="263">
        <v>2263201</v>
      </c>
      <c r="BL30" s="263">
        <v>1416896</v>
      </c>
      <c r="BM30" s="263">
        <v>1458262</v>
      </c>
      <c r="BN30" s="263">
        <v>681103</v>
      </c>
      <c r="BO30" s="263">
        <v>754745</v>
      </c>
      <c r="BP30" s="263">
        <v>2098593</v>
      </c>
      <c r="BQ30" s="263">
        <v>2204072</v>
      </c>
      <c r="BR30" s="263">
        <v>1397595</v>
      </c>
      <c r="BS30" s="263">
        <v>1436492</v>
      </c>
      <c r="BT30" s="263">
        <v>651577</v>
      </c>
      <c r="BU30" s="263">
        <v>717890</v>
      </c>
      <c r="BV30" s="263">
        <v>2136456</v>
      </c>
      <c r="BW30" s="263">
        <v>2239125</v>
      </c>
      <c r="BX30" s="263">
        <v>1413477</v>
      </c>
      <c r="BY30" s="263">
        <v>1447623</v>
      </c>
      <c r="BZ30" s="263">
        <v>671552</v>
      </c>
      <c r="CA30" s="263">
        <v>739844</v>
      </c>
      <c r="CB30" s="263">
        <v>2165956</v>
      </c>
      <c r="CC30" s="263">
        <v>2269630</v>
      </c>
      <c r="CD30" s="263">
        <v>1425574</v>
      </c>
      <c r="CE30" s="263">
        <v>1458073</v>
      </c>
      <c r="CF30" s="263">
        <v>686929</v>
      </c>
      <c r="CG30" s="263">
        <v>757547</v>
      </c>
      <c r="CH30" s="263">
        <v>2196449</v>
      </c>
      <c r="CI30" s="263">
        <v>2295199</v>
      </c>
      <c r="CJ30" s="263">
        <v>1441386</v>
      </c>
      <c r="CK30" s="263">
        <v>1469123</v>
      </c>
      <c r="CL30" s="263">
        <v>699070</v>
      </c>
      <c r="CM30" s="263">
        <v>769918</v>
      </c>
      <c r="CN30" s="263">
        <v>2226226</v>
      </c>
      <c r="CO30" s="263">
        <v>2319117</v>
      </c>
      <c r="CP30" s="263">
        <v>1457261</v>
      </c>
      <c r="CQ30" s="263">
        <v>1479810</v>
      </c>
      <c r="CR30" s="263">
        <v>710673</v>
      </c>
      <c r="CS30" s="263">
        <v>781063</v>
      </c>
    </row>
    <row r="31" spans="1:97">
      <c r="A31" s="191" t="s">
        <v>37</v>
      </c>
      <c r="B31" s="263">
        <v>604384</v>
      </c>
      <c r="C31" s="263">
        <v>639096</v>
      </c>
      <c r="D31" s="263">
        <v>594380</v>
      </c>
      <c r="E31" s="263">
        <v>628882</v>
      </c>
      <c r="F31" s="263">
        <v>3189</v>
      </c>
      <c r="G31" s="263">
        <v>2373</v>
      </c>
      <c r="H31" s="263">
        <v>607365</v>
      </c>
      <c r="I31" s="263">
        <v>641695</v>
      </c>
      <c r="J31" s="263">
        <v>596987</v>
      </c>
      <c r="K31" s="263">
        <v>631072</v>
      </c>
      <c r="L31" s="263">
        <v>3410</v>
      </c>
      <c r="M31" s="263">
        <v>2591</v>
      </c>
      <c r="N31" s="263">
        <v>609904</v>
      </c>
      <c r="O31" s="263">
        <v>644870</v>
      </c>
      <c r="P31" s="263">
        <v>598973</v>
      </c>
      <c r="Q31" s="263">
        <v>633549</v>
      </c>
      <c r="R31" s="263">
        <v>3747</v>
      </c>
      <c r="S31" s="263">
        <v>2894</v>
      </c>
      <c r="T31" s="263">
        <v>612062</v>
      </c>
      <c r="U31" s="263">
        <v>647065</v>
      </c>
      <c r="V31" s="263">
        <v>600295</v>
      </c>
      <c r="W31" s="263">
        <v>634961</v>
      </c>
      <c r="X31" s="263">
        <v>4191</v>
      </c>
      <c r="Y31" s="263">
        <v>3241</v>
      </c>
      <c r="Z31" s="263">
        <v>616210</v>
      </c>
      <c r="AA31" s="263">
        <v>650598</v>
      </c>
      <c r="AB31" s="263">
        <v>603880</v>
      </c>
      <c r="AC31" s="263">
        <v>638096</v>
      </c>
      <c r="AD31" s="263">
        <v>4365</v>
      </c>
      <c r="AE31" s="263">
        <v>3180</v>
      </c>
      <c r="AF31" s="263">
        <v>621527</v>
      </c>
      <c r="AG31" s="263">
        <v>655545</v>
      </c>
      <c r="AH31" s="263">
        <v>607817</v>
      </c>
      <c r="AI31" s="263">
        <v>641870</v>
      </c>
      <c r="AJ31" s="263">
        <v>5070</v>
      </c>
      <c r="AK31" s="263">
        <v>3748</v>
      </c>
      <c r="AL31" s="263">
        <v>626035</v>
      </c>
      <c r="AM31" s="263">
        <v>659657</v>
      </c>
      <c r="AN31" s="263">
        <v>611400</v>
      </c>
      <c r="AO31" s="263">
        <v>644997</v>
      </c>
      <c r="AP31" s="263">
        <v>5666</v>
      </c>
      <c r="AQ31" s="263">
        <v>4278</v>
      </c>
      <c r="AR31" s="263">
        <v>631734</v>
      </c>
      <c r="AS31" s="263">
        <v>664226</v>
      </c>
      <c r="AT31" s="263">
        <v>616029</v>
      </c>
      <c r="AU31" s="263">
        <v>648588</v>
      </c>
      <c r="AV31" s="263">
        <v>6310</v>
      </c>
      <c r="AW31" s="263">
        <v>4795</v>
      </c>
      <c r="AX31" s="263">
        <v>637833</v>
      </c>
      <c r="AY31" s="263">
        <v>668680</v>
      </c>
      <c r="AZ31" s="263">
        <v>620869</v>
      </c>
      <c r="BA31" s="263">
        <v>651958</v>
      </c>
      <c r="BB31" s="263">
        <v>7182</v>
      </c>
      <c r="BC31" s="263">
        <v>5431</v>
      </c>
      <c r="BD31" s="263">
        <v>641826</v>
      </c>
      <c r="BE31" s="263">
        <v>671862</v>
      </c>
      <c r="BF31" s="263">
        <v>623951</v>
      </c>
      <c r="BG31" s="263">
        <v>654131</v>
      </c>
      <c r="BH31" s="263">
        <v>7761</v>
      </c>
      <c r="BI31" s="263">
        <v>5997</v>
      </c>
      <c r="BJ31" s="263">
        <v>644683</v>
      </c>
      <c r="BK31" s="263">
        <v>674104</v>
      </c>
      <c r="BL31" s="263">
        <v>625752</v>
      </c>
      <c r="BM31" s="263">
        <v>655339</v>
      </c>
      <c r="BN31" s="263">
        <v>8441</v>
      </c>
      <c r="BO31" s="263">
        <v>6646</v>
      </c>
      <c r="BP31" s="263">
        <v>647462</v>
      </c>
      <c r="BQ31" s="263">
        <v>676157</v>
      </c>
      <c r="BR31" s="263">
        <v>627671</v>
      </c>
      <c r="BS31" s="263">
        <v>656453</v>
      </c>
      <c r="BT31" s="263">
        <v>9080</v>
      </c>
      <c r="BU31" s="263">
        <v>7163</v>
      </c>
      <c r="BV31" s="263">
        <v>649243</v>
      </c>
      <c r="BW31" s="263">
        <v>677797</v>
      </c>
      <c r="BX31" s="263">
        <v>628565</v>
      </c>
      <c r="BY31" s="263">
        <v>657263</v>
      </c>
      <c r="BZ31" s="263">
        <v>9616</v>
      </c>
      <c r="CA31" s="263">
        <v>7723</v>
      </c>
      <c r="CB31" s="263">
        <v>651096</v>
      </c>
      <c r="CC31" s="263">
        <v>679413</v>
      </c>
      <c r="CD31" s="263">
        <v>629432</v>
      </c>
      <c r="CE31" s="263">
        <v>657885</v>
      </c>
      <c r="CF31" s="263">
        <v>10217</v>
      </c>
      <c r="CG31" s="263">
        <v>8288</v>
      </c>
      <c r="CH31" s="263">
        <v>650896</v>
      </c>
      <c r="CI31" s="263">
        <v>678694</v>
      </c>
      <c r="CJ31" s="263">
        <v>628363</v>
      </c>
      <c r="CK31" s="263">
        <v>656481</v>
      </c>
      <c r="CL31" s="263">
        <v>10784</v>
      </c>
      <c r="CM31" s="263">
        <v>8668</v>
      </c>
      <c r="CN31" s="263">
        <v>649621</v>
      </c>
      <c r="CO31" s="263">
        <v>677758</v>
      </c>
      <c r="CP31" s="263">
        <v>626803</v>
      </c>
      <c r="CQ31" s="263">
        <v>655136</v>
      </c>
      <c r="CR31" s="263">
        <v>10910</v>
      </c>
      <c r="CS31" s="263">
        <v>8822</v>
      </c>
    </row>
    <row r="32" spans="1:97">
      <c r="A32" s="191" t="s">
        <v>38</v>
      </c>
      <c r="B32" s="263">
        <v>2453522</v>
      </c>
      <c r="C32" s="263">
        <v>2616511</v>
      </c>
      <c r="D32" s="263">
        <v>1713270</v>
      </c>
      <c r="E32" s="263">
        <v>1783772</v>
      </c>
      <c r="F32" s="263">
        <v>643413</v>
      </c>
      <c r="G32" s="263">
        <v>728398</v>
      </c>
      <c r="H32" s="263">
        <v>2472163</v>
      </c>
      <c r="I32" s="263">
        <v>2639823</v>
      </c>
      <c r="J32" s="263">
        <v>1712379</v>
      </c>
      <c r="K32" s="263">
        <v>1783129</v>
      </c>
      <c r="L32" s="263">
        <v>658841</v>
      </c>
      <c r="M32" s="263">
        <v>747297</v>
      </c>
      <c r="N32" s="263">
        <v>2492434</v>
      </c>
      <c r="O32" s="263">
        <v>2664894</v>
      </c>
      <c r="P32" s="263">
        <v>1713678</v>
      </c>
      <c r="Q32" s="263">
        <v>1784598</v>
      </c>
      <c r="R32" s="263">
        <v>673255</v>
      </c>
      <c r="S32" s="263">
        <v>765413</v>
      </c>
      <c r="T32" s="263">
        <v>2513374</v>
      </c>
      <c r="U32" s="263">
        <v>2691090</v>
      </c>
      <c r="V32" s="263">
        <v>1715889</v>
      </c>
      <c r="W32" s="263">
        <v>1788015</v>
      </c>
      <c r="X32" s="263">
        <v>688304</v>
      </c>
      <c r="Y32" s="263">
        <v>783692</v>
      </c>
      <c r="Z32" s="263">
        <v>2537581</v>
      </c>
      <c r="AA32" s="263">
        <v>2716928</v>
      </c>
      <c r="AB32" s="263">
        <v>1719420</v>
      </c>
      <c r="AC32" s="263">
        <v>1792223</v>
      </c>
      <c r="AD32" s="263">
        <v>703204</v>
      </c>
      <c r="AE32" s="263">
        <v>800328</v>
      </c>
      <c r="AF32" s="263">
        <v>2565003</v>
      </c>
      <c r="AG32" s="263">
        <v>2746031</v>
      </c>
      <c r="AH32" s="263">
        <v>1727934</v>
      </c>
      <c r="AI32" s="263">
        <v>1800184</v>
      </c>
      <c r="AJ32" s="263">
        <v>715076</v>
      </c>
      <c r="AK32" s="263">
        <v>815277</v>
      </c>
      <c r="AL32" s="263">
        <v>2594827</v>
      </c>
      <c r="AM32" s="263">
        <v>2779864</v>
      </c>
      <c r="AN32" s="263">
        <v>1737451</v>
      </c>
      <c r="AO32" s="263">
        <v>1809431</v>
      </c>
      <c r="AP32" s="263">
        <v>728882</v>
      </c>
      <c r="AQ32" s="263">
        <v>832609</v>
      </c>
      <c r="AR32" s="263">
        <v>2625192</v>
      </c>
      <c r="AS32" s="263">
        <v>2815197</v>
      </c>
      <c r="AT32" s="263">
        <v>1747605</v>
      </c>
      <c r="AU32" s="263">
        <v>1819239</v>
      </c>
      <c r="AV32" s="263">
        <v>742296</v>
      </c>
      <c r="AW32" s="263">
        <v>850537</v>
      </c>
      <c r="AX32" s="263">
        <v>2652422</v>
      </c>
      <c r="AY32" s="263">
        <v>2843847</v>
      </c>
      <c r="AZ32" s="263">
        <v>1754736</v>
      </c>
      <c r="BA32" s="263">
        <v>1824783</v>
      </c>
      <c r="BB32" s="263">
        <v>755692</v>
      </c>
      <c r="BC32" s="263">
        <v>866164</v>
      </c>
      <c r="BD32" s="263">
        <v>2676892</v>
      </c>
      <c r="BE32" s="263">
        <v>2870043</v>
      </c>
      <c r="BF32" s="263">
        <v>1758529</v>
      </c>
      <c r="BG32" s="263">
        <v>1827260</v>
      </c>
      <c r="BH32" s="263">
        <v>769611</v>
      </c>
      <c r="BI32" s="263">
        <v>882405</v>
      </c>
      <c r="BJ32" s="263">
        <v>2700618</v>
      </c>
      <c r="BK32" s="263">
        <v>2891761</v>
      </c>
      <c r="BL32" s="263">
        <v>1761336</v>
      </c>
      <c r="BM32" s="263">
        <v>1826650</v>
      </c>
      <c r="BN32" s="263">
        <v>783622</v>
      </c>
      <c r="BO32" s="263">
        <v>897085</v>
      </c>
      <c r="BP32" s="263">
        <v>2719404</v>
      </c>
      <c r="BQ32" s="263">
        <v>2907963</v>
      </c>
      <c r="BR32" s="263">
        <v>1762089</v>
      </c>
      <c r="BS32" s="263">
        <v>1822796</v>
      </c>
      <c r="BT32" s="263">
        <v>795182</v>
      </c>
      <c r="BU32" s="263">
        <v>910116</v>
      </c>
      <c r="BV32" s="263">
        <v>2733299</v>
      </c>
      <c r="BW32" s="263">
        <v>2920109</v>
      </c>
      <c r="BX32" s="263">
        <v>1760853</v>
      </c>
      <c r="BY32" s="263">
        <v>1818038</v>
      </c>
      <c r="BZ32" s="263">
        <v>803967</v>
      </c>
      <c r="CA32" s="263">
        <v>920237</v>
      </c>
      <c r="CB32" s="263">
        <v>2749177</v>
      </c>
      <c r="CC32" s="263">
        <v>2935788</v>
      </c>
      <c r="CD32" s="263">
        <v>1761956</v>
      </c>
      <c r="CE32" s="263">
        <v>1817711</v>
      </c>
      <c r="CF32" s="263">
        <v>812484</v>
      </c>
      <c r="CG32" s="263">
        <v>929283</v>
      </c>
      <c r="CH32" s="263">
        <v>2770387</v>
      </c>
      <c r="CI32" s="263">
        <v>2960001</v>
      </c>
      <c r="CJ32" s="263">
        <v>1766600</v>
      </c>
      <c r="CK32" s="263">
        <v>1821221</v>
      </c>
      <c r="CL32" s="263">
        <v>822410</v>
      </c>
      <c r="CM32" s="263">
        <v>942234</v>
      </c>
      <c r="CN32" s="263">
        <v>2798200</v>
      </c>
      <c r="CO32" s="263">
        <v>2987481</v>
      </c>
      <c r="CP32" s="263">
        <v>1776945</v>
      </c>
      <c r="CQ32" s="263">
        <v>1829241</v>
      </c>
      <c r="CR32" s="263">
        <v>833249</v>
      </c>
      <c r="CS32" s="263">
        <v>954436</v>
      </c>
    </row>
    <row r="33" spans="1:97">
      <c r="A33" s="191" t="s">
        <v>39</v>
      </c>
      <c r="B33" s="263">
        <v>2954373</v>
      </c>
      <c r="C33" s="263">
        <v>3187072</v>
      </c>
      <c r="D33" s="263">
        <v>2670358</v>
      </c>
      <c r="E33" s="263">
        <v>2884369</v>
      </c>
      <c r="F33" s="263">
        <v>179480</v>
      </c>
      <c r="G33" s="263">
        <v>192764</v>
      </c>
      <c r="H33" s="263">
        <v>2973307</v>
      </c>
      <c r="I33" s="263">
        <v>3206449</v>
      </c>
      <c r="J33" s="263">
        <v>2680472</v>
      </c>
      <c r="K33" s="263">
        <v>2892540</v>
      </c>
      <c r="L33" s="263">
        <v>182988</v>
      </c>
      <c r="M33" s="263">
        <v>197488</v>
      </c>
      <c r="N33" s="263">
        <v>2996144</v>
      </c>
      <c r="O33" s="263">
        <v>3229914</v>
      </c>
      <c r="P33" s="263">
        <v>2691058</v>
      </c>
      <c r="Q33" s="263">
        <v>2902233</v>
      </c>
      <c r="R33" s="263">
        <v>188838</v>
      </c>
      <c r="S33" s="263">
        <v>204092</v>
      </c>
      <c r="T33" s="263">
        <v>3018439</v>
      </c>
      <c r="U33" s="263">
        <v>3253399</v>
      </c>
      <c r="V33" s="263">
        <v>2701280</v>
      </c>
      <c r="W33" s="263">
        <v>2912615</v>
      </c>
      <c r="X33" s="263">
        <v>194758</v>
      </c>
      <c r="Y33" s="263">
        <v>210314</v>
      </c>
      <c r="Z33" s="263">
        <v>3042515</v>
      </c>
      <c r="AA33" s="263">
        <v>3274830</v>
      </c>
      <c r="AB33" s="263">
        <v>2711096</v>
      </c>
      <c r="AC33" s="263">
        <v>2921658</v>
      </c>
      <c r="AD33" s="263">
        <v>200746</v>
      </c>
      <c r="AE33" s="263">
        <v>216145</v>
      </c>
      <c r="AF33" s="263">
        <v>3064859</v>
      </c>
      <c r="AG33" s="263">
        <v>3296245</v>
      </c>
      <c r="AH33" s="263">
        <v>2719115</v>
      </c>
      <c r="AI33" s="263">
        <v>2929808</v>
      </c>
      <c r="AJ33" s="263">
        <v>206354</v>
      </c>
      <c r="AK33" s="263">
        <v>222193</v>
      </c>
      <c r="AL33" s="263">
        <v>3085067</v>
      </c>
      <c r="AM33" s="263">
        <v>3312567</v>
      </c>
      <c r="AN33" s="263">
        <v>2724696</v>
      </c>
      <c r="AO33" s="263">
        <v>2930335</v>
      </c>
      <c r="AP33" s="263">
        <v>212412</v>
      </c>
      <c r="AQ33" s="263">
        <v>229182</v>
      </c>
      <c r="AR33" s="263">
        <v>3097770</v>
      </c>
      <c r="AS33" s="263">
        <v>3319436</v>
      </c>
      <c r="AT33" s="263">
        <v>2724774</v>
      </c>
      <c r="AU33" s="263">
        <v>2923779</v>
      </c>
      <c r="AV33" s="263">
        <v>218424</v>
      </c>
      <c r="AW33" s="263">
        <v>235060</v>
      </c>
      <c r="AX33" s="263">
        <v>3101748</v>
      </c>
      <c r="AY33" s="263">
        <v>3320817</v>
      </c>
      <c r="AZ33" s="263">
        <v>2717886</v>
      </c>
      <c r="BA33" s="263">
        <v>2912968</v>
      </c>
      <c r="BB33" s="263">
        <v>223633</v>
      </c>
      <c r="BC33" s="263">
        <v>240513</v>
      </c>
      <c r="BD33" s="263">
        <v>3097647</v>
      </c>
      <c r="BE33" s="263">
        <v>3314634</v>
      </c>
      <c r="BF33" s="263">
        <v>2704225</v>
      </c>
      <c r="BG33" s="263">
        <v>2895877</v>
      </c>
      <c r="BH33" s="263">
        <v>227669</v>
      </c>
      <c r="BI33" s="263">
        <v>244855</v>
      </c>
      <c r="BJ33" s="263">
        <v>3094280</v>
      </c>
      <c r="BK33" s="263">
        <v>3309010</v>
      </c>
      <c r="BL33" s="263">
        <v>2690930</v>
      </c>
      <c r="BM33" s="263">
        <v>2879112</v>
      </c>
      <c r="BN33" s="263">
        <v>232253</v>
      </c>
      <c r="BO33" s="263">
        <v>249577</v>
      </c>
      <c r="BP33" s="263">
        <v>3098899</v>
      </c>
      <c r="BQ33" s="263">
        <v>3311185</v>
      </c>
      <c r="BR33" s="263">
        <v>2685024</v>
      </c>
      <c r="BS33" s="263">
        <v>2868834</v>
      </c>
      <c r="BT33" s="263">
        <v>237408</v>
      </c>
      <c r="BU33" s="263">
        <v>255213</v>
      </c>
      <c r="BV33" s="263">
        <v>3109906</v>
      </c>
      <c r="BW33" s="263">
        <v>3321653</v>
      </c>
      <c r="BX33" s="263">
        <v>2685216</v>
      </c>
      <c r="BY33" s="263">
        <v>2866813</v>
      </c>
      <c r="BZ33" s="263">
        <v>242919</v>
      </c>
      <c r="CA33" s="263">
        <v>261074</v>
      </c>
      <c r="CB33" s="263">
        <v>3128237</v>
      </c>
      <c r="CC33" s="263">
        <v>3340730</v>
      </c>
      <c r="CD33" s="263">
        <v>2690834</v>
      </c>
      <c r="CE33" s="263">
        <v>2871383</v>
      </c>
      <c r="CF33" s="263">
        <v>249169</v>
      </c>
      <c r="CG33" s="263">
        <v>267871</v>
      </c>
      <c r="CH33" s="263">
        <v>3151754</v>
      </c>
      <c r="CI33" s="263">
        <v>3365859</v>
      </c>
      <c r="CJ33" s="263">
        <v>2701062</v>
      </c>
      <c r="CK33" s="263">
        <v>2880624</v>
      </c>
      <c r="CL33" s="263">
        <v>255454</v>
      </c>
      <c r="CM33" s="263">
        <v>275055</v>
      </c>
      <c r="CN33" s="263">
        <v>3171134</v>
      </c>
      <c r="CO33" s="263">
        <v>3384332</v>
      </c>
      <c r="CP33" s="263">
        <v>2709338</v>
      </c>
      <c r="CQ33" s="263">
        <v>2886699</v>
      </c>
      <c r="CR33" s="263">
        <v>260520</v>
      </c>
      <c r="CS33" s="263">
        <v>280630</v>
      </c>
    </row>
    <row r="34" spans="1:97">
      <c r="A34" s="191" t="s">
        <v>40</v>
      </c>
      <c r="B34" s="263">
        <v>4723643</v>
      </c>
      <c r="C34" s="263">
        <v>4952568</v>
      </c>
      <c r="D34" s="263">
        <v>3961560</v>
      </c>
      <c r="E34" s="263">
        <v>4107272</v>
      </c>
      <c r="F34" s="263">
        <v>660966</v>
      </c>
      <c r="G34" s="263">
        <v>740856</v>
      </c>
      <c r="H34" s="263">
        <v>4768273</v>
      </c>
      <c r="I34" s="263">
        <v>4990372</v>
      </c>
      <c r="J34" s="263">
        <v>3992390</v>
      </c>
      <c r="K34" s="263">
        <v>4131188</v>
      </c>
      <c r="L34" s="263">
        <v>668453</v>
      </c>
      <c r="M34" s="263">
        <v>748136</v>
      </c>
      <c r="N34" s="263">
        <v>4797299</v>
      </c>
      <c r="O34" s="263">
        <v>5011752</v>
      </c>
      <c r="P34" s="263">
        <v>4009557</v>
      </c>
      <c r="Q34" s="263">
        <v>4141260</v>
      </c>
      <c r="R34" s="263">
        <v>675163</v>
      </c>
      <c r="S34" s="263">
        <v>753308</v>
      </c>
      <c r="T34" s="263">
        <v>4819883</v>
      </c>
      <c r="U34" s="263">
        <v>5028059</v>
      </c>
      <c r="V34" s="263">
        <v>4021080</v>
      </c>
      <c r="W34" s="263">
        <v>4144993</v>
      </c>
      <c r="X34" s="263">
        <v>681431</v>
      </c>
      <c r="Y34" s="263">
        <v>760082</v>
      </c>
      <c r="Z34" s="263">
        <v>4849346</v>
      </c>
      <c r="AA34" s="263">
        <v>5047770</v>
      </c>
      <c r="AB34" s="263">
        <v>4034851</v>
      </c>
      <c r="AC34" s="263">
        <v>4152047</v>
      </c>
      <c r="AD34" s="263">
        <v>688403</v>
      </c>
      <c r="AE34" s="263">
        <v>766679</v>
      </c>
      <c r="AF34" s="263">
        <v>4880268</v>
      </c>
      <c r="AG34" s="263">
        <v>5072182</v>
      </c>
      <c r="AH34" s="263">
        <v>4048615</v>
      </c>
      <c r="AI34" s="263">
        <v>4163721</v>
      </c>
      <c r="AJ34" s="263">
        <v>695994</v>
      </c>
      <c r="AK34" s="263">
        <v>772139</v>
      </c>
      <c r="AL34" s="263">
        <v>4901831</v>
      </c>
      <c r="AM34" s="263">
        <v>5089289</v>
      </c>
      <c r="AN34" s="263">
        <v>4059807</v>
      </c>
      <c r="AO34" s="263">
        <v>4170366</v>
      </c>
      <c r="AP34" s="263">
        <v>700925</v>
      </c>
      <c r="AQ34" s="263">
        <v>776564</v>
      </c>
      <c r="AR34" s="263">
        <v>4915539</v>
      </c>
      <c r="AS34" s="263">
        <v>5100171</v>
      </c>
      <c r="AT34" s="263">
        <v>4065028</v>
      </c>
      <c r="AU34" s="263">
        <v>4172794</v>
      </c>
      <c r="AV34" s="263">
        <v>703958</v>
      </c>
      <c r="AW34" s="263">
        <v>779093</v>
      </c>
      <c r="AX34" s="263">
        <v>4930631</v>
      </c>
      <c r="AY34" s="263">
        <v>5110521</v>
      </c>
      <c r="AZ34" s="263">
        <v>4070964</v>
      </c>
      <c r="BA34" s="263">
        <v>4174828</v>
      </c>
      <c r="BB34" s="263">
        <v>707149</v>
      </c>
      <c r="BC34" s="263">
        <v>781441</v>
      </c>
      <c r="BD34" s="263">
        <v>4937386</v>
      </c>
      <c r="BE34" s="263">
        <v>5117929</v>
      </c>
      <c r="BF34" s="263">
        <v>4071731</v>
      </c>
      <c r="BG34" s="263">
        <v>4174557</v>
      </c>
      <c r="BH34" s="263">
        <v>708926</v>
      </c>
      <c r="BI34" s="263">
        <v>783958</v>
      </c>
      <c r="BJ34" s="263">
        <v>4936817</v>
      </c>
      <c r="BK34" s="263">
        <v>5114320</v>
      </c>
      <c r="BL34" s="263">
        <v>4065685</v>
      </c>
      <c r="BM34" s="263">
        <v>4166225</v>
      </c>
      <c r="BN34" s="263">
        <v>710230</v>
      </c>
      <c r="BO34" s="263">
        <v>784032</v>
      </c>
      <c r="BP34" s="263">
        <v>4929460</v>
      </c>
      <c r="BQ34" s="263">
        <v>5106621</v>
      </c>
      <c r="BR34" s="263">
        <v>4054345</v>
      </c>
      <c r="BS34" s="263">
        <v>4154161</v>
      </c>
      <c r="BT34" s="263">
        <v>710906</v>
      </c>
      <c r="BU34" s="263">
        <v>784005</v>
      </c>
      <c r="BV34" s="263">
        <v>4910249</v>
      </c>
      <c r="BW34" s="263">
        <v>5091035</v>
      </c>
      <c r="BX34" s="263">
        <v>4034274</v>
      </c>
      <c r="BY34" s="263">
        <v>4136470</v>
      </c>
      <c r="BZ34" s="263">
        <v>709762</v>
      </c>
      <c r="CA34" s="263">
        <v>782666</v>
      </c>
      <c r="CB34" s="263">
        <v>4880990</v>
      </c>
      <c r="CC34" s="263">
        <v>5065899</v>
      </c>
      <c r="CD34" s="263">
        <v>4006453</v>
      </c>
      <c r="CE34" s="263">
        <v>4112196</v>
      </c>
      <c r="CF34" s="263">
        <v>706557</v>
      </c>
      <c r="CG34" s="263">
        <v>779124</v>
      </c>
      <c r="CH34" s="263">
        <v>4857253</v>
      </c>
      <c r="CI34" s="263">
        <v>5044338</v>
      </c>
      <c r="CJ34" s="263">
        <v>3983357</v>
      </c>
      <c r="CK34" s="263">
        <v>4089986</v>
      </c>
      <c r="CL34" s="263">
        <v>704337</v>
      </c>
      <c r="CM34" s="263">
        <v>776764</v>
      </c>
      <c r="CN34" s="263">
        <v>4845691</v>
      </c>
      <c r="CO34" s="263">
        <v>5031452</v>
      </c>
      <c r="CP34" s="263">
        <v>3966039</v>
      </c>
      <c r="CQ34" s="263">
        <v>4071497</v>
      </c>
      <c r="CR34" s="263">
        <v>706963</v>
      </c>
      <c r="CS34" s="263">
        <v>778447</v>
      </c>
    </row>
    <row r="35" spans="1:97">
      <c r="A35" s="191" t="s">
        <v>41</v>
      </c>
      <c r="B35" s="263">
        <v>1943303</v>
      </c>
      <c r="C35" s="263">
        <v>2085075</v>
      </c>
      <c r="D35" s="263">
        <v>1432101</v>
      </c>
      <c r="E35" s="263">
        <v>1494581</v>
      </c>
      <c r="F35" s="263">
        <v>464016</v>
      </c>
      <c r="G35" s="263">
        <v>541626</v>
      </c>
      <c r="H35" s="263">
        <v>1957407</v>
      </c>
      <c r="I35" s="263">
        <v>2096231</v>
      </c>
      <c r="J35" s="263">
        <v>1438147</v>
      </c>
      <c r="K35" s="263">
        <v>1497398</v>
      </c>
      <c r="L35" s="263">
        <v>468604</v>
      </c>
      <c r="M35" s="263">
        <v>546317</v>
      </c>
      <c r="N35" s="263">
        <v>1959247</v>
      </c>
      <c r="O35" s="263">
        <v>2094310</v>
      </c>
      <c r="P35" s="263">
        <v>1434164</v>
      </c>
      <c r="Q35" s="263">
        <v>1489762</v>
      </c>
      <c r="R35" s="263">
        <v>471360</v>
      </c>
      <c r="S35" s="263">
        <v>548627</v>
      </c>
      <c r="T35" s="263">
        <v>1957361</v>
      </c>
      <c r="U35" s="263">
        <v>2089523</v>
      </c>
      <c r="V35" s="263">
        <v>1427005</v>
      </c>
      <c r="W35" s="263">
        <v>1478576</v>
      </c>
      <c r="X35" s="263">
        <v>473977</v>
      </c>
      <c r="Y35" s="263">
        <v>551850</v>
      </c>
      <c r="Z35" s="263">
        <v>1958786</v>
      </c>
      <c r="AA35" s="263">
        <v>2085654</v>
      </c>
      <c r="AB35" s="263">
        <v>1420203</v>
      </c>
      <c r="AC35" s="263">
        <v>1468388</v>
      </c>
      <c r="AD35" s="263">
        <v>477217</v>
      </c>
      <c r="AE35" s="263">
        <v>554861</v>
      </c>
      <c r="AF35" s="263">
        <v>1959930</v>
      </c>
      <c r="AG35" s="263">
        <v>2084336</v>
      </c>
      <c r="AH35" s="263">
        <v>1415025</v>
      </c>
      <c r="AI35" s="263">
        <v>1462523</v>
      </c>
      <c r="AJ35" s="263">
        <v>478769</v>
      </c>
      <c r="AK35" s="263">
        <v>555941</v>
      </c>
      <c r="AL35" s="263">
        <v>1960587</v>
      </c>
      <c r="AM35" s="263">
        <v>2083576</v>
      </c>
      <c r="AN35" s="263">
        <v>1411043</v>
      </c>
      <c r="AO35" s="263">
        <v>1457333</v>
      </c>
      <c r="AP35" s="263">
        <v>480222</v>
      </c>
      <c r="AQ35" s="263">
        <v>557296</v>
      </c>
      <c r="AR35" s="263">
        <v>1954704</v>
      </c>
      <c r="AS35" s="263">
        <v>2077775</v>
      </c>
      <c r="AT35" s="263">
        <v>1402089</v>
      </c>
      <c r="AU35" s="263">
        <v>1447985</v>
      </c>
      <c r="AV35" s="263">
        <v>480059</v>
      </c>
      <c r="AW35" s="263">
        <v>557481</v>
      </c>
      <c r="AX35" s="263">
        <v>1950967</v>
      </c>
      <c r="AY35" s="263">
        <v>2072925</v>
      </c>
      <c r="AZ35" s="263">
        <v>1394786</v>
      </c>
      <c r="BA35" s="263">
        <v>1439504</v>
      </c>
      <c r="BB35" s="263">
        <v>480107</v>
      </c>
      <c r="BC35" s="263">
        <v>557435</v>
      </c>
      <c r="BD35" s="263">
        <v>1943814</v>
      </c>
      <c r="BE35" s="263">
        <v>2067246</v>
      </c>
      <c r="BF35" s="263">
        <v>1386157</v>
      </c>
      <c r="BG35" s="263">
        <v>1430718</v>
      </c>
      <c r="BH35" s="263">
        <v>479200</v>
      </c>
      <c r="BI35" s="263">
        <v>557719</v>
      </c>
      <c r="BJ35" s="263">
        <v>1934689</v>
      </c>
      <c r="BK35" s="263">
        <v>2057592</v>
      </c>
      <c r="BL35" s="263">
        <v>1375742</v>
      </c>
      <c r="BM35" s="263">
        <v>1420081</v>
      </c>
      <c r="BN35" s="263">
        <v>477836</v>
      </c>
      <c r="BO35" s="263">
        <v>556087</v>
      </c>
      <c r="BP35" s="263">
        <v>1922031</v>
      </c>
      <c r="BQ35" s="263">
        <v>2046043</v>
      </c>
      <c r="BR35" s="263">
        <v>1363676</v>
      </c>
      <c r="BS35" s="263">
        <v>1407942</v>
      </c>
      <c r="BT35" s="263">
        <v>475567</v>
      </c>
      <c r="BU35" s="263">
        <v>554137</v>
      </c>
      <c r="BV35" s="263">
        <v>1904534</v>
      </c>
      <c r="BW35" s="263">
        <v>2032023</v>
      </c>
      <c r="BX35" s="263">
        <v>1348925</v>
      </c>
      <c r="BY35" s="263">
        <v>1395280</v>
      </c>
      <c r="BZ35" s="263">
        <v>472021</v>
      </c>
      <c r="CA35" s="263">
        <v>551196</v>
      </c>
      <c r="CB35" s="263">
        <v>1886617</v>
      </c>
      <c r="CC35" s="263">
        <v>2015843</v>
      </c>
      <c r="CD35" s="263">
        <v>1334798</v>
      </c>
      <c r="CE35" s="263">
        <v>1382639</v>
      </c>
      <c r="CF35" s="263">
        <v>467255</v>
      </c>
      <c r="CG35" s="263">
        <v>546440</v>
      </c>
      <c r="CH35" s="263">
        <v>1873882</v>
      </c>
      <c r="CI35" s="263">
        <v>2003979</v>
      </c>
      <c r="CJ35" s="263">
        <v>1324495</v>
      </c>
      <c r="CK35" s="263">
        <v>1372461</v>
      </c>
      <c r="CL35" s="263">
        <v>464483</v>
      </c>
      <c r="CM35" s="263">
        <v>543429</v>
      </c>
      <c r="CN35" s="263">
        <v>1864139</v>
      </c>
      <c r="CO35" s="263">
        <v>1994733</v>
      </c>
      <c r="CP35" s="263">
        <v>1314447</v>
      </c>
      <c r="CQ35" s="263">
        <v>1363123</v>
      </c>
      <c r="CR35" s="263">
        <v>464563</v>
      </c>
      <c r="CS35" s="263">
        <v>542693</v>
      </c>
    </row>
    <row r="36" spans="1:97">
      <c r="A36" s="191" t="s">
        <v>42</v>
      </c>
      <c r="B36" s="263">
        <v>2296732</v>
      </c>
      <c r="C36" s="263">
        <v>2363448</v>
      </c>
      <c r="D36" s="263">
        <v>2143238</v>
      </c>
      <c r="E36" s="263">
        <v>2210413</v>
      </c>
      <c r="F36" s="263">
        <v>70858</v>
      </c>
      <c r="G36" s="263">
        <v>67226</v>
      </c>
      <c r="H36" s="263">
        <v>2324398</v>
      </c>
      <c r="I36" s="263">
        <v>2388429</v>
      </c>
      <c r="J36" s="263">
        <v>2162784</v>
      </c>
      <c r="K36" s="263">
        <v>2227192</v>
      </c>
      <c r="L36" s="263">
        <v>75479</v>
      </c>
      <c r="M36" s="263">
        <v>71630</v>
      </c>
      <c r="N36" s="263">
        <v>2351125</v>
      </c>
      <c r="O36" s="263">
        <v>2412265</v>
      </c>
      <c r="P36" s="263">
        <v>2179452</v>
      </c>
      <c r="Q36" s="263">
        <v>2241242</v>
      </c>
      <c r="R36" s="263">
        <v>80754</v>
      </c>
      <c r="S36" s="263">
        <v>76458</v>
      </c>
      <c r="T36" s="263">
        <v>2377398</v>
      </c>
      <c r="U36" s="263">
        <v>2436014</v>
      </c>
      <c r="V36" s="263">
        <v>2194215</v>
      </c>
      <c r="W36" s="263">
        <v>2254409</v>
      </c>
      <c r="X36" s="263">
        <v>87243</v>
      </c>
      <c r="Y36" s="263">
        <v>81970</v>
      </c>
      <c r="Z36" s="263">
        <v>2410550</v>
      </c>
      <c r="AA36" s="263">
        <v>2462931</v>
      </c>
      <c r="AB36" s="263">
        <v>2214981</v>
      </c>
      <c r="AC36" s="263">
        <v>2269961</v>
      </c>
      <c r="AD36" s="263">
        <v>94244</v>
      </c>
      <c r="AE36" s="263">
        <v>88181</v>
      </c>
      <c r="AF36" s="263">
        <v>2443070</v>
      </c>
      <c r="AG36" s="263">
        <v>2490622</v>
      </c>
      <c r="AH36" s="263">
        <v>2232841</v>
      </c>
      <c r="AI36" s="263">
        <v>2284228</v>
      </c>
      <c r="AJ36" s="263">
        <v>101529</v>
      </c>
      <c r="AK36" s="263">
        <v>95123</v>
      </c>
      <c r="AL36" s="263">
        <v>2468647</v>
      </c>
      <c r="AM36" s="263">
        <v>2514149</v>
      </c>
      <c r="AN36" s="263">
        <v>2247641</v>
      </c>
      <c r="AO36" s="263">
        <v>2297258</v>
      </c>
      <c r="AP36" s="263">
        <v>107779</v>
      </c>
      <c r="AQ36" s="263">
        <v>100959</v>
      </c>
      <c r="AR36" s="263">
        <v>2487730</v>
      </c>
      <c r="AS36" s="263">
        <v>2531205</v>
      </c>
      <c r="AT36" s="263">
        <v>2256858</v>
      </c>
      <c r="AU36" s="263">
        <v>2304262</v>
      </c>
      <c r="AV36" s="263">
        <v>113272</v>
      </c>
      <c r="AW36" s="263">
        <v>106519</v>
      </c>
      <c r="AX36" s="263">
        <v>2506573</v>
      </c>
      <c r="AY36" s="263">
        <v>2546999</v>
      </c>
      <c r="AZ36" s="263">
        <v>2266026</v>
      </c>
      <c r="BA36" s="263">
        <v>2310302</v>
      </c>
      <c r="BB36" s="263">
        <v>119084</v>
      </c>
      <c r="BC36" s="263">
        <v>112005</v>
      </c>
      <c r="BD36" s="263">
        <v>2523676</v>
      </c>
      <c r="BE36" s="263">
        <v>2564037</v>
      </c>
      <c r="BF36" s="263">
        <v>2273220</v>
      </c>
      <c r="BG36" s="263">
        <v>2316714</v>
      </c>
      <c r="BH36" s="263">
        <v>124871</v>
      </c>
      <c r="BI36" s="263">
        <v>118019</v>
      </c>
      <c r="BJ36" s="263">
        <v>2540052</v>
      </c>
      <c r="BK36" s="263">
        <v>2579546</v>
      </c>
      <c r="BL36" s="263">
        <v>2279388</v>
      </c>
      <c r="BM36" s="263">
        <v>2321351</v>
      </c>
      <c r="BN36" s="263">
        <v>130709</v>
      </c>
      <c r="BO36" s="263">
        <v>123925</v>
      </c>
      <c r="BP36" s="263">
        <v>2562604</v>
      </c>
      <c r="BQ36" s="263">
        <v>2600951</v>
      </c>
      <c r="BR36" s="263">
        <v>2289870</v>
      </c>
      <c r="BS36" s="263">
        <v>2330621</v>
      </c>
      <c r="BT36" s="263">
        <v>137704</v>
      </c>
      <c r="BU36" s="263">
        <v>130994</v>
      </c>
      <c r="BV36" s="263">
        <v>2584652</v>
      </c>
      <c r="BW36" s="263">
        <v>2622551</v>
      </c>
      <c r="BX36" s="263">
        <v>2300075</v>
      </c>
      <c r="BY36" s="263">
        <v>2339948</v>
      </c>
      <c r="BZ36" s="263">
        <v>144575</v>
      </c>
      <c r="CA36" s="263">
        <v>137861</v>
      </c>
      <c r="CB36" s="263">
        <v>2604346</v>
      </c>
      <c r="CC36" s="263">
        <v>2642672</v>
      </c>
      <c r="CD36" s="263">
        <v>2309173</v>
      </c>
      <c r="CE36" s="263">
        <v>2348402</v>
      </c>
      <c r="CF36" s="263">
        <v>150196</v>
      </c>
      <c r="CG36" s="263">
        <v>144348</v>
      </c>
      <c r="CH36" s="263">
        <v>2621245</v>
      </c>
      <c r="CI36" s="263">
        <v>2659958</v>
      </c>
      <c r="CJ36" s="263">
        <v>2317121</v>
      </c>
      <c r="CK36" s="263">
        <v>2355820</v>
      </c>
      <c r="CL36" s="263">
        <v>155258</v>
      </c>
      <c r="CM36" s="263">
        <v>149492</v>
      </c>
      <c r="CN36" s="263">
        <v>2635668</v>
      </c>
      <c r="CO36" s="263">
        <v>2674990</v>
      </c>
      <c r="CP36" s="263">
        <v>2323833</v>
      </c>
      <c r="CQ36" s="263">
        <v>2362437</v>
      </c>
      <c r="CR36" s="263">
        <v>159203</v>
      </c>
      <c r="CS36" s="263">
        <v>153603</v>
      </c>
    </row>
    <row r="37" spans="1:97">
      <c r="A37" s="191" t="s">
        <v>43</v>
      </c>
      <c r="B37" s="263">
        <v>1308670</v>
      </c>
      <c r="C37" s="263">
        <v>1413989</v>
      </c>
      <c r="D37" s="263">
        <v>834145</v>
      </c>
      <c r="E37" s="263">
        <v>871716</v>
      </c>
      <c r="F37" s="263">
        <v>462782</v>
      </c>
      <c r="G37" s="263">
        <v>529583</v>
      </c>
      <c r="H37" s="263">
        <v>1321738</v>
      </c>
      <c r="I37" s="263">
        <v>1426347</v>
      </c>
      <c r="J37" s="263">
        <v>840756</v>
      </c>
      <c r="K37" s="263">
        <v>877314</v>
      </c>
      <c r="L37" s="263">
        <v>468725</v>
      </c>
      <c r="M37" s="263">
        <v>535588</v>
      </c>
      <c r="N37" s="263">
        <v>1336610</v>
      </c>
      <c r="O37" s="263">
        <v>1440394</v>
      </c>
      <c r="P37" s="263">
        <v>849400</v>
      </c>
      <c r="Q37" s="263">
        <v>884426</v>
      </c>
      <c r="R37" s="263">
        <v>474505</v>
      </c>
      <c r="S37" s="263">
        <v>541734</v>
      </c>
      <c r="T37" s="263">
        <v>1350711</v>
      </c>
      <c r="U37" s="263">
        <v>1454123</v>
      </c>
      <c r="V37" s="263">
        <v>856655</v>
      </c>
      <c r="W37" s="263">
        <v>892044</v>
      </c>
      <c r="X37" s="263">
        <v>480782</v>
      </c>
      <c r="Y37" s="263">
        <v>547341</v>
      </c>
      <c r="Z37" s="263">
        <v>1363827</v>
      </c>
      <c r="AA37" s="263">
        <v>1464581</v>
      </c>
      <c r="AB37" s="263">
        <v>863770</v>
      </c>
      <c r="AC37" s="263">
        <v>897065</v>
      </c>
      <c r="AD37" s="263">
        <v>486114</v>
      </c>
      <c r="AE37" s="263">
        <v>552139</v>
      </c>
      <c r="AF37" s="263">
        <v>1375800</v>
      </c>
      <c r="AG37" s="263">
        <v>1472553</v>
      </c>
      <c r="AH37" s="263">
        <v>870537</v>
      </c>
      <c r="AI37" s="263">
        <v>900867</v>
      </c>
      <c r="AJ37" s="263">
        <v>489183</v>
      </c>
      <c r="AK37" s="263">
        <v>554176</v>
      </c>
      <c r="AL37" s="263">
        <v>1379508</v>
      </c>
      <c r="AM37" s="263">
        <v>1473486</v>
      </c>
      <c r="AN37" s="263">
        <v>871566</v>
      </c>
      <c r="AO37" s="263">
        <v>900270</v>
      </c>
      <c r="AP37" s="263">
        <v>491214</v>
      </c>
      <c r="AQ37" s="263">
        <v>555161</v>
      </c>
      <c r="AR37" s="263">
        <v>1383269</v>
      </c>
      <c r="AS37" s="263">
        <v>1475412</v>
      </c>
      <c r="AT37" s="263">
        <v>873159</v>
      </c>
      <c r="AU37" s="263">
        <v>900137</v>
      </c>
      <c r="AV37" s="263">
        <v>492666</v>
      </c>
      <c r="AW37" s="263">
        <v>556528</v>
      </c>
      <c r="AX37" s="263">
        <v>1388701</v>
      </c>
      <c r="AY37" s="263">
        <v>1479611</v>
      </c>
      <c r="AZ37" s="263">
        <v>875336</v>
      </c>
      <c r="BA37" s="263">
        <v>901498</v>
      </c>
      <c r="BB37" s="263">
        <v>495205</v>
      </c>
      <c r="BC37" s="263">
        <v>558598</v>
      </c>
      <c r="BD37" s="263">
        <v>1398895</v>
      </c>
      <c r="BE37" s="263">
        <v>1490115</v>
      </c>
      <c r="BF37" s="263">
        <v>880423</v>
      </c>
      <c r="BG37" s="263">
        <v>906529</v>
      </c>
      <c r="BH37" s="263">
        <v>499464</v>
      </c>
      <c r="BI37" s="263">
        <v>563173</v>
      </c>
      <c r="BJ37" s="263">
        <v>1393628</v>
      </c>
      <c r="BK37" s="263">
        <v>1482601</v>
      </c>
      <c r="BL37" s="263">
        <v>873645</v>
      </c>
      <c r="BM37" s="263">
        <v>898102</v>
      </c>
      <c r="BN37" s="263">
        <v>500351</v>
      </c>
      <c r="BO37" s="263">
        <v>563688</v>
      </c>
      <c r="BP37" s="263">
        <v>1408665</v>
      </c>
      <c r="BQ37" s="263">
        <v>1496313</v>
      </c>
      <c r="BR37" s="263">
        <v>879931</v>
      </c>
      <c r="BS37" s="263">
        <v>902728</v>
      </c>
      <c r="BT37" s="263">
        <v>508411</v>
      </c>
      <c r="BU37" s="263">
        <v>571988</v>
      </c>
      <c r="BV37" s="263">
        <v>1421279</v>
      </c>
      <c r="BW37" s="263">
        <v>1507071</v>
      </c>
      <c r="BX37" s="263">
        <v>885326</v>
      </c>
      <c r="BY37" s="263">
        <v>906961</v>
      </c>
      <c r="BZ37" s="263">
        <v>514752</v>
      </c>
      <c r="CA37" s="263">
        <v>577744</v>
      </c>
      <c r="CB37" s="263">
        <v>1430851</v>
      </c>
      <c r="CC37" s="263">
        <v>1516955</v>
      </c>
      <c r="CD37" s="263">
        <v>889457</v>
      </c>
      <c r="CE37" s="263">
        <v>909942</v>
      </c>
      <c r="CF37" s="263">
        <v>519396</v>
      </c>
      <c r="CG37" s="263">
        <v>583820</v>
      </c>
      <c r="CH37" s="263">
        <v>1436774</v>
      </c>
      <c r="CI37" s="263">
        <v>1522000</v>
      </c>
      <c r="CJ37" s="263">
        <v>891778</v>
      </c>
      <c r="CK37" s="263">
        <v>911488</v>
      </c>
      <c r="CL37" s="263">
        <v>522292</v>
      </c>
      <c r="CM37" s="263">
        <v>586429</v>
      </c>
      <c r="CN37" s="263">
        <v>1442096</v>
      </c>
      <c r="CO37" s="263">
        <v>1527976</v>
      </c>
      <c r="CP37" s="263">
        <v>892248</v>
      </c>
      <c r="CQ37" s="263">
        <v>912415</v>
      </c>
      <c r="CR37" s="263">
        <v>526400</v>
      </c>
      <c r="CS37" s="263">
        <v>590843</v>
      </c>
    </row>
    <row r="38" spans="1:97">
      <c r="A38" s="191" t="s">
        <v>44</v>
      </c>
      <c r="B38" s="263">
        <v>2603069</v>
      </c>
      <c r="C38" s="263">
        <v>2775178</v>
      </c>
      <c r="D38" s="263">
        <v>2283399</v>
      </c>
      <c r="E38" s="263">
        <v>2413529</v>
      </c>
      <c r="F38" s="263">
        <v>281569</v>
      </c>
      <c r="G38" s="263">
        <v>321448</v>
      </c>
      <c r="H38" s="263">
        <v>2631871</v>
      </c>
      <c r="I38" s="263">
        <v>2799682</v>
      </c>
      <c r="J38" s="263">
        <v>2304451</v>
      </c>
      <c r="K38" s="263">
        <v>2430701</v>
      </c>
      <c r="L38" s="263">
        <v>287125</v>
      </c>
      <c r="M38" s="263">
        <v>326286</v>
      </c>
      <c r="N38" s="263">
        <v>2657905</v>
      </c>
      <c r="O38" s="263">
        <v>2823288</v>
      </c>
      <c r="P38" s="263">
        <v>2323343</v>
      </c>
      <c r="Q38" s="263">
        <v>2446579</v>
      </c>
      <c r="R38" s="263">
        <v>292627</v>
      </c>
      <c r="S38" s="263">
        <v>331848</v>
      </c>
      <c r="T38" s="263">
        <v>2679145</v>
      </c>
      <c r="U38" s="263">
        <v>2842620</v>
      </c>
      <c r="V38" s="263">
        <v>2338130</v>
      </c>
      <c r="W38" s="263">
        <v>2459251</v>
      </c>
      <c r="X38" s="263">
        <v>297139</v>
      </c>
      <c r="Y38" s="263">
        <v>336638</v>
      </c>
      <c r="Z38" s="263">
        <v>2701782</v>
      </c>
      <c r="AA38" s="263">
        <v>2860166</v>
      </c>
      <c r="AB38" s="263">
        <v>2354682</v>
      </c>
      <c r="AC38" s="263">
        <v>2470291</v>
      </c>
      <c r="AD38" s="263">
        <v>300905</v>
      </c>
      <c r="AE38" s="263">
        <v>341114</v>
      </c>
      <c r="AF38" s="263">
        <v>2727498</v>
      </c>
      <c r="AG38" s="263">
        <v>2879787</v>
      </c>
      <c r="AH38" s="263">
        <v>2369492</v>
      </c>
      <c r="AI38" s="263">
        <v>2480158</v>
      </c>
      <c r="AJ38" s="263">
        <v>306768</v>
      </c>
      <c r="AK38" s="263">
        <v>346126</v>
      </c>
      <c r="AL38" s="263">
        <v>2745666</v>
      </c>
      <c r="AM38" s="263">
        <v>2895476</v>
      </c>
      <c r="AN38" s="263">
        <v>2381086</v>
      </c>
      <c r="AO38" s="263">
        <v>2489297</v>
      </c>
      <c r="AP38" s="263">
        <v>311082</v>
      </c>
      <c r="AQ38" s="263">
        <v>350141</v>
      </c>
      <c r="AR38" s="263">
        <v>2764349</v>
      </c>
      <c r="AS38" s="263">
        <v>2910476</v>
      </c>
      <c r="AT38" s="263">
        <v>2393176</v>
      </c>
      <c r="AU38" s="263">
        <v>2498062</v>
      </c>
      <c r="AV38" s="263">
        <v>315344</v>
      </c>
      <c r="AW38" s="263">
        <v>353816</v>
      </c>
      <c r="AX38" s="263">
        <v>2782847</v>
      </c>
      <c r="AY38" s="263">
        <v>2926556</v>
      </c>
      <c r="AZ38" s="263">
        <v>2405412</v>
      </c>
      <c r="BA38" s="263">
        <v>2507924</v>
      </c>
      <c r="BB38" s="263">
        <v>319419</v>
      </c>
      <c r="BC38" s="263">
        <v>357425</v>
      </c>
      <c r="BD38" s="263">
        <v>2805056</v>
      </c>
      <c r="BE38" s="263">
        <v>2942685</v>
      </c>
      <c r="BF38" s="263">
        <v>2420524</v>
      </c>
      <c r="BG38" s="263">
        <v>2517066</v>
      </c>
      <c r="BH38" s="263">
        <v>323810</v>
      </c>
      <c r="BI38" s="263">
        <v>361658</v>
      </c>
      <c r="BJ38" s="263">
        <v>2827430</v>
      </c>
      <c r="BK38" s="263">
        <v>2962870</v>
      </c>
      <c r="BL38" s="263">
        <v>2435916</v>
      </c>
      <c r="BM38" s="263">
        <v>2529984</v>
      </c>
      <c r="BN38" s="263">
        <v>328302</v>
      </c>
      <c r="BO38" s="263">
        <v>365929</v>
      </c>
      <c r="BP38" s="263">
        <v>2855141</v>
      </c>
      <c r="BQ38" s="263">
        <v>2987563</v>
      </c>
      <c r="BR38" s="263">
        <v>2455662</v>
      </c>
      <c r="BS38" s="263">
        <v>2546526</v>
      </c>
      <c r="BT38" s="263">
        <v>333616</v>
      </c>
      <c r="BU38" s="263">
        <v>370848</v>
      </c>
      <c r="BV38" s="263">
        <v>2880119</v>
      </c>
      <c r="BW38" s="263">
        <v>3007493</v>
      </c>
      <c r="BX38" s="263">
        <v>2473434</v>
      </c>
      <c r="BY38" s="263">
        <v>2560255</v>
      </c>
      <c r="BZ38" s="263">
        <v>338153</v>
      </c>
      <c r="CA38" s="263">
        <v>374301</v>
      </c>
      <c r="CB38" s="263">
        <v>2899079</v>
      </c>
      <c r="CC38" s="263">
        <v>3024837</v>
      </c>
      <c r="CD38" s="263">
        <v>2486376</v>
      </c>
      <c r="CE38" s="263">
        <v>2571160</v>
      </c>
      <c r="CF38" s="263">
        <v>341855</v>
      </c>
      <c r="CG38" s="263">
        <v>377868</v>
      </c>
      <c r="CH38" s="263">
        <v>2919067</v>
      </c>
      <c r="CI38" s="263">
        <v>3042021</v>
      </c>
      <c r="CJ38" s="263">
        <v>2499550</v>
      </c>
      <c r="CK38" s="263">
        <v>2581837</v>
      </c>
      <c r="CL38" s="263">
        <v>346382</v>
      </c>
      <c r="CM38" s="263">
        <v>381805</v>
      </c>
      <c r="CN38" s="263">
        <v>2936849</v>
      </c>
      <c r="CO38" s="263">
        <v>3058866</v>
      </c>
      <c r="CP38" s="263">
        <v>2510380</v>
      </c>
      <c r="CQ38" s="263">
        <v>2591426</v>
      </c>
      <c r="CR38" s="263">
        <v>350826</v>
      </c>
      <c r="CS38" s="263">
        <v>386119</v>
      </c>
    </row>
    <row r="39" spans="1:97">
      <c r="A39" s="191" t="s">
        <v>45</v>
      </c>
      <c r="B39" s="263">
        <v>435987</v>
      </c>
      <c r="C39" s="263">
        <v>440566</v>
      </c>
      <c r="D39" s="263">
        <v>405852</v>
      </c>
      <c r="E39" s="263">
        <v>409976</v>
      </c>
      <c r="F39" s="263">
        <v>1664</v>
      </c>
      <c r="G39" s="263">
        <v>1105</v>
      </c>
      <c r="H39" s="263">
        <v>441004</v>
      </c>
      <c r="I39" s="263">
        <v>445250</v>
      </c>
      <c r="J39" s="263">
        <v>410248</v>
      </c>
      <c r="K39" s="263">
        <v>413922</v>
      </c>
      <c r="L39" s="263">
        <v>1742</v>
      </c>
      <c r="M39" s="263">
        <v>1187</v>
      </c>
      <c r="N39" s="263">
        <v>442680</v>
      </c>
      <c r="O39" s="263">
        <v>447185</v>
      </c>
      <c r="P39" s="263">
        <v>411219</v>
      </c>
      <c r="Q39" s="263">
        <v>415399</v>
      </c>
      <c r="R39" s="263">
        <v>1751</v>
      </c>
      <c r="S39" s="263">
        <v>1159</v>
      </c>
      <c r="T39" s="263">
        <v>444034</v>
      </c>
      <c r="U39" s="263">
        <v>448397</v>
      </c>
      <c r="V39" s="263">
        <v>411821</v>
      </c>
      <c r="W39" s="263">
        <v>415843</v>
      </c>
      <c r="X39" s="263">
        <v>1837</v>
      </c>
      <c r="Y39" s="263">
        <v>1197</v>
      </c>
      <c r="Z39" s="263">
        <v>446964</v>
      </c>
      <c r="AA39" s="263">
        <v>450543</v>
      </c>
      <c r="AB39" s="263">
        <v>413721</v>
      </c>
      <c r="AC39" s="263">
        <v>417059</v>
      </c>
      <c r="AD39" s="263">
        <v>1897</v>
      </c>
      <c r="AE39" s="263">
        <v>1213</v>
      </c>
      <c r="AF39" s="263">
        <v>450348</v>
      </c>
      <c r="AG39" s="263">
        <v>453425</v>
      </c>
      <c r="AH39" s="263">
        <v>415544</v>
      </c>
      <c r="AI39" s="263">
        <v>418245</v>
      </c>
      <c r="AJ39" s="263">
        <v>2400</v>
      </c>
      <c r="AK39" s="263">
        <v>1656</v>
      </c>
      <c r="AL39" s="263">
        <v>452278</v>
      </c>
      <c r="AM39" s="263">
        <v>454683</v>
      </c>
      <c r="AN39" s="263">
        <v>416658</v>
      </c>
      <c r="AO39" s="263">
        <v>418783</v>
      </c>
      <c r="AP39" s="263">
        <v>2647</v>
      </c>
      <c r="AQ39" s="263">
        <v>1863</v>
      </c>
      <c r="AR39" s="263">
        <v>454955</v>
      </c>
      <c r="AS39" s="263">
        <v>456712</v>
      </c>
      <c r="AT39" s="263">
        <v>418751</v>
      </c>
      <c r="AU39" s="263">
        <v>420222</v>
      </c>
      <c r="AV39" s="263">
        <v>2875</v>
      </c>
      <c r="AW39" s="263">
        <v>1970</v>
      </c>
      <c r="AX39" s="263">
        <v>459514</v>
      </c>
      <c r="AY39" s="263">
        <v>460116</v>
      </c>
      <c r="AZ39" s="263">
        <v>422587</v>
      </c>
      <c r="BA39" s="263">
        <v>422999</v>
      </c>
      <c r="BB39" s="263">
        <v>3061</v>
      </c>
      <c r="BC39" s="263">
        <v>2162</v>
      </c>
      <c r="BD39" s="263">
        <v>465009</v>
      </c>
      <c r="BE39" s="263">
        <v>465000</v>
      </c>
      <c r="BF39" s="263">
        <v>427243</v>
      </c>
      <c r="BG39" s="263">
        <v>427174</v>
      </c>
      <c r="BH39" s="263">
        <v>3276</v>
      </c>
      <c r="BI39" s="263">
        <v>2335</v>
      </c>
      <c r="BJ39" s="263">
        <v>470322</v>
      </c>
      <c r="BK39" s="263">
        <v>469780</v>
      </c>
      <c r="BL39" s="263">
        <v>432000</v>
      </c>
      <c r="BM39" s="263">
        <v>430916</v>
      </c>
      <c r="BN39" s="263">
        <v>3435</v>
      </c>
      <c r="BO39" s="263">
        <v>2409</v>
      </c>
      <c r="BP39" s="263">
        <v>477351</v>
      </c>
      <c r="BQ39" s="263">
        <v>475341</v>
      </c>
      <c r="BR39" s="263">
        <v>438157</v>
      </c>
      <c r="BS39" s="263">
        <v>435897</v>
      </c>
      <c r="BT39" s="263">
        <v>3670</v>
      </c>
      <c r="BU39" s="263">
        <v>2557</v>
      </c>
      <c r="BV39" s="263">
        <v>483767</v>
      </c>
      <c r="BW39" s="263">
        <v>480939</v>
      </c>
      <c r="BX39" s="263">
        <v>443829</v>
      </c>
      <c r="BY39" s="263">
        <v>440610</v>
      </c>
      <c r="BZ39" s="263">
        <v>3801</v>
      </c>
      <c r="CA39" s="263">
        <v>2659</v>
      </c>
      <c r="CB39" s="263">
        <v>489938</v>
      </c>
      <c r="CC39" s="263">
        <v>486477</v>
      </c>
      <c r="CD39" s="263">
        <v>449334</v>
      </c>
      <c r="CE39" s="263">
        <v>445465</v>
      </c>
      <c r="CF39" s="263">
        <v>3958</v>
      </c>
      <c r="CG39" s="263">
        <v>2707</v>
      </c>
      <c r="CH39" s="263">
        <v>493860</v>
      </c>
      <c r="CI39" s="263">
        <v>490122</v>
      </c>
      <c r="CJ39" s="263">
        <v>452347</v>
      </c>
      <c r="CK39" s="263">
        <v>448273</v>
      </c>
      <c r="CL39" s="263">
        <v>4116</v>
      </c>
      <c r="CM39" s="263">
        <v>2801</v>
      </c>
      <c r="CN39" s="263">
        <v>497597</v>
      </c>
      <c r="CO39" s="263">
        <v>493361</v>
      </c>
      <c r="CP39" s="263">
        <v>455459</v>
      </c>
      <c r="CQ39" s="263">
        <v>450797</v>
      </c>
      <c r="CR39" s="263">
        <v>4239</v>
      </c>
      <c r="CS39" s="263">
        <v>2850</v>
      </c>
    </row>
    <row r="40" spans="1:97">
      <c r="A40" s="191" t="s">
        <v>46</v>
      </c>
      <c r="B40" s="263">
        <v>812057</v>
      </c>
      <c r="C40" s="263">
        <v>844935</v>
      </c>
      <c r="D40" s="263">
        <v>764789</v>
      </c>
      <c r="E40" s="263">
        <v>795284</v>
      </c>
      <c r="F40" s="263">
        <v>31760</v>
      </c>
      <c r="G40" s="263">
        <v>33053</v>
      </c>
      <c r="H40" s="263">
        <v>821371</v>
      </c>
      <c r="I40" s="263">
        <v>852369</v>
      </c>
      <c r="J40" s="263">
        <v>772275</v>
      </c>
      <c r="K40" s="263">
        <v>800807</v>
      </c>
      <c r="L40" s="263">
        <v>32605</v>
      </c>
      <c r="M40" s="263">
        <v>33999</v>
      </c>
      <c r="N40" s="263">
        <v>828480</v>
      </c>
      <c r="O40" s="263">
        <v>857938</v>
      </c>
      <c r="P40" s="263">
        <v>777820</v>
      </c>
      <c r="Q40" s="263">
        <v>804716</v>
      </c>
      <c r="R40" s="263">
        <v>33622</v>
      </c>
      <c r="S40" s="263">
        <v>35075</v>
      </c>
      <c r="T40" s="263">
        <v>833828</v>
      </c>
      <c r="U40" s="263">
        <v>861988</v>
      </c>
      <c r="V40" s="263">
        <v>781843</v>
      </c>
      <c r="W40" s="263">
        <v>807425</v>
      </c>
      <c r="X40" s="263">
        <v>34517</v>
      </c>
      <c r="Y40" s="263">
        <v>35877</v>
      </c>
      <c r="Z40" s="263">
        <v>839233</v>
      </c>
      <c r="AA40" s="263">
        <v>865531</v>
      </c>
      <c r="AB40" s="263">
        <v>785277</v>
      </c>
      <c r="AC40" s="263">
        <v>809461</v>
      </c>
      <c r="AD40" s="263">
        <v>35543</v>
      </c>
      <c r="AE40" s="263">
        <v>36481</v>
      </c>
      <c r="AF40" s="263">
        <v>844840</v>
      </c>
      <c r="AG40" s="263">
        <v>868980</v>
      </c>
      <c r="AH40" s="263">
        <v>787136</v>
      </c>
      <c r="AI40" s="263">
        <v>809591</v>
      </c>
      <c r="AJ40" s="263">
        <v>37079</v>
      </c>
      <c r="AK40" s="263">
        <v>37747</v>
      </c>
      <c r="AL40" s="263">
        <v>848628</v>
      </c>
      <c r="AM40" s="263">
        <v>871208</v>
      </c>
      <c r="AN40" s="263">
        <v>788926</v>
      </c>
      <c r="AO40" s="263">
        <v>809900</v>
      </c>
      <c r="AP40" s="263">
        <v>38100</v>
      </c>
      <c r="AQ40" s="263">
        <v>38677</v>
      </c>
      <c r="AR40" s="263">
        <v>853489</v>
      </c>
      <c r="AS40" s="263">
        <v>874803</v>
      </c>
      <c r="AT40" s="263">
        <v>791714</v>
      </c>
      <c r="AU40" s="263">
        <v>811826</v>
      </c>
      <c r="AV40" s="263">
        <v>38967</v>
      </c>
      <c r="AW40" s="263">
        <v>39404</v>
      </c>
      <c r="AX40" s="263">
        <v>859281</v>
      </c>
      <c r="AY40" s="263">
        <v>879362</v>
      </c>
      <c r="AZ40" s="263">
        <v>795290</v>
      </c>
      <c r="BA40" s="263">
        <v>814429</v>
      </c>
      <c r="BB40" s="263">
        <v>40201</v>
      </c>
      <c r="BC40" s="263">
        <v>40207</v>
      </c>
      <c r="BD40" s="263">
        <v>865386</v>
      </c>
      <c r="BE40" s="263">
        <v>883984</v>
      </c>
      <c r="BF40" s="263">
        <v>799395</v>
      </c>
      <c r="BG40" s="263">
        <v>816909</v>
      </c>
      <c r="BH40" s="263">
        <v>41165</v>
      </c>
      <c r="BI40" s="263">
        <v>41226</v>
      </c>
      <c r="BJ40" s="263">
        <v>872029</v>
      </c>
      <c r="BK40" s="263">
        <v>889468</v>
      </c>
      <c r="BL40" s="263">
        <v>803765</v>
      </c>
      <c r="BM40" s="263">
        <v>820464</v>
      </c>
      <c r="BN40" s="263">
        <v>42372</v>
      </c>
      <c r="BO40" s="263">
        <v>42115</v>
      </c>
      <c r="BP40" s="263">
        <v>878006</v>
      </c>
      <c r="BQ40" s="263">
        <v>894687</v>
      </c>
      <c r="BR40" s="263">
        <v>807225</v>
      </c>
      <c r="BS40" s="263">
        <v>823459</v>
      </c>
      <c r="BT40" s="263">
        <v>43749</v>
      </c>
      <c r="BU40" s="263">
        <v>43245</v>
      </c>
      <c r="BV40" s="263">
        <v>883334</v>
      </c>
      <c r="BW40" s="263">
        <v>900106</v>
      </c>
      <c r="BX40" s="263">
        <v>810476</v>
      </c>
      <c r="BY40" s="263">
        <v>826720</v>
      </c>
      <c r="BZ40" s="263">
        <v>44767</v>
      </c>
      <c r="CA40" s="263">
        <v>44298</v>
      </c>
      <c r="CB40" s="263">
        <v>890564</v>
      </c>
      <c r="CC40" s="263">
        <v>905814</v>
      </c>
      <c r="CD40" s="263">
        <v>814650</v>
      </c>
      <c r="CE40" s="263">
        <v>829811</v>
      </c>
      <c r="CF40" s="263">
        <v>46423</v>
      </c>
      <c r="CG40" s="263">
        <v>45477</v>
      </c>
      <c r="CH40" s="263">
        <v>899064</v>
      </c>
      <c r="CI40" s="263">
        <v>913619</v>
      </c>
      <c r="CJ40" s="263">
        <v>820790</v>
      </c>
      <c r="CK40" s="263">
        <v>835525</v>
      </c>
      <c r="CL40" s="263">
        <v>47873</v>
      </c>
      <c r="CM40" s="263">
        <v>46523</v>
      </c>
      <c r="CN40" s="263">
        <v>908433</v>
      </c>
      <c r="CO40" s="263">
        <v>921708</v>
      </c>
      <c r="CP40" s="263">
        <v>827798</v>
      </c>
      <c r="CQ40" s="263">
        <v>841310</v>
      </c>
      <c r="CR40" s="263">
        <v>49111</v>
      </c>
      <c r="CS40" s="263">
        <v>47580</v>
      </c>
    </row>
    <row r="41" spans="1:97" s="90" customFormat="1">
      <c r="A41" s="191" t="s">
        <v>47</v>
      </c>
      <c r="B41" s="263">
        <v>804554</v>
      </c>
      <c r="C41" s="263">
        <v>777024</v>
      </c>
      <c r="D41" s="263">
        <v>703606</v>
      </c>
      <c r="E41" s="263">
        <v>670961</v>
      </c>
      <c r="F41" s="263">
        <v>57110</v>
      </c>
      <c r="G41" s="263">
        <v>56333</v>
      </c>
      <c r="H41" s="263">
        <v>847448</v>
      </c>
      <c r="I41" s="263">
        <v>818872</v>
      </c>
      <c r="J41" s="263">
        <v>739547</v>
      </c>
      <c r="K41" s="263">
        <v>705442</v>
      </c>
      <c r="L41" s="263">
        <v>60172</v>
      </c>
      <c r="M41" s="263">
        <v>59701</v>
      </c>
      <c r="N41" s="263">
        <v>897301</v>
      </c>
      <c r="O41" s="263">
        <v>866803</v>
      </c>
      <c r="P41" s="263">
        <v>780331</v>
      </c>
      <c r="Q41" s="263">
        <v>744274</v>
      </c>
      <c r="R41" s="263">
        <v>64753</v>
      </c>
      <c r="S41" s="263">
        <v>63304</v>
      </c>
      <c r="T41" s="263">
        <v>942998</v>
      </c>
      <c r="U41" s="263">
        <v>910193</v>
      </c>
      <c r="V41" s="263">
        <v>816824</v>
      </c>
      <c r="W41" s="263">
        <v>778195</v>
      </c>
      <c r="X41" s="263">
        <v>69388</v>
      </c>
      <c r="Y41" s="263">
        <v>67252</v>
      </c>
      <c r="Z41" s="263">
        <v>985296</v>
      </c>
      <c r="AA41" s="263">
        <v>949422</v>
      </c>
      <c r="AB41" s="263">
        <v>849671</v>
      </c>
      <c r="AC41" s="263">
        <v>808081</v>
      </c>
      <c r="AD41" s="263">
        <v>73172</v>
      </c>
      <c r="AE41" s="263">
        <v>70681</v>
      </c>
      <c r="AF41" s="263">
        <v>1028426</v>
      </c>
      <c r="AG41" s="263">
        <v>990315</v>
      </c>
      <c r="AH41" s="263">
        <v>882883</v>
      </c>
      <c r="AI41" s="263">
        <v>838381</v>
      </c>
      <c r="AJ41" s="263">
        <v>76841</v>
      </c>
      <c r="AK41" s="263">
        <v>74715</v>
      </c>
      <c r="AL41" s="263">
        <v>1067549</v>
      </c>
      <c r="AM41" s="263">
        <v>1030850</v>
      </c>
      <c r="AN41" s="263">
        <v>910795</v>
      </c>
      <c r="AO41" s="263">
        <v>866465</v>
      </c>
      <c r="AP41" s="263">
        <v>81849</v>
      </c>
      <c r="AQ41" s="263">
        <v>79897</v>
      </c>
      <c r="AR41" s="263">
        <v>1104027</v>
      </c>
      <c r="AS41" s="263">
        <v>1069764</v>
      </c>
      <c r="AT41" s="263">
        <v>935901</v>
      </c>
      <c r="AU41" s="263">
        <v>892798</v>
      </c>
      <c r="AV41" s="263">
        <v>86755</v>
      </c>
      <c r="AW41" s="263">
        <v>84874</v>
      </c>
      <c r="AX41" s="263">
        <v>1140715</v>
      </c>
      <c r="AY41" s="263">
        <v>1108135</v>
      </c>
      <c r="AZ41" s="263">
        <v>961273</v>
      </c>
      <c r="BA41" s="263">
        <v>918829</v>
      </c>
      <c r="BB41" s="263">
        <v>91777</v>
      </c>
      <c r="BC41" s="263">
        <v>89436</v>
      </c>
      <c r="BD41" s="263">
        <v>1189636</v>
      </c>
      <c r="BE41" s="263">
        <v>1156586</v>
      </c>
      <c r="BF41" s="263">
        <v>995967</v>
      </c>
      <c r="BG41" s="263">
        <v>951947</v>
      </c>
      <c r="BH41" s="263">
        <v>98189</v>
      </c>
      <c r="BI41" s="263">
        <v>95925</v>
      </c>
      <c r="BJ41" s="263">
        <v>1233297</v>
      </c>
      <c r="BK41" s="263">
        <v>1198846</v>
      </c>
      <c r="BL41" s="263">
        <v>1024797</v>
      </c>
      <c r="BM41" s="263">
        <v>978056</v>
      </c>
      <c r="BN41" s="263">
        <v>104735</v>
      </c>
      <c r="BO41" s="263">
        <v>102540</v>
      </c>
      <c r="BP41" s="263">
        <v>1278665</v>
      </c>
      <c r="BQ41" s="263">
        <v>1243993</v>
      </c>
      <c r="BR41" s="263">
        <v>1054175</v>
      </c>
      <c r="BS41" s="263">
        <v>1005835</v>
      </c>
      <c r="BT41" s="263">
        <v>111811</v>
      </c>
      <c r="BU41" s="263">
        <v>109693</v>
      </c>
      <c r="BV41" s="263">
        <v>1317020</v>
      </c>
      <c r="BW41" s="263">
        <v>1284052</v>
      </c>
      <c r="BX41" s="263">
        <v>1077717</v>
      </c>
      <c r="BY41" s="263">
        <v>1029970</v>
      </c>
      <c r="BZ41" s="263">
        <v>118094</v>
      </c>
      <c r="CA41" s="263">
        <v>115872</v>
      </c>
      <c r="CB41" s="263">
        <v>1343029</v>
      </c>
      <c r="CC41" s="263">
        <v>1310601</v>
      </c>
      <c r="CD41" s="263">
        <v>1091495</v>
      </c>
      <c r="CE41" s="263">
        <v>1043749</v>
      </c>
      <c r="CF41" s="263">
        <v>123314</v>
      </c>
      <c r="CG41" s="263">
        <v>120886</v>
      </c>
      <c r="CH41" s="263">
        <v>1357047</v>
      </c>
      <c r="CI41" s="263">
        <v>1327618</v>
      </c>
      <c r="CJ41" s="263">
        <v>1096995</v>
      </c>
      <c r="CK41" s="263">
        <v>1051713</v>
      </c>
      <c r="CL41" s="263">
        <v>126941</v>
      </c>
      <c r="CM41" s="263">
        <v>124485</v>
      </c>
      <c r="CN41" s="263">
        <v>1365558</v>
      </c>
      <c r="CO41" s="263">
        <v>1338725</v>
      </c>
      <c r="CP41" s="263">
        <v>1099338</v>
      </c>
      <c r="CQ41" s="263">
        <v>1055474</v>
      </c>
      <c r="CR41" s="263">
        <v>129371</v>
      </c>
      <c r="CS41" s="263">
        <v>126953</v>
      </c>
    </row>
    <row r="42" spans="1:97">
      <c r="A42" s="191" t="s">
        <v>48</v>
      </c>
      <c r="B42" s="263">
        <v>567809</v>
      </c>
      <c r="C42" s="263">
        <v>589752</v>
      </c>
      <c r="D42" s="263">
        <v>556313</v>
      </c>
      <c r="E42" s="263">
        <v>578665</v>
      </c>
      <c r="F42" s="263">
        <v>4472</v>
      </c>
      <c r="G42" s="263">
        <v>3683</v>
      </c>
      <c r="H42" s="263">
        <v>576475</v>
      </c>
      <c r="I42" s="263">
        <v>598244</v>
      </c>
      <c r="J42" s="263">
        <v>563994</v>
      </c>
      <c r="K42" s="263">
        <v>586132</v>
      </c>
      <c r="L42" s="263">
        <v>4820</v>
      </c>
      <c r="M42" s="263">
        <v>4005</v>
      </c>
      <c r="N42" s="263">
        <v>583972</v>
      </c>
      <c r="O42" s="263">
        <v>605453</v>
      </c>
      <c r="P42" s="263">
        <v>570967</v>
      </c>
      <c r="Q42" s="263">
        <v>592610</v>
      </c>
      <c r="R42" s="263">
        <v>5006</v>
      </c>
      <c r="S42" s="263">
        <v>4240</v>
      </c>
      <c r="T42" s="263">
        <v>592089</v>
      </c>
      <c r="U42" s="263">
        <v>613851</v>
      </c>
      <c r="V42" s="263">
        <v>578144</v>
      </c>
      <c r="W42" s="263">
        <v>600295</v>
      </c>
      <c r="X42" s="263">
        <v>5255</v>
      </c>
      <c r="Y42" s="263">
        <v>4380</v>
      </c>
      <c r="Z42" s="263">
        <v>600605</v>
      </c>
      <c r="AA42" s="263">
        <v>621409</v>
      </c>
      <c r="AB42" s="263">
        <v>585238</v>
      </c>
      <c r="AC42" s="263">
        <v>606762</v>
      </c>
      <c r="AD42" s="263">
        <v>5806</v>
      </c>
      <c r="AE42" s="263">
        <v>4759</v>
      </c>
      <c r="AF42" s="263">
        <v>609771</v>
      </c>
      <c r="AG42" s="263">
        <v>630111</v>
      </c>
      <c r="AH42" s="263">
        <v>592670</v>
      </c>
      <c r="AI42" s="263">
        <v>613966</v>
      </c>
      <c r="AJ42" s="263">
        <v>6419</v>
      </c>
      <c r="AK42" s="263">
        <v>5193</v>
      </c>
      <c r="AL42" s="263">
        <v>618105</v>
      </c>
      <c r="AM42" s="263">
        <v>637412</v>
      </c>
      <c r="AN42" s="263">
        <v>599248</v>
      </c>
      <c r="AO42" s="263">
        <v>619500</v>
      </c>
      <c r="AP42" s="263">
        <v>7061</v>
      </c>
      <c r="AQ42" s="263">
        <v>5802</v>
      </c>
      <c r="AR42" s="263">
        <v>625409</v>
      </c>
      <c r="AS42" s="263">
        <v>643680</v>
      </c>
      <c r="AT42" s="263">
        <v>605148</v>
      </c>
      <c r="AU42" s="263">
        <v>624337</v>
      </c>
      <c r="AV42" s="263">
        <v>7598</v>
      </c>
      <c r="AW42" s="263">
        <v>6178</v>
      </c>
      <c r="AX42" s="263">
        <v>631327</v>
      </c>
      <c r="AY42" s="263">
        <v>648513</v>
      </c>
      <c r="AZ42" s="263">
        <v>609703</v>
      </c>
      <c r="BA42" s="263">
        <v>627927</v>
      </c>
      <c r="BB42" s="263">
        <v>8109</v>
      </c>
      <c r="BC42" s="263">
        <v>6606</v>
      </c>
      <c r="BD42" s="263">
        <v>636276</v>
      </c>
      <c r="BE42" s="263">
        <v>653845</v>
      </c>
      <c r="BF42" s="263">
        <v>613564</v>
      </c>
      <c r="BG42" s="263">
        <v>631964</v>
      </c>
      <c r="BH42" s="263">
        <v>8490</v>
      </c>
      <c r="BI42" s="263">
        <v>7100</v>
      </c>
      <c r="BJ42" s="263">
        <v>640560</v>
      </c>
      <c r="BK42" s="263">
        <v>657932</v>
      </c>
      <c r="BL42" s="263">
        <v>616548</v>
      </c>
      <c r="BM42" s="263">
        <v>634790</v>
      </c>
      <c r="BN42" s="263">
        <v>8983</v>
      </c>
      <c r="BO42" s="263">
        <v>7487</v>
      </c>
      <c r="BP42" s="263">
        <v>645616</v>
      </c>
      <c r="BQ42" s="263">
        <v>662773</v>
      </c>
      <c r="BR42" s="263">
        <v>620415</v>
      </c>
      <c r="BS42" s="263">
        <v>638380</v>
      </c>
      <c r="BT42" s="263">
        <v>9571</v>
      </c>
      <c r="BU42" s="263">
        <v>7985</v>
      </c>
      <c r="BV42" s="263">
        <v>647553</v>
      </c>
      <c r="BW42" s="263">
        <v>664987</v>
      </c>
      <c r="BX42" s="263">
        <v>621509</v>
      </c>
      <c r="BY42" s="263">
        <v>639638</v>
      </c>
      <c r="BZ42" s="263">
        <v>9904</v>
      </c>
      <c r="CA42" s="263">
        <v>8211</v>
      </c>
      <c r="CB42" s="263">
        <v>649330</v>
      </c>
      <c r="CC42" s="263">
        <v>666576</v>
      </c>
      <c r="CD42" s="263">
        <v>622292</v>
      </c>
      <c r="CE42" s="263">
        <v>640059</v>
      </c>
      <c r="CF42" s="263">
        <v>10352</v>
      </c>
      <c r="CG42" s="263">
        <v>8596</v>
      </c>
      <c r="CH42" s="263">
        <v>649227</v>
      </c>
      <c r="CI42" s="263">
        <v>666875</v>
      </c>
      <c r="CJ42" s="263">
        <v>621429</v>
      </c>
      <c r="CK42" s="263">
        <v>639555</v>
      </c>
      <c r="CL42" s="263">
        <v>10679</v>
      </c>
      <c r="CM42" s="263">
        <v>8851</v>
      </c>
      <c r="CN42" s="263">
        <v>649637</v>
      </c>
      <c r="CO42" s="263">
        <v>667170</v>
      </c>
      <c r="CP42" s="263">
        <v>621257</v>
      </c>
      <c r="CQ42" s="263">
        <v>639409</v>
      </c>
      <c r="CR42" s="263">
        <v>11040</v>
      </c>
      <c r="CS42" s="263">
        <v>9001</v>
      </c>
    </row>
    <row r="43" spans="1:97">
      <c r="A43" s="191" t="s">
        <v>49</v>
      </c>
      <c r="B43" s="263">
        <v>3915530</v>
      </c>
      <c r="C43" s="263">
        <v>4167712</v>
      </c>
      <c r="D43" s="263">
        <v>3160469</v>
      </c>
      <c r="E43" s="263">
        <v>3342928</v>
      </c>
      <c r="F43" s="263">
        <v>555257</v>
      </c>
      <c r="G43" s="263">
        <v>614902</v>
      </c>
      <c r="H43" s="263">
        <v>3948262</v>
      </c>
      <c r="I43" s="263">
        <v>4201334</v>
      </c>
      <c r="J43" s="263">
        <v>3174645</v>
      </c>
      <c r="K43" s="263">
        <v>3355199</v>
      </c>
      <c r="L43" s="263">
        <v>561605</v>
      </c>
      <c r="M43" s="263">
        <v>623286</v>
      </c>
      <c r="N43" s="263">
        <v>3983140</v>
      </c>
      <c r="O43" s="263">
        <v>4235668</v>
      </c>
      <c r="P43" s="263">
        <v>3189005</v>
      </c>
      <c r="Q43" s="263">
        <v>3366382</v>
      </c>
      <c r="R43" s="263">
        <v>568337</v>
      </c>
      <c r="S43" s="263">
        <v>632213</v>
      </c>
      <c r="T43" s="263">
        <v>4018250</v>
      </c>
      <c r="U43" s="263">
        <v>4269168</v>
      </c>
      <c r="V43" s="263">
        <v>3203952</v>
      </c>
      <c r="W43" s="263">
        <v>3376789</v>
      </c>
      <c r="X43" s="263">
        <v>575676</v>
      </c>
      <c r="Y43" s="263">
        <v>641482</v>
      </c>
      <c r="Z43" s="263">
        <v>4055321</v>
      </c>
      <c r="AA43" s="263">
        <v>4304271</v>
      </c>
      <c r="AB43" s="263">
        <v>3217379</v>
      </c>
      <c r="AC43" s="263">
        <v>3391812</v>
      </c>
      <c r="AD43" s="263">
        <v>582178</v>
      </c>
      <c r="AE43" s="263">
        <v>649064</v>
      </c>
      <c r="AF43" s="263">
        <v>4090509</v>
      </c>
      <c r="AG43" s="263">
        <v>4340112</v>
      </c>
      <c r="AH43" s="263">
        <v>3229953</v>
      </c>
      <c r="AI43" s="263">
        <v>3406829</v>
      </c>
      <c r="AJ43" s="263">
        <v>588122</v>
      </c>
      <c r="AK43" s="263">
        <v>656464</v>
      </c>
      <c r="AL43" s="263">
        <v>4122739</v>
      </c>
      <c r="AM43" s="263">
        <v>4369932</v>
      </c>
      <c r="AN43" s="263">
        <v>3240039</v>
      </c>
      <c r="AO43" s="263">
        <v>3412078</v>
      </c>
      <c r="AP43" s="263">
        <v>593651</v>
      </c>
      <c r="AQ43" s="263">
        <v>663623</v>
      </c>
      <c r="AR43" s="263">
        <v>4153842</v>
      </c>
      <c r="AS43" s="263">
        <v>4398801</v>
      </c>
      <c r="AT43" s="263">
        <v>3250253</v>
      </c>
      <c r="AU43" s="263">
        <v>3416825</v>
      </c>
      <c r="AV43" s="263">
        <v>598808</v>
      </c>
      <c r="AW43" s="263">
        <v>670015</v>
      </c>
      <c r="AX43" s="263">
        <v>4179438</v>
      </c>
      <c r="AY43" s="263">
        <v>4421964</v>
      </c>
      <c r="AZ43" s="263">
        <v>3256829</v>
      </c>
      <c r="BA43" s="263">
        <v>3417868</v>
      </c>
      <c r="BB43" s="263">
        <v>603390</v>
      </c>
      <c r="BC43" s="263">
        <v>676211</v>
      </c>
      <c r="BD43" s="263">
        <v>4197597</v>
      </c>
      <c r="BE43" s="263">
        <v>4436964</v>
      </c>
      <c r="BF43" s="263">
        <v>3257072</v>
      </c>
      <c r="BG43" s="263">
        <v>3413631</v>
      </c>
      <c r="BH43" s="263">
        <v>607578</v>
      </c>
      <c r="BI43" s="263">
        <v>680660</v>
      </c>
      <c r="BJ43" s="263">
        <v>4208429</v>
      </c>
      <c r="BK43" s="263">
        <v>4443545</v>
      </c>
      <c r="BL43" s="263">
        <v>3251660</v>
      </c>
      <c r="BM43" s="263">
        <v>3402425</v>
      </c>
      <c r="BN43" s="263">
        <v>610356</v>
      </c>
      <c r="BO43" s="263">
        <v>683251</v>
      </c>
      <c r="BP43" s="263">
        <v>4213580</v>
      </c>
      <c r="BQ43" s="263">
        <v>4448099</v>
      </c>
      <c r="BR43" s="263">
        <v>3242856</v>
      </c>
      <c r="BS43" s="263">
        <v>3390120</v>
      </c>
      <c r="BT43" s="263">
        <v>612548</v>
      </c>
      <c r="BU43" s="263">
        <v>686105</v>
      </c>
      <c r="BV43" s="263">
        <v>4222737</v>
      </c>
      <c r="BW43" s="263">
        <v>4455148</v>
      </c>
      <c r="BX43" s="263">
        <v>3235757</v>
      </c>
      <c r="BY43" s="263">
        <v>3379495</v>
      </c>
      <c r="BZ43" s="263">
        <v>615167</v>
      </c>
      <c r="CA43" s="263">
        <v>689167</v>
      </c>
      <c r="CB43" s="263">
        <v>4241189</v>
      </c>
      <c r="CC43" s="263">
        <v>4469901</v>
      </c>
      <c r="CD43" s="263">
        <v>3235980</v>
      </c>
      <c r="CE43" s="263">
        <v>3375728</v>
      </c>
      <c r="CF43" s="263">
        <v>619064</v>
      </c>
      <c r="CG43" s="263">
        <v>692632</v>
      </c>
      <c r="CH43" s="263">
        <v>4262096</v>
      </c>
      <c r="CI43" s="263">
        <v>4493506</v>
      </c>
      <c r="CJ43" s="263">
        <v>3238736</v>
      </c>
      <c r="CK43" s="263">
        <v>3377252</v>
      </c>
      <c r="CL43" s="263">
        <v>623845</v>
      </c>
      <c r="CM43" s="263">
        <v>699687</v>
      </c>
      <c r="CN43" s="263">
        <v>4283988</v>
      </c>
      <c r="CO43" s="263">
        <v>4515605</v>
      </c>
      <c r="CP43" s="263">
        <v>3243240</v>
      </c>
      <c r="CQ43" s="263">
        <v>3380397</v>
      </c>
      <c r="CR43" s="263">
        <v>629826</v>
      </c>
      <c r="CS43" s="263">
        <v>706110</v>
      </c>
    </row>
    <row r="44" spans="1:97">
      <c r="A44" s="191" t="s">
        <v>50</v>
      </c>
      <c r="B44" s="263">
        <v>847721</v>
      </c>
      <c r="C44" s="263">
        <v>872673</v>
      </c>
      <c r="D44" s="263">
        <v>741034</v>
      </c>
      <c r="E44" s="263">
        <v>760398</v>
      </c>
      <c r="F44" s="263">
        <v>20303</v>
      </c>
      <c r="G44" s="263">
        <v>19091</v>
      </c>
      <c r="H44" s="263">
        <v>863166</v>
      </c>
      <c r="I44" s="263">
        <v>889160</v>
      </c>
      <c r="J44" s="263">
        <v>753076</v>
      </c>
      <c r="K44" s="263">
        <v>773620</v>
      </c>
      <c r="L44" s="263">
        <v>21038</v>
      </c>
      <c r="M44" s="263">
        <v>19585</v>
      </c>
      <c r="N44" s="263">
        <v>873806</v>
      </c>
      <c r="O44" s="263">
        <v>901033</v>
      </c>
      <c r="P44" s="263">
        <v>760905</v>
      </c>
      <c r="Q44" s="263">
        <v>783086</v>
      </c>
      <c r="R44" s="263">
        <v>21701</v>
      </c>
      <c r="S44" s="263">
        <v>19931</v>
      </c>
      <c r="T44" s="263">
        <v>882721</v>
      </c>
      <c r="U44" s="263">
        <v>910763</v>
      </c>
      <c r="V44" s="263">
        <v>766122</v>
      </c>
      <c r="W44" s="263">
        <v>788766</v>
      </c>
      <c r="X44" s="263">
        <v>21855</v>
      </c>
      <c r="Y44" s="263">
        <v>19794</v>
      </c>
      <c r="Z44" s="263">
        <v>889421</v>
      </c>
      <c r="AA44" s="263">
        <v>918661</v>
      </c>
      <c r="AB44" s="263">
        <v>769836</v>
      </c>
      <c r="AC44" s="263">
        <v>793585</v>
      </c>
      <c r="AD44" s="263">
        <v>22033</v>
      </c>
      <c r="AE44" s="263">
        <v>20058</v>
      </c>
      <c r="AF44" s="263">
        <v>895580</v>
      </c>
      <c r="AG44" s="263">
        <v>925624</v>
      </c>
      <c r="AH44" s="263">
        <v>771784</v>
      </c>
      <c r="AI44" s="263">
        <v>796128</v>
      </c>
      <c r="AJ44" s="263">
        <v>22410</v>
      </c>
      <c r="AK44" s="263">
        <v>20365</v>
      </c>
      <c r="AL44" s="263">
        <v>901303</v>
      </c>
      <c r="AM44" s="263">
        <v>930387</v>
      </c>
      <c r="AN44" s="263">
        <v>774363</v>
      </c>
      <c r="AO44" s="263">
        <v>798090</v>
      </c>
      <c r="AP44" s="263">
        <v>23131</v>
      </c>
      <c r="AQ44" s="263">
        <v>20929</v>
      </c>
      <c r="AR44" s="263">
        <v>913453</v>
      </c>
      <c r="AS44" s="263">
        <v>941856</v>
      </c>
      <c r="AT44" s="263">
        <v>783117</v>
      </c>
      <c r="AU44" s="263">
        <v>806325</v>
      </c>
      <c r="AV44" s="263">
        <v>24140</v>
      </c>
      <c r="AW44" s="263">
        <v>21567</v>
      </c>
      <c r="AX44" s="263">
        <v>925271</v>
      </c>
      <c r="AY44" s="263">
        <v>952303</v>
      </c>
      <c r="AZ44" s="263">
        <v>791756</v>
      </c>
      <c r="BA44" s="263">
        <v>813869</v>
      </c>
      <c r="BB44" s="263">
        <v>24795</v>
      </c>
      <c r="BC44" s="263">
        <v>22137</v>
      </c>
      <c r="BD44" s="263">
        <v>939070</v>
      </c>
      <c r="BE44" s="263">
        <v>964738</v>
      </c>
      <c r="BF44" s="263">
        <v>802358</v>
      </c>
      <c r="BG44" s="263">
        <v>823152</v>
      </c>
      <c r="BH44" s="263">
        <v>25722</v>
      </c>
      <c r="BI44" s="263">
        <v>22858</v>
      </c>
      <c r="BJ44" s="263">
        <v>953754</v>
      </c>
      <c r="BK44" s="263">
        <v>978520</v>
      </c>
      <c r="BL44" s="263">
        <v>813955</v>
      </c>
      <c r="BM44" s="263">
        <v>834177</v>
      </c>
      <c r="BN44" s="263">
        <v>26605</v>
      </c>
      <c r="BO44" s="263">
        <v>23435</v>
      </c>
      <c r="BP44" s="263">
        <v>968168</v>
      </c>
      <c r="BQ44" s="263">
        <v>993969</v>
      </c>
      <c r="BR44" s="263">
        <v>825308</v>
      </c>
      <c r="BS44" s="263">
        <v>846731</v>
      </c>
      <c r="BT44" s="263">
        <v>27595</v>
      </c>
      <c r="BU44" s="263">
        <v>24154</v>
      </c>
      <c r="BV44" s="263">
        <v>982148</v>
      </c>
      <c r="BW44" s="263">
        <v>1007922</v>
      </c>
      <c r="BX44" s="263">
        <v>836285</v>
      </c>
      <c r="BY44" s="263">
        <v>857191</v>
      </c>
      <c r="BZ44" s="263">
        <v>28439</v>
      </c>
      <c r="CA44" s="263">
        <v>24917</v>
      </c>
      <c r="CB44" s="263">
        <v>992084</v>
      </c>
      <c r="CC44" s="263">
        <v>1018578</v>
      </c>
      <c r="CD44" s="263">
        <v>842967</v>
      </c>
      <c r="CE44" s="263">
        <v>864490</v>
      </c>
      <c r="CF44" s="263">
        <v>28958</v>
      </c>
      <c r="CG44" s="263">
        <v>25383</v>
      </c>
      <c r="CH44" s="263">
        <v>1005564</v>
      </c>
      <c r="CI44" s="263">
        <v>1031238</v>
      </c>
      <c r="CJ44" s="263">
        <v>852318</v>
      </c>
      <c r="CK44" s="263">
        <v>873481</v>
      </c>
      <c r="CL44" s="263">
        <v>30137</v>
      </c>
      <c r="CM44" s="263">
        <v>26139</v>
      </c>
      <c r="CN44" s="263">
        <v>1021088</v>
      </c>
      <c r="CO44" s="263">
        <v>1044825</v>
      </c>
      <c r="CP44" s="263">
        <v>864604</v>
      </c>
      <c r="CQ44" s="263">
        <v>884047</v>
      </c>
      <c r="CR44" s="263">
        <v>31239</v>
      </c>
      <c r="CS44" s="263">
        <v>26966</v>
      </c>
    </row>
    <row r="45" spans="1:97">
      <c r="A45" s="191" t="s">
        <v>51</v>
      </c>
      <c r="B45" s="263">
        <v>8915478</v>
      </c>
      <c r="C45" s="263">
        <v>9608626</v>
      </c>
      <c r="D45" s="263">
        <v>6884634</v>
      </c>
      <c r="E45" s="263">
        <v>7328468</v>
      </c>
      <c r="F45" s="263">
        <v>1520817</v>
      </c>
      <c r="G45" s="263">
        <v>1763372</v>
      </c>
      <c r="H45" s="263">
        <v>8950482</v>
      </c>
      <c r="I45" s="263">
        <v>9637978</v>
      </c>
      <c r="J45" s="263">
        <v>6881717</v>
      </c>
      <c r="K45" s="263">
        <v>7313610</v>
      </c>
      <c r="L45" s="263">
        <v>1533805</v>
      </c>
      <c r="M45" s="263">
        <v>1780419</v>
      </c>
      <c r="N45" s="263">
        <v>8987039</v>
      </c>
      <c r="O45" s="263">
        <v>9669507</v>
      </c>
      <c r="P45" s="263">
        <v>6880878</v>
      </c>
      <c r="Q45" s="263">
        <v>7300834</v>
      </c>
      <c r="R45" s="263">
        <v>1546831</v>
      </c>
      <c r="S45" s="263">
        <v>1798279</v>
      </c>
      <c r="T45" s="263">
        <v>9046733</v>
      </c>
      <c r="U45" s="263">
        <v>9709173</v>
      </c>
      <c r="V45" s="263">
        <v>6900077</v>
      </c>
      <c r="W45" s="263">
        <v>7295150</v>
      </c>
      <c r="X45" s="263">
        <v>1561214</v>
      </c>
      <c r="Y45" s="263">
        <v>1817226</v>
      </c>
      <c r="Z45" s="263">
        <v>9105071</v>
      </c>
      <c r="AA45" s="263">
        <v>9777654</v>
      </c>
      <c r="AB45" s="263">
        <v>6917065</v>
      </c>
      <c r="AC45" s="263">
        <v>7318698</v>
      </c>
      <c r="AD45" s="263">
        <v>1575076</v>
      </c>
      <c r="AE45" s="263">
        <v>1835692</v>
      </c>
      <c r="AF45" s="263">
        <v>9159719</v>
      </c>
      <c r="AG45" s="263">
        <v>9842061</v>
      </c>
      <c r="AH45" s="263">
        <v>6929296</v>
      </c>
      <c r="AI45" s="263">
        <v>7337228</v>
      </c>
      <c r="AJ45" s="263">
        <v>1589445</v>
      </c>
      <c r="AK45" s="263">
        <v>1854017</v>
      </c>
      <c r="AL45" s="263">
        <v>9204125</v>
      </c>
      <c r="AM45" s="263">
        <v>9878713</v>
      </c>
      <c r="AN45" s="263">
        <v>6942969</v>
      </c>
      <c r="AO45" s="263">
        <v>7338431</v>
      </c>
      <c r="AP45" s="263">
        <v>1597107</v>
      </c>
      <c r="AQ45" s="263">
        <v>1860551</v>
      </c>
      <c r="AR45" s="263">
        <v>9234873</v>
      </c>
      <c r="AS45" s="263">
        <v>9902927</v>
      </c>
      <c r="AT45" s="263">
        <v>6945612</v>
      </c>
      <c r="AU45" s="263">
        <v>7330648</v>
      </c>
      <c r="AV45" s="263">
        <v>1602183</v>
      </c>
      <c r="AW45" s="263">
        <v>1865067</v>
      </c>
      <c r="AX45" s="263">
        <v>9258129</v>
      </c>
      <c r="AY45" s="263">
        <v>9917810</v>
      </c>
      <c r="AZ45" s="263">
        <v>6945157</v>
      </c>
      <c r="BA45" s="263">
        <v>7318315</v>
      </c>
      <c r="BB45" s="263">
        <v>1604603</v>
      </c>
      <c r="BC45" s="263">
        <v>1866404</v>
      </c>
      <c r="BD45" s="263">
        <v>9258040</v>
      </c>
      <c r="BE45" s="263">
        <v>9913527</v>
      </c>
      <c r="BF45" s="263">
        <v>6929618</v>
      </c>
      <c r="BG45" s="263">
        <v>7293173</v>
      </c>
      <c r="BH45" s="263">
        <v>1600828</v>
      </c>
      <c r="BI45" s="263">
        <v>1863418</v>
      </c>
      <c r="BJ45" s="263">
        <v>9245143</v>
      </c>
      <c r="BK45" s="263">
        <v>9887467</v>
      </c>
      <c r="BL45" s="263">
        <v>6898559</v>
      </c>
      <c r="BM45" s="263">
        <v>7248164</v>
      </c>
      <c r="BN45" s="263">
        <v>1599801</v>
      </c>
      <c r="BO45" s="263">
        <v>1857880</v>
      </c>
      <c r="BP45" s="263">
        <v>9233230</v>
      </c>
      <c r="BQ45" s="263">
        <v>9871401</v>
      </c>
      <c r="BR45" s="263">
        <v>6868066</v>
      </c>
      <c r="BS45" s="263">
        <v>7209320</v>
      </c>
      <c r="BT45" s="263">
        <v>1598437</v>
      </c>
      <c r="BU45" s="263">
        <v>1855455</v>
      </c>
      <c r="BV45" s="263">
        <v>9250825</v>
      </c>
      <c r="BW45" s="263">
        <v>9881510</v>
      </c>
      <c r="BX45" s="263">
        <v>6859701</v>
      </c>
      <c r="BY45" s="263">
        <v>7191923</v>
      </c>
      <c r="BZ45" s="263">
        <v>1601502</v>
      </c>
      <c r="CA45" s="263">
        <v>1855300</v>
      </c>
      <c r="CB45" s="263">
        <v>9293595</v>
      </c>
      <c r="CC45" s="263">
        <v>9918841</v>
      </c>
      <c r="CD45" s="263">
        <v>6867660</v>
      </c>
      <c r="CE45" s="263">
        <v>7190126</v>
      </c>
      <c r="CF45" s="263">
        <v>1610310</v>
      </c>
      <c r="CG45" s="263">
        <v>1863557</v>
      </c>
      <c r="CH45" s="263">
        <v>9340446</v>
      </c>
      <c r="CI45" s="263">
        <v>9966620</v>
      </c>
      <c r="CJ45" s="263">
        <v>6878278</v>
      </c>
      <c r="CK45" s="263">
        <v>7193960</v>
      </c>
      <c r="CL45" s="263">
        <v>1621430</v>
      </c>
      <c r="CM45" s="263">
        <v>1877321</v>
      </c>
      <c r="CN45" s="263">
        <v>9387383</v>
      </c>
      <c r="CO45" s="263">
        <v>10007823</v>
      </c>
      <c r="CP45" s="263">
        <v>6886827</v>
      </c>
      <c r="CQ45" s="263">
        <v>7191801</v>
      </c>
      <c r="CR45" s="263">
        <v>1638456</v>
      </c>
      <c r="CS45" s="263">
        <v>1895475</v>
      </c>
    </row>
    <row r="46" spans="1:97">
      <c r="A46" s="191" t="s">
        <v>52</v>
      </c>
      <c r="B46" s="263">
        <v>3571446</v>
      </c>
      <c r="C46" s="263">
        <v>3773228</v>
      </c>
      <c r="D46" s="263">
        <v>2717865</v>
      </c>
      <c r="E46" s="263">
        <v>2813087</v>
      </c>
      <c r="F46" s="263">
        <v>768900</v>
      </c>
      <c r="G46" s="263">
        <v>871061</v>
      </c>
      <c r="H46" s="263">
        <v>3650354</v>
      </c>
      <c r="I46" s="263">
        <v>3850316</v>
      </c>
      <c r="J46" s="263">
        <v>2776297</v>
      </c>
      <c r="K46" s="263">
        <v>2867510</v>
      </c>
      <c r="L46" s="263">
        <v>783804</v>
      </c>
      <c r="M46" s="263">
        <v>887831</v>
      </c>
      <c r="N46" s="263">
        <v>3731288</v>
      </c>
      <c r="O46" s="263">
        <v>3925537</v>
      </c>
      <c r="P46" s="263">
        <v>2836068</v>
      </c>
      <c r="Q46" s="263">
        <v>2921104</v>
      </c>
      <c r="R46" s="263">
        <v>799610</v>
      </c>
      <c r="S46" s="263">
        <v>904218</v>
      </c>
      <c r="T46" s="263">
        <v>3809870</v>
      </c>
      <c r="U46" s="263">
        <v>3999251</v>
      </c>
      <c r="V46" s="263">
        <v>2894317</v>
      </c>
      <c r="W46" s="263">
        <v>2974478</v>
      </c>
      <c r="X46" s="263">
        <v>814365</v>
      </c>
      <c r="Y46" s="263">
        <v>918648</v>
      </c>
      <c r="Z46" s="263">
        <v>3886651</v>
      </c>
      <c r="AA46" s="263">
        <v>4062710</v>
      </c>
      <c r="AB46" s="263">
        <v>2952586</v>
      </c>
      <c r="AC46" s="263">
        <v>3018281</v>
      </c>
      <c r="AD46" s="263">
        <v>826729</v>
      </c>
      <c r="AE46" s="263">
        <v>931896</v>
      </c>
      <c r="AF46" s="263">
        <v>3962580</v>
      </c>
      <c r="AG46" s="263">
        <v>4119034</v>
      </c>
      <c r="AH46" s="263">
        <v>3004345</v>
      </c>
      <c r="AI46" s="263">
        <v>3053261</v>
      </c>
      <c r="AJ46" s="263">
        <v>840704</v>
      </c>
      <c r="AK46" s="263">
        <v>944414</v>
      </c>
      <c r="AL46" s="263">
        <v>4022805</v>
      </c>
      <c r="AM46" s="263">
        <v>4187317</v>
      </c>
      <c r="AN46" s="263">
        <v>3043955</v>
      </c>
      <c r="AO46" s="263">
        <v>3097635</v>
      </c>
      <c r="AP46" s="263">
        <v>854256</v>
      </c>
      <c r="AQ46" s="263">
        <v>960729</v>
      </c>
      <c r="AR46" s="263">
        <v>4076022</v>
      </c>
      <c r="AS46" s="263">
        <v>4250179</v>
      </c>
      <c r="AT46" s="263">
        <v>3077106</v>
      </c>
      <c r="AU46" s="263">
        <v>3137665</v>
      </c>
      <c r="AV46" s="263">
        <v>867829</v>
      </c>
      <c r="AW46" s="263">
        <v>976462</v>
      </c>
      <c r="AX46" s="263">
        <v>4108600</v>
      </c>
      <c r="AY46" s="263">
        <v>4313901</v>
      </c>
      <c r="AZ46" s="263">
        <v>3094293</v>
      </c>
      <c r="BA46" s="263">
        <v>3177557</v>
      </c>
      <c r="BB46" s="263">
        <v>876767</v>
      </c>
      <c r="BC46" s="263">
        <v>992567</v>
      </c>
      <c r="BD46" s="263">
        <v>4177082</v>
      </c>
      <c r="BE46" s="263">
        <v>4376070</v>
      </c>
      <c r="BF46" s="263">
        <v>3139327</v>
      </c>
      <c r="BG46" s="263">
        <v>3216579</v>
      </c>
      <c r="BH46" s="263">
        <v>892894</v>
      </c>
      <c r="BI46" s="263">
        <v>1008449</v>
      </c>
      <c r="BJ46" s="263">
        <v>4248218</v>
      </c>
      <c r="BK46" s="263">
        <v>4457189</v>
      </c>
      <c r="BL46" s="263">
        <v>3186910</v>
      </c>
      <c r="BM46" s="263">
        <v>3269740</v>
      </c>
      <c r="BN46" s="263">
        <v>908816</v>
      </c>
      <c r="BO46" s="263">
        <v>1027976</v>
      </c>
      <c r="BP46" s="263">
        <v>4354118</v>
      </c>
      <c r="BQ46" s="263">
        <v>4563152</v>
      </c>
      <c r="BR46" s="263">
        <v>3259482</v>
      </c>
      <c r="BS46" s="263">
        <v>3340655</v>
      </c>
      <c r="BT46" s="263">
        <v>933035</v>
      </c>
      <c r="BU46" s="263">
        <v>1053762</v>
      </c>
      <c r="BV46" s="263">
        <v>4440724</v>
      </c>
      <c r="BW46" s="263">
        <v>4677313</v>
      </c>
      <c r="BX46" s="263">
        <v>3316216</v>
      </c>
      <c r="BY46" s="263">
        <v>3416913</v>
      </c>
      <c r="BZ46" s="263">
        <v>954115</v>
      </c>
      <c r="CA46" s="263">
        <v>1081545</v>
      </c>
      <c r="CB46" s="263">
        <v>4538073</v>
      </c>
      <c r="CC46" s="263">
        <v>4771376</v>
      </c>
      <c r="CD46" s="263">
        <v>3379746</v>
      </c>
      <c r="CE46" s="263">
        <v>3476487</v>
      </c>
      <c r="CF46" s="263">
        <v>978286</v>
      </c>
      <c r="CG46" s="263">
        <v>1106615</v>
      </c>
      <c r="CH46" s="263">
        <v>4603065</v>
      </c>
      <c r="CI46" s="263">
        <v>4846501</v>
      </c>
      <c r="CJ46" s="263">
        <v>3417985</v>
      </c>
      <c r="CK46" s="263">
        <v>3521533</v>
      </c>
      <c r="CL46" s="263">
        <v>997072</v>
      </c>
      <c r="CM46" s="263">
        <v>1127986</v>
      </c>
      <c r="CN46" s="263">
        <v>4660293</v>
      </c>
      <c r="CO46" s="263">
        <v>4899941</v>
      </c>
      <c r="CP46" s="263">
        <v>3450189</v>
      </c>
      <c r="CQ46" s="263">
        <v>3549827</v>
      </c>
      <c r="CR46" s="263">
        <v>1014591</v>
      </c>
      <c r="CS46" s="263">
        <v>1145664</v>
      </c>
    </row>
    <row r="47" spans="1:97">
      <c r="A47" s="191" t="s">
        <v>53</v>
      </c>
      <c r="B47" s="263">
        <v>323579</v>
      </c>
      <c r="C47" s="263">
        <v>324253</v>
      </c>
      <c r="D47" s="263">
        <v>305858</v>
      </c>
      <c r="E47" s="263">
        <v>306432</v>
      </c>
      <c r="F47" s="263">
        <v>1881</v>
      </c>
      <c r="G47" s="263">
        <v>1389</v>
      </c>
      <c r="H47" s="263">
        <v>324882</v>
      </c>
      <c r="I47" s="263">
        <v>325500</v>
      </c>
      <c r="J47" s="263">
        <v>306508</v>
      </c>
      <c r="K47" s="263">
        <v>307027</v>
      </c>
      <c r="L47" s="263">
        <v>2042</v>
      </c>
      <c r="M47" s="263">
        <v>1472</v>
      </c>
      <c r="N47" s="263">
        <v>324419</v>
      </c>
      <c r="O47" s="263">
        <v>325297</v>
      </c>
      <c r="P47" s="263">
        <v>305963</v>
      </c>
      <c r="Q47" s="263">
        <v>306407</v>
      </c>
      <c r="R47" s="263">
        <v>2006</v>
      </c>
      <c r="S47" s="263">
        <v>1495</v>
      </c>
      <c r="T47" s="263">
        <v>323261</v>
      </c>
      <c r="U47" s="263">
        <v>324271</v>
      </c>
      <c r="V47" s="263">
        <v>304109</v>
      </c>
      <c r="W47" s="263">
        <v>305021</v>
      </c>
      <c r="X47" s="263">
        <v>2235</v>
      </c>
      <c r="Y47" s="263">
        <v>1485</v>
      </c>
      <c r="Z47" s="263">
        <v>321642</v>
      </c>
      <c r="AA47" s="263">
        <v>322617</v>
      </c>
      <c r="AB47" s="263">
        <v>302033</v>
      </c>
      <c r="AC47" s="263">
        <v>302966</v>
      </c>
      <c r="AD47" s="263">
        <v>2351</v>
      </c>
      <c r="AE47" s="263">
        <v>1656</v>
      </c>
      <c r="AF47" s="263">
        <v>320468</v>
      </c>
      <c r="AG47" s="263">
        <v>321555</v>
      </c>
      <c r="AH47" s="263">
        <v>299362</v>
      </c>
      <c r="AI47" s="263">
        <v>300588</v>
      </c>
      <c r="AJ47" s="263">
        <v>2960</v>
      </c>
      <c r="AK47" s="263">
        <v>2011</v>
      </c>
      <c r="AL47" s="263">
        <v>319275</v>
      </c>
      <c r="AM47" s="263">
        <v>319787</v>
      </c>
      <c r="AN47" s="263">
        <v>297536</v>
      </c>
      <c r="AO47" s="263">
        <v>298173</v>
      </c>
      <c r="AP47" s="263">
        <v>3242</v>
      </c>
      <c r="AQ47" s="263">
        <v>2234</v>
      </c>
      <c r="AR47" s="263">
        <v>319151</v>
      </c>
      <c r="AS47" s="263">
        <v>319017</v>
      </c>
      <c r="AT47" s="263">
        <v>296667</v>
      </c>
      <c r="AU47" s="263">
        <v>296850</v>
      </c>
      <c r="AV47" s="263">
        <v>3484</v>
      </c>
      <c r="AW47" s="263">
        <v>2452</v>
      </c>
      <c r="AX47" s="263">
        <v>319921</v>
      </c>
      <c r="AY47" s="263">
        <v>318896</v>
      </c>
      <c r="AZ47" s="263">
        <v>296718</v>
      </c>
      <c r="BA47" s="263">
        <v>296206</v>
      </c>
      <c r="BB47" s="263">
        <v>3762</v>
      </c>
      <c r="BC47" s="263">
        <v>2627</v>
      </c>
      <c r="BD47" s="263">
        <v>323697</v>
      </c>
      <c r="BE47" s="263">
        <v>321008</v>
      </c>
      <c r="BF47" s="263">
        <v>299474</v>
      </c>
      <c r="BG47" s="263">
        <v>297478</v>
      </c>
      <c r="BH47" s="263">
        <v>4166</v>
      </c>
      <c r="BI47" s="263">
        <v>2909</v>
      </c>
      <c r="BJ47" s="263">
        <v>324546</v>
      </c>
      <c r="BK47" s="263">
        <v>321543</v>
      </c>
      <c r="BL47" s="263">
        <v>299533</v>
      </c>
      <c r="BM47" s="263">
        <v>297215</v>
      </c>
      <c r="BN47" s="263">
        <v>4525</v>
      </c>
      <c r="BO47" s="263">
        <v>3216</v>
      </c>
      <c r="BP47" s="263">
        <v>326839</v>
      </c>
      <c r="BQ47" s="263">
        <v>322583</v>
      </c>
      <c r="BR47" s="263">
        <v>300895</v>
      </c>
      <c r="BS47" s="263">
        <v>297547</v>
      </c>
      <c r="BT47" s="263">
        <v>4803</v>
      </c>
      <c r="BU47" s="263">
        <v>3371</v>
      </c>
      <c r="BV47" s="263">
        <v>328756</v>
      </c>
      <c r="BW47" s="263">
        <v>324066</v>
      </c>
      <c r="BX47" s="263">
        <v>302090</v>
      </c>
      <c r="BY47" s="263">
        <v>298261</v>
      </c>
      <c r="BZ47" s="263">
        <v>4942</v>
      </c>
      <c r="CA47" s="263">
        <v>3596</v>
      </c>
      <c r="CB47" s="263">
        <v>331438</v>
      </c>
      <c r="CC47" s="263">
        <v>326131</v>
      </c>
      <c r="CD47" s="263">
        <v>303954</v>
      </c>
      <c r="CE47" s="263">
        <v>299614</v>
      </c>
      <c r="CF47" s="263">
        <v>5276</v>
      </c>
      <c r="CG47" s="263">
        <v>3718</v>
      </c>
      <c r="CH47" s="263">
        <v>335294</v>
      </c>
      <c r="CI47" s="263">
        <v>329674</v>
      </c>
      <c r="CJ47" s="263">
        <v>306958</v>
      </c>
      <c r="CK47" s="263">
        <v>302055</v>
      </c>
      <c r="CL47" s="263">
        <v>5741</v>
      </c>
      <c r="CM47" s="263">
        <v>4253</v>
      </c>
      <c r="CN47" s="263">
        <v>341012</v>
      </c>
      <c r="CO47" s="263">
        <v>333617</v>
      </c>
      <c r="CP47" s="263">
        <v>311644</v>
      </c>
      <c r="CQ47" s="263">
        <v>305218</v>
      </c>
      <c r="CR47" s="263">
        <v>6045</v>
      </c>
      <c r="CS47" s="263">
        <v>4314</v>
      </c>
    </row>
    <row r="48" spans="1:97">
      <c r="A48" s="191" t="s">
        <v>54</v>
      </c>
      <c r="B48" s="263">
        <v>5421304</v>
      </c>
      <c r="C48" s="263">
        <v>5781447</v>
      </c>
      <c r="D48" s="263">
        <v>4749292</v>
      </c>
      <c r="E48" s="263">
        <v>5032493</v>
      </c>
      <c r="F48" s="263">
        <v>603024</v>
      </c>
      <c r="G48" s="263">
        <v>676899</v>
      </c>
      <c r="H48" s="263">
        <v>5445063</v>
      </c>
      <c r="I48" s="263">
        <v>5797764</v>
      </c>
      <c r="J48" s="263">
        <v>4759266</v>
      </c>
      <c r="K48" s="263">
        <v>5035382</v>
      </c>
      <c r="L48" s="263">
        <v>613033</v>
      </c>
      <c r="M48" s="263">
        <v>686551</v>
      </c>
      <c r="N48" s="263">
        <v>5465052</v>
      </c>
      <c r="O48" s="263">
        <v>5812305</v>
      </c>
      <c r="P48" s="263">
        <v>4767071</v>
      </c>
      <c r="Q48" s="263">
        <v>5037414</v>
      </c>
      <c r="R48" s="263">
        <v>622474</v>
      </c>
      <c r="S48" s="263">
        <v>695303</v>
      </c>
      <c r="T48" s="263">
        <v>5483947</v>
      </c>
      <c r="U48" s="263">
        <v>5827589</v>
      </c>
      <c r="V48" s="263">
        <v>4774144</v>
      </c>
      <c r="W48" s="263">
        <v>5041427</v>
      </c>
      <c r="X48" s="263">
        <v>631346</v>
      </c>
      <c r="Y48" s="263">
        <v>702384</v>
      </c>
      <c r="Z48" s="263">
        <v>5500437</v>
      </c>
      <c r="AA48" s="263">
        <v>5835017</v>
      </c>
      <c r="AB48" s="263">
        <v>4779030</v>
      </c>
      <c r="AC48" s="263">
        <v>5037428</v>
      </c>
      <c r="AD48" s="263">
        <v>638003</v>
      </c>
      <c r="AE48" s="263">
        <v>709739</v>
      </c>
      <c r="AF48" s="263">
        <v>5518118</v>
      </c>
      <c r="AG48" s="263">
        <v>5845425</v>
      </c>
      <c r="AH48" s="263">
        <v>4781900</v>
      </c>
      <c r="AI48" s="263">
        <v>5034875</v>
      </c>
      <c r="AJ48" s="263">
        <v>646941</v>
      </c>
      <c r="AK48" s="263">
        <v>717340</v>
      </c>
      <c r="AL48" s="263">
        <v>5533713</v>
      </c>
      <c r="AM48" s="263">
        <v>5853691</v>
      </c>
      <c r="AN48" s="263">
        <v>4785330</v>
      </c>
      <c r="AO48" s="263">
        <v>5030727</v>
      </c>
      <c r="AP48" s="263">
        <v>655743</v>
      </c>
      <c r="AQ48" s="263">
        <v>725716</v>
      </c>
      <c r="AR48" s="263">
        <v>5548504</v>
      </c>
      <c r="AS48" s="263">
        <v>5859385</v>
      </c>
      <c r="AT48" s="263">
        <v>4787768</v>
      </c>
      <c r="AU48" s="263">
        <v>5024745</v>
      </c>
      <c r="AV48" s="263">
        <v>664166</v>
      </c>
      <c r="AW48" s="263">
        <v>733394</v>
      </c>
      <c r="AX48" s="263">
        <v>5566253</v>
      </c>
      <c r="AY48" s="263">
        <v>5868535</v>
      </c>
      <c r="AZ48" s="263">
        <v>4793087</v>
      </c>
      <c r="BA48" s="263">
        <v>5021877</v>
      </c>
      <c r="BB48" s="263">
        <v>672327</v>
      </c>
      <c r="BC48" s="263">
        <v>740843</v>
      </c>
      <c r="BD48" s="263">
        <v>5577840</v>
      </c>
      <c r="BE48" s="263">
        <v>5874411</v>
      </c>
      <c r="BF48" s="263">
        <v>4793961</v>
      </c>
      <c r="BG48" s="263">
        <v>5016719</v>
      </c>
      <c r="BH48" s="263">
        <v>679343</v>
      </c>
      <c r="BI48" s="263">
        <v>747680</v>
      </c>
      <c r="BJ48" s="263">
        <v>5586617</v>
      </c>
      <c r="BK48" s="263">
        <v>5876703</v>
      </c>
      <c r="BL48" s="263">
        <v>4791322</v>
      </c>
      <c r="BM48" s="263">
        <v>5007329</v>
      </c>
      <c r="BN48" s="263">
        <v>686793</v>
      </c>
      <c r="BO48" s="263">
        <v>754908</v>
      </c>
      <c r="BP48" s="263">
        <v>5598146</v>
      </c>
      <c r="BQ48" s="263">
        <v>5883067</v>
      </c>
      <c r="BR48" s="263">
        <v>4791171</v>
      </c>
      <c r="BS48" s="263">
        <v>5002238</v>
      </c>
      <c r="BT48" s="263">
        <v>695025</v>
      </c>
      <c r="BU48" s="263">
        <v>762371</v>
      </c>
      <c r="BV48" s="263">
        <v>5609503</v>
      </c>
      <c r="BW48" s="263">
        <v>5890965</v>
      </c>
      <c r="BX48" s="263">
        <v>4791316</v>
      </c>
      <c r="BY48" s="263">
        <v>4997863</v>
      </c>
      <c r="BZ48" s="263">
        <v>702876</v>
      </c>
      <c r="CA48" s="263">
        <v>770506</v>
      </c>
      <c r="CB48" s="263">
        <v>5618797</v>
      </c>
      <c r="CC48" s="263">
        <v>5896594</v>
      </c>
      <c r="CD48" s="263">
        <v>4790184</v>
      </c>
      <c r="CE48" s="263">
        <v>4991788</v>
      </c>
      <c r="CF48" s="263">
        <v>709960</v>
      </c>
      <c r="CG48" s="263">
        <v>778042</v>
      </c>
      <c r="CH48" s="263">
        <v>5626878</v>
      </c>
      <c r="CI48" s="263">
        <v>5902018</v>
      </c>
      <c r="CJ48" s="263">
        <v>4788666</v>
      </c>
      <c r="CK48" s="263">
        <v>4987072</v>
      </c>
      <c r="CL48" s="263">
        <v>716518</v>
      </c>
      <c r="CM48" s="263">
        <v>784888</v>
      </c>
      <c r="CN48" s="263">
        <v>5633699</v>
      </c>
      <c r="CO48" s="263">
        <v>5904269</v>
      </c>
      <c r="CP48" s="263">
        <v>4785406</v>
      </c>
      <c r="CQ48" s="263">
        <v>4979098</v>
      </c>
      <c r="CR48" s="263">
        <v>723361</v>
      </c>
      <c r="CS48" s="263">
        <v>791317</v>
      </c>
    </row>
    <row r="49" spans="1:97">
      <c r="A49" s="191" t="s">
        <v>55</v>
      </c>
      <c r="B49" s="263">
        <v>1619118</v>
      </c>
      <c r="C49" s="263">
        <v>1689090</v>
      </c>
      <c r="D49" s="263">
        <v>1334251</v>
      </c>
      <c r="E49" s="263">
        <v>1391450</v>
      </c>
      <c r="F49" s="263">
        <v>124815</v>
      </c>
      <c r="G49" s="263">
        <v>131772</v>
      </c>
      <c r="H49" s="263">
        <v>1636268</v>
      </c>
      <c r="I49" s="263">
        <v>1703861</v>
      </c>
      <c r="J49" s="263">
        <v>1345180</v>
      </c>
      <c r="K49" s="263">
        <v>1399680</v>
      </c>
      <c r="L49" s="263">
        <v>126977</v>
      </c>
      <c r="M49" s="263">
        <v>133849</v>
      </c>
      <c r="N49" s="263">
        <v>1653339</v>
      </c>
      <c r="O49" s="263">
        <v>1719578</v>
      </c>
      <c r="P49" s="263">
        <v>1355783</v>
      </c>
      <c r="Q49" s="263">
        <v>1408276</v>
      </c>
      <c r="R49" s="263">
        <v>129462</v>
      </c>
      <c r="S49" s="263">
        <v>136151</v>
      </c>
      <c r="T49" s="263">
        <v>1669877</v>
      </c>
      <c r="U49" s="263">
        <v>1735317</v>
      </c>
      <c r="V49" s="263">
        <v>1365937</v>
      </c>
      <c r="W49" s="263">
        <v>1417595</v>
      </c>
      <c r="X49" s="263">
        <v>132792</v>
      </c>
      <c r="Y49" s="263">
        <v>138835</v>
      </c>
      <c r="Z49" s="263">
        <v>1688364</v>
      </c>
      <c r="AA49" s="263">
        <v>1748783</v>
      </c>
      <c r="AB49" s="263">
        <v>1375751</v>
      </c>
      <c r="AC49" s="263">
        <v>1424430</v>
      </c>
      <c r="AD49" s="263">
        <v>136433</v>
      </c>
      <c r="AE49" s="263">
        <v>140624</v>
      </c>
      <c r="AF49" s="263">
        <v>1697872</v>
      </c>
      <c r="AG49" s="263">
        <v>1756493</v>
      </c>
      <c r="AH49" s="263">
        <v>1378428</v>
      </c>
      <c r="AI49" s="263">
        <v>1426147</v>
      </c>
      <c r="AJ49" s="263">
        <v>138433</v>
      </c>
      <c r="AK49" s="263">
        <v>142133</v>
      </c>
      <c r="AL49" s="263">
        <v>1707048</v>
      </c>
      <c r="AM49" s="263">
        <v>1760052</v>
      </c>
      <c r="AN49" s="263">
        <v>1382374</v>
      </c>
      <c r="AO49" s="263">
        <v>1425337</v>
      </c>
      <c r="AP49" s="263">
        <v>140079</v>
      </c>
      <c r="AQ49" s="263">
        <v>142899</v>
      </c>
      <c r="AR49" s="263">
        <v>1720000</v>
      </c>
      <c r="AS49" s="263">
        <v>1769080</v>
      </c>
      <c r="AT49" s="263">
        <v>1389175</v>
      </c>
      <c r="AU49" s="263">
        <v>1429083</v>
      </c>
      <c r="AV49" s="263">
        <v>141773</v>
      </c>
      <c r="AW49" s="263">
        <v>144067</v>
      </c>
      <c r="AX49" s="263">
        <v>1727169</v>
      </c>
      <c r="AY49" s="263">
        <v>1777723</v>
      </c>
      <c r="AZ49" s="263">
        <v>1392137</v>
      </c>
      <c r="BA49" s="263">
        <v>1431991</v>
      </c>
      <c r="BB49" s="263">
        <v>142004</v>
      </c>
      <c r="BC49" s="263">
        <v>145383</v>
      </c>
      <c r="BD49" s="263">
        <v>1740562</v>
      </c>
      <c r="BE49" s="263">
        <v>1784671</v>
      </c>
      <c r="BF49" s="263">
        <v>1399126</v>
      </c>
      <c r="BG49" s="263">
        <v>1434257</v>
      </c>
      <c r="BH49" s="263">
        <v>144179</v>
      </c>
      <c r="BI49" s="263">
        <v>146196</v>
      </c>
      <c r="BJ49" s="263">
        <v>1752122</v>
      </c>
      <c r="BK49" s="263">
        <v>1796475</v>
      </c>
      <c r="BL49" s="263">
        <v>1405261</v>
      </c>
      <c r="BM49" s="263">
        <v>1439960</v>
      </c>
      <c r="BN49" s="263">
        <v>145415</v>
      </c>
      <c r="BO49" s="263">
        <v>147789</v>
      </c>
      <c r="BP49" s="263">
        <v>1775397</v>
      </c>
      <c r="BQ49" s="263">
        <v>1818693</v>
      </c>
      <c r="BR49" s="263">
        <v>1419773</v>
      </c>
      <c r="BS49" s="263">
        <v>1453796</v>
      </c>
      <c r="BT49" s="263">
        <v>148377</v>
      </c>
      <c r="BU49" s="263">
        <v>150652</v>
      </c>
      <c r="BV49" s="263">
        <v>1797174</v>
      </c>
      <c r="BW49" s="263">
        <v>1837175</v>
      </c>
      <c r="BX49" s="263">
        <v>1433028</v>
      </c>
      <c r="BY49" s="263">
        <v>1464671</v>
      </c>
      <c r="BZ49" s="263">
        <v>151340</v>
      </c>
      <c r="CA49" s="263">
        <v>152758</v>
      </c>
      <c r="CB49" s="263">
        <v>1814205</v>
      </c>
      <c r="CC49" s="263">
        <v>1854771</v>
      </c>
      <c r="CD49" s="263">
        <v>1442849</v>
      </c>
      <c r="CE49" s="263">
        <v>1474557</v>
      </c>
      <c r="CF49" s="263">
        <v>152578</v>
      </c>
      <c r="CG49" s="263">
        <v>154692</v>
      </c>
      <c r="CH49" s="263">
        <v>1839538</v>
      </c>
      <c r="CI49" s="263">
        <v>1878034</v>
      </c>
      <c r="CJ49" s="263">
        <v>1458569</v>
      </c>
      <c r="CK49" s="263">
        <v>1488209</v>
      </c>
      <c r="CL49" s="263">
        <v>156105</v>
      </c>
      <c r="CM49" s="263">
        <v>157920</v>
      </c>
      <c r="CN49" s="263">
        <v>1861764</v>
      </c>
      <c r="CO49" s="263">
        <v>1898420</v>
      </c>
      <c r="CP49" s="263">
        <v>1471440</v>
      </c>
      <c r="CQ49" s="263">
        <v>1499390</v>
      </c>
      <c r="CR49" s="263">
        <v>159618</v>
      </c>
      <c r="CS49" s="263">
        <v>161304</v>
      </c>
    </row>
    <row r="50" spans="1:97">
      <c r="A50" s="191" t="s">
        <v>56</v>
      </c>
      <c r="B50" s="263">
        <v>1572388</v>
      </c>
      <c r="C50" s="263">
        <v>1611981</v>
      </c>
      <c r="D50" s="263">
        <v>1472040</v>
      </c>
      <c r="E50" s="263">
        <v>1510194</v>
      </c>
      <c r="F50" s="263">
        <v>30585</v>
      </c>
      <c r="G50" s="263">
        <v>27756</v>
      </c>
      <c r="H50" s="263">
        <v>1604527</v>
      </c>
      <c r="I50" s="263">
        <v>1642584</v>
      </c>
      <c r="J50" s="263">
        <v>1499507</v>
      </c>
      <c r="K50" s="263">
        <v>1535743</v>
      </c>
      <c r="L50" s="263">
        <v>31756</v>
      </c>
      <c r="M50" s="263">
        <v>29000</v>
      </c>
      <c r="N50" s="263">
        <v>1634309</v>
      </c>
      <c r="O50" s="263">
        <v>1670001</v>
      </c>
      <c r="P50" s="263">
        <v>1525090</v>
      </c>
      <c r="Q50" s="263">
        <v>1558592</v>
      </c>
      <c r="R50" s="263">
        <v>32612</v>
      </c>
      <c r="S50" s="263">
        <v>29576</v>
      </c>
      <c r="T50" s="263">
        <v>1659190</v>
      </c>
      <c r="U50" s="263">
        <v>1693259</v>
      </c>
      <c r="V50" s="263">
        <v>1545242</v>
      </c>
      <c r="W50" s="263">
        <v>1576935</v>
      </c>
      <c r="X50" s="263">
        <v>33899</v>
      </c>
      <c r="Y50" s="263">
        <v>30609</v>
      </c>
      <c r="Z50" s="263">
        <v>1681715</v>
      </c>
      <c r="AA50" s="263">
        <v>1712226</v>
      </c>
      <c r="AB50" s="263">
        <v>1562845</v>
      </c>
      <c r="AC50" s="263">
        <v>1591411</v>
      </c>
      <c r="AD50" s="263">
        <v>35120</v>
      </c>
      <c r="AE50" s="263">
        <v>31249</v>
      </c>
      <c r="AF50" s="263">
        <v>1701061</v>
      </c>
      <c r="AG50" s="263">
        <v>1728647</v>
      </c>
      <c r="AH50" s="263">
        <v>1576197</v>
      </c>
      <c r="AI50" s="263">
        <v>1602352</v>
      </c>
      <c r="AJ50" s="263">
        <v>37077</v>
      </c>
      <c r="AK50" s="263">
        <v>32628</v>
      </c>
      <c r="AL50" s="263">
        <v>1720048</v>
      </c>
      <c r="AM50" s="263">
        <v>1747889</v>
      </c>
      <c r="AN50" s="263">
        <v>1590441</v>
      </c>
      <c r="AO50" s="263">
        <v>1616351</v>
      </c>
      <c r="AP50" s="263">
        <v>38232</v>
      </c>
      <c r="AQ50" s="263">
        <v>33774</v>
      </c>
      <c r="AR50" s="263">
        <v>1742298</v>
      </c>
      <c r="AS50" s="263">
        <v>1771126</v>
      </c>
      <c r="AT50" s="263">
        <v>1607737</v>
      </c>
      <c r="AU50" s="263">
        <v>1634342</v>
      </c>
      <c r="AV50" s="263">
        <v>39604</v>
      </c>
      <c r="AW50" s="263">
        <v>34936</v>
      </c>
      <c r="AX50" s="263">
        <v>1758571</v>
      </c>
      <c r="AY50" s="263">
        <v>1788805</v>
      </c>
      <c r="AZ50" s="263">
        <v>1619800</v>
      </c>
      <c r="BA50" s="263">
        <v>1647454</v>
      </c>
      <c r="BB50" s="263">
        <v>40490</v>
      </c>
      <c r="BC50" s="263">
        <v>35761</v>
      </c>
      <c r="BD50" s="263">
        <v>1769086</v>
      </c>
      <c r="BE50" s="263">
        <v>1800377</v>
      </c>
      <c r="BF50" s="263">
        <v>1626771</v>
      </c>
      <c r="BG50" s="263">
        <v>1655167</v>
      </c>
      <c r="BH50" s="263">
        <v>41219</v>
      </c>
      <c r="BI50" s="263">
        <v>36455</v>
      </c>
      <c r="BJ50" s="263">
        <v>1789755</v>
      </c>
      <c r="BK50" s="263">
        <v>1823447</v>
      </c>
      <c r="BL50" s="263">
        <v>1642399</v>
      </c>
      <c r="BM50" s="263">
        <v>1672628</v>
      </c>
      <c r="BN50" s="263">
        <v>42577</v>
      </c>
      <c r="BO50" s="263">
        <v>37434</v>
      </c>
      <c r="BP50" s="263">
        <v>1817766</v>
      </c>
      <c r="BQ50" s="263">
        <v>1853117</v>
      </c>
      <c r="BR50" s="263">
        <v>1664321</v>
      </c>
      <c r="BS50" s="263">
        <v>1696074</v>
      </c>
      <c r="BT50" s="263">
        <v>44391</v>
      </c>
      <c r="BU50" s="263">
        <v>38805</v>
      </c>
      <c r="BV50" s="263">
        <v>1843070</v>
      </c>
      <c r="BW50" s="263">
        <v>1879347</v>
      </c>
      <c r="BX50" s="263">
        <v>1683732</v>
      </c>
      <c r="BY50" s="263">
        <v>1715921</v>
      </c>
      <c r="BZ50" s="263">
        <v>45890</v>
      </c>
      <c r="CA50" s="263">
        <v>40313</v>
      </c>
      <c r="CB50" s="263">
        <v>1865213</v>
      </c>
      <c r="CC50" s="263">
        <v>1903535</v>
      </c>
      <c r="CD50" s="263">
        <v>1700081</v>
      </c>
      <c r="CE50" s="263">
        <v>1734316</v>
      </c>
      <c r="CF50" s="263">
        <v>47706</v>
      </c>
      <c r="CG50" s="263">
        <v>41680</v>
      </c>
      <c r="CH50" s="263">
        <v>1885391</v>
      </c>
      <c r="CI50" s="263">
        <v>1923209</v>
      </c>
      <c r="CJ50" s="263">
        <v>1714380</v>
      </c>
      <c r="CK50" s="263">
        <v>1747957</v>
      </c>
      <c r="CL50" s="263">
        <v>49086</v>
      </c>
      <c r="CM50" s="263">
        <v>43189</v>
      </c>
      <c r="CN50" s="263">
        <v>1900035</v>
      </c>
      <c r="CO50" s="263">
        <v>1938297</v>
      </c>
      <c r="CP50" s="263">
        <v>1723387</v>
      </c>
      <c r="CQ50" s="263">
        <v>1757877</v>
      </c>
      <c r="CR50" s="263">
        <v>50801</v>
      </c>
      <c r="CS50" s="263">
        <v>44265</v>
      </c>
    </row>
    <row r="51" spans="1:97">
      <c r="A51" s="191" t="s">
        <v>57</v>
      </c>
      <c r="B51" s="263">
        <v>5869713</v>
      </c>
      <c r="C51" s="263">
        <v>6328690</v>
      </c>
      <c r="D51" s="263">
        <v>5196912</v>
      </c>
      <c r="E51" s="263">
        <v>5580329</v>
      </c>
      <c r="F51" s="263">
        <v>570211</v>
      </c>
      <c r="G51" s="263">
        <v>645101</v>
      </c>
      <c r="H51" s="263">
        <v>5882821</v>
      </c>
      <c r="I51" s="263">
        <v>6337643</v>
      </c>
      <c r="J51" s="263">
        <v>5196225</v>
      </c>
      <c r="K51" s="263">
        <v>5575815</v>
      </c>
      <c r="L51" s="263">
        <v>578215</v>
      </c>
      <c r="M51" s="263">
        <v>652650</v>
      </c>
      <c r="N51" s="263">
        <v>5890353</v>
      </c>
      <c r="O51" s="263">
        <v>6337461</v>
      </c>
      <c r="P51" s="263">
        <v>5191688</v>
      </c>
      <c r="Q51" s="263">
        <v>5563911</v>
      </c>
      <c r="R51" s="263">
        <v>585742</v>
      </c>
      <c r="S51" s="263">
        <v>659753</v>
      </c>
      <c r="T51" s="263">
        <v>5901119</v>
      </c>
      <c r="U51" s="263">
        <v>6344553</v>
      </c>
      <c r="V51" s="263">
        <v>5188931</v>
      </c>
      <c r="W51" s="263">
        <v>5556508</v>
      </c>
      <c r="X51" s="263">
        <v>593972</v>
      </c>
      <c r="Y51" s="263">
        <v>668673</v>
      </c>
      <c r="Z51" s="263">
        <v>5916741</v>
      </c>
      <c r="AA51" s="263">
        <v>6347064</v>
      </c>
      <c r="AB51" s="263">
        <v>5190271</v>
      </c>
      <c r="AC51" s="263">
        <v>5544312</v>
      </c>
      <c r="AD51" s="263">
        <v>603144</v>
      </c>
      <c r="AE51" s="263">
        <v>676781</v>
      </c>
      <c r="AF51" s="263">
        <v>5932174</v>
      </c>
      <c r="AG51" s="263">
        <v>6351999</v>
      </c>
      <c r="AH51" s="263">
        <v>5189363</v>
      </c>
      <c r="AI51" s="263">
        <v>5532859</v>
      </c>
      <c r="AJ51" s="263">
        <v>612383</v>
      </c>
      <c r="AK51" s="263">
        <v>684554</v>
      </c>
      <c r="AL51" s="263">
        <v>5944575</v>
      </c>
      <c r="AM51" s="263">
        <v>6354395</v>
      </c>
      <c r="AN51" s="263">
        <v>5186923</v>
      </c>
      <c r="AO51" s="263">
        <v>5520761</v>
      </c>
      <c r="AP51" s="263">
        <v>620186</v>
      </c>
      <c r="AQ51" s="263">
        <v>691371</v>
      </c>
      <c r="AR51" s="263">
        <v>5967199</v>
      </c>
      <c r="AS51" s="263">
        <v>6363832</v>
      </c>
      <c r="AT51" s="263">
        <v>5191718</v>
      </c>
      <c r="AU51" s="263">
        <v>5513563</v>
      </c>
      <c r="AV51" s="263">
        <v>630125</v>
      </c>
      <c r="AW51" s="263">
        <v>699625</v>
      </c>
      <c r="AX51" s="263">
        <v>5996764</v>
      </c>
      <c r="AY51" s="263">
        <v>6377894</v>
      </c>
      <c r="AZ51" s="263">
        <v>5202407</v>
      </c>
      <c r="BA51" s="263">
        <v>5509410</v>
      </c>
      <c r="BB51" s="263">
        <v>640674</v>
      </c>
      <c r="BC51" s="263">
        <v>709065</v>
      </c>
      <c r="BD51" s="263">
        <v>6019973</v>
      </c>
      <c r="BE51" s="263">
        <v>6390749</v>
      </c>
      <c r="BF51" s="263">
        <v>5206012</v>
      </c>
      <c r="BG51" s="263">
        <v>5502442</v>
      </c>
      <c r="BH51" s="263">
        <v>652443</v>
      </c>
      <c r="BI51" s="263">
        <v>719876</v>
      </c>
      <c r="BJ51" s="263">
        <v>6044937</v>
      </c>
      <c r="BK51" s="263">
        <v>6405053</v>
      </c>
      <c r="BL51" s="263">
        <v>5210996</v>
      </c>
      <c r="BM51" s="263">
        <v>5496328</v>
      </c>
      <c r="BN51" s="263">
        <v>664022</v>
      </c>
      <c r="BO51" s="263">
        <v>731164</v>
      </c>
      <c r="BP51" s="263">
        <v>6081497</v>
      </c>
      <c r="BQ51" s="263">
        <v>6429312</v>
      </c>
      <c r="BR51" s="263">
        <v>5225518</v>
      </c>
      <c r="BS51" s="263">
        <v>5498641</v>
      </c>
      <c r="BT51" s="263">
        <v>677447</v>
      </c>
      <c r="BU51" s="263">
        <v>743812</v>
      </c>
      <c r="BV51" s="263">
        <v>6111850</v>
      </c>
      <c r="BW51" s="263">
        <v>6452087</v>
      </c>
      <c r="BX51" s="263">
        <v>5235002</v>
      </c>
      <c r="BY51" s="263">
        <v>5500233</v>
      </c>
      <c r="BZ51" s="263">
        <v>690242</v>
      </c>
      <c r="CA51" s="263">
        <v>755520</v>
      </c>
      <c r="CB51" s="263">
        <v>6138990</v>
      </c>
      <c r="CC51" s="263">
        <v>6473295</v>
      </c>
      <c r="CD51" s="263">
        <v>5242889</v>
      </c>
      <c r="CE51" s="263">
        <v>5500209</v>
      </c>
      <c r="CF51" s="263">
        <v>701830</v>
      </c>
      <c r="CG51" s="263">
        <v>767770</v>
      </c>
      <c r="CH51" s="263">
        <v>6169834</v>
      </c>
      <c r="CI51" s="263">
        <v>6497024</v>
      </c>
      <c r="CJ51" s="263">
        <v>5254082</v>
      </c>
      <c r="CK51" s="263">
        <v>5504119</v>
      </c>
      <c r="CL51" s="263">
        <v>713711</v>
      </c>
      <c r="CM51" s="263">
        <v>778570</v>
      </c>
      <c r="CN51" s="263">
        <v>6198910</v>
      </c>
      <c r="CO51" s="263">
        <v>6518812</v>
      </c>
      <c r="CP51" s="263">
        <v>5265975</v>
      </c>
      <c r="CQ51" s="263">
        <v>5508792</v>
      </c>
      <c r="CR51" s="263">
        <v>723616</v>
      </c>
      <c r="CS51" s="263">
        <v>787534</v>
      </c>
    </row>
    <row r="52" spans="1:97">
      <c r="A52" s="191" t="s">
        <v>58</v>
      </c>
      <c r="B52" s="263">
        <v>488124</v>
      </c>
      <c r="C52" s="263">
        <v>528878</v>
      </c>
      <c r="D52" s="263">
        <v>448440</v>
      </c>
      <c r="E52" s="263">
        <v>488386</v>
      </c>
      <c r="F52" s="263">
        <v>26020</v>
      </c>
      <c r="G52" s="263">
        <v>26430</v>
      </c>
      <c r="H52" s="263">
        <v>489858</v>
      </c>
      <c r="I52" s="263">
        <v>531035</v>
      </c>
      <c r="J52" s="263">
        <v>448880</v>
      </c>
      <c r="K52" s="263">
        <v>488931</v>
      </c>
      <c r="L52" s="263">
        <v>26910</v>
      </c>
      <c r="M52" s="263">
        <v>27488</v>
      </c>
      <c r="N52" s="263">
        <v>492271</v>
      </c>
      <c r="O52" s="263">
        <v>533082</v>
      </c>
      <c r="P52" s="263">
        <v>449677</v>
      </c>
      <c r="Q52" s="263">
        <v>489150</v>
      </c>
      <c r="R52" s="263">
        <v>28036</v>
      </c>
      <c r="S52" s="263">
        <v>28621</v>
      </c>
      <c r="T52" s="263">
        <v>494925</v>
      </c>
      <c r="U52" s="263">
        <v>536230</v>
      </c>
      <c r="V52" s="263">
        <v>450367</v>
      </c>
      <c r="W52" s="263">
        <v>490284</v>
      </c>
      <c r="X52" s="263">
        <v>29343</v>
      </c>
      <c r="Y52" s="263">
        <v>29800</v>
      </c>
      <c r="Z52" s="263">
        <v>499678</v>
      </c>
      <c r="AA52" s="263">
        <v>540724</v>
      </c>
      <c r="AB52" s="263">
        <v>452991</v>
      </c>
      <c r="AC52" s="263">
        <v>492396</v>
      </c>
      <c r="AD52" s="263">
        <v>30871</v>
      </c>
      <c r="AE52" s="263">
        <v>31432</v>
      </c>
      <c r="AF52" s="263">
        <v>504494</v>
      </c>
      <c r="AG52" s="263">
        <v>545774</v>
      </c>
      <c r="AH52" s="263">
        <v>455369</v>
      </c>
      <c r="AI52" s="263">
        <v>494867</v>
      </c>
      <c r="AJ52" s="263">
        <v>32296</v>
      </c>
      <c r="AK52" s="263">
        <v>33027</v>
      </c>
      <c r="AL52" s="263">
        <v>508168</v>
      </c>
      <c r="AM52" s="263">
        <v>548974</v>
      </c>
      <c r="AN52" s="263">
        <v>457241</v>
      </c>
      <c r="AO52" s="263">
        <v>496078</v>
      </c>
      <c r="AP52" s="263">
        <v>33426</v>
      </c>
      <c r="AQ52" s="263">
        <v>34303</v>
      </c>
      <c r="AR52" s="263">
        <v>512905</v>
      </c>
      <c r="AS52" s="263">
        <v>553090</v>
      </c>
      <c r="AT52" s="263">
        <v>459830</v>
      </c>
      <c r="AU52" s="263">
        <v>497822</v>
      </c>
      <c r="AV52" s="263">
        <v>34755</v>
      </c>
      <c r="AW52" s="263">
        <v>35710</v>
      </c>
      <c r="AX52" s="263">
        <v>515752</v>
      </c>
      <c r="AY52" s="263">
        <v>555590</v>
      </c>
      <c r="AZ52" s="263">
        <v>460723</v>
      </c>
      <c r="BA52" s="263">
        <v>498147</v>
      </c>
      <c r="BB52" s="263">
        <v>35997</v>
      </c>
      <c r="BC52" s="263">
        <v>37030</v>
      </c>
      <c r="BD52" s="263">
        <v>518204</v>
      </c>
      <c r="BE52" s="263">
        <v>556375</v>
      </c>
      <c r="BF52" s="263">
        <v>461143</v>
      </c>
      <c r="BG52" s="263">
        <v>497235</v>
      </c>
      <c r="BH52" s="263">
        <v>37452</v>
      </c>
      <c r="BI52" s="263">
        <v>38088</v>
      </c>
      <c r="BJ52" s="263">
        <v>515084</v>
      </c>
      <c r="BK52" s="263">
        <v>552832</v>
      </c>
      <c r="BL52" s="263">
        <v>456976</v>
      </c>
      <c r="BM52" s="263">
        <v>492242</v>
      </c>
      <c r="BN52" s="263">
        <v>38145</v>
      </c>
      <c r="BO52" s="263">
        <v>38887</v>
      </c>
      <c r="BP52" s="263">
        <v>512962</v>
      </c>
      <c r="BQ52" s="263">
        <v>550134</v>
      </c>
      <c r="BR52" s="263">
        <v>453720</v>
      </c>
      <c r="BS52" s="263">
        <v>488654</v>
      </c>
      <c r="BT52" s="263">
        <v>38996</v>
      </c>
      <c r="BU52" s="263">
        <v>39416</v>
      </c>
      <c r="BV52" s="263">
        <v>510456</v>
      </c>
      <c r="BW52" s="263">
        <v>546859</v>
      </c>
      <c r="BX52" s="263">
        <v>450238</v>
      </c>
      <c r="BY52" s="263">
        <v>484098</v>
      </c>
      <c r="BZ52" s="263">
        <v>39745</v>
      </c>
      <c r="CA52" s="263">
        <v>40346</v>
      </c>
      <c r="CB52" s="263">
        <v>509591</v>
      </c>
      <c r="CC52" s="263">
        <v>545412</v>
      </c>
      <c r="CD52" s="263">
        <v>448178</v>
      </c>
      <c r="CE52" s="263">
        <v>481203</v>
      </c>
      <c r="CF52" s="263">
        <v>40440</v>
      </c>
      <c r="CG52" s="263">
        <v>41163</v>
      </c>
      <c r="CH52" s="263">
        <v>508882</v>
      </c>
      <c r="CI52" s="263">
        <v>544764</v>
      </c>
      <c r="CJ52" s="263">
        <v>446050</v>
      </c>
      <c r="CK52" s="263">
        <v>479109</v>
      </c>
      <c r="CL52" s="263">
        <v>41238</v>
      </c>
      <c r="CM52" s="263">
        <v>42082</v>
      </c>
      <c r="CN52" s="263">
        <v>508274</v>
      </c>
      <c r="CO52" s="263">
        <v>544254</v>
      </c>
      <c r="CP52" s="263">
        <v>444552</v>
      </c>
      <c r="CQ52" s="263">
        <v>477443</v>
      </c>
      <c r="CR52" s="263">
        <v>41842</v>
      </c>
      <c r="CS52" s="263">
        <v>42731</v>
      </c>
    </row>
    <row r="53" spans="1:97">
      <c r="A53" s="191" t="s">
        <v>59</v>
      </c>
      <c r="B53" s="263">
        <v>1811660</v>
      </c>
      <c r="C53" s="263">
        <v>1936922</v>
      </c>
      <c r="D53" s="263">
        <v>1260761</v>
      </c>
      <c r="E53" s="263">
        <v>1309799</v>
      </c>
      <c r="F53" s="263">
        <v>532208</v>
      </c>
      <c r="G53" s="263">
        <v>606350</v>
      </c>
      <c r="H53" s="263">
        <v>1835708</v>
      </c>
      <c r="I53" s="263">
        <v>1960492</v>
      </c>
      <c r="J53" s="263">
        <v>1276893</v>
      </c>
      <c r="K53" s="263">
        <v>1324925</v>
      </c>
      <c r="L53" s="263">
        <v>538711</v>
      </c>
      <c r="M53" s="263">
        <v>613375</v>
      </c>
      <c r="N53" s="263">
        <v>1867240</v>
      </c>
      <c r="O53" s="263">
        <v>1992456</v>
      </c>
      <c r="P53" s="263">
        <v>1298806</v>
      </c>
      <c r="Q53" s="263">
        <v>1346605</v>
      </c>
      <c r="R53" s="263">
        <v>546127</v>
      </c>
      <c r="S53" s="263">
        <v>621899</v>
      </c>
      <c r="T53" s="263">
        <v>1898037</v>
      </c>
      <c r="U53" s="263">
        <v>2021198</v>
      </c>
      <c r="V53" s="263">
        <v>1322035</v>
      </c>
      <c r="W53" s="263">
        <v>1367544</v>
      </c>
      <c r="X53" s="263">
        <v>552479</v>
      </c>
      <c r="Y53" s="263">
        <v>628560</v>
      </c>
      <c r="Z53" s="263">
        <v>1929076</v>
      </c>
      <c r="AA53" s="263">
        <v>2045606</v>
      </c>
      <c r="AB53" s="263">
        <v>1345376</v>
      </c>
      <c r="AC53" s="263">
        <v>1384465</v>
      </c>
      <c r="AD53" s="263">
        <v>558524</v>
      </c>
      <c r="AE53" s="263">
        <v>634128</v>
      </c>
      <c r="AF53" s="263">
        <v>1955596</v>
      </c>
      <c r="AG53" s="263">
        <v>2068627</v>
      </c>
      <c r="AH53" s="263">
        <v>1363125</v>
      </c>
      <c r="AI53" s="263">
        <v>1398660</v>
      </c>
      <c r="AJ53" s="263">
        <v>564523</v>
      </c>
      <c r="AK53" s="263">
        <v>640307</v>
      </c>
      <c r="AL53" s="263">
        <v>1975032</v>
      </c>
      <c r="AM53" s="263">
        <v>2089963</v>
      </c>
      <c r="AN53" s="263">
        <v>1376330</v>
      </c>
      <c r="AO53" s="263">
        <v>1413144</v>
      </c>
      <c r="AP53" s="263">
        <v>569292</v>
      </c>
      <c r="AQ53" s="263">
        <v>645461</v>
      </c>
      <c r="AR53" s="263">
        <v>1996726</v>
      </c>
      <c r="AS53" s="263">
        <v>2111069</v>
      </c>
      <c r="AT53" s="263">
        <v>1392100</v>
      </c>
      <c r="AU53" s="263">
        <v>1428632</v>
      </c>
      <c r="AV53" s="263">
        <v>573382</v>
      </c>
      <c r="AW53" s="263">
        <v>649276</v>
      </c>
      <c r="AX53" s="263">
        <v>2016330</v>
      </c>
      <c r="AY53" s="263">
        <v>2133967</v>
      </c>
      <c r="AZ53" s="263">
        <v>1405546</v>
      </c>
      <c r="BA53" s="263">
        <v>1445093</v>
      </c>
      <c r="BB53" s="263">
        <v>577844</v>
      </c>
      <c r="BC53" s="263">
        <v>653737</v>
      </c>
      <c r="BD53" s="263">
        <v>2048616</v>
      </c>
      <c r="BE53" s="263">
        <v>2162305</v>
      </c>
      <c r="BF53" s="263">
        <v>1429302</v>
      </c>
      <c r="BG53" s="263">
        <v>1465409</v>
      </c>
      <c r="BH53" s="263">
        <v>584201</v>
      </c>
      <c r="BI53" s="263">
        <v>659840</v>
      </c>
      <c r="BJ53" s="263">
        <v>2077805</v>
      </c>
      <c r="BK53" s="263">
        <v>2192345</v>
      </c>
      <c r="BL53" s="263">
        <v>1451305</v>
      </c>
      <c r="BM53" s="263">
        <v>1487411</v>
      </c>
      <c r="BN53" s="263">
        <v>589263</v>
      </c>
      <c r="BO53" s="263">
        <v>665842</v>
      </c>
      <c r="BP53" s="263">
        <v>2120192</v>
      </c>
      <c r="BQ53" s="263">
        <v>2237655</v>
      </c>
      <c r="BR53" s="263">
        <v>1482816</v>
      </c>
      <c r="BS53" s="263">
        <v>1520534</v>
      </c>
      <c r="BT53" s="263">
        <v>597910</v>
      </c>
      <c r="BU53" s="263">
        <v>675626</v>
      </c>
      <c r="BV53" s="263">
        <v>2163318</v>
      </c>
      <c r="BW53" s="263">
        <v>2280792</v>
      </c>
      <c r="BX53" s="263">
        <v>1515328</v>
      </c>
      <c r="BY53" s="263">
        <v>1553349</v>
      </c>
      <c r="BZ53" s="263">
        <v>605954</v>
      </c>
      <c r="CA53" s="263">
        <v>683508</v>
      </c>
      <c r="CB53" s="263">
        <v>2203949</v>
      </c>
      <c r="CC53" s="263">
        <v>2325047</v>
      </c>
      <c r="CD53" s="263">
        <v>1545011</v>
      </c>
      <c r="CE53" s="263">
        <v>1584607</v>
      </c>
      <c r="CF53" s="263">
        <v>614576</v>
      </c>
      <c r="CG53" s="263">
        <v>693889</v>
      </c>
      <c r="CH53" s="263">
        <v>2232842</v>
      </c>
      <c r="CI53" s="263">
        <v>2357030</v>
      </c>
      <c r="CJ53" s="263">
        <v>1566348</v>
      </c>
      <c r="CK53" s="263">
        <v>1608428</v>
      </c>
      <c r="CL53" s="263">
        <v>620413</v>
      </c>
      <c r="CM53" s="263">
        <v>700151</v>
      </c>
      <c r="CN53" s="263">
        <v>2256659</v>
      </c>
      <c r="CO53" s="263">
        <v>2380447</v>
      </c>
      <c r="CP53" s="263">
        <v>1581624</v>
      </c>
      <c r="CQ53" s="263">
        <v>1623377</v>
      </c>
      <c r="CR53" s="263">
        <v>627340</v>
      </c>
      <c r="CS53" s="263">
        <v>706902</v>
      </c>
    </row>
    <row r="54" spans="1:97">
      <c r="A54" s="191" t="s">
        <v>60</v>
      </c>
      <c r="B54" s="263">
        <v>364763</v>
      </c>
      <c r="C54" s="263">
        <v>373162</v>
      </c>
      <c r="D54" s="263">
        <v>333222</v>
      </c>
      <c r="E54" s="263">
        <v>341468</v>
      </c>
      <c r="F54" s="263">
        <v>2222</v>
      </c>
      <c r="G54" s="263">
        <v>1222</v>
      </c>
      <c r="H54" s="263">
        <v>366933</v>
      </c>
      <c r="I54" s="263">
        <v>375280</v>
      </c>
      <c r="J54" s="263">
        <v>333858</v>
      </c>
      <c r="K54" s="263">
        <v>342135</v>
      </c>
      <c r="L54" s="263">
        <v>2627</v>
      </c>
      <c r="M54" s="263">
        <v>1420</v>
      </c>
      <c r="N54" s="263">
        <v>368072</v>
      </c>
      <c r="O54" s="263">
        <v>376151</v>
      </c>
      <c r="P54" s="263">
        <v>334270</v>
      </c>
      <c r="Q54" s="263">
        <v>341937</v>
      </c>
      <c r="R54" s="263">
        <v>2672</v>
      </c>
      <c r="S54" s="263">
        <v>1490</v>
      </c>
      <c r="T54" s="263">
        <v>369209</v>
      </c>
      <c r="U54" s="263">
        <v>376849</v>
      </c>
      <c r="V54" s="263">
        <v>334454</v>
      </c>
      <c r="W54" s="263">
        <v>341992</v>
      </c>
      <c r="X54" s="263">
        <v>2874</v>
      </c>
      <c r="Y54" s="263">
        <v>1654</v>
      </c>
      <c r="Z54" s="263">
        <v>371912</v>
      </c>
      <c r="AA54" s="263">
        <v>378500</v>
      </c>
      <c r="AB54" s="263">
        <v>335726</v>
      </c>
      <c r="AC54" s="263">
        <v>342471</v>
      </c>
      <c r="AD54" s="263">
        <v>3058</v>
      </c>
      <c r="AE54" s="263">
        <v>1691</v>
      </c>
      <c r="AF54" s="263">
        <v>375163</v>
      </c>
      <c r="AG54" s="263">
        <v>380681</v>
      </c>
      <c r="AH54" s="263">
        <v>336597</v>
      </c>
      <c r="AI54" s="263">
        <v>342586</v>
      </c>
      <c r="AJ54" s="263">
        <v>3864</v>
      </c>
      <c r="AK54" s="263">
        <v>2321</v>
      </c>
      <c r="AL54" s="263">
        <v>376435</v>
      </c>
      <c r="AM54" s="263">
        <v>381537</v>
      </c>
      <c r="AN54" s="263">
        <v>336951</v>
      </c>
      <c r="AO54" s="263">
        <v>342436</v>
      </c>
      <c r="AP54" s="263">
        <v>4222</v>
      </c>
      <c r="AQ54" s="263">
        <v>2664</v>
      </c>
      <c r="AR54" s="263">
        <v>377692</v>
      </c>
      <c r="AS54" s="263">
        <v>382328</v>
      </c>
      <c r="AT54" s="263">
        <v>337311</v>
      </c>
      <c r="AU54" s="263">
        <v>342204</v>
      </c>
      <c r="AV54" s="263">
        <v>4553</v>
      </c>
      <c r="AW54" s="263">
        <v>3020</v>
      </c>
      <c r="AX54" s="263">
        <v>380096</v>
      </c>
      <c r="AY54" s="263">
        <v>383633</v>
      </c>
      <c r="AZ54" s="263">
        <v>338605</v>
      </c>
      <c r="BA54" s="263">
        <v>342490</v>
      </c>
      <c r="BB54" s="263">
        <v>4878</v>
      </c>
      <c r="BC54" s="263">
        <v>3310</v>
      </c>
      <c r="BD54" s="263">
        <v>383719</v>
      </c>
      <c r="BE54" s="263">
        <v>386677</v>
      </c>
      <c r="BF54" s="263">
        <v>341024</v>
      </c>
      <c r="BG54" s="263">
        <v>344416</v>
      </c>
      <c r="BH54" s="263">
        <v>5233</v>
      </c>
      <c r="BI54" s="263">
        <v>3595</v>
      </c>
      <c r="BJ54" s="263">
        <v>386472</v>
      </c>
      <c r="BK54" s="263">
        <v>389021</v>
      </c>
      <c r="BL54" s="263">
        <v>342777</v>
      </c>
      <c r="BM54" s="263">
        <v>345693</v>
      </c>
      <c r="BN54" s="263">
        <v>5570</v>
      </c>
      <c r="BO54" s="263">
        <v>3977</v>
      </c>
      <c r="BP54" s="263">
        <v>390613</v>
      </c>
      <c r="BQ54" s="263">
        <v>392420</v>
      </c>
      <c r="BR54" s="263">
        <v>345639</v>
      </c>
      <c r="BS54" s="263">
        <v>347971</v>
      </c>
      <c r="BT54" s="263">
        <v>5971</v>
      </c>
      <c r="BU54" s="263">
        <v>4202</v>
      </c>
      <c r="BV54" s="263">
        <v>394973</v>
      </c>
      <c r="BW54" s="263">
        <v>396650</v>
      </c>
      <c r="BX54" s="263">
        <v>348650</v>
      </c>
      <c r="BY54" s="263">
        <v>350835</v>
      </c>
      <c r="BZ54" s="263">
        <v>6436</v>
      </c>
      <c r="CA54" s="263">
        <v>4646</v>
      </c>
      <c r="CB54" s="263">
        <v>398888</v>
      </c>
      <c r="CC54" s="263">
        <v>400236</v>
      </c>
      <c r="CD54" s="263">
        <v>351398</v>
      </c>
      <c r="CE54" s="263">
        <v>353220</v>
      </c>
      <c r="CF54" s="263">
        <v>6848</v>
      </c>
      <c r="CG54" s="263">
        <v>4950</v>
      </c>
      <c r="CH54" s="263">
        <v>403869</v>
      </c>
      <c r="CI54" s="263">
        <v>403198</v>
      </c>
      <c r="CJ54" s="263">
        <v>354493</v>
      </c>
      <c r="CK54" s="263">
        <v>355039</v>
      </c>
      <c r="CL54" s="263">
        <v>7540</v>
      </c>
      <c r="CM54" s="263">
        <v>5205</v>
      </c>
      <c r="CN54" s="263">
        <v>408686</v>
      </c>
      <c r="CO54" s="263">
        <v>407912</v>
      </c>
      <c r="CP54" s="263">
        <v>358208</v>
      </c>
      <c r="CQ54" s="263">
        <v>358384</v>
      </c>
      <c r="CR54" s="263">
        <v>7931</v>
      </c>
      <c r="CS54" s="263">
        <v>5655</v>
      </c>
    </row>
    <row r="55" spans="1:97">
      <c r="A55" s="191" t="s">
        <v>61</v>
      </c>
      <c r="B55" s="263">
        <v>2577437</v>
      </c>
      <c r="C55" s="263">
        <v>2749499</v>
      </c>
      <c r="D55" s="263">
        <v>2139252</v>
      </c>
      <c r="E55" s="263">
        <v>2254037</v>
      </c>
      <c r="F55" s="263">
        <v>409677</v>
      </c>
      <c r="G55" s="263">
        <v>465593</v>
      </c>
      <c r="H55" s="263">
        <v>2623546</v>
      </c>
      <c r="I55" s="263">
        <v>2793097</v>
      </c>
      <c r="J55" s="263">
        <v>2174035</v>
      </c>
      <c r="K55" s="263">
        <v>2286734</v>
      </c>
      <c r="L55" s="263">
        <v>418618</v>
      </c>
      <c r="M55" s="263">
        <v>474278</v>
      </c>
      <c r="N55" s="263">
        <v>2664722</v>
      </c>
      <c r="O55" s="263">
        <v>2834511</v>
      </c>
      <c r="P55" s="263">
        <v>2206139</v>
      </c>
      <c r="Q55" s="263">
        <v>2318492</v>
      </c>
      <c r="R55" s="263">
        <v>425954</v>
      </c>
      <c r="S55" s="263">
        <v>482480</v>
      </c>
      <c r="T55" s="263">
        <v>2702338</v>
      </c>
      <c r="U55" s="263">
        <v>2867707</v>
      </c>
      <c r="V55" s="263">
        <v>2234393</v>
      </c>
      <c r="W55" s="263">
        <v>2341441</v>
      </c>
      <c r="X55" s="263">
        <v>433503</v>
      </c>
      <c r="Y55" s="263">
        <v>490965</v>
      </c>
      <c r="Z55" s="263">
        <v>2741240</v>
      </c>
      <c r="AA55" s="263">
        <v>2897466</v>
      </c>
      <c r="AB55" s="263">
        <v>2263315</v>
      </c>
      <c r="AC55" s="263">
        <v>2362012</v>
      </c>
      <c r="AD55" s="263">
        <v>441667</v>
      </c>
      <c r="AE55" s="263">
        <v>498124</v>
      </c>
      <c r="AF55" s="263">
        <v>2777586</v>
      </c>
      <c r="AG55" s="263">
        <v>2926133</v>
      </c>
      <c r="AH55" s="263">
        <v>2287861</v>
      </c>
      <c r="AI55" s="263">
        <v>2379460</v>
      </c>
      <c r="AJ55" s="263">
        <v>449151</v>
      </c>
      <c r="AK55" s="263">
        <v>504726</v>
      </c>
      <c r="AL55" s="263">
        <v>2802368</v>
      </c>
      <c r="AM55" s="263">
        <v>2948421</v>
      </c>
      <c r="AN55" s="263">
        <v>2303940</v>
      </c>
      <c r="AO55" s="263">
        <v>2392694</v>
      </c>
      <c r="AP55" s="263">
        <v>455746</v>
      </c>
      <c r="AQ55" s="263">
        <v>511432</v>
      </c>
      <c r="AR55" s="263">
        <v>2824045</v>
      </c>
      <c r="AS55" s="263">
        <v>2971873</v>
      </c>
      <c r="AT55" s="263">
        <v>2317244</v>
      </c>
      <c r="AU55" s="263">
        <v>2406553</v>
      </c>
      <c r="AV55" s="263">
        <v>461730</v>
      </c>
      <c r="AW55" s="263">
        <v>518526</v>
      </c>
      <c r="AX55" s="263">
        <v>2846829</v>
      </c>
      <c r="AY55" s="263">
        <v>3000983</v>
      </c>
      <c r="AZ55" s="263">
        <v>2331905</v>
      </c>
      <c r="BA55" s="263">
        <v>2425636</v>
      </c>
      <c r="BB55" s="263">
        <v>467559</v>
      </c>
      <c r="BC55" s="263">
        <v>525884</v>
      </c>
      <c r="BD55" s="263">
        <v>2882878</v>
      </c>
      <c r="BE55" s="263">
        <v>3027931</v>
      </c>
      <c r="BF55" s="263">
        <v>2356193</v>
      </c>
      <c r="BG55" s="263">
        <v>2442969</v>
      </c>
      <c r="BH55" s="263">
        <v>476334</v>
      </c>
      <c r="BI55" s="263">
        <v>532743</v>
      </c>
      <c r="BJ55" s="263">
        <v>2922618</v>
      </c>
      <c r="BK55" s="263">
        <v>3068439</v>
      </c>
      <c r="BL55" s="263">
        <v>2384740</v>
      </c>
      <c r="BM55" s="263">
        <v>2471483</v>
      </c>
      <c r="BN55" s="263">
        <v>484756</v>
      </c>
      <c r="BO55" s="263">
        <v>541616</v>
      </c>
      <c r="BP55" s="263">
        <v>2967311</v>
      </c>
      <c r="BQ55" s="263">
        <v>3121455</v>
      </c>
      <c r="BR55" s="263">
        <v>2416954</v>
      </c>
      <c r="BS55" s="263">
        <v>2509554</v>
      </c>
      <c r="BT55" s="263">
        <v>494284</v>
      </c>
      <c r="BU55" s="263">
        <v>553316</v>
      </c>
      <c r="BV55" s="263">
        <v>3013447</v>
      </c>
      <c r="BW55" s="263">
        <v>3162280</v>
      </c>
      <c r="BX55" s="263">
        <v>2452442</v>
      </c>
      <c r="BY55" s="263">
        <v>2539596</v>
      </c>
      <c r="BZ55" s="263">
        <v>501624</v>
      </c>
      <c r="CA55" s="263">
        <v>560563</v>
      </c>
      <c r="CB55" s="263">
        <v>3044296</v>
      </c>
      <c r="CC55" s="263">
        <v>3203115</v>
      </c>
      <c r="CD55" s="263">
        <v>2475954</v>
      </c>
      <c r="CE55" s="263">
        <v>2570342</v>
      </c>
      <c r="CF55" s="263">
        <v>506764</v>
      </c>
      <c r="CG55" s="263">
        <v>567920</v>
      </c>
      <c r="CH55" s="263">
        <v>3074250</v>
      </c>
      <c r="CI55" s="263">
        <v>3231769</v>
      </c>
      <c r="CJ55" s="263">
        <v>2497273</v>
      </c>
      <c r="CK55" s="263">
        <v>2589408</v>
      </c>
      <c r="CL55" s="263">
        <v>513012</v>
      </c>
      <c r="CM55" s="263">
        <v>574662</v>
      </c>
      <c r="CN55" s="263">
        <v>3098360</v>
      </c>
      <c r="CO55" s="263">
        <v>3259076</v>
      </c>
      <c r="CP55" s="263">
        <v>2512340</v>
      </c>
      <c r="CQ55" s="263">
        <v>2607642</v>
      </c>
      <c r="CR55" s="263">
        <v>519856</v>
      </c>
      <c r="CS55" s="263">
        <v>581744</v>
      </c>
    </row>
    <row r="56" spans="1:97">
      <c r="A56" s="191" t="s">
        <v>62</v>
      </c>
      <c r="B56" s="263">
        <v>9372612</v>
      </c>
      <c r="C56" s="263">
        <v>9586139</v>
      </c>
      <c r="D56" s="263">
        <v>7980421</v>
      </c>
      <c r="E56" s="263">
        <v>8111095</v>
      </c>
      <c r="F56" s="263">
        <v>1105326</v>
      </c>
      <c r="G56" s="263">
        <v>1187067</v>
      </c>
      <c r="H56" s="263">
        <v>9568490</v>
      </c>
      <c r="I56" s="263">
        <v>9771852</v>
      </c>
      <c r="J56" s="263">
        <v>8133054</v>
      </c>
      <c r="K56" s="263">
        <v>8255349</v>
      </c>
      <c r="L56" s="263">
        <v>1127448</v>
      </c>
      <c r="M56" s="263">
        <v>1208292</v>
      </c>
      <c r="N56" s="263">
        <v>9774015</v>
      </c>
      <c r="O56" s="263">
        <v>9966302</v>
      </c>
      <c r="P56" s="263">
        <v>8298671</v>
      </c>
      <c r="Q56" s="263">
        <v>8408734</v>
      </c>
      <c r="R56" s="263">
        <v>1147342</v>
      </c>
      <c r="S56" s="263">
        <v>1229729</v>
      </c>
      <c r="T56" s="263">
        <v>9987006</v>
      </c>
      <c r="U56" s="263">
        <v>10170525</v>
      </c>
      <c r="V56" s="263">
        <v>8471889</v>
      </c>
      <c r="W56" s="263">
        <v>8571014</v>
      </c>
      <c r="X56" s="263">
        <v>1167286</v>
      </c>
      <c r="Y56" s="263">
        <v>1252438</v>
      </c>
      <c r="Z56" s="263">
        <v>10198018</v>
      </c>
      <c r="AA56" s="263">
        <v>10360202</v>
      </c>
      <c r="AB56" s="263">
        <v>8642333</v>
      </c>
      <c r="AC56" s="263">
        <v>8716280</v>
      </c>
      <c r="AD56" s="263">
        <v>1187505</v>
      </c>
      <c r="AE56" s="263">
        <v>1273788</v>
      </c>
      <c r="AF56" s="263">
        <v>10399343</v>
      </c>
      <c r="AG56" s="263">
        <v>10545156</v>
      </c>
      <c r="AH56" s="263">
        <v>8797563</v>
      </c>
      <c r="AI56" s="263">
        <v>8852096</v>
      </c>
      <c r="AJ56" s="263">
        <v>1206108</v>
      </c>
      <c r="AK56" s="263">
        <v>1292359</v>
      </c>
      <c r="AL56" s="263">
        <v>10588432</v>
      </c>
      <c r="AM56" s="263">
        <v>10731190</v>
      </c>
      <c r="AN56" s="263">
        <v>8936085</v>
      </c>
      <c r="AO56" s="263">
        <v>8985946</v>
      </c>
      <c r="AP56" s="263">
        <v>1232556</v>
      </c>
      <c r="AQ56" s="263">
        <v>1319089</v>
      </c>
      <c r="AR56" s="263">
        <v>10775672</v>
      </c>
      <c r="AS56" s="263">
        <v>10914653</v>
      </c>
      <c r="AT56" s="263">
        <v>9073792</v>
      </c>
      <c r="AU56" s="263">
        <v>9118467</v>
      </c>
      <c r="AV56" s="263">
        <v>1257563</v>
      </c>
      <c r="AW56" s="263">
        <v>1344674</v>
      </c>
      <c r="AX56" s="263">
        <v>10934978</v>
      </c>
      <c r="AY56" s="263">
        <v>11095953</v>
      </c>
      <c r="AZ56" s="263">
        <v>9190691</v>
      </c>
      <c r="BA56" s="263">
        <v>9250249</v>
      </c>
      <c r="BB56" s="263">
        <v>1277360</v>
      </c>
      <c r="BC56" s="263">
        <v>1369379</v>
      </c>
      <c r="BD56" s="263">
        <v>11115621</v>
      </c>
      <c r="BE56" s="263">
        <v>11278402</v>
      </c>
      <c r="BF56" s="263">
        <v>9323084</v>
      </c>
      <c r="BG56" s="263">
        <v>9382770</v>
      </c>
      <c r="BH56" s="263">
        <v>1302552</v>
      </c>
      <c r="BI56" s="263">
        <v>1394787</v>
      </c>
      <c r="BJ56" s="263">
        <v>11305125</v>
      </c>
      <c r="BK56" s="263">
        <v>11467895</v>
      </c>
      <c r="BL56" s="263">
        <v>9459307</v>
      </c>
      <c r="BM56" s="263">
        <v>9518298</v>
      </c>
      <c r="BN56" s="263">
        <v>1330034</v>
      </c>
      <c r="BO56" s="263">
        <v>1422034</v>
      </c>
      <c r="BP56" s="263">
        <v>11588337</v>
      </c>
      <c r="BQ56" s="263">
        <v>11771243</v>
      </c>
      <c r="BR56" s="263">
        <v>9641442</v>
      </c>
      <c r="BS56" s="263">
        <v>9705520</v>
      </c>
      <c r="BT56" s="263">
        <v>1399438</v>
      </c>
      <c r="BU56" s="263">
        <v>1504564</v>
      </c>
      <c r="BV56" s="263">
        <v>11821411</v>
      </c>
      <c r="BW56" s="263">
        <v>12010572</v>
      </c>
      <c r="BX56" s="263">
        <v>9812975</v>
      </c>
      <c r="BY56" s="263">
        <v>9881326</v>
      </c>
      <c r="BZ56" s="263">
        <v>1428447</v>
      </c>
      <c r="CA56" s="263">
        <v>1533671</v>
      </c>
      <c r="CB56" s="263">
        <v>12059103</v>
      </c>
      <c r="CC56" s="263">
        <v>12249936</v>
      </c>
      <c r="CD56" s="263">
        <v>9984575</v>
      </c>
      <c r="CE56" s="263">
        <v>10053324</v>
      </c>
      <c r="CF56" s="263">
        <v>1461166</v>
      </c>
      <c r="CG56" s="263">
        <v>1565986</v>
      </c>
      <c r="CH56" s="263">
        <v>12301611</v>
      </c>
      <c r="CI56" s="263">
        <v>12500150</v>
      </c>
      <c r="CJ56" s="263">
        <v>10157399</v>
      </c>
      <c r="CK56" s="263">
        <v>10229491</v>
      </c>
      <c r="CL56" s="263">
        <v>1497356</v>
      </c>
      <c r="CM56" s="263">
        <v>1603937</v>
      </c>
      <c r="CN56" s="263">
        <v>12529802</v>
      </c>
      <c r="CO56" s="263">
        <v>12723664</v>
      </c>
      <c r="CP56" s="263">
        <v>10321394</v>
      </c>
      <c r="CQ56" s="263">
        <v>10389796</v>
      </c>
      <c r="CR56" s="263">
        <v>1531533</v>
      </c>
      <c r="CS56" s="263">
        <v>1636941</v>
      </c>
    </row>
    <row r="57" spans="1:97">
      <c r="A57" s="191" t="s">
        <v>63</v>
      </c>
      <c r="B57" s="263">
        <v>1005225</v>
      </c>
      <c r="C57" s="263">
        <v>1008952</v>
      </c>
      <c r="D57" s="263">
        <v>957511</v>
      </c>
      <c r="E57" s="263">
        <v>962896</v>
      </c>
      <c r="F57" s="263">
        <v>9627</v>
      </c>
      <c r="G57" s="263">
        <v>7167</v>
      </c>
      <c r="H57" s="263">
        <v>1032516</v>
      </c>
      <c r="I57" s="263">
        <v>1035460</v>
      </c>
      <c r="J57" s="263">
        <v>982827</v>
      </c>
      <c r="K57" s="263">
        <v>987408</v>
      </c>
      <c r="L57" s="263">
        <v>10156</v>
      </c>
      <c r="M57" s="263">
        <v>7672</v>
      </c>
      <c r="N57" s="263">
        <v>1059136</v>
      </c>
      <c r="O57" s="263">
        <v>1060648</v>
      </c>
      <c r="P57" s="263">
        <v>1007028</v>
      </c>
      <c r="Q57" s="263">
        <v>1010363</v>
      </c>
      <c r="R57" s="263">
        <v>10810</v>
      </c>
      <c r="S57" s="263">
        <v>8248</v>
      </c>
      <c r="T57" s="263">
        <v>1083194</v>
      </c>
      <c r="U57" s="263">
        <v>1082766</v>
      </c>
      <c r="V57" s="263">
        <v>1028734</v>
      </c>
      <c r="W57" s="263">
        <v>1030370</v>
      </c>
      <c r="X57" s="263">
        <v>11420</v>
      </c>
      <c r="Y57" s="263">
        <v>8770</v>
      </c>
      <c r="Z57" s="263">
        <v>1103315</v>
      </c>
      <c r="AA57" s="263">
        <v>1100167</v>
      </c>
      <c r="AB57" s="263">
        <v>1046887</v>
      </c>
      <c r="AC57" s="263">
        <v>1045601</v>
      </c>
      <c r="AD57" s="263">
        <v>12081</v>
      </c>
      <c r="AE57" s="263">
        <v>9293</v>
      </c>
      <c r="AF57" s="263">
        <v>1124675</v>
      </c>
      <c r="AG57" s="263">
        <v>1119827</v>
      </c>
      <c r="AH57" s="263">
        <v>1065124</v>
      </c>
      <c r="AI57" s="263">
        <v>1061924</v>
      </c>
      <c r="AJ57" s="263">
        <v>13139</v>
      </c>
      <c r="AK57" s="263">
        <v>10210</v>
      </c>
      <c r="AL57" s="263">
        <v>1144533</v>
      </c>
      <c r="AM57" s="263">
        <v>1139182</v>
      </c>
      <c r="AN57" s="263">
        <v>1082485</v>
      </c>
      <c r="AO57" s="263">
        <v>1078528</v>
      </c>
      <c r="AP57" s="263">
        <v>14079</v>
      </c>
      <c r="AQ57" s="263">
        <v>10971</v>
      </c>
      <c r="AR57" s="263">
        <v>1165962</v>
      </c>
      <c r="AS57" s="263">
        <v>1158853</v>
      </c>
      <c r="AT57" s="263">
        <v>1101243</v>
      </c>
      <c r="AU57" s="263">
        <v>1095591</v>
      </c>
      <c r="AV57" s="263">
        <v>14972</v>
      </c>
      <c r="AW57" s="263">
        <v>11673</v>
      </c>
      <c r="AX57" s="263">
        <v>1184270</v>
      </c>
      <c r="AY57" s="263">
        <v>1175867</v>
      </c>
      <c r="AZ57" s="263">
        <v>1117290</v>
      </c>
      <c r="BA57" s="263">
        <v>1110553</v>
      </c>
      <c r="BB57" s="263">
        <v>15529</v>
      </c>
      <c r="BC57" s="263">
        <v>12151</v>
      </c>
      <c r="BD57" s="263">
        <v>1204831</v>
      </c>
      <c r="BE57" s="263">
        <v>1196749</v>
      </c>
      <c r="BF57" s="263">
        <v>1135295</v>
      </c>
      <c r="BG57" s="263">
        <v>1128841</v>
      </c>
      <c r="BH57" s="263">
        <v>16391</v>
      </c>
      <c r="BI57" s="263">
        <v>12774</v>
      </c>
      <c r="BJ57" s="263">
        <v>1232978</v>
      </c>
      <c r="BK57" s="263">
        <v>1224741</v>
      </c>
      <c r="BL57" s="263">
        <v>1160222</v>
      </c>
      <c r="BM57" s="263">
        <v>1153641</v>
      </c>
      <c r="BN57" s="263">
        <v>17423</v>
      </c>
      <c r="BO57" s="263">
        <v>13794</v>
      </c>
      <c r="BP57" s="263">
        <v>1267516</v>
      </c>
      <c r="BQ57" s="263">
        <v>1257991</v>
      </c>
      <c r="BR57" s="263">
        <v>1190975</v>
      </c>
      <c r="BS57" s="263">
        <v>1183282</v>
      </c>
      <c r="BT57" s="263">
        <v>18718</v>
      </c>
      <c r="BU57" s="263">
        <v>14706</v>
      </c>
      <c r="BV57" s="263">
        <v>1305074</v>
      </c>
      <c r="BW57" s="263">
        <v>1292672</v>
      </c>
      <c r="BX57" s="263">
        <v>1224004</v>
      </c>
      <c r="BY57" s="263">
        <v>1213792</v>
      </c>
      <c r="BZ57" s="263">
        <v>20280</v>
      </c>
      <c r="CA57" s="263">
        <v>15945</v>
      </c>
      <c r="CB57" s="263">
        <v>1337398</v>
      </c>
      <c r="CC57" s="263">
        <v>1325631</v>
      </c>
      <c r="CD57" s="263">
        <v>1252341</v>
      </c>
      <c r="CE57" s="263">
        <v>1242662</v>
      </c>
      <c r="CF57" s="263">
        <v>21308</v>
      </c>
      <c r="CG57" s="263">
        <v>16923</v>
      </c>
      <c r="CH57" s="263">
        <v>1367912</v>
      </c>
      <c r="CI57" s="263">
        <v>1355509</v>
      </c>
      <c r="CJ57" s="263">
        <v>1278515</v>
      </c>
      <c r="CK57" s="263">
        <v>1268509</v>
      </c>
      <c r="CL57" s="263">
        <v>22645</v>
      </c>
      <c r="CM57" s="263">
        <v>18014</v>
      </c>
      <c r="CN57" s="263">
        <v>1394587</v>
      </c>
      <c r="CO57" s="263">
        <v>1380892</v>
      </c>
      <c r="CP57" s="263">
        <v>1300990</v>
      </c>
      <c r="CQ57" s="263">
        <v>1290181</v>
      </c>
      <c r="CR57" s="263">
        <v>23861</v>
      </c>
      <c r="CS57" s="263">
        <v>18864</v>
      </c>
    </row>
    <row r="58" spans="1:97">
      <c r="A58" s="191" t="s">
        <v>64</v>
      </c>
      <c r="B58" s="263">
        <v>288757</v>
      </c>
      <c r="C58" s="263">
        <v>300245</v>
      </c>
      <c r="D58" s="263">
        <v>283958</v>
      </c>
      <c r="E58" s="263">
        <v>295542</v>
      </c>
      <c r="F58" s="263">
        <v>1650</v>
      </c>
      <c r="G58" s="263">
        <v>1286</v>
      </c>
      <c r="H58" s="263">
        <v>290890</v>
      </c>
      <c r="I58" s="263">
        <v>302811</v>
      </c>
      <c r="J58" s="263">
        <v>285833</v>
      </c>
      <c r="K58" s="263">
        <v>297649</v>
      </c>
      <c r="L58" s="263">
        <v>1792</v>
      </c>
      <c r="M58" s="263">
        <v>1519</v>
      </c>
      <c r="N58" s="263">
        <v>292502</v>
      </c>
      <c r="O58" s="263">
        <v>304737</v>
      </c>
      <c r="P58" s="263">
        <v>287199</v>
      </c>
      <c r="Q58" s="263">
        <v>299370</v>
      </c>
      <c r="R58" s="263">
        <v>1781</v>
      </c>
      <c r="S58" s="263">
        <v>1468</v>
      </c>
      <c r="T58" s="263">
        <v>293991</v>
      </c>
      <c r="U58" s="263">
        <v>306425</v>
      </c>
      <c r="V58" s="263">
        <v>288473</v>
      </c>
      <c r="W58" s="263">
        <v>300908</v>
      </c>
      <c r="X58" s="263">
        <v>1892</v>
      </c>
      <c r="Y58" s="263">
        <v>1489</v>
      </c>
      <c r="Z58" s="263">
        <v>296285</v>
      </c>
      <c r="AA58" s="263">
        <v>308398</v>
      </c>
      <c r="AB58" s="263">
        <v>290533</v>
      </c>
      <c r="AC58" s="263">
        <v>302824</v>
      </c>
      <c r="AD58" s="263">
        <v>2060</v>
      </c>
      <c r="AE58" s="263">
        <v>1475</v>
      </c>
      <c r="AF58" s="263">
        <v>298769</v>
      </c>
      <c r="AG58" s="263">
        <v>310849</v>
      </c>
      <c r="AH58" s="263">
        <v>292238</v>
      </c>
      <c r="AI58" s="263">
        <v>304398</v>
      </c>
      <c r="AJ58" s="263">
        <v>2346</v>
      </c>
      <c r="AK58" s="263">
        <v>1794</v>
      </c>
      <c r="AL58" s="263">
        <v>300444</v>
      </c>
      <c r="AM58" s="263">
        <v>311779</v>
      </c>
      <c r="AN58" s="263">
        <v>293464</v>
      </c>
      <c r="AO58" s="263">
        <v>304919</v>
      </c>
      <c r="AP58" s="263">
        <v>2590</v>
      </c>
      <c r="AQ58" s="263">
        <v>2000</v>
      </c>
      <c r="AR58" s="263">
        <v>302483</v>
      </c>
      <c r="AS58" s="263">
        <v>312959</v>
      </c>
      <c r="AT58" s="263">
        <v>295143</v>
      </c>
      <c r="AU58" s="263">
        <v>305744</v>
      </c>
      <c r="AV58" s="263">
        <v>2782</v>
      </c>
      <c r="AW58" s="263">
        <v>2163</v>
      </c>
      <c r="AX58" s="263">
        <v>303652</v>
      </c>
      <c r="AY58" s="263">
        <v>314206</v>
      </c>
      <c r="AZ58" s="263">
        <v>295968</v>
      </c>
      <c r="BA58" s="263">
        <v>306562</v>
      </c>
      <c r="BB58" s="263">
        <v>3014</v>
      </c>
      <c r="BC58" s="263">
        <v>2416</v>
      </c>
      <c r="BD58" s="263">
        <v>304840</v>
      </c>
      <c r="BE58" s="263">
        <v>315080</v>
      </c>
      <c r="BF58" s="263">
        <v>296842</v>
      </c>
      <c r="BG58" s="263">
        <v>307054</v>
      </c>
      <c r="BH58" s="263">
        <v>3240</v>
      </c>
      <c r="BI58" s="263">
        <v>2622</v>
      </c>
      <c r="BJ58" s="263">
        <v>305793</v>
      </c>
      <c r="BK58" s="263">
        <v>315422</v>
      </c>
      <c r="BL58" s="263">
        <v>297326</v>
      </c>
      <c r="BM58" s="263">
        <v>307054</v>
      </c>
      <c r="BN58" s="263">
        <v>3540</v>
      </c>
      <c r="BO58" s="263">
        <v>2837</v>
      </c>
      <c r="BP58" s="263">
        <v>306602</v>
      </c>
      <c r="BQ58" s="263">
        <v>316290</v>
      </c>
      <c r="BR58" s="263">
        <v>297739</v>
      </c>
      <c r="BS58" s="263">
        <v>307377</v>
      </c>
      <c r="BT58" s="263">
        <v>3803</v>
      </c>
      <c r="BU58" s="263">
        <v>3108</v>
      </c>
      <c r="BV58" s="263">
        <v>306943</v>
      </c>
      <c r="BW58" s="263">
        <v>316538</v>
      </c>
      <c r="BX58" s="263">
        <v>297792</v>
      </c>
      <c r="BY58" s="263">
        <v>307193</v>
      </c>
      <c r="BZ58" s="263">
        <v>3993</v>
      </c>
      <c r="CA58" s="263">
        <v>3271</v>
      </c>
      <c r="CB58" s="263">
        <v>307429</v>
      </c>
      <c r="CC58" s="263">
        <v>316722</v>
      </c>
      <c r="CD58" s="263">
        <v>297956</v>
      </c>
      <c r="CE58" s="263">
        <v>307136</v>
      </c>
      <c r="CF58" s="263">
        <v>4244</v>
      </c>
      <c r="CG58" s="263">
        <v>3515</v>
      </c>
      <c r="CH58" s="263">
        <v>307689</v>
      </c>
      <c r="CI58" s="263">
        <v>317128</v>
      </c>
      <c r="CJ58" s="263">
        <v>297773</v>
      </c>
      <c r="CK58" s="263">
        <v>306968</v>
      </c>
      <c r="CL58" s="263">
        <v>4516</v>
      </c>
      <c r="CM58" s="263">
        <v>3856</v>
      </c>
      <c r="CN58" s="263">
        <v>308259</v>
      </c>
      <c r="CO58" s="263">
        <v>317650</v>
      </c>
      <c r="CP58" s="263">
        <v>298177</v>
      </c>
      <c r="CQ58" s="263">
        <v>307393</v>
      </c>
      <c r="CR58" s="263">
        <v>4650</v>
      </c>
      <c r="CS58" s="263">
        <v>3816</v>
      </c>
    </row>
    <row r="59" spans="1:97">
      <c r="A59" s="191" t="s">
        <v>65</v>
      </c>
      <c r="B59" s="263">
        <v>3270062</v>
      </c>
      <c r="C59" s="263">
        <v>3400631</v>
      </c>
      <c r="D59" s="263">
        <v>2526674</v>
      </c>
      <c r="E59" s="263">
        <v>2590324</v>
      </c>
      <c r="F59" s="263">
        <v>630368</v>
      </c>
      <c r="G59" s="263">
        <v>688857</v>
      </c>
      <c r="H59" s="263">
        <v>3307900</v>
      </c>
      <c r="I59" s="263">
        <v>3442984</v>
      </c>
      <c r="J59" s="263">
        <v>2546589</v>
      </c>
      <c r="K59" s="263">
        <v>2612820</v>
      </c>
      <c r="L59" s="263">
        <v>641456</v>
      </c>
      <c r="M59" s="263">
        <v>701418</v>
      </c>
      <c r="N59" s="263">
        <v>3344625</v>
      </c>
      <c r="O59" s="263">
        <v>3484558</v>
      </c>
      <c r="P59" s="263">
        <v>2564289</v>
      </c>
      <c r="Q59" s="263">
        <v>2633804</v>
      </c>
      <c r="R59" s="263">
        <v>653201</v>
      </c>
      <c r="S59" s="263">
        <v>714595</v>
      </c>
      <c r="T59" s="263">
        <v>3379644</v>
      </c>
      <c r="U59" s="263">
        <v>3521274</v>
      </c>
      <c r="V59" s="263">
        <v>2580691</v>
      </c>
      <c r="W59" s="263">
        <v>2649982</v>
      </c>
      <c r="X59" s="263">
        <v>664551</v>
      </c>
      <c r="Y59" s="263">
        <v>728141</v>
      </c>
      <c r="Z59" s="263">
        <v>3430491</v>
      </c>
      <c r="AA59" s="263">
        <v>3569683</v>
      </c>
      <c r="AB59" s="263">
        <v>2607592</v>
      </c>
      <c r="AC59" s="263">
        <v>2674592</v>
      </c>
      <c r="AD59" s="263">
        <v>680199</v>
      </c>
      <c r="AE59" s="263">
        <v>742318</v>
      </c>
      <c r="AF59" s="263">
        <v>3486075</v>
      </c>
      <c r="AG59" s="263">
        <v>3619742</v>
      </c>
      <c r="AH59" s="263">
        <v>2640216</v>
      </c>
      <c r="AI59" s="263">
        <v>2700144</v>
      </c>
      <c r="AJ59" s="263">
        <v>691640</v>
      </c>
      <c r="AK59" s="263">
        <v>753986</v>
      </c>
      <c r="AL59" s="263">
        <v>3532976</v>
      </c>
      <c r="AM59" s="263">
        <v>3665386</v>
      </c>
      <c r="AN59" s="263">
        <v>2668786</v>
      </c>
      <c r="AO59" s="263">
        <v>2725631</v>
      </c>
      <c r="AP59" s="263">
        <v>699900</v>
      </c>
      <c r="AQ59" s="263">
        <v>763001</v>
      </c>
      <c r="AR59" s="263">
        <v>3573178</v>
      </c>
      <c r="AS59" s="263">
        <v>3713695</v>
      </c>
      <c r="AT59" s="263">
        <v>2691236</v>
      </c>
      <c r="AU59" s="263">
        <v>2752833</v>
      </c>
      <c r="AV59" s="263">
        <v>707849</v>
      </c>
      <c r="AW59" s="263">
        <v>772796</v>
      </c>
      <c r="AX59" s="263">
        <v>3609197</v>
      </c>
      <c r="AY59" s="263">
        <v>3757780</v>
      </c>
      <c r="AZ59" s="263">
        <v>2711230</v>
      </c>
      <c r="BA59" s="263">
        <v>2776323</v>
      </c>
      <c r="BB59" s="263">
        <v>714118</v>
      </c>
      <c r="BC59" s="263">
        <v>782122</v>
      </c>
      <c r="BD59" s="263">
        <v>3661265</v>
      </c>
      <c r="BE59" s="263">
        <v>3814310</v>
      </c>
      <c r="BF59" s="263">
        <v>2741401</v>
      </c>
      <c r="BG59" s="263">
        <v>2808604</v>
      </c>
      <c r="BH59" s="263">
        <v>725092</v>
      </c>
      <c r="BI59" s="263">
        <v>794479</v>
      </c>
      <c r="BJ59" s="263">
        <v>3713459</v>
      </c>
      <c r="BK59" s="263">
        <v>3863646</v>
      </c>
      <c r="BL59" s="263">
        <v>2771522</v>
      </c>
      <c r="BM59" s="263">
        <v>2834185</v>
      </c>
      <c r="BN59" s="263">
        <v>735533</v>
      </c>
      <c r="BO59" s="263">
        <v>805494</v>
      </c>
      <c r="BP59" s="263">
        <v>3765250</v>
      </c>
      <c r="BQ59" s="263">
        <v>3908475</v>
      </c>
      <c r="BR59" s="263">
        <v>2799414</v>
      </c>
      <c r="BS59" s="263">
        <v>2855532</v>
      </c>
      <c r="BT59" s="263">
        <v>748297</v>
      </c>
      <c r="BU59" s="263">
        <v>817213</v>
      </c>
      <c r="BV59" s="263">
        <v>3803034</v>
      </c>
      <c r="BW59" s="263">
        <v>3947966</v>
      </c>
      <c r="BX59" s="263">
        <v>2818159</v>
      </c>
      <c r="BY59" s="263">
        <v>2873952</v>
      </c>
      <c r="BZ59" s="263">
        <v>756840</v>
      </c>
      <c r="CA59" s="263">
        <v>826416</v>
      </c>
      <c r="CB59" s="263">
        <v>3844513</v>
      </c>
      <c r="CC59" s="263">
        <v>3988983</v>
      </c>
      <c r="CD59" s="263">
        <v>2840059</v>
      </c>
      <c r="CE59" s="263">
        <v>2893402</v>
      </c>
      <c r="CF59" s="263">
        <v>766106</v>
      </c>
      <c r="CG59" s="263">
        <v>836424</v>
      </c>
      <c r="CH59" s="263">
        <v>3888042</v>
      </c>
      <c r="CI59" s="263">
        <v>4037895</v>
      </c>
      <c r="CJ59" s="263">
        <v>2863544</v>
      </c>
      <c r="CK59" s="263">
        <v>2918681</v>
      </c>
      <c r="CL59" s="263">
        <v>775656</v>
      </c>
      <c r="CM59" s="263">
        <v>848125</v>
      </c>
      <c r="CN59" s="263">
        <v>3938135</v>
      </c>
      <c r="CO59" s="263">
        <v>4085818</v>
      </c>
      <c r="CP59" s="263">
        <v>2891100</v>
      </c>
      <c r="CQ59" s="263">
        <v>2943637</v>
      </c>
      <c r="CR59" s="263">
        <v>787415</v>
      </c>
      <c r="CS59" s="263">
        <v>859638</v>
      </c>
    </row>
    <row r="60" spans="1:97">
      <c r="A60" s="191" t="s">
        <v>66</v>
      </c>
      <c r="B60" s="263">
        <v>2724580</v>
      </c>
      <c r="C60" s="263">
        <v>2756447</v>
      </c>
      <c r="D60" s="263">
        <v>2432057</v>
      </c>
      <c r="E60" s="263">
        <v>2458516</v>
      </c>
      <c r="F60" s="263">
        <v>101254</v>
      </c>
      <c r="G60" s="263">
        <v>89547</v>
      </c>
      <c r="H60" s="263">
        <v>2770269</v>
      </c>
      <c r="I60" s="263">
        <v>2799484</v>
      </c>
      <c r="J60" s="263">
        <v>2464918</v>
      </c>
      <c r="K60" s="263">
        <v>2487779</v>
      </c>
      <c r="L60" s="263">
        <v>105597</v>
      </c>
      <c r="M60" s="263">
        <v>93863</v>
      </c>
      <c r="N60" s="263">
        <v>2823680</v>
      </c>
      <c r="O60" s="263">
        <v>2851067</v>
      </c>
      <c r="P60" s="263">
        <v>2503174</v>
      </c>
      <c r="Q60" s="263">
        <v>2524926</v>
      </c>
      <c r="R60" s="263">
        <v>111172</v>
      </c>
      <c r="S60" s="263">
        <v>97805</v>
      </c>
      <c r="T60" s="263">
        <v>2869989</v>
      </c>
      <c r="U60" s="263">
        <v>2899573</v>
      </c>
      <c r="V60" s="263">
        <v>2535127</v>
      </c>
      <c r="W60" s="263">
        <v>2557716</v>
      </c>
      <c r="X60" s="263">
        <v>114682</v>
      </c>
      <c r="Y60" s="263">
        <v>100546</v>
      </c>
      <c r="Z60" s="263">
        <v>2907663</v>
      </c>
      <c r="AA60" s="263">
        <v>2934901</v>
      </c>
      <c r="AB60" s="263">
        <v>2559766</v>
      </c>
      <c r="AC60" s="263">
        <v>2578841</v>
      </c>
      <c r="AD60" s="263">
        <v>118270</v>
      </c>
      <c r="AE60" s="263">
        <v>104049</v>
      </c>
      <c r="AF60" s="263">
        <v>2942778</v>
      </c>
      <c r="AG60" s="263">
        <v>2967734</v>
      </c>
      <c r="AH60" s="263">
        <v>2580151</v>
      </c>
      <c r="AI60" s="263">
        <v>2596412</v>
      </c>
      <c r="AJ60" s="263">
        <v>123245</v>
      </c>
      <c r="AK60" s="263">
        <v>108348</v>
      </c>
      <c r="AL60" s="263">
        <v>2983642</v>
      </c>
      <c r="AM60" s="263">
        <v>3002080</v>
      </c>
      <c r="AN60" s="263">
        <v>2606904</v>
      </c>
      <c r="AO60" s="263">
        <v>2616181</v>
      </c>
      <c r="AP60" s="263">
        <v>127407</v>
      </c>
      <c r="AQ60" s="263">
        <v>111629</v>
      </c>
      <c r="AR60" s="263">
        <v>3015607</v>
      </c>
      <c r="AS60" s="263">
        <v>3036742</v>
      </c>
      <c r="AT60" s="263">
        <v>2625612</v>
      </c>
      <c r="AU60" s="263">
        <v>2636497</v>
      </c>
      <c r="AV60" s="263">
        <v>130912</v>
      </c>
      <c r="AW60" s="263">
        <v>114957</v>
      </c>
      <c r="AX60" s="263">
        <v>3038376</v>
      </c>
      <c r="AY60" s="263">
        <v>3065739</v>
      </c>
      <c r="AZ60" s="263">
        <v>2637171</v>
      </c>
      <c r="BA60" s="263">
        <v>2651988</v>
      </c>
      <c r="BB60" s="263">
        <v>133116</v>
      </c>
      <c r="BC60" s="263">
        <v>117809</v>
      </c>
      <c r="BD60" s="263">
        <v>3070830</v>
      </c>
      <c r="BE60" s="263">
        <v>3107815</v>
      </c>
      <c r="BF60" s="263">
        <v>2656561</v>
      </c>
      <c r="BG60" s="263">
        <v>2678373</v>
      </c>
      <c r="BH60" s="263">
        <v>136295</v>
      </c>
      <c r="BI60" s="263">
        <v>121175</v>
      </c>
      <c r="BJ60" s="263">
        <v>3111909</v>
      </c>
      <c r="BK60" s="263">
        <v>3145396</v>
      </c>
      <c r="BL60" s="263">
        <v>2682717</v>
      </c>
      <c r="BM60" s="263">
        <v>2700331</v>
      </c>
      <c r="BN60" s="263">
        <v>140168</v>
      </c>
      <c r="BO60" s="263">
        <v>124568</v>
      </c>
      <c r="BP60" s="263">
        <v>3170058</v>
      </c>
      <c r="BQ60" s="263">
        <v>3200695</v>
      </c>
      <c r="BR60" s="263">
        <v>2721899</v>
      </c>
      <c r="BS60" s="263">
        <v>2736161</v>
      </c>
      <c r="BT60" s="263">
        <v>145824</v>
      </c>
      <c r="BU60" s="263">
        <v>129313</v>
      </c>
      <c r="BV60" s="263">
        <v>3213787</v>
      </c>
      <c r="BW60" s="263">
        <v>3247800</v>
      </c>
      <c r="BX60" s="263">
        <v>2748805</v>
      </c>
      <c r="BY60" s="263">
        <v>2765461</v>
      </c>
      <c r="BZ60" s="263">
        <v>150119</v>
      </c>
      <c r="CA60" s="263">
        <v>133263</v>
      </c>
      <c r="CB60" s="263">
        <v>3269069</v>
      </c>
      <c r="CC60" s="263">
        <v>3293162</v>
      </c>
      <c r="CD60" s="263">
        <v>2784427</v>
      </c>
      <c r="CE60" s="263">
        <v>2792891</v>
      </c>
      <c r="CF60" s="263">
        <v>156684</v>
      </c>
      <c r="CG60" s="263">
        <v>137864</v>
      </c>
      <c r="CH60" s="263">
        <v>3323506</v>
      </c>
      <c r="CI60" s="263">
        <v>3343920</v>
      </c>
      <c r="CJ60" s="263">
        <v>2819801</v>
      </c>
      <c r="CK60" s="263">
        <v>2825080</v>
      </c>
      <c r="CL60" s="263">
        <v>163059</v>
      </c>
      <c r="CM60" s="263">
        <v>142882</v>
      </c>
      <c r="CN60" s="263">
        <v>3360277</v>
      </c>
      <c r="CO60" s="263">
        <v>3382673</v>
      </c>
      <c r="CP60" s="263">
        <v>2842873</v>
      </c>
      <c r="CQ60" s="263">
        <v>2848865</v>
      </c>
      <c r="CR60" s="263">
        <v>166865</v>
      </c>
      <c r="CS60" s="263">
        <v>146432</v>
      </c>
    </row>
    <row r="61" spans="1:97">
      <c r="A61" s="191" t="s">
        <v>67</v>
      </c>
      <c r="B61" s="263">
        <v>1867312</v>
      </c>
      <c r="C61" s="263">
        <v>1887280</v>
      </c>
      <c r="D61" s="263">
        <v>1622302</v>
      </c>
      <c r="E61" s="263">
        <v>1636477</v>
      </c>
      <c r="F61" s="263">
        <v>89081</v>
      </c>
      <c r="G61" s="263">
        <v>79997</v>
      </c>
      <c r="H61" s="263">
        <v>1896797</v>
      </c>
      <c r="I61" s="263">
        <v>1916030</v>
      </c>
      <c r="J61" s="263">
        <v>1640746</v>
      </c>
      <c r="K61" s="263">
        <v>1653170</v>
      </c>
      <c r="L61" s="263">
        <v>92664</v>
      </c>
      <c r="M61" s="263">
        <v>83744</v>
      </c>
      <c r="N61" s="263">
        <v>1935796</v>
      </c>
      <c r="O61" s="263">
        <v>1953266</v>
      </c>
      <c r="P61" s="263">
        <v>1666228</v>
      </c>
      <c r="Q61" s="263">
        <v>1677477</v>
      </c>
      <c r="R61" s="263">
        <v>97534</v>
      </c>
      <c r="S61" s="263">
        <v>87233</v>
      </c>
      <c r="T61" s="263">
        <v>1969576</v>
      </c>
      <c r="U61" s="263">
        <v>1988691</v>
      </c>
      <c r="V61" s="263">
        <v>1687371</v>
      </c>
      <c r="W61" s="263">
        <v>1699091</v>
      </c>
      <c r="X61" s="263">
        <v>100475</v>
      </c>
      <c r="Y61" s="263">
        <v>89643</v>
      </c>
      <c r="Z61" s="263">
        <v>1996294</v>
      </c>
      <c r="AA61" s="263">
        <v>2014008</v>
      </c>
      <c r="AB61" s="263">
        <v>1702739</v>
      </c>
      <c r="AC61" s="263">
        <v>1711901</v>
      </c>
      <c r="AD61" s="263">
        <v>103484</v>
      </c>
      <c r="AE61" s="263">
        <v>92660</v>
      </c>
      <c r="AF61" s="263">
        <v>2020995</v>
      </c>
      <c r="AG61" s="263">
        <v>2036710</v>
      </c>
      <c r="AH61" s="263">
        <v>1715185</v>
      </c>
      <c r="AI61" s="263">
        <v>1721936</v>
      </c>
      <c r="AJ61" s="263">
        <v>107462</v>
      </c>
      <c r="AK61" s="263">
        <v>95984</v>
      </c>
      <c r="AL61" s="263">
        <v>2051124</v>
      </c>
      <c r="AM61" s="263">
        <v>2062456</v>
      </c>
      <c r="AN61" s="263">
        <v>1733701</v>
      </c>
      <c r="AO61" s="263">
        <v>1735281</v>
      </c>
      <c r="AP61" s="263">
        <v>110790</v>
      </c>
      <c r="AQ61" s="263">
        <v>98718</v>
      </c>
      <c r="AR61" s="263">
        <v>2070322</v>
      </c>
      <c r="AS61" s="263">
        <v>2084814</v>
      </c>
      <c r="AT61" s="263">
        <v>1741774</v>
      </c>
      <c r="AU61" s="263">
        <v>1745485</v>
      </c>
      <c r="AV61" s="263">
        <v>113618</v>
      </c>
      <c r="AW61" s="263">
        <v>101496</v>
      </c>
      <c r="AX61" s="263">
        <v>2080397</v>
      </c>
      <c r="AY61" s="263">
        <v>2101863</v>
      </c>
      <c r="AZ61" s="263">
        <v>1742970</v>
      </c>
      <c r="BA61" s="263">
        <v>1751204</v>
      </c>
      <c r="BB61" s="263">
        <v>115120</v>
      </c>
      <c r="BC61" s="263">
        <v>103703</v>
      </c>
      <c r="BD61" s="263">
        <v>2098759</v>
      </c>
      <c r="BE61" s="263">
        <v>2127631</v>
      </c>
      <c r="BF61" s="263">
        <v>1750983</v>
      </c>
      <c r="BG61" s="263">
        <v>1764184</v>
      </c>
      <c r="BH61" s="263">
        <v>117512</v>
      </c>
      <c r="BI61" s="263">
        <v>106455</v>
      </c>
      <c r="BJ61" s="263">
        <v>2124833</v>
      </c>
      <c r="BK61" s="263">
        <v>2151997</v>
      </c>
      <c r="BL61" s="263">
        <v>1764855</v>
      </c>
      <c r="BM61" s="263">
        <v>1775317</v>
      </c>
      <c r="BN61" s="263">
        <v>120570</v>
      </c>
      <c r="BO61" s="263">
        <v>109196</v>
      </c>
      <c r="BP61" s="263">
        <v>2167391</v>
      </c>
      <c r="BQ61" s="263">
        <v>2190394</v>
      </c>
      <c r="BR61" s="263">
        <v>1791044</v>
      </c>
      <c r="BS61" s="263">
        <v>1797050</v>
      </c>
      <c r="BT61" s="263">
        <v>125359</v>
      </c>
      <c r="BU61" s="263">
        <v>113238</v>
      </c>
      <c r="BV61" s="263">
        <v>2195994</v>
      </c>
      <c r="BW61" s="263">
        <v>2221417</v>
      </c>
      <c r="BX61" s="263">
        <v>1805700</v>
      </c>
      <c r="BY61" s="263">
        <v>1812915</v>
      </c>
      <c r="BZ61" s="263">
        <v>128792</v>
      </c>
      <c r="CA61" s="263">
        <v>116552</v>
      </c>
      <c r="CB61" s="263">
        <v>2233711</v>
      </c>
      <c r="CC61" s="263">
        <v>2251285</v>
      </c>
      <c r="CD61" s="263">
        <v>1826954</v>
      </c>
      <c r="CE61" s="263">
        <v>1827664</v>
      </c>
      <c r="CF61" s="263">
        <v>134276</v>
      </c>
      <c r="CG61" s="263">
        <v>120470</v>
      </c>
      <c r="CH61" s="263">
        <v>2271399</v>
      </c>
      <c r="CI61" s="263">
        <v>2286110</v>
      </c>
      <c r="CJ61" s="263">
        <v>1848415</v>
      </c>
      <c r="CK61" s="263">
        <v>1846686</v>
      </c>
      <c r="CL61" s="263">
        <v>139607</v>
      </c>
      <c r="CM61" s="263">
        <v>124819</v>
      </c>
      <c r="CN61" s="263">
        <v>2291443</v>
      </c>
      <c r="CO61" s="263">
        <v>2309388</v>
      </c>
      <c r="CP61" s="263">
        <v>1857473</v>
      </c>
      <c r="CQ61" s="263">
        <v>1857659</v>
      </c>
      <c r="CR61" s="263">
        <v>142599</v>
      </c>
      <c r="CS61" s="263">
        <v>127590</v>
      </c>
    </row>
    <row r="62" spans="1:97">
      <c r="A62" s="191" t="s">
        <v>68</v>
      </c>
      <c r="B62" s="263">
        <v>881940</v>
      </c>
      <c r="C62" s="263">
        <v>941760</v>
      </c>
      <c r="D62" s="263">
        <v>848413</v>
      </c>
      <c r="E62" s="263">
        <v>906321</v>
      </c>
      <c r="F62" s="263">
        <v>28489</v>
      </c>
      <c r="G62" s="263">
        <v>29975</v>
      </c>
      <c r="H62" s="263">
        <v>882391</v>
      </c>
      <c r="I62" s="263">
        <v>940417</v>
      </c>
      <c r="J62" s="263">
        <v>847949</v>
      </c>
      <c r="K62" s="263">
        <v>904852</v>
      </c>
      <c r="L62" s="263">
        <v>29105</v>
      </c>
      <c r="M62" s="263">
        <v>29936</v>
      </c>
      <c r="N62" s="263">
        <v>881586</v>
      </c>
      <c r="O62" s="263">
        <v>937527</v>
      </c>
      <c r="P62" s="263">
        <v>846834</v>
      </c>
      <c r="Q62" s="263">
        <v>901810</v>
      </c>
      <c r="R62" s="263">
        <v>29347</v>
      </c>
      <c r="S62" s="263">
        <v>30018</v>
      </c>
      <c r="T62" s="263">
        <v>880585</v>
      </c>
      <c r="U62" s="263">
        <v>935024</v>
      </c>
      <c r="V62" s="263">
        <v>845026</v>
      </c>
      <c r="W62" s="263">
        <v>898949</v>
      </c>
      <c r="X62" s="263">
        <v>29784</v>
      </c>
      <c r="Y62" s="263">
        <v>30182</v>
      </c>
      <c r="Z62" s="263">
        <v>879990</v>
      </c>
      <c r="AA62" s="263">
        <v>931809</v>
      </c>
      <c r="AB62" s="263">
        <v>844088</v>
      </c>
      <c r="AC62" s="263">
        <v>896008</v>
      </c>
      <c r="AD62" s="263">
        <v>30005</v>
      </c>
      <c r="AE62" s="263">
        <v>29770</v>
      </c>
      <c r="AF62" s="263">
        <v>878752</v>
      </c>
      <c r="AG62" s="263">
        <v>928269</v>
      </c>
      <c r="AH62" s="263">
        <v>840798</v>
      </c>
      <c r="AI62" s="263">
        <v>890718</v>
      </c>
      <c r="AJ62" s="263">
        <v>30798</v>
      </c>
      <c r="AK62" s="263">
        <v>30169</v>
      </c>
      <c r="AL62" s="263">
        <v>877838</v>
      </c>
      <c r="AM62" s="263">
        <v>923643</v>
      </c>
      <c r="AN62" s="263">
        <v>839300</v>
      </c>
      <c r="AO62" s="263">
        <v>886178</v>
      </c>
      <c r="AP62" s="263">
        <v>31206</v>
      </c>
      <c r="AQ62" s="263">
        <v>29965</v>
      </c>
      <c r="AR62" s="263">
        <v>881573</v>
      </c>
      <c r="AS62" s="263">
        <v>923841</v>
      </c>
      <c r="AT62" s="263">
        <v>842287</v>
      </c>
      <c r="AU62" s="263">
        <v>886129</v>
      </c>
      <c r="AV62" s="263">
        <v>31800</v>
      </c>
      <c r="AW62" s="263">
        <v>30032</v>
      </c>
      <c r="AX62" s="263">
        <v>886460</v>
      </c>
      <c r="AY62" s="263">
        <v>925835</v>
      </c>
      <c r="AZ62" s="263">
        <v>846253</v>
      </c>
      <c r="BA62" s="263">
        <v>887531</v>
      </c>
      <c r="BB62" s="263">
        <v>32442</v>
      </c>
      <c r="BC62" s="263">
        <v>30424</v>
      </c>
      <c r="BD62" s="263">
        <v>889411</v>
      </c>
      <c r="BE62" s="263">
        <v>927027</v>
      </c>
      <c r="BF62" s="263">
        <v>848258</v>
      </c>
      <c r="BG62" s="263">
        <v>888312</v>
      </c>
      <c r="BH62" s="263">
        <v>33092</v>
      </c>
      <c r="BI62" s="263">
        <v>30590</v>
      </c>
      <c r="BJ62" s="263">
        <v>892802</v>
      </c>
      <c r="BK62" s="263">
        <v>927690</v>
      </c>
      <c r="BL62" s="263">
        <v>850850</v>
      </c>
      <c r="BM62" s="263">
        <v>888531</v>
      </c>
      <c r="BN62" s="263">
        <v>33816</v>
      </c>
      <c r="BO62" s="263">
        <v>30848</v>
      </c>
      <c r="BP62" s="263">
        <v>897307</v>
      </c>
      <c r="BQ62" s="263">
        <v>930605</v>
      </c>
      <c r="BR62" s="263">
        <v>853996</v>
      </c>
      <c r="BS62" s="263">
        <v>890658</v>
      </c>
      <c r="BT62" s="263">
        <v>34824</v>
      </c>
      <c r="BU62" s="263">
        <v>31393</v>
      </c>
      <c r="BV62" s="263">
        <v>901369</v>
      </c>
      <c r="BW62" s="263">
        <v>932683</v>
      </c>
      <c r="BX62" s="263">
        <v>856969</v>
      </c>
      <c r="BY62" s="263">
        <v>892134</v>
      </c>
      <c r="BZ62" s="263">
        <v>35681</v>
      </c>
      <c r="CA62" s="263">
        <v>31824</v>
      </c>
      <c r="CB62" s="263">
        <v>905399</v>
      </c>
      <c r="CC62" s="263">
        <v>934911</v>
      </c>
      <c r="CD62" s="263">
        <v>860049</v>
      </c>
      <c r="CE62" s="263">
        <v>893543</v>
      </c>
      <c r="CF62" s="263">
        <v>36483</v>
      </c>
      <c r="CG62" s="263">
        <v>32353</v>
      </c>
      <c r="CH62" s="263">
        <v>910341</v>
      </c>
      <c r="CI62" s="263">
        <v>937434</v>
      </c>
      <c r="CJ62" s="263">
        <v>863519</v>
      </c>
      <c r="CK62" s="263">
        <v>895385</v>
      </c>
      <c r="CL62" s="263">
        <v>37714</v>
      </c>
      <c r="CM62" s="263">
        <v>32751</v>
      </c>
      <c r="CN62" s="263">
        <v>914371</v>
      </c>
      <c r="CO62" s="263">
        <v>939997</v>
      </c>
      <c r="CP62" s="263">
        <v>866768</v>
      </c>
      <c r="CQ62" s="263">
        <v>897215</v>
      </c>
      <c r="CR62" s="263">
        <v>38427</v>
      </c>
      <c r="CS62" s="263">
        <v>33253</v>
      </c>
    </row>
    <row r="63" spans="1:97">
      <c r="A63" s="191" t="s">
        <v>69</v>
      </c>
      <c r="B63" s="263">
        <v>2549185</v>
      </c>
      <c r="C63" s="263">
        <v>2635651</v>
      </c>
      <c r="D63" s="263">
        <v>2350376</v>
      </c>
      <c r="E63" s="263">
        <v>2425667</v>
      </c>
      <c r="F63" s="263">
        <v>138938</v>
      </c>
      <c r="G63" s="263">
        <v>149877</v>
      </c>
      <c r="H63" s="263">
        <v>2573427</v>
      </c>
      <c r="I63" s="263">
        <v>2656559</v>
      </c>
      <c r="J63" s="263">
        <v>2367018</v>
      </c>
      <c r="K63" s="263">
        <v>2440437</v>
      </c>
      <c r="L63" s="263">
        <v>143448</v>
      </c>
      <c r="M63" s="263">
        <v>153638</v>
      </c>
      <c r="N63" s="263">
        <v>2593254</v>
      </c>
      <c r="O63" s="263">
        <v>2672959</v>
      </c>
      <c r="P63" s="263">
        <v>2381644</v>
      </c>
      <c r="Q63" s="263">
        <v>2451143</v>
      </c>
      <c r="R63" s="263">
        <v>146288</v>
      </c>
      <c r="S63" s="263">
        <v>156638</v>
      </c>
      <c r="T63" s="263">
        <v>2610401</v>
      </c>
      <c r="U63" s="263">
        <v>2687271</v>
      </c>
      <c r="V63" s="263">
        <v>2393854</v>
      </c>
      <c r="W63" s="263">
        <v>2459967</v>
      </c>
      <c r="X63" s="263">
        <v>148733</v>
      </c>
      <c r="Y63" s="263">
        <v>159614</v>
      </c>
      <c r="Z63" s="263">
        <v>2631141</v>
      </c>
      <c r="AA63" s="263">
        <v>2701525</v>
      </c>
      <c r="AB63" s="263">
        <v>2407804</v>
      </c>
      <c r="AC63" s="263">
        <v>2466785</v>
      </c>
      <c r="AD63" s="263">
        <v>152072</v>
      </c>
      <c r="AE63" s="263">
        <v>163158</v>
      </c>
      <c r="AF63" s="263">
        <v>2654764</v>
      </c>
      <c r="AG63" s="263">
        <v>2719235</v>
      </c>
      <c r="AH63" s="263">
        <v>2422509</v>
      </c>
      <c r="AI63" s="263">
        <v>2476053</v>
      </c>
      <c r="AJ63" s="263">
        <v>156830</v>
      </c>
      <c r="AK63" s="263">
        <v>167067</v>
      </c>
      <c r="AL63" s="263">
        <v>2673188</v>
      </c>
      <c r="AM63" s="263">
        <v>2733647</v>
      </c>
      <c r="AN63" s="263">
        <v>2434152</v>
      </c>
      <c r="AO63" s="263">
        <v>2483956</v>
      </c>
      <c r="AP63" s="263">
        <v>160879</v>
      </c>
      <c r="AQ63" s="263">
        <v>170675</v>
      </c>
      <c r="AR63" s="263">
        <v>2693465</v>
      </c>
      <c r="AS63" s="263">
        <v>2751697</v>
      </c>
      <c r="AT63" s="263">
        <v>2447412</v>
      </c>
      <c r="AU63" s="263">
        <v>2495023</v>
      </c>
      <c r="AV63" s="263">
        <v>164983</v>
      </c>
      <c r="AW63" s="263">
        <v>174516</v>
      </c>
      <c r="AX63" s="263">
        <v>2712302</v>
      </c>
      <c r="AY63" s="263">
        <v>2766901</v>
      </c>
      <c r="AZ63" s="263">
        <v>2459772</v>
      </c>
      <c r="BA63" s="263">
        <v>2503995</v>
      </c>
      <c r="BB63" s="263">
        <v>168563</v>
      </c>
      <c r="BC63" s="263">
        <v>177790</v>
      </c>
      <c r="BD63" s="263">
        <v>2731348</v>
      </c>
      <c r="BE63" s="263">
        <v>2782678</v>
      </c>
      <c r="BF63" s="263">
        <v>2472522</v>
      </c>
      <c r="BG63" s="263">
        <v>2514049</v>
      </c>
      <c r="BH63" s="263">
        <v>172077</v>
      </c>
      <c r="BI63" s="263">
        <v>180672</v>
      </c>
      <c r="BJ63" s="263">
        <v>2749105</v>
      </c>
      <c r="BK63" s="263">
        <v>2797061</v>
      </c>
      <c r="BL63" s="263">
        <v>2483589</v>
      </c>
      <c r="BM63" s="263">
        <v>2522234</v>
      </c>
      <c r="BN63" s="263">
        <v>175895</v>
      </c>
      <c r="BO63" s="263">
        <v>183876</v>
      </c>
      <c r="BP63" s="263">
        <v>2765379</v>
      </c>
      <c r="BQ63" s="263">
        <v>2812276</v>
      </c>
      <c r="BR63" s="263">
        <v>2493516</v>
      </c>
      <c r="BS63" s="263">
        <v>2530601</v>
      </c>
      <c r="BT63" s="263">
        <v>179644</v>
      </c>
      <c r="BU63" s="263">
        <v>187488</v>
      </c>
      <c r="BV63" s="263">
        <v>2782993</v>
      </c>
      <c r="BW63" s="263">
        <v>2827782</v>
      </c>
      <c r="BX63" s="263">
        <v>2504153</v>
      </c>
      <c r="BY63" s="263">
        <v>2539315</v>
      </c>
      <c r="BZ63" s="263">
        <v>183755</v>
      </c>
      <c r="CA63" s="263">
        <v>190954</v>
      </c>
      <c r="CB63" s="263">
        <v>2798728</v>
      </c>
      <c r="CC63" s="263">
        <v>2842268</v>
      </c>
      <c r="CD63" s="263">
        <v>2513226</v>
      </c>
      <c r="CE63" s="263">
        <v>2546975</v>
      </c>
      <c r="CF63" s="263">
        <v>187523</v>
      </c>
      <c r="CG63" s="263">
        <v>194475</v>
      </c>
      <c r="CH63" s="263">
        <v>2813161</v>
      </c>
      <c r="CI63" s="263">
        <v>2856103</v>
      </c>
      <c r="CJ63" s="263">
        <v>2521001</v>
      </c>
      <c r="CK63" s="263">
        <v>2554212</v>
      </c>
      <c r="CL63" s="263">
        <v>191294</v>
      </c>
      <c r="CM63" s="263">
        <v>198022</v>
      </c>
      <c r="CN63" s="263">
        <v>2825085</v>
      </c>
      <c r="CO63" s="263">
        <v>2866574</v>
      </c>
      <c r="CP63" s="263">
        <v>2526559</v>
      </c>
      <c r="CQ63" s="263">
        <v>2558666</v>
      </c>
      <c r="CR63" s="263">
        <v>194749</v>
      </c>
      <c r="CS63" s="263">
        <v>200957</v>
      </c>
    </row>
    <row r="64" spans="1:97">
      <c r="A64" s="191" t="s">
        <v>70</v>
      </c>
      <c r="B64" s="263">
        <v>243751</v>
      </c>
      <c r="C64" s="263">
        <v>241409</v>
      </c>
      <c r="D64" s="263">
        <v>234983</v>
      </c>
      <c r="E64" s="263">
        <v>232795</v>
      </c>
      <c r="F64" s="263">
        <v>2182</v>
      </c>
      <c r="G64" s="263">
        <v>1754</v>
      </c>
      <c r="H64" s="263">
        <v>245257</v>
      </c>
      <c r="I64" s="263">
        <v>242910</v>
      </c>
      <c r="J64" s="263">
        <v>236278</v>
      </c>
      <c r="K64" s="263">
        <v>234026</v>
      </c>
      <c r="L64" s="263">
        <v>2247</v>
      </c>
      <c r="M64" s="263">
        <v>1793</v>
      </c>
      <c r="N64" s="263">
        <v>245956</v>
      </c>
      <c r="O64" s="263">
        <v>243495</v>
      </c>
      <c r="P64" s="263">
        <v>236963</v>
      </c>
      <c r="Q64" s="263">
        <v>234649</v>
      </c>
      <c r="R64" s="263">
        <v>2236</v>
      </c>
      <c r="S64" s="263">
        <v>1688</v>
      </c>
      <c r="T64" s="263">
        <v>247118</v>
      </c>
      <c r="U64" s="263">
        <v>243669</v>
      </c>
      <c r="V64" s="263">
        <v>237812</v>
      </c>
      <c r="W64" s="263">
        <v>234662</v>
      </c>
      <c r="X64" s="263">
        <v>2389</v>
      </c>
      <c r="Y64" s="263">
        <v>1775</v>
      </c>
      <c r="Z64" s="263">
        <v>247262</v>
      </c>
      <c r="AA64" s="263">
        <v>244518</v>
      </c>
      <c r="AB64" s="263">
        <v>237714</v>
      </c>
      <c r="AC64" s="263">
        <v>235025</v>
      </c>
      <c r="AD64" s="263">
        <v>2386</v>
      </c>
      <c r="AE64" s="263">
        <v>1864</v>
      </c>
      <c r="AF64" s="263">
        <v>248716</v>
      </c>
      <c r="AG64" s="263">
        <v>245584</v>
      </c>
      <c r="AH64" s="263">
        <v>238348</v>
      </c>
      <c r="AI64" s="263">
        <v>235500</v>
      </c>
      <c r="AJ64" s="263">
        <v>2668</v>
      </c>
      <c r="AK64" s="263">
        <v>2052</v>
      </c>
      <c r="AL64" s="263">
        <v>249330</v>
      </c>
      <c r="AM64" s="263">
        <v>245327</v>
      </c>
      <c r="AN64" s="263">
        <v>238501</v>
      </c>
      <c r="AO64" s="263">
        <v>234748</v>
      </c>
      <c r="AP64" s="263">
        <v>2831</v>
      </c>
      <c r="AQ64" s="263">
        <v>2199</v>
      </c>
      <c r="AR64" s="263">
        <v>252232</v>
      </c>
      <c r="AS64" s="263">
        <v>247785</v>
      </c>
      <c r="AT64" s="263">
        <v>241023</v>
      </c>
      <c r="AU64" s="263">
        <v>236915</v>
      </c>
      <c r="AV64" s="263">
        <v>2956</v>
      </c>
      <c r="AW64" s="263">
        <v>2278</v>
      </c>
      <c r="AX64" s="263">
        <v>254325</v>
      </c>
      <c r="AY64" s="263">
        <v>249128</v>
      </c>
      <c r="AZ64" s="263">
        <v>242926</v>
      </c>
      <c r="BA64" s="263">
        <v>238034</v>
      </c>
      <c r="BB64" s="263">
        <v>3032</v>
      </c>
      <c r="BC64" s="263">
        <v>2354</v>
      </c>
      <c r="BD64" s="263">
        <v>257600</v>
      </c>
      <c r="BE64" s="263">
        <v>251506</v>
      </c>
      <c r="BF64" s="263">
        <v>245853</v>
      </c>
      <c r="BG64" s="263">
        <v>240035</v>
      </c>
      <c r="BH64" s="263">
        <v>3152</v>
      </c>
      <c r="BI64" s="263">
        <v>2482</v>
      </c>
      <c r="BJ64" s="263">
        <v>260431</v>
      </c>
      <c r="BK64" s="263">
        <v>253726</v>
      </c>
      <c r="BL64" s="263">
        <v>248262</v>
      </c>
      <c r="BM64" s="263">
        <v>242010</v>
      </c>
      <c r="BN64" s="263">
        <v>3331</v>
      </c>
      <c r="BO64" s="263">
        <v>2514</v>
      </c>
      <c r="BP64" s="263">
        <v>265306</v>
      </c>
      <c r="BQ64" s="263">
        <v>257361</v>
      </c>
      <c r="BR64" s="263">
        <v>252490</v>
      </c>
      <c r="BS64" s="263">
        <v>245220</v>
      </c>
      <c r="BT64" s="263">
        <v>3446</v>
      </c>
      <c r="BU64" s="263">
        <v>2609</v>
      </c>
      <c r="BV64" s="263">
        <v>272100</v>
      </c>
      <c r="BW64" s="263">
        <v>262776</v>
      </c>
      <c r="BX64" s="263">
        <v>258836</v>
      </c>
      <c r="BY64" s="263">
        <v>249921</v>
      </c>
      <c r="BZ64" s="263">
        <v>3718</v>
      </c>
      <c r="CA64" s="263">
        <v>2737</v>
      </c>
      <c r="CB64" s="263">
        <v>278061</v>
      </c>
      <c r="CC64" s="263">
        <v>267982</v>
      </c>
      <c r="CD64" s="263">
        <v>264369</v>
      </c>
      <c r="CE64" s="263">
        <v>254688</v>
      </c>
      <c r="CF64" s="263">
        <v>3706</v>
      </c>
      <c r="CG64" s="263">
        <v>2796</v>
      </c>
      <c r="CH64" s="263">
        <v>285805</v>
      </c>
      <c r="CI64" s="263">
        <v>274046</v>
      </c>
      <c r="CJ64" s="263">
        <v>271235</v>
      </c>
      <c r="CK64" s="263">
        <v>260207</v>
      </c>
      <c r="CL64" s="263">
        <v>4127</v>
      </c>
      <c r="CM64" s="263">
        <v>3006</v>
      </c>
      <c r="CN64" s="263">
        <v>287935</v>
      </c>
      <c r="CO64" s="263">
        <v>276619</v>
      </c>
      <c r="CP64" s="263">
        <v>273288</v>
      </c>
      <c r="CQ64" s="263">
        <v>262586</v>
      </c>
      <c r="CR64" s="263">
        <v>4029</v>
      </c>
      <c r="CS64" s="263">
        <v>3005</v>
      </c>
    </row>
    <row r="65" spans="1:110" s="192" customFormat="1">
      <c r="A65" s="208" t="s">
        <v>310</v>
      </c>
      <c r="B65" s="263">
        <v>1765129</v>
      </c>
      <c r="C65" s="263">
        <v>1890066</v>
      </c>
      <c r="D65" s="263">
        <v>0</v>
      </c>
      <c r="E65" s="263">
        <v>0</v>
      </c>
      <c r="F65" s="263">
        <v>0</v>
      </c>
      <c r="G65" s="263">
        <v>0</v>
      </c>
      <c r="H65" s="263">
        <v>1778316</v>
      </c>
      <c r="I65" s="263">
        <v>1906427</v>
      </c>
      <c r="J65" s="263">
        <v>0</v>
      </c>
      <c r="K65" s="263">
        <v>0</v>
      </c>
      <c r="L65" s="263">
        <v>0</v>
      </c>
      <c r="M65" s="263">
        <v>0</v>
      </c>
      <c r="N65" s="263">
        <v>1792141</v>
      </c>
      <c r="O65" s="263">
        <v>1923583</v>
      </c>
      <c r="P65" s="263">
        <v>0</v>
      </c>
      <c r="Q65" s="263">
        <v>0</v>
      </c>
      <c r="R65" s="263">
        <v>0</v>
      </c>
      <c r="S65" s="263">
        <v>0</v>
      </c>
      <c r="T65" s="263">
        <v>1806604</v>
      </c>
      <c r="U65" s="263">
        <v>1941543</v>
      </c>
      <c r="V65" s="263">
        <v>0</v>
      </c>
      <c r="W65" s="263">
        <v>0</v>
      </c>
      <c r="X65" s="263">
        <v>0</v>
      </c>
      <c r="Y65" s="263">
        <v>0</v>
      </c>
      <c r="Z65" s="263">
        <v>1821772</v>
      </c>
      <c r="AA65" s="263">
        <v>1960386</v>
      </c>
      <c r="AB65" s="263">
        <v>0</v>
      </c>
      <c r="AC65" s="263">
        <v>0</v>
      </c>
      <c r="AD65" s="263">
        <v>0</v>
      </c>
      <c r="AE65" s="263">
        <v>0</v>
      </c>
      <c r="AF65" s="263">
        <v>1834236</v>
      </c>
      <c r="AG65" s="263">
        <v>1976369</v>
      </c>
      <c r="AH65" s="263">
        <v>0</v>
      </c>
      <c r="AI65" s="263">
        <v>0</v>
      </c>
      <c r="AJ65" s="263">
        <v>0</v>
      </c>
      <c r="AK65" s="263">
        <v>0</v>
      </c>
      <c r="AL65" s="263">
        <v>1837042</v>
      </c>
      <c r="AM65" s="263">
        <v>1981732</v>
      </c>
      <c r="AN65" s="263">
        <v>0</v>
      </c>
      <c r="AO65" s="263">
        <v>0</v>
      </c>
      <c r="AP65" s="263">
        <v>0</v>
      </c>
      <c r="AQ65" s="263">
        <v>0</v>
      </c>
      <c r="AR65" s="263">
        <v>1838490</v>
      </c>
      <c r="AS65" s="263">
        <v>1985211</v>
      </c>
      <c r="AT65" s="263">
        <v>0</v>
      </c>
      <c r="AU65" s="263">
        <v>0</v>
      </c>
      <c r="AV65" s="263">
        <v>0</v>
      </c>
      <c r="AW65" s="263">
        <v>0</v>
      </c>
      <c r="AX65" s="263">
        <v>1838731</v>
      </c>
      <c r="AY65" s="263">
        <v>1987364</v>
      </c>
      <c r="AZ65" s="263">
        <v>0</v>
      </c>
      <c r="BA65" s="263">
        <v>0</v>
      </c>
      <c r="BB65" s="263">
        <v>0</v>
      </c>
      <c r="BC65" s="263">
        <v>0</v>
      </c>
      <c r="BD65" s="263">
        <v>1838284</v>
      </c>
      <c r="BE65" s="263">
        <v>1988594</v>
      </c>
      <c r="BF65" s="263">
        <v>0</v>
      </c>
      <c r="BG65" s="263">
        <v>0</v>
      </c>
      <c r="BH65" s="263">
        <v>0</v>
      </c>
      <c r="BI65" s="263">
        <v>0</v>
      </c>
      <c r="BJ65" s="263">
        <v>1834718</v>
      </c>
      <c r="BK65" s="263">
        <v>1986644</v>
      </c>
      <c r="BL65" s="263">
        <v>0</v>
      </c>
      <c r="BM65" s="263">
        <v>0</v>
      </c>
      <c r="BN65" s="263">
        <v>0</v>
      </c>
      <c r="BO65" s="263">
        <v>0</v>
      </c>
      <c r="BP65" s="263">
        <v>1825958</v>
      </c>
      <c r="BQ65" s="263">
        <v>1979256</v>
      </c>
      <c r="BR65" s="263">
        <v>0</v>
      </c>
      <c r="BS65" s="263">
        <v>0</v>
      </c>
      <c r="BT65" s="263">
        <v>0</v>
      </c>
      <c r="BU65" s="263">
        <v>0</v>
      </c>
      <c r="BV65" s="263">
        <v>1814288</v>
      </c>
      <c r="BW65" s="263">
        <v>1968707</v>
      </c>
      <c r="BX65" s="263">
        <v>0</v>
      </c>
      <c r="BY65" s="263">
        <v>0</v>
      </c>
      <c r="BZ65" s="263">
        <v>0</v>
      </c>
      <c r="CA65" s="263">
        <v>0</v>
      </c>
      <c r="CB65" s="263">
        <v>1803341</v>
      </c>
      <c r="CC65" s="263">
        <v>1957525</v>
      </c>
      <c r="CD65" s="263">
        <v>0</v>
      </c>
      <c r="CE65" s="263">
        <v>0</v>
      </c>
      <c r="CF65" s="263">
        <v>0</v>
      </c>
      <c r="CG65" s="263">
        <v>0</v>
      </c>
      <c r="CH65" s="263">
        <v>1793049</v>
      </c>
      <c r="CI65" s="263">
        <v>1947361</v>
      </c>
      <c r="CJ65" s="263">
        <v>0</v>
      </c>
      <c r="CK65" s="263">
        <v>0</v>
      </c>
      <c r="CL65" s="263">
        <v>0</v>
      </c>
      <c r="CM65" s="263">
        <v>0</v>
      </c>
      <c r="CN65" s="263">
        <v>1782972</v>
      </c>
      <c r="CO65" s="263">
        <v>1939006</v>
      </c>
      <c r="CP65" s="263">
        <v>0</v>
      </c>
      <c r="CQ65" s="263">
        <v>0</v>
      </c>
      <c r="CR65" s="263">
        <v>0</v>
      </c>
      <c r="CS65" s="263">
        <v>0</v>
      </c>
    </row>
    <row r="66" spans="1:110" s="190" customFormat="1">
      <c r="A66" s="190" t="s">
        <v>71</v>
      </c>
      <c r="B66" s="263">
        <v>1376484</v>
      </c>
      <c r="C66" s="263">
        <v>1358035</v>
      </c>
      <c r="D66" s="263">
        <v>0</v>
      </c>
      <c r="E66" s="263">
        <v>0</v>
      </c>
      <c r="F66" s="263">
        <v>0</v>
      </c>
      <c r="G66" s="263">
        <v>0</v>
      </c>
      <c r="H66" s="263">
        <v>1396940</v>
      </c>
      <c r="I66" s="263">
        <v>1378193</v>
      </c>
      <c r="J66" s="263">
        <v>0</v>
      </c>
      <c r="K66" s="263">
        <v>0</v>
      </c>
      <c r="L66" s="263">
        <v>0</v>
      </c>
      <c r="M66" s="263">
        <v>0</v>
      </c>
      <c r="N66" s="263">
        <v>1425731</v>
      </c>
      <c r="O66" s="263">
        <v>1404117</v>
      </c>
      <c r="P66" s="263">
        <v>0</v>
      </c>
      <c r="Q66" s="263">
        <v>0</v>
      </c>
      <c r="R66" s="263">
        <v>0</v>
      </c>
      <c r="S66" s="263">
        <v>0</v>
      </c>
      <c r="T66" s="263">
        <v>1462849</v>
      </c>
      <c r="U66" s="263">
        <v>1436217</v>
      </c>
      <c r="V66" s="263">
        <v>0</v>
      </c>
      <c r="W66" s="263">
        <v>0</v>
      </c>
      <c r="X66" s="263">
        <v>0</v>
      </c>
      <c r="Y66" s="263">
        <v>0</v>
      </c>
      <c r="Z66" s="263">
        <v>1491265</v>
      </c>
      <c r="AA66" s="263">
        <v>1461427</v>
      </c>
      <c r="AB66" s="263">
        <v>0</v>
      </c>
      <c r="AC66" s="263">
        <v>0</v>
      </c>
      <c r="AD66" s="263">
        <v>0</v>
      </c>
      <c r="AE66" s="263">
        <v>0</v>
      </c>
      <c r="AF66" s="263">
        <v>1517424</v>
      </c>
      <c r="AG66" s="263">
        <v>1486774</v>
      </c>
      <c r="AH66" s="263">
        <v>0</v>
      </c>
      <c r="AI66" s="263">
        <v>0</v>
      </c>
      <c r="AJ66" s="263">
        <v>0</v>
      </c>
      <c r="AK66" s="263">
        <v>0</v>
      </c>
      <c r="AL66" s="263">
        <v>1545475</v>
      </c>
      <c r="AM66" s="263">
        <v>1512542</v>
      </c>
      <c r="AN66" s="263">
        <v>0</v>
      </c>
      <c r="AO66" s="263">
        <v>0</v>
      </c>
      <c r="AP66" s="263">
        <v>0</v>
      </c>
      <c r="AQ66" s="263">
        <v>0</v>
      </c>
      <c r="AR66" s="263">
        <v>1582471</v>
      </c>
      <c r="AS66" s="263">
        <v>1545893</v>
      </c>
      <c r="AT66" s="263">
        <v>0</v>
      </c>
      <c r="AU66" s="263">
        <v>0</v>
      </c>
      <c r="AV66" s="263">
        <v>0</v>
      </c>
      <c r="AW66" s="263">
        <v>0</v>
      </c>
      <c r="AX66" s="263">
        <v>1610455</v>
      </c>
      <c r="AY66" s="263">
        <v>1572941</v>
      </c>
      <c r="AZ66" s="263">
        <v>0</v>
      </c>
      <c r="BA66" s="263">
        <v>0</v>
      </c>
      <c r="BB66" s="263">
        <v>0</v>
      </c>
      <c r="BC66" s="263">
        <v>0</v>
      </c>
      <c r="BD66" s="263">
        <v>1640093</v>
      </c>
      <c r="BE66" s="263">
        <v>1599378</v>
      </c>
      <c r="BF66" s="263">
        <v>0</v>
      </c>
      <c r="BG66" s="263">
        <v>0</v>
      </c>
      <c r="BH66" s="263">
        <v>0</v>
      </c>
      <c r="BI66" s="263">
        <v>0</v>
      </c>
      <c r="BJ66" s="263">
        <v>1682975</v>
      </c>
      <c r="BK66" s="263">
        <v>1639225</v>
      </c>
      <c r="BL66" s="263">
        <v>0</v>
      </c>
      <c r="BM66" s="263">
        <v>0</v>
      </c>
      <c r="BN66" s="263">
        <v>0</v>
      </c>
      <c r="BO66" s="263">
        <v>0</v>
      </c>
      <c r="BP66" s="263">
        <v>1737059</v>
      </c>
      <c r="BQ66" s="263">
        <v>1684194</v>
      </c>
      <c r="BR66" s="263">
        <v>0</v>
      </c>
      <c r="BS66" s="263">
        <v>0</v>
      </c>
      <c r="BT66" s="263">
        <v>0</v>
      </c>
      <c r="BU66" s="263">
        <v>0</v>
      </c>
      <c r="BV66" s="263">
        <v>1789350</v>
      </c>
      <c r="BW66" s="263">
        <v>1723547</v>
      </c>
      <c r="BX66" s="263">
        <v>0</v>
      </c>
      <c r="BY66" s="263">
        <v>0</v>
      </c>
      <c r="BZ66" s="263">
        <v>0</v>
      </c>
      <c r="CA66" s="263">
        <v>0</v>
      </c>
      <c r="CB66" s="263">
        <v>1833256</v>
      </c>
      <c r="CC66" s="263">
        <v>1758935</v>
      </c>
      <c r="CD66" s="263">
        <v>0</v>
      </c>
      <c r="CE66" s="263">
        <v>0</v>
      </c>
      <c r="CF66" s="263">
        <v>0</v>
      </c>
      <c r="CG66" s="263">
        <v>0</v>
      </c>
      <c r="CH66" s="263">
        <v>1876405</v>
      </c>
      <c r="CI66" s="263">
        <v>1796323</v>
      </c>
      <c r="CJ66" s="263">
        <v>0</v>
      </c>
      <c r="CK66" s="263">
        <v>0</v>
      </c>
      <c r="CL66" s="263">
        <v>0</v>
      </c>
      <c r="CM66" s="263">
        <v>0</v>
      </c>
      <c r="CN66" s="263">
        <v>1900775</v>
      </c>
      <c r="CO66" s="263">
        <v>1822981</v>
      </c>
      <c r="CP66" s="263">
        <v>0</v>
      </c>
      <c r="CQ66" s="263">
        <v>0</v>
      </c>
      <c r="CR66" s="263">
        <v>0</v>
      </c>
      <c r="CS66" s="263">
        <v>0</v>
      </c>
      <c r="DC66" s="192"/>
      <c r="DD66" s="192"/>
      <c r="DE66" s="192"/>
      <c r="DF66" s="192"/>
    </row>
    <row r="67" spans="1:110" s="190" customFormat="1">
      <c r="A67" s="190" t="s">
        <v>72</v>
      </c>
      <c r="B67" s="263">
        <v>1884327</v>
      </c>
      <c r="C67" s="263">
        <v>1893063</v>
      </c>
      <c r="D67" s="263">
        <v>0</v>
      </c>
      <c r="E67" s="263">
        <v>0</v>
      </c>
      <c r="F67" s="263">
        <v>0</v>
      </c>
      <c r="G67" s="263">
        <v>0</v>
      </c>
      <c r="H67" s="263">
        <v>1929333</v>
      </c>
      <c r="I67" s="263">
        <v>1944984</v>
      </c>
      <c r="J67" s="263">
        <v>0</v>
      </c>
      <c r="K67" s="263">
        <v>0</v>
      </c>
      <c r="L67" s="263">
        <v>0</v>
      </c>
      <c r="M67" s="263">
        <v>0</v>
      </c>
      <c r="N67" s="263">
        <v>1965474</v>
      </c>
      <c r="O67" s="263">
        <v>1983109</v>
      </c>
      <c r="P67" s="263">
        <v>0</v>
      </c>
      <c r="Q67" s="263">
        <v>0</v>
      </c>
      <c r="R67" s="263">
        <v>0</v>
      </c>
      <c r="S67" s="263">
        <v>0</v>
      </c>
      <c r="T67" s="263">
        <v>1980518</v>
      </c>
      <c r="U67" s="263">
        <v>2002595</v>
      </c>
      <c r="V67" s="263">
        <v>0</v>
      </c>
      <c r="W67" s="263">
        <v>0</v>
      </c>
      <c r="X67" s="263">
        <v>0</v>
      </c>
      <c r="Y67" s="263">
        <v>0</v>
      </c>
      <c r="Z67" s="263">
        <v>1992579</v>
      </c>
      <c r="AA67" s="263">
        <v>2018796</v>
      </c>
      <c r="AB67" s="263">
        <v>0</v>
      </c>
      <c r="AC67" s="263">
        <v>0</v>
      </c>
      <c r="AD67" s="263">
        <v>0</v>
      </c>
      <c r="AE67" s="263">
        <v>0</v>
      </c>
      <c r="AF67" s="263">
        <v>2005377</v>
      </c>
      <c r="AG67" s="263">
        <v>2033853</v>
      </c>
      <c r="AH67" s="263">
        <v>0</v>
      </c>
      <c r="AI67" s="263">
        <v>0</v>
      </c>
      <c r="AJ67" s="263">
        <v>0</v>
      </c>
      <c r="AK67" s="263">
        <v>0</v>
      </c>
      <c r="AL67" s="263">
        <v>2023047</v>
      </c>
      <c r="AM67" s="263">
        <v>2053217</v>
      </c>
      <c r="AN67" s="263">
        <v>0</v>
      </c>
      <c r="AO67" s="263">
        <v>0</v>
      </c>
      <c r="AP67" s="263">
        <v>0</v>
      </c>
      <c r="AQ67" s="263">
        <v>0</v>
      </c>
      <c r="AR67" s="263">
        <v>2031858</v>
      </c>
      <c r="AS67" s="263">
        <v>2066320</v>
      </c>
      <c r="AT67" s="263">
        <v>0</v>
      </c>
      <c r="AU67" s="263">
        <v>0</v>
      </c>
      <c r="AV67" s="263">
        <v>0</v>
      </c>
      <c r="AW67" s="263">
        <v>0</v>
      </c>
      <c r="AX67" s="263">
        <v>2043182</v>
      </c>
      <c r="AY67" s="263">
        <v>2079214</v>
      </c>
      <c r="AZ67" s="263">
        <v>0</v>
      </c>
      <c r="BA67" s="263">
        <v>0</v>
      </c>
      <c r="BB67" s="263">
        <v>0</v>
      </c>
      <c r="BC67" s="263">
        <v>0</v>
      </c>
      <c r="BD67" s="263">
        <v>2058414</v>
      </c>
      <c r="BE67" s="263">
        <v>2096756</v>
      </c>
      <c r="BF67" s="263">
        <v>0</v>
      </c>
      <c r="BG67" s="263">
        <v>0</v>
      </c>
      <c r="BH67" s="263">
        <v>0</v>
      </c>
      <c r="BI67" s="263">
        <v>0</v>
      </c>
      <c r="BJ67" s="263">
        <v>2079342</v>
      </c>
      <c r="BK67" s="263">
        <v>2117446</v>
      </c>
      <c r="BL67" s="263">
        <v>0</v>
      </c>
      <c r="BM67" s="263">
        <v>0</v>
      </c>
      <c r="BN67" s="263">
        <v>0</v>
      </c>
      <c r="BO67" s="263">
        <v>0</v>
      </c>
      <c r="BP67" s="263">
        <v>2102130</v>
      </c>
      <c r="BQ67" s="263">
        <v>2141450</v>
      </c>
      <c r="BR67" s="263">
        <v>0</v>
      </c>
      <c r="BS67" s="263">
        <v>0</v>
      </c>
      <c r="BT67" s="263">
        <v>0</v>
      </c>
      <c r="BU67" s="263">
        <v>0</v>
      </c>
      <c r="BV67" s="263">
        <v>2135530</v>
      </c>
      <c r="BW67" s="263">
        <v>2173994</v>
      </c>
      <c r="BX67" s="263">
        <v>0</v>
      </c>
      <c r="BY67" s="263">
        <v>0</v>
      </c>
      <c r="BZ67" s="263">
        <v>0</v>
      </c>
      <c r="CA67" s="263">
        <v>0</v>
      </c>
      <c r="CB67" s="263">
        <v>2173653</v>
      </c>
      <c r="CC67" s="263">
        <v>2210657</v>
      </c>
      <c r="CD67" s="263">
        <v>0</v>
      </c>
      <c r="CE67" s="263">
        <v>0</v>
      </c>
      <c r="CF67" s="263">
        <v>0</v>
      </c>
      <c r="CG67" s="263">
        <v>0</v>
      </c>
      <c r="CH67" s="263">
        <v>2211793</v>
      </c>
      <c r="CI67" s="263">
        <v>2248107</v>
      </c>
      <c r="CJ67" s="263">
        <v>0</v>
      </c>
      <c r="CK67" s="263">
        <v>0</v>
      </c>
      <c r="CL67" s="263">
        <v>0</v>
      </c>
      <c r="CM67" s="263">
        <v>0</v>
      </c>
      <c r="CN67" s="263">
        <v>2246069</v>
      </c>
      <c r="CO67" s="263">
        <v>2283439</v>
      </c>
      <c r="CP67" s="263">
        <v>0</v>
      </c>
      <c r="CQ67" s="263">
        <v>0</v>
      </c>
      <c r="CR67" s="263">
        <v>0</v>
      </c>
      <c r="CS67" s="263">
        <v>0</v>
      </c>
    </row>
    <row r="68" spans="1:110" s="190" customFormat="1">
      <c r="A68" s="190" t="s">
        <v>73</v>
      </c>
      <c r="B68" s="263">
        <v>559551</v>
      </c>
      <c r="C68" s="263">
        <v>569599</v>
      </c>
      <c r="D68" s="263">
        <v>0</v>
      </c>
      <c r="E68" s="263">
        <v>0</v>
      </c>
      <c r="F68" s="263">
        <v>0</v>
      </c>
      <c r="G68" s="263">
        <v>0</v>
      </c>
      <c r="H68" s="263">
        <v>562231</v>
      </c>
      <c r="I68" s="263">
        <v>571965</v>
      </c>
      <c r="J68" s="263">
        <v>0</v>
      </c>
      <c r="K68" s="263">
        <v>0</v>
      </c>
      <c r="L68" s="263">
        <v>0</v>
      </c>
      <c r="M68" s="263">
        <v>0</v>
      </c>
      <c r="N68" s="263">
        <v>563424</v>
      </c>
      <c r="O68" s="263">
        <v>572704</v>
      </c>
      <c r="P68" s="263">
        <v>0</v>
      </c>
      <c r="Q68" s="263">
        <v>0</v>
      </c>
      <c r="R68" s="263">
        <v>0</v>
      </c>
      <c r="S68" s="263">
        <v>0</v>
      </c>
      <c r="T68" s="263">
        <v>563848</v>
      </c>
      <c r="U68" s="263">
        <v>573641</v>
      </c>
      <c r="V68" s="263">
        <v>0</v>
      </c>
      <c r="W68" s="263">
        <v>0</v>
      </c>
      <c r="X68" s="263">
        <v>0</v>
      </c>
      <c r="Y68" s="263">
        <v>0</v>
      </c>
      <c r="Z68" s="263">
        <v>566584</v>
      </c>
      <c r="AA68" s="263">
        <v>575864</v>
      </c>
      <c r="AB68" s="263">
        <v>0</v>
      </c>
      <c r="AC68" s="263">
        <v>0</v>
      </c>
      <c r="AD68" s="263">
        <v>0</v>
      </c>
      <c r="AE68" s="263">
        <v>0</v>
      </c>
      <c r="AF68" s="263">
        <v>568879</v>
      </c>
      <c r="AG68" s="263">
        <v>578434</v>
      </c>
      <c r="AH68" s="263">
        <v>0</v>
      </c>
      <c r="AI68" s="263">
        <v>0</v>
      </c>
      <c r="AJ68" s="263">
        <v>0</v>
      </c>
      <c r="AK68" s="263">
        <v>0</v>
      </c>
      <c r="AL68" s="263">
        <v>571042</v>
      </c>
      <c r="AM68" s="263">
        <v>580397</v>
      </c>
      <c r="AN68" s="263">
        <v>0</v>
      </c>
      <c r="AO68" s="263">
        <v>0</v>
      </c>
      <c r="AP68" s="263">
        <v>0</v>
      </c>
      <c r="AQ68" s="263">
        <v>0</v>
      </c>
      <c r="AR68" s="263">
        <v>573636</v>
      </c>
      <c r="AS68" s="263">
        <v>582977</v>
      </c>
      <c r="AT68" s="263">
        <v>0</v>
      </c>
      <c r="AU68" s="263">
        <v>0</v>
      </c>
      <c r="AV68" s="263">
        <v>0</v>
      </c>
      <c r="AW68" s="263">
        <v>0</v>
      </c>
      <c r="AX68" s="263">
        <v>577481</v>
      </c>
      <c r="AY68" s="263">
        <v>586338</v>
      </c>
      <c r="AZ68" s="263">
        <v>0</v>
      </c>
      <c r="BA68" s="263">
        <v>0</v>
      </c>
      <c r="BB68" s="263">
        <v>0</v>
      </c>
      <c r="BC68" s="263">
        <v>0</v>
      </c>
      <c r="BD68" s="263">
        <v>582738</v>
      </c>
      <c r="BE68" s="263">
        <v>590828</v>
      </c>
      <c r="BF68" s="263">
        <v>0</v>
      </c>
      <c r="BG68" s="263">
        <v>0</v>
      </c>
      <c r="BH68" s="263">
        <v>0</v>
      </c>
      <c r="BI68" s="263">
        <v>0</v>
      </c>
      <c r="BJ68" s="263">
        <v>585429</v>
      </c>
      <c r="BK68" s="263">
        <v>592872</v>
      </c>
      <c r="BL68" s="263">
        <v>0</v>
      </c>
      <c r="BM68" s="263">
        <v>0</v>
      </c>
      <c r="BN68" s="263">
        <v>0</v>
      </c>
      <c r="BO68" s="263">
        <v>0</v>
      </c>
      <c r="BP68" s="263">
        <v>588690</v>
      </c>
      <c r="BQ68" s="263">
        <v>595341</v>
      </c>
      <c r="BR68" s="263">
        <v>0</v>
      </c>
      <c r="BS68" s="263">
        <v>0</v>
      </c>
      <c r="BT68" s="263">
        <v>0</v>
      </c>
      <c r="BU68" s="263">
        <v>0</v>
      </c>
      <c r="BV68" s="263">
        <v>593470</v>
      </c>
      <c r="BW68" s="263">
        <v>600131</v>
      </c>
      <c r="BX68" s="263">
        <v>0</v>
      </c>
      <c r="BY68" s="263">
        <v>0</v>
      </c>
      <c r="BZ68" s="263">
        <v>0</v>
      </c>
      <c r="CA68" s="263">
        <v>0</v>
      </c>
      <c r="CB68" s="263">
        <v>599665</v>
      </c>
      <c r="CC68" s="263">
        <v>606026</v>
      </c>
      <c r="CD68" s="263">
        <v>0</v>
      </c>
      <c r="CE68" s="263">
        <v>0</v>
      </c>
      <c r="CF68" s="263">
        <v>0</v>
      </c>
      <c r="CG68" s="263">
        <v>0</v>
      </c>
      <c r="CH68" s="263">
        <v>607060</v>
      </c>
      <c r="CI68" s="263">
        <v>612844</v>
      </c>
      <c r="CJ68" s="263">
        <v>0</v>
      </c>
      <c r="CK68" s="263">
        <v>0</v>
      </c>
      <c r="CL68" s="263">
        <v>0</v>
      </c>
      <c r="CM68" s="263">
        <v>0</v>
      </c>
      <c r="CN68" s="263">
        <v>615199</v>
      </c>
      <c r="CO68" s="263">
        <v>620524</v>
      </c>
      <c r="CP68" s="263">
        <v>0</v>
      </c>
      <c r="CQ68" s="263">
        <v>0</v>
      </c>
      <c r="CR68" s="263">
        <v>0</v>
      </c>
      <c r="CS68" s="263">
        <v>0</v>
      </c>
    </row>
    <row r="69" spans="1:110" s="190" customFormat="1">
      <c r="A69" s="190" t="s">
        <v>74</v>
      </c>
      <c r="B69" s="263">
        <v>372393</v>
      </c>
      <c r="C69" s="263">
        <v>378550</v>
      </c>
      <c r="D69" s="263">
        <v>0</v>
      </c>
      <c r="E69" s="263">
        <v>0</v>
      </c>
      <c r="F69" s="263">
        <v>0</v>
      </c>
      <c r="G69" s="263">
        <v>0</v>
      </c>
      <c r="H69" s="263">
        <v>373238</v>
      </c>
      <c r="I69" s="263">
        <v>379030</v>
      </c>
      <c r="J69" s="263">
        <v>0</v>
      </c>
      <c r="K69" s="263">
        <v>0</v>
      </c>
      <c r="L69" s="263">
        <v>0</v>
      </c>
      <c r="M69" s="263">
        <v>0</v>
      </c>
      <c r="N69" s="263">
        <v>373057</v>
      </c>
      <c r="O69" s="263">
        <v>379454</v>
      </c>
      <c r="P69" s="263">
        <v>0</v>
      </c>
      <c r="Q69" s="263">
        <v>0</v>
      </c>
      <c r="R69" s="263">
        <v>0</v>
      </c>
      <c r="S69" s="263">
        <v>0</v>
      </c>
      <c r="T69" s="263">
        <v>371581</v>
      </c>
      <c r="U69" s="263">
        <v>378949</v>
      </c>
      <c r="V69" s="263">
        <v>0</v>
      </c>
      <c r="W69" s="263">
        <v>0</v>
      </c>
      <c r="X69" s="263">
        <v>0</v>
      </c>
      <c r="Y69" s="263">
        <v>0</v>
      </c>
      <c r="Z69" s="263">
        <v>371205</v>
      </c>
      <c r="AA69" s="263">
        <v>379396</v>
      </c>
      <c r="AB69" s="263">
        <v>0</v>
      </c>
      <c r="AC69" s="263">
        <v>0</v>
      </c>
      <c r="AD69" s="263">
        <v>0</v>
      </c>
      <c r="AE69" s="263">
        <v>0</v>
      </c>
      <c r="AF69" s="263">
        <v>371197</v>
      </c>
      <c r="AG69" s="263">
        <v>379320</v>
      </c>
      <c r="AH69" s="263">
        <v>0</v>
      </c>
      <c r="AI69" s="263">
        <v>0</v>
      </c>
      <c r="AJ69" s="263">
        <v>0</v>
      </c>
      <c r="AK69" s="263">
        <v>0</v>
      </c>
      <c r="AL69" s="263">
        <v>370562</v>
      </c>
      <c r="AM69" s="263">
        <v>379239</v>
      </c>
      <c r="AN69" s="263">
        <v>0</v>
      </c>
      <c r="AO69" s="263">
        <v>0</v>
      </c>
      <c r="AP69" s="263">
        <v>0</v>
      </c>
      <c r="AQ69" s="263">
        <v>0</v>
      </c>
      <c r="AR69" s="263">
        <v>369725</v>
      </c>
      <c r="AS69" s="263">
        <v>379606</v>
      </c>
      <c r="AT69" s="263">
        <v>0</v>
      </c>
      <c r="AU69" s="263">
        <v>0</v>
      </c>
      <c r="AV69" s="263">
        <v>0</v>
      </c>
      <c r="AW69" s="263">
        <v>0</v>
      </c>
      <c r="AX69" s="263">
        <v>369223</v>
      </c>
      <c r="AY69" s="263">
        <v>380166</v>
      </c>
      <c r="AZ69" s="263">
        <v>0</v>
      </c>
      <c r="BA69" s="263">
        <v>0</v>
      </c>
      <c r="BB69" s="263">
        <v>0</v>
      </c>
      <c r="BC69" s="263">
        <v>0</v>
      </c>
      <c r="BD69" s="263">
        <v>368921</v>
      </c>
      <c r="BE69" s="263">
        <v>380448</v>
      </c>
      <c r="BF69" s="263">
        <v>0</v>
      </c>
      <c r="BG69" s="263">
        <v>0</v>
      </c>
      <c r="BH69" s="263">
        <v>0</v>
      </c>
      <c r="BI69" s="263">
        <v>0</v>
      </c>
      <c r="BJ69" s="263">
        <v>367888</v>
      </c>
      <c r="BK69" s="263">
        <v>380072</v>
      </c>
      <c r="BL69" s="263">
        <v>0</v>
      </c>
      <c r="BM69" s="263">
        <v>0</v>
      </c>
      <c r="BN69" s="263">
        <v>0</v>
      </c>
      <c r="BO69" s="263">
        <v>0</v>
      </c>
      <c r="BP69" s="263">
        <v>366258</v>
      </c>
      <c r="BQ69" s="263">
        <v>379416</v>
      </c>
      <c r="BR69" s="263">
        <v>0</v>
      </c>
      <c r="BS69" s="263">
        <v>0</v>
      </c>
      <c r="BT69" s="263">
        <v>0</v>
      </c>
      <c r="BU69" s="263">
        <v>0</v>
      </c>
      <c r="BV69" s="263">
        <v>365867</v>
      </c>
      <c r="BW69" s="263">
        <v>379531</v>
      </c>
      <c r="BX69" s="263">
        <v>0</v>
      </c>
      <c r="BY69" s="263">
        <v>0</v>
      </c>
      <c r="BZ69" s="263">
        <v>0</v>
      </c>
      <c r="CA69" s="263">
        <v>0</v>
      </c>
      <c r="CB69" s="263">
        <v>366608</v>
      </c>
      <c r="CC69" s="263">
        <v>380302</v>
      </c>
      <c r="CD69" s="263">
        <v>0</v>
      </c>
      <c r="CE69" s="263">
        <v>0</v>
      </c>
      <c r="CF69" s="263">
        <v>0</v>
      </c>
      <c r="CG69" s="263">
        <v>0</v>
      </c>
      <c r="CH69" s="263">
        <v>368127</v>
      </c>
      <c r="CI69" s="263">
        <v>381818</v>
      </c>
      <c r="CJ69" s="263">
        <v>0</v>
      </c>
      <c r="CK69" s="263">
        <v>0</v>
      </c>
      <c r="CL69" s="263">
        <v>0</v>
      </c>
      <c r="CM69" s="263">
        <v>0</v>
      </c>
      <c r="CN69" s="263">
        <v>369483</v>
      </c>
      <c r="CO69" s="263">
        <v>383409</v>
      </c>
      <c r="CP69" s="263">
        <v>0</v>
      </c>
      <c r="CQ69" s="263">
        <v>0</v>
      </c>
      <c r="CR69" s="263">
        <v>0</v>
      </c>
      <c r="CS69" s="263">
        <v>0</v>
      </c>
    </row>
    <row r="70" spans="1:110">
      <c r="A70" s="190" t="s">
        <v>75</v>
      </c>
      <c r="B70" s="263">
        <v>283056</v>
      </c>
      <c r="C70" s="263">
        <v>284341</v>
      </c>
      <c r="D70" s="263">
        <v>0</v>
      </c>
      <c r="E70" s="263">
        <v>0</v>
      </c>
      <c r="F70" s="263">
        <v>0</v>
      </c>
      <c r="G70" s="263">
        <v>0</v>
      </c>
      <c r="H70" s="263">
        <v>278748</v>
      </c>
      <c r="I70" s="263">
        <v>280950</v>
      </c>
      <c r="J70" s="263">
        <v>0</v>
      </c>
      <c r="K70" s="263">
        <v>0</v>
      </c>
      <c r="L70" s="263">
        <v>0</v>
      </c>
      <c r="M70" s="263">
        <v>0</v>
      </c>
      <c r="N70" s="263">
        <v>273850</v>
      </c>
      <c r="O70" s="263">
        <v>277061</v>
      </c>
      <c r="P70" s="263">
        <v>0</v>
      </c>
      <c r="Q70" s="263">
        <v>0</v>
      </c>
      <c r="R70" s="263">
        <v>0</v>
      </c>
      <c r="S70" s="263">
        <v>0</v>
      </c>
      <c r="T70" s="263">
        <v>267298</v>
      </c>
      <c r="U70" s="263">
        <v>272545</v>
      </c>
      <c r="V70" s="263">
        <v>0</v>
      </c>
      <c r="W70" s="263">
        <v>0</v>
      </c>
      <c r="X70" s="263">
        <v>0</v>
      </c>
      <c r="Y70" s="263">
        <v>0</v>
      </c>
      <c r="Z70" s="263">
        <v>263721</v>
      </c>
      <c r="AA70" s="263">
        <v>269608</v>
      </c>
      <c r="AB70" s="263">
        <v>0</v>
      </c>
      <c r="AC70" s="263">
        <v>0</v>
      </c>
      <c r="AD70" s="263">
        <v>0</v>
      </c>
      <c r="AE70" s="263">
        <v>0</v>
      </c>
      <c r="AF70" s="263">
        <v>260811</v>
      </c>
      <c r="AG70" s="263">
        <v>267155</v>
      </c>
      <c r="AH70" s="263">
        <v>0</v>
      </c>
      <c r="AI70" s="263">
        <v>0</v>
      </c>
      <c r="AJ70" s="263">
        <v>0</v>
      </c>
      <c r="AK70" s="263">
        <v>0</v>
      </c>
      <c r="AL70" s="263">
        <v>257232</v>
      </c>
      <c r="AM70" s="263">
        <v>264801</v>
      </c>
      <c r="AN70" s="263">
        <v>0</v>
      </c>
      <c r="AO70" s="263">
        <v>0</v>
      </c>
      <c r="AP70" s="263">
        <v>0</v>
      </c>
      <c r="AQ70" s="263">
        <v>0</v>
      </c>
      <c r="AR70" s="263">
        <v>255937</v>
      </c>
      <c r="AS70" s="263">
        <v>263594</v>
      </c>
      <c r="AT70" s="263">
        <v>0</v>
      </c>
      <c r="AU70" s="263">
        <v>0</v>
      </c>
      <c r="AV70" s="263">
        <v>0</v>
      </c>
      <c r="AW70" s="263">
        <v>0</v>
      </c>
      <c r="AX70" s="263">
        <v>255540</v>
      </c>
      <c r="AY70" s="263">
        <v>262980</v>
      </c>
      <c r="AZ70" s="263">
        <v>0</v>
      </c>
      <c r="BA70" s="263">
        <v>0</v>
      </c>
      <c r="BB70" s="263">
        <v>0</v>
      </c>
      <c r="BC70" s="263">
        <v>0</v>
      </c>
      <c r="BD70" s="263">
        <v>255090</v>
      </c>
      <c r="BE70" s="263">
        <v>262357</v>
      </c>
      <c r="BF70" s="263">
        <v>0</v>
      </c>
      <c r="BG70" s="263">
        <v>0</v>
      </c>
      <c r="BH70" s="263">
        <v>0</v>
      </c>
      <c r="BI70" s="263">
        <v>0</v>
      </c>
      <c r="BJ70" s="263">
        <v>253617</v>
      </c>
      <c r="BK70" s="263">
        <v>260746</v>
      </c>
      <c r="BL70" s="263">
        <v>0</v>
      </c>
      <c r="BM70" s="263">
        <v>0</v>
      </c>
      <c r="BN70" s="263">
        <v>0</v>
      </c>
      <c r="BO70" s="263">
        <v>0</v>
      </c>
      <c r="BP70" s="263">
        <v>251381</v>
      </c>
      <c r="BQ70" s="263">
        <v>258932</v>
      </c>
      <c r="BR70" s="263">
        <v>0</v>
      </c>
      <c r="BS70" s="263">
        <v>0</v>
      </c>
      <c r="BT70" s="263">
        <v>0</v>
      </c>
      <c r="BU70" s="263">
        <v>0</v>
      </c>
      <c r="BV70" s="263">
        <v>248774</v>
      </c>
      <c r="BW70" s="263">
        <v>257556</v>
      </c>
      <c r="BX70" s="263">
        <v>0</v>
      </c>
      <c r="BY70" s="263">
        <v>0</v>
      </c>
      <c r="BZ70" s="263">
        <v>0</v>
      </c>
      <c r="CA70" s="263">
        <v>0</v>
      </c>
      <c r="CB70" s="263">
        <v>248595</v>
      </c>
      <c r="CC70" s="263">
        <v>257757</v>
      </c>
      <c r="CD70" s="263">
        <v>0</v>
      </c>
      <c r="CE70" s="263">
        <v>0</v>
      </c>
      <c r="CF70" s="263">
        <v>0</v>
      </c>
      <c r="CG70" s="263">
        <v>0</v>
      </c>
      <c r="CH70" s="263">
        <v>249823</v>
      </c>
      <c r="CI70" s="263">
        <v>259272</v>
      </c>
      <c r="CJ70" s="263">
        <v>0</v>
      </c>
      <c r="CK70" s="263">
        <v>0</v>
      </c>
      <c r="CL70" s="263">
        <v>0</v>
      </c>
      <c r="CM70" s="263">
        <v>0</v>
      </c>
      <c r="CN70" s="263">
        <v>251401</v>
      </c>
      <c r="CO70" s="263">
        <v>260471</v>
      </c>
      <c r="CP70" s="263">
        <v>0</v>
      </c>
      <c r="CQ70" s="263">
        <v>0</v>
      </c>
      <c r="CR70" s="263">
        <v>0</v>
      </c>
      <c r="CS70" s="263">
        <v>0</v>
      </c>
    </row>
    <row r="71" spans="1:110">
      <c r="A71" s="190" t="s">
        <v>327</v>
      </c>
      <c r="B71" s="263">
        <v>21544</v>
      </c>
      <c r="C71" s="263">
        <v>19888</v>
      </c>
      <c r="D71" s="263">
        <v>0</v>
      </c>
      <c r="E71" s="263">
        <v>0</v>
      </c>
      <c r="F71" s="263">
        <v>0</v>
      </c>
      <c r="G71" s="263">
        <v>0</v>
      </c>
      <c r="H71" s="263">
        <v>21731</v>
      </c>
      <c r="I71" s="263">
        <v>20010</v>
      </c>
      <c r="J71" s="263">
        <v>0</v>
      </c>
      <c r="K71" s="263">
        <v>0</v>
      </c>
      <c r="L71" s="263">
        <v>0</v>
      </c>
      <c r="M71" s="263">
        <v>0</v>
      </c>
      <c r="N71" s="263">
        <v>21674</v>
      </c>
      <c r="O71" s="263">
        <v>19951</v>
      </c>
      <c r="P71" s="263">
        <v>0</v>
      </c>
      <c r="Q71" s="263">
        <v>0</v>
      </c>
      <c r="R71" s="263">
        <v>0</v>
      </c>
      <c r="S71" s="263">
        <v>0</v>
      </c>
      <c r="T71" s="263">
        <v>21191</v>
      </c>
      <c r="U71" s="263">
        <v>19611</v>
      </c>
      <c r="V71" s="263">
        <v>0</v>
      </c>
      <c r="W71" s="263">
        <v>0</v>
      </c>
      <c r="X71" s="263">
        <v>0</v>
      </c>
      <c r="Y71" s="263">
        <v>0</v>
      </c>
      <c r="Z71" s="263">
        <v>21050</v>
      </c>
      <c r="AA71" s="263">
        <v>19588</v>
      </c>
      <c r="AB71" s="263">
        <v>0</v>
      </c>
      <c r="AC71" s="263">
        <v>0</v>
      </c>
      <c r="AD71" s="263">
        <v>0</v>
      </c>
      <c r="AE71" s="263">
        <v>0</v>
      </c>
      <c r="AF71" s="263">
        <v>20950</v>
      </c>
      <c r="AG71" s="263">
        <v>19530</v>
      </c>
      <c r="AH71" s="263">
        <v>0</v>
      </c>
      <c r="AI71" s="263">
        <v>0</v>
      </c>
      <c r="AJ71" s="263">
        <v>0</v>
      </c>
      <c r="AK71" s="263">
        <v>0</v>
      </c>
      <c r="AL71" s="263">
        <v>21141</v>
      </c>
      <c r="AM71" s="263">
        <v>19703</v>
      </c>
      <c r="AN71" s="263">
        <v>0</v>
      </c>
      <c r="AO71" s="263">
        <v>0</v>
      </c>
      <c r="AP71" s="263">
        <v>0</v>
      </c>
      <c r="AQ71" s="263">
        <v>0</v>
      </c>
      <c r="AR71" s="263">
        <v>21587</v>
      </c>
      <c r="AS71" s="263">
        <v>20078</v>
      </c>
      <c r="AT71" s="263">
        <v>0</v>
      </c>
      <c r="AU71" s="263">
        <v>0</v>
      </c>
      <c r="AV71" s="263">
        <v>0</v>
      </c>
      <c r="AW71" s="263">
        <v>0</v>
      </c>
      <c r="AX71" s="263">
        <v>22086</v>
      </c>
      <c r="AY71" s="263">
        <v>20475</v>
      </c>
      <c r="AZ71" s="263">
        <v>0</v>
      </c>
      <c r="BA71" s="263">
        <v>0</v>
      </c>
      <c r="BB71" s="263">
        <v>0</v>
      </c>
      <c r="BC71" s="263">
        <v>0</v>
      </c>
      <c r="BD71" s="263">
        <v>22455</v>
      </c>
      <c r="BE71" s="263">
        <v>20846</v>
      </c>
      <c r="BF71" s="263">
        <v>0</v>
      </c>
      <c r="BG71" s="263">
        <v>0</v>
      </c>
      <c r="BH71" s="263">
        <v>0</v>
      </c>
      <c r="BI71" s="263">
        <v>0</v>
      </c>
      <c r="BJ71" s="263">
        <v>22565</v>
      </c>
      <c r="BK71" s="263">
        <v>20834</v>
      </c>
      <c r="BL71" s="263">
        <v>0</v>
      </c>
      <c r="BM71" s="263">
        <v>0</v>
      </c>
      <c r="BN71" s="263">
        <v>0</v>
      </c>
      <c r="BO71" s="263">
        <v>0</v>
      </c>
      <c r="BP71" s="263">
        <v>22476</v>
      </c>
      <c r="BQ71" s="263">
        <v>20722</v>
      </c>
      <c r="BR71" s="263">
        <v>0</v>
      </c>
      <c r="BS71" s="263">
        <v>0</v>
      </c>
      <c r="BT71" s="263">
        <v>0</v>
      </c>
      <c r="BU71" s="263">
        <v>0</v>
      </c>
      <c r="BV71" s="263">
        <v>22615</v>
      </c>
      <c r="BW71" s="263">
        <v>20936</v>
      </c>
      <c r="BX71" s="263">
        <v>0</v>
      </c>
      <c r="BY71" s="263">
        <v>0</v>
      </c>
      <c r="BZ71" s="263">
        <v>0</v>
      </c>
      <c r="CA71" s="263">
        <v>0</v>
      </c>
      <c r="CB71" s="263">
        <v>22623</v>
      </c>
      <c r="CC71" s="263">
        <v>21069</v>
      </c>
      <c r="CD71" s="263">
        <v>0</v>
      </c>
      <c r="CE71" s="263">
        <v>0</v>
      </c>
      <c r="CF71" s="263">
        <v>0</v>
      </c>
      <c r="CG71" s="263">
        <v>0</v>
      </c>
      <c r="CH71" s="263">
        <v>22556</v>
      </c>
      <c r="CI71" s="263">
        <v>21081</v>
      </c>
      <c r="CJ71" s="263">
        <v>0</v>
      </c>
      <c r="CK71" s="263">
        <v>0</v>
      </c>
      <c r="CL71" s="263">
        <v>0</v>
      </c>
      <c r="CM71" s="263">
        <v>0</v>
      </c>
      <c r="CN71" s="263">
        <v>22654</v>
      </c>
      <c r="CO71" s="263">
        <v>21219</v>
      </c>
      <c r="CP71" s="263">
        <v>0</v>
      </c>
      <c r="CQ71" s="263">
        <v>0</v>
      </c>
      <c r="CR71" s="263">
        <v>0</v>
      </c>
      <c r="CS71" s="263">
        <v>0</v>
      </c>
    </row>
    <row r="72" spans="1:110">
      <c r="A72" s="190" t="s">
        <v>76</v>
      </c>
      <c r="B72" s="263">
        <v>455871</v>
      </c>
      <c r="C72" s="263">
        <v>472249</v>
      </c>
      <c r="D72" s="263">
        <v>0</v>
      </c>
      <c r="E72" s="263">
        <v>0</v>
      </c>
      <c r="F72" s="263">
        <v>0</v>
      </c>
      <c r="G72" s="263">
        <v>0</v>
      </c>
      <c r="H72" s="263">
        <v>456892</v>
      </c>
      <c r="I72" s="263">
        <v>474435</v>
      </c>
      <c r="J72" s="263">
        <v>0</v>
      </c>
      <c r="K72" s="263">
        <v>0</v>
      </c>
      <c r="L72" s="263">
        <v>0</v>
      </c>
      <c r="M72" s="263">
        <v>0</v>
      </c>
      <c r="N72" s="263">
        <v>457363</v>
      </c>
      <c r="O72" s="263">
        <v>475039</v>
      </c>
      <c r="P72" s="263">
        <v>0</v>
      </c>
      <c r="Q72" s="263">
        <v>0</v>
      </c>
      <c r="R72" s="263">
        <v>0</v>
      </c>
      <c r="S72" s="263">
        <v>0</v>
      </c>
      <c r="T72" s="263">
        <v>456660</v>
      </c>
      <c r="U72" s="263">
        <v>475176</v>
      </c>
      <c r="V72" s="263">
        <v>0</v>
      </c>
      <c r="W72" s="263">
        <v>0</v>
      </c>
      <c r="X72" s="263">
        <v>0</v>
      </c>
      <c r="Y72" s="263">
        <v>0</v>
      </c>
      <c r="Z72" s="263">
        <v>457664</v>
      </c>
      <c r="AA72" s="263">
        <v>476120</v>
      </c>
      <c r="AB72" s="263">
        <v>0</v>
      </c>
      <c r="AC72" s="263">
        <v>0</v>
      </c>
      <c r="AD72" s="263">
        <v>0</v>
      </c>
      <c r="AE72" s="263">
        <v>0</v>
      </c>
      <c r="AF72" s="263">
        <v>457147</v>
      </c>
      <c r="AG72" s="263">
        <v>476674</v>
      </c>
      <c r="AH72" s="263">
        <v>0</v>
      </c>
      <c r="AI72" s="263">
        <v>0</v>
      </c>
      <c r="AJ72" s="263">
        <v>0</v>
      </c>
      <c r="AK72" s="263">
        <v>0</v>
      </c>
      <c r="AL72" s="263">
        <v>456338</v>
      </c>
      <c r="AM72" s="263">
        <v>476116</v>
      </c>
      <c r="AN72" s="263">
        <v>0</v>
      </c>
      <c r="AO72" s="263">
        <v>0</v>
      </c>
      <c r="AP72" s="263">
        <v>0</v>
      </c>
      <c r="AQ72" s="263">
        <v>0</v>
      </c>
      <c r="AR72" s="263">
        <v>457584</v>
      </c>
      <c r="AS72" s="263">
        <v>477431</v>
      </c>
      <c r="AT72" s="263">
        <v>0</v>
      </c>
      <c r="AU72" s="263">
        <v>0</v>
      </c>
      <c r="AV72" s="263">
        <v>0</v>
      </c>
      <c r="AW72" s="263">
        <v>0</v>
      </c>
      <c r="AX72" s="263">
        <v>458120</v>
      </c>
      <c r="AY72" s="263">
        <v>479371</v>
      </c>
      <c r="AZ72" s="263">
        <v>0</v>
      </c>
      <c r="BA72" s="263">
        <v>0</v>
      </c>
      <c r="BB72" s="263">
        <v>0</v>
      </c>
      <c r="BC72" s="263">
        <v>0</v>
      </c>
      <c r="BD72" s="263">
        <v>458589</v>
      </c>
      <c r="BE72" s="263">
        <v>480787</v>
      </c>
      <c r="BF72" s="263">
        <v>0</v>
      </c>
      <c r="BG72" s="263">
        <v>0</v>
      </c>
      <c r="BH72" s="263">
        <v>0</v>
      </c>
      <c r="BI72" s="263">
        <v>0</v>
      </c>
      <c r="BJ72" s="263">
        <v>456953</v>
      </c>
      <c r="BK72" s="263">
        <v>480988</v>
      </c>
      <c r="BL72" s="263">
        <v>0</v>
      </c>
      <c r="BM72" s="263">
        <v>0</v>
      </c>
      <c r="BN72" s="263">
        <v>0</v>
      </c>
      <c r="BO72" s="263">
        <v>0</v>
      </c>
      <c r="BP72" s="263">
        <v>456370</v>
      </c>
      <c r="BQ72" s="263">
        <v>481640</v>
      </c>
      <c r="BR72" s="263">
        <v>0</v>
      </c>
      <c r="BS72" s="263">
        <v>0</v>
      </c>
      <c r="BT72" s="263">
        <v>0</v>
      </c>
      <c r="BU72" s="263">
        <v>0</v>
      </c>
      <c r="BV72" s="263">
        <v>454549</v>
      </c>
      <c r="BW72" s="263">
        <v>481434</v>
      </c>
      <c r="BX72" s="263">
        <v>0</v>
      </c>
      <c r="BY72" s="263">
        <v>0</v>
      </c>
      <c r="BZ72" s="263">
        <v>0</v>
      </c>
      <c r="CA72" s="263">
        <v>0</v>
      </c>
      <c r="CB72" s="263">
        <v>455247</v>
      </c>
      <c r="CC72" s="263">
        <v>482225</v>
      </c>
      <c r="CD72" s="263">
        <v>0</v>
      </c>
      <c r="CE72" s="263">
        <v>0</v>
      </c>
      <c r="CF72" s="263">
        <v>0</v>
      </c>
      <c r="CG72" s="263">
        <v>0</v>
      </c>
      <c r="CH72" s="263">
        <v>456621</v>
      </c>
      <c r="CI72" s="263">
        <v>483944</v>
      </c>
      <c r="CJ72" s="263">
        <v>0</v>
      </c>
      <c r="CK72" s="263">
        <v>0</v>
      </c>
      <c r="CL72" s="263">
        <v>0</v>
      </c>
      <c r="CM72" s="263">
        <v>0</v>
      </c>
      <c r="CN72" s="263">
        <v>459325</v>
      </c>
      <c r="CO72" s="263">
        <v>485827</v>
      </c>
      <c r="CP72" s="263">
        <v>0</v>
      </c>
      <c r="CQ72" s="263">
        <v>0</v>
      </c>
      <c r="CR72" s="263">
        <v>0</v>
      </c>
      <c r="CS72" s="263">
        <v>0</v>
      </c>
    </row>
    <row r="73" spans="1:110">
      <c r="A73" s="190" t="s">
        <v>276</v>
      </c>
      <c r="B73" s="263">
        <v>13131</v>
      </c>
      <c r="C73" s="263">
        <v>11847</v>
      </c>
      <c r="D73" s="263">
        <v>0</v>
      </c>
      <c r="E73" s="263">
        <v>0</v>
      </c>
      <c r="F73" s="263">
        <v>0</v>
      </c>
      <c r="G73" s="263">
        <v>0</v>
      </c>
      <c r="H73" s="263">
        <v>13557</v>
      </c>
      <c r="I73" s="263">
        <v>12112</v>
      </c>
      <c r="J73" s="263">
        <v>0</v>
      </c>
      <c r="K73" s="263">
        <v>0</v>
      </c>
      <c r="L73" s="263">
        <v>0</v>
      </c>
      <c r="M73" s="263">
        <v>0</v>
      </c>
      <c r="N73" s="263">
        <v>13662</v>
      </c>
      <c r="O73" s="263">
        <v>12222</v>
      </c>
      <c r="P73" s="263">
        <v>0</v>
      </c>
      <c r="Q73" s="263">
        <v>0</v>
      </c>
      <c r="R73" s="263">
        <v>0</v>
      </c>
      <c r="S73" s="263">
        <v>0</v>
      </c>
      <c r="T73" s="263">
        <v>13873</v>
      </c>
      <c r="U73" s="263">
        <v>12500</v>
      </c>
      <c r="V73" s="263">
        <v>0</v>
      </c>
      <c r="W73" s="263">
        <v>0</v>
      </c>
      <c r="X73" s="263">
        <v>0</v>
      </c>
      <c r="Y73" s="263">
        <v>0</v>
      </c>
      <c r="Z73" s="263">
        <v>14078</v>
      </c>
      <c r="AA73" s="263">
        <v>12742</v>
      </c>
      <c r="AB73" s="263">
        <v>0</v>
      </c>
      <c r="AC73" s="263">
        <v>0</v>
      </c>
      <c r="AD73" s="263">
        <v>0</v>
      </c>
      <c r="AE73" s="263">
        <v>0</v>
      </c>
      <c r="AF73" s="263">
        <v>14373</v>
      </c>
      <c r="AG73" s="263">
        <v>13125</v>
      </c>
      <c r="AH73" s="263">
        <v>0</v>
      </c>
      <c r="AI73" s="263">
        <v>0</v>
      </c>
      <c r="AJ73" s="263">
        <v>0</v>
      </c>
      <c r="AK73" s="263">
        <v>0</v>
      </c>
      <c r="AL73" s="263">
        <v>14680</v>
      </c>
      <c r="AM73" s="263">
        <v>13454</v>
      </c>
      <c r="AN73" s="263">
        <v>0</v>
      </c>
      <c r="AO73" s="263">
        <v>0</v>
      </c>
      <c r="AP73" s="263">
        <v>0</v>
      </c>
      <c r="AQ73" s="263">
        <v>0</v>
      </c>
      <c r="AR73" s="263">
        <v>14982</v>
      </c>
      <c r="AS73" s="263">
        <v>13837</v>
      </c>
      <c r="AT73" s="263">
        <v>0</v>
      </c>
      <c r="AU73" s="263">
        <v>0</v>
      </c>
      <c r="AV73" s="263">
        <v>0</v>
      </c>
      <c r="AW73" s="263">
        <v>0</v>
      </c>
      <c r="AX73" s="263">
        <v>15191</v>
      </c>
      <c r="AY73" s="263">
        <v>14129</v>
      </c>
      <c r="AZ73" s="263">
        <v>0</v>
      </c>
      <c r="BA73" s="263">
        <v>0</v>
      </c>
      <c r="BB73" s="263">
        <v>0</v>
      </c>
      <c r="BC73" s="263">
        <v>0</v>
      </c>
      <c r="BD73" s="263">
        <v>15495</v>
      </c>
      <c r="BE73" s="263">
        <v>14359</v>
      </c>
      <c r="BF73" s="263">
        <v>0</v>
      </c>
      <c r="BG73" s="263">
        <v>0</v>
      </c>
      <c r="BH73" s="263">
        <v>0</v>
      </c>
      <c r="BI73" s="263">
        <v>0</v>
      </c>
      <c r="BJ73" s="263">
        <v>15726</v>
      </c>
      <c r="BK73" s="263">
        <v>14602</v>
      </c>
      <c r="BL73" s="263">
        <v>0</v>
      </c>
      <c r="BM73" s="263">
        <v>0</v>
      </c>
      <c r="BN73" s="263">
        <v>0</v>
      </c>
      <c r="BO73" s="263">
        <v>0</v>
      </c>
      <c r="BP73" s="263">
        <v>15899</v>
      </c>
      <c r="BQ73" s="263">
        <v>14900</v>
      </c>
      <c r="BR73" s="263">
        <v>0</v>
      </c>
      <c r="BS73" s="263">
        <v>0</v>
      </c>
      <c r="BT73" s="263">
        <v>0</v>
      </c>
      <c r="BU73" s="263">
        <v>0</v>
      </c>
      <c r="BV73" s="263">
        <v>16146</v>
      </c>
      <c r="BW73" s="263">
        <v>15118</v>
      </c>
      <c r="BX73" s="263">
        <v>0</v>
      </c>
      <c r="BY73" s="263">
        <v>0</v>
      </c>
      <c r="BZ73" s="263">
        <v>0</v>
      </c>
      <c r="CA73" s="263">
        <v>0</v>
      </c>
      <c r="CB73" s="263">
        <v>16376</v>
      </c>
      <c r="CC73" s="263">
        <v>15238</v>
      </c>
      <c r="CD73" s="263">
        <v>0</v>
      </c>
      <c r="CE73" s="263">
        <v>0</v>
      </c>
      <c r="CF73" s="263">
        <v>0</v>
      </c>
      <c r="CG73" s="263">
        <v>0</v>
      </c>
      <c r="CH73" s="263">
        <v>16630</v>
      </c>
      <c r="CI73" s="263">
        <v>15563</v>
      </c>
      <c r="CJ73" s="263">
        <v>0</v>
      </c>
      <c r="CK73" s="263">
        <v>0</v>
      </c>
      <c r="CL73" s="263">
        <v>0</v>
      </c>
      <c r="CM73" s="263">
        <v>0</v>
      </c>
      <c r="CN73" s="263">
        <v>16888</v>
      </c>
      <c r="CO73" s="263">
        <v>15935</v>
      </c>
      <c r="CP73" s="263">
        <v>0</v>
      </c>
      <c r="CQ73" s="263">
        <v>0</v>
      </c>
      <c r="CR73" s="263">
        <v>0</v>
      </c>
      <c r="CS73" s="263">
        <v>0</v>
      </c>
    </row>
    <row r="74" spans="1:110">
      <c r="A74" s="190" t="s">
        <v>77</v>
      </c>
      <c r="B74" s="263">
        <v>5394885</v>
      </c>
      <c r="C74" s="263">
        <v>5555234</v>
      </c>
      <c r="D74" s="263">
        <v>0</v>
      </c>
      <c r="E74" s="263">
        <v>0</v>
      </c>
      <c r="F74" s="263">
        <v>0</v>
      </c>
      <c r="G74" s="263">
        <v>0</v>
      </c>
      <c r="H74" s="263">
        <v>5459194</v>
      </c>
      <c r="I74" s="263">
        <v>5623709</v>
      </c>
      <c r="J74" s="263">
        <v>0</v>
      </c>
      <c r="K74" s="263">
        <v>0</v>
      </c>
      <c r="L74" s="263">
        <v>0</v>
      </c>
      <c r="M74" s="263">
        <v>0</v>
      </c>
      <c r="N74" s="263">
        <v>5537039</v>
      </c>
      <c r="O74" s="263">
        <v>5690612</v>
      </c>
      <c r="P74" s="263">
        <v>0</v>
      </c>
      <c r="Q74" s="263">
        <v>0</v>
      </c>
      <c r="R74" s="263">
        <v>0</v>
      </c>
      <c r="S74" s="263">
        <v>0</v>
      </c>
      <c r="T74" s="263">
        <v>5605303</v>
      </c>
      <c r="U74" s="263">
        <v>5760598</v>
      </c>
      <c r="V74" s="263">
        <v>0</v>
      </c>
      <c r="W74" s="263">
        <v>0</v>
      </c>
      <c r="X74" s="263">
        <v>0</v>
      </c>
      <c r="Y74" s="263">
        <v>0</v>
      </c>
      <c r="Z74" s="263">
        <v>5675834</v>
      </c>
      <c r="AA74" s="263">
        <v>5828925</v>
      </c>
      <c r="AB74" s="263">
        <v>0</v>
      </c>
      <c r="AC74" s="263">
        <v>0</v>
      </c>
      <c r="AD74" s="263">
        <v>0</v>
      </c>
      <c r="AE74" s="263">
        <v>0</v>
      </c>
      <c r="AF74" s="263">
        <v>5768557</v>
      </c>
      <c r="AG74" s="263">
        <v>5914733</v>
      </c>
      <c r="AH74" s="263">
        <v>0</v>
      </c>
      <c r="AI74" s="263">
        <v>0</v>
      </c>
      <c r="AJ74" s="263">
        <v>0</v>
      </c>
      <c r="AK74" s="263">
        <v>0</v>
      </c>
      <c r="AL74" s="263">
        <v>5878939</v>
      </c>
      <c r="AM74" s="263">
        <v>6017724</v>
      </c>
      <c r="AN74" s="263">
        <v>0</v>
      </c>
      <c r="AO74" s="263">
        <v>0</v>
      </c>
      <c r="AP74" s="263">
        <v>0</v>
      </c>
      <c r="AQ74" s="263">
        <v>0</v>
      </c>
      <c r="AR74" s="263">
        <v>5974953</v>
      </c>
      <c r="AS74" s="263">
        <v>6116076</v>
      </c>
      <c r="AT74" s="263">
        <v>0</v>
      </c>
      <c r="AU74" s="263">
        <v>0</v>
      </c>
      <c r="AV74" s="263">
        <v>0</v>
      </c>
      <c r="AW74" s="263">
        <v>0</v>
      </c>
      <c r="AX74" s="263">
        <v>6048739</v>
      </c>
      <c r="AY74" s="263">
        <v>6193534</v>
      </c>
      <c r="AZ74" s="263">
        <v>0</v>
      </c>
      <c r="BA74" s="263">
        <v>0</v>
      </c>
      <c r="BB74" s="263">
        <v>0</v>
      </c>
      <c r="BC74" s="263">
        <v>0</v>
      </c>
      <c r="BD74" s="263">
        <v>6120409</v>
      </c>
      <c r="BE74" s="263">
        <v>6270190</v>
      </c>
      <c r="BF74" s="263">
        <v>0</v>
      </c>
      <c r="BG74" s="263">
        <v>0</v>
      </c>
      <c r="BH74" s="263">
        <v>0</v>
      </c>
      <c r="BI74" s="263">
        <v>0</v>
      </c>
      <c r="BJ74" s="263">
        <v>6188211</v>
      </c>
      <c r="BK74" s="263">
        <v>6340269</v>
      </c>
      <c r="BL74" s="263">
        <v>0</v>
      </c>
      <c r="BM74" s="263">
        <v>0</v>
      </c>
      <c r="BN74" s="263">
        <v>0</v>
      </c>
      <c r="BO74" s="263">
        <v>0</v>
      </c>
      <c r="BP74" s="263">
        <v>6254366</v>
      </c>
      <c r="BQ74" s="263">
        <v>6410980</v>
      </c>
      <c r="BR74" s="263">
        <v>0</v>
      </c>
      <c r="BS74" s="263">
        <v>0</v>
      </c>
      <c r="BT74" s="263">
        <v>0</v>
      </c>
      <c r="BU74" s="263">
        <v>0</v>
      </c>
      <c r="BV74" s="263">
        <v>6311346</v>
      </c>
      <c r="BW74" s="263">
        <v>6479686</v>
      </c>
      <c r="BX74" s="263">
        <v>0</v>
      </c>
      <c r="BY74" s="263">
        <v>0</v>
      </c>
      <c r="BZ74" s="263">
        <v>0</v>
      </c>
      <c r="CA74" s="263">
        <v>0</v>
      </c>
      <c r="CB74" s="263">
        <v>6377247</v>
      </c>
      <c r="CC74" s="263">
        <v>6555233</v>
      </c>
      <c r="CD74" s="263">
        <v>0</v>
      </c>
      <c r="CE74" s="263">
        <v>0</v>
      </c>
      <c r="CF74" s="263">
        <v>0</v>
      </c>
      <c r="CG74" s="263">
        <v>0</v>
      </c>
      <c r="CH74" s="263">
        <v>6441208</v>
      </c>
      <c r="CI74" s="263">
        <v>6627637</v>
      </c>
      <c r="CJ74" s="263">
        <v>0</v>
      </c>
      <c r="CK74" s="263">
        <v>0</v>
      </c>
      <c r="CL74" s="263">
        <v>0</v>
      </c>
      <c r="CM74" s="263">
        <v>0</v>
      </c>
      <c r="CN74" s="263">
        <v>6517686</v>
      </c>
      <c r="CO74" s="263">
        <v>6706103</v>
      </c>
      <c r="CP74" s="263">
        <v>0</v>
      </c>
      <c r="CQ74" s="263">
        <v>0</v>
      </c>
      <c r="CR74" s="263">
        <v>0</v>
      </c>
      <c r="CS74" s="263">
        <v>0</v>
      </c>
    </row>
    <row r="75" spans="1:110">
      <c r="A75" s="190" t="s">
        <v>78</v>
      </c>
      <c r="B75" s="263">
        <v>66136</v>
      </c>
      <c r="C75" s="263">
        <v>68279</v>
      </c>
      <c r="D75" s="263">
        <v>0</v>
      </c>
      <c r="E75" s="263">
        <v>0</v>
      </c>
      <c r="F75" s="263">
        <v>0</v>
      </c>
      <c r="G75" s="263">
        <v>0</v>
      </c>
      <c r="H75" s="263">
        <v>66858</v>
      </c>
      <c r="I75" s="263">
        <v>68879</v>
      </c>
      <c r="J75" s="263">
        <v>0</v>
      </c>
      <c r="K75" s="263">
        <v>0</v>
      </c>
      <c r="L75" s="263">
        <v>0</v>
      </c>
      <c r="M75" s="263">
        <v>0</v>
      </c>
      <c r="N75" s="263">
        <v>66932</v>
      </c>
      <c r="O75" s="263">
        <v>69163</v>
      </c>
      <c r="P75" s="263">
        <v>0</v>
      </c>
      <c r="Q75" s="263">
        <v>0</v>
      </c>
      <c r="R75" s="263">
        <v>0</v>
      </c>
      <c r="S75" s="263">
        <v>0</v>
      </c>
      <c r="T75" s="263">
        <v>66581</v>
      </c>
      <c r="U75" s="263">
        <v>69223</v>
      </c>
      <c r="V75" s="263">
        <v>0</v>
      </c>
      <c r="W75" s="263">
        <v>0</v>
      </c>
      <c r="X75" s="263">
        <v>0</v>
      </c>
      <c r="Y75" s="263">
        <v>0</v>
      </c>
      <c r="Z75" s="263">
        <v>66678</v>
      </c>
      <c r="AA75" s="263">
        <v>69603</v>
      </c>
      <c r="AB75" s="263">
        <v>0</v>
      </c>
      <c r="AC75" s="263">
        <v>0</v>
      </c>
      <c r="AD75" s="263">
        <v>0</v>
      </c>
      <c r="AE75" s="263">
        <v>0</v>
      </c>
      <c r="AF75" s="263">
        <v>66671</v>
      </c>
      <c r="AG75" s="263">
        <v>69799</v>
      </c>
      <c r="AH75" s="263">
        <v>0</v>
      </c>
      <c r="AI75" s="263">
        <v>0</v>
      </c>
      <c r="AJ75" s="263">
        <v>0</v>
      </c>
      <c r="AK75" s="263">
        <v>0</v>
      </c>
      <c r="AL75" s="263">
        <v>66708</v>
      </c>
      <c r="AM75" s="263">
        <v>69955</v>
      </c>
      <c r="AN75" s="263">
        <v>0</v>
      </c>
      <c r="AO75" s="263">
        <v>0</v>
      </c>
      <c r="AP75" s="263">
        <v>0</v>
      </c>
      <c r="AQ75" s="263">
        <v>0</v>
      </c>
      <c r="AR75" s="263">
        <v>66788</v>
      </c>
      <c r="AS75" s="263">
        <v>70088</v>
      </c>
      <c r="AT75" s="263">
        <v>0</v>
      </c>
      <c r="AU75" s="263">
        <v>0</v>
      </c>
      <c r="AV75" s="263">
        <v>0</v>
      </c>
      <c r="AW75" s="263">
        <v>0</v>
      </c>
      <c r="AX75" s="263">
        <v>66986</v>
      </c>
      <c r="AY75" s="263">
        <v>70235</v>
      </c>
      <c r="AZ75" s="263">
        <v>0</v>
      </c>
      <c r="BA75" s="263">
        <v>0</v>
      </c>
      <c r="BB75" s="263">
        <v>0</v>
      </c>
      <c r="BC75" s="263">
        <v>0</v>
      </c>
      <c r="BD75" s="263">
        <v>67276</v>
      </c>
      <c r="BE75" s="263">
        <v>70398</v>
      </c>
      <c r="BF75" s="263">
        <v>0</v>
      </c>
      <c r="BG75" s="263">
        <v>0</v>
      </c>
      <c r="BH75" s="263">
        <v>0</v>
      </c>
      <c r="BI75" s="263">
        <v>0</v>
      </c>
      <c r="BJ75" s="263">
        <v>67539</v>
      </c>
      <c r="BK75" s="263">
        <v>70516</v>
      </c>
      <c r="BL75" s="263">
        <v>0</v>
      </c>
      <c r="BM75" s="263">
        <v>0</v>
      </c>
      <c r="BN75" s="263">
        <v>0</v>
      </c>
      <c r="BO75" s="263">
        <v>0</v>
      </c>
      <c r="BP75" s="263">
        <v>67566</v>
      </c>
      <c r="BQ75" s="263">
        <v>70354</v>
      </c>
      <c r="BR75" s="263">
        <v>0</v>
      </c>
      <c r="BS75" s="263">
        <v>0</v>
      </c>
      <c r="BT75" s="263">
        <v>0</v>
      </c>
      <c r="BU75" s="263">
        <v>0</v>
      </c>
      <c r="BV75" s="263">
        <v>67527</v>
      </c>
      <c r="BW75" s="263">
        <v>70615</v>
      </c>
      <c r="BX75" s="263">
        <v>0</v>
      </c>
      <c r="BY75" s="263">
        <v>0</v>
      </c>
      <c r="BZ75" s="263">
        <v>0</v>
      </c>
      <c r="CA75" s="263">
        <v>0</v>
      </c>
      <c r="CB75" s="263">
        <v>68148</v>
      </c>
      <c r="CC75" s="263">
        <v>71400</v>
      </c>
      <c r="CD75" s="263">
        <v>0</v>
      </c>
      <c r="CE75" s="263">
        <v>0</v>
      </c>
      <c r="CF75" s="263">
        <v>0</v>
      </c>
      <c r="CG75" s="263">
        <v>0</v>
      </c>
      <c r="CH75" s="263">
        <v>68965</v>
      </c>
      <c r="CI75" s="263">
        <v>72089</v>
      </c>
      <c r="CJ75" s="263">
        <v>0</v>
      </c>
      <c r="CK75" s="263">
        <v>0</v>
      </c>
      <c r="CL75" s="263">
        <v>0</v>
      </c>
      <c r="CM75" s="263">
        <v>0</v>
      </c>
      <c r="CN75" s="263">
        <v>70009</v>
      </c>
      <c r="CO75" s="263">
        <v>73068</v>
      </c>
      <c r="CP75" s="263">
        <v>0</v>
      </c>
      <c r="CQ75" s="263">
        <v>0</v>
      </c>
      <c r="CR75" s="263">
        <v>0</v>
      </c>
      <c r="CS75" s="263">
        <v>0</v>
      </c>
    </row>
    <row r="76" spans="1:110" s="156" customFormat="1">
      <c r="A76" s="192" t="s">
        <v>79</v>
      </c>
      <c r="B76" s="263">
        <v>3555157</v>
      </c>
      <c r="C76" s="263">
        <v>3664062</v>
      </c>
      <c r="D76" s="263">
        <v>0</v>
      </c>
      <c r="E76" s="263">
        <v>0</v>
      </c>
      <c r="F76" s="263">
        <v>0</v>
      </c>
      <c r="G76" s="263">
        <v>0</v>
      </c>
      <c r="H76" s="263">
        <v>3568417</v>
      </c>
      <c r="I76" s="263">
        <v>3678480</v>
      </c>
      <c r="J76" s="263">
        <v>0</v>
      </c>
      <c r="K76" s="263">
        <v>0</v>
      </c>
      <c r="L76" s="263">
        <v>0</v>
      </c>
      <c r="M76" s="263">
        <v>0</v>
      </c>
      <c r="N76" s="263">
        <v>3585342</v>
      </c>
      <c r="O76" s="263">
        <v>3689269</v>
      </c>
      <c r="P76" s="263">
        <v>0</v>
      </c>
      <c r="Q76" s="263">
        <v>0</v>
      </c>
      <c r="R76" s="263">
        <v>0</v>
      </c>
      <c r="S76" s="263">
        <v>0</v>
      </c>
      <c r="T76" s="263">
        <v>3593417</v>
      </c>
      <c r="U76" s="263">
        <v>3702518</v>
      </c>
      <c r="V76" s="263">
        <v>0</v>
      </c>
      <c r="W76" s="263">
        <v>0</v>
      </c>
      <c r="X76" s="263">
        <v>0</v>
      </c>
      <c r="Y76" s="263">
        <v>0</v>
      </c>
      <c r="Z76" s="263">
        <v>3607718</v>
      </c>
      <c r="AA76" s="263">
        <v>3715532</v>
      </c>
      <c r="AB76" s="263">
        <v>0</v>
      </c>
      <c r="AC76" s="263">
        <v>0</v>
      </c>
      <c r="AD76" s="263">
        <v>0</v>
      </c>
      <c r="AE76" s="263">
        <v>0</v>
      </c>
      <c r="AF76" s="263">
        <v>3625988</v>
      </c>
      <c r="AG76" s="263">
        <v>3730963</v>
      </c>
      <c r="AH76" s="263">
        <v>0</v>
      </c>
      <c r="AI76" s="263">
        <v>0</v>
      </c>
      <c r="AJ76" s="263">
        <v>0</v>
      </c>
      <c r="AK76" s="263">
        <v>0</v>
      </c>
      <c r="AL76" s="263">
        <v>3647684</v>
      </c>
      <c r="AM76" s="263">
        <v>3748647</v>
      </c>
      <c r="AN76" s="263">
        <v>0</v>
      </c>
      <c r="AO76" s="263">
        <v>0</v>
      </c>
      <c r="AP76" s="263">
        <v>0</v>
      </c>
      <c r="AQ76" s="263">
        <v>0</v>
      </c>
      <c r="AR76" s="263">
        <v>3673018</v>
      </c>
      <c r="AS76" s="263">
        <v>3768058</v>
      </c>
      <c r="AT76" s="263">
        <v>0</v>
      </c>
      <c r="AU76" s="263">
        <v>0</v>
      </c>
      <c r="AV76" s="263">
        <v>0</v>
      </c>
      <c r="AW76" s="263">
        <v>0</v>
      </c>
      <c r="AX76" s="263">
        <v>3697982</v>
      </c>
      <c r="AY76" s="263">
        <v>3787856</v>
      </c>
      <c r="AZ76" s="263">
        <v>0</v>
      </c>
      <c r="BA76" s="263">
        <v>0</v>
      </c>
      <c r="BB76" s="263">
        <v>0</v>
      </c>
      <c r="BC76" s="263">
        <v>0</v>
      </c>
      <c r="BD76" s="263">
        <v>3725399</v>
      </c>
      <c r="BE76" s="263">
        <v>3810530</v>
      </c>
      <c r="BF76" s="263">
        <v>0</v>
      </c>
      <c r="BG76" s="263">
        <v>0</v>
      </c>
      <c r="BH76" s="263">
        <v>0</v>
      </c>
      <c r="BI76" s="263">
        <v>0</v>
      </c>
      <c r="BJ76" s="263">
        <v>3750720</v>
      </c>
      <c r="BK76" s="263">
        <v>3831191</v>
      </c>
      <c r="BL76" s="263">
        <v>0</v>
      </c>
      <c r="BM76" s="263">
        <v>0</v>
      </c>
      <c r="BN76" s="263">
        <v>0</v>
      </c>
      <c r="BO76" s="263">
        <v>0</v>
      </c>
      <c r="BP76" s="263">
        <v>3777768</v>
      </c>
      <c r="BQ76" s="263">
        <v>3853784</v>
      </c>
      <c r="BR76" s="263">
        <v>0</v>
      </c>
      <c r="BS76" s="263">
        <v>0</v>
      </c>
      <c r="BT76" s="263">
        <v>0</v>
      </c>
      <c r="BU76" s="263">
        <v>0</v>
      </c>
      <c r="BV76" s="263">
        <v>3806050</v>
      </c>
      <c r="BW76" s="263">
        <v>3881013</v>
      </c>
      <c r="BX76" s="263">
        <v>0</v>
      </c>
      <c r="BY76" s="263">
        <v>0</v>
      </c>
      <c r="BZ76" s="263">
        <v>0</v>
      </c>
      <c r="CA76" s="263">
        <v>0</v>
      </c>
      <c r="CB76" s="263">
        <v>3838242</v>
      </c>
      <c r="CC76" s="263">
        <v>3912276</v>
      </c>
      <c r="CD76" s="263">
        <v>0</v>
      </c>
      <c r="CE76" s="263">
        <v>0</v>
      </c>
      <c r="CF76" s="263">
        <v>0</v>
      </c>
      <c r="CG76" s="263">
        <v>0</v>
      </c>
      <c r="CH76" s="263">
        <v>3878591</v>
      </c>
      <c r="CI76" s="263">
        <v>3947212</v>
      </c>
      <c r="CJ76" s="263">
        <v>0</v>
      </c>
      <c r="CK76" s="263">
        <v>0</v>
      </c>
      <c r="CL76" s="263">
        <v>0</v>
      </c>
      <c r="CM76" s="263">
        <v>0</v>
      </c>
      <c r="CN76" s="263">
        <v>3920142</v>
      </c>
      <c r="CO76" s="263">
        <v>3984945</v>
      </c>
      <c r="CP76" s="263">
        <v>0</v>
      </c>
      <c r="CQ76" s="263">
        <v>0</v>
      </c>
      <c r="CR76" s="263">
        <v>0</v>
      </c>
      <c r="CS76" s="263">
        <v>0</v>
      </c>
    </row>
    <row r="77" spans="1:110">
      <c r="A77" s="190" t="s">
        <v>80</v>
      </c>
      <c r="B77" s="263">
        <v>504261</v>
      </c>
      <c r="C77" s="263">
        <v>509926</v>
      </c>
      <c r="D77" s="263">
        <v>0</v>
      </c>
      <c r="E77" s="263">
        <v>0</v>
      </c>
      <c r="F77" s="263">
        <v>0</v>
      </c>
      <c r="G77" s="263">
        <v>0</v>
      </c>
      <c r="H77" s="263">
        <v>506897</v>
      </c>
      <c r="I77" s="263">
        <v>512048</v>
      </c>
      <c r="J77" s="263">
        <v>0</v>
      </c>
      <c r="K77" s="263">
        <v>0</v>
      </c>
      <c r="L77" s="263">
        <v>0</v>
      </c>
      <c r="M77" s="263">
        <v>0</v>
      </c>
      <c r="N77" s="263">
        <v>506462</v>
      </c>
      <c r="O77" s="263">
        <v>511440</v>
      </c>
      <c r="P77" s="263">
        <v>0</v>
      </c>
      <c r="Q77" s="263">
        <v>0</v>
      </c>
      <c r="R77" s="263">
        <v>0</v>
      </c>
      <c r="S77" s="263">
        <v>0</v>
      </c>
      <c r="T77" s="263">
        <v>505978</v>
      </c>
      <c r="U77" s="263">
        <v>511354</v>
      </c>
      <c r="V77" s="263">
        <v>0</v>
      </c>
      <c r="W77" s="263">
        <v>0</v>
      </c>
      <c r="X77" s="263">
        <v>0</v>
      </c>
      <c r="Y77" s="263">
        <v>0</v>
      </c>
      <c r="Z77" s="263">
        <v>504572</v>
      </c>
      <c r="AA77" s="263">
        <v>509952</v>
      </c>
      <c r="AB77" s="263">
        <v>0</v>
      </c>
      <c r="AC77" s="263">
        <v>0</v>
      </c>
      <c r="AD77" s="263">
        <v>0</v>
      </c>
      <c r="AE77" s="263">
        <v>0</v>
      </c>
      <c r="AF77" s="263">
        <v>501007</v>
      </c>
      <c r="AG77" s="263">
        <v>506558</v>
      </c>
      <c r="AH77" s="263">
        <v>0</v>
      </c>
      <c r="AI77" s="263">
        <v>0</v>
      </c>
      <c r="AJ77" s="263">
        <v>0</v>
      </c>
      <c r="AK77" s="263">
        <v>0</v>
      </c>
      <c r="AL77" s="263">
        <v>497419</v>
      </c>
      <c r="AM77" s="263">
        <v>502802</v>
      </c>
      <c r="AN77" s="263">
        <v>0</v>
      </c>
      <c r="AO77" s="263">
        <v>0</v>
      </c>
      <c r="AP77" s="263">
        <v>0</v>
      </c>
      <c r="AQ77" s="263">
        <v>0</v>
      </c>
      <c r="AR77" s="263">
        <v>495167</v>
      </c>
      <c r="AS77" s="263">
        <v>501634</v>
      </c>
      <c r="AT77" s="263">
        <v>0</v>
      </c>
      <c r="AU77" s="263">
        <v>0</v>
      </c>
      <c r="AV77" s="263">
        <v>0</v>
      </c>
      <c r="AW77" s="263">
        <v>0</v>
      </c>
      <c r="AX77" s="263">
        <v>494715</v>
      </c>
      <c r="AY77" s="263">
        <v>501768</v>
      </c>
      <c r="AZ77" s="263">
        <v>0</v>
      </c>
      <c r="BA77" s="263">
        <v>0</v>
      </c>
      <c r="BB77" s="263">
        <v>0</v>
      </c>
      <c r="BC77" s="263">
        <v>0</v>
      </c>
      <c r="BD77" s="263">
        <v>494828</v>
      </c>
      <c r="BE77" s="263">
        <v>502619</v>
      </c>
      <c r="BF77" s="263">
        <v>0</v>
      </c>
      <c r="BG77" s="263">
        <v>0</v>
      </c>
      <c r="BH77" s="263">
        <v>0</v>
      </c>
      <c r="BI77" s="263">
        <v>0</v>
      </c>
      <c r="BJ77" s="263">
        <v>492558</v>
      </c>
      <c r="BK77" s="263">
        <v>501021</v>
      </c>
      <c r="BL77" s="263">
        <v>0</v>
      </c>
      <c r="BM77" s="263">
        <v>0</v>
      </c>
      <c r="BN77" s="263">
        <v>0</v>
      </c>
      <c r="BO77" s="263">
        <v>0</v>
      </c>
      <c r="BP77" s="263">
        <v>491397</v>
      </c>
      <c r="BQ77" s="263">
        <v>500725</v>
      </c>
      <c r="BR77" s="263">
        <v>0</v>
      </c>
      <c r="BS77" s="263">
        <v>0</v>
      </c>
      <c r="BT77" s="263">
        <v>0</v>
      </c>
      <c r="BU77" s="263">
        <v>0</v>
      </c>
      <c r="BV77" s="263">
        <v>495566</v>
      </c>
      <c r="BW77" s="263">
        <v>504605</v>
      </c>
      <c r="BX77" s="263">
        <v>0</v>
      </c>
      <c r="BY77" s="263">
        <v>0</v>
      </c>
      <c r="BZ77" s="263">
        <v>0</v>
      </c>
      <c r="CA77" s="263">
        <v>0</v>
      </c>
      <c r="CB77" s="263">
        <v>502775</v>
      </c>
      <c r="CC77" s="263">
        <v>511009</v>
      </c>
      <c r="CD77" s="263">
        <v>0</v>
      </c>
      <c r="CE77" s="263">
        <v>0</v>
      </c>
      <c r="CF77" s="263">
        <v>0</v>
      </c>
      <c r="CG77" s="263">
        <v>0</v>
      </c>
      <c r="CH77" s="263">
        <v>511530</v>
      </c>
      <c r="CI77" s="263">
        <v>517969</v>
      </c>
      <c r="CJ77" s="263">
        <v>0</v>
      </c>
      <c r="CK77" s="263">
        <v>0</v>
      </c>
      <c r="CL77" s="263">
        <v>0</v>
      </c>
      <c r="CM77" s="263">
        <v>0</v>
      </c>
      <c r="CN77" s="263">
        <v>519353</v>
      </c>
      <c r="CO77" s="263">
        <v>525010</v>
      </c>
      <c r="CP77" s="263">
        <v>0</v>
      </c>
      <c r="CQ77" s="263">
        <v>0</v>
      </c>
      <c r="CR77" s="263">
        <v>0</v>
      </c>
      <c r="CS77" s="263">
        <v>0</v>
      </c>
    </row>
    <row r="78" spans="1:110">
      <c r="A78" s="190" t="s">
        <v>81</v>
      </c>
      <c r="B78" s="263">
        <v>15685</v>
      </c>
      <c r="C78" s="263">
        <v>14757</v>
      </c>
      <c r="D78" s="263">
        <v>0</v>
      </c>
      <c r="E78" s="263">
        <v>0</v>
      </c>
      <c r="F78" s="263">
        <v>0</v>
      </c>
      <c r="G78" s="263">
        <v>0</v>
      </c>
      <c r="H78" s="263">
        <v>16290</v>
      </c>
      <c r="I78" s="263">
        <v>15097</v>
      </c>
      <c r="J78" s="263">
        <v>0</v>
      </c>
      <c r="K78" s="263">
        <v>0</v>
      </c>
      <c r="L78" s="263">
        <v>0</v>
      </c>
      <c r="M78" s="263">
        <v>0</v>
      </c>
      <c r="N78" s="263">
        <v>16481</v>
      </c>
      <c r="O78" s="263">
        <v>15316</v>
      </c>
      <c r="P78" s="263">
        <v>0</v>
      </c>
      <c r="Q78" s="263">
        <v>0</v>
      </c>
      <c r="R78" s="263">
        <v>0</v>
      </c>
      <c r="S78" s="263">
        <v>0</v>
      </c>
      <c r="T78" s="263">
        <v>16104</v>
      </c>
      <c r="U78" s="263">
        <v>15045</v>
      </c>
      <c r="V78" s="263">
        <v>0</v>
      </c>
      <c r="W78" s="263">
        <v>0</v>
      </c>
      <c r="X78" s="263">
        <v>0</v>
      </c>
      <c r="Y78" s="263">
        <v>0</v>
      </c>
      <c r="Z78" s="263">
        <v>15813</v>
      </c>
      <c r="AA78" s="263">
        <v>14972</v>
      </c>
      <c r="AB78" s="263">
        <v>0</v>
      </c>
      <c r="AC78" s="263">
        <v>0</v>
      </c>
      <c r="AD78" s="263">
        <v>0</v>
      </c>
      <c r="AE78" s="263">
        <v>0</v>
      </c>
      <c r="AF78" s="263">
        <v>15577</v>
      </c>
      <c r="AG78" s="263">
        <v>14854</v>
      </c>
      <c r="AH78" s="263">
        <v>0</v>
      </c>
      <c r="AI78" s="263">
        <v>0</v>
      </c>
      <c r="AJ78" s="263">
        <v>0</v>
      </c>
      <c r="AK78" s="263">
        <v>0</v>
      </c>
      <c r="AL78" s="263">
        <v>15342</v>
      </c>
      <c r="AM78" s="263">
        <v>14814</v>
      </c>
      <c r="AN78" s="263">
        <v>0</v>
      </c>
      <c r="AO78" s="263">
        <v>0</v>
      </c>
      <c r="AP78" s="263">
        <v>0</v>
      </c>
      <c r="AQ78" s="263">
        <v>0</v>
      </c>
      <c r="AR78" s="263">
        <v>15452</v>
      </c>
      <c r="AS78" s="263">
        <v>14906</v>
      </c>
      <c r="AT78" s="263">
        <v>0</v>
      </c>
      <c r="AU78" s="263">
        <v>0</v>
      </c>
      <c r="AV78" s="263">
        <v>0</v>
      </c>
      <c r="AW78" s="263">
        <v>0</v>
      </c>
      <c r="AX78" s="263">
        <v>15760</v>
      </c>
      <c r="AY78" s="263">
        <v>15203</v>
      </c>
      <c r="AZ78" s="263">
        <v>0</v>
      </c>
      <c r="BA78" s="263">
        <v>0</v>
      </c>
      <c r="BB78" s="263">
        <v>0</v>
      </c>
      <c r="BC78" s="263">
        <v>0</v>
      </c>
      <c r="BD78" s="263">
        <v>16047</v>
      </c>
      <c r="BE78" s="263">
        <v>15426</v>
      </c>
      <c r="BF78" s="263">
        <v>0</v>
      </c>
      <c r="BG78" s="263">
        <v>0</v>
      </c>
      <c r="BH78" s="263">
        <v>0</v>
      </c>
      <c r="BI78" s="263">
        <v>0</v>
      </c>
      <c r="BJ78" s="263">
        <v>16277</v>
      </c>
      <c r="BK78" s="263">
        <v>15627</v>
      </c>
      <c r="BL78" s="263">
        <v>0</v>
      </c>
      <c r="BM78" s="263">
        <v>0</v>
      </c>
      <c r="BN78" s="263">
        <v>0</v>
      </c>
      <c r="BO78" s="263">
        <v>0</v>
      </c>
      <c r="BP78" s="263">
        <v>16513</v>
      </c>
      <c r="BQ78" s="263">
        <v>15763</v>
      </c>
      <c r="BR78" s="263">
        <v>0</v>
      </c>
      <c r="BS78" s="263">
        <v>0</v>
      </c>
      <c r="BT78" s="263">
        <v>0</v>
      </c>
      <c r="BU78" s="263">
        <v>0</v>
      </c>
      <c r="BV78" s="263">
        <v>16615</v>
      </c>
      <c r="BW78" s="263">
        <v>15946</v>
      </c>
      <c r="BX78" s="263">
        <v>0</v>
      </c>
      <c r="BY78" s="263">
        <v>0</v>
      </c>
      <c r="BZ78" s="263">
        <v>0</v>
      </c>
      <c r="CA78" s="263">
        <v>0</v>
      </c>
      <c r="CB78" s="263">
        <v>16928</v>
      </c>
      <c r="CC78" s="263">
        <v>16172</v>
      </c>
      <c r="CD78" s="263">
        <v>0</v>
      </c>
      <c r="CE78" s="263">
        <v>0</v>
      </c>
      <c r="CF78" s="263">
        <v>0</v>
      </c>
      <c r="CG78" s="263">
        <v>0</v>
      </c>
      <c r="CH78" s="263">
        <v>17212</v>
      </c>
      <c r="CI78" s="263">
        <v>16535</v>
      </c>
      <c r="CJ78" s="263">
        <v>0</v>
      </c>
      <c r="CK78" s="263">
        <v>0</v>
      </c>
      <c r="CL78" s="263">
        <v>0</v>
      </c>
      <c r="CM78" s="263">
        <v>0</v>
      </c>
      <c r="CN78" s="263">
        <v>17627</v>
      </c>
      <c r="CO78" s="263">
        <v>17005</v>
      </c>
      <c r="CP78" s="263">
        <v>0</v>
      </c>
      <c r="CQ78" s="263">
        <v>0</v>
      </c>
      <c r="CR78" s="263">
        <v>0</v>
      </c>
      <c r="CS78" s="263">
        <v>0</v>
      </c>
    </row>
    <row r="79" spans="1:110">
      <c r="A79" s="207"/>
      <c r="B79" s="190"/>
      <c r="C79" s="190"/>
      <c r="D79" s="190"/>
      <c r="E79" s="190"/>
      <c r="F79" s="190"/>
      <c r="G79" s="190"/>
      <c r="H79" s="190"/>
      <c r="I79" s="190"/>
      <c r="J79" s="190"/>
      <c r="K79" s="190"/>
      <c r="L79" s="190"/>
      <c r="M79" s="190"/>
      <c r="N79" s="190"/>
      <c r="O79" s="190"/>
      <c r="P79" s="190"/>
      <c r="Q79" s="190"/>
      <c r="R79" s="190"/>
      <c r="S79" s="190"/>
      <c r="T79" s="190"/>
      <c r="U79" s="190"/>
      <c r="V79" s="190"/>
      <c r="W79" s="190"/>
      <c r="X79" s="190"/>
      <c r="Y79" s="190"/>
      <c r="Z79" s="190"/>
      <c r="AA79" s="190"/>
      <c r="AB79" s="190"/>
      <c r="AC79" s="190"/>
      <c r="AD79" s="190"/>
      <c r="AE79" s="190"/>
      <c r="AF79" s="191"/>
      <c r="AG79" s="191"/>
      <c r="AH79" s="208"/>
      <c r="AI79" s="112"/>
      <c r="AJ79" s="112"/>
      <c r="AK79" s="112"/>
    </row>
    <row r="80" spans="1:110">
      <c r="A80" s="207"/>
      <c r="B80" s="190"/>
      <c r="C80" s="190"/>
      <c r="D80" s="190"/>
      <c r="E80" s="190"/>
      <c r="F80" s="190"/>
      <c r="G80" s="190"/>
      <c r="H80" s="190"/>
      <c r="I80" s="190"/>
      <c r="J80" s="190"/>
      <c r="K80" s="190"/>
      <c r="L80" s="190"/>
      <c r="M80" s="190"/>
      <c r="N80" s="190"/>
      <c r="O80" s="190"/>
      <c r="P80" s="190"/>
      <c r="Q80" s="190"/>
      <c r="R80" s="190"/>
      <c r="S80" s="190"/>
      <c r="T80" s="190"/>
      <c r="U80" s="190"/>
      <c r="V80" s="190"/>
      <c r="W80" s="190"/>
      <c r="X80" s="190"/>
      <c r="Y80" s="190"/>
      <c r="Z80" s="190"/>
      <c r="AA80" s="190"/>
      <c r="AB80" s="190"/>
      <c r="AC80" s="190"/>
      <c r="AD80" s="190"/>
      <c r="AE80" s="190"/>
      <c r="AF80" s="190"/>
      <c r="AG80" s="190"/>
      <c r="AH80" s="190"/>
      <c r="BL80" s="113"/>
      <c r="BM80" s="113"/>
      <c r="BN80" s="112"/>
      <c r="BO80" s="112"/>
      <c r="BR80" s="113"/>
      <c r="BS80" s="113"/>
      <c r="BT80" s="112"/>
      <c r="BU80" s="112"/>
    </row>
    <row r="81" spans="1:110">
      <c r="A81" s="190"/>
      <c r="B81" s="190"/>
      <c r="C81" s="190"/>
      <c r="D81" s="190"/>
      <c r="E81" s="190"/>
      <c r="F81" s="190"/>
      <c r="G81" s="190"/>
      <c r="H81" s="190"/>
      <c r="I81" s="190"/>
      <c r="J81" s="190"/>
      <c r="K81" s="190"/>
      <c r="L81" s="190"/>
      <c r="M81" s="190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190"/>
      <c r="Y81" s="190"/>
      <c r="Z81" s="190"/>
      <c r="AA81" s="190"/>
      <c r="AB81" s="190"/>
      <c r="AC81" s="190"/>
      <c r="AD81" s="190"/>
      <c r="AE81" s="190"/>
      <c r="AF81" s="190"/>
      <c r="AG81" s="190"/>
      <c r="AH81" s="190"/>
      <c r="DA81" s="113"/>
      <c r="DB81" s="113"/>
      <c r="DC81" s="112"/>
      <c r="DD81" s="112"/>
      <c r="DE81" s="112"/>
      <c r="DF81" s="112"/>
    </row>
    <row r="82" spans="1:110">
      <c r="A82" s="190"/>
      <c r="B82" s="190"/>
      <c r="C82" s="190"/>
      <c r="D82" s="190"/>
      <c r="E82" s="190"/>
      <c r="F82" s="190"/>
      <c r="G82" s="190"/>
      <c r="H82" s="190"/>
      <c r="I82" s="190"/>
      <c r="J82" s="190"/>
      <c r="K82" s="190"/>
      <c r="L82" s="190"/>
      <c r="M82" s="190"/>
      <c r="N82" s="190"/>
      <c r="O82" s="190"/>
      <c r="P82" s="190"/>
      <c r="Q82" s="190"/>
      <c r="R82" s="190"/>
      <c r="S82" s="190"/>
      <c r="T82" s="190"/>
      <c r="U82" s="190"/>
      <c r="V82" s="190"/>
      <c r="W82" s="190"/>
      <c r="X82" s="190"/>
      <c r="Y82" s="190"/>
      <c r="Z82" s="190"/>
      <c r="AA82" s="190"/>
      <c r="AB82" s="190"/>
      <c r="AC82" s="190"/>
      <c r="AD82" s="190"/>
      <c r="AE82" s="190"/>
      <c r="AF82" s="190"/>
      <c r="AG82" s="190"/>
      <c r="AH82" s="190"/>
      <c r="DA82" s="113"/>
      <c r="DB82" s="113"/>
      <c r="DC82" s="112"/>
      <c r="DD82" s="112"/>
      <c r="DE82" s="112"/>
      <c r="DF82" s="112"/>
    </row>
    <row r="83" spans="1:110">
      <c r="A83" s="207"/>
      <c r="B83" s="190"/>
      <c r="C83" s="190"/>
      <c r="D83" s="190"/>
      <c r="E83" s="190"/>
      <c r="F83" s="190"/>
      <c r="G83" s="190"/>
      <c r="H83" s="190"/>
      <c r="I83" s="190"/>
      <c r="J83" s="190"/>
      <c r="K83" s="190"/>
      <c r="L83" s="190"/>
      <c r="M83" s="190"/>
      <c r="N83" s="190"/>
      <c r="O83" s="190"/>
      <c r="P83" s="190"/>
      <c r="Q83" s="190"/>
      <c r="R83" s="190"/>
      <c r="S83" s="190"/>
      <c r="T83" s="190"/>
      <c r="U83" s="190"/>
      <c r="V83" s="190"/>
      <c r="W83" s="190"/>
      <c r="X83" s="190"/>
      <c r="Y83" s="190"/>
      <c r="Z83" s="190"/>
      <c r="AA83" s="190"/>
      <c r="AB83" s="190"/>
      <c r="AC83" s="190"/>
      <c r="AD83" s="190"/>
      <c r="AE83" s="190"/>
      <c r="AF83" s="190"/>
      <c r="AG83" s="190"/>
      <c r="AH83" s="190"/>
    </row>
    <row r="84" spans="1:110">
      <c r="A84" s="207"/>
      <c r="B84" s="190"/>
      <c r="C84" s="190"/>
      <c r="D84" s="190"/>
      <c r="E84" s="190"/>
      <c r="F84" s="190"/>
      <c r="G84" s="190"/>
      <c r="H84" s="190"/>
      <c r="I84" s="190"/>
      <c r="J84" s="190"/>
      <c r="K84" s="190"/>
      <c r="L84" s="190"/>
      <c r="M84" s="190"/>
      <c r="N84" s="190"/>
      <c r="O84" s="190"/>
      <c r="P84" s="190"/>
      <c r="Q84" s="190"/>
      <c r="R84" s="190"/>
      <c r="S84" s="190"/>
      <c r="T84" s="190"/>
      <c r="U84" s="190"/>
      <c r="V84" s="190"/>
      <c r="W84" s="190"/>
      <c r="X84" s="190"/>
      <c r="Y84" s="190"/>
      <c r="Z84" s="190"/>
      <c r="AA84" s="190"/>
      <c r="AB84" s="190"/>
      <c r="AC84" s="190"/>
      <c r="AD84" s="190"/>
      <c r="AE84" s="190"/>
      <c r="AF84" s="190"/>
      <c r="AG84" s="190"/>
      <c r="AH84" s="190"/>
    </row>
    <row r="85" spans="1:110">
      <c r="A85" s="207"/>
      <c r="B85" s="190"/>
      <c r="C85" s="190"/>
      <c r="D85" s="190"/>
      <c r="E85" s="190"/>
      <c r="F85" s="190"/>
      <c r="G85" s="190"/>
      <c r="H85" s="190"/>
      <c r="I85" s="190"/>
      <c r="J85" s="190"/>
      <c r="K85" s="190"/>
      <c r="L85" s="190"/>
      <c r="M85" s="190"/>
      <c r="N85" s="190"/>
      <c r="O85" s="190"/>
      <c r="P85" s="190"/>
      <c r="Q85" s="190"/>
      <c r="R85" s="190"/>
      <c r="S85" s="190"/>
      <c r="T85" s="190"/>
      <c r="U85" s="190"/>
      <c r="V85" s="190"/>
      <c r="W85" s="190"/>
      <c r="X85" s="190"/>
      <c r="Y85" s="190"/>
      <c r="Z85" s="190"/>
      <c r="AA85" s="190"/>
      <c r="AB85" s="190"/>
      <c r="AC85" s="190"/>
      <c r="AD85" s="190"/>
      <c r="AE85" s="190"/>
      <c r="AF85" s="190"/>
      <c r="AG85" s="190"/>
      <c r="AH85" s="190"/>
    </row>
    <row r="86" spans="1:110">
      <c r="A86" s="207"/>
      <c r="B86" s="190"/>
      <c r="C86" s="190"/>
      <c r="D86" s="190"/>
      <c r="E86" s="190"/>
      <c r="F86" s="190"/>
      <c r="G86" s="190"/>
      <c r="H86" s="190"/>
      <c r="I86" s="190"/>
      <c r="J86" s="190"/>
      <c r="K86" s="190"/>
      <c r="L86" s="190"/>
      <c r="M86" s="190"/>
      <c r="N86" s="190"/>
      <c r="O86" s="190"/>
      <c r="P86" s="190"/>
      <c r="Q86" s="190"/>
      <c r="R86" s="190"/>
      <c r="S86" s="190"/>
      <c r="T86" s="190"/>
      <c r="U86" s="190"/>
      <c r="V86" s="190"/>
      <c r="W86" s="190"/>
      <c r="X86" s="190"/>
      <c r="Y86" s="190"/>
      <c r="Z86" s="190"/>
      <c r="AA86" s="190"/>
      <c r="AB86" s="190"/>
      <c r="AC86" s="190"/>
      <c r="AD86" s="190"/>
      <c r="AE86" s="190"/>
      <c r="AF86" s="190"/>
      <c r="AG86" s="190"/>
      <c r="AH86" s="190"/>
    </row>
    <row r="87" spans="1:110">
      <c r="A87" s="207"/>
      <c r="B87" s="190"/>
      <c r="C87" s="190"/>
      <c r="D87" s="190"/>
      <c r="E87" s="190"/>
      <c r="F87" s="190"/>
      <c r="G87" s="190"/>
      <c r="H87" s="190"/>
      <c r="I87" s="190"/>
      <c r="J87" s="190"/>
      <c r="K87" s="190"/>
      <c r="L87" s="190"/>
      <c r="M87" s="190"/>
      <c r="N87" s="190"/>
      <c r="O87" s="190"/>
      <c r="P87" s="190"/>
      <c r="Q87" s="190"/>
      <c r="R87" s="190"/>
      <c r="S87" s="190"/>
      <c r="T87" s="190"/>
      <c r="U87" s="190"/>
      <c r="V87" s="190"/>
      <c r="W87" s="190"/>
      <c r="X87" s="190"/>
      <c r="Y87" s="190"/>
      <c r="Z87" s="190"/>
      <c r="AA87" s="190"/>
      <c r="AB87" s="190"/>
      <c r="AC87" s="190"/>
      <c r="AD87" s="190"/>
      <c r="AE87" s="190"/>
      <c r="AF87" s="190"/>
      <c r="AG87" s="190"/>
      <c r="AH87" s="190"/>
    </row>
    <row r="88" spans="1:110">
      <c r="A88" s="207"/>
      <c r="B88" s="190"/>
      <c r="C88" s="190"/>
      <c r="D88" s="190"/>
      <c r="E88" s="190"/>
      <c r="F88" s="190"/>
      <c r="G88" s="190"/>
      <c r="H88" s="190"/>
      <c r="I88" s="190"/>
      <c r="J88" s="190"/>
      <c r="K88" s="190"/>
      <c r="L88" s="190"/>
      <c r="M88" s="190"/>
      <c r="N88" s="190"/>
      <c r="O88" s="190"/>
      <c r="P88" s="190"/>
      <c r="Q88" s="190"/>
      <c r="R88" s="190"/>
      <c r="S88" s="190"/>
      <c r="T88" s="190"/>
      <c r="U88" s="190"/>
      <c r="V88" s="190"/>
      <c r="W88" s="190"/>
      <c r="X88" s="190"/>
      <c r="Y88" s="190"/>
      <c r="Z88" s="190"/>
      <c r="AA88" s="190"/>
      <c r="AB88" s="190"/>
      <c r="AC88" s="190"/>
      <c r="AD88" s="190"/>
      <c r="AE88" s="190"/>
      <c r="AF88" s="190"/>
      <c r="AG88" s="190"/>
      <c r="AH88" s="190"/>
    </row>
    <row r="89" spans="1:110">
      <c r="A89" s="207"/>
      <c r="B89" s="192"/>
      <c r="C89" s="192"/>
      <c r="D89" s="192"/>
      <c r="E89" s="192"/>
      <c r="F89" s="192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2"/>
      <c r="V89" s="192"/>
      <c r="W89" s="192"/>
      <c r="X89" s="192"/>
      <c r="Y89" s="192"/>
      <c r="Z89" s="192"/>
      <c r="AA89" s="192"/>
      <c r="AB89" s="192"/>
      <c r="AC89" s="192"/>
      <c r="AD89" s="192"/>
      <c r="AE89" s="192"/>
      <c r="AF89" s="192"/>
      <c r="AG89" s="192"/>
      <c r="AH89" s="192"/>
      <c r="AI89" s="156"/>
      <c r="AJ89" s="156"/>
      <c r="AK89" s="156"/>
      <c r="AL89" s="156"/>
      <c r="AM89" s="156"/>
      <c r="AN89" s="156"/>
      <c r="AO89" s="156"/>
      <c r="AP89" s="156"/>
      <c r="AQ89" s="156"/>
      <c r="AR89" s="156"/>
      <c r="AS89" s="156"/>
      <c r="AT89" s="156"/>
      <c r="AU89" s="156"/>
      <c r="AV89" s="156"/>
      <c r="AW89" s="156"/>
      <c r="AX89" s="156"/>
      <c r="AY89" s="156"/>
      <c r="AZ89" s="156"/>
      <c r="BA89" s="156"/>
      <c r="BB89" s="156"/>
      <c r="BC89" s="156"/>
      <c r="BD89" s="156"/>
      <c r="BE89" s="156"/>
      <c r="BF89" s="156"/>
      <c r="BG89" s="156"/>
      <c r="BH89" s="156"/>
      <c r="BI89" s="156"/>
    </row>
    <row r="90" spans="1:110">
      <c r="A90" s="207"/>
      <c r="B90" s="192"/>
      <c r="C90" s="192"/>
      <c r="D90" s="192"/>
      <c r="E90" s="192"/>
      <c r="F90" s="192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2"/>
      <c r="V90" s="192"/>
      <c r="W90" s="192"/>
      <c r="X90" s="192"/>
      <c r="Y90" s="192"/>
      <c r="Z90" s="192"/>
      <c r="AA90" s="192"/>
      <c r="AB90" s="192"/>
      <c r="AC90" s="192"/>
      <c r="AD90" s="192"/>
      <c r="AE90" s="192"/>
      <c r="AF90" s="192"/>
      <c r="AG90" s="192"/>
      <c r="AH90" s="192"/>
      <c r="AI90" s="156"/>
      <c r="AJ90" s="156"/>
      <c r="AK90" s="156"/>
      <c r="AL90" s="156"/>
      <c r="AM90" s="156"/>
      <c r="AN90" s="156"/>
      <c r="AO90" s="156"/>
      <c r="AP90" s="156"/>
      <c r="AQ90" s="156"/>
      <c r="AR90" s="156"/>
      <c r="AS90" s="156"/>
      <c r="AT90" s="156"/>
      <c r="AU90" s="156"/>
      <c r="AV90" s="156"/>
      <c r="AW90" s="156"/>
      <c r="AX90" s="156"/>
      <c r="AY90" s="156"/>
      <c r="AZ90" s="156"/>
      <c r="BA90" s="156"/>
      <c r="BB90" s="156"/>
      <c r="BC90" s="156"/>
      <c r="BD90" s="156"/>
      <c r="BE90" s="156"/>
      <c r="BF90" s="156"/>
      <c r="BG90" s="156"/>
      <c r="BH90" s="156"/>
      <c r="BI90" s="156"/>
    </row>
    <row r="91" spans="1:110">
      <c r="A91" s="207"/>
      <c r="B91" s="192"/>
      <c r="C91" s="192"/>
      <c r="D91" s="192"/>
      <c r="E91" s="192"/>
      <c r="F91" s="192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2"/>
      <c r="V91" s="192"/>
      <c r="W91" s="192"/>
      <c r="X91" s="192"/>
      <c r="Y91" s="192"/>
      <c r="Z91" s="192"/>
      <c r="AA91" s="192"/>
      <c r="AB91" s="192"/>
      <c r="AC91" s="192"/>
      <c r="AD91" s="192"/>
      <c r="AE91" s="192"/>
      <c r="AF91" s="192"/>
      <c r="AG91" s="192"/>
      <c r="AH91" s="192"/>
      <c r="AI91" s="156"/>
      <c r="AJ91" s="156"/>
      <c r="AK91" s="156"/>
      <c r="AL91" s="156"/>
      <c r="AM91" s="156"/>
      <c r="AN91" s="156"/>
      <c r="AO91" s="156"/>
      <c r="AP91" s="156"/>
      <c r="AQ91" s="156"/>
      <c r="AR91" s="156"/>
      <c r="AS91" s="156"/>
      <c r="AT91" s="156"/>
      <c r="AU91" s="156"/>
      <c r="AV91" s="156"/>
      <c r="AW91" s="156"/>
      <c r="AX91" s="156"/>
      <c r="AY91" s="156"/>
      <c r="AZ91" s="156"/>
      <c r="BA91" s="156"/>
      <c r="BB91" s="156"/>
      <c r="BC91" s="156"/>
      <c r="BD91" s="156"/>
      <c r="BE91" s="156"/>
      <c r="BF91" s="156"/>
      <c r="BG91" s="156"/>
      <c r="BH91" s="156"/>
      <c r="BI91" s="156"/>
    </row>
    <row r="92" spans="1:110">
      <c r="A92" s="207"/>
      <c r="B92" s="192"/>
      <c r="C92" s="192"/>
      <c r="D92" s="192"/>
      <c r="E92" s="192"/>
      <c r="F92" s="192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2"/>
      <c r="V92" s="192"/>
      <c r="W92" s="192"/>
      <c r="X92" s="192"/>
      <c r="Y92" s="192"/>
      <c r="Z92" s="192"/>
      <c r="AA92" s="192"/>
      <c r="AB92" s="192"/>
      <c r="AC92" s="192"/>
      <c r="AD92" s="192"/>
      <c r="AE92" s="192"/>
      <c r="AF92" s="192"/>
      <c r="AG92" s="192"/>
      <c r="AH92" s="192"/>
      <c r="AI92" s="156"/>
      <c r="AJ92" s="156"/>
      <c r="AK92" s="156"/>
      <c r="AL92" s="156"/>
      <c r="AM92" s="156"/>
      <c r="AN92" s="156"/>
      <c r="AO92" s="156"/>
      <c r="AP92" s="156"/>
      <c r="AQ92" s="156"/>
      <c r="AR92" s="156"/>
      <c r="AS92" s="156"/>
      <c r="AT92" s="156"/>
      <c r="AU92" s="156"/>
      <c r="AV92" s="156"/>
      <c r="AW92" s="156"/>
      <c r="AX92" s="156"/>
      <c r="AY92" s="156"/>
      <c r="AZ92" s="156"/>
      <c r="BA92" s="156"/>
      <c r="BB92" s="156"/>
      <c r="BC92" s="156"/>
      <c r="BD92" s="156"/>
      <c r="BE92" s="156"/>
      <c r="BF92" s="156"/>
      <c r="BG92" s="156"/>
      <c r="BH92" s="156"/>
      <c r="BI92" s="156"/>
    </row>
    <row r="93" spans="1:110">
      <c r="A93" s="207"/>
      <c r="B93" s="192"/>
      <c r="C93" s="192"/>
      <c r="D93" s="192"/>
      <c r="E93" s="192"/>
      <c r="F93" s="192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2"/>
      <c r="V93" s="192"/>
      <c r="W93" s="192"/>
      <c r="X93" s="192"/>
      <c r="Y93" s="192"/>
      <c r="Z93" s="192"/>
      <c r="AA93" s="192"/>
      <c r="AB93" s="192"/>
      <c r="AC93" s="192"/>
      <c r="AD93" s="192"/>
      <c r="AE93" s="192"/>
      <c r="AF93" s="192"/>
      <c r="AG93" s="192"/>
      <c r="AH93" s="192"/>
      <c r="AI93" s="156"/>
      <c r="AJ93" s="156"/>
      <c r="AK93" s="156"/>
      <c r="AL93" s="156"/>
      <c r="AM93" s="156"/>
      <c r="AN93" s="156"/>
      <c r="AO93" s="156"/>
      <c r="AP93" s="156"/>
      <c r="AQ93" s="156"/>
      <c r="AR93" s="156"/>
      <c r="AS93" s="156"/>
      <c r="AT93" s="156"/>
      <c r="AU93" s="156"/>
      <c r="AV93" s="156"/>
      <c r="AW93" s="156"/>
      <c r="AX93" s="156"/>
      <c r="AY93" s="156"/>
      <c r="AZ93" s="156"/>
      <c r="BA93" s="156"/>
      <c r="BB93" s="156"/>
      <c r="BC93" s="156"/>
      <c r="BD93" s="156"/>
      <c r="BE93" s="156"/>
      <c r="BF93" s="156"/>
      <c r="BG93" s="156"/>
      <c r="BH93" s="156"/>
      <c r="BI93" s="156"/>
    </row>
    <row r="94" spans="1:110">
      <c r="A94" s="207"/>
      <c r="B94" s="192"/>
      <c r="C94" s="192"/>
      <c r="D94" s="192"/>
      <c r="E94" s="192"/>
      <c r="F94" s="192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2"/>
      <c r="V94" s="192"/>
      <c r="W94" s="192"/>
      <c r="X94" s="192"/>
      <c r="Y94" s="192"/>
      <c r="Z94" s="192"/>
      <c r="AA94" s="192"/>
      <c r="AB94" s="192"/>
      <c r="AC94" s="192"/>
      <c r="AD94" s="192"/>
      <c r="AE94" s="192"/>
      <c r="AF94" s="192"/>
      <c r="AG94" s="192"/>
      <c r="AH94" s="192"/>
      <c r="AI94" s="156"/>
      <c r="AJ94" s="156"/>
      <c r="AK94" s="156"/>
      <c r="AL94" s="156"/>
      <c r="AM94" s="156"/>
      <c r="AN94" s="156"/>
      <c r="AO94" s="156"/>
      <c r="AP94" s="156"/>
      <c r="AQ94" s="156"/>
      <c r="AR94" s="156"/>
      <c r="AS94" s="156"/>
      <c r="AT94" s="156"/>
      <c r="AU94" s="156"/>
      <c r="AV94" s="156"/>
      <c r="AW94" s="156"/>
      <c r="AX94" s="156"/>
      <c r="AY94" s="156"/>
      <c r="AZ94" s="156"/>
      <c r="BA94" s="156"/>
      <c r="BB94" s="156"/>
      <c r="BC94" s="156"/>
      <c r="BD94" s="156"/>
      <c r="BE94" s="156"/>
      <c r="BF94" s="156"/>
      <c r="BG94" s="156"/>
      <c r="BH94" s="156"/>
      <c r="BI94" s="156"/>
    </row>
    <row r="95" spans="1:110">
      <c r="A95" s="207"/>
      <c r="B95" s="192"/>
      <c r="C95" s="192"/>
      <c r="D95" s="192"/>
      <c r="E95" s="192"/>
      <c r="F95" s="192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2"/>
      <c r="V95" s="192"/>
      <c r="W95" s="192"/>
      <c r="X95" s="192"/>
      <c r="Y95" s="192"/>
      <c r="Z95" s="192"/>
      <c r="AA95" s="192"/>
      <c r="AB95" s="192"/>
      <c r="AC95" s="192"/>
      <c r="AD95" s="192"/>
      <c r="AE95" s="192"/>
      <c r="AF95" s="192"/>
      <c r="AG95" s="192"/>
      <c r="AH95" s="192"/>
      <c r="AI95" s="156"/>
      <c r="AJ95" s="156"/>
      <c r="AK95" s="156"/>
      <c r="AL95" s="156"/>
      <c r="AM95" s="156"/>
      <c r="AN95" s="156"/>
      <c r="AO95" s="156"/>
      <c r="AP95" s="156"/>
      <c r="AQ95" s="156"/>
      <c r="AR95" s="156"/>
      <c r="AS95" s="156"/>
      <c r="AT95" s="156"/>
      <c r="AU95" s="156"/>
      <c r="AV95" s="156"/>
      <c r="AW95" s="156"/>
      <c r="AX95" s="156"/>
      <c r="AY95" s="156"/>
      <c r="AZ95" s="156"/>
      <c r="BA95" s="156"/>
      <c r="BB95" s="156"/>
      <c r="BC95" s="156"/>
      <c r="BD95" s="156"/>
      <c r="BE95" s="156"/>
      <c r="BF95" s="156"/>
      <c r="BG95" s="156"/>
      <c r="BH95" s="156"/>
      <c r="BI95" s="156"/>
    </row>
    <row r="96" spans="1:110">
      <c r="A96" s="207"/>
      <c r="B96" s="192"/>
      <c r="C96" s="192"/>
      <c r="D96" s="192"/>
      <c r="E96" s="192"/>
      <c r="F96" s="192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2"/>
      <c r="V96" s="192"/>
      <c r="W96" s="192"/>
      <c r="X96" s="192"/>
      <c r="Y96" s="192"/>
      <c r="Z96" s="192"/>
      <c r="AA96" s="192"/>
      <c r="AB96" s="192"/>
      <c r="AC96" s="192"/>
      <c r="AD96" s="192"/>
      <c r="AE96" s="192"/>
      <c r="AF96" s="192"/>
      <c r="AG96" s="192"/>
      <c r="AH96" s="192"/>
      <c r="AI96" s="156"/>
      <c r="AJ96" s="156"/>
      <c r="AK96" s="156"/>
      <c r="AL96" s="156"/>
      <c r="AM96" s="156"/>
      <c r="AN96" s="156"/>
      <c r="AO96" s="156"/>
      <c r="AP96" s="156"/>
      <c r="AQ96" s="156"/>
      <c r="AR96" s="156"/>
      <c r="AS96" s="156"/>
      <c r="AT96" s="156"/>
      <c r="AU96" s="156"/>
      <c r="AV96" s="156"/>
      <c r="AW96" s="156"/>
      <c r="AX96" s="156"/>
      <c r="AY96" s="156"/>
      <c r="AZ96" s="156"/>
      <c r="BA96" s="156"/>
      <c r="BB96" s="156"/>
      <c r="BC96" s="156"/>
      <c r="BD96" s="156"/>
      <c r="BE96" s="156"/>
      <c r="BF96" s="156"/>
      <c r="BG96" s="156"/>
      <c r="BH96" s="156"/>
      <c r="BI96" s="156"/>
    </row>
    <row r="97" spans="1:61">
      <c r="A97" s="207"/>
      <c r="B97" s="192"/>
      <c r="C97" s="192"/>
      <c r="D97" s="192"/>
      <c r="E97" s="192"/>
      <c r="F97" s="192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2"/>
      <c r="V97" s="192"/>
      <c r="W97" s="192"/>
      <c r="X97" s="192"/>
      <c r="Y97" s="192"/>
      <c r="Z97" s="192"/>
      <c r="AA97" s="192"/>
      <c r="AB97" s="192"/>
      <c r="AC97" s="192"/>
      <c r="AD97" s="192"/>
      <c r="AE97" s="192"/>
      <c r="AF97" s="192"/>
      <c r="AG97" s="192"/>
      <c r="AH97" s="192"/>
      <c r="AI97" s="156"/>
      <c r="AJ97" s="156"/>
      <c r="AK97" s="156"/>
      <c r="AL97" s="156"/>
      <c r="AM97" s="156"/>
      <c r="AN97" s="156"/>
      <c r="AO97" s="156"/>
      <c r="AP97" s="156"/>
      <c r="AQ97" s="156"/>
      <c r="AR97" s="156"/>
      <c r="AS97" s="156"/>
      <c r="AT97" s="156"/>
      <c r="AU97" s="156"/>
      <c r="AV97" s="156"/>
      <c r="AW97" s="156"/>
      <c r="AX97" s="156"/>
      <c r="AY97" s="156"/>
      <c r="AZ97" s="156"/>
      <c r="BA97" s="156"/>
      <c r="BB97" s="156"/>
      <c r="BC97" s="156"/>
      <c r="BD97" s="156"/>
      <c r="BE97" s="156"/>
      <c r="BF97" s="156"/>
      <c r="BG97" s="156"/>
      <c r="BH97" s="156"/>
      <c r="BI97" s="156"/>
    </row>
    <row r="98" spans="1:61">
      <c r="A98" s="207"/>
      <c r="B98" s="192"/>
      <c r="C98" s="192"/>
      <c r="D98" s="192"/>
      <c r="E98" s="192"/>
      <c r="F98" s="192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2"/>
      <c r="V98" s="192"/>
      <c r="W98" s="192"/>
      <c r="X98" s="192"/>
      <c r="Y98" s="192"/>
      <c r="Z98" s="192"/>
      <c r="AA98" s="192"/>
      <c r="AB98" s="192"/>
      <c r="AC98" s="192"/>
      <c r="AD98" s="192"/>
      <c r="AE98" s="192"/>
      <c r="AF98" s="192"/>
      <c r="AG98" s="192"/>
      <c r="AH98" s="192"/>
      <c r="AI98" s="156"/>
      <c r="AJ98" s="156"/>
      <c r="AK98" s="156"/>
      <c r="AL98" s="156"/>
      <c r="AM98" s="156"/>
      <c r="AN98" s="156"/>
      <c r="AO98" s="156"/>
      <c r="AP98" s="156"/>
      <c r="AQ98" s="156"/>
      <c r="AR98" s="156"/>
      <c r="AS98" s="156"/>
      <c r="AT98" s="156"/>
      <c r="AU98" s="156"/>
      <c r="AV98" s="156"/>
      <c r="AW98" s="156"/>
      <c r="AX98" s="156"/>
      <c r="AY98" s="156"/>
      <c r="AZ98" s="156"/>
      <c r="BA98" s="156"/>
      <c r="BB98" s="156"/>
      <c r="BC98" s="156"/>
      <c r="BD98" s="156"/>
      <c r="BE98" s="156"/>
      <c r="BF98" s="156"/>
      <c r="BG98" s="156"/>
      <c r="BH98" s="156"/>
      <c r="BI98" s="156"/>
    </row>
    <row r="99" spans="1:61">
      <c r="A99" s="190"/>
      <c r="B99" s="192"/>
      <c r="C99" s="192"/>
      <c r="D99" s="192"/>
      <c r="E99" s="192"/>
      <c r="F99" s="192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2"/>
      <c r="V99" s="192"/>
      <c r="W99" s="192"/>
      <c r="X99" s="192"/>
      <c r="Y99" s="192"/>
      <c r="Z99" s="192"/>
      <c r="AA99" s="192"/>
      <c r="AB99" s="192"/>
      <c r="AC99" s="192"/>
      <c r="AD99" s="192"/>
      <c r="AE99" s="192"/>
      <c r="AF99" s="192"/>
      <c r="AG99" s="192"/>
      <c r="AH99" s="192"/>
      <c r="AI99" s="156"/>
      <c r="AJ99" s="156"/>
      <c r="AK99" s="156"/>
      <c r="AL99" s="156"/>
      <c r="AM99" s="156"/>
      <c r="AN99" s="156"/>
      <c r="AO99" s="156"/>
      <c r="AP99" s="156"/>
      <c r="AQ99" s="156"/>
      <c r="AR99" s="156"/>
      <c r="AS99" s="156"/>
      <c r="AT99" s="156"/>
      <c r="AU99" s="156"/>
      <c r="AV99" s="156"/>
      <c r="AW99" s="156"/>
      <c r="AX99" s="156"/>
      <c r="AY99" s="156"/>
      <c r="AZ99" s="156"/>
      <c r="BA99" s="156"/>
      <c r="BB99" s="156"/>
      <c r="BC99" s="156"/>
      <c r="BD99" s="156"/>
      <c r="BE99" s="156"/>
      <c r="BF99" s="156"/>
      <c r="BG99" s="156"/>
      <c r="BH99" s="156"/>
      <c r="BI99" s="156"/>
    </row>
    <row r="100" spans="1:61">
      <c r="A100" s="190"/>
      <c r="B100" s="192"/>
      <c r="C100" s="192"/>
      <c r="D100" s="192"/>
      <c r="E100" s="192"/>
      <c r="F100" s="192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2"/>
      <c r="V100" s="192"/>
      <c r="W100" s="192"/>
      <c r="X100" s="192"/>
      <c r="Y100" s="192"/>
      <c r="Z100" s="192"/>
      <c r="AA100" s="192"/>
      <c r="AB100" s="192"/>
      <c r="AC100" s="192"/>
      <c r="AD100" s="192"/>
      <c r="AE100" s="192"/>
      <c r="AF100" s="192"/>
      <c r="AG100" s="192"/>
      <c r="AH100" s="192"/>
      <c r="AI100" s="156"/>
      <c r="AJ100" s="156"/>
      <c r="AK100" s="156"/>
      <c r="AL100" s="156"/>
      <c r="AM100" s="156"/>
      <c r="AN100" s="156"/>
      <c r="AO100" s="156"/>
      <c r="AP100" s="156"/>
      <c r="AQ100" s="156"/>
      <c r="AR100" s="156"/>
      <c r="AS100" s="156"/>
      <c r="AT100" s="156"/>
      <c r="AU100" s="156"/>
      <c r="AV100" s="156"/>
      <c r="AW100" s="156"/>
      <c r="AX100" s="156"/>
      <c r="AY100" s="156"/>
      <c r="AZ100" s="156"/>
      <c r="BA100" s="156"/>
      <c r="BB100" s="156"/>
      <c r="BC100" s="156"/>
      <c r="BD100" s="156"/>
      <c r="BE100" s="156"/>
      <c r="BF100" s="156"/>
      <c r="BG100" s="156"/>
      <c r="BH100" s="156"/>
      <c r="BI100" s="156"/>
    </row>
    <row r="101" spans="1:61">
      <c r="A101" s="207"/>
      <c r="B101" s="192"/>
      <c r="C101" s="192"/>
      <c r="D101" s="192"/>
      <c r="E101" s="192"/>
      <c r="F101" s="192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2"/>
      <c r="V101" s="192"/>
      <c r="W101" s="192"/>
      <c r="X101" s="192"/>
      <c r="Y101" s="192"/>
      <c r="Z101" s="192"/>
      <c r="AA101" s="192"/>
      <c r="AB101" s="192"/>
      <c r="AC101" s="192"/>
      <c r="AD101" s="192"/>
      <c r="AE101" s="192"/>
      <c r="AF101" s="192"/>
      <c r="AG101" s="192"/>
      <c r="AH101" s="192"/>
      <c r="AI101" s="156"/>
      <c r="AJ101" s="156"/>
      <c r="AK101" s="156"/>
      <c r="AL101" s="156"/>
      <c r="AM101" s="156"/>
      <c r="AN101" s="156"/>
      <c r="AO101" s="156"/>
      <c r="AP101" s="156"/>
      <c r="AQ101" s="156"/>
      <c r="AR101" s="156"/>
      <c r="AS101" s="156"/>
      <c r="AT101" s="156"/>
      <c r="AU101" s="156"/>
      <c r="AV101" s="156"/>
      <c r="AW101" s="156"/>
      <c r="AX101" s="156"/>
      <c r="AY101" s="156"/>
      <c r="AZ101" s="156"/>
      <c r="BA101" s="156"/>
      <c r="BB101" s="156"/>
      <c r="BC101" s="156"/>
      <c r="BD101" s="156"/>
      <c r="BE101" s="156"/>
      <c r="BF101" s="156"/>
      <c r="BG101" s="156"/>
      <c r="BH101" s="156"/>
      <c r="BI101" s="156"/>
    </row>
    <row r="102" spans="1:61"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156"/>
      <c r="S102" s="156"/>
      <c r="T102" s="156"/>
      <c r="U102" s="156"/>
      <c r="V102" s="156"/>
      <c r="W102" s="156"/>
      <c r="X102" s="156"/>
      <c r="Y102" s="156"/>
      <c r="Z102" s="156"/>
      <c r="AA102" s="156"/>
      <c r="AB102" s="156"/>
      <c r="AC102" s="156"/>
      <c r="AD102" s="156"/>
      <c r="AE102" s="156"/>
      <c r="AF102" s="156"/>
      <c r="AG102" s="156"/>
      <c r="AH102" s="156"/>
      <c r="AI102" s="156"/>
      <c r="AJ102" s="156"/>
      <c r="AK102" s="156"/>
      <c r="AL102" s="156"/>
      <c r="AM102" s="156"/>
      <c r="AN102" s="156"/>
      <c r="AO102" s="156"/>
      <c r="AP102" s="156"/>
      <c r="AQ102" s="156"/>
      <c r="AR102" s="156"/>
      <c r="AS102" s="156"/>
      <c r="AT102" s="156"/>
      <c r="AU102" s="156"/>
      <c r="AV102" s="156"/>
      <c r="AW102" s="156"/>
      <c r="AX102" s="156"/>
      <c r="AY102" s="156"/>
      <c r="AZ102" s="156"/>
      <c r="BA102" s="156"/>
      <c r="BB102" s="156"/>
      <c r="BC102" s="156"/>
      <c r="BD102" s="156"/>
      <c r="BE102" s="156"/>
      <c r="BF102" s="156"/>
      <c r="BG102" s="156"/>
      <c r="BH102" s="156"/>
      <c r="BI102" s="156"/>
    </row>
    <row r="103" spans="1:61"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156"/>
      <c r="S103" s="156"/>
      <c r="T103" s="156"/>
      <c r="U103" s="156"/>
      <c r="V103" s="156"/>
      <c r="W103" s="156"/>
      <c r="X103" s="156"/>
      <c r="Y103" s="156"/>
      <c r="Z103" s="156"/>
      <c r="AA103" s="156"/>
      <c r="AB103" s="156"/>
      <c r="AC103" s="156"/>
      <c r="AD103" s="156"/>
      <c r="AE103" s="156"/>
      <c r="AF103" s="156"/>
      <c r="AG103" s="156"/>
      <c r="AH103" s="156"/>
      <c r="AI103" s="156"/>
      <c r="AJ103" s="156"/>
      <c r="AK103" s="156"/>
      <c r="AL103" s="156"/>
      <c r="AM103" s="156"/>
      <c r="AN103" s="156"/>
      <c r="AO103" s="156"/>
      <c r="AP103" s="156"/>
      <c r="AQ103" s="156"/>
      <c r="AR103" s="156"/>
      <c r="AS103" s="156"/>
      <c r="AT103" s="156"/>
      <c r="AU103" s="156"/>
      <c r="AV103" s="156"/>
      <c r="AW103" s="156"/>
      <c r="AX103" s="156"/>
      <c r="AY103" s="156"/>
      <c r="AZ103" s="156"/>
      <c r="BA103" s="156"/>
      <c r="BB103" s="156"/>
      <c r="BC103" s="156"/>
      <c r="BD103" s="156"/>
      <c r="BE103" s="156"/>
      <c r="BF103" s="156"/>
      <c r="BG103" s="156"/>
      <c r="BH103" s="156"/>
      <c r="BI103" s="156"/>
    </row>
    <row r="104" spans="1:61"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156"/>
      <c r="S104" s="156"/>
      <c r="T104" s="156"/>
      <c r="U104" s="156"/>
      <c r="V104" s="156"/>
      <c r="W104" s="156"/>
      <c r="X104" s="156"/>
      <c r="Y104" s="156"/>
      <c r="Z104" s="156"/>
      <c r="AA104" s="156"/>
      <c r="AB104" s="156"/>
      <c r="AC104" s="156"/>
      <c r="AD104" s="156"/>
      <c r="AE104" s="156"/>
      <c r="AF104" s="156"/>
      <c r="AG104" s="156"/>
      <c r="AH104" s="156"/>
      <c r="AI104" s="156"/>
      <c r="AJ104" s="156"/>
      <c r="AK104" s="156"/>
      <c r="AL104" s="156"/>
      <c r="AM104" s="156"/>
      <c r="AN104" s="156"/>
      <c r="AO104" s="156"/>
      <c r="AP104" s="156"/>
      <c r="AQ104" s="156"/>
      <c r="AR104" s="156"/>
      <c r="AS104" s="156"/>
      <c r="AT104" s="156"/>
      <c r="AU104" s="156"/>
      <c r="AV104" s="156"/>
      <c r="AW104" s="156"/>
      <c r="AX104" s="156"/>
      <c r="AY104" s="156"/>
      <c r="AZ104" s="156"/>
      <c r="BA104" s="156"/>
      <c r="BB104" s="156"/>
      <c r="BC104" s="156"/>
      <c r="BD104" s="156"/>
      <c r="BE104" s="156"/>
      <c r="BF104" s="156"/>
      <c r="BG104" s="156"/>
      <c r="BH104" s="156"/>
      <c r="BI104" s="156"/>
    </row>
    <row r="105" spans="1:61">
      <c r="B105" s="156"/>
      <c r="C105" s="156"/>
      <c r="D105" s="156"/>
      <c r="E105" s="156"/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  <c r="Y105" s="156"/>
      <c r="Z105" s="156"/>
      <c r="AA105" s="156"/>
      <c r="AB105" s="156"/>
      <c r="AC105" s="156"/>
      <c r="AD105" s="156"/>
      <c r="AE105" s="156"/>
      <c r="AF105" s="156"/>
      <c r="AG105" s="156"/>
      <c r="AH105" s="156"/>
      <c r="AI105" s="156"/>
      <c r="AJ105" s="156"/>
      <c r="AK105" s="156"/>
      <c r="AL105" s="156"/>
      <c r="AM105" s="156"/>
      <c r="AN105" s="156"/>
      <c r="AO105" s="156"/>
      <c r="AP105" s="156"/>
      <c r="AQ105" s="156"/>
      <c r="AR105" s="156"/>
      <c r="AS105" s="156"/>
      <c r="AT105" s="156"/>
      <c r="AU105" s="156"/>
      <c r="AV105" s="156"/>
      <c r="AW105" s="156"/>
      <c r="AX105" s="156"/>
      <c r="AY105" s="156"/>
      <c r="AZ105" s="156"/>
      <c r="BA105" s="156"/>
      <c r="BB105" s="156"/>
      <c r="BC105" s="156"/>
      <c r="BD105" s="156"/>
      <c r="BE105" s="156"/>
      <c r="BF105" s="156"/>
      <c r="BG105" s="156"/>
      <c r="BH105" s="156"/>
      <c r="BI105" s="156"/>
    </row>
    <row r="106" spans="1:61">
      <c r="B106" s="156"/>
      <c r="C106" s="156"/>
      <c r="D106" s="156"/>
      <c r="E106" s="156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6"/>
      <c r="Q106" s="156"/>
      <c r="R106" s="156"/>
      <c r="S106" s="156"/>
      <c r="T106" s="156"/>
      <c r="U106" s="156"/>
      <c r="V106" s="156"/>
      <c r="W106" s="156"/>
      <c r="X106" s="156"/>
      <c r="Y106" s="156"/>
      <c r="Z106" s="156"/>
      <c r="AA106" s="156"/>
      <c r="AB106" s="156"/>
      <c r="AC106" s="156"/>
      <c r="AD106" s="156"/>
      <c r="AE106" s="156"/>
      <c r="AF106" s="156"/>
      <c r="AG106" s="156"/>
      <c r="AH106" s="156"/>
      <c r="AI106" s="156"/>
      <c r="AJ106" s="156"/>
      <c r="AK106" s="156"/>
      <c r="AL106" s="156"/>
      <c r="AM106" s="156"/>
      <c r="AN106" s="156"/>
      <c r="AO106" s="156"/>
      <c r="AP106" s="156"/>
      <c r="AQ106" s="156"/>
      <c r="AR106" s="156"/>
      <c r="AS106" s="156"/>
      <c r="AT106" s="156"/>
      <c r="AU106" s="156"/>
      <c r="AV106" s="156"/>
      <c r="AW106" s="156"/>
      <c r="AX106" s="156"/>
      <c r="AY106" s="156"/>
      <c r="AZ106" s="156"/>
      <c r="BA106" s="156"/>
      <c r="BB106" s="156"/>
      <c r="BC106" s="156"/>
      <c r="BD106" s="156"/>
      <c r="BE106" s="156"/>
      <c r="BF106" s="156"/>
      <c r="BG106" s="156"/>
      <c r="BH106" s="156"/>
      <c r="BI106" s="156"/>
    </row>
    <row r="107" spans="1:61">
      <c r="B107" s="156"/>
      <c r="C107" s="156"/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156"/>
      <c r="Y107" s="156"/>
      <c r="Z107" s="156"/>
      <c r="AA107" s="156"/>
      <c r="AB107" s="156"/>
      <c r="AC107" s="156"/>
      <c r="AD107" s="156"/>
      <c r="AE107" s="156"/>
      <c r="AF107" s="156"/>
      <c r="AG107" s="156"/>
      <c r="AH107" s="156"/>
      <c r="AI107" s="156"/>
      <c r="AJ107" s="156"/>
      <c r="AK107" s="156"/>
      <c r="AL107" s="156"/>
      <c r="AM107" s="156"/>
      <c r="AN107" s="156"/>
      <c r="AO107" s="156"/>
      <c r="AP107" s="156"/>
      <c r="AQ107" s="156"/>
      <c r="AR107" s="156"/>
      <c r="AS107" s="156"/>
      <c r="AT107" s="156"/>
      <c r="AU107" s="156"/>
      <c r="AV107" s="156"/>
      <c r="AW107" s="156"/>
      <c r="AX107" s="156"/>
      <c r="AY107" s="156"/>
      <c r="AZ107" s="156"/>
      <c r="BA107" s="156"/>
      <c r="BB107" s="156"/>
      <c r="BC107" s="156"/>
      <c r="BD107" s="156"/>
      <c r="BE107" s="156"/>
      <c r="BF107" s="156"/>
      <c r="BG107" s="156"/>
      <c r="BH107" s="156"/>
      <c r="BI107" s="156"/>
    </row>
    <row r="108" spans="1:61">
      <c r="B108" s="156"/>
      <c r="C108" s="156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  <c r="R108" s="156"/>
      <c r="S108" s="156"/>
      <c r="T108" s="156"/>
      <c r="U108" s="156"/>
      <c r="V108" s="156"/>
      <c r="W108" s="156"/>
      <c r="X108" s="156"/>
      <c r="Y108" s="156"/>
      <c r="Z108" s="156"/>
      <c r="AA108" s="156"/>
      <c r="AB108" s="156"/>
      <c r="AC108" s="156"/>
      <c r="AD108" s="156"/>
      <c r="AE108" s="156"/>
      <c r="AF108" s="156"/>
      <c r="AG108" s="156"/>
      <c r="AH108" s="156"/>
      <c r="AI108" s="156"/>
      <c r="AJ108" s="156"/>
      <c r="AK108" s="156"/>
      <c r="AL108" s="156"/>
      <c r="AM108" s="156"/>
      <c r="AN108" s="156"/>
      <c r="AO108" s="156"/>
      <c r="AP108" s="156"/>
      <c r="AQ108" s="156"/>
      <c r="AR108" s="156"/>
      <c r="AS108" s="156"/>
      <c r="AT108" s="156"/>
      <c r="AU108" s="156"/>
      <c r="AV108" s="156"/>
      <c r="AW108" s="156"/>
      <c r="AX108" s="156"/>
      <c r="AY108" s="156"/>
      <c r="AZ108" s="156"/>
      <c r="BA108" s="156"/>
      <c r="BB108" s="156"/>
      <c r="BC108" s="156"/>
      <c r="BD108" s="156"/>
      <c r="BE108" s="156"/>
      <c r="BF108" s="156"/>
      <c r="BG108" s="156"/>
      <c r="BH108" s="156"/>
      <c r="BI108" s="156"/>
    </row>
    <row r="109" spans="1:61">
      <c r="B109" s="156"/>
      <c r="C109" s="156"/>
      <c r="D109" s="156"/>
      <c r="E109" s="156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6"/>
      <c r="W109" s="156"/>
      <c r="X109" s="156"/>
      <c r="Y109" s="156"/>
      <c r="Z109" s="156"/>
      <c r="AA109" s="156"/>
      <c r="AB109" s="156"/>
      <c r="AC109" s="156"/>
      <c r="AD109" s="156"/>
      <c r="AE109" s="156"/>
      <c r="AF109" s="156"/>
      <c r="AG109" s="156"/>
      <c r="AH109" s="156"/>
      <c r="AI109" s="156"/>
      <c r="AJ109" s="156"/>
      <c r="AK109" s="156"/>
      <c r="AL109" s="156"/>
      <c r="AM109" s="156"/>
      <c r="AN109" s="156"/>
      <c r="AO109" s="156"/>
      <c r="AP109" s="156"/>
      <c r="AQ109" s="156"/>
      <c r="AR109" s="156"/>
      <c r="AS109" s="156"/>
      <c r="AT109" s="156"/>
      <c r="AU109" s="156"/>
      <c r="AV109" s="156"/>
      <c r="AW109" s="156"/>
      <c r="AX109" s="156"/>
      <c r="AY109" s="156"/>
      <c r="AZ109" s="156"/>
      <c r="BA109" s="156"/>
      <c r="BB109" s="156"/>
      <c r="BC109" s="156"/>
      <c r="BD109" s="156"/>
      <c r="BE109" s="156"/>
      <c r="BF109" s="156"/>
      <c r="BG109" s="156"/>
      <c r="BH109" s="156"/>
      <c r="BI109" s="156"/>
    </row>
    <row r="110" spans="1:61">
      <c r="B110" s="156"/>
      <c r="C110" s="156"/>
      <c r="D110" s="156"/>
      <c r="E110" s="156"/>
      <c r="F110" s="156"/>
      <c r="G110" s="156"/>
      <c r="H110" s="156"/>
      <c r="I110" s="156"/>
      <c r="J110" s="156"/>
      <c r="K110" s="156"/>
      <c r="L110" s="156"/>
      <c r="M110" s="156"/>
      <c r="N110" s="156"/>
      <c r="O110" s="156"/>
      <c r="P110" s="156"/>
      <c r="Q110" s="156"/>
      <c r="R110" s="156"/>
      <c r="S110" s="156"/>
      <c r="T110" s="156"/>
      <c r="U110" s="156"/>
      <c r="V110" s="156"/>
      <c r="W110" s="156"/>
      <c r="X110" s="156"/>
      <c r="Y110" s="156"/>
      <c r="Z110" s="156"/>
      <c r="AA110" s="156"/>
      <c r="AB110" s="156"/>
      <c r="AC110" s="156"/>
      <c r="AD110" s="156"/>
      <c r="AE110" s="156"/>
      <c r="AF110" s="156"/>
      <c r="AG110" s="156"/>
      <c r="AH110" s="156"/>
      <c r="AI110" s="156"/>
      <c r="AJ110" s="156"/>
      <c r="AK110" s="156"/>
      <c r="AL110" s="156"/>
      <c r="AM110" s="156"/>
      <c r="AN110" s="156"/>
      <c r="AO110" s="156"/>
      <c r="AP110" s="156"/>
      <c r="AQ110" s="156"/>
      <c r="AR110" s="156"/>
      <c r="AS110" s="156"/>
      <c r="AT110" s="156"/>
      <c r="AU110" s="156"/>
      <c r="AV110" s="156"/>
      <c r="AW110" s="156"/>
      <c r="AX110" s="156"/>
      <c r="AY110" s="156"/>
      <c r="AZ110" s="156"/>
      <c r="BA110" s="156"/>
      <c r="BB110" s="156"/>
      <c r="BC110" s="156"/>
      <c r="BD110" s="156"/>
      <c r="BE110" s="156"/>
      <c r="BF110" s="156"/>
      <c r="BG110" s="156"/>
      <c r="BH110" s="156"/>
      <c r="BI110" s="156"/>
    </row>
    <row r="111" spans="1:61">
      <c r="B111" s="156"/>
      <c r="C111" s="156"/>
      <c r="D111" s="156"/>
      <c r="E111" s="156"/>
      <c r="F111" s="156"/>
      <c r="G111" s="156"/>
      <c r="H111" s="156"/>
      <c r="I111" s="156"/>
      <c r="J111" s="156"/>
      <c r="K111" s="156"/>
      <c r="L111" s="156"/>
      <c r="M111" s="156"/>
      <c r="N111" s="156"/>
      <c r="O111" s="156"/>
      <c r="P111" s="156"/>
      <c r="Q111" s="156"/>
      <c r="R111" s="156"/>
      <c r="S111" s="156"/>
      <c r="T111" s="156"/>
      <c r="U111" s="156"/>
      <c r="V111" s="156"/>
      <c r="W111" s="156"/>
      <c r="X111" s="156"/>
      <c r="Y111" s="156"/>
      <c r="Z111" s="156"/>
      <c r="AA111" s="156"/>
      <c r="AB111" s="156"/>
      <c r="AC111" s="156"/>
      <c r="AD111" s="156"/>
      <c r="AE111" s="156"/>
      <c r="AF111" s="156"/>
      <c r="AG111" s="156"/>
      <c r="AH111" s="156"/>
      <c r="AI111" s="156"/>
      <c r="AJ111" s="156"/>
      <c r="AK111" s="156"/>
      <c r="AL111" s="156"/>
      <c r="AM111" s="156"/>
      <c r="AN111" s="156"/>
      <c r="AO111" s="156"/>
      <c r="AP111" s="156"/>
      <c r="AQ111" s="156"/>
      <c r="AR111" s="156"/>
      <c r="AS111" s="156"/>
      <c r="AT111" s="156"/>
      <c r="AU111" s="156"/>
      <c r="AV111" s="156"/>
      <c r="AW111" s="156"/>
      <c r="AX111" s="156"/>
      <c r="AY111" s="156"/>
      <c r="AZ111" s="156"/>
      <c r="BA111" s="156"/>
      <c r="BB111" s="156"/>
      <c r="BC111" s="156"/>
      <c r="BD111" s="156"/>
      <c r="BE111" s="156"/>
      <c r="BF111" s="156"/>
      <c r="BG111" s="156"/>
      <c r="BH111" s="156"/>
      <c r="BI111" s="156"/>
    </row>
    <row r="112" spans="1:61">
      <c r="B112" s="156"/>
      <c r="C112" s="156"/>
      <c r="D112" s="156"/>
      <c r="E112" s="156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6"/>
      <c r="Q112" s="156"/>
      <c r="R112" s="156"/>
      <c r="S112" s="156"/>
      <c r="T112" s="156"/>
      <c r="U112" s="156"/>
      <c r="V112" s="156"/>
      <c r="W112" s="156"/>
      <c r="X112" s="156"/>
      <c r="Y112" s="156"/>
      <c r="Z112" s="156"/>
      <c r="AA112" s="156"/>
      <c r="AB112" s="156"/>
      <c r="AC112" s="156"/>
      <c r="AD112" s="156"/>
      <c r="AE112" s="156"/>
      <c r="AF112" s="156"/>
      <c r="AG112" s="156"/>
      <c r="AH112" s="156"/>
      <c r="AI112" s="156"/>
      <c r="AJ112" s="156"/>
      <c r="AK112" s="156"/>
      <c r="AL112" s="156"/>
      <c r="AM112" s="156"/>
      <c r="AN112" s="156"/>
      <c r="AO112" s="156"/>
      <c r="AP112" s="156"/>
      <c r="AQ112" s="156"/>
      <c r="AR112" s="156"/>
      <c r="AS112" s="156"/>
      <c r="AT112" s="156"/>
      <c r="AU112" s="156"/>
      <c r="AV112" s="156"/>
      <c r="AW112" s="156"/>
      <c r="AX112" s="156"/>
      <c r="AY112" s="156"/>
      <c r="AZ112" s="156"/>
      <c r="BA112" s="156"/>
      <c r="BB112" s="156"/>
      <c r="BC112" s="156"/>
      <c r="BD112" s="156"/>
      <c r="BE112" s="156"/>
      <c r="BF112" s="156"/>
      <c r="BG112" s="156"/>
      <c r="BH112" s="156"/>
      <c r="BI112" s="156"/>
    </row>
    <row r="113" spans="2:61">
      <c r="B113" s="156"/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  <c r="AA113" s="156"/>
      <c r="AB113" s="156"/>
      <c r="AC113" s="156"/>
      <c r="AD113" s="156"/>
      <c r="AE113" s="156"/>
      <c r="AF113" s="156"/>
      <c r="AG113" s="156"/>
      <c r="AH113" s="156"/>
      <c r="AI113" s="156"/>
      <c r="AJ113" s="156"/>
      <c r="AK113" s="156"/>
      <c r="AL113" s="156"/>
      <c r="AM113" s="156"/>
      <c r="AN113" s="156"/>
      <c r="AO113" s="156"/>
      <c r="AP113" s="156"/>
      <c r="AQ113" s="156"/>
      <c r="AR113" s="156"/>
      <c r="AS113" s="156"/>
      <c r="AT113" s="156"/>
      <c r="AU113" s="156"/>
      <c r="AV113" s="156"/>
      <c r="AW113" s="156"/>
      <c r="AX113" s="156"/>
      <c r="AY113" s="156"/>
      <c r="AZ113" s="156"/>
      <c r="BA113" s="156"/>
      <c r="BB113" s="156"/>
      <c r="BC113" s="156"/>
      <c r="BD113" s="156"/>
      <c r="BE113" s="156"/>
      <c r="BF113" s="156"/>
      <c r="BG113" s="156"/>
      <c r="BH113" s="156"/>
      <c r="BI113" s="156"/>
    </row>
    <row r="114" spans="2:61">
      <c r="B114" s="156"/>
      <c r="C114" s="156"/>
      <c r="D114" s="156"/>
      <c r="E114" s="156"/>
      <c r="F114" s="156"/>
      <c r="G114" s="156"/>
      <c r="H114" s="156"/>
      <c r="I114" s="156"/>
      <c r="J114" s="156"/>
      <c r="K114" s="156"/>
      <c r="L114" s="156"/>
      <c r="M114" s="156"/>
      <c r="N114" s="156"/>
      <c r="O114" s="156"/>
      <c r="P114" s="156"/>
      <c r="Q114" s="156"/>
      <c r="R114" s="156"/>
      <c r="S114" s="156"/>
      <c r="T114" s="156"/>
      <c r="U114" s="156"/>
      <c r="V114" s="156"/>
      <c r="W114" s="156"/>
      <c r="X114" s="156"/>
      <c r="Y114" s="156"/>
      <c r="Z114" s="156"/>
      <c r="AA114" s="156"/>
      <c r="AB114" s="156"/>
      <c r="AC114" s="156"/>
      <c r="AD114" s="156"/>
      <c r="AE114" s="156"/>
      <c r="AF114" s="156"/>
      <c r="AG114" s="156"/>
      <c r="AH114" s="156"/>
      <c r="AI114" s="156"/>
      <c r="AJ114" s="156"/>
      <c r="AK114" s="156"/>
      <c r="AL114" s="156"/>
      <c r="AM114" s="156"/>
      <c r="AN114" s="156"/>
      <c r="AO114" s="156"/>
      <c r="AP114" s="156"/>
      <c r="AQ114" s="156"/>
      <c r="AR114" s="156"/>
      <c r="AS114" s="156"/>
      <c r="AT114" s="156"/>
      <c r="AU114" s="156"/>
      <c r="AV114" s="156"/>
      <c r="AW114" s="156"/>
      <c r="AX114" s="156"/>
      <c r="AY114" s="156"/>
      <c r="AZ114" s="156"/>
      <c r="BA114" s="156"/>
      <c r="BB114" s="156"/>
      <c r="BC114" s="156"/>
      <c r="BD114" s="156"/>
      <c r="BE114" s="156"/>
      <c r="BF114" s="156"/>
      <c r="BG114" s="156"/>
      <c r="BH114" s="156"/>
      <c r="BI114" s="156"/>
    </row>
    <row r="115" spans="2:61">
      <c r="B115" s="156"/>
      <c r="C115" s="156"/>
      <c r="D115" s="156"/>
      <c r="E115" s="156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56"/>
      <c r="Q115" s="156"/>
      <c r="R115" s="156"/>
      <c r="S115" s="156"/>
      <c r="T115" s="156"/>
      <c r="U115" s="156"/>
      <c r="V115" s="156"/>
      <c r="W115" s="156"/>
      <c r="X115" s="156"/>
      <c r="Y115" s="156"/>
      <c r="Z115" s="156"/>
      <c r="AA115" s="156"/>
      <c r="AB115" s="156"/>
      <c r="AC115" s="156"/>
      <c r="AD115" s="156"/>
      <c r="AE115" s="156"/>
      <c r="AF115" s="156"/>
      <c r="AG115" s="156"/>
      <c r="AH115" s="156"/>
      <c r="AI115" s="156"/>
      <c r="AJ115" s="156"/>
      <c r="AK115" s="156"/>
      <c r="AL115" s="156"/>
      <c r="AM115" s="156"/>
      <c r="AN115" s="156"/>
      <c r="AO115" s="156"/>
      <c r="AP115" s="156"/>
      <c r="AQ115" s="156"/>
      <c r="AR115" s="156"/>
      <c r="AS115" s="156"/>
      <c r="AT115" s="156"/>
      <c r="AU115" s="156"/>
      <c r="AV115" s="156"/>
      <c r="AW115" s="156"/>
      <c r="AX115" s="156"/>
      <c r="AY115" s="156"/>
      <c r="AZ115" s="156"/>
      <c r="BA115" s="156"/>
      <c r="BB115" s="156"/>
      <c r="BC115" s="156"/>
      <c r="BD115" s="156"/>
      <c r="BE115" s="156"/>
      <c r="BF115" s="156"/>
      <c r="BG115" s="156"/>
      <c r="BH115" s="156"/>
      <c r="BI115" s="156"/>
    </row>
    <row r="116" spans="2:61"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6"/>
      <c r="AF116" s="156"/>
      <c r="AG116" s="156"/>
      <c r="AH116" s="156"/>
      <c r="AI116" s="156"/>
      <c r="AJ116" s="156"/>
      <c r="AK116" s="156"/>
      <c r="AL116" s="156"/>
      <c r="AM116" s="156"/>
      <c r="AN116" s="156"/>
      <c r="AO116" s="156"/>
      <c r="AP116" s="156"/>
      <c r="AQ116" s="156"/>
      <c r="AR116" s="156"/>
      <c r="AS116" s="156"/>
      <c r="AT116" s="156"/>
      <c r="AU116" s="156"/>
      <c r="AV116" s="156"/>
      <c r="AW116" s="156"/>
      <c r="AX116" s="156"/>
      <c r="AY116" s="156"/>
      <c r="AZ116" s="156"/>
      <c r="BA116" s="156"/>
      <c r="BB116" s="156"/>
      <c r="BC116" s="156"/>
      <c r="BD116" s="156"/>
      <c r="BE116" s="156"/>
      <c r="BF116" s="156"/>
      <c r="BG116" s="156"/>
      <c r="BH116" s="156"/>
      <c r="BI116" s="156"/>
    </row>
    <row r="117" spans="2:61">
      <c r="B117" s="156"/>
      <c r="C117" s="156"/>
      <c r="D117" s="156"/>
      <c r="E117" s="156"/>
      <c r="F117" s="156"/>
      <c r="G117" s="156"/>
      <c r="H117" s="156"/>
      <c r="I117" s="156"/>
      <c r="J117" s="156"/>
      <c r="K117" s="156"/>
      <c r="L117" s="156"/>
      <c r="M117" s="156"/>
      <c r="N117" s="156"/>
      <c r="O117" s="156"/>
      <c r="P117" s="156"/>
      <c r="Q117" s="156"/>
      <c r="R117" s="156"/>
      <c r="S117" s="156"/>
      <c r="T117" s="156"/>
      <c r="U117" s="156"/>
      <c r="V117" s="156"/>
      <c r="W117" s="156"/>
      <c r="X117" s="156"/>
      <c r="Y117" s="156"/>
      <c r="Z117" s="156"/>
      <c r="AA117" s="156"/>
      <c r="AB117" s="156"/>
      <c r="AC117" s="156"/>
      <c r="AD117" s="156"/>
      <c r="AE117" s="156"/>
      <c r="AF117" s="156"/>
      <c r="AG117" s="156"/>
      <c r="AH117" s="156"/>
      <c r="AI117" s="156"/>
      <c r="AJ117" s="156"/>
      <c r="AK117" s="156"/>
      <c r="AL117" s="156"/>
      <c r="AM117" s="156"/>
      <c r="AN117" s="156"/>
      <c r="AO117" s="156"/>
      <c r="AP117" s="156"/>
      <c r="AQ117" s="156"/>
      <c r="AR117" s="156"/>
      <c r="AS117" s="156"/>
      <c r="AT117" s="156"/>
      <c r="AU117" s="156"/>
      <c r="AV117" s="156"/>
      <c r="AW117" s="156"/>
      <c r="AX117" s="156"/>
      <c r="AY117" s="156"/>
      <c r="AZ117" s="156"/>
      <c r="BA117" s="156"/>
      <c r="BB117" s="156"/>
      <c r="BC117" s="156"/>
      <c r="BD117" s="156"/>
      <c r="BE117" s="156"/>
      <c r="BF117" s="156"/>
      <c r="BG117" s="156"/>
      <c r="BH117" s="156"/>
      <c r="BI117" s="156"/>
    </row>
    <row r="118" spans="2:61">
      <c r="B118" s="156"/>
      <c r="C118" s="156"/>
      <c r="D118" s="156"/>
      <c r="E118" s="156"/>
      <c r="F118" s="156"/>
      <c r="G118" s="156"/>
      <c r="H118" s="156"/>
      <c r="I118" s="156"/>
      <c r="J118" s="156"/>
      <c r="K118" s="156"/>
      <c r="L118" s="156"/>
      <c r="M118" s="156"/>
      <c r="N118" s="156"/>
      <c r="O118" s="156"/>
      <c r="P118" s="156"/>
      <c r="Q118" s="156"/>
      <c r="R118" s="156"/>
      <c r="S118" s="156"/>
      <c r="T118" s="156"/>
      <c r="U118" s="156"/>
      <c r="V118" s="156"/>
      <c r="W118" s="156"/>
      <c r="X118" s="156"/>
      <c r="Y118" s="156"/>
      <c r="Z118" s="156"/>
      <c r="AA118" s="156"/>
      <c r="AB118" s="156"/>
      <c r="AC118" s="156"/>
      <c r="AD118" s="156"/>
      <c r="AE118" s="156"/>
      <c r="AF118" s="156"/>
      <c r="AG118" s="156"/>
      <c r="AH118" s="156"/>
      <c r="AI118" s="156"/>
      <c r="AJ118" s="156"/>
      <c r="AK118" s="156"/>
      <c r="AL118" s="156"/>
      <c r="AM118" s="156"/>
      <c r="AN118" s="156"/>
      <c r="AO118" s="156"/>
      <c r="AP118" s="156"/>
      <c r="AQ118" s="156"/>
      <c r="AR118" s="156"/>
      <c r="AS118" s="156"/>
      <c r="AT118" s="156"/>
      <c r="AU118" s="156"/>
      <c r="AV118" s="156"/>
      <c r="AW118" s="156"/>
      <c r="AX118" s="156"/>
      <c r="AY118" s="156"/>
      <c r="AZ118" s="156"/>
      <c r="BA118" s="156"/>
      <c r="BB118" s="156"/>
      <c r="BC118" s="156"/>
      <c r="BD118" s="156"/>
      <c r="BE118" s="156"/>
      <c r="BF118" s="156"/>
      <c r="BG118" s="156"/>
      <c r="BH118" s="156"/>
      <c r="BI118" s="156"/>
    </row>
    <row r="119" spans="2:61">
      <c r="B119" s="156"/>
      <c r="C119" s="156"/>
      <c r="D119" s="156"/>
      <c r="E119" s="156"/>
      <c r="F119" s="156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  <c r="AA119" s="156"/>
      <c r="AB119" s="156"/>
      <c r="AC119" s="156"/>
      <c r="AD119" s="156"/>
      <c r="AE119" s="156"/>
      <c r="AF119" s="156"/>
      <c r="AG119" s="156"/>
      <c r="AH119" s="156"/>
      <c r="AI119" s="156"/>
      <c r="AJ119" s="156"/>
      <c r="AK119" s="156"/>
      <c r="AL119" s="156"/>
      <c r="AM119" s="156"/>
      <c r="AN119" s="156"/>
      <c r="AO119" s="156"/>
      <c r="AP119" s="156"/>
      <c r="AQ119" s="156"/>
      <c r="AR119" s="156"/>
      <c r="AS119" s="156"/>
      <c r="AT119" s="156"/>
      <c r="AU119" s="156"/>
      <c r="AV119" s="156"/>
      <c r="AW119" s="156"/>
      <c r="AX119" s="156"/>
      <c r="AY119" s="156"/>
      <c r="AZ119" s="156"/>
      <c r="BA119" s="156"/>
      <c r="BB119" s="156"/>
      <c r="BC119" s="156"/>
      <c r="BD119" s="156"/>
      <c r="BE119" s="156"/>
      <c r="BF119" s="156"/>
      <c r="BG119" s="156"/>
      <c r="BH119" s="156"/>
      <c r="BI119" s="156"/>
    </row>
    <row r="120" spans="2:61">
      <c r="B120" s="156"/>
      <c r="C120" s="156"/>
      <c r="D120" s="156"/>
      <c r="E120" s="156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6"/>
      <c r="AB120" s="156"/>
      <c r="AC120" s="156"/>
      <c r="AD120" s="156"/>
      <c r="AE120" s="156"/>
      <c r="AF120" s="156"/>
      <c r="AG120" s="156"/>
      <c r="AH120" s="156"/>
      <c r="AI120" s="156"/>
      <c r="AJ120" s="156"/>
      <c r="AK120" s="156"/>
      <c r="AL120" s="156"/>
      <c r="AM120" s="156"/>
      <c r="AN120" s="156"/>
      <c r="AO120" s="156"/>
      <c r="AP120" s="156"/>
      <c r="AQ120" s="156"/>
      <c r="AR120" s="156"/>
      <c r="AS120" s="156"/>
      <c r="AT120" s="156"/>
      <c r="AU120" s="156"/>
      <c r="AV120" s="156"/>
      <c r="AW120" s="156"/>
      <c r="AX120" s="156"/>
      <c r="AY120" s="156"/>
      <c r="AZ120" s="156"/>
      <c r="BA120" s="156"/>
      <c r="BB120" s="156"/>
      <c r="BC120" s="156"/>
      <c r="BD120" s="156"/>
      <c r="BE120" s="156"/>
      <c r="BF120" s="156"/>
      <c r="BG120" s="156"/>
      <c r="BH120" s="156"/>
      <c r="BI120" s="156"/>
    </row>
    <row r="121" spans="2:61">
      <c r="B121" s="156"/>
      <c r="C121" s="156"/>
      <c r="D121" s="156"/>
      <c r="E121" s="156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56"/>
      <c r="Q121" s="156"/>
      <c r="R121" s="156"/>
      <c r="S121" s="156"/>
      <c r="T121" s="156"/>
      <c r="U121" s="156"/>
      <c r="V121" s="156"/>
      <c r="W121" s="156"/>
      <c r="X121" s="156"/>
      <c r="Y121" s="156"/>
      <c r="Z121" s="156"/>
      <c r="AA121" s="156"/>
      <c r="AB121" s="156"/>
      <c r="AC121" s="156"/>
      <c r="AD121" s="156"/>
      <c r="AE121" s="156"/>
      <c r="AF121" s="156"/>
      <c r="AG121" s="156"/>
      <c r="AH121" s="156"/>
      <c r="AI121" s="156"/>
      <c r="AJ121" s="156"/>
      <c r="AK121" s="156"/>
      <c r="AL121" s="156"/>
      <c r="AM121" s="156"/>
      <c r="AN121" s="156"/>
      <c r="AO121" s="156"/>
      <c r="AP121" s="156"/>
      <c r="AQ121" s="156"/>
      <c r="AR121" s="156"/>
      <c r="AS121" s="156"/>
      <c r="AT121" s="156"/>
      <c r="AU121" s="156"/>
      <c r="AV121" s="156"/>
      <c r="AW121" s="156"/>
      <c r="AX121" s="156"/>
      <c r="AY121" s="156"/>
      <c r="AZ121" s="156"/>
      <c r="BA121" s="156"/>
      <c r="BB121" s="156"/>
      <c r="BC121" s="156"/>
      <c r="BD121" s="156"/>
      <c r="BE121" s="156"/>
      <c r="BF121" s="156"/>
      <c r="BG121" s="156"/>
      <c r="BH121" s="156"/>
      <c r="BI121" s="156"/>
    </row>
    <row r="122" spans="2:61">
      <c r="B122" s="156"/>
      <c r="C122" s="156"/>
      <c r="D122" s="156"/>
      <c r="E122" s="156"/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56"/>
      <c r="R122" s="156"/>
      <c r="S122" s="156"/>
      <c r="T122" s="156"/>
      <c r="U122" s="156"/>
      <c r="V122" s="156"/>
      <c r="W122" s="156"/>
      <c r="X122" s="156"/>
      <c r="Y122" s="156"/>
      <c r="Z122" s="156"/>
      <c r="AA122" s="156"/>
      <c r="AB122" s="156"/>
      <c r="AC122" s="156"/>
      <c r="AD122" s="156"/>
      <c r="AE122" s="156"/>
      <c r="AF122" s="156"/>
      <c r="AG122" s="156"/>
      <c r="AH122" s="156"/>
      <c r="AI122" s="156"/>
      <c r="AJ122" s="156"/>
      <c r="AK122" s="156"/>
      <c r="AL122" s="156"/>
      <c r="AM122" s="156"/>
      <c r="AN122" s="156"/>
      <c r="AO122" s="156"/>
      <c r="AP122" s="156"/>
      <c r="AQ122" s="156"/>
      <c r="AR122" s="156"/>
      <c r="AS122" s="156"/>
      <c r="AT122" s="156"/>
      <c r="AU122" s="156"/>
      <c r="AV122" s="156"/>
      <c r="AW122" s="156"/>
      <c r="AX122" s="156"/>
      <c r="AY122" s="156"/>
      <c r="AZ122" s="156"/>
      <c r="BA122" s="156"/>
      <c r="BB122" s="156"/>
      <c r="BC122" s="156"/>
      <c r="BD122" s="156"/>
      <c r="BE122" s="156"/>
      <c r="BF122" s="156"/>
      <c r="BG122" s="156"/>
      <c r="BH122" s="156"/>
      <c r="BI122" s="156"/>
    </row>
    <row r="123" spans="2:61">
      <c r="B123" s="156"/>
      <c r="C123" s="156"/>
      <c r="D123" s="156"/>
      <c r="E123" s="156"/>
      <c r="F123" s="156"/>
      <c r="G123" s="156"/>
      <c r="H123" s="156"/>
      <c r="I123" s="156"/>
      <c r="J123" s="156"/>
      <c r="K123" s="156"/>
      <c r="L123" s="156"/>
      <c r="M123" s="156"/>
      <c r="N123" s="156"/>
      <c r="O123" s="156"/>
      <c r="P123" s="156"/>
      <c r="Q123" s="156"/>
      <c r="R123" s="156"/>
      <c r="S123" s="156"/>
      <c r="T123" s="156"/>
      <c r="U123" s="156"/>
      <c r="V123" s="156"/>
      <c r="W123" s="156"/>
      <c r="X123" s="156"/>
      <c r="Y123" s="156"/>
      <c r="Z123" s="156"/>
      <c r="AA123" s="156"/>
      <c r="AB123" s="156"/>
      <c r="AC123" s="156"/>
      <c r="AD123" s="156"/>
      <c r="AE123" s="156"/>
      <c r="AF123" s="156"/>
      <c r="AG123" s="156"/>
      <c r="AH123" s="156"/>
      <c r="AI123" s="156"/>
      <c r="AJ123" s="156"/>
      <c r="AK123" s="156"/>
      <c r="AL123" s="156"/>
      <c r="AM123" s="156"/>
      <c r="AN123" s="156"/>
      <c r="AO123" s="156"/>
      <c r="AP123" s="156"/>
      <c r="AQ123" s="156"/>
      <c r="AR123" s="156"/>
      <c r="AS123" s="156"/>
      <c r="AT123" s="156"/>
      <c r="AU123" s="156"/>
      <c r="AV123" s="156"/>
      <c r="AW123" s="156"/>
      <c r="AX123" s="156"/>
      <c r="AY123" s="156"/>
      <c r="AZ123" s="156"/>
      <c r="BA123" s="156"/>
      <c r="BB123" s="156"/>
      <c r="BC123" s="156"/>
      <c r="BD123" s="156"/>
      <c r="BE123" s="156"/>
      <c r="BF123" s="156"/>
      <c r="BG123" s="156"/>
      <c r="BH123" s="156"/>
      <c r="BI123" s="156"/>
    </row>
    <row r="124" spans="2:61">
      <c r="B124" s="156"/>
      <c r="C124" s="156"/>
      <c r="D124" s="156"/>
      <c r="E124" s="156"/>
      <c r="F124" s="156"/>
      <c r="G124" s="156"/>
      <c r="H124" s="156"/>
      <c r="I124" s="156"/>
      <c r="J124" s="156"/>
      <c r="K124" s="156"/>
      <c r="L124" s="156"/>
      <c r="M124" s="156"/>
      <c r="N124" s="156"/>
      <c r="O124" s="156"/>
      <c r="P124" s="156"/>
      <c r="Q124" s="156"/>
      <c r="R124" s="156"/>
      <c r="S124" s="156"/>
      <c r="T124" s="156"/>
      <c r="U124" s="156"/>
      <c r="V124" s="156"/>
      <c r="W124" s="156"/>
      <c r="X124" s="156"/>
      <c r="Y124" s="156"/>
      <c r="Z124" s="156"/>
      <c r="AA124" s="156"/>
      <c r="AB124" s="156"/>
      <c r="AC124" s="156"/>
      <c r="AD124" s="156"/>
      <c r="AE124" s="156"/>
      <c r="AF124" s="156"/>
      <c r="AG124" s="156"/>
      <c r="AH124" s="156"/>
      <c r="AI124" s="156"/>
      <c r="AJ124" s="156"/>
      <c r="AK124" s="156"/>
      <c r="AL124" s="156"/>
      <c r="AM124" s="156"/>
      <c r="AN124" s="156"/>
      <c r="AO124" s="156"/>
      <c r="AP124" s="156"/>
      <c r="AQ124" s="156"/>
      <c r="AR124" s="156"/>
      <c r="AS124" s="156"/>
      <c r="AT124" s="156"/>
      <c r="AU124" s="156"/>
      <c r="AV124" s="156"/>
      <c r="AW124" s="156"/>
      <c r="AX124" s="156"/>
      <c r="AY124" s="156"/>
      <c r="AZ124" s="156"/>
      <c r="BA124" s="156"/>
      <c r="BB124" s="156"/>
      <c r="BC124" s="156"/>
      <c r="BD124" s="156"/>
      <c r="BE124" s="156"/>
      <c r="BF124" s="156"/>
      <c r="BG124" s="156"/>
      <c r="BH124" s="156"/>
      <c r="BI124" s="156"/>
    </row>
    <row r="125" spans="2:61">
      <c r="B125" s="156"/>
      <c r="C125" s="156"/>
      <c r="D125" s="156"/>
      <c r="E125" s="156"/>
      <c r="F125" s="156"/>
      <c r="G125" s="156"/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  <c r="AA125" s="156"/>
      <c r="AB125" s="156"/>
      <c r="AC125" s="156"/>
      <c r="AD125" s="156"/>
      <c r="AE125" s="156"/>
      <c r="AF125" s="156"/>
      <c r="AG125" s="156"/>
      <c r="AH125" s="156"/>
      <c r="AI125" s="156"/>
      <c r="AJ125" s="156"/>
      <c r="AK125" s="156"/>
      <c r="AL125" s="156"/>
      <c r="AM125" s="156"/>
      <c r="AN125" s="156"/>
      <c r="AO125" s="156"/>
      <c r="AP125" s="156"/>
      <c r="AQ125" s="156"/>
      <c r="AR125" s="156"/>
      <c r="AS125" s="156"/>
      <c r="AT125" s="156"/>
      <c r="AU125" s="156"/>
      <c r="AV125" s="156"/>
      <c r="AW125" s="156"/>
      <c r="AX125" s="156"/>
      <c r="AY125" s="156"/>
      <c r="AZ125" s="156"/>
      <c r="BA125" s="156"/>
      <c r="BB125" s="156"/>
      <c r="BC125" s="156"/>
      <c r="BD125" s="156"/>
      <c r="BE125" s="156"/>
      <c r="BF125" s="156"/>
      <c r="BG125" s="156"/>
      <c r="BH125" s="156"/>
      <c r="BI125" s="156"/>
    </row>
    <row r="126" spans="2:61">
      <c r="B126" s="156"/>
      <c r="C126" s="156"/>
      <c r="D126" s="156"/>
      <c r="E126" s="156"/>
      <c r="F126" s="156"/>
      <c r="G126" s="156"/>
      <c r="H126" s="156"/>
      <c r="I126" s="156"/>
      <c r="J126" s="156"/>
      <c r="K126" s="156"/>
      <c r="L126" s="156"/>
      <c r="M126" s="156"/>
      <c r="N126" s="156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  <c r="AA126" s="156"/>
      <c r="AB126" s="156"/>
      <c r="AC126" s="156"/>
      <c r="AD126" s="156"/>
      <c r="AE126" s="156"/>
      <c r="AF126" s="156"/>
      <c r="AG126" s="156"/>
      <c r="AH126" s="156"/>
      <c r="AI126" s="156"/>
      <c r="AJ126" s="156"/>
      <c r="AK126" s="156"/>
      <c r="AL126" s="156"/>
      <c r="AM126" s="156"/>
      <c r="AN126" s="156"/>
      <c r="AO126" s="156"/>
      <c r="AP126" s="156"/>
      <c r="AQ126" s="156"/>
      <c r="AR126" s="156"/>
      <c r="AS126" s="156"/>
      <c r="AT126" s="156"/>
      <c r="AU126" s="156"/>
      <c r="AV126" s="156"/>
      <c r="AW126" s="156"/>
      <c r="AX126" s="156"/>
      <c r="AY126" s="156"/>
      <c r="AZ126" s="156"/>
      <c r="BA126" s="156"/>
      <c r="BB126" s="156"/>
      <c r="BC126" s="156"/>
      <c r="BD126" s="156"/>
      <c r="BE126" s="156"/>
      <c r="BF126" s="156"/>
      <c r="BG126" s="156"/>
      <c r="BH126" s="156"/>
      <c r="BI126" s="156"/>
    </row>
    <row r="127" spans="2:61">
      <c r="B127" s="156"/>
      <c r="C127" s="156"/>
      <c r="D127" s="156"/>
      <c r="E127" s="156"/>
      <c r="F127" s="156"/>
      <c r="G127" s="156"/>
      <c r="H127" s="156"/>
      <c r="I127" s="156"/>
      <c r="J127" s="156"/>
      <c r="K127" s="156"/>
      <c r="L127" s="156"/>
      <c r="M127" s="156"/>
      <c r="N127" s="156"/>
      <c r="O127" s="156"/>
      <c r="P127" s="156"/>
      <c r="Q127" s="156"/>
      <c r="R127" s="156"/>
      <c r="S127" s="156"/>
      <c r="T127" s="156"/>
      <c r="U127" s="156"/>
      <c r="V127" s="156"/>
      <c r="W127" s="156"/>
      <c r="X127" s="156"/>
      <c r="Y127" s="156"/>
      <c r="Z127" s="156"/>
      <c r="AA127" s="156"/>
      <c r="AB127" s="156"/>
      <c r="AC127" s="156"/>
      <c r="AD127" s="156"/>
      <c r="AE127" s="156"/>
      <c r="AF127" s="156"/>
      <c r="AG127" s="156"/>
      <c r="AH127" s="156"/>
      <c r="AI127" s="156"/>
      <c r="AJ127" s="156"/>
      <c r="AK127" s="156"/>
      <c r="AL127" s="156"/>
      <c r="AM127" s="156"/>
      <c r="AN127" s="156"/>
      <c r="AO127" s="156"/>
      <c r="AP127" s="156"/>
      <c r="AQ127" s="156"/>
      <c r="AR127" s="156"/>
      <c r="AS127" s="156"/>
      <c r="AT127" s="156"/>
      <c r="AU127" s="156"/>
      <c r="AV127" s="156"/>
      <c r="AW127" s="156"/>
      <c r="AX127" s="156"/>
      <c r="AY127" s="156"/>
      <c r="AZ127" s="156"/>
      <c r="BA127" s="156"/>
      <c r="BB127" s="156"/>
      <c r="BC127" s="156"/>
      <c r="BD127" s="156"/>
      <c r="BE127" s="156"/>
      <c r="BF127" s="156"/>
      <c r="BG127" s="156"/>
      <c r="BH127" s="156"/>
      <c r="BI127" s="156"/>
    </row>
    <row r="128" spans="2:61">
      <c r="B128" s="156"/>
      <c r="C128" s="156"/>
      <c r="D128" s="156"/>
      <c r="E128" s="156"/>
      <c r="F128" s="156"/>
      <c r="G128" s="156"/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6"/>
      <c r="W128" s="156"/>
      <c r="X128" s="156"/>
      <c r="Y128" s="156"/>
      <c r="Z128" s="156"/>
      <c r="AA128" s="156"/>
      <c r="AB128" s="156"/>
      <c r="AC128" s="156"/>
      <c r="AD128" s="156"/>
      <c r="AE128" s="156"/>
      <c r="AF128" s="156"/>
      <c r="AG128" s="156"/>
      <c r="AH128" s="156"/>
      <c r="AI128" s="156"/>
      <c r="AJ128" s="156"/>
      <c r="AK128" s="156"/>
      <c r="AL128" s="156"/>
      <c r="AM128" s="156"/>
      <c r="AN128" s="156"/>
      <c r="AO128" s="156"/>
      <c r="AP128" s="156"/>
      <c r="AQ128" s="156"/>
      <c r="AR128" s="156"/>
      <c r="AS128" s="156"/>
      <c r="AT128" s="156"/>
      <c r="AU128" s="156"/>
      <c r="AV128" s="156"/>
      <c r="AW128" s="156"/>
      <c r="AX128" s="156"/>
      <c r="AY128" s="156"/>
      <c r="AZ128" s="156"/>
      <c r="BA128" s="156"/>
      <c r="BB128" s="156"/>
      <c r="BC128" s="156"/>
      <c r="BD128" s="156"/>
      <c r="BE128" s="156"/>
      <c r="BF128" s="156"/>
      <c r="BG128" s="156"/>
      <c r="BH128" s="156"/>
      <c r="BI128" s="156"/>
    </row>
    <row r="129" spans="2:61">
      <c r="B129" s="156"/>
      <c r="C129" s="156"/>
      <c r="D129" s="156"/>
      <c r="E129" s="156"/>
      <c r="F129" s="156"/>
      <c r="G129" s="156"/>
      <c r="H129" s="156"/>
      <c r="I129" s="156"/>
      <c r="J129" s="156"/>
      <c r="K129" s="156"/>
      <c r="L129" s="156"/>
      <c r="M129" s="156"/>
      <c r="N129" s="156"/>
      <c r="O129" s="156"/>
      <c r="P129" s="156"/>
      <c r="Q129" s="156"/>
      <c r="R129" s="156"/>
      <c r="S129" s="156"/>
      <c r="T129" s="156"/>
      <c r="U129" s="156"/>
      <c r="V129" s="156"/>
      <c r="W129" s="156"/>
      <c r="X129" s="156"/>
      <c r="Y129" s="156"/>
      <c r="Z129" s="156"/>
      <c r="AA129" s="156"/>
      <c r="AB129" s="156"/>
      <c r="AC129" s="156"/>
      <c r="AD129" s="156"/>
      <c r="AE129" s="156"/>
      <c r="AF129" s="156"/>
      <c r="AG129" s="156"/>
      <c r="AH129" s="156"/>
      <c r="AI129" s="156"/>
      <c r="AJ129" s="156"/>
      <c r="AK129" s="156"/>
      <c r="AL129" s="156"/>
      <c r="AM129" s="156"/>
      <c r="AN129" s="156"/>
      <c r="AO129" s="156"/>
      <c r="AP129" s="156"/>
      <c r="AQ129" s="156"/>
      <c r="AR129" s="156"/>
      <c r="AS129" s="156"/>
      <c r="AT129" s="156"/>
      <c r="AU129" s="156"/>
      <c r="AV129" s="156"/>
      <c r="AW129" s="156"/>
      <c r="AX129" s="156"/>
      <c r="AY129" s="156"/>
      <c r="AZ129" s="156"/>
      <c r="BA129" s="156"/>
      <c r="BB129" s="156"/>
      <c r="BC129" s="156"/>
      <c r="BD129" s="156"/>
      <c r="BE129" s="156"/>
      <c r="BF129" s="156"/>
      <c r="BG129" s="156"/>
      <c r="BH129" s="156"/>
      <c r="BI129" s="156"/>
    </row>
    <row r="130" spans="2:61">
      <c r="B130" s="156"/>
      <c r="C130" s="156"/>
      <c r="D130" s="156"/>
      <c r="E130" s="156"/>
      <c r="F130" s="156"/>
      <c r="G130" s="156"/>
      <c r="H130" s="156"/>
      <c r="I130" s="156"/>
      <c r="J130" s="156"/>
      <c r="K130" s="156"/>
      <c r="L130" s="156"/>
      <c r="M130" s="156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  <c r="Z130" s="156"/>
      <c r="AA130" s="156"/>
      <c r="AB130" s="156"/>
      <c r="AC130" s="156"/>
      <c r="AD130" s="156"/>
      <c r="AE130" s="156"/>
      <c r="AF130" s="156"/>
      <c r="AG130" s="156"/>
      <c r="AH130" s="156"/>
      <c r="AI130" s="156"/>
      <c r="AJ130" s="156"/>
      <c r="AK130" s="156"/>
      <c r="AL130" s="156"/>
      <c r="AM130" s="156"/>
      <c r="AN130" s="156"/>
      <c r="AO130" s="156"/>
      <c r="AP130" s="156"/>
      <c r="AQ130" s="156"/>
      <c r="AR130" s="156"/>
      <c r="AS130" s="156"/>
      <c r="AT130" s="156"/>
      <c r="AU130" s="156"/>
      <c r="AV130" s="156"/>
      <c r="AW130" s="156"/>
      <c r="AX130" s="156"/>
      <c r="AY130" s="156"/>
      <c r="AZ130" s="156"/>
      <c r="BA130" s="156"/>
      <c r="BB130" s="156"/>
      <c r="BC130" s="156"/>
      <c r="BD130" s="156"/>
      <c r="BE130" s="156"/>
      <c r="BF130" s="156"/>
      <c r="BG130" s="156"/>
      <c r="BH130" s="156"/>
      <c r="BI130" s="156"/>
    </row>
    <row r="131" spans="2:61">
      <c r="B131" s="156"/>
      <c r="C131" s="156"/>
      <c r="D131" s="156"/>
      <c r="E131" s="156"/>
      <c r="F131" s="156"/>
      <c r="G131" s="156"/>
      <c r="H131" s="156"/>
      <c r="I131" s="156"/>
      <c r="J131" s="156"/>
      <c r="K131" s="156"/>
      <c r="L131" s="156"/>
      <c r="M131" s="156"/>
      <c r="N131" s="156"/>
      <c r="O131" s="156"/>
      <c r="P131" s="156"/>
      <c r="Q131" s="156"/>
      <c r="R131" s="156"/>
      <c r="S131" s="156"/>
      <c r="T131" s="156"/>
      <c r="U131" s="156"/>
      <c r="V131" s="156"/>
      <c r="W131" s="156"/>
      <c r="X131" s="156"/>
      <c r="Y131" s="156"/>
      <c r="Z131" s="156"/>
      <c r="AA131" s="156"/>
      <c r="AB131" s="156"/>
      <c r="AC131" s="156"/>
      <c r="AD131" s="156"/>
      <c r="AE131" s="156"/>
      <c r="AF131" s="156"/>
      <c r="AG131" s="156"/>
      <c r="AH131" s="156"/>
      <c r="AI131" s="156"/>
      <c r="AJ131" s="156"/>
      <c r="AK131" s="156"/>
      <c r="AL131" s="156"/>
      <c r="AM131" s="156"/>
      <c r="AN131" s="156"/>
      <c r="AO131" s="156"/>
      <c r="AP131" s="156"/>
      <c r="AQ131" s="156"/>
      <c r="AR131" s="156"/>
      <c r="AS131" s="156"/>
      <c r="AT131" s="156"/>
      <c r="AU131" s="156"/>
      <c r="AV131" s="156"/>
      <c r="AW131" s="156"/>
      <c r="AX131" s="156"/>
      <c r="AY131" s="156"/>
      <c r="AZ131" s="156"/>
      <c r="BA131" s="156"/>
      <c r="BB131" s="156"/>
      <c r="BC131" s="156"/>
      <c r="BD131" s="156"/>
      <c r="BE131" s="156"/>
      <c r="BF131" s="156"/>
      <c r="BG131" s="156"/>
      <c r="BH131" s="156"/>
      <c r="BI131" s="156"/>
    </row>
    <row r="132" spans="2:61">
      <c r="B132" s="156"/>
      <c r="C132" s="156"/>
      <c r="D132" s="156"/>
      <c r="E132" s="156"/>
      <c r="F132" s="156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  <c r="AC132" s="156"/>
      <c r="AD132" s="156"/>
      <c r="AE132" s="156"/>
      <c r="AF132" s="156"/>
      <c r="AG132" s="156"/>
      <c r="AH132" s="156"/>
      <c r="AI132" s="156"/>
      <c r="AJ132" s="156"/>
      <c r="AK132" s="156"/>
      <c r="AL132" s="156"/>
      <c r="AM132" s="156"/>
      <c r="AN132" s="156"/>
      <c r="AO132" s="156"/>
      <c r="AP132" s="156"/>
      <c r="AQ132" s="156"/>
      <c r="AR132" s="156"/>
      <c r="AS132" s="156"/>
      <c r="AT132" s="156"/>
      <c r="AU132" s="156"/>
      <c r="AV132" s="156"/>
      <c r="AW132" s="156"/>
      <c r="AX132" s="156"/>
      <c r="AY132" s="156"/>
      <c r="AZ132" s="156"/>
      <c r="BA132" s="156"/>
      <c r="BB132" s="156"/>
      <c r="BC132" s="156"/>
      <c r="BD132" s="156"/>
      <c r="BE132" s="156"/>
      <c r="BF132" s="156"/>
      <c r="BG132" s="156"/>
      <c r="BH132" s="156"/>
      <c r="BI132" s="156"/>
    </row>
    <row r="133" spans="2:61">
      <c r="B133" s="156"/>
      <c r="C133" s="156"/>
      <c r="D133" s="156"/>
      <c r="E133" s="156"/>
      <c r="F133" s="156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156"/>
      <c r="AC133" s="156"/>
      <c r="AD133" s="156"/>
      <c r="AE133" s="156"/>
      <c r="AF133" s="156"/>
      <c r="AG133" s="156"/>
      <c r="AH133" s="156"/>
      <c r="AI133" s="156"/>
      <c r="AJ133" s="156"/>
      <c r="AK133" s="156"/>
      <c r="AL133" s="156"/>
      <c r="AM133" s="156"/>
      <c r="AN133" s="156"/>
      <c r="AO133" s="156"/>
      <c r="AP133" s="156"/>
      <c r="AQ133" s="156"/>
      <c r="AR133" s="156"/>
      <c r="AS133" s="156"/>
      <c r="AT133" s="156"/>
      <c r="AU133" s="156"/>
      <c r="AV133" s="156"/>
      <c r="AW133" s="156"/>
      <c r="AX133" s="156"/>
      <c r="AY133" s="156"/>
      <c r="AZ133" s="156"/>
      <c r="BA133" s="156"/>
      <c r="BB133" s="156"/>
      <c r="BC133" s="156"/>
      <c r="BD133" s="156"/>
      <c r="BE133" s="156"/>
      <c r="BF133" s="156"/>
      <c r="BG133" s="156"/>
      <c r="BH133" s="156"/>
      <c r="BI133" s="156"/>
    </row>
    <row r="134" spans="2:61">
      <c r="B134" s="156"/>
      <c r="C134" s="156"/>
      <c r="D134" s="156"/>
      <c r="E134" s="156"/>
      <c r="F134" s="156"/>
      <c r="G134" s="156"/>
      <c r="H134" s="156"/>
      <c r="I134" s="156"/>
      <c r="J134" s="156"/>
      <c r="K134" s="156"/>
      <c r="L134" s="156"/>
      <c r="M134" s="156"/>
      <c r="N134" s="156"/>
      <c r="O134" s="156"/>
      <c r="P134" s="156"/>
      <c r="Q134" s="156"/>
      <c r="R134" s="156"/>
      <c r="S134" s="156"/>
      <c r="T134" s="156"/>
      <c r="U134" s="156"/>
      <c r="V134" s="156"/>
      <c r="W134" s="156"/>
      <c r="X134" s="156"/>
      <c r="Y134" s="156"/>
      <c r="Z134" s="156"/>
      <c r="AA134" s="156"/>
      <c r="AB134" s="156"/>
      <c r="AC134" s="156"/>
      <c r="AD134" s="156"/>
      <c r="AE134" s="156"/>
      <c r="AF134" s="156"/>
      <c r="AG134" s="156"/>
      <c r="AH134" s="156"/>
      <c r="AI134" s="156"/>
      <c r="AJ134" s="156"/>
      <c r="AK134" s="156"/>
      <c r="AL134" s="156"/>
      <c r="AM134" s="156"/>
      <c r="AN134" s="156"/>
      <c r="AO134" s="156"/>
      <c r="AP134" s="156"/>
      <c r="AQ134" s="156"/>
      <c r="AR134" s="156"/>
      <c r="AS134" s="156"/>
      <c r="AT134" s="156"/>
      <c r="AU134" s="156"/>
      <c r="AV134" s="156"/>
      <c r="AW134" s="156"/>
      <c r="AX134" s="156"/>
      <c r="AY134" s="156"/>
      <c r="AZ134" s="156"/>
      <c r="BA134" s="156"/>
      <c r="BB134" s="156"/>
      <c r="BC134" s="156"/>
      <c r="BD134" s="156"/>
      <c r="BE134" s="156"/>
      <c r="BF134" s="156"/>
      <c r="BG134" s="156"/>
      <c r="BH134" s="156"/>
      <c r="BI134" s="156"/>
    </row>
    <row r="135" spans="2:61">
      <c r="B135" s="156"/>
      <c r="C135" s="156"/>
      <c r="D135" s="156"/>
      <c r="E135" s="156"/>
      <c r="F135" s="156"/>
      <c r="G135" s="156"/>
      <c r="H135" s="156"/>
      <c r="I135" s="156"/>
      <c r="J135" s="156"/>
      <c r="K135" s="156"/>
      <c r="L135" s="156"/>
      <c r="M135" s="156"/>
      <c r="N135" s="156"/>
      <c r="O135" s="156"/>
      <c r="P135" s="156"/>
      <c r="Q135" s="156"/>
      <c r="R135" s="156"/>
      <c r="S135" s="156"/>
      <c r="T135" s="156"/>
      <c r="U135" s="156"/>
      <c r="V135" s="156"/>
      <c r="W135" s="156"/>
      <c r="X135" s="156"/>
      <c r="Y135" s="156"/>
      <c r="Z135" s="156"/>
      <c r="AA135" s="156"/>
      <c r="AB135" s="156"/>
      <c r="AC135" s="156"/>
      <c r="AD135" s="156"/>
      <c r="AE135" s="156"/>
      <c r="AF135" s="156"/>
      <c r="AG135" s="156"/>
      <c r="AH135" s="156"/>
      <c r="AI135" s="156"/>
      <c r="AJ135" s="156"/>
      <c r="AK135" s="156"/>
      <c r="AL135" s="156"/>
      <c r="AM135" s="156"/>
      <c r="AN135" s="156"/>
      <c r="AO135" s="156"/>
      <c r="AP135" s="156"/>
      <c r="AQ135" s="156"/>
      <c r="AR135" s="156"/>
      <c r="AS135" s="156"/>
      <c r="AT135" s="156"/>
      <c r="AU135" s="156"/>
      <c r="AV135" s="156"/>
      <c r="AW135" s="156"/>
      <c r="AX135" s="156"/>
      <c r="AY135" s="156"/>
      <c r="AZ135" s="156"/>
      <c r="BA135" s="156"/>
      <c r="BB135" s="156"/>
      <c r="BC135" s="156"/>
      <c r="BD135" s="156"/>
      <c r="BE135" s="156"/>
      <c r="BF135" s="156"/>
      <c r="BG135" s="156"/>
      <c r="BH135" s="156"/>
      <c r="BI135" s="156"/>
    </row>
    <row r="136" spans="2:61">
      <c r="B136" s="156"/>
      <c r="C136" s="156"/>
      <c r="D136" s="156"/>
      <c r="E136" s="156"/>
      <c r="F136" s="156"/>
      <c r="G136" s="156"/>
      <c r="H136" s="156"/>
      <c r="I136" s="156"/>
      <c r="J136" s="156"/>
      <c r="K136" s="156"/>
      <c r="L136" s="156"/>
      <c r="M136" s="156"/>
      <c r="N136" s="156"/>
      <c r="O136" s="156"/>
      <c r="P136" s="156"/>
      <c r="Q136" s="156"/>
      <c r="R136" s="156"/>
      <c r="S136" s="156"/>
      <c r="T136" s="156"/>
      <c r="U136" s="156"/>
      <c r="V136" s="156"/>
      <c r="W136" s="156"/>
      <c r="X136" s="156"/>
      <c r="Y136" s="156"/>
      <c r="Z136" s="156"/>
      <c r="AA136" s="156"/>
      <c r="AB136" s="156"/>
      <c r="AC136" s="156"/>
      <c r="AD136" s="156"/>
      <c r="AE136" s="156"/>
      <c r="AF136" s="156"/>
      <c r="AG136" s="156"/>
      <c r="AH136" s="156"/>
      <c r="AI136" s="156"/>
      <c r="AJ136" s="156"/>
      <c r="AK136" s="156"/>
      <c r="AL136" s="156"/>
      <c r="AM136" s="156"/>
      <c r="AN136" s="156"/>
      <c r="AO136" s="156"/>
      <c r="AP136" s="156"/>
      <c r="AQ136" s="156"/>
      <c r="AR136" s="156"/>
      <c r="AS136" s="156"/>
      <c r="AT136" s="156"/>
      <c r="AU136" s="156"/>
      <c r="AV136" s="156"/>
      <c r="AW136" s="156"/>
      <c r="AX136" s="156"/>
      <c r="AY136" s="156"/>
      <c r="AZ136" s="156"/>
      <c r="BA136" s="156"/>
      <c r="BB136" s="156"/>
      <c r="BC136" s="156"/>
      <c r="BD136" s="156"/>
      <c r="BE136" s="156"/>
      <c r="BF136" s="156"/>
      <c r="BG136" s="156"/>
      <c r="BH136" s="156"/>
      <c r="BI136" s="156"/>
    </row>
    <row r="137" spans="2:61">
      <c r="B137" s="156"/>
      <c r="C137" s="156"/>
      <c r="D137" s="156"/>
      <c r="E137" s="156"/>
      <c r="F137" s="156"/>
      <c r="G137" s="156"/>
      <c r="H137" s="156"/>
      <c r="I137" s="156"/>
      <c r="J137" s="156"/>
      <c r="K137" s="156"/>
      <c r="L137" s="156"/>
      <c r="M137" s="156"/>
      <c r="N137" s="156"/>
      <c r="O137" s="156"/>
      <c r="P137" s="156"/>
      <c r="Q137" s="156"/>
      <c r="R137" s="156"/>
      <c r="S137" s="156"/>
      <c r="T137" s="156"/>
      <c r="U137" s="156"/>
      <c r="V137" s="156"/>
      <c r="W137" s="156"/>
      <c r="X137" s="156"/>
      <c r="Y137" s="156"/>
      <c r="Z137" s="156"/>
      <c r="AA137" s="156"/>
      <c r="AB137" s="156"/>
      <c r="AC137" s="156"/>
      <c r="AD137" s="156"/>
      <c r="AE137" s="156"/>
      <c r="AF137" s="156"/>
      <c r="AG137" s="156"/>
      <c r="AH137" s="156"/>
      <c r="AI137" s="156"/>
      <c r="AJ137" s="156"/>
      <c r="AK137" s="156"/>
      <c r="AL137" s="156"/>
      <c r="AM137" s="156"/>
      <c r="AN137" s="156"/>
      <c r="AO137" s="156"/>
      <c r="AP137" s="156"/>
      <c r="AQ137" s="156"/>
      <c r="AR137" s="156"/>
      <c r="AS137" s="156"/>
      <c r="AT137" s="156"/>
      <c r="AU137" s="156"/>
      <c r="AV137" s="156"/>
      <c r="AW137" s="156"/>
      <c r="AX137" s="156"/>
      <c r="AY137" s="156"/>
      <c r="AZ137" s="156"/>
      <c r="BA137" s="156"/>
      <c r="BB137" s="156"/>
      <c r="BC137" s="156"/>
      <c r="BD137" s="156"/>
      <c r="BE137" s="156"/>
      <c r="BF137" s="156"/>
      <c r="BG137" s="156"/>
      <c r="BH137" s="156"/>
      <c r="BI137" s="156"/>
    </row>
    <row r="138" spans="2:61">
      <c r="B138" s="156"/>
      <c r="C138" s="156"/>
      <c r="D138" s="156"/>
      <c r="E138" s="156"/>
      <c r="F138" s="156"/>
      <c r="G138" s="156"/>
      <c r="H138" s="156"/>
      <c r="I138" s="156"/>
      <c r="J138" s="156"/>
      <c r="K138" s="156"/>
      <c r="L138" s="156"/>
      <c r="M138" s="156"/>
      <c r="N138" s="156"/>
      <c r="O138" s="156"/>
      <c r="P138" s="156"/>
      <c r="Q138" s="156"/>
      <c r="R138" s="156"/>
      <c r="S138" s="156"/>
      <c r="T138" s="156"/>
      <c r="U138" s="156"/>
      <c r="V138" s="156"/>
      <c r="W138" s="156"/>
      <c r="X138" s="156"/>
      <c r="Y138" s="156"/>
      <c r="Z138" s="156"/>
      <c r="AA138" s="156"/>
      <c r="AB138" s="156"/>
      <c r="AC138" s="156"/>
      <c r="AD138" s="156"/>
      <c r="AE138" s="156"/>
      <c r="AF138" s="156"/>
      <c r="AG138" s="156"/>
      <c r="AH138" s="156"/>
      <c r="AI138" s="156"/>
      <c r="AJ138" s="156"/>
      <c r="AK138" s="156"/>
      <c r="AL138" s="156"/>
      <c r="AM138" s="156"/>
      <c r="AN138" s="156"/>
      <c r="AO138" s="156"/>
      <c r="AP138" s="156"/>
      <c r="AQ138" s="156"/>
      <c r="AR138" s="156"/>
      <c r="AS138" s="156"/>
      <c r="AT138" s="156"/>
      <c r="AU138" s="156"/>
      <c r="AV138" s="156"/>
      <c r="AW138" s="156"/>
      <c r="AX138" s="156"/>
      <c r="AY138" s="156"/>
      <c r="AZ138" s="156"/>
      <c r="BA138" s="156"/>
      <c r="BB138" s="156"/>
      <c r="BC138" s="156"/>
      <c r="BD138" s="156"/>
      <c r="BE138" s="156"/>
      <c r="BF138" s="156"/>
      <c r="BG138" s="156"/>
      <c r="BH138" s="156"/>
      <c r="BI138" s="156"/>
    </row>
    <row r="139" spans="2:61">
      <c r="B139" s="156"/>
      <c r="C139" s="156"/>
      <c r="D139" s="156"/>
      <c r="E139" s="156"/>
      <c r="F139" s="156"/>
      <c r="G139" s="156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  <c r="R139" s="156"/>
      <c r="S139" s="156"/>
      <c r="T139" s="156"/>
      <c r="U139" s="156"/>
      <c r="V139" s="156"/>
      <c r="W139" s="156"/>
      <c r="X139" s="156"/>
      <c r="Y139" s="156"/>
      <c r="Z139" s="156"/>
      <c r="AA139" s="156"/>
      <c r="AB139" s="156"/>
      <c r="AC139" s="156"/>
      <c r="AD139" s="156"/>
      <c r="AE139" s="156"/>
      <c r="AF139" s="156"/>
      <c r="AG139" s="156"/>
      <c r="AH139" s="156"/>
      <c r="AI139" s="156"/>
      <c r="AJ139" s="156"/>
      <c r="AK139" s="156"/>
      <c r="AL139" s="156"/>
      <c r="AM139" s="156"/>
      <c r="AN139" s="156"/>
      <c r="AO139" s="156"/>
      <c r="AP139" s="156"/>
      <c r="AQ139" s="156"/>
      <c r="AR139" s="156"/>
      <c r="AS139" s="156"/>
      <c r="AT139" s="156"/>
      <c r="AU139" s="156"/>
      <c r="AV139" s="156"/>
      <c r="AW139" s="156"/>
      <c r="AX139" s="156"/>
      <c r="AY139" s="156"/>
      <c r="AZ139" s="156"/>
      <c r="BA139" s="156"/>
      <c r="BB139" s="156"/>
      <c r="BC139" s="156"/>
      <c r="BD139" s="156"/>
      <c r="BE139" s="156"/>
      <c r="BF139" s="156"/>
      <c r="BG139" s="156"/>
      <c r="BH139" s="156"/>
      <c r="BI139" s="156"/>
    </row>
    <row r="140" spans="2:61">
      <c r="B140" s="156"/>
      <c r="C140" s="156"/>
      <c r="D140" s="156"/>
      <c r="E140" s="156"/>
      <c r="F140" s="156"/>
      <c r="G140" s="156"/>
      <c r="H140" s="156"/>
      <c r="I140" s="156"/>
      <c r="J140" s="156"/>
      <c r="K140" s="156"/>
      <c r="L140" s="156"/>
      <c r="M140" s="156"/>
      <c r="N140" s="156"/>
      <c r="O140" s="156"/>
      <c r="P140" s="156"/>
      <c r="Q140" s="156"/>
      <c r="R140" s="156"/>
      <c r="S140" s="156"/>
      <c r="T140" s="156"/>
      <c r="U140" s="156"/>
      <c r="V140" s="156"/>
      <c r="W140" s="156"/>
      <c r="X140" s="156"/>
      <c r="Y140" s="156"/>
      <c r="Z140" s="156"/>
      <c r="AA140" s="156"/>
      <c r="AB140" s="156"/>
      <c r="AC140" s="156"/>
      <c r="AD140" s="156"/>
      <c r="AE140" s="156"/>
      <c r="AF140" s="156"/>
      <c r="AG140" s="156"/>
      <c r="AH140" s="156"/>
      <c r="AI140" s="156"/>
      <c r="AJ140" s="156"/>
      <c r="AK140" s="156"/>
      <c r="AL140" s="156"/>
      <c r="AM140" s="156"/>
      <c r="AN140" s="156"/>
      <c r="AO140" s="156"/>
      <c r="AP140" s="156"/>
      <c r="AQ140" s="156"/>
      <c r="AR140" s="156"/>
      <c r="AS140" s="156"/>
      <c r="AT140" s="156"/>
      <c r="AU140" s="156"/>
      <c r="AV140" s="156"/>
      <c r="AW140" s="156"/>
      <c r="AX140" s="156"/>
      <c r="AY140" s="156"/>
      <c r="AZ140" s="156"/>
      <c r="BA140" s="156"/>
      <c r="BB140" s="156"/>
      <c r="BC140" s="156"/>
      <c r="BD140" s="156"/>
      <c r="BE140" s="156"/>
      <c r="BF140" s="156"/>
      <c r="BG140" s="156"/>
      <c r="BH140" s="156"/>
      <c r="BI140" s="156"/>
    </row>
    <row r="141" spans="2:61">
      <c r="B141" s="156"/>
      <c r="C141" s="156"/>
      <c r="D141" s="156"/>
      <c r="E141" s="156"/>
      <c r="F141" s="156"/>
      <c r="G141" s="156"/>
      <c r="H141" s="156"/>
      <c r="I141" s="156"/>
      <c r="J141" s="156"/>
      <c r="K141" s="156"/>
      <c r="L141" s="156"/>
      <c r="M141" s="156"/>
      <c r="N141" s="156"/>
      <c r="O141" s="156"/>
      <c r="P141" s="156"/>
      <c r="Q141" s="156"/>
      <c r="R141" s="156"/>
      <c r="S141" s="156"/>
      <c r="T141" s="156"/>
      <c r="U141" s="156"/>
      <c r="V141" s="156"/>
      <c r="W141" s="156"/>
      <c r="X141" s="156"/>
      <c r="Y141" s="156"/>
      <c r="Z141" s="156"/>
      <c r="AA141" s="156"/>
      <c r="AB141" s="156"/>
      <c r="AC141" s="156"/>
      <c r="AD141" s="156"/>
      <c r="AE141" s="156"/>
      <c r="AF141" s="156"/>
      <c r="AG141" s="156"/>
      <c r="AH141" s="156"/>
      <c r="AI141" s="156"/>
      <c r="AJ141" s="156"/>
      <c r="AK141" s="156"/>
      <c r="AL141" s="156"/>
      <c r="AM141" s="156"/>
      <c r="AN141" s="156"/>
      <c r="AO141" s="156"/>
      <c r="AP141" s="156"/>
      <c r="AQ141" s="156"/>
      <c r="AR141" s="156"/>
      <c r="AS141" s="156"/>
      <c r="AT141" s="156"/>
      <c r="AU141" s="156"/>
      <c r="AV141" s="156"/>
      <c r="AW141" s="156"/>
      <c r="AX141" s="156"/>
      <c r="AY141" s="156"/>
      <c r="AZ141" s="156"/>
      <c r="BA141" s="156"/>
      <c r="BB141" s="156"/>
      <c r="BC141" s="156"/>
      <c r="BD141" s="156"/>
      <c r="BE141" s="156"/>
      <c r="BF141" s="156"/>
      <c r="BG141" s="156"/>
      <c r="BH141" s="156"/>
      <c r="BI141" s="156"/>
    </row>
    <row r="142" spans="2:61">
      <c r="BD142" s="156"/>
    </row>
    <row r="143" spans="2:61">
      <c r="BD143" s="156"/>
    </row>
    <row r="144" spans="2:61">
      <c r="BD144" s="156"/>
    </row>
    <row r="145" spans="56:56">
      <c r="BD145" s="156"/>
    </row>
    <row r="146" spans="56:56">
      <c r="BD146" s="156"/>
    </row>
    <row r="147" spans="56:56">
      <c r="BD147" s="156"/>
    </row>
  </sheetData>
  <phoneticPr fontId="19" type="noConversion"/>
  <pageMargins left="0.25" right="0.5" top="1" bottom="1" header="0.5" footer="0.5"/>
  <pageSetup scale="76" fitToWidth="6" orientation="landscape" r:id="rId1"/>
  <headerFooter alignWithMargins="0">
    <oddFooter>&amp;CPopulations by Race and Sex</oddFooter>
  </headerFooter>
  <rowBreaks count="1" manualBreakCount="1">
    <brk id="37" max="65535" man="1"/>
  </rowBreaks>
  <colBreaks count="2" manualBreakCount="2">
    <brk id="13" max="1048575" man="1"/>
    <brk id="3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9" enableFormatConditionsCalculation="0">
    <tabColor indexed="10"/>
  </sheetPr>
  <dimension ref="A1:AZ141"/>
  <sheetViews>
    <sheetView zoomScaleNormal="100" workbookViewId="0"/>
  </sheetViews>
  <sheetFormatPr defaultRowHeight="12.75"/>
  <cols>
    <col min="1" max="1" width="38" style="99" bestFit="1" customWidth="1"/>
    <col min="2" max="2" width="103.85546875" style="99" bestFit="1" customWidth="1"/>
    <col min="3" max="3" width="6.28515625" style="99" bestFit="1" customWidth="1"/>
    <col min="4" max="4" width="96.42578125" style="99" bestFit="1" customWidth="1"/>
    <col min="5" max="6" width="9.5703125" style="215" bestFit="1" customWidth="1"/>
    <col min="7" max="7" width="9.5703125" style="228" bestFit="1" customWidth="1"/>
    <col min="8" max="9" width="9.5703125" style="215" bestFit="1" customWidth="1"/>
    <col min="10" max="10" width="9.5703125" style="228" bestFit="1" customWidth="1"/>
    <col min="11" max="12" width="9.5703125" style="215" bestFit="1" customWidth="1"/>
    <col min="13" max="13" width="9.5703125" style="228" bestFit="1" customWidth="1"/>
    <col min="14" max="15" width="9.5703125" style="215" bestFit="1" customWidth="1"/>
    <col min="16" max="16" width="9.5703125" style="228" bestFit="1" customWidth="1"/>
    <col min="17" max="18" width="9.5703125" style="225" bestFit="1" customWidth="1"/>
    <col min="19" max="19" width="9.5703125" style="228" bestFit="1" customWidth="1"/>
    <col min="20" max="21" width="9.5703125" style="215" bestFit="1" customWidth="1"/>
    <col min="22" max="22" width="9.5703125" style="228" bestFit="1" customWidth="1"/>
    <col min="23" max="24" width="9.5703125" style="215" bestFit="1" customWidth="1"/>
    <col min="25" max="25" width="9.5703125" style="228" bestFit="1" customWidth="1"/>
    <col min="26" max="27" width="9.5703125" style="215" bestFit="1" customWidth="1"/>
    <col min="28" max="28" width="9.5703125" style="228" bestFit="1" customWidth="1"/>
    <col min="29" max="30" width="9.5703125" style="215" bestFit="1" customWidth="1"/>
    <col min="31" max="31" width="9.5703125" style="228" bestFit="1" customWidth="1"/>
    <col min="32" max="33" width="9.5703125" style="215" bestFit="1" customWidth="1"/>
    <col min="34" max="34" width="9.5703125" style="228" bestFit="1" customWidth="1"/>
    <col min="35" max="49" width="9.5703125" style="99" bestFit="1" customWidth="1"/>
    <col min="50" max="16384" width="9.140625" style="99"/>
  </cols>
  <sheetData>
    <row r="1" spans="1:52" ht="18" customHeight="1">
      <c r="B1" s="164" t="s">
        <v>287</v>
      </c>
    </row>
    <row r="2" spans="1:52" ht="12.75" customHeight="1">
      <c r="B2" s="165" t="s">
        <v>256</v>
      </c>
    </row>
    <row r="3" spans="1:52">
      <c r="B3" s="165" t="s">
        <v>331</v>
      </c>
    </row>
    <row r="4" spans="1:52">
      <c r="B4" s="251" t="s">
        <v>332</v>
      </c>
    </row>
    <row r="6" spans="1:52">
      <c r="B6" s="141"/>
      <c r="C6" s="141"/>
      <c r="D6" s="141"/>
      <c r="E6" s="216" t="s">
        <v>257</v>
      </c>
      <c r="F6" s="216" t="s">
        <v>258</v>
      </c>
      <c r="G6" s="229" t="s">
        <v>259</v>
      </c>
      <c r="H6" s="216" t="s">
        <v>257</v>
      </c>
      <c r="I6" s="216" t="s">
        <v>258</v>
      </c>
      <c r="J6" s="229" t="s">
        <v>259</v>
      </c>
      <c r="K6" s="216" t="s">
        <v>257</v>
      </c>
      <c r="L6" s="216" t="s">
        <v>258</v>
      </c>
      <c r="M6" s="229" t="s">
        <v>259</v>
      </c>
      <c r="N6" s="216" t="s">
        <v>257</v>
      </c>
      <c r="O6" s="216" t="s">
        <v>258</v>
      </c>
      <c r="P6" s="229" t="s">
        <v>259</v>
      </c>
      <c r="Q6" s="247" t="s">
        <v>257</v>
      </c>
      <c r="R6" s="247" t="s">
        <v>258</v>
      </c>
      <c r="S6" s="229" t="s">
        <v>259</v>
      </c>
      <c r="T6" s="216" t="s">
        <v>257</v>
      </c>
      <c r="U6" s="216" t="s">
        <v>258</v>
      </c>
      <c r="V6" s="229" t="s">
        <v>259</v>
      </c>
      <c r="W6" s="216" t="s">
        <v>257</v>
      </c>
      <c r="X6" s="216" t="s">
        <v>258</v>
      </c>
      <c r="Y6" s="229" t="s">
        <v>259</v>
      </c>
      <c r="Z6" s="216" t="s">
        <v>257</v>
      </c>
      <c r="AA6" s="216" t="s">
        <v>258</v>
      </c>
      <c r="AB6" s="229" t="s">
        <v>259</v>
      </c>
      <c r="AC6" s="216" t="s">
        <v>306</v>
      </c>
      <c r="AD6" s="216" t="s">
        <v>307</v>
      </c>
      <c r="AE6" s="229" t="s">
        <v>259</v>
      </c>
      <c r="AF6" s="216" t="s">
        <v>306</v>
      </c>
      <c r="AG6" s="216" t="s">
        <v>307</v>
      </c>
      <c r="AH6" s="229" t="s">
        <v>259</v>
      </c>
      <c r="AI6" s="216" t="s">
        <v>306</v>
      </c>
      <c r="AJ6" s="216" t="s">
        <v>307</v>
      </c>
      <c r="AK6" s="229" t="s">
        <v>259</v>
      </c>
      <c r="AL6" s="216" t="s">
        <v>306</v>
      </c>
      <c r="AM6" s="216" t="s">
        <v>307</v>
      </c>
      <c r="AN6" s="229" t="s">
        <v>259</v>
      </c>
      <c r="AO6" s="216" t="s">
        <v>306</v>
      </c>
      <c r="AP6" s="216" t="s">
        <v>307</v>
      </c>
      <c r="AQ6" s="229" t="s">
        <v>259</v>
      </c>
      <c r="AR6" s="216" t="s">
        <v>306</v>
      </c>
      <c r="AS6" s="216" t="s">
        <v>307</v>
      </c>
      <c r="AT6" s="229" t="s">
        <v>259</v>
      </c>
      <c r="AU6" s="216" t="s">
        <v>306</v>
      </c>
      <c r="AV6" s="216" t="s">
        <v>307</v>
      </c>
      <c r="AW6" s="229" t="s">
        <v>259</v>
      </c>
      <c r="AX6" s="216" t="s">
        <v>306</v>
      </c>
      <c r="AY6" s="216" t="s">
        <v>307</v>
      </c>
      <c r="AZ6" s="229" t="s">
        <v>259</v>
      </c>
    </row>
    <row r="7" spans="1:52">
      <c r="B7" s="141"/>
      <c r="C7" s="141"/>
      <c r="D7" s="141"/>
      <c r="E7" s="216" t="s">
        <v>322</v>
      </c>
      <c r="F7" s="216" t="s">
        <v>322</v>
      </c>
      <c r="G7" s="216" t="s">
        <v>322</v>
      </c>
      <c r="H7" s="216" t="s">
        <v>323</v>
      </c>
      <c r="I7" s="216" t="s">
        <v>323</v>
      </c>
      <c r="J7" s="216" t="s">
        <v>323</v>
      </c>
      <c r="K7" s="216" t="s">
        <v>324</v>
      </c>
      <c r="L7" s="216" t="s">
        <v>324</v>
      </c>
      <c r="M7" s="216" t="s">
        <v>324</v>
      </c>
      <c r="N7" s="216" t="s">
        <v>325</v>
      </c>
      <c r="O7" s="216" t="s">
        <v>325</v>
      </c>
      <c r="P7" s="216" t="s">
        <v>325</v>
      </c>
      <c r="Q7" s="216" t="s">
        <v>326</v>
      </c>
      <c r="R7" s="216" t="s">
        <v>326</v>
      </c>
      <c r="S7" s="216" t="s">
        <v>326</v>
      </c>
      <c r="T7" s="216" t="s">
        <v>264</v>
      </c>
      <c r="U7" s="216" t="s">
        <v>264</v>
      </c>
      <c r="V7" s="229" t="s">
        <v>264</v>
      </c>
      <c r="W7" s="216" t="s">
        <v>277</v>
      </c>
      <c r="X7" s="216" t="s">
        <v>277</v>
      </c>
      <c r="Y7" s="229" t="s">
        <v>277</v>
      </c>
      <c r="Z7" s="226" t="s">
        <v>289</v>
      </c>
      <c r="AA7" s="226" t="s">
        <v>289</v>
      </c>
      <c r="AB7" s="241" t="s">
        <v>289</v>
      </c>
      <c r="AC7" s="226" t="s">
        <v>305</v>
      </c>
      <c r="AD7" s="226" t="s">
        <v>305</v>
      </c>
      <c r="AE7" s="241" t="s">
        <v>305</v>
      </c>
      <c r="AF7" s="226" t="s">
        <v>312</v>
      </c>
      <c r="AG7" s="226" t="s">
        <v>312</v>
      </c>
      <c r="AH7" s="241" t="s">
        <v>312</v>
      </c>
      <c r="AI7" s="226" t="s">
        <v>318</v>
      </c>
      <c r="AJ7" s="226" t="s">
        <v>318</v>
      </c>
      <c r="AK7" s="226" t="s">
        <v>318</v>
      </c>
      <c r="AL7" s="226" t="s">
        <v>321</v>
      </c>
      <c r="AM7" s="226" t="s">
        <v>321</v>
      </c>
      <c r="AN7" s="226" t="s">
        <v>321</v>
      </c>
      <c r="AO7" s="226" t="s">
        <v>328</v>
      </c>
      <c r="AP7" s="226" t="s">
        <v>328</v>
      </c>
      <c r="AQ7" s="226" t="s">
        <v>328</v>
      </c>
      <c r="AR7" s="226" t="s">
        <v>329</v>
      </c>
      <c r="AS7" s="226" t="s">
        <v>329</v>
      </c>
      <c r="AT7" s="226" t="s">
        <v>329</v>
      </c>
      <c r="AU7" s="226" t="s">
        <v>333</v>
      </c>
      <c r="AV7" s="226" t="s">
        <v>333</v>
      </c>
      <c r="AW7" s="226" t="s">
        <v>333</v>
      </c>
      <c r="AX7" s="226" t="s">
        <v>335</v>
      </c>
      <c r="AY7" s="226" t="s">
        <v>335</v>
      </c>
      <c r="AZ7" s="226" t="s">
        <v>335</v>
      </c>
    </row>
    <row r="8" spans="1:52">
      <c r="B8" s="166" t="s">
        <v>265</v>
      </c>
      <c r="C8" s="167" t="s">
        <v>266</v>
      </c>
      <c r="D8" s="166" t="s">
        <v>267</v>
      </c>
      <c r="E8" s="217" t="s">
        <v>97</v>
      </c>
      <c r="F8" s="217" t="s">
        <v>97</v>
      </c>
      <c r="G8" s="230" t="s">
        <v>96</v>
      </c>
      <c r="H8" s="217" t="s">
        <v>97</v>
      </c>
      <c r="I8" s="217" t="s">
        <v>97</v>
      </c>
      <c r="J8" s="230" t="s">
        <v>96</v>
      </c>
      <c r="K8" s="217" t="s">
        <v>97</v>
      </c>
      <c r="L8" s="217" t="s">
        <v>97</v>
      </c>
      <c r="M8" s="230" t="s">
        <v>96</v>
      </c>
      <c r="N8" s="217" t="s">
        <v>97</v>
      </c>
      <c r="O8" s="217" t="s">
        <v>97</v>
      </c>
      <c r="P8" s="230" t="s">
        <v>96</v>
      </c>
      <c r="Q8" s="248" t="s">
        <v>97</v>
      </c>
      <c r="R8" s="248" t="s">
        <v>97</v>
      </c>
      <c r="S8" s="230" t="s">
        <v>96</v>
      </c>
      <c r="T8" s="217" t="s">
        <v>97</v>
      </c>
      <c r="U8" s="217" t="s">
        <v>97</v>
      </c>
      <c r="V8" s="230" t="s">
        <v>96</v>
      </c>
      <c r="W8" s="217" t="s">
        <v>97</v>
      </c>
      <c r="X8" s="217" t="s">
        <v>97</v>
      </c>
      <c r="Y8" s="230" t="s">
        <v>96</v>
      </c>
      <c r="Z8" s="217" t="s">
        <v>97</v>
      </c>
      <c r="AA8" s="217" t="s">
        <v>97</v>
      </c>
      <c r="AB8" s="230" t="s">
        <v>96</v>
      </c>
      <c r="AC8" s="217" t="s">
        <v>308</v>
      </c>
      <c r="AD8" s="217" t="s">
        <v>308</v>
      </c>
      <c r="AE8" s="230" t="s">
        <v>309</v>
      </c>
      <c r="AF8" s="217" t="s">
        <v>308</v>
      </c>
      <c r="AG8" s="217" t="s">
        <v>308</v>
      </c>
      <c r="AH8" s="230" t="s">
        <v>309</v>
      </c>
      <c r="AI8" s="217" t="s">
        <v>308</v>
      </c>
      <c r="AJ8" s="217" t="s">
        <v>308</v>
      </c>
      <c r="AK8" s="230" t="s">
        <v>309</v>
      </c>
      <c r="AL8" s="217" t="s">
        <v>308</v>
      </c>
      <c r="AM8" s="217" t="s">
        <v>308</v>
      </c>
      <c r="AN8" s="230" t="s">
        <v>309</v>
      </c>
      <c r="AO8" s="217" t="s">
        <v>308</v>
      </c>
      <c r="AP8" s="217" t="s">
        <v>308</v>
      </c>
      <c r="AQ8" s="230" t="s">
        <v>309</v>
      </c>
      <c r="AR8" s="217" t="s">
        <v>308</v>
      </c>
      <c r="AS8" s="217" t="s">
        <v>308</v>
      </c>
      <c r="AT8" s="230" t="s">
        <v>309</v>
      </c>
      <c r="AU8" s="217" t="s">
        <v>308</v>
      </c>
      <c r="AV8" s="217" t="s">
        <v>308</v>
      </c>
      <c r="AW8" s="230" t="s">
        <v>309</v>
      </c>
      <c r="AX8" s="217" t="s">
        <v>308</v>
      </c>
      <c r="AY8" s="217" t="s">
        <v>308</v>
      </c>
      <c r="AZ8" s="230" t="s">
        <v>309</v>
      </c>
    </row>
    <row r="9" spans="1:52" s="141" customFormat="1">
      <c r="A9" s="200" t="s">
        <v>337</v>
      </c>
      <c r="B9" s="201" t="s">
        <v>254</v>
      </c>
      <c r="C9" s="201" t="s">
        <v>268</v>
      </c>
      <c r="D9" s="202" t="s">
        <v>313</v>
      </c>
      <c r="E9" s="245" t="e">
        <v>#N/A</v>
      </c>
      <c r="F9" s="243">
        <v>4.603668152</v>
      </c>
      <c r="G9" s="231" t="e">
        <v>#N/A</v>
      </c>
      <c r="H9" s="245">
        <v>17.009713453</v>
      </c>
      <c r="I9" s="243">
        <v>4.4771888110000004</v>
      </c>
      <c r="J9" s="231">
        <v>3.7991950241653543</v>
      </c>
      <c r="K9" s="245">
        <v>16.804383766000001</v>
      </c>
      <c r="L9" s="243">
        <v>4.3778728679999999</v>
      </c>
      <c r="M9" s="231">
        <v>3.8384814435410877</v>
      </c>
      <c r="N9" s="245">
        <v>16.569297035999998</v>
      </c>
      <c r="O9" s="243">
        <v>4.2845302050000003</v>
      </c>
      <c r="P9" s="231">
        <v>3.8672377701209362</v>
      </c>
      <c r="Q9" s="245">
        <v>16.271054788000001</v>
      </c>
      <c r="R9" s="243">
        <v>4.1629268880000003</v>
      </c>
      <c r="S9" s="231">
        <v>3.9085612660896674</v>
      </c>
      <c r="T9" s="245">
        <v>16.123159345000001</v>
      </c>
      <c r="U9" s="243">
        <v>4.0234416839999998</v>
      </c>
      <c r="V9" s="231">
        <v>4.0073053398827394</v>
      </c>
      <c r="W9" s="245">
        <v>15.843994868999999</v>
      </c>
      <c r="X9" s="243">
        <v>3.9525901989999999</v>
      </c>
      <c r="Y9" s="231">
        <v>4.0085093751961711</v>
      </c>
      <c r="Z9" s="245">
        <v>15.687108008999999</v>
      </c>
      <c r="AA9" s="243">
        <v>3.8919554289999998</v>
      </c>
      <c r="AB9" s="231">
        <v>4.0306494499169148</v>
      </c>
      <c r="AC9" s="245">
        <v>15.499740621000001</v>
      </c>
      <c r="AD9" s="243">
        <v>3.813414259</v>
      </c>
      <c r="AE9" s="231">
        <v>4.0645310391912499</v>
      </c>
      <c r="AF9" s="245">
        <v>15.590571545</v>
      </c>
      <c r="AG9" s="243">
        <v>3.7943904380000002</v>
      </c>
      <c r="AH9" s="231">
        <v>4.1088474683216027</v>
      </c>
      <c r="AI9" s="245">
        <v>15.556791559000001</v>
      </c>
      <c r="AJ9" s="245">
        <v>3.7667214910000002</v>
      </c>
      <c r="AK9" s="231">
        <v>4.1300615392379161</v>
      </c>
      <c r="AL9" s="245">
        <v>15.477927288</v>
      </c>
      <c r="AM9" s="245">
        <v>3.7118276730000002</v>
      </c>
      <c r="AN9" s="231">
        <v>4.169893823624176</v>
      </c>
      <c r="AO9" s="245">
        <v>15.470652717</v>
      </c>
      <c r="AP9" s="245">
        <v>3.6798827959999998</v>
      </c>
      <c r="AQ9" s="231">
        <v>4.204115613088673</v>
      </c>
      <c r="AR9" s="245">
        <v>15.677461632</v>
      </c>
      <c r="AS9" s="245">
        <v>3.6450608390000001</v>
      </c>
      <c r="AT9" s="231">
        <v>4.3010150788871373</v>
      </c>
      <c r="AU9" s="245">
        <v>15.81619972</v>
      </c>
      <c r="AV9" s="245">
        <v>3.6064088230000002</v>
      </c>
      <c r="AW9" s="231">
        <v>4.3855814734956349</v>
      </c>
      <c r="AX9" s="245">
        <v>15.871861676</v>
      </c>
      <c r="AY9" s="245">
        <v>3.6266046950000002</v>
      </c>
      <c r="AZ9" s="231">
        <v>4.3765072322005585</v>
      </c>
    </row>
    <row r="10" spans="1:52" s="141" customFormat="1">
      <c r="A10" s="200" t="s">
        <v>338</v>
      </c>
      <c r="B10" s="201" t="s">
        <v>254</v>
      </c>
      <c r="C10" s="201" t="s">
        <v>268</v>
      </c>
      <c r="D10" s="202" t="s">
        <v>100</v>
      </c>
      <c r="E10" s="245" t="e">
        <v>#N/A</v>
      </c>
      <c r="F10" s="243">
        <v>6.7232696369999996</v>
      </c>
      <c r="G10" s="231" t="e">
        <v>#N/A</v>
      </c>
      <c r="H10" s="245">
        <v>6.9397827889999997</v>
      </c>
      <c r="I10" s="243">
        <v>6.846818828</v>
      </c>
      <c r="J10" s="231">
        <v>1.0135776867090194</v>
      </c>
      <c r="K10" s="245">
        <v>7.0031070629999999</v>
      </c>
      <c r="L10" s="243">
        <v>6.9454758029999999</v>
      </c>
      <c r="M10" s="231">
        <v>1.0082976691064285</v>
      </c>
      <c r="N10" s="245">
        <v>7.1487934639999997</v>
      </c>
      <c r="O10" s="243">
        <v>7.0863712049999998</v>
      </c>
      <c r="P10" s="231">
        <v>1.0088087763390035</v>
      </c>
      <c r="Q10" s="245">
        <v>7.399928107</v>
      </c>
      <c r="R10" s="243">
        <v>7.1890650129999996</v>
      </c>
      <c r="S10" s="231">
        <v>1.0293310873693167</v>
      </c>
      <c r="T10" s="245">
        <v>7.5779988359999999</v>
      </c>
      <c r="U10" s="243">
        <v>7.3017664760000001</v>
      </c>
      <c r="V10" s="231">
        <v>1.0378308948811141</v>
      </c>
      <c r="W10" s="245">
        <v>7.7585945220000001</v>
      </c>
      <c r="X10" s="243">
        <v>7.4220579649999996</v>
      </c>
      <c r="Y10" s="231">
        <v>1.0453427551478305</v>
      </c>
      <c r="Z10" s="245">
        <v>7.8012426530000001</v>
      </c>
      <c r="AA10" s="243">
        <v>7.5543088200000001</v>
      </c>
      <c r="AB10" s="231">
        <v>1.0326878128606873</v>
      </c>
      <c r="AC10" s="245">
        <v>7.840337978</v>
      </c>
      <c r="AD10" s="243">
        <v>7.6339721880000004</v>
      </c>
      <c r="AE10" s="231">
        <v>1.0270325572215719</v>
      </c>
      <c r="AF10" s="245">
        <v>7.9676457699999998</v>
      </c>
      <c r="AG10" s="243">
        <v>7.6994706009999998</v>
      </c>
      <c r="AH10" s="231">
        <v>1.034830338720323</v>
      </c>
      <c r="AI10" s="245">
        <v>8.0166810300000009</v>
      </c>
      <c r="AJ10" s="245">
        <v>7.8020140749999998</v>
      </c>
      <c r="AK10" s="231">
        <v>1.0275142998892888</v>
      </c>
      <c r="AL10" s="245">
        <v>7.8847734850000002</v>
      </c>
      <c r="AM10" s="245">
        <v>7.8666280559999997</v>
      </c>
      <c r="AN10" s="231">
        <v>1.0023066336517792</v>
      </c>
      <c r="AO10" s="245">
        <v>7.9594526810000001</v>
      </c>
      <c r="AP10" s="245">
        <v>7.8733581570000002</v>
      </c>
      <c r="AQ10" s="231">
        <v>1.0109349177673894</v>
      </c>
      <c r="AR10" s="245">
        <v>7.9803438819999997</v>
      </c>
      <c r="AS10" s="245">
        <v>7.8763644150000003</v>
      </c>
      <c r="AT10" s="231">
        <v>1.0132014545698238</v>
      </c>
      <c r="AU10" s="245">
        <v>7.8980360159999998</v>
      </c>
      <c r="AV10" s="245">
        <v>7.8626005430000001</v>
      </c>
      <c r="AW10" s="231">
        <v>1.00450683877506</v>
      </c>
      <c r="AX10" s="245">
        <v>7.8307690890000003</v>
      </c>
      <c r="AY10" s="245">
        <v>7.8062708230000002</v>
      </c>
      <c r="AZ10" s="231">
        <v>1.0031382803076496</v>
      </c>
    </row>
    <row r="11" spans="1:52" s="141" customFormat="1">
      <c r="A11" s="200" t="s">
        <v>339</v>
      </c>
      <c r="B11" s="201" t="s">
        <v>254</v>
      </c>
      <c r="C11" s="201" t="s">
        <v>268</v>
      </c>
      <c r="D11" s="202" t="s">
        <v>101</v>
      </c>
      <c r="E11" s="245" t="e">
        <v>#N/A</v>
      </c>
      <c r="F11" s="243">
        <v>7.2982840729999996</v>
      </c>
      <c r="G11" s="231" t="e">
        <v>#N/A</v>
      </c>
      <c r="H11" s="245">
        <v>12.139038228</v>
      </c>
      <c r="I11" s="243">
        <v>7.0238916930000004</v>
      </c>
      <c r="J11" s="231">
        <v>1.7282496311977229</v>
      </c>
      <c r="K11" s="245">
        <v>11.920804041</v>
      </c>
      <c r="L11" s="243">
        <v>6.8268024919999997</v>
      </c>
      <c r="M11" s="231">
        <v>1.7461767870052509</v>
      </c>
      <c r="N11" s="245">
        <v>11.669591254</v>
      </c>
      <c r="O11" s="243">
        <v>6.5704970339999997</v>
      </c>
      <c r="P11" s="231">
        <v>1.7760591312367984</v>
      </c>
      <c r="Q11" s="245">
        <v>11.447553987999999</v>
      </c>
      <c r="R11" s="243">
        <v>6.3177109219999998</v>
      </c>
      <c r="S11" s="231">
        <v>1.8119781245666813</v>
      </c>
      <c r="T11" s="245">
        <v>11.202921217</v>
      </c>
      <c r="U11" s="243">
        <v>6.0680983709999996</v>
      </c>
      <c r="V11" s="231">
        <v>1.8461996711424111</v>
      </c>
      <c r="W11" s="245">
        <v>10.885560503000001</v>
      </c>
      <c r="X11" s="243">
        <v>5.8275844660000002</v>
      </c>
      <c r="Y11" s="231">
        <v>1.8679369756903323</v>
      </c>
      <c r="Z11" s="245">
        <v>10.718385026</v>
      </c>
      <c r="AA11" s="243">
        <v>5.6228428729999997</v>
      </c>
      <c r="AB11" s="231">
        <v>1.9062216868033048</v>
      </c>
      <c r="AC11" s="245">
        <v>10.522959266999999</v>
      </c>
      <c r="AD11" s="243">
        <v>5.4199740219999999</v>
      </c>
      <c r="AE11" s="231">
        <v>1.9415147054739885</v>
      </c>
      <c r="AF11" s="245">
        <v>10.358559412</v>
      </c>
      <c r="AG11" s="243">
        <v>5.245278463</v>
      </c>
      <c r="AH11" s="231">
        <v>1.9748349844662956</v>
      </c>
      <c r="AI11" s="245">
        <v>10.143930347</v>
      </c>
      <c r="AJ11" s="245">
        <v>5.037359253</v>
      </c>
      <c r="AK11" s="231">
        <v>2.0137397071608065</v>
      </c>
      <c r="AL11" s="245">
        <v>10.037402496</v>
      </c>
      <c r="AM11" s="245">
        <v>4.8527230860000001</v>
      </c>
      <c r="AN11" s="231">
        <v>2.0684061954735653</v>
      </c>
      <c r="AO11" s="245">
        <v>9.9209652930000001</v>
      </c>
      <c r="AP11" s="245">
        <v>4.6730671130000001</v>
      </c>
      <c r="AQ11" s="231">
        <v>2.1230093754487021</v>
      </c>
      <c r="AR11" s="245">
        <v>9.753483138</v>
      </c>
      <c r="AS11" s="245">
        <v>4.5101303640000001</v>
      </c>
      <c r="AT11" s="231">
        <v>2.1625723318005625</v>
      </c>
      <c r="AU11" s="245">
        <v>9.679756824</v>
      </c>
      <c r="AV11" s="245">
        <v>4.3488581709999998</v>
      </c>
      <c r="AW11" s="231">
        <v>2.2258157068787976</v>
      </c>
      <c r="AX11" s="245">
        <v>9.6045281239999998</v>
      </c>
      <c r="AY11" s="245">
        <v>4.2371547239999998</v>
      </c>
      <c r="AZ11" s="231">
        <v>2.266740005881362</v>
      </c>
    </row>
    <row r="12" spans="1:52" s="141" customFormat="1">
      <c r="A12" s="200" t="s">
        <v>340</v>
      </c>
      <c r="B12" s="201" t="s">
        <v>254</v>
      </c>
      <c r="C12" s="201" t="s">
        <v>268</v>
      </c>
      <c r="D12" s="202" t="s">
        <v>102</v>
      </c>
      <c r="E12" s="245" t="e">
        <v>#N/A</v>
      </c>
      <c r="F12" s="243">
        <v>28.289399132</v>
      </c>
      <c r="G12" s="231" t="e">
        <v>#N/A</v>
      </c>
      <c r="H12" s="245">
        <v>65.626223146000001</v>
      </c>
      <c r="I12" s="243">
        <v>27.669864660999998</v>
      </c>
      <c r="J12" s="231">
        <v>2.3717580100237559</v>
      </c>
      <c r="K12" s="245">
        <v>65.005722147</v>
      </c>
      <c r="L12" s="243">
        <v>27.010562511</v>
      </c>
      <c r="M12" s="231">
        <v>2.4066778365140133</v>
      </c>
      <c r="N12" s="245">
        <v>64.967194610000007</v>
      </c>
      <c r="O12" s="243">
        <v>26.399945248000002</v>
      </c>
      <c r="P12" s="231">
        <v>2.4608836874357447</v>
      </c>
      <c r="Q12" s="245">
        <v>64.741452769999995</v>
      </c>
      <c r="R12" s="243">
        <v>25.831621723000001</v>
      </c>
      <c r="S12" s="231">
        <v>2.5062868086348367</v>
      </c>
      <c r="T12" s="245">
        <v>64.626637307999999</v>
      </c>
      <c r="U12" s="243">
        <v>25.296089976000001</v>
      </c>
      <c r="V12" s="231">
        <v>2.5548073781092402</v>
      </c>
      <c r="W12" s="245">
        <v>63.863288885999999</v>
      </c>
      <c r="X12" s="243">
        <v>24.802885235000002</v>
      </c>
      <c r="Y12" s="231">
        <v>2.5748330599812976</v>
      </c>
      <c r="Z12" s="245">
        <v>62.416994791999997</v>
      </c>
      <c r="AA12" s="243">
        <v>24.342073572</v>
      </c>
      <c r="AB12" s="231">
        <v>2.5641609621867425</v>
      </c>
      <c r="AC12" s="245">
        <v>60.683500639999998</v>
      </c>
      <c r="AD12" s="243">
        <v>23.835786193000001</v>
      </c>
      <c r="AE12" s="231">
        <v>2.5458988492614223</v>
      </c>
      <c r="AF12" s="245">
        <v>59.020188967000003</v>
      </c>
      <c r="AG12" s="243">
        <v>23.087654229000002</v>
      </c>
      <c r="AH12" s="231">
        <v>2.5563527754528552</v>
      </c>
      <c r="AI12" s="245">
        <v>57.413170995999998</v>
      </c>
      <c r="AJ12" s="245">
        <v>22.307843738999999</v>
      </c>
      <c r="AK12" s="231">
        <v>2.5736764013469675</v>
      </c>
      <c r="AL12" s="245">
        <v>55.601774132000003</v>
      </c>
      <c r="AM12" s="245">
        <v>21.548402313</v>
      </c>
      <c r="AN12" s="231">
        <v>2.5803200313582342</v>
      </c>
      <c r="AO12" s="245">
        <v>54.16562038</v>
      </c>
      <c r="AP12" s="245">
        <v>20.807492782000001</v>
      </c>
      <c r="AQ12" s="231">
        <v>2.6031786216385098</v>
      </c>
      <c r="AR12" s="245">
        <v>52.868630676999999</v>
      </c>
      <c r="AS12" s="245">
        <v>20.085949174</v>
      </c>
      <c r="AT12" s="231">
        <v>2.6321201063993094</v>
      </c>
      <c r="AU12" s="245">
        <v>51.192453209</v>
      </c>
      <c r="AV12" s="245">
        <v>19.545020225999998</v>
      </c>
      <c r="AW12" s="231">
        <v>2.6192069702184613</v>
      </c>
      <c r="AX12" s="245">
        <v>49.313824859999997</v>
      </c>
      <c r="AY12" s="245">
        <v>19.057425811000002</v>
      </c>
      <c r="AZ12" s="231">
        <v>2.5876435437327485</v>
      </c>
    </row>
    <row r="13" spans="1:52" s="141" customFormat="1">
      <c r="A13" s="200" t="s">
        <v>341</v>
      </c>
      <c r="B13" s="201" t="s">
        <v>254</v>
      </c>
      <c r="C13" s="201" t="s">
        <v>268</v>
      </c>
      <c r="D13" s="202" t="s">
        <v>103</v>
      </c>
      <c r="E13" s="245" t="e">
        <v>#N/A</v>
      </c>
      <c r="F13" s="243">
        <v>4.4079742700000004</v>
      </c>
      <c r="G13" s="231" t="e">
        <v>#N/A</v>
      </c>
      <c r="H13" s="245">
        <v>5.1313526139999999</v>
      </c>
      <c r="I13" s="243">
        <v>4.557163311</v>
      </c>
      <c r="J13" s="231">
        <v>1.12599708718229</v>
      </c>
      <c r="K13" s="245">
        <v>5.3706678009999997</v>
      </c>
      <c r="L13" s="243">
        <v>4.670108902</v>
      </c>
      <c r="M13" s="231">
        <v>1.1500091140701199</v>
      </c>
      <c r="N13" s="245">
        <v>5.592214319</v>
      </c>
      <c r="O13" s="243">
        <v>4.8011180449999999</v>
      </c>
      <c r="P13" s="231">
        <v>1.1647733437472687</v>
      </c>
      <c r="Q13" s="245">
        <v>5.9392189809999998</v>
      </c>
      <c r="R13" s="243">
        <v>4.8807586409999999</v>
      </c>
      <c r="S13" s="231">
        <v>1.2168638971631542</v>
      </c>
      <c r="T13" s="245">
        <v>6.2695071770000004</v>
      </c>
      <c r="U13" s="243">
        <v>4.937521705</v>
      </c>
      <c r="V13" s="231">
        <v>1.2697680236324147</v>
      </c>
      <c r="W13" s="245">
        <v>6.3955805659999996</v>
      </c>
      <c r="X13" s="243">
        <v>5.0147104420000002</v>
      </c>
      <c r="Y13" s="231">
        <v>1.2753638799230991</v>
      </c>
      <c r="Z13" s="245">
        <v>6.6227693360000002</v>
      </c>
      <c r="AA13" s="243">
        <v>5.0967211939999997</v>
      </c>
      <c r="AB13" s="231">
        <v>1.2994176224111507</v>
      </c>
      <c r="AC13" s="245">
        <v>6.9081880760000001</v>
      </c>
      <c r="AD13" s="243">
        <v>5.172338828</v>
      </c>
      <c r="AE13" s="231">
        <v>1.3356023852503887</v>
      </c>
      <c r="AF13" s="245">
        <v>7.1906876210000004</v>
      </c>
      <c r="AG13" s="243">
        <v>5.2659465360000004</v>
      </c>
      <c r="AH13" s="231">
        <v>1.3655071451716692</v>
      </c>
      <c r="AI13" s="245">
        <v>7.5553299010000003</v>
      </c>
      <c r="AJ13" s="245">
        <v>5.4184326399999998</v>
      </c>
      <c r="AK13" s="231">
        <v>1.3943755331061938</v>
      </c>
      <c r="AL13" s="245">
        <v>8.0073424309999996</v>
      </c>
      <c r="AM13" s="245">
        <v>5.5180754370000002</v>
      </c>
      <c r="AN13" s="231">
        <v>1.4511114468114872</v>
      </c>
      <c r="AO13" s="245">
        <v>8.5229772510000004</v>
      </c>
      <c r="AP13" s="245">
        <v>5.6157583200000003</v>
      </c>
      <c r="AQ13" s="231">
        <v>1.5176894669142384</v>
      </c>
      <c r="AR13" s="245">
        <v>8.9603229590000009</v>
      </c>
      <c r="AS13" s="245">
        <v>5.7672074750000002</v>
      </c>
      <c r="AT13" s="231">
        <v>1.5536675241599489</v>
      </c>
      <c r="AU13" s="245">
        <v>9.4040743639999995</v>
      </c>
      <c r="AV13" s="245">
        <v>5.9602898389999996</v>
      </c>
      <c r="AW13" s="231">
        <v>1.5777880972274645</v>
      </c>
      <c r="AX13" s="245">
        <v>9.6820390419999995</v>
      </c>
      <c r="AY13" s="245">
        <v>6.0915644049999997</v>
      </c>
      <c r="AZ13" s="231">
        <v>1.5894174957836631</v>
      </c>
    </row>
    <row r="14" spans="1:52" s="141" customFormat="1">
      <c r="A14" s="200" t="s">
        <v>342</v>
      </c>
      <c r="B14" s="201" t="s">
        <v>254</v>
      </c>
      <c r="C14" s="201" t="s">
        <v>268</v>
      </c>
      <c r="D14" s="202" t="s">
        <v>104</v>
      </c>
      <c r="E14" s="245" t="e">
        <v>#N/A</v>
      </c>
      <c r="F14" s="243">
        <v>12.086066672999999</v>
      </c>
      <c r="G14" s="231" t="e">
        <v>#N/A</v>
      </c>
      <c r="H14" s="245">
        <v>12.357553454</v>
      </c>
      <c r="I14" s="243">
        <v>11.991774609</v>
      </c>
      <c r="J14" s="231">
        <v>1.0305024783175525</v>
      </c>
      <c r="K14" s="245">
        <v>12.363452312</v>
      </c>
      <c r="L14" s="243">
        <v>11.940673178000001</v>
      </c>
      <c r="M14" s="231">
        <v>1.0354066414596244</v>
      </c>
      <c r="N14" s="245">
        <v>12.511117390000001</v>
      </c>
      <c r="O14" s="243">
        <v>11.936390921999999</v>
      </c>
      <c r="P14" s="231">
        <v>1.0481490989827353</v>
      </c>
      <c r="Q14" s="245">
        <v>12.485958533</v>
      </c>
      <c r="R14" s="243">
        <v>11.952275398999999</v>
      </c>
      <c r="S14" s="231">
        <v>1.0446511744570957</v>
      </c>
      <c r="T14" s="245">
        <v>12.532895328</v>
      </c>
      <c r="U14" s="243">
        <v>11.965533475000001</v>
      </c>
      <c r="V14" s="231">
        <v>1.0474163441342093</v>
      </c>
      <c r="W14" s="245">
        <v>12.669033151000001</v>
      </c>
      <c r="X14" s="243">
        <v>12.019210211000001</v>
      </c>
      <c r="Y14" s="231">
        <v>1.0540653610838158</v>
      </c>
      <c r="Z14" s="245">
        <v>12.750222999</v>
      </c>
      <c r="AA14" s="243">
        <v>12.041785734999999</v>
      </c>
      <c r="AB14" s="231">
        <v>1.0588315786039022</v>
      </c>
      <c r="AC14" s="245">
        <v>12.652995132999999</v>
      </c>
      <c r="AD14" s="243">
        <v>12.021337025999999</v>
      </c>
      <c r="AE14" s="231">
        <v>1.0525447465314246</v>
      </c>
      <c r="AF14" s="245">
        <v>12.826117618</v>
      </c>
      <c r="AG14" s="243">
        <v>12.056416588999999</v>
      </c>
      <c r="AH14" s="231">
        <v>1.0638416086005404</v>
      </c>
      <c r="AI14" s="245">
        <v>13.000664969000001</v>
      </c>
      <c r="AJ14" s="245">
        <v>12.120493414</v>
      </c>
      <c r="AK14" s="231">
        <v>1.0726184590788477</v>
      </c>
      <c r="AL14" s="245">
        <v>13.208863063000001</v>
      </c>
      <c r="AM14" s="245">
        <v>12.191316729</v>
      </c>
      <c r="AN14" s="231">
        <v>1.0834648427744904</v>
      </c>
      <c r="AO14" s="245">
        <v>13.404924135</v>
      </c>
      <c r="AP14" s="245">
        <v>12.265975414</v>
      </c>
      <c r="AQ14" s="231">
        <v>1.0928543130536557</v>
      </c>
      <c r="AR14" s="245">
        <v>13.683427451</v>
      </c>
      <c r="AS14" s="245">
        <v>12.363665322999999</v>
      </c>
      <c r="AT14" s="231">
        <v>1.1067452162058173</v>
      </c>
      <c r="AU14" s="245">
        <v>13.845776087999999</v>
      </c>
      <c r="AV14" s="245">
        <v>12.388757436000001</v>
      </c>
      <c r="AW14" s="231">
        <v>1.1176081345951698</v>
      </c>
      <c r="AX14" s="245">
        <v>13.802945359000001</v>
      </c>
      <c r="AY14" s="245">
        <v>12.457834722999999</v>
      </c>
      <c r="AZ14" s="231">
        <v>1.1079730680257478</v>
      </c>
    </row>
    <row r="15" spans="1:52" s="141" customFormat="1">
      <c r="A15" s="200" t="s">
        <v>343</v>
      </c>
      <c r="B15" s="201" t="s">
        <v>254</v>
      </c>
      <c r="C15" s="201" t="s">
        <v>268</v>
      </c>
      <c r="D15" s="202" t="s">
        <v>105</v>
      </c>
      <c r="E15" s="245" t="e">
        <v>#N/A</v>
      </c>
      <c r="F15" s="243">
        <v>85.087186962000004</v>
      </c>
      <c r="G15" s="231" t="e">
        <v>#N/A</v>
      </c>
      <c r="H15" s="245">
        <v>86.616017244000005</v>
      </c>
      <c r="I15" s="243">
        <v>83.773638004999995</v>
      </c>
      <c r="J15" s="231">
        <v>1.0339292802209492</v>
      </c>
      <c r="K15" s="245">
        <v>84.595378085999997</v>
      </c>
      <c r="L15" s="243">
        <v>82.540147255999997</v>
      </c>
      <c r="M15" s="231">
        <v>1.0248997717877297</v>
      </c>
      <c r="N15" s="245">
        <v>83.381673704999997</v>
      </c>
      <c r="O15" s="243">
        <v>81.120268788999994</v>
      </c>
      <c r="P15" s="231">
        <v>1.0278771871661581</v>
      </c>
      <c r="Q15" s="245">
        <v>81.884210049999993</v>
      </c>
      <c r="R15" s="243">
        <v>79.485759684000001</v>
      </c>
      <c r="S15" s="231">
        <v>1.0301745919713816</v>
      </c>
      <c r="T15" s="245">
        <v>80.137233167000005</v>
      </c>
      <c r="U15" s="243">
        <v>78.047209905000003</v>
      </c>
      <c r="V15" s="231">
        <v>1.0267789619198944</v>
      </c>
      <c r="W15" s="245">
        <v>78.846499968000003</v>
      </c>
      <c r="X15" s="243">
        <v>76.698828750000004</v>
      </c>
      <c r="Y15" s="231">
        <v>1.0280013561224035</v>
      </c>
      <c r="Z15" s="245">
        <v>77.639283861999999</v>
      </c>
      <c r="AA15" s="243">
        <v>75.318420348000004</v>
      </c>
      <c r="AB15" s="231">
        <v>1.0308140226955997</v>
      </c>
      <c r="AC15" s="245">
        <v>76.08434819</v>
      </c>
      <c r="AD15" s="243">
        <v>73.882645401000005</v>
      </c>
      <c r="AE15" s="231">
        <v>1.0297999994051403</v>
      </c>
      <c r="AF15" s="245">
        <v>74.395306669999997</v>
      </c>
      <c r="AG15" s="243">
        <v>72.682721486000005</v>
      </c>
      <c r="AH15" s="231">
        <v>1.023562480173914</v>
      </c>
      <c r="AI15" s="245">
        <v>73.303451670000001</v>
      </c>
      <c r="AJ15" s="245">
        <v>71.419546816999997</v>
      </c>
      <c r="AK15" s="231">
        <v>1.0263780006589398</v>
      </c>
      <c r="AL15" s="245">
        <v>71.751016581000002</v>
      </c>
      <c r="AM15" s="245">
        <v>69.965176075000002</v>
      </c>
      <c r="AN15" s="231">
        <v>1.0255247053775103</v>
      </c>
      <c r="AO15" s="245">
        <v>70.447660432999996</v>
      </c>
      <c r="AP15" s="245">
        <v>68.330920012999997</v>
      </c>
      <c r="AQ15" s="231">
        <v>1.0309777831119102</v>
      </c>
      <c r="AR15" s="245">
        <v>68.761915041999998</v>
      </c>
      <c r="AS15" s="245">
        <v>66.762024564000001</v>
      </c>
      <c r="AT15" s="231">
        <v>1.029955509753645</v>
      </c>
      <c r="AU15" s="245">
        <v>67.674939440000003</v>
      </c>
      <c r="AV15" s="245">
        <v>65.080820892000006</v>
      </c>
      <c r="AW15" s="231">
        <v>1.0398599543221017</v>
      </c>
      <c r="AX15" s="245">
        <v>65.827582862</v>
      </c>
      <c r="AY15" s="245">
        <v>63.24751277</v>
      </c>
      <c r="AZ15" s="231">
        <v>1.040793226152346</v>
      </c>
    </row>
    <row r="16" spans="1:52" s="141" customFormat="1">
      <c r="A16" s="200" t="s">
        <v>344</v>
      </c>
      <c r="B16" s="201" t="s">
        <v>254</v>
      </c>
      <c r="C16" s="201" t="s">
        <v>268</v>
      </c>
      <c r="D16" s="202" t="s">
        <v>106</v>
      </c>
      <c r="E16" s="245" t="e">
        <v>#N/A</v>
      </c>
      <c r="F16" s="243">
        <v>4.3011124980000002</v>
      </c>
      <c r="G16" s="231" t="e">
        <v>#N/A</v>
      </c>
      <c r="H16" s="245">
        <v>22.147768957</v>
      </c>
      <c r="I16" s="243">
        <v>4.3419109840000001</v>
      </c>
      <c r="J16" s="231">
        <v>5.1009265364063943</v>
      </c>
      <c r="K16" s="245">
        <v>22.988949706</v>
      </c>
      <c r="L16" s="243">
        <v>4.3685427990000001</v>
      </c>
      <c r="M16" s="231">
        <v>5.2623839947870907</v>
      </c>
      <c r="N16" s="245">
        <v>24.050655244000001</v>
      </c>
      <c r="O16" s="243">
        <v>4.4224802170000004</v>
      </c>
      <c r="P16" s="231">
        <v>5.4382731100863619</v>
      </c>
      <c r="Q16" s="245">
        <v>24.822533156999999</v>
      </c>
      <c r="R16" s="243">
        <v>4.4221206640000004</v>
      </c>
      <c r="S16" s="231">
        <v>5.6132645495355931</v>
      </c>
      <c r="T16" s="245">
        <v>25.681533357999999</v>
      </c>
      <c r="U16" s="243">
        <v>4.4082126840000004</v>
      </c>
      <c r="V16" s="231">
        <v>5.8258380888048817</v>
      </c>
      <c r="W16" s="245">
        <v>26.351089543000001</v>
      </c>
      <c r="X16" s="243">
        <v>4.3848966980000004</v>
      </c>
      <c r="Y16" s="231">
        <v>6.0095120496268528</v>
      </c>
      <c r="Z16" s="245">
        <v>26.859350078999999</v>
      </c>
      <c r="AA16" s="243">
        <v>4.3536042210000003</v>
      </c>
      <c r="AB16" s="231">
        <v>6.1694514970932621</v>
      </c>
      <c r="AC16" s="245">
        <v>27.323837450999999</v>
      </c>
      <c r="AD16" s="243">
        <v>4.3193324410000002</v>
      </c>
      <c r="AE16" s="231">
        <v>6.3259399048881866</v>
      </c>
      <c r="AF16" s="245">
        <v>27.993335203000001</v>
      </c>
      <c r="AG16" s="243">
        <v>4.3616041829999999</v>
      </c>
      <c r="AH16" s="231">
        <v>6.4181282914456528</v>
      </c>
      <c r="AI16" s="245">
        <v>28.961625358999999</v>
      </c>
      <c r="AJ16" s="245">
        <v>4.4155489890000004</v>
      </c>
      <c r="AK16" s="231">
        <v>6.5590089547526471</v>
      </c>
      <c r="AL16" s="245">
        <v>29.668180382999999</v>
      </c>
      <c r="AM16" s="245">
        <v>4.466899679</v>
      </c>
      <c r="AN16" s="231">
        <v>6.6417834549715664</v>
      </c>
      <c r="AO16" s="245">
        <v>30.609059067</v>
      </c>
      <c r="AP16" s="245">
        <v>4.5222121169999996</v>
      </c>
      <c r="AQ16" s="231">
        <v>6.7686031249913619</v>
      </c>
      <c r="AR16" s="245">
        <v>31.736498700999999</v>
      </c>
      <c r="AS16" s="245">
        <v>4.562543217</v>
      </c>
      <c r="AT16" s="231">
        <v>6.9558790331563447</v>
      </c>
      <c r="AU16" s="245">
        <v>32.391117733999998</v>
      </c>
      <c r="AV16" s="245">
        <v>4.6204389729999997</v>
      </c>
      <c r="AW16" s="231">
        <v>7.0103983459755135</v>
      </c>
      <c r="AX16" s="245">
        <v>32.554522210000002</v>
      </c>
      <c r="AY16" s="245">
        <v>4.6444764139999997</v>
      </c>
      <c r="AZ16" s="231">
        <v>7.0092986395344417</v>
      </c>
    </row>
    <row r="17" spans="1:52" s="141" customFormat="1">
      <c r="A17" s="200" t="s">
        <v>345</v>
      </c>
      <c r="B17" s="201" t="s">
        <v>254</v>
      </c>
      <c r="C17" s="201" t="s">
        <v>268</v>
      </c>
      <c r="D17" s="202" t="s">
        <v>113</v>
      </c>
      <c r="E17" s="245" t="e">
        <v>#N/A</v>
      </c>
      <c r="F17" s="243">
        <v>0.31562162100000002</v>
      </c>
      <c r="G17" s="231" t="e">
        <v>#N/A</v>
      </c>
      <c r="H17" s="245">
        <v>1.0994636870000001</v>
      </c>
      <c r="I17" s="243">
        <v>0.32348701600000002</v>
      </c>
      <c r="J17" s="231">
        <v>3.3987876873549694</v>
      </c>
      <c r="K17" s="245">
        <v>1.101777016</v>
      </c>
      <c r="L17" s="243">
        <v>0.323734727</v>
      </c>
      <c r="M17" s="231">
        <v>3.4033328034035719</v>
      </c>
      <c r="N17" s="245">
        <v>1.1169633649999999</v>
      </c>
      <c r="O17" s="243">
        <v>0.31872650899999999</v>
      </c>
      <c r="P17" s="231">
        <v>3.5044570610221819</v>
      </c>
      <c r="Q17" s="245">
        <v>1.0876564129999999</v>
      </c>
      <c r="R17" s="243">
        <v>0.31405990700000003</v>
      </c>
      <c r="S17" s="231">
        <v>3.4632131919977924</v>
      </c>
      <c r="T17" s="245">
        <v>1.154865928</v>
      </c>
      <c r="U17" s="243">
        <v>0.31957728099999999</v>
      </c>
      <c r="V17" s="231">
        <v>3.6137297507077797</v>
      </c>
      <c r="W17" s="245">
        <v>1.150821909</v>
      </c>
      <c r="X17" s="243">
        <v>0.32272600099999998</v>
      </c>
      <c r="Y17" s="231">
        <v>3.5659410937887217</v>
      </c>
      <c r="Z17" s="245">
        <v>1.16145162</v>
      </c>
      <c r="AA17" s="243">
        <v>0.31894585199999997</v>
      </c>
      <c r="AB17" s="231">
        <v>3.6415322937010641</v>
      </c>
      <c r="AC17" s="245">
        <v>1.1773282679999999</v>
      </c>
      <c r="AD17" s="243">
        <v>0.31760389900000002</v>
      </c>
      <c r="AE17" s="231">
        <v>3.7069074772284196</v>
      </c>
      <c r="AF17" s="245">
        <v>1.2035577829999999</v>
      </c>
      <c r="AG17" s="243">
        <v>0.30948154900000002</v>
      </c>
      <c r="AH17" s="231">
        <v>3.8889484264536875</v>
      </c>
      <c r="AI17" s="245">
        <v>1.1875548579999999</v>
      </c>
      <c r="AJ17" s="245">
        <v>0.29447867599999999</v>
      </c>
      <c r="AK17" s="231">
        <v>4.0327363397952789</v>
      </c>
      <c r="AL17" s="245">
        <v>1.187010057</v>
      </c>
      <c r="AM17" s="245">
        <v>0.28587453099999999</v>
      </c>
      <c r="AN17" s="231">
        <v>4.1522063992472278</v>
      </c>
      <c r="AO17" s="245">
        <v>1.175110082</v>
      </c>
      <c r="AP17" s="245">
        <v>0.28295516900000001</v>
      </c>
      <c r="AQ17" s="231">
        <v>4.1529903346632269</v>
      </c>
      <c r="AR17" s="245">
        <v>1.165539426</v>
      </c>
      <c r="AS17" s="245">
        <v>0.28097572300000001</v>
      </c>
      <c r="AT17" s="231">
        <v>4.1481855213519641</v>
      </c>
      <c r="AU17" s="245">
        <v>1.1784545310000001</v>
      </c>
      <c r="AV17" s="245">
        <v>0.28061812000000003</v>
      </c>
      <c r="AW17" s="231">
        <v>4.1994954958717559</v>
      </c>
      <c r="AX17" s="245">
        <v>1.177595891</v>
      </c>
      <c r="AY17" s="245">
        <v>0.28117658699999998</v>
      </c>
      <c r="AZ17" s="231">
        <v>4.1881008072695609</v>
      </c>
    </row>
    <row r="18" spans="1:52" s="141" customFormat="1">
      <c r="A18" s="200" t="s">
        <v>346</v>
      </c>
      <c r="B18" s="201" t="s">
        <v>254</v>
      </c>
      <c r="C18" s="201" t="s">
        <v>268</v>
      </c>
      <c r="D18" s="202" t="s">
        <v>107</v>
      </c>
      <c r="E18" s="245" t="e">
        <v>#N/A</v>
      </c>
      <c r="F18" s="243">
        <v>35.808739797999998</v>
      </c>
      <c r="G18" s="231" t="e">
        <v>#N/A</v>
      </c>
      <c r="H18" s="245">
        <v>185.625541661</v>
      </c>
      <c r="I18" s="243">
        <v>35.085776977000002</v>
      </c>
      <c r="J18" s="231">
        <v>5.2906208057665154</v>
      </c>
      <c r="K18" s="245">
        <v>172.60137455099999</v>
      </c>
      <c r="L18" s="243">
        <v>34.073838852999998</v>
      </c>
      <c r="M18" s="231">
        <v>5.0655100910593021</v>
      </c>
      <c r="N18" s="245">
        <v>165.60725243300001</v>
      </c>
      <c r="O18" s="243">
        <v>32.787956608000002</v>
      </c>
      <c r="P18" s="231">
        <v>5.0508561546831237</v>
      </c>
      <c r="Q18" s="245">
        <v>166.67513679300001</v>
      </c>
      <c r="R18" s="243">
        <v>31.447075723000001</v>
      </c>
      <c r="S18" s="231">
        <v>5.3001792046150698</v>
      </c>
      <c r="T18" s="245">
        <v>169.377770263</v>
      </c>
      <c r="U18" s="243">
        <v>30.134405364999999</v>
      </c>
      <c r="V18" s="231">
        <v>5.6207437383093692</v>
      </c>
      <c r="W18" s="245">
        <v>172.39378120999999</v>
      </c>
      <c r="X18" s="243">
        <v>28.937511984</v>
      </c>
      <c r="Y18" s="231">
        <v>5.9574500152369421</v>
      </c>
      <c r="Z18" s="245">
        <v>173.767794909</v>
      </c>
      <c r="AA18" s="243">
        <v>27.950589224000002</v>
      </c>
      <c r="AB18" s="231">
        <v>6.2169635679734743</v>
      </c>
      <c r="AC18" s="245">
        <v>172.94627072700001</v>
      </c>
      <c r="AD18" s="243">
        <v>26.972458597999999</v>
      </c>
      <c r="AE18" s="231">
        <v>6.4119579644038804</v>
      </c>
      <c r="AF18" s="245">
        <v>170.16972877800001</v>
      </c>
      <c r="AG18" s="243">
        <v>25.996081511</v>
      </c>
      <c r="AH18" s="231">
        <v>6.5459761197469035</v>
      </c>
      <c r="AI18" s="245">
        <v>164.94232968099999</v>
      </c>
      <c r="AJ18" s="245">
        <v>25.103131557000001</v>
      </c>
      <c r="AK18" s="231">
        <v>6.5705877892754723</v>
      </c>
      <c r="AL18" s="245">
        <v>161.59198841</v>
      </c>
      <c r="AM18" s="245">
        <v>24.174175881</v>
      </c>
      <c r="AN18" s="231">
        <v>6.6844879927015537</v>
      </c>
      <c r="AO18" s="245">
        <v>159.19654585200001</v>
      </c>
      <c r="AP18" s="245">
        <v>23.359384335000001</v>
      </c>
      <c r="AQ18" s="231">
        <v>6.8151002427521812</v>
      </c>
      <c r="AR18" s="245">
        <v>156.492135926</v>
      </c>
      <c r="AS18" s="245">
        <v>22.624090349999999</v>
      </c>
      <c r="AT18" s="231">
        <v>6.9170575923729904</v>
      </c>
      <c r="AU18" s="245">
        <v>152.68934545100001</v>
      </c>
      <c r="AV18" s="245">
        <v>21.88057044</v>
      </c>
      <c r="AW18" s="231">
        <v>6.9783073466799435</v>
      </c>
      <c r="AX18" s="245">
        <v>149.58026879299999</v>
      </c>
      <c r="AY18" s="245">
        <v>21.236600373000002</v>
      </c>
      <c r="AZ18" s="231">
        <v>7.043512905350652</v>
      </c>
    </row>
    <row r="19" spans="1:52" s="141" customFormat="1">
      <c r="A19" s="200" t="s">
        <v>347</v>
      </c>
      <c r="B19" s="201" t="s">
        <v>254</v>
      </c>
      <c r="C19" s="201" t="s">
        <v>268</v>
      </c>
      <c r="D19" s="202" t="s">
        <v>284</v>
      </c>
      <c r="E19" s="245" t="e">
        <v>#N/A</v>
      </c>
      <c r="F19" s="243">
        <v>8.1556163720000008</v>
      </c>
      <c r="G19" s="231" t="e">
        <v>#N/A</v>
      </c>
      <c r="H19" s="245">
        <v>39.717240861999997</v>
      </c>
      <c r="I19" s="243">
        <v>8.1422229720000008</v>
      </c>
      <c r="J19" s="231">
        <v>4.877935792053619</v>
      </c>
      <c r="K19" s="245">
        <v>39.575541133999998</v>
      </c>
      <c r="L19" s="243">
        <v>8.0948639559999993</v>
      </c>
      <c r="M19" s="231">
        <v>4.8889692710235337</v>
      </c>
      <c r="N19" s="245">
        <v>39.755347540000002</v>
      </c>
      <c r="O19" s="243">
        <v>8.0389147960000003</v>
      </c>
      <c r="P19" s="231">
        <v>4.9453624710366944</v>
      </c>
      <c r="Q19" s="245">
        <v>39.855251504000002</v>
      </c>
      <c r="R19" s="243">
        <v>8.0033525119999993</v>
      </c>
      <c r="S19" s="231">
        <v>4.9798195748896692</v>
      </c>
      <c r="T19" s="245">
        <v>40.251727385999999</v>
      </c>
      <c r="U19" s="243">
        <v>7.9755638759999998</v>
      </c>
      <c r="V19" s="231">
        <v>5.0468817016343079</v>
      </c>
      <c r="W19" s="245">
        <v>40.580142485000003</v>
      </c>
      <c r="X19" s="243">
        <v>7.9533767180000003</v>
      </c>
      <c r="Y19" s="231">
        <v>5.1022532848418258</v>
      </c>
      <c r="Z19" s="245">
        <v>40.487609573</v>
      </c>
      <c r="AA19" s="243">
        <v>7.9626136269999996</v>
      </c>
      <c r="AB19" s="231">
        <v>5.0847135713973026</v>
      </c>
      <c r="AC19" s="245">
        <v>40.473735470000001</v>
      </c>
      <c r="AD19" s="243">
        <v>7.9226537969999997</v>
      </c>
      <c r="AE19" s="231">
        <v>5.1086083662176209</v>
      </c>
      <c r="AF19" s="245">
        <v>40.655088366999998</v>
      </c>
      <c r="AG19" s="243">
        <v>7.9602697510000002</v>
      </c>
      <c r="AH19" s="231">
        <v>5.1072500855756484</v>
      </c>
      <c r="AI19" s="245">
        <v>40.676719028999997</v>
      </c>
      <c r="AJ19" s="245">
        <v>7.9875050339999998</v>
      </c>
      <c r="AK19" s="231">
        <v>5.0925437737883748</v>
      </c>
      <c r="AL19" s="245">
        <v>40.411382590000002</v>
      </c>
      <c r="AM19" s="245">
        <v>8.0119747889999999</v>
      </c>
      <c r="AN19" s="231">
        <v>5.0438729095207098</v>
      </c>
      <c r="AO19" s="245">
        <v>40.802175836000004</v>
      </c>
      <c r="AP19" s="245">
        <v>8.044027174</v>
      </c>
      <c r="AQ19" s="231">
        <v>5.0723567876400617</v>
      </c>
      <c r="AR19" s="245">
        <v>40.444359263000003</v>
      </c>
      <c r="AS19" s="245">
        <v>8.0846251710000008</v>
      </c>
      <c r="AT19" s="231">
        <v>5.0026263936238085</v>
      </c>
      <c r="AU19" s="245">
        <v>39.891415506999998</v>
      </c>
      <c r="AV19" s="245">
        <v>8.0707842529999994</v>
      </c>
      <c r="AW19" s="231">
        <v>4.9426938270803014</v>
      </c>
      <c r="AX19" s="245">
        <v>39.621134548000001</v>
      </c>
      <c r="AY19" s="245">
        <v>8.0806703869999996</v>
      </c>
      <c r="AZ19" s="231">
        <v>4.9031989489067129</v>
      </c>
    </row>
    <row r="20" spans="1:52" s="141" customFormat="1">
      <c r="A20" s="200" t="s">
        <v>348</v>
      </c>
      <c r="B20" s="201" t="s">
        <v>254</v>
      </c>
      <c r="C20" s="201" t="s">
        <v>268</v>
      </c>
      <c r="D20" s="202" t="s">
        <v>108</v>
      </c>
      <c r="E20" s="245" t="e">
        <v>#N/A</v>
      </c>
      <c r="F20" s="243">
        <v>6.2568474319999998</v>
      </c>
      <c r="G20" s="231" t="e">
        <v>#N/A</v>
      </c>
      <c r="H20" s="245">
        <v>15.157384059</v>
      </c>
      <c r="I20" s="243">
        <v>6.2652716509999999</v>
      </c>
      <c r="J20" s="231">
        <v>2.419270049780001</v>
      </c>
      <c r="K20" s="245">
        <v>15.196294590000001</v>
      </c>
      <c r="L20" s="243">
        <v>6.2451638469999997</v>
      </c>
      <c r="M20" s="231">
        <v>2.4332899764190929</v>
      </c>
      <c r="N20" s="245">
        <v>15.548118937</v>
      </c>
      <c r="O20" s="243">
        <v>6.260140689</v>
      </c>
      <c r="P20" s="231">
        <v>2.4836692511272727</v>
      </c>
      <c r="Q20" s="245">
        <v>15.670857734</v>
      </c>
      <c r="R20" s="243">
        <v>6.199223666</v>
      </c>
      <c r="S20" s="231">
        <v>2.5278742272113401</v>
      </c>
      <c r="T20" s="245">
        <v>16.13440164</v>
      </c>
      <c r="U20" s="243">
        <v>6.1950537710000004</v>
      </c>
      <c r="V20" s="231">
        <v>2.6044005809162813</v>
      </c>
      <c r="W20" s="245">
        <v>16.468377832000002</v>
      </c>
      <c r="X20" s="243">
        <v>6.2051413430000002</v>
      </c>
      <c r="Y20" s="231">
        <v>2.6539891553925559</v>
      </c>
      <c r="Z20" s="245">
        <v>16.950107790000001</v>
      </c>
      <c r="AA20" s="243">
        <v>6.2192670850000003</v>
      </c>
      <c r="AB20" s="231">
        <v>2.7254188569713116</v>
      </c>
      <c r="AC20" s="245">
        <v>17.324070857999999</v>
      </c>
      <c r="AD20" s="243">
        <v>6.2070922810000004</v>
      </c>
      <c r="AE20" s="231">
        <v>2.7910122926686993</v>
      </c>
      <c r="AF20" s="245">
        <v>17.851222590999999</v>
      </c>
      <c r="AG20" s="243">
        <v>6.2277160240000002</v>
      </c>
      <c r="AH20" s="231">
        <v>2.8664156365200375</v>
      </c>
      <c r="AI20" s="245">
        <v>18.241865107999999</v>
      </c>
      <c r="AJ20" s="245">
        <v>6.1872670699999999</v>
      </c>
      <c r="AK20" s="231">
        <v>2.9482912086418147</v>
      </c>
      <c r="AL20" s="245">
        <v>18.679105330999999</v>
      </c>
      <c r="AM20" s="245">
        <v>6.0934338700000001</v>
      </c>
      <c r="AN20" s="231">
        <v>3.0654481084899339</v>
      </c>
      <c r="AO20" s="245">
        <v>19.320583462999998</v>
      </c>
      <c r="AP20" s="245">
        <v>6.0089141609999999</v>
      </c>
      <c r="AQ20" s="231">
        <v>3.2153202634175555</v>
      </c>
      <c r="AR20" s="245">
        <v>19.952779715999998</v>
      </c>
      <c r="AS20" s="245">
        <v>5.9561091079999997</v>
      </c>
      <c r="AT20" s="231">
        <v>3.3499688058434405</v>
      </c>
      <c r="AU20" s="245">
        <v>20.439013738</v>
      </c>
      <c r="AV20" s="245">
        <v>5.9056327719999997</v>
      </c>
      <c r="AW20" s="231">
        <v>3.4609354369113827</v>
      </c>
      <c r="AX20" s="245">
        <v>20.602593259999999</v>
      </c>
      <c r="AY20" s="245">
        <v>5.8698557439999997</v>
      </c>
      <c r="AZ20" s="231">
        <v>3.5098977144471371</v>
      </c>
    </row>
    <row r="21" spans="1:52" s="141" customFormat="1">
      <c r="A21" s="200" t="s">
        <v>349</v>
      </c>
      <c r="B21" s="201" t="s">
        <v>254</v>
      </c>
      <c r="C21" s="201" t="s">
        <v>268</v>
      </c>
      <c r="D21" s="202" t="s">
        <v>109</v>
      </c>
      <c r="E21" s="245" t="e">
        <v>#N/A</v>
      </c>
      <c r="F21" s="243">
        <v>6.222938117</v>
      </c>
      <c r="G21" s="231" t="e">
        <v>#N/A</v>
      </c>
      <c r="H21" s="245">
        <v>8.5639633429999993</v>
      </c>
      <c r="I21" s="243">
        <v>6.1776610679999999</v>
      </c>
      <c r="J21" s="231">
        <v>1.3862792485267499</v>
      </c>
      <c r="K21" s="245">
        <v>8.4383507519999998</v>
      </c>
      <c r="L21" s="243">
        <v>6.1321208010000001</v>
      </c>
      <c r="M21" s="231">
        <v>1.3760901041975411</v>
      </c>
      <c r="N21" s="245">
        <v>8.3597939280000002</v>
      </c>
      <c r="O21" s="243">
        <v>6.0991038270000004</v>
      </c>
      <c r="P21" s="231">
        <v>1.3706593894978794</v>
      </c>
      <c r="Q21" s="245">
        <v>8.5060006930000007</v>
      </c>
      <c r="R21" s="243">
        <v>6.0560258569999998</v>
      </c>
      <c r="S21" s="231">
        <v>1.4045515811607938</v>
      </c>
      <c r="T21" s="245">
        <v>8.6020795690000007</v>
      </c>
      <c r="U21" s="243">
        <v>6.0432634839999997</v>
      </c>
      <c r="V21" s="231">
        <v>1.4234162703272266</v>
      </c>
      <c r="W21" s="245">
        <v>8.5457039829999992</v>
      </c>
      <c r="X21" s="243">
        <v>5.9924438950000001</v>
      </c>
      <c r="Y21" s="231">
        <v>1.4260799321175788</v>
      </c>
      <c r="Z21" s="245">
        <v>8.5581771090000007</v>
      </c>
      <c r="AA21" s="243">
        <v>5.9512932879999996</v>
      </c>
      <c r="AB21" s="231">
        <v>1.4380365232976233</v>
      </c>
      <c r="AC21" s="245">
        <v>8.5856705160000004</v>
      </c>
      <c r="AD21" s="243">
        <v>5.884088406</v>
      </c>
      <c r="AE21" s="231">
        <v>1.459133500993153</v>
      </c>
      <c r="AF21" s="245">
        <v>8.5053498199999993</v>
      </c>
      <c r="AG21" s="243">
        <v>5.794489252</v>
      </c>
      <c r="AH21" s="231">
        <v>1.4678342559811171</v>
      </c>
      <c r="AI21" s="245">
        <v>8.4185827480000004</v>
      </c>
      <c r="AJ21" s="245">
        <v>5.7395466099999997</v>
      </c>
      <c r="AK21" s="231">
        <v>1.4667679034668561</v>
      </c>
      <c r="AL21" s="245">
        <v>8.5022812349999999</v>
      </c>
      <c r="AM21" s="245">
        <v>5.672360791</v>
      </c>
      <c r="AN21" s="231">
        <v>1.4988964116122634</v>
      </c>
      <c r="AO21" s="245">
        <v>8.4881422670000006</v>
      </c>
      <c r="AP21" s="245">
        <v>5.611845508</v>
      </c>
      <c r="AQ21" s="231">
        <v>1.5125402605791052</v>
      </c>
      <c r="AR21" s="245">
        <v>8.5269347619999998</v>
      </c>
      <c r="AS21" s="245">
        <v>5.5970059770000002</v>
      </c>
      <c r="AT21" s="231">
        <v>1.5234814465162396</v>
      </c>
      <c r="AU21" s="245">
        <v>8.5529988649999993</v>
      </c>
      <c r="AV21" s="245">
        <v>5.6224359440000002</v>
      </c>
      <c r="AW21" s="231">
        <v>1.5212265555692739</v>
      </c>
      <c r="AX21" s="245">
        <v>8.4448764829999998</v>
      </c>
      <c r="AY21" s="245">
        <v>5.6117134550000003</v>
      </c>
      <c r="AZ21" s="231">
        <v>1.5048659470443326</v>
      </c>
    </row>
    <row r="22" spans="1:52" s="141" customFormat="1">
      <c r="A22" s="200" t="s">
        <v>350</v>
      </c>
      <c r="B22" s="201" t="s">
        <v>254</v>
      </c>
      <c r="C22" s="201" t="s">
        <v>268</v>
      </c>
      <c r="D22" s="202" t="s">
        <v>285</v>
      </c>
      <c r="E22" s="245" t="e">
        <v>#N/A</v>
      </c>
      <c r="F22" s="243">
        <v>0.76464960999999998</v>
      </c>
      <c r="G22" s="231" t="e">
        <v>#N/A</v>
      </c>
      <c r="H22" s="245">
        <v>3.3285049280000001</v>
      </c>
      <c r="I22" s="243">
        <v>0.72832945199999999</v>
      </c>
      <c r="J22" s="231">
        <v>4.570054003528063</v>
      </c>
      <c r="K22" s="245">
        <v>3.340393814</v>
      </c>
      <c r="L22" s="243">
        <v>0.68347433700000004</v>
      </c>
      <c r="M22" s="231">
        <v>4.8873726973599592</v>
      </c>
      <c r="N22" s="245">
        <v>3.3270757710000001</v>
      </c>
      <c r="O22" s="243">
        <v>0.64848530699999996</v>
      </c>
      <c r="P22" s="231">
        <v>5.130533776303432</v>
      </c>
      <c r="Q22" s="245">
        <v>3.3297404460000002</v>
      </c>
      <c r="R22" s="243">
        <v>0.64908151599999997</v>
      </c>
      <c r="S22" s="231">
        <v>5.129926463658534</v>
      </c>
      <c r="T22" s="245">
        <v>3.3429805899999998</v>
      </c>
      <c r="U22" s="243">
        <v>0.62841814600000001</v>
      </c>
      <c r="V22" s="231">
        <v>5.3196754601672493</v>
      </c>
      <c r="W22" s="245">
        <v>3.2943734670000002</v>
      </c>
      <c r="X22" s="243">
        <v>0.615778198</v>
      </c>
      <c r="Y22" s="231">
        <v>5.349935216446231</v>
      </c>
      <c r="Z22" s="245">
        <v>3.3068896090000002</v>
      </c>
      <c r="AA22" s="243">
        <v>0.60928382800000003</v>
      </c>
      <c r="AB22" s="231">
        <v>5.4275026794244736</v>
      </c>
      <c r="AC22" s="245">
        <v>3.3371801529999998</v>
      </c>
      <c r="AD22" s="243">
        <v>0.59743841499999994</v>
      </c>
      <c r="AE22" s="231">
        <v>5.5858144860002019</v>
      </c>
      <c r="AF22" s="245">
        <v>3.3007275479999998</v>
      </c>
      <c r="AG22" s="243">
        <v>0.57958637599999996</v>
      </c>
      <c r="AH22" s="231">
        <v>5.6949709045610835</v>
      </c>
      <c r="AI22" s="245">
        <v>3.325694092</v>
      </c>
      <c r="AJ22" s="245">
        <v>0.56607188600000002</v>
      </c>
      <c r="AK22" s="231">
        <v>5.8750384434389664</v>
      </c>
      <c r="AL22" s="245">
        <v>3.363525053</v>
      </c>
      <c r="AM22" s="245">
        <v>0.56311282100000004</v>
      </c>
      <c r="AN22" s="231">
        <v>5.973092651356982</v>
      </c>
      <c r="AO22" s="245">
        <v>3.4498449660000001</v>
      </c>
      <c r="AP22" s="245">
        <v>0.54929987700000005</v>
      </c>
      <c r="AQ22" s="231">
        <v>6.2804400846425095</v>
      </c>
      <c r="AR22" s="245">
        <v>3.4318420870000002</v>
      </c>
      <c r="AS22" s="245">
        <v>0.52848239900000005</v>
      </c>
      <c r="AT22" s="231">
        <v>6.493767992072712</v>
      </c>
      <c r="AU22" s="245">
        <v>3.4825632149999999</v>
      </c>
      <c r="AV22" s="245">
        <v>0.51350394799999999</v>
      </c>
      <c r="AW22" s="231">
        <v>6.7819599607051124</v>
      </c>
      <c r="AX22" s="245">
        <v>3.4633138720000001</v>
      </c>
      <c r="AY22" s="245">
        <v>0.51528345499999995</v>
      </c>
      <c r="AZ22" s="231">
        <v>6.7211819793437781</v>
      </c>
    </row>
    <row r="23" spans="1:52" s="141" customFormat="1">
      <c r="A23" s="200" t="s">
        <v>351</v>
      </c>
      <c r="B23" s="201" t="s">
        <v>254</v>
      </c>
      <c r="C23" s="201" t="s">
        <v>268</v>
      </c>
      <c r="D23" s="202" t="s">
        <v>286</v>
      </c>
      <c r="E23" s="245" t="e">
        <v>#N/A</v>
      </c>
      <c r="F23" s="243">
        <v>10.814088046</v>
      </c>
      <c r="G23" s="231" t="e">
        <v>#N/A</v>
      </c>
      <c r="H23" s="245">
        <v>25.401759460000001</v>
      </c>
      <c r="I23" s="243">
        <v>10.971113615</v>
      </c>
      <c r="J23" s="231">
        <v>2.3153310002432237</v>
      </c>
      <c r="K23" s="245">
        <v>25.482814603000001</v>
      </c>
      <c r="L23" s="243">
        <v>11.108211473000001</v>
      </c>
      <c r="M23" s="231">
        <v>2.2940519871213656</v>
      </c>
      <c r="N23" s="245">
        <v>25.413718372000002</v>
      </c>
      <c r="O23" s="243">
        <v>11.266314991</v>
      </c>
      <c r="P23" s="231">
        <v>2.2557258866187868</v>
      </c>
      <c r="Q23" s="245">
        <v>25.339985844000001</v>
      </c>
      <c r="R23" s="243">
        <v>11.165728611</v>
      </c>
      <c r="S23" s="231">
        <v>2.2694431081762212</v>
      </c>
      <c r="T23" s="245">
        <v>25.08979441</v>
      </c>
      <c r="U23" s="243">
        <v>11.046609628000001</v>
      </c>
      <c r="V23" s="231">
        <v>2.2712665021134208</v>
      </c>
      <c r="W23" s="245">
        <v>24.959608636999999</v>
      </c>
      <c r="X23" s="243">
        <v>10.849432208</v>
      </c>
      <c r="Y23" s="231">
        <v>2.3005451491365272</v>
      </c>
      <c r="Z23" s="245">
        <v>25.010867143999999</v>
      </c>
      <c r="AA23" s="243">
        <v>10.584751593</v>
      </c>
      <c r="AB23" s="231">
        <v>2.362914889806238</v>
      </c>
      <c r="AC23" s="245">
        <v>25.309166859000001</v>
      </c>
      <c r="AD23" s="243">
        <v>10.294320043000001</v>
      </c>
      <c r="AE23" s="231">
        <v>2.4585564421236246</v>
      </c>
      <c r="AF23" s="245">
        <v>25.511226591</v>
      </c>
      <c r="AG23" s="243">
        <v>10.003978746</v>
      </c>
      <c r="AH23" s="231">
        <v>2.5501080358852652</v>
      </c>
      <c r="AI23" s="245">
        <v>25.690003541999999</v>
      </c>
      <c r="AJ23" s="245">
        <v>9.7222724530000004</v>
      </c>
      <c r="AK23" s="231">
        <v>2.6423867121799121</v>
      </c>
      <c r="AL23" s="245">
        <v>25.721516872999999</v>
      </c>
      <c r="AM23" s="245">
        <v>9.4132103259999997</v>
      </c>
      <c r="AN23" s="231">
        <v>2.7324914648889997</v>
      </c>
      <c r="AO23" s="245">
        <v>26.055300235000001</v>
      </c>
      <c r="AP23" s="245">
        <v>9.1387336569999995</v>
      </c>
      <c r="AQ23" s="231">
        <v>2.8510843200953135</v>
      </c>
      <c r="AR23" s="245">
        <v>26.104394376999998</v>
      </c>
      <c r="AS23" s="245">
        <v>8.8914510270000005</v>
      </c>
      <c r="AT23" s="231">
        <v>2.9358981225596077</v>
      </c>
      <c r="AU23" s="245">
        <v>26.030674542</v>
      </c>
      <c r="AV23" s="245">
        <v>8.7198784949999997</v>
      </c>
      <c r="AW23" s="231">
        <v>2.9852106949570518</v>
      </c>
      <c r="AX23" s="245">
        <v>26.071594598000001</v>
      </c>
      <c r="AY23" s="245">
        <v>8.5010937989999995</v>
      </c>
      <c r="AZ23" s="231">
        <v>3.0668517739525298</v>
      </c>
    </row>
    <row r="24" spans="1:52" s="141" customFormat="1">
      <c r="A24" s="200" t="s">
        <v>352</v>
      </c>
      <c r="B24" s="201" t="s">
        <v>254</v>
      </c>
      <c r="C24" s="201" t="s">
        <v>268</v>
      </c>
      <c r="D24" s="202" t="s">
        <v>110</v>
      </c>
      <c r="E24" s="245" t="e">
        <v>#N/A</v>
      </c>
      <c r="F24" s="243">
        <v>4.538184352</v>
      </c>
      <c r="G24" s="231" t="e">
        <v>#N/A</v>
      </c>
      <c r="H24" s="245">
        <v>6.8123559509999998</v>
      </c>
      <c r="I24" s="243">
        <v>4.5653984669999996</v>
      </c>
      <c r="J24" s="231">
        <v>1.4921711653958902</v>
      </c>
      <c r="K24" s="245">
        <v>6.8450264360000004</v>
      </c>
      <c r="L24" s="243">
        <v>4.6127235549999996</v>
      </c>
      <c r="M24" s="231">
        <v>1.4839446488355621</v>
      </c>
      <c r="N24" s="245">
        <v>6.863074417</v>
      </c>
      <c r="O24" s="243">
        <v>4.5794174849999996</v>
      </c>
      <c r="P24" s="231">
        <v>1.4986784759153708</v>
      </c>
      <c r="Q24" s="245">
        <v>6.8631199519999999</v>
      </c>
      <c r="R24" s="243">
        <v>4.5240829649999998</v>
      </c>
      <c r="S24" s="231">
        <v>1.5170190301759863</v>
      </c>
      <c r="T24" s="245">
        <v>7.0307783649999998</v>
      </c>
      <c r="U24" s="243">
        <v>4.4784347479999997</v>
      </c>
      <c r="V24" s="231">
        <v>1.5699186793197863</v>
      </c>
      <c r="W24" s="245">
        <v>6.9464581169999997</v>
      </c>
      <c r="X24" s="243">
        <v>4.4421934700000003</v>
      </c>
      <c r="Y24" s="231">
        <v>1.56374506511532</v>
      </c>
      <c r="Z24" s="245">
        <v>6.987484619</v>
      </c>
      <c r="AA24" s="243">
        <v>4.4365027020000003</v>
      </c>
      <c r="AB24" s="231">
        <v>1.5749983913793184</v>
      </c>
      <c r="AC24" s="245">
        <v>7.0209862510000001</v>
      </c>
      <c r="AD24" s="243">
        <v>4.424956763</v>
      </c>
      <c r="AE24" s="231">
        <v>1.586679063105684</v>
      </c>
      <c r="AF24" s="245">
        <v>7.089206205</v>
      </c>
      <c r="AG24" s="243">
        <v>4.3742212540000001</v>
      </c>
      <c r="AH24" s="231">
        <v>1.6206784690000045</v>
      </c>
      <c r="AI24" s="245">
        <v>7.0762750050000003</v>
      </c>
      <c r="AJ24" s="245">
        <v>4.3495709490000003</v>
      </c>
      <c r="AK24" s="231">
        <v>1.6268903503291261</v>
      </c>
      <c r="AL24" s="245">
        <v>7.0961163220000003</v>
      </c>
      <c r="AM24" s="245">
        <v>4.28845732</v>
      </c>
      <c r="AN24" s="231">
        <v>1.6547013978443885</v>
      </c>
      <c r="AO24" s="245">
        <v>7.1302212279999999</v>
      </c>
      <c r="AP24" s="245">
        <v>4.2148091619999999</v>
      </c>
      <c r="AQ24" s="231">
        <v>1.6917067781585124</v>
      </c>
      <c r="AR24" s="245">
        <v>7.1279674139999996</v>
      </c>
      <c r="AS24" s="245">
        <v>4.1507861039999998</v>
      </c>
      <c r="AT24" s="231">
        <v>1.7172572219828361</v>
      </c>
      <c r="AU24" s="245">
        <v>7.2288573769999998</v>
      </c>
      <c r="AV24" s="245">
        <v>4.1140639119999998</v>
      </c>
      <c r="AW24" s="231">
        <v>1.7571086720152052</v>
      </c>
      <c r="AX24" s="245">
        <v>7.2500080059999998</v>
      </c>
      <c r="AY24" s="245">
        <v>4.0394602129999999</v>
      </c>
      <c r="AZ24" s="231">
        <v>1.794796241009541</v>
      </c>
    </row>
    <row r="25" spans="1:52" s="141" customFormat="1">
      <c r="A25" s="200" t="s">
        <v>353</v>
      </c>
      <c r="B25" s="201" t="s">
        <v>254</v>
      </c>
      <c r="C25" s="201" t="s">
        <v>268</v>
      </c>
      <c r="D25" s="202" t="s">
        <v>111</v>
      </c>
      <c r="E25" s="245" t="e">
        <v>#N/A</v>
      </c>
      <c r="F25" s="243">
        <v>10.851864545</v>
      </c>
      <c r="G25" s="231" t="e">
        <v>#N/A</v>
      </c>
      <c r="H25" s="245">
        <v>18.203380821</v>
      </c>
      <c r="I25" s="243">
        <v>10.863594616</v>
      </c>
      <c r="J25" s="231">
        <v>1.6756314520600664</v>
      </c>
      <c r="K25" s="245">
        <v>18.149736057999998</v>
      </c>
      <c r="L25" s="243">
        <v>10.809622278999999</v>
      </c>
      <c r="M25" s="231">
        <v>1.6790351771365535</v>
      </c>
      <c r="N25" s="245">
        <v>18.284059061000001</v>
      </c>
      <c r="O25" s="243">
        <v>10.696943564</v>
      </c>
      <c r="P25" s="231">
        <v>1.7092788189080512</v>
      </c>
      <c r="Q25" s="245">
        <v>18.253542184000001</v>
      </c>
      <c r="R25" s="243">
        <v>10.633611727</v>
      </c>
      <c r="S25" s="231">
        <v>1.7165891187894415</v>
      </c>
      <c r="T25" s="245">
        <v>18.091142278</v>
      </c>
      <c r="U25" s="243">
        <v>10.539565461</v>
      </c>
      <c r="V25" s="231">
        <v>1.7164979282061883</v>
      </c>
      <c r="W25" s="245">
        <v>18.376631454000002</v>
      </c>
      <c r="X25" s="243">
        <v>10.492768868000001</v>
      </c>
      <c r="Y25" s="231">
        <v>1.7513615028768592</v>
      </c>
      <c r="Z25" s="245">
        <v>18.390968727000001</v>
      </c>
      <c r="AA25" s="243">
        <v>10.452509366999999</v>
      </c>
      <c r="AB25" s="231">
        <v>1.7594788085110742</v>
      </c>
      <c r="AC25" s="245">
        <v>18.359857565999999</v>
      </c>
      <c r="AD25" s="243">
        <v>10.460087568000001</v>
      </c>
      <c r="AE25" s="231">
        <v>1.755229814917358</v>
      </c>
      <c r="AF25" s="245">
        <v>18.415650217</v>
      </c>
      <c r="AG25" s="243">
        <v>10.372253323000001</v>
      </c>
      <c r="AH25" s="231">
        <v>1.775472469050108</v>
      </c>
      <c r="AI25" s="245">
        <v>18.516820217999999</v>
      </c>
      <c r="AJ25" s="245">
        <v>10.292407670999999</v>
      </c>
      <c r="AK25" s="231">
        <v>1.7990756691627359</v>
      </c>
      <c r="AL25" s="245">
        <v>18.211787029</v>
      </c>
      <c r="AM25" s="245">
        <v>10.193494411</v>
      </c>
      <c r="AN25" s="231">
        <v>1.7866088207540785</v>
      </c>
      <c r="AO25" s="245">
        <v>18.251795230999999</v>
      </c>
      <c r="AP25" s="245">
        <v>10.073203507000001</v>
      </c>
      <c r="AQ25" s="231">
        <v>1.8119156649934243</v>
      </c>
      <c r="AR25" s="245">
        <v>18.218859468000002</v>
      </c>
      <c r="AS25" s="245">
        <v>9.9651677809999999</v>
      </c>
      <c r="AT25" s="231">
        <v>1.8282541617349215</v>
      </c>
      <c r="AU25" s="245">
        <v>18.151719682</v>
      </c>
      <c r="AV25" s="245">
        <v>9.9291572670000008</v>
      </c>
      <c r="AW25" s="231">
        <v>1.8281228903814479</v>
      </c>
      <c r="AX25" s="245">
        <v>18.102435478</v>
      </c>
      <c r="AY25" s="245">
        <v>9.8180022299999994</v>
      </c>
      <c r="AZ25" s="231">
        <v>1.843800302131323</v>
      </c>
    </row>
    <row r="26" spans="1:52" s="141" customFormat="1" ht="12">
      <c r="A26" s="200"/>
      <c r="B26" s="201"/>
      <c r="C26" s="201"/>
      <c r="D26" s="202"/>
      <c r="E26" s="246"/>
      <c r="F26" s="244"/>
      <c r="G26" s="231"/>
      <c r="H26" s="246"/>
      <c r="I26" s="244"/>
      <c r="J26" s="231"/>
      <c r="K26" s="246"/>
      <c r="L26" s="244"/>
      <c r="M26" s="231"/>
      <c r="N26" s="246"/>
      <c r="O26" s="250"/>
      <c r="P26" s="231"/>
      <c r="Q26" s="246"/>
      <c r="R26" s="244"/>
      <c r="S26" s="231"/>
      <c r="T26" s="246"/>
      <c r="U26" s="244"/>
      <c r="V26" s="231"/>
      <c r="W26" s="246"/>
      <c r="X26" s="244"/>
      <c r="Y26" s="231"/>
      <c r="Z26" s="244"/>
      <c r="AA26" s="244"/>
      <c r="AB26" s="231"/>
      <c r="AC26" s="244"/>
      <c r="AD26" s="244"/>
      <c r="AE26" s="231"/>
      <c r="AF26" s="244"/>
      <c r="AG26" s="244"/>
      <c r="AH26" s="231"/>
    </row>
    <row r="27" spans="1:52">
      <c r="A27" s="203"/>
      <c r="B27" s="201"/>
      <c r="C27" s="201"/>
      <c r="D27" s="201" t="s">
        <v>288</v>
      </c>
      <c r="E27" s="218"/>
      <c r="F27" s="218"/>
      <c r="G27" s="232"/>
      <c r="H27" s="218"/>
      <c r="I27" s="218"/>
      <c r="J27" s="232"/>
      <c r="K27" s="218"/>
      <c r="L27" s="218"/>
      <c r="M27" s="232"/>
      <c r="N27" s="218"/>
      <c r="O27" s="218"/>
      <c r="P27" s="232"/>
      <c r="Q27" s="218"/>
      <c r="R27" s="218"/>
      <c r="S27" s="232"/>
      <c r="T27" s="218"/>
      <c r="U27" s="218"/>
      <c r="V27" s="232"/>
      <c r="W27" s="218"/>
      <c r="X27" s="218"/>
      <c r="Y27" s="232"/>
      <c r="Z27" s="218"/>
      <c r="AA27" s="218"/>
      <c r="AB27" s="232"/>
      <c r="AC27" s="218"/>
      <c r="AD27" s="218"/>
      <c r="AE27" s="232"/>
      <c r="AF27" s="218"/>
      <c r="AG27" s="218"/>
      <c r="AH27" s="232"/>
    </row>
    <row r="28" spans="1:52">
      <c r="A28" s="203"/>
      <c r="B28" s="201"/>
      <c r="C28" s="201"/>
      <c r="D28" s="201" t="s">
        <v>290</v>
      </c>
      <c r="E28" s="218"/>
      <c r="F28" s="218"/>
      <c r="G28" s="232"/>
      <c r="H28" s="218"/>
      <c r="I28" s="218"/>
      <c r="J28" s="232"/>
      <c r="K28" s="218"/>
      <c r="L28" s="218"/>
      <c r="M28" s="232"/>
      <c r="N28" s="218"/>
      <c r="O28" s="218"/>
      <c r="P28" s="232"/>
      <c r="Q28" s="218"/>
      <c r="R28" s="218"/>
      <c r="S28" s="232"/>
      <c r="T28" s="218"/>
      <c r="U28" s="218"/>
      <c r="V28" s="232"/>
      <c r="W28" s="218"/>
      <c r="X28" s="218"/>
      <c r="Y28" s="232"/>
      <c r="Z28" s="218"/>
      <c r="AA28" s="218"/>
      <c r="AB28" s="232"/>
      <c r="AC28" s="218"/>
      <c r="AD28" s="218"/>
      <c r="AE28" s="232"/>
      <c r="AF28" s="218"/>
      <c r="AG28" s="218"/>
      <c r="AH28" s="232"/>
    </row>
    <row r="29" spans="1:52">
      <c r="A29" s="203"/>
      <c r="B29" s="201"/>
      <c r="C29" s="201"/>
      <c r="D29" s="201" t="s">
        <v>269</v>
      </c>
      <c r="E29" s="218"/>
      <c r="F29" s="218"/>
      <c r="G29" s="232"/>
      <c r="H29" s="218"/>
      <c r="I29" s="218"/>
      <c r="J29" s="232"/>
      <c r="K29" s="218"/>
      <c r="L29" s="218"/>
      <c r="M29" s="232"/>
      <c r="N29" s="218"/>
      <c r="O29" s="218"/>
      <c r="P29" s="232"/>
      <c r="Q29" s="218"/>
      <c r="R29" s="218"/>
      <c r="S29" s="232"/>
      <c r="T29" s="218"/>
      <c r="U29" s="218"/>
      <c r="V29" s="232"/>
      <c r="W29" s="218"/>
      <c r="X29" s="218"/>
      <c r="Y29" s="232"/>
      <c r="Z29" s="218"/>
      <c r="AA29" s="218"/>
      <c r="AB29" s="232"/>
      <c r="AC29" s="218"/>
      <c r="AD29" s="218"/>
      <c r="AE29" s="232"/>
      <c r="AF29" s="218"/>
      <c r="AG29" s="218"/>
      <c r="AH29" s="232"/>
    </row>
    <row r="30" spans="1:52">
      <c r="A30" s="203"/>
      <c r="B30" s="201"/>
      <c r="C30" s="201"/>
      <c r="D30" s="201" t="s">
        <v>270</v>
      </c>
      <c r="E30" s="218"/>
      <c r="F30" s="218"/>
      <c r="G30" s="233"/>
      <c r="H30" s="218"/>
      <c r="I30" s="218"/>
      <c r="J30" s="232"/>
      <c r="K30" s="218"/>
      <c r="L30" s="218"/>
      <c r="M30" s="232"/>
      <c r="N30" s="218"/>
      <c r="O30" s="218"/>
      <c r="P30" s="232"/>
      <c r="Q30" s="218"/>
      <c r="R30" s="218"/>
      <c r="S30" s="232"/>
      <c r="T30" s="218"/>
      <c r="U30" s="218"/>
      <c r="V30" s="232"/>
      <c r="W30" s="218"/>
      <c r="X30" s="218"/>
      <c r="Y30" s="232"/>
      <c r="Z30" s="218"/>
      <c r="AA30" s="218"/>
      <c r="AB30" s="232"/>
      <c r="AC30" s="218"/>
      <c r="AD30" s="218"/>
      <c r="AE30" s="232"/>
      <c r="AF30" s="218"/>
      <c r="AG30" s="218"/>
      <c r="AH30" s="232"/>
    </row>
    <row r="31" spans="1:52">
      <c r="A31" s="203"/>
      <c r="B31" s="201"/>
      <c r="C31" s="201"/>
      <c r="D31" s="201"/>
      <c r="E31" s="219" t="s">
        <v>257</v>
      </c>
      <c r="F31" s="219" t="s">
        <v>258</v>
      </c>
      <c r="G31" s="234" t="s">
        <v>259</v>
      </c>
      <c r="H31" s="219" t="s">
        <v>257</v>
      </c>
      <c r="I31" s="219" t="s">
        <v>258</v>
      </c>
      <c r="J31" s="234" t="s">
        <v>259</v>
      </c>
      <c r="K31" s="219" t="s">
        <v>257</v>
      </c>
      <c r="L31" s="219" t="s">
        <v>258</v>
      </c>
      <c r="M31" s="234" t="s">
        <v>259</v>
      </c>
      <c r="N31" s="219" t="s">
        <v>257</v>
      </c>
      <c r="O31" s="219" t="s">
        <v>258</v>
      </c>
      <c r="P31" s="234" t="s">
        <v>259</v>
      </c>
      <c r="Q31" s="249" t="s">
        <v>257</v>
      </c>
      <c r="R31" s="249" t="s">
        <v>258</v>
      </c>
      <c r="S31" s="234" t="s">
        <v>259</v>
      </c>
      <c r="T31" s="219" t="s">
        <v>257</v>
      </c>
      <c r="U31" s="219" t="s">
        <v>258</v>
      </c>
      <c r="V31" s="234" t="s">
        <v>259</v>
      </c>
      <c r="W31" s="219" t="s">
        <v>257</v>
      </c>
      <c r="X31" s="219" t="s">
        <v>258</v>
      </c>
      <c r="Y31" s="234" t="s">
        <v>259</v>
      </c>
      <c r="Z31" s="219" t="s">
        <v>257</v>
      </c>
      <c r="AA31" s="219" t="s">
        <v>258</v>
      </c>
      <c r="AB31" s="234" t="s">
        <v>259</v>
      </c>
      <c r="AC31" s="219" t="s">
        <v>306</v>
      </c>
      <c r="AD31" s="219" t="s">
        <v>307</v>
      </c>
      <c r="AE31" s="234" t="s">
        <v>259</v>
      </c>
      <c r="AF31" s="219" t="s">
        <v>306</v>
      </c>
      <c r="AG31" s="219" t="s">
        <v>307</v>
      </c>
      <c r="AH31" s="234" t="s">
        <v>259</v>
      </c>
      <c r="AI31" s="216" t="s">
        <v>306</v>
      </c>
      <c r="AJ31" s="216" t="s">
        <v>307</v>
      </c>
      <c r="AK31" s="229" t="s">
        <v>259</v>
      </c>
      <c r="AL31" s="216" t="s">
        <v>306</v>
      </c>
      <c r="AM31" s="216" t="s">
        <v>307</v>
      </c>
      <c r="AN31" s="229" t="s">
        <v>259</v>
      </c>
      <c r="AO31" s="216" t="s">
        <v>306</v>
      </c>
      <c r="AP31" s="216" t="s">
        <v>307</v>
      </c>
      <c r="AQ31" s="229" t="s">
        <v>259</v>
      </c>
      <c r="AR31" s="216" t="s">
        <v>306</v>
      </c>
      <c r="AS31" s="216" t="s">
        <v>307</v>
      </c>
      <c r="AT31" s="229" t="s">
        <v>259</v>
      </c>
      <c r="AU31" s="216" t="s">
        <v>306</v>
      </c>
      <c r="AV31" s="216" t="s">
        <v>307</v>
      </c>
      <c r="AW31" s="229" t="s">
        <v>259</v>
      </c>
      <c r="AX31" s="216" t="s">
        <v>306</v>
      </c>
      <c r="AY31" s="216" t="s">
        <v>307</v>
      </c>
      <c r="AZ31" s="229" t="s">
        <v>259</v>
      </c>
    </row>
    <row r="32" spans="1:52">
      <c r="A32" s="203"/>
      <c r="B32" s="201"/>
      <c r="C32" s="201"/>
      <c r="D32" s="201"/>
      <c r="E32" s="219" t="s">
        <v>260</v>
      </c>
      <c r="F32" s="219" t="s">
        <v>260</v>
      </c>
      <c r="G32" s="234" t="s">
        <v>260</v>
      </c>
      <c r="H32" s="219" t="s">
        <v>261</v>
      </c>
      <c r="I32" s="219" t="s">
        <v>261</v>
      </c>
      <c r="J32" s="234" t="s">
        <v>261</v>
      </c>
      <c r="K32" s="219" t="s">
        <v>262</v>
      </c>
      <c r="L32" s="219" t="s">
        <v>262</v>
      </c>
      <c r="M32" s="234" t="s">
        <v>262</v>
      </c>
      <c r="N32" s="219" t="s">
        <v>197</v>
      </c>
      <c r="O32" s="219" t="s">
        <v>197</v>
      </c>
      <c r="P32" s="234" t="s">
        <v>197</v>
      </c>
      <c r="Q32" s="249" t="s">
        <v>263</v>
      </c>
      <c r="R32" s="249" t="s">
        <v>263</v>
      </c>
      <c r="S32" s="234" t="s">
        <v>263</v>
      </c>
      <c r="T32" s="219" t="s">
        <v>264</v>
      </c>
      <c r="U32" s="219" t="s">
        <v>264</v>
      </c>
      <c r="V32" s="234" t="s">
        <v>264</v>
      </c>
      <c r="W32" s="219" t="s">
        <v>277</v>
      </c>
      <c r="X32" s="219" t="s">
        <v>277</v>
      </c>
      <c r="Y32" s="234" t="s">
        <v>277</v>
      </c>
      <c r="Z32" s="227" t="s">
        <v>289</v>
      </c>
      <c r="AA32" s="227" t="s">
        <v>289</v>
      </c>
      <c r="AB32" s="242" t="s">
        <v>289</v>
      </c>
      <c r="AC32" s="227" t="s">
        <v>305</v>
      </c>
      <c r="AD32" s="227" t="s">
        <v>305</v>
      </c>
      <c r="AE32" s="242" t="s">
        <v>305</v>
      </c>
      <c r="AF32" s="227" t="s">
        <v>312</v>
      </c>
      <c r="AG32" s="227" t="s">
        <v>312</v>
      </c>
      <c r="AH32" s="242" t="s">
        <v>312</v>
      </c>
      <c r="AI32" s="226" t="s">
        <v>318</v>
      </c>
      <c r="AJ32" s="226" t="s">
        <v>318</v>
      </c>
      <c r="AK32" s="226" t="s">
        <v>321</v>
      </c>
      <c r="AL32" s="226" t="s">
        <v>321</v>
      </c>
      <c r="AM32" s="226" t="s">
        <v>321</v>
      </c>
      <c r="AN32" s="226" t="s">
        <v>321</v>
      </c>
      <c r="AO32" s="226" t="s">
        <v>328</v>
      </c>
      <c r="AP32" s="226" t="s">
        <v>328</v>
      </c>
      <c r="AQ32" s="226" t="s">
        <v>328</v>
      </c>
      <c r="AR32" s="226" t="s">
        <v>329</v>
      </c>
      <c r="AS32" s="226" t="s">
        <v>329</v>
      </c>
      <c r="AT32" s="226" t="s">
        <v>329</v>
      </c>
      <c r="AU32" s="226" t="s">
        <v>333</v>
      </c>
      <c r="AV32" s="226" t="s">
        <v>333</v>
      </c>
      <c r="AW32" s="226" t="s">
        <v>333</v>
      </c>
      <c r="AX32" s="226" t="s">
        <v>335</v>
      </c>
      <c r="AY32" s="226" t="s">
        <v>335</v>
      </c>
      <c r="AZ32" s="226" t="s">
        <v>335</v>
      </c>
    </row>
    <row r="33" spans="1:52">
      <c r="A33" s="203"/>
      <c r="B33" s="204" t="s">
        <v>265</v>
      </c>
      <c r="C33" s="205" t="s">
        <v>266</v>
      </c>
      <c r="D33" s="204" t="s">
        <v>267</v>
      </c>
      <c r="E33" s="220" t="s">
        <v>97</v>
      </c>
      <c r="F33" s="220" t="s">
        <v>97</v>
      </c>
      <c r="G33" s="235" t="s">
        <v>96</v>
      </c>
      <c r="H33" s="220" t="s">
        <v>97</v>
      </c>
      <c r="I33" s="220" t="s">
        <v>97</v>
      </c>
      <c r="J33" s="235" t="s">
        <v>96</v>
      </c>
      <c r="K33" s="220" t="s">
        <v>97</v>
      </c>
      <c r="L33" s="220" t="s">
        <v>97</v>
      </c>
      <c r="M33" s="235" t="s">
        <v>96</v>
      </c>
      <c r="N33" s="220" t="s">
        <v>97</v>
      </c>
      <c r="O33" s="220" t="s">
        <v>97</v>
      </c>
      <c r="P33" s="235" t="s">
        <v>96</v>
      </c>
      <c r="Q33" s="220" t="s">
        <v>97</v>
      </c>
      <c r="R33" s="220" t="s">
        <v>97</v>
      </c>
      <c r="S33" s="235" t="s">
        <v>96</v>
      </c>
      <c r="T33" s="220" t="s">
        <v>97</v>
      </c>
      <c r="U33" s="220" t="s">
        <v>97</v>
      </c>
      <c r="V33" s="235" t="s">
        <v>96</v>
      </c>
      <c r="W33" s="220" t="s">
        <v>97</v>
      </c>
      <c r="X33" s="220" t="s">
        <v>97</v>
      </c>
      <c r="Y33" s="235" t="s">
        <v>96</v>
      </c>
      <c r="Z33" s="220" t="s">
        <v>97</v>
      </c>
      <c r="AA33" s="220" t="s">
        <v>97</v>
      </c>
      <c r="AB33" s="235" t="s">
        <v>96</v>
      </c>
      <c r="AC33" s="220" t="s">
        <v>308</v>
      </c>
      <c r="AD33" s="220" t="s">
        <v>308</v>
      </c>
      <c r="AE33" s="235" t="s">
        <v>309</v>
      </c>
      <c r="AF33" s="220" t="s">
        <v>308</v>
      </c>
      <c r="AG33" s="220" t="s">
        <v>308</v>
      </c>
      <c r="AH33" s="235" t="s">
        <v>309</v>
      </c>
      <c r="AI33" s="217" t="s">
        <v>308</v>
      </c>
      <c r="AJ33" s="217" t="s">
        <v>308</v>
      </c>
      <c r="AK33" s="230" t="s">
        <v>309</v>
      </c>
      <c r="AL33" s="217" t="s">
        <v>308</v>
      </c>
      <c r="AM33" s="217" t="s">
        <v>308</v>
      </c>
      <c r="AN33" s="230" t="s">
        <v>309</v>
      </c>
      <c r="AO33" s="217" t="s">
        <v>308</v>
      </c>
      <c r="AP33" s="217" t="s">
        <v>308</v>
      </c>
      <c r="AQ33" s="230" t="s">
        <v>309</v>
      </c>
      <c r="AR33" s="217" t="s">
        <v>308</v>
      </c>
      <c r="AS33" s="217" t="s">
        <v>308</v>
      </c>
      <c r="AT33" s="230" t="s">
        <v>309</v>
      </c>
      <c r="AU33" s="217" t="s">
        <v>308</v>
      </c>
      <c r="AV33" s="217" t="s">
        <v>308</v>
      </c>
      <c r="AW33" s="230" t="s">
        <v>309</v>
      </c>
      <c r="AX33" s="217" t="s">
        <v>308</v>
      </c>
      <c r="AY33" s="217" t="s">
        <v>308</v>
      </c>
      <c r="AZ33" s="230" t="s">
        <v>309</v>
      </c>
    </row>
    <row r="34" spans="1:52" s="141" customFormat="1">
      <c r="A34" s="200" t="s">
        <v>354</v>
      </c>
      <c r="B34" s="201" t="s">
        <v>255</v>
      </c>
      <c r="C34" s="201" t="s">
        <v>268</v>
      </c>
      <c r="D34" s="202" t="s">
        <v>313</v>
      </c>
      <c r="E34" s="245" t="e">
        <v>#N/A</v>
      </c>
      <c r="F34" s="243">
        <v>1.836397836</v>
      </c>
      <c r="G34" s="231" t="e">
        <v>#N/A</v>
      </c>
      <c r="H34" s="245">
        <v>6.9843863129999999</v>
      </c>
      <c r="I34" s="243">
        <v>1.7875422249999999</v>
      </c>
      <c r="J34" s="231">
        <v>3.9072566876007642</v>
      </c>
      <c r="K34" s="245">
        <v>6.9875059359999998</v>
      </c>
      <c r="L34" s="243">
        <v>1.750909735</v>
      </c>
      <c r="M34" s="231">
        <v>3.990785930492299</v>
      </c>
      <c r="N34" s="245">
        <v>6.8875218819999997</v>
      </c>
      <c r="O34" s="243">
        <v>1.7214837030000001</v>
      </c>
      <c r="P34" s="231">
        <v>4.0009219198515984</v>
      </c>
      <c r="Q34" s="245">
        <v>6.7698940439999999</v>
      </c>
      <c r="R34" s="243">
        <v>1.6753439029999999</v>
      </c>
      <c r="S34" s="231">
        <v>4.0408981295585376</v>
      </c>
      <c r="T34" s="245">
        <v>6.5887099180000002</v>
      </c>
      <c r="U34" s="243">
        <v>1.634895531</v>
      </c>
      <c r="V34" s="231">
        <v>4.0300495004533721</v>
      </c>
      <c r="W34" s="245">
        <v>6.5470141789999996</v>
      </c>
      <c r="X34" s="243">
        <v>1.5985715579999999</v>
      </c>
      <c r="Y34" s="231">
        <v>4.0955402629526825</v>
      </c>
      <c r="Z34" s="245">
        <v>6.4852826200000004</v>
      </c>
      <c r="AA34" s="243">
        <v>1.5585713830000001</v>
      </c>
      <c r="AB34" s="231">
        <v>4.1610430492550625</v>
      </c>
      <c r="AC34" s="245">
        <v>6.2912386949999997</v>
      </c>
      <c r="AD34" s="243">
        <v>1.5147281029999999</v>
      </c>
      <c r="AE34" s="231">
        <v>4.153378208630226</v>
      </c>
      <c r="AF34" s="245">
        <v>6.2701050719999998</v>
      </c>
      <c r="AG34" s="243">
        <v>1.4998150459999999</v>
      </c>
      <c r="AH34" s="231">
        <v>4.1805855253435027</v>
      </c>
      <c r="AI34" s="245">
        <v>6.2325998570000003</v>
      </c>
      <c r="AJ34" s="245">
        <v>1.4773182389999999</v>
      </c>
      <c r="AK34" s="231">
        <v>4.2188606980300065</v>
      </c>
      <c r="AL34" s="245">
        <v>6.1647651779999997</v>
      </c>
      <c r="AM34" s="245">
        <v>1.448039157</v>
      </c>
      <c r="AN34" s="231">
        <v>4.2573193882214886</v>
      </c>
      <c r="AO34" s="245">
        <v>6.0831065789999998</v>
      </c>
      <c r="AP34" s="245">
        <v>1.4277507389999999</v>
      </c>
      <c r="AQ34" s="231">
        <v>4.2606222590790761</v>
      </c>
      <c r="AR34" s="245">
        <v>6.184472918</v>
      </c>
      <c r="AS34" s="245">
        <v>1.4134660859999999</v>
      </c>
      <c r="AT34" s="231">
        <v>4.3753953343879521</v>
      </c>
      <c r="AU34" s="245">
        <v>6.1861771430000001</v>
      </c>
      <c r="AV34" s="245">
        <v>1.3843219010000001</v>
      </c>
      <c r="AW34" s="231">
        <v>4.4687417995274492</v>
      </c>
      <c r="AX34" s="245">
        <v>6.2092333660000003</v>
      </c>
      <c r="AY34" s="245">
        <v>1.376525024</v>
      </c>
      <c r="AZ34" s="231">
        <v>4.5108031149021812</v>
      </c>
    </row>
    <row r="35" spans="1:52" s="141" customFormat="1">
      <c r="A35" s="200" t="s">
        <v>355</v>
      </c>
      <c r="B35" s="201" t="s">
        <v>255</v>
      </c>
      <c r="C35" s="201" t="s">
        <v>268</v>
      </c>
      <c r="D35" s="202" t="s">
        <v>100</v>
      </c>
      <c r="E35" s="245" t="e">
        <v>#N/A</v>
      </c>
      <c r="F35" s="243">
        <v>1.5731097999999999</v>
      </c>
      <c r="G35" s="231" t="e">
        <v>#N/A</v>
      </c>
      <c r="H35" s="245">
        <v>1.951154595</v>
      </c>
      <c r="I35" s="243">
        <v>1.5946511619999999</v>
      </c>
      <c r="J35" s="231">
        <v>1.2235620187633238</v>
      </c>
      <c r="K35" s="245">
        <v>1.9695469809999999</v>
      </c>
      <c r="L35" s="243">
        <v>1.599716645</v>
      </c>
      <c r="M35" s="231">
        <v>1.2311849021237133</v>
      </c>
      <c r="N35" s="245">
        <v>1.94517907</v>
      </c>
      <c r="O35" s="243">
        <v>1.615917796</v>
      </c>
      <c r="P35" s="231">
        <v>1.2037611534541204</v>
      </c>
      <c r="Q35" s="245">
        <v>1.9912925420000001</v>
      </c>
      <c r="R35" s="243">
        <v>1.6324536540000001</v>
      </c>
      <c r="S35" s="231">
        <v>1.2198156665095743</v>
      </c>
      <c r="T35" s="245">
        <v>1.9659683809999999</v>
      </c>
      <c r="U35" s="243">
        <v>1.6538669930000001</v>
      </c>
      <c r="V35" s="231">
        <v>1.18871008933667</v>
      </c>
      <c r="W35" s="245">
        <v>1.961625521</v>
      </c>
      <c r="X35" s="243">
        <v>1.654729675</v>
      </c>
      <c r="Y35" s="231">
        <v>1.1854658501848647</v>
      </c>
      <c r="Z35" s="245">
        <v>1.937360204</v>
      </c>
      <c r="AA35" s="243">
        <v>1.6639188469999999</v>
      </c>
      <c r="AB35" s="231">
        <v>1.1643357532087621</v>
      </c>
      <c r="AC35" s="245">
        <v>1.9350804530000001</v>
      </c>
      <c r="AD35" s="243">
        <v>1.6632189930000001</v>
      </c>
      <c r="AE35" s="231">
        <v>1.1634549996988881</v>
      </c>
      <c r="AF35" s="245">
        <v>1.9673551730000001</v>
      </c>
      <c r="AG35" s="243">
        <v>1.659688442</v>
      </c>
      <c r="AH35" s="231">
        <v>1.1853761966488408</v>
      </c>
      <c r="AI35" s="245">
        <v>1.9420699509999999</v>
      </c>
      <c r="AJ35" s="245">
        <v>1.6435780289999999</v>
      </c>
      <c r="AK35" s="231">
        <v>1.1816110441568819</v>
      </c>
      <c r="AL35" s="245">
        <v>1.948181186</v>
      </c>
      <c r="AM35" s="245">
        <v>1.6352895590000001</v>
      </c>
      <c r="AN35" s="231">
        <v>1.191337139822098</v>
      </c>
      <c r="AO35" s="245">
        <v>1.9487415459999999</v>
      </c>
      <c r="AP35" s="245">
        <v>1.6157924749999999</v>
      </c>
      <c r="AQ35" s="231">
        <v>1.2060593028817022</v>
      </c>
      <c r="AR35" s="245">
        <v>1.9223054159999999</v>
      </c>
      <c r="AS35" s="245">
        <v>1.5877870279999999</v>
      </c>
      <c r="AT35" s="231">
        <v>1.2106821520146593</v>
      </c>
      <c r="AU35" s="245">
        <v>1.847585633</v>
      </c>
      <c r="AV35" s="245">
        <v>1.5689301520000001</v>
      </c>
      <c r="AW35" s="231">
        <v>1.1776085956693374</v>
      </c>
      <c r="AX35" s="245">
        <v>1.814711983</v>
      </c>
      <c r="AY35" s="245">
        <v>1.568346332</v>
      </c>
      <c r="AZ35" s="231">
        <v>1.157086254466402</v>
      </c>
    </row>
    <row r="36" spans="1:52" s="141" customFormat="1">
      <c r="A36" s="200" t="s">
        <v>356</v>
      </c>
      <c r="B36" s="201" t="s">
        <v>255</v>
      </c>
      <c r="C36" s="201" t="s">
        <v>268</v>
      </c>
      <c r="D36" s="202" t="s">
        <v>101</v>
      </c>
      <c r="E36" s="245" t="e">
        <v>#N/A</v>
      </c>
      <c r="F36" s="243">
        <v>3.377334388</v>
      </c>
      <c r="G36" s="231" t="e">
        <v>#N/A</v>
      </c>
      <c r="H36" s="245">
        <v>5.2414279019999999</v>
      </c>
      <c r="I36" s="243">
        <v>3.2818401330000002</v>
      </c>
      <c r="J36" s="231">
        <v>1.5971003125032475</v>
      </c>
      <c r="K36" s="245">
        <v>5.1030652129999998</v>
      </c>
      <c r="L36" s="243">
        <v>3.179156866</v>
      </c>
      <c r="M36" s="231">
        <v>1.605163075649253</v>
      </c>
      <c r="N36" s="245">
        <v>5.0802365470000002</v>
      </c>
      <c r="O36" s="243">
        <v>3.091828477</v>
      </c>
      <c r="P36" s="231">
        <v>1.6431171990269497</v>
      </c>
      <c r="Q36" s="245">
        <v>5.1735163220000002</v>
      </c>
      <c r="R36" s="243">
        <v>2.9974729569999998</v>
      </c>
      <c r="S36" s="231">
        <v>1.7259592984544816</v>
      </c>
      <c r="T36" s="245">
        <v>5.1526697959999996</v>
      </c>
      <c r="U36" s="243">
        <v>2.9138037360000002</v>
      </c>
      <c r="V36" s="231">
        <v>1.768365429812188</v>
      </c>
      <c r="W36" s="245">
        <v>5.06589489</v>
      </c>
      <c r="X36" s="243">
        <v>2.8341628019999998</v>
      </c>
      <c r="Y36" s="231">
        <v>1.7874396228844445</v>
      </c>
      <c r="Z36" s="245">
        <v>5.0974022080000001</v>
      </c>
      <c r="AA36" s="243">
        <v>2.7621412809999999</v>
      </c>
      <c r="AB36" s="231">
        <v>1.845453106639986</v>
      </c>
      <c r="AC36" s="245">
        <v>5.0498865579999999</v>
      </c>
      <c r="AD36" s="243">
        <v>2.6890684089999999</v>
      </c>
      <c r="AE36" s="231">
        <v>1.8779316067596554</v>
      </c>
      <c r="AF36" s="245">
        <v>4.9673061130000002</v>
      </c>
      <c r="AG36" s="243">
        <v>2.6302667560000002</v>
      </c>
      <c r="AH36" s="231">
        <v>1.8885179998070127</v>
      </c>
      <c r="AI36" s="245">
        <v>4.8971685709999999</v>
      </c>
      <c r="AJ36" s="245">
        <v>2.55046821</v>
      </c>
      <c r="AK36" s="231">
        <v>1.9201057091395779</v>
      </c>
      <c r="AL36" s="245">
        <v>4.962582372</v>
      </c>
      <c r="AM36" s="245">
        <v>2.4675698189999999</v>
      </c>
      <c r="AN36" s="231">
        <v>2.0111213606961367</v>
      </c>
      <c r="AO36" s="245">
        <v>4.8748727430000001</v>
      </c>
      <c r="AP36" s="245">
        <v>2.40320921</v>
      </c>
      <c r="AQ36" s="231">
        <v>2.0284845458793828</v>
      </c>
      <c r="AR36" s="245">
        <v>4.797158348</v>
      </c>
      <c r="AS36" s="245">
        <v>2.3148308289999999</v>
      </c>
      <c r="AT36" s="231">
        <v>2.0723580694976134</v>
      </c>
      <c r="AU36" s="245">
        <v>4.6917878210000001</v>
      </c>
      <c r="AV36" s="245">
        <v>2.2370237340000001</v>
      </c>
      <c r="AW36" s="231">
        <v>2.0973348425815135</v>
      </c>
      <c r="AX36" s="245">
        <v>4.6807184350000002</v>
      </c>
      <c r="AY36" s="245">
        <v>2.1989153369999999</v>
      </c>
      <c r="AZ36" s="231">
        <v>2.1286487734384294</v>
      </c>
    </row>
    <row r="37" spans="1:52" s="141" customFormat="1">
      <c r="A37" s="200" t="s">
        <v>357</v>
      </c>
      <c r="B37" s="201" t="s">
        <v>255</v>
      </c>
      <c r="C37" s="201" t="s">
        <v>268</v>
      </c>
      <c r="D37" s="202" t="s">
        <v>102</v>
      </c>
      <c r="E37" s="245" t="e">
        <v>#N/A</v>
      </c>
      <c r="F37" s="243">
        <v>19.192110952</v>
      </c>
      <c r="G37" s="231" t="e">
        <v>#N/A</v>
      </c>
      <c r="H37" s="245">
        <v>46.334070079999996</v>
      </c>
      <c r="I37" s="243">
        <v>18.819575021999999</v>
      </c>
      <c r="J37" s="231">
        <v>2.4620146855513836</v>
      </c>
      <c r="K37" s="245">
        <v>46.237705538</v>
      </c>
      <c r="L37" s="243">
        <v>18.456219831999999</v>
      </c>
      <c r="M37" s="231">
        <v>2.5052641309479609</v>
      </c>
      <c r="N37" s="245">
        <v>46.475416826999997</v>
      </c>
      <c r="O37" s="243">
        <v>18.097193776000001</v>
      </c>
      <c r="P37" s="231">
        <v>2.5681007454666487</v>
      </c>
      <c r="Q37" s="245">
        <v>46.536387933999997</v>
      </c>
      <c r="R37" s="243">
        <v>17.769379476000001</v>
      </c>
      <c r="S37" s="231">
        <v>2.6189090056213731</v>
      </c>
      <c r="T37" s="245">
        <v>46.528313193999999</v>
      </c>
      <c r="U37" s="243">
        <v>17.448869986999998</v>
      </c>
      <c r="V37" s="231">
        <v>2.6665516579964876</v>
      </c>
      <c r="W37" s="245">
        <v>46.294609281</v>
      </c>
      <c r="X37" s="243">
        <v>17.155833713</v>
      </c>
      <c r="Y37" s="231">
        <v>2.6984762183792799</v>
      </c>
      <c r="Z37" s="245">
        <v>45.749424122999997</v>
      </c>
      <c r="AA37" s="243">
        <v>16.864551070000001</v>
      </c>
      <c r="AB37" s="231">
        <v>2.7127567127702972</v>
      </c>
      <c r="AC37" s="245">
        <v>44.680142449000002</v>
      </c>
      <c r="AD37" s="243">
        <v>16.490578893999999</v>
      </c>
      <c r="AE37" s="231">
        <v>2.7094344435207556</v>
      </c>
      <c r="AF37" s="245">
        <v>43.618529662</v>
      </c>
      <c r="AG37" s="243">
        <v>16.017524939000001</v>
      </c>
      <c r="AH37" s="231">
        <v>2.7231753862168904</v>
      </c>
      <c r="AI37" s="245">
        <v>42.580347031999999</v>
      </c>
      <c r="AJ37" s="245">
        <v>15.465659583000001</v>
      </c>
      <c r="AK37" s="231">
        <v>2.7532189496013943</v>
      </c>
      <c r="AL37" s="245">
        <v>41.745896883</v>
      </c>
      <c r="AM37" s="245">
        <v>15.019093493</v>
      </c>
      <c r="AN37" s="231">
        <v>2.7795217402739154</v>
      </c>
      <c r="AO37" s="245">
        <v>40.759337068999997</v>
      </c>
      <c r="AP37" s="245">
        <v>14.575550011000001</v>
      </c>
      <c r="AQ37" s="231">
        <v>2.7964184568156529</v>
      </c>
      <c r="AR37" s="245">
        <v>39.944567493999998</v>
      </c>
      <c r="AS37" s="245">
        <v>14.161136758</v>
      </c>
      <c r="AT37" s="231">
        <v>2.8207175862089078</v>
      </c>
      <c r="AU37" s="245">
        <v>39.055926708999998</v>
      </c>
      <c r="AV37" s="245">
        <v>13.757221726999999</v>
      </c>
      <c r="AW37" s="231">
        <v>2.8389399752385049</v>
      </c>
      <c r="AX37" s="245">
        <v>37.825965334000003</v>
      </c>
      <c r="AY37" s="245">
        <v>13.413172600999999</v>
      </c>
      <c r="AZ37" s="231">
        <v>2.8200610294972228</v>
      </c>
    </row>
    <row r="38" spans="1:52" s="141" customFormat="1">
      <c r="A38" s="200" t="s">
        <v>358</v>
      </c>
      <c r="B38" s="201" t="s">
        <v>255</v>
      </c>
      <c r="C38" s="201" t="s">
        <v>268</v>
      </c>
      <c r="D38" s="202" t="s">
        <v>103</v>
      </c>
      <c r="E38" s="245" t="e">
        <v>#N/A</v>
      </c>
      <c r="F38" s="243">
        <v>1.8681304649999999</v>
      </c>
      <c r="G38" s="231" t="e">
        <v>#N/A</v>
      </c>
      <c r="H38" s="245">
        <v>1.685269101</v>
      </c>
      <c r="I38" s="243">
        <v>1.906978982</v>
      </c>
      <c r="J38" s="231">
        <v>0.88373763785929338</v>
      </c>
      <c r="K38" s="245">
        <v>1.7957970839999999</v>
      </c>
      <c r="L38" s="243">
        <v>1.9410164169999999</v>
      </c>
      <c r="M38" s="231">
        <v>0.92518387184769491</v>
      </c>
      <c r="N38" s="245">
        <v>1.923646762</v>
      </c>
      <c r="O38" s="243">
        <v>1.9445231789999999</v>
      </c>
      <c r="P38" s="231">
        <v>0.98926399169449042</v>
      </c>
      <c r="Q38" s="245">
        <v>2.075848862</v>
      </c>
      <c r="R38" s="243">
        <v>1.9490857930000001</v>
      </c>
      <c r="S38" s="231">
        <v>1.0650371930549494</v>
      </c>
      <c r="T38" s="245">
        <v>2.1647689790000002</v>
      </c>
      <c r="U38" s="243">
        <v>1.924808227</v>
      </c>
      <c r="V38" s="231">
        <v>1.124667355757307</v>
      </c>
      <c r="W38" s="245">
        <v>2.2497077499999998</v>
      </c>
      <c r="X38" s="243">
        <v>1.9006076780000001</v>
      </c>
      <c r="Y38" s="231">
        <v>1.1836781341256897</v>
      </c>
      <c r="Z38" s="245">
        <v>2.3662338549999999</v>
      </c>
      <c r="AA38" s="243">
        <v>1.89329568</v>
      </c>
      <c r="AB38" s="231">
        <v>1.2497962573917667</v>
      </c>
      <c r="AC38" s="245">
        <v>2.3887322960000001</v>
      </c>
      <c r="AD38" s="243">
        <v>1.8844364549999999</v>
      </c>
      <c r="AE38" s="231">
        <v>1.2676109558706241</v>
      </c>
      <c r="AF38" s="245">
        <v>2.3956337140000001</v>
      </c>
      <c r="AG38" s="243">
        <v>1.8971346549999999</v>
      </c>
      <c r="AH38" s="231">
        <v>1.2627641942474559</v>
      </c>
      <c r="AI38" s="245">
        <v>2.5092636750000001</v>
      </c>
      <c r="AJ38" s="245">
        <v>1.922454769</v>
      </c>
      <c r="AK38" s="231">
        <v>1.3052393822015587</v>
      </c>
      <c r="AL38" s="245">
        <v>2.5556703839999999</v>
      </c>
      <c r="AM38" s="245">
        <v>1.9512059349999999</v>
      </c>
      <c r="AN38" s="231">
        <v>1.3097901857294216</v>
      </c>
      <c r="AO38" s="245">
        <v>2.6072477680000001</v>
      </c>
      <c r="AP38" s="245">
        <v>1.9625227860000001</v>
      </c>
      <c r="AQ38" s="231">
        <v>1.3285184694920531</v>
      </c>
      <c r="AR38" s="245">
        <v>2.749759799</v>
      </c>
      <c r="AS38" s="245">
        <v>1.9775595539999999</v>
      </c>
      <c r="AT38" s="231">
        <v>1.3904814110088743</v>
      </c>
      <c r="AU38" s="245">
        <v>2.8800199979999999</v>
      </c>
      <c r="AV38" s="245">
        <v>1.9886878969999999</v>
      </c>
      <c r="AW38" s="231">
        <v>1.448201098998291</v>
      </c>
      <c r="AX38" s="245">
        <v>2.9304058460000002</v>
      </c>
      <c r="AY38" s="245">
        <v>2.0012561550000001</v>
      </c>
      <c r="AZ38" s="231">
        <v>1.4642832396435528</v>
      </c>
    </row>
    <row r="39" spans="1:52" s="141" customFormat="1">
      <c r="A39" s="200" t="s">
        <v>359</v>
      </c>
      <c r="B39" s="201" t="s">
        <v>255</v>
      </c>
      <c r="C39" s="201" t="s">
        <v>268</v>
      </c>
      <c r="D39" s="202" t="s">
        <v>104</v>
      </c>
      <c r="E39" s="245" t="e">
        <v>#N/A</v>
      </c>
      <c r="F39" s="243">
        <v>8.9643175409999998</v>
      </c>
      <c r="G39" s="231" t="e">
        <v>#N/A</v>
      </c>
      <c r="H39" s="245">
        <v>9.6754355160000003</v>
      </c>
      <c r="I39" s="243">
        <v>8.9494473069999998</v>
      </c>
      <c r="J39" s="231">
        <v>1.0811210105044311</v>
      </c>
      <c r="K39" s="245">
        <v>9.6790407910000003</v>
      </c>
      <c r="L39" s="243">
        <v>8.9165342600000006</v>
      </c>
      <c r="M39" s="231">
        <v>1.0855160209971537</v>
      </c>
      <c r="N39" s="245">
        <v>9.7401755770000005</v>
      </c>
      <c r="O39" s="243">
        <v>8.8747186490000001</v>
      </c>
      <c r="P39" s="231">
        <v>1.0975193650896775</v>
      </c>
      <c r="Q39" s="245">
        <v>9.6601401669999998</v>
      </c>
      <c r="R39" s="243">
        <v>8.8900718909999998</v>
      </c>
      <c r="S39" s="231">
        <v>1.0866211528367493</v>
      </c>
      <c r="T39" s="245">
        <v>9.6569230239999992</v>
      </c>
      <c r="U39" s="243">
        <v>8.9045327220000008</v>
      </c>
      <c r="V39" s="231">
        <v>1.0844952032284754</v>
      </c>
      <c r="W39" s="245">
        <v>9.6129394809999997</v>
      </c>
      <c r="X39" s="243">
        <v>8.9362013240000007</v>
      </c>
      <c r="Y39" s="231">
        <v>1.0757299586774618</v>
      </c>
      <c r="Z39" s="245">
        <v>9.7029340790000003</v>
      </c>
      <c r="AA39" s="243">
        <v>8.9759904830000004</v>
      </c>
      <c r="AB39" s="231">
        <v>1.0809875631415595</v>
      </c>
      <c r="AC39" s="245">
        <v>9.7649573549999999</v>
      </c>
      <c r="AD39" s="243">
        <v>9.0176672609999997</v>
      </c>
      <c r="AE39" s="231">
        <v>1.0828695573224256</v>
      </c>
      <c r="AF39" s="245">
        <v>9.9317667909999994</v>
      </c>
      <c r="AG39" s="243">
        <v>9.0317053210000005</v>
      </c>
      <c r="AH39" s="231">
        <v>1.0996557613441205</v>
      </c>
      <c r="AI39" s="245">
        <v>10.133769707000001</v>
      </c>
      <c r="AJ39" s="245">
        <v>9.0999910550000003</v>
      </c>
      <c r="AK39" s="231">
        <v>1.1136021613375091</v>
      </c>
      <c r="AL39" s="245">
        <v>10.33904019</v>
      </c>
      <c r="AM39" s="245">
        <v>9.1509683190000004</v>
      </c>
      <c r="AN39" s="231">
        <v>1.1298301807616606</v>
      </c>
      <c r="AO39" s="245">
        <v>10.401501068</v>
      </c>
      <c r="AP39" s="245">
        <v>9.1991818980000009</v>
      </c>
      <c r="AQ39" s="231">
        <v>1.1306984885537914</v>
      </c>
      <c r="AR39" s="245">
        <v>10.492776344999999</v>
      </c>
      <c r="AS39" s="245">
        <v>9.2884538509999999</v>
      </c>
      <c r="AT39" s="231">
        <v>1.1296580155663196</v>
      </c>
      <c r="AU39" s="245">
        <v>10.66720611</v>
      </c>
      <c r="AV39" s="245">
        <v>9.3471295170000008</v>
      </c>
      <c r="AW39" s="231">
        <v>1.1412280198534879</v>
      </c>
      <c r="AX39" s="245">
        <v>10.692990619</v>
      </c>
      <c r="AY39" s="245">
        <v>9.365945666</v>
      </c>
      <c r="AZ39" s="231">
        <v>1.1416883035972973</v>
      </c>
    </row>
    <row r="40" spans="1:52" s="141" customFormat="1">
      <c r="A40" s="200" t="s">
        <v>360</v>
      </c>
      <c r="B40" s="201" t="s">
        <v>255</v>
      </c>
      <c r="C40" s="201" t="s">
        <v>268</v>
      </c>
      <c r="D40" s="202" t="s">
        <v>105</v>
      </c>
      <c r="E40" s="245" t="e">
        <v>#N/A</v>
      </c>
      <c r="F40" s="243">
        <v>39.727819644</v>
      </c>
      <c r="G40" s="231" t="e">
        <v>#N/A</v>
      </c>
      <c r="H40" s="245">
        <v>51.173948009999997</v>
      </c>
      <c r="I40" s="243">
        <v>40.344494886</v>
      </c>
      <c r="J40" s="231">
        <v>1.268424555930131</v>
      </c>
      <c r="K40" s="245">
        <v>51.674041825000003</v>
      </c>
      <c r="L40" s="243">
        <v>40.802920714000003</v>
      </c>
      <c r="M40" s="231">
        <v>1.2664299741481491</v>
      </c>
      <c r="N40" s="245">
        <v>52.174294142000001</v>
      </c>
      <c r="O40" s="243">
        <v>41.136708286999998</v>
      </c>
      <c r="P40" s="231">
        <v>1.2683147562025057</v>
      </c>
      <c r="Q40" s="245">
        <v>52.552521439000003</v>
      </c>
      <c r="R40" s="243">
        <v>41.237927956999997</v>
      </c>
      <c r="S40" s="231">
        <v>1.2743734722510323</v>
      </c>
      <c r="T40" s="245">
        <v>52.369299732000002</v>
      </c>
      <c r="U40" s="243">
        <v>41.466163442999999</v>
      </c>
      <c r="V40" s="231">
        <v>1.2629405612599685</v>
      </c>
      <c r="W40" s="245">
        <v>52.051110872000002</v>
      </c>
      <c r="X40" s="243">
        <v>41.637611737</v>
      </c>
      <c r="Y40" s="231">
        <v>1.2500983774183754</v>
      </c>
      <c r="Z40" s="245">
        <v>51.765500211000003</v>
      </c>
      <c r="AA40" s="243">
        <v>41.861308497000003</v>
      </c>
      <c r="AB40" s="231">
        <v>1.236595368601767</v>
      </c>
      <c r="AC40" s="245">
        <v>51.605913780999998</v>
      </c>
      <c r="AD40" s="243">
        <v>41.980299668999997</v>
      </c>
      <c r="AE40" s="231">
        <v>1.2292888375713038</v>
      </c>
      <c r="AF40" s="245">
        <v>51.219911756000002</v>
      </c>
      <c r="AG40" s="243">
        <v>42.193355605999997</v>
      </c>
      <c r="AH40" s="231">
        <v>1.2139331186239286</v>
      </c>
      <c r="AI40" s="245">
        <v>51.443342686999998</v>
      </c>
      <c r="AJ40" s="245">
        <v>42.114076863000001</v>
      </c>
      <c r="AK40" s="231">
        <v>1.2215236927630813</v>
      </c>
      <c r="AL40" s="245">
        <v>51.526969944000001</v>
      </c>
      <c r="AM40" s="245">
        <v>41.978976377000002</v>
      </c>
      <c r="AN40" s="231">
        <v>1.2274470316105963</v>
      </c>
      <c r="AO40" s="245">
        <v>51.606028084999998</v>
      </c>
      <c r="AP40" s="245">
        <v>41.710004494000003</v>
      </c>
      <c r="AQ40" s="231">
        <v>1.2372577924901336</v>
      </c>
      <c r="AR40" s="245">
        <v>51.186703885999997</v>
      </c>
      <c r="AS40" s="245">
        <v>41.328829566000003</v>
      </c>
      <c r="AT40" s="231">
        <v>1.2385229493193723</v>
      </c>
      <c r="AU40" s="245">
        <v>51.045016111000002</v>
      </c>
      <c r="AV40" s="245">
        <v>40.922107328000003</v>
      </c>
      <c r="AW40" s="231">
        <v>1.247370173335957</v>
      </c>
      <c r="AX40" s="245">
        <v>50.088373930000003</v>
      </c>
      <c r="AY40" s="245">
        <v>40.410485846999997</v>
      </c>
      <c r="AZ40" s="231">
        <v>1.2394895255563594</v>
      </c>
    </row>
    <row r="41" spans="1:52" s="141" customFormat="1">
      <c r="A41" s="200" t="s">
        <v>361</v>
      </c>
      <c r="B41" s="201" t="s">
        <v>255</v>
      </c>
      <c r="C41" s="201" t="s">
        <v>268</v>
      </c>
      <c r="D41" s="202" t="s">
        <v>106</v>
      </c>
      <c r="E41" s="245" t="e">
        <v>#N/A</v>
      </c>
      <c r="F41" s="243">
        <v>2.0385276459999999</v>
      </c>
      <c r="G41" s="231" t="e">
        <v>#N/A</v>
      </c>
      <c r="H41" s="245">
        <v>14.540939707</v>
      </c>
      <c r="I41" s="243">
        <v>2.0646998220000001</v>
      </c>
      <c r="J41" s="231">
        <v>7.0426410425679782</v>
      </c>
      <c r="K41" s="245">
        <v>15.150986611</v>
      </c>
      <c r="L41" s="243">
        <v>2.0631330239999999</v>
      </c>
      <c r="M41" s="231">
        <v>7.3436789750111631</v>
      </c>
      <c r="N41" s="245">
        <v>15.827363226999999</v>
      </c>
      <c r="O41" s="243">
        <v>2.0445096230000002</v>
      </c>
      <c r="P41" s="231">
        <v>7.7413982545975024</v>
      </c>
      <c r="Q41" s="245">
        <v>16.473503944000001</v>
      </c>
      <c r="R41" s="243">
        <v>2.0346966210000001</v>
      </c>
      <c r="S41" s="231">
        <v>8.0962949335924606</v>
      </c>
      <c r="T41" s="245">
        <v>16.842632381000001</v>
      </c>
      <c r="U41" s="243">
        <v>2.0366160889999998</v>
      </c>
      <c r="V41" s="231">
        <v>8.2699103046317948</v>
      </c>
      <c r="W41" s="245">
        <v>17.420439964</v>
      </c>
      <c r="X41" s="243">
        <v>2.0070528040000002</v>
      </c>
      <c r="Y41" s="231">
        <v>8.6796121802483466</v>
      </c>
      <c r="Z41" s="245">
        <v>17.715707802000001</v>
      </c>
      <c r="AA41" s="243">
        <v>1.9898666789999999</v>
      </c>
      <c r="AB41" s="231">
        <v>8.902962187850175</v>
      </c>
      <c r="AC41" s="245">
        <v>18.014668017999998</v>
      </c>
      <c r="AD41" s="243">
        <v>1.9903360880000001</v>
      </c>
      <c r="AE41" s="231">
        <v>9.0510683731319634</v>
      </c>
      <c r="AF41" s="245">
        <v>18.438664633999998</v>
      </c>
      <c r="AG41" s="243">
        <v>1.983948219</v>
      </c>
      <c r="AH41" s="231">
        <v>9.2939243360363122</v>
      </c>
      <c r="AI41" s="245">
        <v>19.126450055999999</v>
      </c>
      <c r="AJ41" s="245">
        <v>1.9912482929999999</v>
      </c>
      <c r="AK41" s="231">
        <v>9.6052562220576885</v>
      </c>
      <c r="AL41" s="245">
        <v>19.471262030999998</v>
      </c>
      <c r="AM41" s="245">
        <v>1.9885872769999999</v>
      </c>
      <c r="AN41" s="231">
        <v>9.7915048819856239</v>
      </c>
      <c r="AO41" s="245">
        <v>19.889615839000001</v>
      </c>
      <c r="AP41" s="245">
        <v>1.981369103</v>
      </c>
      <c r="AQ41" s="231">
        <v>10.038319366585984</v>
      </c>
      <c r="AR41" s="245">
        <v>20.511979972999999</v>
      </c>
      <c r="AS41" s="245">
        <v>1.966045788</v>
      </c>
      <c r="AT41" s="231">
        <v>10.433114069976074</v>
      </c>
      <c r="AU41" s="245">
        <v>20.711604137999998</v>
      </c>
      <c r="AV41" s="245">
        <v>1.988055642</v>
      </c>
      <c r="AW41" s="231">
        <v>10.418020351363989</v>
      </c>
      <c r="AX41" s="245">
        <v>20.851025447000001</v>
      </c>
      <c r="AY41" s="245">
        <v>1.9678280560000001</v>
      </c>
      <c r="AZ41" s="231">
        <v>10.595959023667868</v>
      </c>
    </row>
    <row r="42" spans="1:52" s="141" customFormat="1">
      <c r="A42" s="200" t="s">
        <v>362</v>
      </c>
      <c r="B42" s="201" t="s">
        <v>255</v>
      </c>
      <c r="C42" s="201" t="s">
        <v>268</v>
      </c>
      <c r="D42" s="202" t="s">
        <v>113</v>
      </c>
      <c r="E42" s="245" t="e">
        <v>#N/A</v>
      </c>
      <c r="F42" s="243">
        <v>31.111598095000002</v>
      </c>
      <c r="G42" s="231" t="e">
        <v>#N/A</v>
      </c>
      <c r="H42" s="245">
        <v>135.031593813</v>
      </c>
      <c r="I42" s="243">
        <v>30.430741086000001</v>
      </c>
      <c r="J42" s="231">
        <v>4.4373416155521355</v>
      </c>
      <c r="K42" s="245">
        <v>136.439938216</v>
      </c>
      <c r="L42" s="243">
        <v>29.658291008999999</v>
      </c>
      <c r="M42" s="231">
        <v>4.6003978507931027</v>
      </c>
      <c r="N42" s="245">
        <v>139.086616212</v>
      </c>
      <c r="O42" s="243">
        <v>28.836690734000001</v>
      </c>
      <c r="P42" s="231">
        <v>4.8232516516886399</v>
      </c>
      <c r="Q42" s="245">
        <v>141.291092795</v>
      </c>
      <c r="R42" s="243">
        <v>27.916222038000001</v>
      </c>
      <c r="S42" s="231">
        <v>5.0612540838324165</v>
      </c>
      <c r="T42" s="245">
        <v>142.14233693200001</v>
      </c>
      <c r="U42" s="243">
        <v>27.140867408999998</v>
      </c>
      <c r="V42" s="231">
        <v>5.2372068582032556</v>
      </c>
      <c r="W42" s="245">
        <v>143.23774485600001</v>
      </c>
      <c r="X42" s="243">
        <v>26.425014342000001</v>
      </c>
      <c r="Y42" s="231">
        <v>5.4205361254369304</v>
      </c>
      <c r="Z42" s="245">
        <v>142.65561478500001</v>
      </c>
      <c r="AA42" s="243">
        <v>25.911868881</v>
      </c>
      <c r="AB42" s="231">
        <v>5.5054158941658935</v>
      </c>
      <c r="AC42" s="245">
        <v>139.37908546099999</v>
      </c>
      <c r="AD42" s="243">
        <v>25.442610191</v>
      </c>
      <c r="AE42" s="231">
        <v>5.4781755651117736</v>
      </c>
      <c r="AF42" s="245">
        <v>136.11951044899999</v>
      </c>
      <c r="AG42" s="243">
        <v>25.033116524</v>
      </c>
      <c r="AH42" s="231">
        <v>5.4375774713667049</v>
      </c>
      <c r="AI42" s="245">
        <v>133.91630261899999</v>
      </c>
      <c r="AJ42" s="245">
        <v>24.495926432000001</v>
      </c>
      <c r="AK42" s="231">
        <v>5.4668805032031695</v>
      </c>
      <c r="AL42" s="245">
        <v>130.84468995099999</v>
      </c>
      <c r="AM42" s="245">
        <v>24.013662813</v>
      </c>
      <c r="AN42" s="231">
        <v>5.4487601899767704</v>
      </c>
      <c r="AO42" s="245">
        <v>129.19366127200001</v>
      </c>
      <c r="AP42" s="245">
        <v>23.490405836000001</v>
      </c>
      <c r="AQ42" s="231">
        <v>5.4998479878966364</v>
      </c>
      <c r="AR42" s="245">
        <v>129.294296804</v>
      </c>
      <c r="AS42" s="245">
        <v>22.955323246999999</v>
      </c>
      <c r="AT42" s="231">
        <v>5.6324319815839363</v>
      </c>
      <c r="AU42" s="245">
        <v>129.810442048</v>
      </c>
      <c r="AV42" s="245">
        <v>22.520934097000001</v>
      </c>
      <c r="AW42" s="231">
        <v>5.7639901386369212</v>
      </c>
      <c r="AX42" s="245">
        <v>129.10562875599999</v>
      </c>
      <c r="AY42" s="245">
        <v>22.091871659999999</v>
      </c>
      <c r="AZ42" s="231">
        <v>5.8440330789066328</v>
      </c>
    </row>
    <row r="43" spans="1:52" s="141" customFormat="1">
      <c r="A43" s="200" t="s">
        <v>363</v>
      </c>
      <c r="B43" s="201" t="s">
        <v>255</v>
      </c>
      <c r="C43" s="201" t="s">
        <v>268</v>
      </c>
      <c r="D43" s="202" t="s">
        <v>114</v>
      </c>
      <c r="E43" s="245" t="e">
        <v>#N/A</v>
      </c>
      <c r="F43" s="243">
        <v>2.9565237099999999</v>
      </c>
      <c r="G43" s="231" t="e">
        <v>#N/A</v>
      </c>
      <c r="H43" s="245">
        <v>9.9221835600000006</v>
      </c>
      <c r="I43" s="243">
        <v>2.927142983</v>
      </c>
      <c r="J43" s="231">
        <v>3.389716053375313</v>
      </c>
      <c r="K43" s="245">
        <v>9.6594999030000004</v>
      </c>
      <c r="L43" s="243">
        <v>2.877283152</v>
      </c>
      <c r="M43" s="231">
        <v>3.3571599987598302</v>
      </c>
      <c r="N43" s="245">
        <v>9.5094104900000005</v>
      </c>
      <c r="O43" s="243">
        <v>2.8174835379999998</v>
      </c>
      <c r="P43" s="231">
        <v>3.3751432303843334</v>
      </c>
      <c r="Q43" s="245">
        <v>9.3560060660000008</v>
      </c>
      <c r="R43" s="243">
        <v>2.7312812009999998</v>
      </c>
      <c r="S43" s="231">
        <v>3.4255008464798502</v>
      </c>
      <c r="T43" s="245">
        <v>9.2949797939999996</v>
      </c>
      <c r="U43" s="243">
        <v>2.6621696899999998</v>
      </c>
      <c r="V43" s="231">
        <v>3.4915053795838236</v>
      </c>
      <c r="W43" s="245">
        <v>8.9952107540000004</v>
      </c>
      <c r="X43" s="243">
        <v>2.574601114</v>
      </c>
      <c r="Y43" s="231">
        <v>3.4938269486043576</v>
      </c>
      <c r="Z43" s="245">
        <v>8.8071732330000003</v>
      </c>
      <c r="AA43" s="243">
        <v>2.4790491779999999</v>
      </c>
      <c r="AB43" s="231">
        <v>3.5526415978989507</v>
      </c>
      <c r="AC43" s="245">
        <v>8.5266800549999999</v>
      </c>
      <c r="AD43" s="243">
        <v>2.3976516939999999</v>
      </c>
      <c r="AE43" s="231">
        <v>3.5562630203284233</v>
      </c>
      <c r="AF43" s="245">
        <v>8.2592825320000003</v>
      </c>
      <c r="AG43" s="243">
        <v>2.3216737489999999</v>
      </c>
      <c r="AH43" s="231">
        <v>3.5574690610846895</v>
      </c>
      <c r="AI43" s="245">
        <v>8.0515174340000009</v>
      </c>
      <c r="AJ43" s="245">
        <v>2.270025194</v>
      </c>
      <c r="AK43" s="231">
        <v>3.5468846140039805</v>
      </c>
      <c r="AL43" s="245">
        <v>7.8974664910000003</v>
      </c>
      <c r="AM43" s="245">
        <v>2.226655278</v>
      </c>
      <c r="AN43" s="231">
        <v>3.546784528808415</v>
      </c>
      <c r="AO43" s="245">
        <v>7.7020969910000003</v>
      </c>
      <c r="AP43" s="245">
        <v>2.2107521999999999</v>
      </c>
      <c r="AQ43" s="231">
        <v>3.4839259646558309</v>
      </c>
      <c r="AR43" s="245">
        <v>7.6202299169999996</v>
      </c>
      <c r="AS43" s="245">
        <v>2.198525981</v>
      </c>
      <c r="AT43" s="231">
        <v>3.4660631636174419</v>
      </c>
      <c r="AU43" s="245">
        <v>7.5491092379999998</v>
      </c>
      <c r="AV43" s="245">
        <v>2.1763817840000002</v>
      </c>
      <c r="AW43" s="231">
        <v>3.4686511776097455</v>
      </c>
      <c r="AX43" s="245">
        <v>7.4015314280000002</v>
      </c>
      <c r="AY43" s="245">
        <v>2.152045711</v>
      </c>
      <c r="AZ43" s="231">
        <v>3.439300285383204</v>
      </c>
    </row>
    <row r="44" spans="1:52" s="141" customFormat="1">
      <c r="A44" s="200" t="s">
        <v>364</v>
      </c>
      <c r="B44" s="201" t="s">
        <v>255</v>
      </c>
      <c r="C44" s="201" t="s">
        <v>268</v>
      </c>
      <c r="D44" s="202" t="s">
        <v>115</v>
      </c>
      <c r="E44" s="245" t="e">
        <v>#N/A</v>
      </c>
      <c r="F44" s="243">
        <v>3.9324842360000001</v>
      </c>
      <c r="G44" s="231" t="e">
        <v>#N/A</v>
      </c>
      <c r="H44" s="245">
        <v>25.978546119000001</v>
      </c>
      <c r="I44" s="243">
        <v>3.9227900039999999</v>
      </c>
      <c r="J44" s="231">
        <v>6.6224666863406236</v>
      </c>
      <c r="K44" s="245">
        <v>26.129937634000001</v>
      </c>
      <c r="L44" s="243">
        <v>3.8834285980000001</v>
      </c>
      <c r="M44" s="231">
        <v>6.728574241704135</v>
      </c>
      <c r="N44" s="245">
        <v>26.368549072</v>
      </c>
      <c r="O44" s="243">
        <v>3.8734038270000002</v>
      </c>
      <c r="P44" s="231">
        <v>6.8075910103137298</v>
      </c>
      <c r="Q44" s="245">
        <v>26.431405637000001</v>
      </c>
      <c r="R44" s="243">
        <v>3.8649313470000002</v>
      </c>
      <c r="S44" s="231">
        <v>6.8387775264148827</v>
      </c>
      <c r="T44" s="245">
        <v>26.276363808999999</v>
      </c>
      <c r="U44" s="243">
        <v>3.8408888000000001</v>
      </c>
      <c r="V44" s="231">
        <v>6.8412196179696734</v>
      </c>
      <c r="W44" s="245">
        <v>26.322450537000002</v>
      </c>
      <c r="X44" s="243">
        <v>3.8571077009999999</v>
      </c>
      <c r="Y44" s="231">
        <v>6.8244012294952512</v>
      </c>
      <c r="Z44" s="245">
        <v>25.904642728999999</v>
      </c>
      <c r="AA44" s="243">
        <v>3.8766799280000002</v>
      </c>
      <c r="AB44" s="231">
        <v>6.6821721705470649</v>
      </c>
      <c r="AC44" s="245">
        <v>25.581895562</v>
      </c>
      <c r="AD44" s="243">
        <v>3.8816261440000002</v>
      </c>
      <c r="AE44" s="231">
        <v>6.5905099082102634</v>
      </c>
      <c r="AF44" s="245">
        <v>25.397840106</v>
      </c>
      <c r="AG44" s="243">
        <v>3.8856279150000002</v>
      </c>
      <c r="AH44" s="231">
        <v>6.5363541393026043</v>
      </c>
      <c r="AI44" s="245">
        <v>25.361354137999999</v>
      </c>
      <c r="AJ44" s="245">
        <v>3.889536407</v>
      </c>
      <c r="AK44" s="231">
        <v>6.5204053861938824</v>
      </c>
      <c r="AL44" s="245">
        <v>25.239410948</v>
      </c>
      <c r="AM44" s="245">
        <v>3.8911725110000002</v>
      </c>
      <c r="AN44" s="231">
        <v>6.4863253625097368</v>
      </c>
      <c r="AO44" s="245">
        <v>25.362906347999999</v>
      </c>
      <c r="AP44" s="245">
        <v>3.895397827</v>
      </c>
      <c r="AQ44" s="231">
        <v>6.5109925800654302</v>
      </c>
      <c r="AR44" s="245">
        <v>25.625229725000001</v>
      </c>
      <c r="AS44" s="245">
        <v>3.90967683</v>
      </c>
      <c r="AT44" s="231">
        <v>6.5543089209754459</v>
      </c>
      <c r="AU44" s="245">
        <v>26.059297482000002</v>
      </c>
      <c r="AV44" s="245">
        <v>3.9077860250000001</v>
      </c>
      <c r="AW44" s="231">
        <v>6.668557929038605</v>
      </c>
      <c r="AX44" s="245">
        <v>26.456663583000001</v>
      </c>
      <c r="AY44" s="245">
        <v>3.9729981699999999</v>
      </c>
      <c r="AZ44" s="231">
        <v>6.6591179887203422</v>
      </c>
    </row>
    <row r="45" spans="1:52" s="141" customFormat="1">
      <c r="A45" s="200" t="s">
        <v>365</v>
      </c>
      <c r="B45" s="201" t="s">
        <v>255</v>
      </c>
      <c r="C45" s="201" t="s">
        <v>268</v>
      </c>
      <c r="D45" s="202" t="s">
        <v>116</v>
      </c>
      <c r="E45" s="245" t="e">
        <v>#N/A</v>
      </c>
      <c r="F45" s="243">
        <v>9.5838544260000003</v>
      </c>
      <c r="G45" s="231" t="e">
        <v>#N/A</v>
      </c>
      <c r="H45" s="245">
        <v>15.460028171999999</v>
      </c>
      <c r="I45" s="243">
        <v>9.4589331849999994</v>
      </c>
      <c r="J45" s="231">
        <v>1.6344367667716009</v>
      </c>
      <c r="K45" s="245">
        <v>15.306785143000001</v>
      </c>
      <c r="L45" s="243">
        <v>9.3598573110000007</v>
      </c>
      <c r="M45" s="231">
        <v>1.6353652234645695</v>
      </c>
      <c r="N45" s="245">
        <v>15.119338839999999</v>
      </c>
      <c r="O45" s="243">
        <v>9.2955223700000005</v>
      </c>
      <c r="P45" s="231">
        <v>1.6265184718177381</v>
      </c>
      <c r="Q45" s="245">
        <v>15.133591151999999</v>
      </c>
      <c r="R45" s="243">
        <v>9.1772347869999997</v>
      </c>
      <c r="S45" s="231">
        <v>1.6490360662274293</v>
      </c>
      <c r="T45" s="245">
        <v>15.065572591</v>
      </c>
      <c r="U45" s="243">
        <v>9.1364141350000008</v>
      </c>
      <c r="V45" s="231">
        <v>1.6489590301392352</v>
      </c>
      <c r="W45" s="245">
        <v>15.117526462000001</v>
      </c>
      <c r="X45" s="243">
        <v>9.1732908569999996</v>
      </c>
      <c r="Y45" s="231">
        <v>1.6479938004433867</v>
      </c>
      <c r="Z45" s="245">
        <v>15.044365255000001</v>
      </c>
      <c r="AA45" s="243">
        <v>9.2114137360000008</v>
      </c>
      <c r="AB45" s="231">
        <v>1.6332308683740573</v>
      </c>
      <c r="AC45" s="245">
        <v>14.894559155</v>
      </c>
      <c r="AD45" s="243">
        <v>9.2443378299999992</v>
      </c>
      <c r="AE45" s="231">
        <v>1.6112088749789881</v>
      </c>
      <c r="AF45" s="245">
        <v>14.633780623</v>
      </c>
      <c r="AG45" s="243">
        <v>9.2445098889999997</v>
      </c>
      <c r="AH45" s="231">
        <v>1.5829698706269619</v>
      </c>
      <c r="AI45" s="245">
        <v>14.39813041</v>
      </c>
      <c r="AJ45" s="245">
        <v>9.1933393260000003</v>
      </c>
      <c r="AK45" s="231">
        <v>1.5661480447349692</v>
      </c>
      <c r="AL45" s="245">
        <v>14.055137811</v>
      </c>
      <c r="AM45" s="245">
        <v>9.1178150450000004</v>
      </c>
      <c r="AN45" s="231">
        <v>1.5415028426911899</v>
      </c>
      <c r="AO45" s="245">
        <v>13.858047281999999</v>
      </c>
      <c r="AP45" s="245">
        <v>8.9680131660000004</v>
      </c>
      <c r="AQ45" s="231">
        <v>1.5452750821708594</v>
      </c>
      <c r="AR45" s="245">
        <v>13.747196771</v>
      </c>
      <c r="AS45" s="245">
        <v>8.7844420440000004</v>
      </c>
      <c r="AT45" s="231">
        <v>1.5649482007101054</v>
      </c>
      <c r="AU45" s="245">
        <v>13.658764722000001</v>
      </c>
      <c r="AV45" s="245">
        <v>8.5943503870000004</v>
      </c>
      <c r="AW45" s="231">
        <v>1.5892724996016618</v>
      </c>
      <c r="AX45" s="245">
        <v>13.523524387</v>
      </c>
      <c r="AY45" s="245">
        <v>8.4164912350000005</v>
      </c>
      <c r="AZ45" s="231">
        <v>1.6067888636017809</v>
      </c>
    </row>
    <row r="46" spans="1:52" s="141" customFormat="1">
      <c r="A46" s="200" t="s">
        <v>366</v>
      </c>
      <c r="B46" s="201" t="s">
        <v>255</v>
      </c>
      <c r="C46" s="201" t="s">
        <v>268</v>
      </c>
      <c r="D46" s="202" t="s">
        <v>284</v>
      </c>
      <c r="E46" s="245" t="e">
        <v>#N/A</v>
      </c>
      <c r="F46" s="243">
        <v>2.307387834</v>
      </c>
      <c r="G46" s="231" t="e">
        <v>#N/A</v>
      </c>
      <c r="H46" s="245">
        <v>9.9974619259999997</v>
      </c>
      <c r="I46" s="243">
        <v>2.3159416259999999</v>
      </c>
      <c r="J46" s="231">
        <v>4.3168022085544573</v>
      </c>
      <c r="K46" s="245">
        <v>9.9730051199999998</v>
      </c>
      <c r="L46" s="243">
        <v>2.3189990869999999</v>
      </c>
      <c r="M46" s="231">
        <v>4.3005644874581188</v>
      </c>
      <c r="N46" s="245">
        <v>9.9090479679999994</v>
      </c>
      <c r="O46" s="243">
        <v>2.3214519149999999</v>
      </c>
      <c r="P46" s="231">
        <v>4.2684700484093376</v>
      </c>
      <c r="Q46" s="245">
        <v>9.9455533159999998</v>
      </c>
      <c r="R46" s="243">
        <v>2.2968236790000001</v>
      </c>
      <c r="S46" s="231">
        <v>4.3301335696478596</v>
      </c>
      <c r="T46" s="245">
        <v>9.9165981589999994</v>
      </c>
      <c r="U46" s="243">
        <v>2.3044857840000001</v>
      </c>
      <c r="V46" s="231">
        <v>4.3031717651941044</v>
      </c>
      <c r="W46" s="245">
        <v>9.9510086389999994</v>
      </c>
      <c r="X46" s="243">
        <v>2.2867827190000001</v>
      </c>
      <c r="Y46" s="231">
        <v>4.3515322012541411</v>
      </c>
      <c r="Z46" s="245">
        <v>9.979552129</v>
      </c>
      <c r="AA46" s="243">
        <v>2.2811194299999999</v>
      </c>
      <c r="AB46" s="231">
        <v>4.3748485930874734</v>
      </c>
      <c r="AC46" s="245">
        <v>10.014778283</v>
      </c>
      <c r="AD46" s="243">
        <v>2.2677715360000001</v>
      </c>
      <c r="AE46" s="231">
        <v>4.4161319268803094</v>
      </c>
      <c r="AF46" s="245">
        <v>10.031184202</v>
      </c>
      <c r="AG46" s="243">
        <v>2.274054289</v>
      </c>
      <c r="AH46" s="231">
        <v>4.4111454376980355</v>
      </c>
      <c r="AI46" s="245">
        <v>9.9626702229999999</v>
      </c>
      <c r="AJ46" s="245">
        <v>2.272715652</v>
      </c>
      <c r="AK46" s="231">
        <v>4.3835973119790879</v>
      </c>
      <c r="AL46" s="245">
        <v>9.8760628419999996</v>
      </c>
      <c r="AM46" s="245">
        <v>2.2680933809999999</v>
      </c>
      <c r="AN46" s="231">
        <v>4.3543457799103731</v>
      </c>
      <c r="AO46" s="245">
        <v>9.7453118130000007</v>
      </c>
      <c r="AP46" s="245">
        <v>2.245372675</v>
      </c>
      <c r="AQ46" s="231">
        <v>4.3401756516877539</v>
      </c>
      <c r="AR46" s="245">
        <v>9.6691188439999998</v>
      </c>
      <c r="AS46" s="245">
        <v>2.255832931</v>
      </c>
      <c r="AT46" s="231">
        <v>4.2862743561925596</v>
      </c>
      <c r="AU46" s="245">
        <v>9.4806024860000004</v>
      </c>
      <c r="AV46" s="245">
        <v>2.2361930750000001</v>
      </c>
      <c r="AW46" s="231">
        <v>4.239617138605082</v>
      </c>
      <c r="AX46" s="245">
        <v>9.4049362730000006</v>
      </c>
      <c r="AY46" s="245">
        <v>2.2271376479999998</v>
      </c>
      <c r="AZ46" s="231">
        <v>4.2228805576726529</v>
      </c>
    </row>
    <row r="47" spans="1:52" s="141" customFormat="1">
      <c r="A47" s="200" t="s">
        <v>367</v>
      </c>
      <c r="B47" s="201" t="s">
        <v>255</v>
      </c>
      <c r="C47" s="201" t="s">
        <v>268</v>
      </c>
      <c r="D47" s="202" t="s">
        <v>108</v>
      </c>
      <c r="E47" s="245" t="e">
        <v>#N/A</v>
      </c>
      <c r="F47" s="243">
        <v>2.9238495090000001</v>
      </c>
      <c r="G47" s="231" t="e">
        <v>#N/A</v>
      </c>
      <c r="H47" s="245">
        <v>7.5307583129999998</v>
      </c>
      <c r="I47" s="243">
        <v>2.9042516030000001</v>
      </c>
      <c r="J47" s="231">
        <v>2.5930116747533045</v>
      </c>
      <c r="K47" s="245">
        <v>7.556988875</v>
      </c>
      <c r="L47" s="243">
        <v>2.898703319</v>
      </c>
      <c r="M47" s="231">
        <v>2.6070239149576109</v>
      </c>
      <c r="N47" s="245">
        <v>7.7128712530000003</v>
      </c>
      <c r="O47" s="243">
        <v>2.9188749569999999</v>
      </c>
      <c r="P47" s="231">
        <v>2.6424123563440478</v>
      </c>
      <c r="Q47" s="245">
        <v>7.8132085150000004</v>
      </c>
      <c r="R47" s="243">
        <v>2.8737158479999998</v>
      </c>
      <c r="S47" s="231">
        <v>2.7188521511052337</v>
      </c>
      <c r="T47" s="245">
        <v>7.9572685610000002</v>
      </c>
      <c r="U47" s="243">
        <v>2.8409015310000001</v>
      </c>
      <c r="V47" s="231">
        <v>2.8009659870889765</v>
      </c>
      <c r="W47" s="245">
        <v>8.1724848029999997</v>
      </c>
      <c r="X47" s="243">
        <v>2.8318199590000002</v>
      </c>
      <c r="Y47" s="231">
        <v>2.8859478785105912</v>
      </c>
      <c r="Z47" s="245">
        <v>8.3852068919999994</v>
      </c>
      <c r="AA47" s="243">
        <v>2.8136686900000001</v>
      </c>
      <c r="AB47" s="231">
        <v>2.9801685329199148</v>
      </c>
      <c r="AC47" s="245">
        <v>8.7230411500000002</v>
      </c>
      <c r="AD47" s="243">
        <v>2.7976595550000001</v>
      </c>
      <c r="AE47" s="231">
        <v>3.1179780736402005</v>
      </c>
      <c r="AF47" s="245">
        <v>9.0031512510000002</v>
      </c>
      <c r="AG47" s="243">
        <v>2.8165649250000002</v>
      </c>
      <c r="AH47" s="231">
        <v>3.1965005212865809</v>
      </c>
      <c r="AI47" s="245">
        <v>9.2347192180000004</v>
      </c>
      <c r="AJ47" s="245">
        <v>2.8113257979999999</v>
      </c>
      <c r="AK47" s="231">
        <v>3.2848271177142312</v>
      </c>
      <c r="AL47" s="245">
        <v>9.6208032560000003</v>
      </c>
      <c r="AM47" s="245">
        <v>2.7890144640000001</v>
      </c>
      <c r="AN47" s="231">
        <v>3.4495350885351308</v>
      </c>
      <c r="AO47" s="245">
        <v>9.9668637619999991</v>
      </c>
      <c r="AP47" s="245">
        <v>2.7645002779999999</v>
      </c>
      <c r="AQ47" s="231">
        <v>3.6053039463648049</v>
      </c>
      <c r="AR47" s="245">
        <v>10.185918766</v>
      </c>
      <c r="AS47" s="245">
        <v>2.7254297080000001</v>
      </c>
      <c r="AT47" s="231">
        <v>3.7373624922708886</v>
      </c>
      <c r="AU47" s="245">
        <v>10.359883267000001</v>
      </c>
      <c r="AV47" s="245">
        <v>2.6758655079999998</v>
      </c>
      <c r="AW47" s="231">
        <v>3.8716008842848022</v>
      </c>
      <c r="AX47" s="245">
        <v>10.427870259000001</v>
      </c>
      <c r="AY47" s="245">
        <v>2.6294555470000001</v>
      </c>
      <c r="AZ47" s="231">
        <v>3.9657906637354534</v>
      </c>
    </row>
    <row r="48" spans="1:52" s="141" customFormat="1">
      <c r="A48" s="200" t="s">
        <v>368</v>
      </c>
      <c r="B48" s="201" t="s">
        <v>255</v>
      </c>
      <c r="C48" s="201" t="s">
        <v>268</v>
      </c>
      <c r="D48" s="202" t="s">
        <v>109</v>
      </c>
      <c r="E48" s="245" t="e">
        <v>#N/A</v>
      </c>
      <c r="F48" s="243">
        <v>4.2388658919999997</v>
      </c>
      <c r="G48" s="231" t="e">
        <v>#N/A</v>
      </c>
      <c r="H48" s="245">
        <v>5.8955349229999996</v>
      </c>
      <c r="I48" s="243">
        <v>4.2038676400000003</v>
      </c>
      <c r="J48" s="231">
        <v>1.4024073609986443</v>
      </c>
      <c r="K48" s="245">
        <v>5.89861434</v>
      </c>
      <c r="L48" s="243">
        <v>4.1712594039999997</v>
      </c>
      <c r="M48" s="231">
        <v>1.4141087304097093</v>
      </c>
      <c r="N48" s="245">
        <v>5.9664771920000002</v>
      </c>
      <c r="O48" s="243">
        <v>4.1611285369999997</v>
      </c>
      <c r="P48" s="231">
        <v>1.4338603431610362</v>
      </c>
      <c r="Q48" s="245">
        <v>6.0454905090000004</v>
      </c>
      <c r="R48" s="243">
        <v>4.1319368159999996</v>
      </c>
      <c r="S48" s="231">
        <v>1.4631130092769553</v>
      </c>
      <c r="T48" s="245">
        <v>6.0498532159999998</v>
      </c>
      <c r="U48" s="243">
        <v>4.0952540239999999</v>
      </c>
      <c r="V48" s="231">
        <v>1.4772839927743637</v>
      </c>
      <c r="W48" s="245">
        <v>6.0846989310000001</v>
      </c>
      <c r="X48" s="243">
        <v>4.0296656620000002</v>
      </c>
      <c r="Y48" s="231">
        <v>1.5099761224309729</v>
      </c>
      <c r="Z48" s="245">
        <v>6.1032981560000001</v>
      </c>
      <c r="AA48" s="243">
        <v>3.9830520159999998</v>
      </c>
      <c r="AB48" s="231">
        <v>1.5323169598295301</v>
      </c>
      <c r="AC48" s="245">
        <v>6.0401929670000003</v>
      </c>
      <c r="AD48" s="243">
        <v>3.9428093500000001</v>
      </c>
      <c r="AE48" s="231">
        <v>1.5319515682390275</v>
      </c>
      <c r="AF48" s="245">
        <v>6.0108743489999998</v>
      </c>
      <c r="AG48" s="243">
        <v>3.8858317169999999</v>
      </c>
      <c r="AH48" s="231">
        <v>1.546869444372287</v>
      </c>
      <c r="AI48" s="245">
        <v>6.128121599</v>
      </c>
      <c r="AJ48" s="245">
        <v>3.8664063660000001</v>
      </c>
      <c r="AK48" s="231">
        <v>1.584965732750917</v>
      </c>
      <c r="AL48" s="245">
        <v>6.0867435949999997</v>
      </c>
      <c r="AM48" s="245">
        <v>3.8268406970000002</v>
      </c>
      <c r="AN48" s="231">
        <v>1.5905401026417483</v>
      </c>
      <c r="AO48" s="245">
        <v>6.0359312410000001</v>
      </c>
      <c r="AP48" s="245">
        <v>3.8026422499999999</v>
      </c>
      <c r="AQ48" s="231">
        <v>1.5872992630321721</v>
      </c>
      <c r="AR48" s="245">
        <v>6.046282326</v>
      </c>
      <c r="AS48" s="245">
        <v>3.7742863230000001</v>
      </c>
      <c r="AT48" s="231">
        <v>1.6019670498114458</v>
      </c>
      <c r="AU48" s="245">
        <v>6.0050495350000004</v>
      </c>
      <c r="AV48" s="245">
        <v>3.7880027709999999</v>
      </c>
      <c r="AW48" s="231">
        <v>1.585281188539025</v>
      </c>
      <c r="AX48" s="245">
        <v>5.9149982080000001</v>
      </c>
      <c r="AY48" s="245">
        <v>3.7564075520000002</v>
      </c>
      <c r="AZ48" s="231">
        <v>1.5746422948305263</v>
      </c>
    </row>
    <row r="49" spans="1:52" s="141" customFormat="1">
      <c r="A49" s="200" t="s">
        <v>369</v>
      </c>
      <c r="B49" s="201" t="s">
        <v>255</v>
      </c>
      <c r="C49" s="201" t="s">
        <v>268</v>
      </c>
      <c r="D49" s="202" t="s">
        <v>285</v>
      </c>
      <c r="E49" s="245" t="e">
        <v>#N/A</v>
      </c>
      <c r="F49" s="243">
        <v>0.49427861299999998</v>
      </c>
      <c r="G49" s="231" t="e">
        <v>#N/A</v>
      </c>
      <c r="H49" s="245">
        <v>2.631344302</v>
      </c>
      <c r="I49" s="243">
        <v>0.48377927500000001</v>
      </c>
      <c r="J49" s="231">
        <v>5.4391422658608102</v>
      </c>
      <c r="K49" s="245">
        <v>2.6183925229999998</v>
      </c>
      <c r="L49" s="243">
        <v>0.47414521900000001</v>
      </c>
      <c r="M49" s="231">
        <v>5.5223429828573254</v>
      </c>
      <c r="N49" s="245">
        <v>2.6632330469999999</v>
      </c>
      <c r="O49" s="243">
        <v>0.44864657299999999</v>
      </c>
      <c r="P49" s="231">
        <v>5.9361493150199545</v>
      </c>
      <c r="Q49" s="245">
        <v>2.7305095220000002</v>
      </c>
      <c r="R49" s="243">
        <v>0.43741125600000003</v>
      </c>
      <c r="S49" s="231">
        <v>6.2424308577921002</v>
      </c>
      <c r="T49" s="245">
        <v>2.6984138500000001</v>
      </c>
      <c r="U49" s="243">
        <v>0.42849707500000001</v>
      </c>
      <c r="V49" s="231">
        <v>6.2973915282852282</v>
      </c>
      <c r="W49" s="245">
        <v>2.6805766219999998</v>
      </c>
      <c r="X49" s="243">
        <v>0.41513177699999998</v>
      </c>
      <c r="Y49" s="231">
        <v>6.4571703986900522</v>
      </c>
      <c r="Z49" s="245">
        <v>2.6640310340000002</v>
      </c>
      <c r="AA49" s="243">
        <v>0.402410661</v>
      </c>
      <c r="AB49" s="231">
        <v>6.6201800602892087</v>
      </c>
      <c r="AC49" s="245">
        <v>2.60000418</v>
      </c>
      <c r="AD49" s="243">
        <v>0.40950804000000002</v>
      </c>
      <c r="AE49" s="231">
        <v>6.3490919006132334</v>
      </c>
      <c r="AF49" s="245">
        <v>2.5963053540000001</v>
      </c>
      <c r="AG49" s="243">
        <v>0.39348612900000002</v>
      </c>
      <c r="AH49" s="231">
        <v>6.5982131583601511</v>
      </c>
      <c r="AI49" s="245">
        <v>2.6722412709999999</v>
      </c>
      <c r="AJ49" s="245">
        <v>0.38505384399999998</v>
      </c>
      <c r="AK49" s="231">
        <v>6.9399158394066056</v>
      </c>
      <c r="AL49" s="245">
        <v>2.7230703200000002</v>
      </c>
      <c r="AM49" s="245">
        <v>0.37645258300000001</v>
      </c>
      <c r="AN49" s="231">
        <v>7.2335014898808652</v>
      </c>
      <c r="AO49" s="245">
        <v>2.766522358</v>
      </c>
      <c r="AP49" s="245">
        <v>0.36451096100000002</v>
      </c>
      <c r="AQ49" s="231">
        <v>7.5896822153449586</v>
      </c>
      <c r="AR49" s="245">
        <v>2.8048764400000001</v>
      </c>
      <c r="AS49" s="245">
        <v>0.34833661399999999</v>
      </c>
      <c r="AT49" s="231">
        <v>8.0522010241507385</v>
      </c>
      <c r="AU49" s="245">
        <v>2.7751786969999999</v>
      </c>
      <c r="AV49" s="245">
        <v>0.34754918400000001</v>
      </c>
      <c r="AW49" s="231">
        <v>7.9849955769137981</v>
      </c>
      <c r="AX49" s="245">
        <v>2.7029233430000001</v>
      </c>
      <c r="AY49" s="245">
        <v>0.33592876300000002</v>
      </c>
      <c r="AZ49" s="231">
        <v>8.0461206086124868</v>
      </c>
    </row>
    <row r="50" spans="1:52" s="141" customFormat="1">
      <c r="A50" s="200" t="s">
        <v>370</v>
      </c>
      <c r="B50" s="201" t="s">
        <v>255</v>
      </c>
      <c r="C50" s="201" t="s">
        <v>268</v>
      </c>
      <c r="D50" s="202" t="s">
        <v>286</v>
      </c>
      <c r="E50" s="245" t="e">
        <v>#N/A</v>
      </c>
      <c r="F50" s="243">
        <v>7.2116309840000001</v>
      </c>
      <c r="G50" s="231" t="e">
        <v>#N/A</v>
      </c>
      <c r="H50" s="245">
        <v>15.83273337</v>
      </c>
      <c r="I50" s="243">
        <v>7.3046291830000003</v>
      </c>
      <c r="J50" s="231">
        <v>2.1674931024352859</v>
      </c>
      <c r="K50" s="245">
        <v>16.075226734000001</v>
      </c>
      <c r="L50" s="243">
        <v>7.424664527</v>
      </c>
      <c r="M50" s="231">
        <v>2.1651115246408765</v>
      </c>
      <c r="N50" s="245">
        <v>16.466195383999999</v>
      </c>
      <c r="O50" s="243">
        <v>7.463774839</v>
      </c>
      <c r="P50" s="231">
        <v>2.2061484622982204</v>
      </c>
      <c r="Q50" s="245">
        <v>16.676140347</v>
      </c>
      <c r="R50" s="243">
        <v>7.4139677270000002</v>
      </c>
      <c r="S50" s="231">
        <v>2.249286881337405</v>
      </c>
      <c r="T50" s="245">
        <v>16.854109156</v>
      </c>
      <c r="U50" s="243">
        <v>7.3177364200000001</v>
      </c>
      <c r="V50" s="231">
        <v>2.3031861478279372</v>
      </c>
      <c r="W50" s="245">
        <v>17.045629315999999</v>
      </c>
      <c r="X50" s="243">
        <v>7.1602899630000003</v>
      </c>
      <c r="Y50" s="231">
        <v>2.3805780777149232</v>
      </c>
      <c r="Z50" s="245">
        <v>17.184186337</v>
      </c>
      <c r="AA50" s="243">
        <v>6.9321129089999998</v>
      </c>
      <c r="AB50" s="231">
        <v>2.4789247611200445</v>
      </c>
      <c r="AC50" s="245">
        <v>17.337524820999999</v>
      </c>
      <c r="AD50" s="243">
        <v>6.6802436810000003</v>
      </c>
      <c r="AE50" s="231">
        <v>2.5953431714342274</v>
      </c>
      <c r="AF50" s="245">
        <v>17.552421935000002</v>
      </c>
      <c r="AG50" s="243">
        <v>6.4364833089999998</v>
      </c>
      <c r="AH50" s="231">
        <v>2.7270205005358776</v>
      </c>
      <c r="AI50" s="245">
        <v>17.704199316</v>
      </c>
      <c r="AJ50" s="245">
        <v>6.1937960739999998</v>
      </c>
      <c r="AK50" s="231">
        <v>2.858376204912167</v>
      </c>
      <c r="AL50" s="245">
        <v>17.906442500000001</v>
      </c>
      <c r="AM50" s="245">
        <v>5.9911385450000001</v>
      </c>
      <c r="AN50" s="231">
        <v>2.9888213009101761</v>
      </c>
      <c r="AO50" s="245">
        <v>17.966613054</v>
      </c>
      <c r="AP50" s="245">
        <v>5.8030686029999998</v>
      </c>
      <c r="AQ50" s="231">
        <v>3.0960538782381168</v>
      </c>
      <c r="AR50" s="245">
        <v>17.836499735</v>
      </c>
      <c r="AS50" s="245">
        <v>5.6417606759999996</v>
      </c>
      <c r="AT50" s="231">
        <v>3.1615130026476157</v>
      </c>
      <c r="AU50" s="245">
        <v>17.751144661000001</v>
      </c>
      <c r="AV50" s="245">
        <v>5.4759068500000003</v>
      </c>
      <c r="AW50" s="231">
        <v>3.241681268007691</v>
      </c>
      <c r="AX50" s="245">
        <v>17.78103342</v>
      </c>
      <c r="AY50" s="245">
        <v>5.326700464</v>
      </c>
      <c r="AZ50" s="231">
        <v>3.3380952317802417</v>
      </c>
    </row>
    <row r="51" spans="1:52" s="141" customFormat="1">
      <c r="A51" s="200" t="s">
        <v>371</v>
      </c>
      <c r="B51" s="201" t="s">
        <v>255</v>
      </c>
      <c r="C51" s="201" t="s">
        <v>268</v>
      </c>
      <c r="D51" s="202" t="s">
        <v>110</v>
      </c>
      <c r="E51" s="245" t="e">
        <v>#N/A</v>
      </c>
      <c r="F51" s="243">
        <v>2.9807600399999998</v>
      </c>
      <c r="G51" s="231" t="e">
        <v>#N/A</v>
      </c>
      <c r="H51" s="245">
        <v>4.3428047760000004</v>
      </c>
      <c r="I51" s="243">
        <v>2.9796226149999998</v>
      </c>
      <c r="J51" s="231">
        <v>1.4575016158547986</v>
      </c>
      <c r="K51" s="245">
        <v>4.3674243930000003</v>
      </c>
      <c r="L51" s="243">
        <v>2.9845199670000002</v>
      </c>
      <c r="M51" s="231">
        <v>1.4633590799494893</v>
      </c>
      <c r="N51" s="245">
        <v>4.4017137719999999</v>
      </c>
      <c r="O51" s="243">
        <v>2.95241453</v>
      </c>
      <c r="P51" s="231">
        <v>1.490886095862697</v>
      </c>
      <c r="Q51" s="245">
        <v>4.3529593469999996</v>
      </c>
      <c r="R51" s="243">
        <v>2.9363431289999999</v>
      </c>
      <c r="S51" s="231">
        <v>1.4824423290347686</v>
      </c>
      <c r="T51" s="245">
        <v>4.3735941020000002</v>
      </c>
      <c r="U51" s="243">
        <v>2.9228933509999999</v>
      </c>
      <c r="V51" s="231">
        <v>1.4963235317852692</v>
      </c>
      <c r="W51" s="245">
        <v>4.40768044</v>
      </c>
      <c r="X51" s="243">
        <v>2.9143795360000002</v>
      </c>
      <c r="Y51" s="231">
        <v>1.5123906771763715</v>
      </c>
      <c r="Z51" s="245">
        <v>4.322385884</v>
      </c>
      <c r="AA51" s="243">
        <v>2.9037763910000001</v>
      </c>
      <c r="AB51" s="231">
        <v>1.488539509239367</v>
      </c>
      <c r="AC51" s="245">
        <v>4.364928388</v>
      </c>
      <c r="AD51" s="243">
        <v>2.8868561769999999</v>
      </c>
      <c r="AE51" s="231">
        <v>1.5120006402729775</v>
      </c>
      <c r="AF51" s="245">
        <v>4.3934843529999998</v>
      </c>
      <c r="AG51" s="243">
        <v>2.8462200769999999</v>
      </c>
      <c r="AH51" s="231">
        <v>1.5436207440539391</v>
      </c>
      <c r="AI51" s="245">
        <v>4.4262875629999998</v>
      </c>
      <c r="AJ51" s="245">
        <v>2.7891043029999998</v>
      </c>
      <c r="AK51" s="231">
        <v>1.5869924829412161</v>
      </c>
      <c r="AL51" s="245">
        <v>4.4207298570000004</v>
      </c>
      <c r="AM51" s="245">
        <v>2.7360821980000001</v>
      </c>
      <c r="AN51" s="231">
        <v>1.6157152954803151</v>
      </c>
      <c r="AO51" s="245">
        <v>4.3494662709999998</v>
      </c>
      <c r="AP51" s="245">
        <v>2.6708222949999998</v>
      </c>
      <c r="AQ51" s="231">
        <v>1.6285120425805042</v>
      </c>
      <c r="AR51" s="245">
        <v>4.3342304729999999</v>
      </c>
      <c r="AS51" s="245">
        <v>2.5867353300000002</v>
      </c>
      <c r="AT51" s="231">
        <v>1.6755600863888922</v>
      </c>
      <c r="AU51" s="245">
        <v>4.3166474079999997</v>
      </c>
      <c r="AV51" s="245">
        <v>2.5252711059999999</v>
      </c>
      <c r="AW51" s="231">
        <v>1.7093797959924861</v>
      </c>
      <c r="AX51" s="245">
        <v>4.3177284350000003</v>
      </c>
      <c r="AY51" s="245">
        <v>2.4823312390000001</v>
      </c>
      <c r="AZ51" s="231">
        <v>1.7393844814761243</v>
      </c>
    </row>
    <row r="52" spans="1:52" s="141" customFormat="1">
      <c r="A52" s="200" t="s">
        <v>372</v>
      </c>
      <c r="B52" s="201" t="s">
        <v>255</v>
      </c>
      <c r="C52" s="201" t="s">
        <v>268</v>
      </c>
      <c r="D52" s="202" t="s">
        <v>111</v>
      </c>
      <c r="E52" s="245" t="e">
        <v>#N/A</v>
      </c>
      <c r="F52" s="243">
        <v>6.1975437099999997</v>
      </c>
      <c r="G52" s="231" t="e">
        <v>#N/A</v>
      </c>
      <c r="H52" s="245">
        <v>10.489689847999999</v>
      </c>
      <c r="I52" s="243">
        <v>6.1380228519999998</v>
      </c>
      <c r="J52" s="231">
        <v>1.7089688489155856</v>
      </c>
      <c r="K52" s="245">
        <v>10.619064134</v>
      </c>
      <c r="L52" s="243">
        <v>6.0922850669999997</v>
      </c>
      <c r="M52" s="231">
        <v>1.7430346770081633</v>
      </c>
      <c r="N52" s="245">
        <v>10.683088864</v>
      </c>
      <c r="O52" s="243">
        <v>6.0422273280000001</v>
      </c>
      <c r="P52" s="231">
        <v>1.768071322721342</v>
      </c>
      <c r="Q52" s="245">
        <v>10.591807614</v>
      </c>
      <c r="R52" s="243">
        <v>6.0356549389999996</v>
      </c>
      <c r="S52" s="231">
        <v>1.7548729543102202</v>
      </c>
      <c r="T52" s="245">
        <v>10.609587599999999</v>
      </c>
      <c r="U52" s="243">
        <v>6.0362978619999996</v>
      </c>
      <c r="V52" s="231">
        <v>1.7576315553925859</v>
      </c>
      <c r="W52" s="245">
        <v>10.732436571999999</v>
      </c>
      <c r="X52" s="243">
        <v>6.0135396869999997</v>
      </c>
      <c r="Y52" s="231">
        <v>1.7847120216403087</v>
      </c>
      <c r="Z52" s="245">
        <v>10.748790745000001</v>
      </c>
      <c r="AA52" s="243">
        <v>5.9835553240000001</v>
      </c>
      <c r="AB52" s="231">
        <v>1.796388628995653</v>
      </c>
      <c r="AC52" s="245">
        <v>10.727100328000001</v>
      </c>
      <c r="AD52" s="243">
        <v>5.9505245860000002</v>
      </c>
      <c r="AE52" s="231">
        <v>1.8027150670443428</v>
      </c>
      <c r="AF52" s="245">
        <v>10.913925124</v>
      </c>
      <c r="AG52" s="243">
        <v>5.8609653420000001</v>
      </c>
      <c r="AH52" s="231">
        <v>1.8621378027592508</v>
      </c>
      <c r="AI52" s="245">
        <v>10.807084936000001</v>
      </c>
      <c r="AJ52" s="245">
        <v>5.7772305099999999</v>
      </c>
      <c r="AK52" s="231">
        <v>1.8706341935454469</v>
      </c>
      <c r="AL52" s="245">
        <v>10.863292550000001</v>
      </c>
      <c r="AM52" s="245">
        <v>5.707164272</v>
      </c>
      <c r="AN52" s="231">
        <v>1.9034483733535681</v>
      </c>
      <c r="AO52" s="245">
        <v>10.820838514</v>
      </c>
      <c r="AP52" s="245">
        <v>5.6290801339999996</v>
      </c>
      <c r="AQ52" s="231">
        <v>1.9223102632064966</v>
      </c>
      <c r="AR52" s="245">
        <v>10.919854468</v>
      </c>
      <c r="AS52" s="245">
        <v>5.5763028029999999</v>
      </c>
      <c r="AT52" s="231">
        <v>1.9582606708741173</v>
      </c>
      <c r="AU52" s="245">
        <v>10.814714776000001</v>
      </c>
      <c r="AV52" s="245">
        <v>5.5290124450000002</v>
      </c>
      <c r="AW52" s="231">
        <v>1.9559939290388051</v>
      </c>
      <c r="AX52" s="245">
        <v>10.868480697000001</v>
      </c>
      <c r="AY52" s="245">
        <v>5.4756623129999999</v>
      </c>
      <c r="AZ52" s="231">
        <v>1.9848705189866591</v>
      </c>
    </row>
    <row r="53" spans="1:52" s="141" customFormat="1" ht="12">
      <c r="A53" s="200"/>
      <c r="B53" s="201"/>
      <c r="C53" s="201"/>
      <c r="D53" s="201"/>
      <c r="E53" s="221"/>
      <c r="F53" s="221"/>
      <c r="G53" s="236"/>
      <c r="H53" s="221"/>
      <c r="I53" s="221"/>
      <c r="J53" s="236"/>
      <c r="K53" s="221"/>
      <c r="L53" s="221"/>
      <c r="M53" s="236"/>
      <c r="N53" s="221"/>
      <c r="O53" s="221"/>
      <c r="P53" s="236"/>
      <c r="Q53" s="221"/>
      <c r="R53" s="221"/>
      <c r="S53" s="236"/>
      <c r="T53" s="221"/>
      <c r="U53" s="221"/>
      <c r="V53" s="236"/>
      <c r="W53" s="221"/>
      <c r="X53" s="221"/>
      <c r="Y53" s="236"/>
      <c r="Z53" s="221"/>
      <c r="AA53" s="221"/>
      <c r="AB53" s="236"/>
      <c r="AC53" s="221"/>
      <c r="AD53" s="221"/>
      <c r="AE53" s="236"/>
      <c r="AF53" s="221"/>
      <c r="AG53" s="221"/>
      <c r="AH53" s="236"/>
    </row>
    <row r="54" spans="1:52" s="141" customFormat="1" ht="12">
      <c r="A54" s="200"/>
      <c r="B54" s="201"/>
      <c r="C54" s="201"/>
      <c r="D54" s="201"/>
      <c r="E54" s="221"/>
      <c r="F54" s="221"/>
      <c r="G54" s="236"/>
      <c r="H54" s="221"/>
      <c r="I54" s="221"/>
      <c r="J54" s="236"/>
      <c r="K54" s="221"/>
      <c r="L54" s="221"/>
      <c r="M54" s="236"/>
      <c r="N54" s="221"/>
      <c r="O54" s="221"/>
      <c r="P54" s="236"/>
      <c r="Q54" s="221"/>
      <c r="R54" s="221"/>
      <c r="S54" s="236"/>
      <c r="T54" s="221"/>
      <c r="U54" s="221"/>
      <c r="V54" s="236"/>
      <c r="W54" s="221"/>
      <c r="X54" s="221"/>
      <c r="Y54" s="236"/>
      <c r="Z54" s="221"/>
      <c r="AA54" s="221"/>
      <c r="AB54" s="236"/>
      <c r="AC54" s="221"/>
      <c r="AD54" s="221"/>
      <c r="AE54" s="236"/>
      <c r="AF54" s="221"/>
      <c r="AG54" s="221"/>
      <c r="AH54" s="236"/>
    </row>
    <row r="55" spans="1:52" s="141" customFormat="1" ht="12">
      <c r="A55" s="200"/>
      <c r="B55" s="201"/>
      <c r="C55" s="201"/>
      <c r="D55" s="201" t="s">
        <v>288</v>
      </c>
      <c r="E55" s="221"/>
      <c r="F55" s="221"/>
      <c r="G55" s="236"/>
      <c r="H55" s="221"/>
      <c r="I55" s="221"/>
      <c r="J55" s="236"/>
      <c r="K55" s="221"/>
      <c r="L55" s="221"/>
      <c r="M55" s="236"/>
      <c r="N55" s="221"/>
      <c r="O55" s="221"/>
      <c r="P55" s="236"/>
      <c r="Q55" s="221"/>
      <c r="R55" s="221"/>
      <c r="S55" s="236"/>
      <c r="T55" s="221"/>
      <c r="U55" s="221"/>
      <c r="V55" s="236"/>
      <c r="W55" s="221"/>
      <c r="X55" s="221"/>
      <c r="Y55" s="236"/>
      <c r="Z55" s="221"/>
      <c r="AA55" s="221"/>
      <c r="AB55" s="236"/>
      <c r="AC55" s="221"/>
      <c r="AD55" s="221"/>
      <c r="AE55" s="236"/>
      <c r="AF55" s="221"/>
      <c r="AG55" s="221"/>
      <c r="AH55" s="236"/>
    </row>
    <row r="56" spans="1:52" s="141" customFormat="1">
      <c r="A56" s="200"/>
      <c r="B56" s="201"/>
      <c r="C56" s="201"/>
      <c r="D56" s="201" t="s">
        <v>290</v>
      </c>
      <c r="E56" s="218"/>
      <c r="F56" s="218"/>
      <c r="G56" s="232"/>
      <c r="H56" s="218"/>
      <c r="I56" s="218"/>
      <c r="J56" s="232"/>
      <c r="K56" s="218"/>
      <c r="L56" s="218"/>
      <c r="M56" s="232"/>
      <c r="N56" s="218"/>
      <c r="O56" s="218"/>
      <c r="P56" s="232"/>
      <c r="Q56" s="218"/>
      <c r="R56" s="218"/>
      <c r="S56" s="232"/>
      <c r="T56" s="218"/>
      <c r="U56" s="218"/>
      <c r="V56" s="232"/>
      <c r="W56" s="218"/>
      <c r="X56" s="218"/>
      <c r="Y56" s="232"/>
      <c r="Z56" s="218"/>
      <c r="AA56" s="218"/>
      <c r="AB56" s="232"/>
      <c r="AC56" s="218"/>
      <c r="AD56" s="218"/>
      <c r="AE56" s="232"/>
      <c r="AF56" s="218"/>
      <c r="AG56" s="218"/>
      <c r="AH56" s="232"/>
    </row>
    <row r="57" spans="1:52" s="141" customFormat="1" ht="12">
      <c r="A57" s="200"/>
      <c r="B57" s="201"/>
      <c r="C57" s="201"/>
      <c r="D57" s="201" t="s">
        <v>269</v>
      </c>
      <c r="E57" s="221"/>
      <c r="F57" s="221"/>
      <c r="G57" s="236"/>
      <c r="H57" s="221"/>
      <c r="I57" s="221"/>
      <c r="J57" s="236"/>
      <c r="K57" s="221"/>
      <c r="L57" s="221"/>
      <c r="M57" s="236"/>
      <c r="N57" s="221"/>
      <c r="O57" s="221"/>
      <c r="P57" s="236"/>
      <c r="Q57" s="221"/>
      <c r="R57" s="221"/>
      <c r="S57" s="236"/>
      <c r="T57" s="221"/>
      <c r="U57" s="221"/>
      <c r="V57" s="236"/>
      <c r="W57" s="221"/>
      <c r="X57" s="221"/>
      <c r="Y57" s="236"/>
      <c r="Z57" s="221"/>
      <c r="AA57" s="221"/>
      <c r="AB57" s="236"/>
      <c r="AC57" s="221"/>
      <c r="AD57" s="221"/>
      <c r="AE57" s="236"/>
      <c r="AF57" s="221"/>
      <c r="AG57" s="221"/>
      <c r="AH57" s="236"/>
    </row>
    <row r="58" spans="1:52" s="141" customFormat="1" ht="12">
      <c r="A58" s="200"/>
      <c r="B58" s="201"/>
      <c r="C58" s="201"/>
      <c r="D58" s="201" t="s">
        <v>270</v>
      </c>
      <c r="E58" s="221"/>
      <c r="F58" s="221"/>
      <c r="G58" s="236"/>
      <c r="H58" s="221"/>
      <c r="I58" s="221"/>
      <c r="J58" s="236"/>
      <c r="K58" s="221"/>
      <c r="L58" s="221"/>
      <c r="M58" s="236"/>
      <c r="N58" s="221"/>
      <c r="O58" s="221"/>
      <c r="P58" s="236"/>
      <c r="Q58" s="221"/>
      <c r="R58" s="221"/>
      <c r="S58" s="236"/>
      <c r="T58" s="221"/>
      <c r="U58" s="221"/>
      <c r="V58" s="236"/>
      <c r="W58" s="221"/>
      <c r="X58" s="221"/>
      <c r="Y58" s="236"/>
      <c r="Z58" s="221"/>
      <c r="AA58" s="221"/>
      <c r="AB58" s="236"/>
      <c r="AC58" s="221"/>
      <c r="AD58" s="221"/>
      <c r="AE58" s="236"/>
      <c r="AF58" s="221"/>
      <c r="AG58" s="221"/>
      <c r="AH58" s="236"/>
    </row>
    <row r="59" spans="1:52" s="141" customFormat="1" ht="12">
      <c r="A59" s="200"/>
      <c r="B59" s="201"/>
      <c r="C59" s="201"/>
      <c r="D59" s="201"/>
      <c r="E59" s="219" t="s">
        <v>257</v>
      </c>
      <c r="F59" s="219" t="s">
        <v>258</v>
      </c>
      <c r="G59" s="234" t="s">
        <v>259</v>
      </c>
      <c r="H59" s="219" t="s">
        <v>257</v>
      </c>
      <c r="I59" s="219" t="s">
        <v>258</v>
      </c>
      <c r="J59" s="234" t="s">
        <v>259</v>
      </c>
      <c r="K59" s="219" t="s">
        <v>257</v>
      </c>
      <c r="L59" s="219" t="s">
        <v>258</v>
      </c>
      <c r="M59" s="234" t="s">
        <v>259</v>
      </c>
      <c r="N59" s="219" t="s">
        <v>257</v>
      </c>
      <c r="O59" s="219" t="s">
        <v>258</v>
      </c>
      <c r="P59" s="234" t="s">
        <v>259</v>
      </c>
      <c r="Q59" s="249" t="s">
        <v>257</v>
      </c>
      <c r="R59" s="249" t="s">
        <v>258</v>
      </c>
      <c r="S59" s="234" t="s">
        <v>259</v>
      </c>
      <c r="T59" s="219" t="s">
        <v>257</v>
      </c>
      <c r="U59" s="219" t="s">
        <v>258</v>
      </c>
      <c r="V59" s="234" t="s">
        <v>259</v>
      </c>
      <c r="W59" s="219" t="s">
        <v>257</v>
      </c>
      <c r="X59" s="219" t="s">
        <v>258</v>
      </c>
      <c r="Y59" s="234" t="s">
        <v>259</v>
      </c>
      <c r="Z59" s="219" t="s">
        <v>257</v>
      </c>
      <c r="AA59" s="219" t="s">
        <v>258</v>
      </c>
      <c r="AB59" s="234" t="s">
        <v>259</v>
      </c>
      <c r="AC59" s="219" t="s">
        <v>306</v>
      </c>
      <c r="AD59" s="219" t="s">
        <v>307</v>
      </c>
      <c r="AE59" s="234" t="s">
        <v>259</v>
      </c>
      <c r="AF59" s="219" t="s">
        <v>306</v>
      </c>
      <c r="AG59" s="219" t="s">
        <v>307</v>
      </c>
      <c r="AH59" s="234" t="s">
        <v>259</v>
      </c>
      <c r="AI59" s="216" t="s">
        <v>306</v>
      </c>
      <c r="AJ59" s="216" t="s">
        <v>307</v>
      </c>
      <c r="AK59" s="229" t="s">
        <v>259</v>
      </c>
      <c r="AL59" s="216" t="s">
        <v>306</v>
      </c>
      <c r="AM59" s="216" t="s">
        <v>307</v>
      </c>
      <c r="AN59" s="229" t="s">
        <v>259</v>
      </c>
      <c r="AO59" s="216" t="s">
        <v>306</v>
      </c>
      <c r="AP59" s="216" t="s">
        <v>307</v>
      </c>
      <c r="AQ59" s="229" t="s">
        <v>259</v>
      </c>
      <c r="AR59" s="216" t="s">
        <v>306</v>
      </c>
      <c r="AS59" s="216" t="s">
        <v>307</v>
      </c>
      <c r="AT59" s="229" t="s">
        <v>259</v>
      </c>
      <c r="AU59" s="216" t="s">
        <v>306</v>
      </c>
      <c r="AV59" s="216" t="s">
        <v>307</v>
      </c>
      <c r="AW59" s="229" t="s">
        <v>259</v>
      </c>
      <c r="AX59" s="216" t="s">
        <v>306</v>
      </c>
      <c r="AY59" s="216" t="s">
        <v>307</v>
      </c>
      <c r="AZ59" s="229" t="s">
        <v>259</v>
      </c>
    </row>
    <row r="60" spans="1:52" s="141" customFormat="1" ht="12">
      <c r="A60" s="200"/>
      <c r="B60" s="201"/>
      <c r="C60" s="201"/>
      <c r="D60" s="201"/>
      <c r="E60" s="219" t="s">
        <v>260</v>
      </c>
      <c r="F60" s="219" t="s">
        <v>260</v>
      </c>
      <c r="G60" s="234" t="s">
        <v>260</v>
      </c>
      <c r="H60" s="219" t="s">
        <v>261</v>
      </c>
      <c r="I60" s="219" t="s">
        <v>261</v>
      </c>
      <c r="J60" s="234" t="s">
        <v>261</v>
      </c>
      <c r="K60" s="219" t="s">
        <v>262</v>
      </c>
      <c r="L60" s="219" t="s">
        <v>262</v>
      </c>
      <c r="M60" s="234" t="s">
        <v>262</v>
      </c>
      <c r="N60" s="219" t="s">
        <v>197</v>
      </c>
      <c r="O60" s="219" t="s">
        <v>197</v>
      </c>
      <c r="P60" s="234" t="s">
        <v>197</v>
      </c>
      <c r="Q60" s="249" t="s">
        <v>263</v>
      </c>
      <c r="R60" s="249" t="s">
        <v>263</v>
      </c>
      <c r="S60" s="234" t="s">
        <v>263</v>
      </c>
      <c r="T60" s="219" t="s">
        <v>264</v>
      </c>
      <c r="U60" s="219" t="s">
        <v>264</v>
      </c>
      <c r="V60" s="234" t="s">
        <v>264</v>
      </c>
      <c r="W60" s="219" t="s">
        <v>277</v>
      </c>
      <c r="X60" s="219" t="s">
        <v>277</v>
      </c>
      <c r="Y60" s="234" t="s">
        <v>277</v>
      </c>
      <c r="Z60" s="227" t="s">
        <v>289</v>
      </c>
      <c r="AA60" s="227" t="s">
        <v>289</v>
      </c>
      <c r="AB60" s="242" t="s">
        <v>289</v>
      </c>
      <c r="AC60" s="227" t="s">
        <v>305</v>
      </c>
      <c r="AD60" s="227" t="s">
        <v>305</v>
      </c>
      <c r="AE60" s="242" t="s">
        <v>305</v>
      </c>
      <c r="AF60" s="227" t="s">
        <v>312</v>
      </c>
      <c r="AG60" s="227" t="s">
        <v>312</v>
      </c>
      <c r="AH60" s="242" t="s">
        <v>312</v>
      </c>
      <c r="AI60" s="226" t="s">
        <v>318</v>
      </c>
      <c r="AJ60" s="226" t="s">
        <v>318</v>
      </c>
      <c r="AK60" s="226" t="s">
        <v>318</v>
      </c>
      <c r="AL60" s="226" t="s">
        <v>321</v>
      </c>
      <c r="AM60" s="226" t="s">
        <v>321</v>
      </c>
      <c r="AN60" s="226" t="s">
        <v>321</v>
      </c>
      <c r="AO60" s="226" t="s">
        <v>328</v>
      </c>
      <c r="AP60" s="226" t="s">
        <v>328</v>
      </c>
      <c r="AQ60" s="226" t="s">
        <v>328</v>
      </c>
      <c r="AR60" s="226" t="s">
        <v>329</v>
      </c>
      <c r="AS60" s="226" t="s">
        <v>329</v>
      </c>
      <c r="AT60" s="226" t="s">
        <v>329</v>
      </c>
      <c r="AU60" s="226" t="s">
        <v>333</v>
      </c>
      <c r="AV60" s="226" t="s">
        <v>333</v>
      </c>
      <c r="AW60" s="226" t="s">
        <v>333</v>
      </c>
      <c r="AX60" s="226" t="s">
        <v>335</v>
      </c>
      <c r="AY60" s="226" t="s">
        <v>335</v>
      </c>
      <c r="AZ60" s="226" t="s">
        <v>335</v>
      </c>
    </row>
    <row r="61" spans="1:52" s="141" customFormat="1" ht="12">
      <c r="A61" s="200"/>
      <c r="B61" s="204" t="s">
        <v>265</v>
      </c>
      <c r="C61" s="205" t="s">
        <v>266</v>
      </c>
      <c r="D61" s="204" t="s">
        <v>267</v>
      </c>
      <c r="E61" s="220" t="s">
        <v>97</v>
      </c>
      <c r="F61" s="220" t="s">
        <v>97</v>
      </c>
      <c r="G61" s="235" t="s">
        <v>96</v>
      </c>
      <c r="H61" s="220" t="s">
        <v>97</v>
      </c>
      <c r="I61" s="220" t="s">
        <v>97</v>
      </c>
      <c r="J61" s="235" t="s">
        <v>96</v>
      </c>
      <c r="K61" s="220" t="s">
        <v>97</v>
      </c>
      <c r="L61" s="220" t="s">
        <v>97</v>
      </c>
      <c r="M61" s="235" t="s">
        <v>96</v>
      </c>
      <c r="N61" s="220" t="s">
        <v>97</v>
      </c>
      <c r="O61" s="220" t="s">
        <v>97</v>
      </c>
      <c r="P61" s="235" t="s">
        <v>96</v>
      </c>
      <c r="Q61" s="220" t="s">
        <v>97</v>
      </c>
      <c r="R61" s="220" t="s">
        <v>97</v>
      </c>
      <c r="S61" s="235" t="s">
        <v>96</v>
      </c>
      <c r="T61" s="220" t="s">
        <v>97</v>
      </c>
      <c r="U61" s="220" t="s">
        <v>97</v>
      </c>
      <c r="V61" s="235" t="s">
        <v>96</v>
      </c>
      <c r="W61" s="220" t="s">
        <v>97</v>
      </c>
      <c r="X61" s="220" t="s">
        <v>97</v>
      </c>
      <c r="Y61" s="235" t="s">
        <v>96</v>
      </c>
      <c r="Z61" s="220" t="s">
        <v>97</v>
      </c>
      <c r="AA61" s="220" t="s">
        <v>97</v>
      </c>
      <c r="AB61" s="235" t="s">
        <v>96</v>
      </c>
      <c r="AC61" s="220" t="s">
        <v>308</v>
      </c>
      <c r="AD61" s="220" t="s">
        <v>308</v>
      </c>
      <c r="AE61" s="235" t="s">
        <v>309</v>
      </c>
      <c r="AF61" s="220" t="s">
        <v>308</v>
      </c>
      <c r="AG61" s="220" t="s">
        <v>308</v>
      </c>
      <c r="AH61" s="235" t="s">
        <v>309</v>
      </c>
      <c r="AI61" s="217" t="s">
        <v>308</v>
      </c>
      <c r="AJ61" s="217" t="s">
        <v>308</v>
      </c>
      <c r="AK61" s="230" t="s">
        <v>309</v>
      </c>
      <c r="AL61" s="217" t="s">
        <v>308</v>
      </c>
      <c r="AM61" s="217" t="s">
        <v>308</v>
      </c>
      <c r="AN61" s="230" t="s">
        <v>309</v>
      </c>
      <c r="AO61" s="217" t="s">
        <v>308</v>
      </c>
      <c r="AP61" s="217" t="s">
        <v>308</v>
      </c>
      <c r="AQ61" s="230" t="s">
        <v>309</v>
      </c>
      <c r="AR61" s="217" t="s">
        <v>308</v>
      </c>
      <c r="AS61" s="217" t="s">
        <v>308</v>
      </c>
      <c r="AT61" s="230" t="s">
        <v>309</v>
      </c>
      <c r="AU61" s="217" t="s">
        <v>308</v>
      </c>
      <c r="AV61" s="217" t="s">
        <v>308</v>
      </c>
      <c r="AW61" s="230" t="s">
        <v>309</v>
      </c>
      <c r="AX61" s="217" t="s">
        <v>308</v>
      </c>
      <c r="AY61" s="217" t="s">
        <v>308</v>
      </c>
      <c r="AZ61" s="230" t="s">
        <v>309</v>
      </c>
    </row>
    <row r="62" spans="1:52" s="141" customFormat="1">
      <c r="A62" s="200" t="s">
        <v>373</v>
      </c>
      <c r="B62" s="201" t="s">
        <v>254</v>
      </c>
      <c r="C62" s="201" t="s">
        <v>271</v>
      </c>
      <c r="D62" s="202" t="s">
        <v>313</v>
      </c>
      <c r="E62" s="245" t="e">
        <v>#N/A</v>
      </c>
      <c r="F62" s="243">
        <v>9.7150608359999993</v>
      </c>
      <c r="G62" s="231" t="e">
        <v>#N/A</v>
      </c>
      <c r="H62" s="245">
        <v>23.040115491000002</v>
      </c>
      <c r="I62" s="243">
        <v>9.4390935720000009</v>
      </c>
      <c r="J62" s="231">
        <v>2.4409245776888882</v>
      </c>
      <c r="K62" s="245">
        <v>22.168145150000001</v>
      </c>
      <c r="L62" s="243">
        <v>9.0557635059999999</v>
      </c>
      <c r="M62" s="231">
        <v>2.4479598142456176</v>
      </c>
      <c r="N62" s="245">
        <v>21.895933200000002</v>
      </c>
      <c r="O62" s="243">
        <v>8.6197602419999999</v>
      </c>
      <c r="P62" s="231">
        <v>2.5402021152875589</v>
      </c>
      <c r="Q62" s="245">
        <v>21.052383333000002</v>
      </c>
      <c r="R62" s="243">
        <v>8.2665178640000008</v>
      </c>
      <c r="S62" s="231">
        <v>2.5467051156668257</v>
      </c>
      <c r="T62" s="245">
        <v>20.426420243999999</v>
      </c>
      <c r="U62" s="243">
        <v>7.8752044940000001</v>
      </c>
      <c r="V62" s="231">
        <v>2.5937637885546443</v>
      </c>
      <c r="W62" s="245">
        <v>19.493541542999999</v>
      </c>
      <c r="X62" s="243">
        <v>7.4634597859999996</v>
      </c>
      <c r="Y62" s="231">
        <v>2.6118639480802317</v>
      </c>
      <c r="Z62" s="245">
        <v>19.116954947</v>
      </c>
      <c r="AA62" s="243">
        <v>7.095510161</v>
      </c>
      <c r="AB62" s="231">
        <v>2.6942326222115884</v>
      </c>
      <c r="AC62" s="245">
        <v>18.293013351999999</v>
      </c>
      <c r="AD62" s="243">
        <v>6.8917368679999997</v>
      </c>
      <c r="AE62" s="231">
        <v>2.6543400745520165</v>
      </c>
      <c r="AF62" s="245">
        <v>17.627596205</v>
      </c>
      <c r="AG62" s="243">
        <v>6.7680080939999998</v>
      </c>
      <c r="AH62" s="231">
        <v>2.6045471518610155</v>
      </c>
      <c r="AI62" s="245">
        <v>16.953024730999999</v>
      </c>
      <c r="AJ62" s="245">
        <v>6.5981842769999997</v>
      </c>
      <c r="AK62" s="231">
        <v>2.5693469626325807</v>
      </c>
      <c r="AL62" s="245">
        <v>16.549496877999999</v>
      </c>
      <c r="AM62" s="245">
        <v>6.3733157550000001</v>
      </c>
      <c r="AN62" s="231">
        <v>2.5966855423751083</v>
      </c>
      <c r="AO62" s="245">
        <v>16.227462962000001</v>
      </c>
      <c r="AP62" s="245">
        <v>6.2330443940000002</v>
      </c>
      <c r="AQ62" s="231">
        <v>2.6034569844586284</v>
      </c>
      <c r="AR62" s="245">
        <v>15.648416992</v>
      </c>
      <c r="AS62" s="245">
        <v>5.8673145570000003</v>
      </c>
      <c r="AT62" s="231">
        <v>2.6670492675956248</v>
      </c>
      <c r="AU62" s="245">
        <v>15.392309259999999</v>
      </c>
      <c r="AV62" s="245">
        <v>5.5018723280000001</v>
      </c>
      <c r="AW62" s="231">
        <v>2.7976492987061548</v>
      </c>
      <c r="AX62" s="245">
        <v>14.874657979</v>
      </c>
      <c r="AY62" s="245">
        <v>5.1800348229999997</v>
      </c>
      <c r="AZ62" s="231">
        <v>2.8715362902493755</v>
      </c>
    </row>
    <row r="63" spans="1:52" s="141" customFormat="1">
      <c r="A63" s="200" t="s">
        <v>374</v>
      </c>
      <c r="B63" s="201" t="s">
        <v>254</v>
      </c>
      <c r="C63" s="201" t="s">
        <v>271</v>
      </c>
      <c r="D63" s="202" t="s">
        <v>100</v>
      </c>
      <c r="E63" s="245" t="e">
        <v>#N/A</v>
      </c>
      <c r="F63" s="243">
        <v>15.448442084</v>
      </c>
      <c r="G63" s="231" t="e">
        <v>#N/A</v>
      </c>
      <c r="H63" s="245">
        <v>14.853768260000001</v>
      </c>
      <c r="I63" s="243">
        <v>14.84687036</v>
      </c>
      <c r="J63" s="231">
        <v>1.0004646029656583</v>
      </c>
      <c r="K63" s="245">
        <v>13.696901126</v>
      </c>
      <c r="L63" s="243">
        <v>14.379752146</v>
      </c>
      <c r="M63" s="231">
        <v>0.95251301878732675</v>
      </c>
      <c r="N63" s="245">
        <v>12.734336325999999</v>
      </c>
      <c r="O63" s="243">
        <v>13.628823579000001</v>
      </c>
      <c r="P63" s="231">
        <v>0.93436797770437985</v>
      </c>
      <c r="Q63" s="245">
        <v>12.030140745000001</v>
      </c>
      <c r="R63" s="243">
        <v>12.883788374</v>
      </c>
      <c r="S63" s="231">
        <v>0.9337424983848156</v>
      </c>
      <c r="T63" s="245">
        <v>11.387918836000001</v>
      </c>
      <c r="U63" s="243">
        <v>12.183452671</v>
      </c>
      <c r="V63" s="231">
        <v>0.93470374478545071</v>
      </c>
      <c r="W63" s="245">
        <v>10.64148629</v>
      </c>
      <c r="X63" s="243">
        <v>11.737089955</v>
      </c>
      <c r="Y63" s="231">
        <v>0.90665457373160263</v>
      </c>
      <c r="Z63" s="245">
        <v>10.359215317</v>
      </c>
      <c r="AA63" s="243">
        <v>11.196862057000001</v>
      </c>
      <c r="AB63" s="231">
        <v>0.92518915248434941</v>
      </c>
      <c r="AC63" s="245">
        <v>10.029610615999999</v>
      </c>
      <c r="AD63" s="243">
        <v>10.688167325</v>
      </c>
      <c r="AE63" s="231">
        <v>0.93838450606404589</v>
      </c>
      <c r="AF63" s="245">
        <v>9.6272914660000009</v>
      </c>
      <c r="AG63" s="243">
        <v>10.161902255999999</v>
      </c>
      <c r="AH63" s="231">
        <v>0.94739067779515962</v>
      </c>
      <c r="AI63" s="245">
        <v>9.1657719059999998</v>
      </c>
      <c r="AJ63" s="245">
        <v>9.7256095489999996</v>
      </c>
      <c r="AK63" s="231">
        <v>0.94243675523067205</v>
      </c>
      <c r="AL63" s="245">
        <v>8.5733430429999995</v>
      </c>
      <c r="AM63" s="245">
        <v>9.1244374100000005</v>
      </c>
      <c r="AN63" s="231">
        <v>0.93960237303003202</v>
      </c>
      <c r="AO63" s="245">
        <v>8.2173908549999997</v>
      </c>
      <c r="AP63" s="245">
        <v>8.7512385209999994</v>
      </c>
      <c r="AQ63" s="231">
        <v>0.93899747278982892</v>
      </c>
      <c r="AR63" s="245">
        <v>7.8869340689999996</v>
      </c>
      <c r="AS63" s="245">
        <v>8.3555347100000006</v>
      </c>
      <c r="AT63" s="231">
        <v>0.94391733656025933</v>
      </c>
      <c r="AU63" s="245">
        <v>7.708456505</v>
      </c>
      <c r="AV63" s="245">
        <v>7.992881229</v>
      </c>
      <c r="AW63" s="231">
        <v>0.96441524453434357</v>
      </c>
      <c r="AX63" s="245">
        <v>7.4181170029999999</v>
      </c>
      <c r="AY63" s="245">
        <v>7.7210963079999999</v>
      </c>
      <c r="AZ63" s="231">
        <v>0.96075954852601997</v>
      </c>
    </row>
    <row r="64" spans="1:52" s="141" customFormat="1">
      <c r="A64" s="200" t="s">
        <v>375</v>
      </c>
      <c r="B64" s="201" t="s">
        <v>254</v>
      </c>
      <c r="C64" s="201" t="s">
        <v>271</v>
      </c>
      <c r="D64" s="202" t="s">
        <v>101</v>
      </c>
      <c r="E64" s="245" t="e">
        <v>#N/A</v>
      </c>
      <c r="F64" s="243">
        <v>15.917888326</v>
      </c>
      <c r="G64" s="231" t="e">
        <v>#N/A</v>
      </c>
      <c r="H64" s="245">
        <v>21.057590830999999</v>
      </c>
      <c r="I64" s="243">
        <v>15.426407932</v>
      </c>
      <c r="J64" s="231">
        <v>1.3650352644518671</v>
      </c>
      <c r="K64" s="245">
        <v>21.312349302000001</v>
      </c>
      <c r="L64" s="243">
        <v>15.239195854</v>
      </c>
      <c r="M64" s="231">
        <v>1.3985219106168199</v>
      </c>
      <c r="N64" s="245">
        <v>21.288532187000001</v>
      </c>
      <c r="O64" s="243">
        <v>14.728408741000001</v>
      </c>
      <c r="P64" s="231">
        <v>1.4454061237272937</v>
      </c>
      <c r="Q64" s="245">
        <v>20.039286486999998</v>
      </c>
      <c r="R64" s="243">
        <v>14.3982049</v>
      </c>
      <c r="S64" s="231">
        <v>1.3917906173845322</v>
      </c>
      <c r="T64" s="245">
        <v>20.007755673999998</v>
      </c>
      <c r="U64" s="243">
        <v>13.963612085999999</v>
      </c>
      <c r="V64" s="231">
        <v>1.4328495772279362</v>
      </c>
      <c r="W64" s="245">
        <v>19.105922766999999</v>
      </c>
      <c r="X64" s="243">
        <v>13.358448799</v>
      </c>
      <c r="Y64" s="231">
        <v>1.4302501027237722</v>
      </c>
      <c r="Z64" s="245">
        <v>17.912098594</v>
      </c>
      <c r="AA64" s="243">
        <v>12.870175922</v>
      </c>
      <c r="AB64" s="231">
        <v>1.3917524284482736</v>
      </c>
      <c r="AC64" s="245">
        <v>17.539912554000001</v>
      </c>
      <c r="AD64" s="243">
        <v>12.439046375</v>
      </c>
      <c r="AE64" s="231">
        <v>1.4100689092414449</v>
      </c>
      <c r="AF64" s="245">
        <v>17.395824829999999</v>
      </c>
      <c r="AG64" s="243">
        <v>11.968341658</v>
      </c>
      <c r="AH64" s="231">
        <v>1.4534866506231552</v>
      </c>
      <c r="AI64" s="245">
        <v>17.148855523999998</v>
      </c>
      <c r="AJ64" s="245">
        <v>11.587095228000001</v>
      </c>
      <c r="AK64" s="231">
        <v>1.4799960806881183</v>
      </c>
      <c r="AL64" s="245">
        <v>16.852590789000001</v>
      </c>
      <c r="AM64" s="245">
        <v>11.156935538999999</v>
      </c>
      <c r="AN64" s="231">
        <v>1.5105035545011767</v>
      </c>
      <c r="AO64" s="245">
        <v>17.115773253</v>
      </c>
      <c r="AP64" s="245">
        <v>10.830902536</v>
      </c>
      <c r="AQ64" s="231">
        <v>1.5802721145454135</v>
      </c>
      <c r="AR64" s="245">
        <v>16.7912471</v>
      </c>
      <c r="AS64" s="245">
        <v>10.529270563000001</v>
      </c>
      <c r="AT64" s="231">
        <v>1.5947208308051908</v>
      </c>
      <c r="AU64" s="245">
        <v>16.545878755</v>
      </c>
      <c r="AV64" s="245">
        <v>10.147760987</v>
      </c>
      <c r="AW64" s="231">
        <v>1.6304955128718979</v>
      </c>
      <c r="AX64" s="245">
        <v>15.66455706</v>
      </c>
      <c r="AY64" s="245">
        <v>9.8378818379999995</v>
      </c>
      <c r="AZ64" s="231">
        <v>1.5922692829561917</v>
      </c>
    </row>
    <row r="65" spans="1:52" s="141" customFormat="1">
      <c r="A65" s="200" t="s">
        <v>376</v>
      </c>
      <c r="B65" s="201" t="s">
        <v>254</v>
      </c>
      <c r="C65" s="201" t="s">
        <v>271</v>
      </c>
      <c r="D65" s="202" t="s">
        <v>102</v>
      </c>
      <c r="E65" s="245" t="e">
        <v>#N/A</v>
      </c>
      <c r="F65" s="243">
        <v>35.958399700999998</v>
      </c>
      <c r="G65" s="231" t="e">
        <v>#N/A</v>
      </c>
      <c r="H65" s="245">
        <v>73.269812930000001</v>
      </c>
      <c r="I65" s="243">
        <v>35.690405646999999</v>
      </c>
      <c r="J65" s="231">
        <v>2.0529274353080598</v>
      </c>
      <c r="K65" s="245">
        <v>72.968204904000004</v>
      </c>
      <c r="L65" s="243">
        <v>35.458526515999999</v>
      </c>
      <c r="M65" s="231">
        <v>2.0578465061449878</v>
      </c>
      <c r="N65" s="245">
        <v>73.484651416000005</v>
      </c>
      <c r="O65" s="243">
        <v>35.069934001999997</v>
      </c>
      <c r="P65" s="231">
        <v>2.0953746708450964</v>
      </c>
      <c r="Q65" s="245">
        <v>73.569737103999998</v>
      </c>
      <c r="R65" s="243">
        <v>34.844478551999998</v>
      </c>
      <c r="S65" s="231">
        <v>2.1113743170014305</v>
      </c>
      <c r="T65" s="245">
        <v>73.355157363000004</v>
      </c>
      <c r="U65" s="243">
        <v>34.599026127000002</v>
      </c>
      <c r="V65" s="231">
        <v>2.1201509283452324</v>
      </c>
      <c r="W65" s="245">
        <v>73.853622502999997</v>
      </c>
      <c r="X65" s="243">
        <v>34.355699960999999</v>
      </c>
      <c r="Y65" s="231">
        <v>2.1496759660503892</v>
      </c>
      <c r="Z65" s="245">
        <v>73.457342885000003</v>
      </c>
      <c r="AA65" s="243">
        <v>34.088757397000002</v>
      </c>
      <c r="AB65" s="231">
        <v>2.1548847330957464</v>
      </c>
      <c r="AC65" s="245">
        <v>73.100899182999996</v>
      </c>
      <c r="AD65" s="243">
        <v>33.789044691999997</v>
      </c>
      <c r="AE65" s="231">
        <v>2.1634497171891813</v>
      </c>
      <c r="AF65" s="245">
        <v>72.940664425999998</v>
      </c>
      <c r="AG65" s="243">
        <v>32.996358823000001</v>
      </c>
      <c r="AH65" s="231">
        <v>2.2105670755149185</v>
      </c>
      <c r="AI65" s="245">
        <v>71.660591753000006</v>
      </c>
      <c r="AJ65" s="245">
        <v>32.179803775000003</v>
      </c>
      <c r="AK65" s="231">
        <v>2.2268809422844282</v>
      </c>
      <c r="AL65" s="245">
        <v>70.329003259999993</v>
      </c>
      <c r="AM65" s="245">
        <v>31.761935942000001</v>
      </c>
      <c r="AN65" s="231">
        <v>2.2142543007588311</v>
      </c>
      <c r="AO65" s="245">
        <v>69.035814177000006</v>
      </c>
      <c r="AP65" s="245">
        <v>30.883083491000001</v>
      </c>
      <c r="AQ65" s="231">
        <v>2.2353925312256639</v>
      </c>
      <c r="AR65" s="245">
        <v>67.037000307</v>
      </c>
      <c r="AS65" s="245">
        <v>30.130020237</v>
      </c>
      <c r="AT65" s="231">
        <v>2.2249238394031283</v>
      </c>
      <c r="AU65" s="245">
        <v>64.596758464000004</v>
      </c>
      <c r="AV65" s="245">
        <v>29.358767762999999</v>
      </c>
      <c r="AW65" s="231">
        <v>2.200254417537558</v>
      </c>
      <c r="AX65" s="245">
        <v>62.572737803000003</v>
      </c>
      <c r="AY65" s="245">
        <v>28.683925395999999</v>
      </c>
      <c r="AZ65" s="231">
        <v>2.1814565802672821</v>
      </c>
    </row>
    <row r="66" spans="1:52" s="141" customFormat="1">
      <c r="A66" s="200" t="s">
        <v>377</v>
      </c>
      <c r="B66" s="201" t="s">
        <v>254</v>
      </c>
      <c r="C66" s="201" t="s">
        <v>271</v>
      </c>
      <c r="D66" s="202" t="s">
        <v>103</v>
      </c>
      <c r="E66" s="245" t="e">
        <v>#N/A</v>
      </c>
      <c r="F66" s="243">
        <v>7.7868749309999998</v>
      </c>
      <c r="G66" s="231" t="e">
        <v>#N/A</v>
      </c>
      <c r="H66" s="245">
        <v>8.5816308049999996</v>
      </c>
      <c r="I66" s="243">
        <v>7.9811877320000004</v>
      </c>
      <c r="J66" s="231">
        <v>1.0752322953878863</v>
      </c>
      <c r="K66" s="245">
        <v>9.0734077969999998</v>
      </c>
      <c r="L66" s="243">
        <v>7.9843835790000002</v>
      </c>
      <c r="M66" s="231">
        <v>1.1363942760546073</v>
      </c>
      <c r="N66" s="245">
        <v>9.063730391</v>
      </c>
      <c r="O66" s="243">
        <v>8.3502243210000007</v>
      </c>
      <c r="P66" s="231">
        <v>1.0854475332124434</v>
      </c>
      <c r="Q66" s="245">
        <v>9.7020068199999994</v>
      </c>
      <c r="R66" s="243">
        <v>8.3406738259999997</v>
      </c>
      <c r="S66" s="231">
        <v>1.1632161888115538</v>
      </c>
      <c r="T66" s="245">
        <v>10.428967466</v>
      </c>
      <c r="U66" s="243">
        <v>8.3803552230000005</v>
      </c>
      <c r="V66" s="231">
        <v>1.2444541058805663</v>
      </c>
      <c r="W66" s="245">
        <v>11.055712717</v>
      </c>
      <c r="X66" s="243">
        <v>8.3341075650000001</v>
      </c>
      <c r="Y66" s="231">
        <v>1.3265622780571829</v>
      </c>
      <c r="Z66" s="245">
        <v>11.551347437</v>
      </c>
      <c r="AA66" s="243">
        <v>8.5086188529999998</v>
      </c>
      <c r="AB66" s="231">
        <v>1.3576054629509211</v>
      </c>
      <c r="AC66" s="245">
        <v>12.275291505</v>
      </c>
      <c r="AD66" s="243">
        <v>8.492496826</v>
      </c>
      <c r="AE66" s="231">
        <v>1.4454278590271445</v>
      </c>
      <c r="AF66" s="245">
        <v>12.991639134</v>
      </c>
      <c r="AG66" s="243">
        <v>8.8296389649999991</v>
      </c>
      <c r="AH66" s="231">
        <v>1.4713669704387513</v>
      </c>
      <c r="AI66" s="245">
        <v>13.671088966999999</v>
      </c>
      <c r="AJ66" s="245">
        <v>9.0772127670000007</v>
      </c>
      <c r="AK66" s="231">
        <v>1.506088853254705</v>
      </c>
      <c r="AL66" s="245">
        <v>13.986125682999999</v>
      </c>
      <c r="AM66" s="245">
        <v>9.4282211220000001</v>
      </c>
      <c r="AN66" s="231">
        <v>1.4834320814097681</v>
      </c>
      <c r="AO66" s="245">
        <v>14.798444769</v>
      </c>
      <c r="AP66" s="245">
        <v>9.6684575430000006</v>
      </c>
      <c r="AQ66" s="231">
        <v>1.5305900349858939</v>
      </c>
      <c r="AR66" s="245">
        <v>15.77227645</v>
      </c>
      <c r="AS66" s="245">
        <v>9.9561902280000005</v>
      </c>
      <c r="AT66" s="231">
        <v>1.5841678482240424</v>
      </c>
      <c r="AU66" s="245">
        <v>16.388076025</v>
      </c>
      <c r="AV66" s="245">
        <v>10.224596715000001</v>
      </c>
      <c r="AW66" s="231">
        <v>1.6028090380286455</v>
      </c>
      <c r="AX66" s="245">
        <v>16.826307543999999</v>
      </c>
      <c r="AY66" s="245">
        <v>10.432575384</v>
      </c>
      <c r="AZ66" s="231">
        <v>1.6128623014606533</v>
      </c>
    </row>
    <row r="67" spans="1:52" s="141" customFormat="1">
      <c r="A67" s="200" t="s">
        <v>378</v>
      </c>
      <c r="B67" s="201" t="s">
        <v>254</v>
      </c>
      <c r="C67" s="201" t="s">
        <v>271</v>
      </c>
      <c r="D67" s="202" t="s">
        <v>104</v>
      </c>
      <c r="E67" s="245" t="e">
        <v>#N/A</v>
      </c>
      <c r="F67" s="243">
        <v>17.22481037</v>
      </c>
      <c r="G67" s="231" t="e">
        <v>#N/A</v>
      </c>
      <c r="H67" s="245">
        <v>18.90566424</v>
      </c>
      <c r="I67" s="243">
        <v>17.121801068</v>
      </c>
      <c r="J67" s="231">
        <v>1.1041866544830949</v>
      </c>
      <c r="K67" s="245">
        <v>18.770625722999998</v>
      </c>
      <c r="L67" s="243">
        <v>16.764277706000001</v>
      </c>
      <c r="M67" s="231">
        <v>1.1196799559268764</v>
      </c>
      <c r="N67" s="245">
        <v>18.447375081000001</v>
      </c>
      <c r="O67" s="243">
        <v>16.551754531</v>
      </c>
      <c r="P67" s="231">
        <v>1.1145268645961168</v>
      </c>
      <c r="Q67" s="245">
        <v>18.289043197000002</v>
      </c>
      <c r="R67" s="243">
        <v>16.352554889</v>
      </c>
      <c r="S67" s="231">
        <v>1.1184211471017678</v>
      </c>
      <c r="T67" s="245">
        <v>18.133993447999998</v>
      </c>
      <c r="U67" s="243">
        <v>16.339927801000002</v>
      </c>
      <c r="V67" s="231">
        <v>1.1097964243691578</v>
      </c>
      <c r="W67" s="245">
        <v>17.472751903999999</v>
      </c>
      <c r="X67" s="243">
        <v>16.048409291999999</v>
      </c>
      <c r="Y67" s="231">
        <v>1.0887528842319609</v>
      </c>
      <c r="Z67" s="245">
        <v>16.568868599000002</v>
      </c>
      <c r="AA67" s="243">
        <v>15.861418896</v>
      </c>
      <c r="AB67" s="231">
        <v>1.044601917876238</v>
      </c>
      <c r="AC67" s="245">
        <v>16.627027499</v>
      </c>
      <c r="AD67" s="243">
        <v>15.671972383</v>
      </c>
      <c r="AE67" s="231">
        <v>1.0609403266327846</v>
      </c>
      <c r="AF67" s="245">
        <v>16.635836889</v>
      </c>
      <c r="AG67" s="243">
        <v>15.488081966999999</v>
      </c>
      <c r="AH67" s="231">
        <v>1.0741056849031074</v>
      </c>
      <c r="AI67" s="245">
        <v>16.642745833999999</v>
      </c>
      <c r="AJ67" s="245">
        <v>15.432281873000001</v>
      </c>
      <c r="AK67" s="231">
        <v>1.0784371339871521</v>
      </c>
      <c r="AL67" s="245">
        <v>16.923387808000001</v>
      </c>
      <c r="AM67" s="245">
        <v>15.381446919</v>
      </c>
      <c r="AN67" s="231">
        <v>1.1002468036407753</v>
      </c>
      <c r="AO67" s="245">
        <v>17.367162509</v>
      </c>
      <c r="AP67" s="245">
        <v>15.410125299000001</v>
      </c>
      <c r="AQ67" s="231">
        <v>1.1269968395472421</v>
      </c>
      <c r="AR67" s="245">
        <v>17.633699773</v>
      </c>
      <c r="AS67" s="245">
        <v>15.32251061</v>
      </c>
      <c r="AT67" s="231">
        <v>1.1508361926988413</v>
      </c>
      <c r="AU67" s="245">
        <v>17.843012160000001</v>
      </c>
      <c r="AV67" s="245">
        <v>15.206710885</v>
      </c>
      <c r="AW67" s="231">
        <v>1.173364332033199</v>
      </c>
      <c r="AX67" s="245">
        <v>17.958897045000001</v>
      </c>
      <c r="AY67" s="245">
        <v>15.268009860999999</v>
      </c>
      <c r="AZ67" s="231">
        <v>1.1762434795692329</v>
      </c>
    </row>
    <row r="68" spans="1:52" s="141" customFormat="1">
      <c r="A68" s="200" t="s">
        <v>379</v>
      </c>
      <c r="B68" s="201" t="s">
        <v>254</v>
      </c>
      <c r="C68" s="201" t="s">
        <v>271</v>
      </c>
      <c r="D68" s="202" t="s">
        <v>105</v>
      </c>
      <c r="E68" s="245" t="e">
        <v>#N/A</v>
      </c>
      <c r="F68" s="243">
        <v>120.15258289099999</v>
      </c>
      <c r="G68" s="231" t="e">
        <v>#N/A</v>
      </c>
      <c r="H68" s="245">
        <v>132.25313981799999</v>
      </c>
      <c r="I68" s="243">
        <v>118.0714936</v>
      </c>
      <c r="J68" s="231">
        <v>1.1201106701169061</v>
      </c>
      <c r="K68" s="245">
        <v>128.91877377</v>
      </c>
      <c r="L68" s="243">
        <v>115.87667183799999</v>
      </c>
      <c r="M68" s="231">
        <v>1.1125515750938495</v>
      </c>
      <c r="N68" s="245">
        <v>127.35920684200001</v>
      </c>
      <c r="O68" s="243">
        <v>112.971008273</v>
      </c>
      <c r="P68" s="231">
        <v>1.1273618673406032</v>
      </c>
      <c r="Q68" s="245">
        <v>126.611446728</v>
      </c>
      <c r="R68" s="243">
        <v>109.944775233</v>
      </c>
      <c r="S68" s="231">
        <v>1.151591300811514</v>
      </c>
      <c r="T68" s="245">
        <v>121.436400136</v>
      </c>
      <c r="U68" s="243">
        <v>106.872036923</v>
      </c>
      <c r="V68" s="231">
        <v>1.1362785217941851</v>
      </c>
      <c r="W68" s="245">
        <v>118.012882491</v>
      </c>
      <c r="X68" s="243">
        <v>104.107098304</v>
      </c>
      <c r="Y68" s="231">
        <v>1.1335719121321981</v>
      </c>
      <c r="Z68" s="245">
        <v>114.545544819</v>
      </c>
      <c r="AA68" s="243">
        <v>101.199226489</v>
      </c>
      <c r="AB68" s="231">
        <v>1.1318816239316878</v>
      </c>
      <c r="AC68" s="245">
        <v>112.252187939</v>
      </c>
      <c r="AD68" s="243">
        <v>98.327903207999995</v>
      </c>
      <c r="AE68" s="231">
        <v>1.141610715541701</v>
      </c>
      <c r="AF68" s="245">
        <v>108.69704747999999</v>
      </c>
      <c r="AG68" s="243">
        <v>95.692310691000003</v>
      </c>
      <c r="AH68" s="231">
        <v>1.1359015859800228</v>
      </c>
      <c r="AI68" s="245">
        <v>106.19316980399999</v>
      </c>
      <c r="AJ68" s="245">
        <v>92.891098885999995</v>
      </c>
      <c r="AK68" s="231">
        <v>1.1432007057460358</v>
      </c>
      <c r="AL68" s="245">
        <v>103.388813121</v>
      </c>
      <c r="AM68" s="245">
        <v>89.785365761999998</v>
      </c>
      <c r="AN68" s="231">
        <v>1.151510741684336</v>
      </c>
      <c r="AO68" s="245">
        <v>100.423634592</v>
      </c>
      <c r="AP68" s="245">
        <v>87.114718785999997</v>
      </c>
      <c r="AQ68" s="231">
        <v>1.1527745941382623</v>
      </c>
      <c r="AR68" s="245">
        <v>97.314949303000006</v>
      </c>
      <c r="AS68" s="245">
        <v>84.139665296999993</v>
      </c>
      <c r="AT68" s="231">
        <v>1.1565882626166066</v>
      </c>
      <c r="AU68" s="245">
        <v>95.863364756999999</v>
      </c>
      <c r="AV68" s="245">
        <v>81.153150537000002</v>
      </c>
      <c r="AW68" s="231">
        <v>1.181264856911417</v>
      </c>
      <c r="AX68" s="245">
        <v>92.062273279999999</v>
      </c>
      <c r="AY68" s="245">
        <v>78.484001191000004</v>
      </c>
      <c r="AZ68" s="231">
        <v>1.1730068788918608</v>
      </c>
    </row>
    <row r="69" spans="1:52" s="141" customFormat="1">
      <c r="A69" s="200" t="s">
        <v>380</v>
      </c>
      <c r="B69" s="201" t="s">
        <v>254</v>
      </c>
      <c r="C69" s="201" t="s">
        <v>271</v>
      </c>
      <c r="D69" s="202" t="s">
        <v>106</v>
      </c>
      <c r="E69" s="245" t="e">
        <v>#N/A</v>
      </c>
      <c r="F69" s="243">
        <v>0.51753764000000002</v>
      </c>
      <c r="G69" s="231" t="e">
        <v>#N/A</v>
      </c>
      <c r="H69" s="245">
        <v>1.1594927290000001</v>
      </c>
      <c r="I69" s="243">
        <v>0.49140665300000003</v>
      </c>
      <c r="J69" s="231">
        <v>2.3595381176086763</v>
      </c>
      <c r="K69" s="245">
        <v>1.430867399</v>
      </c>
      <c r="L69" s="243">
        <v>0.47469245500000001</v>
      </c>
      <c r="M69" s="231">
        <v>3.0143040697792425</v>
      </c>
      <c r="N69" s="245">
        <v>1.614169499</v>
      </c>
      <c r="O69" s="243">
        <v>0.47981838900000001</v>
      </c>
      <c r="P69" s="231">
        <v>3.364125960999798</v>
      </c>
      <c r="Q69" s="245">
        <v>1.7576592170000001</v>
      </c>
      <c r="R69" s="243">
        <v>0.49588954899999999</v>
      </c>
      <c r="S69" s="231">
        <v>3.5444570682008871</v>
      </c>
      <c r="T69" s="245">
        <v>1.5255854740000001</v>
      </c>
      <c r="U69" s="243">
        <v>0.51486822799999998</v>
      </c>
      <c r="V69" s="231">
        <v>2.9630600433942491</v>
      </c>
      <c r="W69" s="245">
        <v>1.5107379519999999</v>
      </c>
      <c r="X69" s="243">
        <v>0.48012832599999999</v>
      </c>
      <c r="Y69" s="231">
        <v>3.1465295217762259</v>
      </c>
      <c r="Z69" s="245">
        <v>1.3882559080000001</v>
      </c>
      <c r="AA69" s="243">
        <v>0.48214478</v>
      </c>
      <c r="AB69" s="231">
        <v>2.8793341037519893</v>
      </c>
      <c r="AC69" s="245">
        <v>1.2821154560000001</v>
      </c>
      <c r="AD69" s="243">
        <v>0.47783128699999999</v>
      </c>
      <c r="AE69" s="231">
        <v>2.6831969585951372</v>
      </c>
      <c r="AF69" s="245">
        <v>1.1125235280000001</v>
      </c>
      <c r="AG69" s="243">
        <v>0.48674979000000002</v>
      </c>
      <c r="AH69" s="231">
        <v>2.2856168628239164</v>
      </c>
      <c r="AI69" s="245">
        <v>1.0500151820000001</v>
      </c>
      <c r="AJ69" s="245">
        <v>0.46698462200000002</v>
      </c>
      <c r="AK69" s="231">
        <v>2.2485005555493434</v>
      </c>
      <c r="AL69" s="245">
        <v>1.006119263</v>
      </c>
      <c r="AM69" s="245">
        <v>0.52125631800000005</v>
      </c>
      <c r="AN69" s="231">
        <v>1.9301814256378949</v>
      </c>
      <c r="AO69" s="245">
        <v>1.0279891409999999</v>
      </c>
      <c r="AP69" s="245">
        <v>0.52737333799999997</v>
      </c>
      <c r="AQ69" s="231">
        <v>1.9492626322341688</v>
      </c>
      <c r="AR69" s="245">
        <v>1.10145392</v>
      </c>
      <c r="AS69" s="245">
        <v>0.52760895399999996</v>
      </c>
      <c r="AT69" s="231">
        <v>2.0876331071515515</v>
      </c>
      <c r="AU69" s="245">
        <v>1.149329206</v>
      </c>
      <c r="AV69" s="245">
        <v>0.523065742</v>
      </c>
      <c r="AW69" s="231">
        <v>2.1972939799219349</v>
      </c>
      <c r="AX69" s="245">
        <v>1.2251176029999999</v>
      </c>
      <c r="AY69" s="245">
        <v>0.52085821600000004</v>
      </c>
      <c r="AZ69" s="231">
        <v>2.3521134261996548</v>
      </c>
    </row>
    <row r="70" spans="1:52" s="141" customFormat="1">
      <c r="A70" s="200" t="s">
        <v>381</v>
      </c>
      <c r="B70" s="201" t="s">
        <v>254</v>
      </c>
      <c r="C70" s="201" t="s">
        <v>271</v>
      </c>
      <c r="D70" s="202" t="s">
        <v>113</v>
      </c>
      <c r="E70" s="245" t="e">
        <v>#N/A</v>
      </c>
      <c r="F70" s="243">
        <v>0.58835979199999999</v>
      </c>
      <c r="G70" s="231" t="e">
        <v>#N/A</v>
      </c>
      <c r="H70" s="245">
        <v>1.6642036250000001</v>
      </c>
      <c r="I70" s="243">
        <v>0.64497987899999998</v>
      </c>
      <c r="J70" s="231">
        <v>2.5802411504375007</v>
      </c>
      <c r="K70" s="245">
        <v>1.9329368810000001</v>
      </c>
      <c r="L70" s="243">
        <v>0.67935974300000002</v>
      </c>
      <c r="M70" s="231">
        <v>2.8452331786165317</v>
      </c>
      <c r="N70" s="245">
        <v>1.7134795540000001</v>
      </c>
      <c r="O70" s="243">
        <v>0.65699766999999998</v>
      </c>
      <c r="P70" s="231">
        <v>2.6080451000686198</v>
      </c>
      <c r="Q70" s="245">
        <v>1.803739209</v>
      </c>
      <c r="R70" s="243">
        <v>0.673528562</v>
      </c>
      <c r="S70" s="231">
        <v>2.678044125766414</v>
      </c>
      <c r="T70" s="245">
        <v>1.926663434</v>
      </c>
      <c r="U70" s="243">
        <v>0.64712332800000005</v>
      </c>
      <c r="V70" s="231">
        <v>2.9772739609844505</v>
      </c>
      <c r="W70" s="245">
        <v>1.844896482</v>
      </c>
      <c r="X70" s="243">
        <v>0.63373035600000005</v>
      </c>
      <c r="Y70" s="231">
        <v>2.9111694974573696</v>
      </c>
      <c r="Z70" s="245">
        <v>1.814557178</v>
      </c>
      <c r="AA70" s="243">
        <v>0.62898104200000005</v>
      </c>
      <c r="AB70" s="231">
        <v>2.8849155329549663</v>
      </c>
      <c r="AC70" s="245">
        <v>1.965784167</v>
      </c>
      <c r="AD70" s="243">
        <v>0.60940402500000002</v>
      </c>
      <c r="AE70" s="231">
        <v>3.2257485778831212</v>
      </c>
      <c r="AF70" s="245">
        <v>1.8251618350000001</v>
      </c>
      <c r="AG70" s="243">
        <v>0.58290454599999997</v>
      </c>
      <c r="AH70" s="231">
        <v>3.1311504559787737</v>
      </c>
      <c r="AI70" s="245">
        <v>1.5082379539999999</v>
      </c>
      <c r="AJ70" s="245">
        <v>0.55436117500000004</v>
      </c>
      <c r="AK70" s="231">
        <v>2.7206774608629472</v>
      </c>
      <c r="AL70" s="245">
        <v>1.5045622510000001</v>
      </c>
      <c r="AM70" s="245">
        <v>0.51787448999999997</v>
      </c>
      <c r="AN70" s="231">
        <v>2.905264267795852</v>
      </c>
      <c r="AO70" s="245">
        <v>1.5682264180000001</v>
      </c>
      <c r="AP70" s="245">
        <v>0.48588114799999998</v>
      </c>
      <c r="AQ70" s="231">
        <v>3.2275926416474179</v>
      </c>
      <c r="AR70" s="245">
        <v>1.528972029</v>
      </c>
      <c r="AS70" s="245">
        <v>0.51413822300000001</v>
      </c>
      <c r="AT70" s="231">
        <v>2.9738540349683356</v>
      </c>
      <c r="AU70" s="245">
        <v>1.5067047469999999</v>
      </c>
      <c r="AV70" s="245">
        <v>0.48513376200000002</v>
      </c>
      <c r="AW70" s="231">
        <v>3.1057511660052217</v>
      </c>
      <c r="AX70" s="245">
        <v>1.8644634950000001</v>
      </c>
      <c r="AY70" s="245">
        <v>0.50508041699999995</v>
      </c>
      <c r="AZ70" s="231">
        <v>3.691419093367859</v>
      </c>
    </row>
    <row r="71" spans="1:52" s="141" customFormat="1">
      <c r="A71" s="200" t="s">
        <v>382</v>
      </c>
      <c r="B71" s="201" t="s">
        <v>254</v>
      </c>
      <c r="C71" s="201" t="s">
        <v>271</v>
      </c>
      <c r="D71" s="202" t="s">
        <v>107</v>
      </c>
      <c r="E71" s="245" t="e">
        <v>#N/A</v>
      </c>
      <c r="F71" s="243">
        <v>79.628008081000004</v>
      </c>
      <c r="G71" s="231" t="e">
        <v>#N/A</v>
      </c>
      <c r="H71" s="245">
        <v>302.73495281300001</v>
      </c>
      <c r="I71" s="243">
        <v>79.720594872000007</v>
      </c>
      <c r="J71" s="231">
        <v>3.7974497468197965</v>
      </c>
      <c r="K71" s="245">
        <v>294.12256111599999</v>
      </c>
      <c r="L71" s="243">
        <v>78.588782012999999</v>
      </c>
      <c r="M71" s="231">
        <v>3.742551463227243</v>
      </c>
      <c r="N71" s="245">
        <v>284.09912649</v>
      </c>
      <c r="O71" s="243">
        <v>76.768048854</v>
      </c>
      <c r="P71" s="231">
        <v>3.7007469999701188</v>
      </c>
      <c r="Q71" s="245">
        <v>281.38213516899998</v>
      </c>
      <c r="R71" s="243">
        <v>74.774029038999998</v>
      </c>
      <c r="S71" s="231">
        <v>3.7630998193535765</v>
      </c>
      <c r="T71" s="245">
        <v>283.67862549300003</v>
      </c>
      <c r="U71" s="243">
        <v>72.891804094999998</v>
      </c>
      <c r="V71" s="231">
        <v>3.8917767095362499</v>
      </c>
      <c r="W71" s="245">
        <v>282.704929763</v>
      </c>
      <c r="X71" s="243">
        <v>70.714056335999999</v>
      </c>
      <c r="Y71" s="231">
        <v>3.9978604595912146</v>
      </c>
      <c r="Z71" s="245">
        <v>282.45844099499999</v>
      </c>
      <c r="AA71" s="243">
        <v>68.841114688000005</v>
      </c>
      <c r="AB71" s="231">
        <v>4.1030486254493574</v>
      </c>
      <c r="AC71" s="245">
        <v>275.38496762599999</v>
      </c>
      <c r="AD71" s="243">
        <v>66.357942789999996</v>
      </c>
      <c r="AE71" s="231">
        <v>4.1499925411717244</v>
      </c>
      <c r="AF71" s="245">
        <v>267.56184339499998</v>
      </c>
      <c r="AG71" s="243">
        <v>64.106659199000006</v>
      </c>
      <c r="AH71" s="231">
        <v>4.1736981264993709</v>
      </c>
      <c r="AI71" s="245">
        <v>257.32626925400001</v>
      </c>
      <c r="AJ71" s="245">
        <v>61.732883237999999</v>
      </c>
      <c r="AK71" s="231">
        <v>4.1683824852619464</v>
      </c>
      <c r="AL71" s="245">
        <v>250.93281632099999</v>
      </c>
      <c r="AM71" s="245">
        <v>58.903255088999998</v>
      </c>
      <c r="AN71" s="231">
        <v>4.2600840300226617</v>
      </c>
      <c r="AO71" s="245">
        <v>245.87196031400001</v>
      </c>
      <c r="AP71" s="245">
        <v>56.919941166999998</v>
      </c>
      <c r="AQ71" s="231">
        <v>4.3196102327763324</v>
      </c>
      <c r="AR71" s="245">
        <v>242.751323907</v>
      </c>
      <c r="AS71" s="245">
        <v>54.618483023000003</v>
      </c>
      <c r="AT71" s="231">
        <v>4.4444904082154153</v>
      </c>
      <c r="AU71" s="245">
        <v>238.97164007699999</v>
      </c>
      <c r="AV71" s="245">
        <v>52.692545023000001</v>
      </c>
      <c r="AW71" s="231">
        <v>4.5352077788744154</v>
      </c>
      <c r="AX71" s="245">
        <v>233.04992854</v>
      </c>
      <c r="AY71" s="245">
        <v>50.942309186999999</v>
      </c>
      <c r="AZ71" s="231">
        <v>4.5747813999659082</v>
      </c>
    </row>
    <row r="72" spans="1:52" s="141" customFormat="1">
      <c r="A72" s="200" t="s">
        <v>383</v>
      </c>
      <c r="B72" s="201" t="s">
        <v>254</v>
      </c>
      <c r="C72" s="201" t="s">
        <v>271</v>
      </c>
      <c r="D72" s="202" t="s">
        <v>284</v>
      </c>
      <c r="E72" s="245" t="e">
        <v>#N/A</v>
      </c>
      <c r="F72" s="243">
        <v>6.3415765830000002</v>
      </c>
      <c r="G72" s="231" t="e">
        <v>#N/A</v>
      </c>
      <c r="H72" s="245">
        <v>20.176806136</v>
      </c>
      <c r="I72" s="243">
        <v>6.2000559900000001</v>
      </c>
      <c r="J72" s="231">
        <v>3.2542941819465732</v>
      </c>
      <c r="K72" s="245">
        <v>20.748672099</v>
      </c>
      <c r="L72" s="243">
        <v>6.0468363209999998</v>
      </c>
      <c r="M72" s="231">
        <v>3.4313268951802343</v>
      </c>
      <c r="N72" s="245">
        <v>20.280637361</v>
      </c>
      <c r="O72" s="243">
        <v>5.8933607380000002</v>
      </c>
      <c r="P72" s="231">
        <v>3.4412686177908292</v>
      </c>
      <c r="Q72" s="245">
        <v>20.769973149999998</v>
      </c>
      <c r="R72" s="243">
        <v>5.7934248159999999</v>
      </c>
      <c r="S72" s="231">
        <v>3.5850941040329882</v>
      </c>
      <c r="T72" s="245">
        <v>20.904112220999998</v>
      </c>
      <c r="U72" s="243">
        <v>5.7716884500000001</v>
      </c>
      <c r="V72" s="231">
        <v>3.6218365565105994</v>
      </c>
      <c r="W72" s="245">
        <v>20.807488864</v>
      </c>
      <c r="X72" s="243">
        <v>5.6256677850000001</v>
      </c>
      <c r="Y72" s="231">
        <v>3.6986700351343265</v>
      </c>
      <c r="Z72" s="245">
        <v>20.595196729000001</v>
      </c>
      <c r="AA72" s="243">
        <v>5.5796021470000001</v>
      </c>
      <c r="AB72" s="231">
        <v>3.6911586500972073</v>
      </c>
      <c r="AC72" s="245">
        <v>20.967427136000001</v>
      </c>
      <c r="AD72" s="243">
        <v>5.5861893829999998</v>
      </c>
      <c r="AE72" s="231">
        <v>3.7534400820366893</v>
      </c>
      <c r="AF72" s="245">
        <v>21.193558109000001</v>
      </c>
      <c r="AG72" s="243">
        <v>5.459917066</v>
      </c>
      <c r="AH72" s="231">
        <v>3.881663009311358</v>
      </c>
      <c r="AI72" s="245">
        <v>21.699743390999998</v>
      </c>
      <c r="AJ72" s="245">
        <v>5.5328046200000003</v>
      </c>
      <c r="AK72" s="231">
        <v>3.9220151227751101</v>
      </c>
      <c r="AL72" s="245">
        <v>21.801265206</v>
      </c>
      <c r="AM72" s="245">
        <v>5.6604155509999998</v>
      </c>
      <c r="AN72" s="231">
        <v>3.851530865458892</v>
      </c>
      <c r="AO72" s="245">
        <v>22.105937906000001</v>
      </c>
      <c r="AP72" s="245">
        <v>5.6416088569999996</v>
      </c>
      <c r="AQ72" s="231">
        <v>3.9183747874635761</v>
      </c>
      <c r="AR72" s="245">
        <v>22.116317160000001</v>
      </c>
      <c r="AS72" s="245">
        <v>5.4700638890000004</v>
      </c>
      <c r="AT72" s="231">
        <v>4.043155182241053</v>
      </c>
      <c r="AU72" s="245">
        <v>21.961653729999998</v>
      </c>
      <c r="AV72" s="245">
        <v>5.5382418319999998</v>
      </c>
      <c r="AW72" s="231">
        <v>3.965455896690067</v>
      </c>
      <c r="AX72" s="245">
        <v>21.775746038000001</v>
      </c>
      <c r="AY72" s="245">
        <v>5.4737352760000002</v>
      </c>
      <c r="AZ72" s="231">
        <v>3.9782241814793968</v>
      </c>
    </row>
    <row r="73" spans="1:52" s="141" customFormat="1">
      <c r="A73" s="200" t="s">
        <v>384</v>
      </c>
      <c r="B73" s="201" t="s">
        <v>254</v>
      </c>
      <c r="C73" s="201" t="s">
        <v>271</v>
      </c>
      <c r="D73" s="202" t="s">
        <v>108</v>
      </c>
      <c r="E73" s="245" t="e">
        <v>#N/A</v>
      </c>
      <c r="F73" s="243">
        <v>6.2088119190000004</v>
      </c>
      <c r="G73" s="231" t="e">
        <v>#N/A</v>
      </c>
      <c r="H73" s="245">
        <v>17.339354820000001</v>
      </c>
      <c r="I73" s="243">
        <v>6.1226901290000004</v>
      </c>
      <c r="J73" s="231">
        <v>2.8319830751963897</v>
      </c>
      <c r="K73" s="245">
        <v>17.858246203</v>
      </c>
      <c r="L73" s="243">
        <v>6.2452964880000001</v>
      </c>
      <c r="M73" s="231">
        <v>2.8594713217080496</v>
      </c>
      <c r="N73" s="245">
        <v>18.182668370999998</v>
      </c>
      <c r="O73" s="243">
        <v>6.2795595659999996</v>
      </c>
      <c r="P73" s="231">
        <v>2.8955324302436911</v>
      </c>
      <c r="Q73" s="245">
        <v>18.135849951000001</v>
      </c>
      <c r="R73" s="243">
        <v>6.2212287039999996</v>
      </c>
      <c r="S73" s="231">
        <v>2.9151556410937567</v>
      </c>
      <c r="T73" s="245">
        <v>18.199908270000002</v>
      </c>
      <c r="U73" s="243">
        <v>6.2264148590000001</v>
      </c>
      <c r="V73" s="231">
        <v>2.9230156811174988</v>
      </c>
      <c r="W73" s="245">
        <v>19.535146259000001</v>
      </c>
      <c r="X73" s="243">
        <v>6.3296298059999998</v>
      </c>
      <c r="Y73" s="231">
        <v>3.0863015464952142</v>
      </c>
      <c r="Z73" s="245">
        <v>20.052756955</v>
      </c>
      <c r="AA73" s="243">
        <v>6.1890981480000002</v>
      </c>
      <c r="AB73" s="231">
        <v>3.2400127571866064</v>
      </c>
      <c r="AC73" s="245">
        <v>20.364368373000001</v>
      </c>
      <c r="AD73" s="243">
        <v>6.158060914</v>
      </c>
      <c r="AE73" s="231">
        <v>3.3069449389015904</v>
      </c>
      <c r="AF73" s="245">
        <v>20.899480008000001</v>
      </c>
      <c r="AG73" s="243">
        <v>6.1052400369999997</v>
      </c>
      <c r="AH73" s="231">
        <v>3.42320365478531</v>
      </c>
      <c r="AI73" s="245">
        <v>22.104865343</v>
      </c>
      <c r="AJ73" s="245">
        <v>6.0738924269999996</v>
      </c>
      <c r="AK73" s="231">
        <v>3.6393244708678476</v>
      </c>
      <c r="AL73" s="245">
        <v>21.661449275999999</v>
      </c>
      <c r="AM73" s="245">
        <v>5.9695554460000002</v>
      </c>
      <c r="AN73" s="231">
        <v>3.6286536697660816</v>
      </c>
      <c r="AO73" s="245">
        <v>22.483915693</v>
      </c>
      <c r="AP73" s="245">
        <v>5.9947286249999996</v>
      </c>
      <c r="AQ73" s="231">
        <v>3.750614431358017</v>
      </c>
      <c r="AR73" s="245">
        <v>24.216788491999999</v>
      </c>
      <c r="AS73" s="245">
        <v>5.917762025</v>
      </c>
      <c r="AT73" s="231">
        <v>4.0922207398159101</v>
      </c>
      <c r="AU73" s="245">
        <v>25.322344613999999</v>
      </c>
      <c r="AV73" s="245">
        <v>5.8993015399999997</v>
      </c>
      <c r="AW73" s="231">
        <v>4.2924309670056298</v>
      </c>
      <c r="AX73" s="245">
        <v>25.692784057000001</v>
      </c>
      <c r="AY73" s="245">
        <v>5.7201727580000004</v>
      </c>
      <c r="AZ73" s="231">
        <v>4.4916098069008701</v>
      </c>
    </row>
    <row r="74" spans="1:52" s="141" customFormat="1">
      <c r="A74" s="200" t="s">
        <v>385</v>
      </c>
      <c r="B74" s="201" t="s">
        <v>254</v>
      </c>
      <c r="C74" s="201" t="s">
        <v>271</v>
      </c>
      <c r="D74" s="202" t="s">
        <v>109</v>
      </c>
      <c r="E74" s="245" t="e">
        <v>#N/A</v>
      </c>
      <c r="F74" s="243">
        <v>3.4084131809999998</v>
      </c>
      <c r="G74" s="231" t="e">
        <v>#N/A</v>
      </c>
      <c r="H74" s="245">
        <v>4.7604365079999997</v>
      </c>
      <c r="I74" s="243">
        <v>3.3691360910000001</v>
      </c>
      <c r="J74" s="231">
        <v>1.4129546505160748</v>
      </c>
      <c r="K74" s="245">
        <v>5.0120112890000001</v>
      </c>
      <c r="L74" s="243">
        <v>3.3497280489999999</v>
      </c>
      <c r="M74" s="231">
        <v>1.4962442370497044</v>
      </c>
      <c r="N74" s="245">
        <v>4.9490167090000003</v>
      </c>
      <c r="O74" s="243">
        <v>3.3155284699999998</v>
      </c>
      <c r="P74" s="231">
        <v>1.4926780915260851</v>
      </c>
      <c r="Q74" s="245">
        <v>5.0409111209999997</v>
      </c>
      <c r="R74" s="243">
        <v>3.3254973109999999</v>
      </c>
      <c r="S74" s="231">
        <v>1.5158367755480648</v>
      </c>
      <c r="T74" s="245">
        <v>4.8834525749999997</v>
      </c>
      <c r="U74" s="243">
        <v>3.3001887060000001</v>
      </c>
      <c r="V74" s="231">
        <v>1.4797494961792648</v>
      </c>
      <c r="W74" s="245">
        <v>4.7359840809999998</v>
      </c>
      <c r="X74" s="243">
        <v>3.2751434019999999</v>
      </c>
      <c r="Y74" s="231">
        <v>1.446038691957098</v>
      </c>
      <c r="Z74" s="245">
        <v>4.6749277899999999</v>
      </c>
      <c r="AA74" s="243">
        <v>3.251741</v>
      </c>
      <c r="AB74" s="231">
        <v>1.4376691716837227</v>
      </c>
      <c r="AC74" s="245">
        <v>4.8450536980000001</v>
      </c>
      <c r="AD74" s="243">
        <v>3.249082274</v>
      </c>
      <c r="AE74" s="231">
        <v>1.4912068360876478</v>
      </c>
      <c r="AF74" s="245">
        <v>4.9177804409999997</v>
      </c>
      <c r="AG74" s="243">
        <v>3.1876122640000002</v>
      </c>
      <c r="AH74" s="231">
        <v>1.5427787427410899</v>
      </c>
      <c r="AI74" s="245">
        <v>4.7888622720000003</v>
      </c>
      <c r="AJ74" s="245">
        <v>3.1794537420000002</v>
      </c>
      <c r="AK74" s="231">
        <v>1.5061902643023262</v>
      </c>
      <c r="AL74" s="245">
        <v>4.7671633819999997</v>
      </c>
      <c r="AM74" s="245">
        <v>3.1362753460000001</v>
      </c>
      <c r="AN74" s="231">
        <v>1.5200079253500594</v>
      </c>
      <c r="AO74" s="245">
        <v>4.638910461</v>
      </c>
      <c r="AP74" s="245">
        <v>3.0463200910000001</v>
      </c>
      <c r="AQ74" s="231">
        <v>1.5227915394397076</v>
      </c>
      <c r="AR74" s="245">
        <v>4.6157349830000003</v>
      </c>
      <c r="AS74" s="245">
        <v>3.0104016580000001</v>
      </c>
      <c r="AT74" s="231">
        <v>1.5332621714228407</v>
      </c>
      <c r="AU74" s="245">
        <v>4.3379547589999996</v>
      </c>
      <c r="AV74" s="245">
        <v>3.0086680210000001</v>
      </c>
      <c r="AW74" s="231">
        <v>1.4418190138366214</v>
      </c>
      <c r="AX74" s="245">
        <v>4.3393071230000002</v>
      </c>
      <c r="AY74" s="245">
        <v>2.9802758360000001</v>
      </c>
      <c r="AZ74" s="231">
        <v>1.4560085581957523</v>
      </c>
    </row>
    <row r="75" spans="1:52" s="141" customFormat="1">
      <c r="A75" s="200" t="s">
        <v>386</v>
      </c>
      <c r="B75" s="201" t="s">
        <v>254</v>
      </c>
      <c r="C75" s="201" t="s">
        <v>271</v>
      </c>
      <c r="D75" s="202" t="s">
        <v>285</v>
      </c>
      <c r="E75" s="245" t="e">
        <v>#N/A</v>
      </c>
      <c r="F75" s="243">
        <v>0.78847044899999996</v>
      </c>
      <c r="G75" s="231" t="e">
        <v>#N/A</v>
      </c>
      <c r="H75" s="245">
        <v>2.7847199759999999</v>
      </c>
      <c r="I75" s="243">
        <v>0.73475281400000003</v>
      </c>
      <c r="J75" s="231">
        <v>3.7900092697025038</v>
      </c>
      <c r="K75" s="245">
        <v>2.767841405</v>
      </c>
      <c r="L75" s="243">
        <v>0.71326644500000003</v>
      </c>
      <c r="M75" s="231">
        <v>3.8805153731856823</v>
      </c>
      <c r="N75" s="245">
        <v>2.627330648</v>
      </c>
      <c r="O75" s="243">
        <v>0.68029182099999996</v>
      </c>
      <c r="P75" s="231">
        <v>3.8620641420294248</v>
      </c>
      <c r="Q75" s="245">
        <v>2.7658023439999999</v>
      </c>
      <c r="R75" s="243">
        <v>0.64659697900000002</v>
      </c>
      <c r="S75" s="231">
        <v>4.2774748936771632</v>
      </c>
      <c r="T75" s="245">
        <v>2.8571279920000001</v>
      </c>
      <c r="U75" s="243">
        <v>0.58482730100000002</v>
      </c>
      <c r="V75" s="231">
        <v>4.8854217084506457</v>
      </c>
      <c r="W75" s="245">
        <v>2.9021764989999999</v>
      </c>
      <c r="X75" s="243">
        <v>0.56172144499999999</v>
      </c>
      <c r="Y75" s="231">
        <v>5.1665759333792209</v>
      </c>
      <c r="Z75" s="245">
        <v>2.9802317509999998</v>
      </c>
      <c r="AA75" s="243">
        <v>0.54364221099999999</v>
      </c>
      <c r="AB75" s="231">
        <v>5.4819726847884516</v>
      </c>
      <c r="AC75" s="245">
        <v>2.9648165089999998</v>
      </c>
      <c r="AD75" s="243">
        <v>0.506804272</v>
      </c>
      <c r="AE75" s="231">
        <v>5.8500227263277687</v>
      </c>
      <c r="AF75" s="245">
        <v>2.9601496809999999</v>
      </c>
      <c r="AG75" s="243">
        <v>0.49047201299999998</v>
      </c>
      <c r="AH75" s="231">
        <v>6.0353080349968922</v>
      </c>
      <c r="AI75" s="245">
        <v>2.9669623010000001</v>
      </c>
      <c r="AJ75" s="245">
        <v>0.51555103400000002</v>
      </c>
      <c r="AK75" s="231">
        <v>5.7549342457530601</v>
      </c>
      <c r="AL75" s="245">
        <v>3.0399569789999998</v>
      </c>
      <c r="AM75" s="245">
        <v>0.52368536600000004</v>
      </c>
      <c r="AN75" s="231">
        <v>5.8049301667902622</v>
      </c>
      <c r="AO75" s="245">
        <v>3.1584094</v>
      </c>
      <c r="AP75" s="245">
        <v>0.50157917100000005</v>
      </c>
      <c r="AQ75" s="231">
        <v>6.2969309385456915</v>
      </c>
      <c r="AR75" s="245">
        <v>3.3821821559999998</v>
      </c>
      <c r="AS75" s="245">
        <v>0.48344656200000002</v>
      </c>
      <c r="AT75" s="231">
        <v>6.9959793322514097</v>
      </c>
      <c r="AU75" s="245">
        <v>3.4011383639999999</v>
      </c>
      <c r="AV75" s="245">
        <v>0.48577004800000001</v>
      </c>
      <c r="AW75" s="231">
        <v>7.0015398808614888</v>
      </c>
      <c r="AX75" s="245">
        <v>3.3539319989999998</v>
      </c>
      <c r="AY75" s="245">
        <v>0.44687500400000002</v>
      </c>
      <c r="AZ75" s="231">
        <v>7.5053023082042865</v>
      </c>
    </row>
    <row r="76" spans="1:52" s="141" customFormat="1">
      <c r="A76" s="200" t="s">
        <v>387</v>
      </c>
      <c r="B76" s="201" t="s">
        <v>254</v>
      </c>
      <c r="C76" s="201" t="s">
        <v>271</v>
      </c>
      <c r="D76" s="202" t="s">
        <v>286</v>
      </c>
      <c r="E76" s="245" t="e">
        <v>#N/A</v>
      </c>
      <c r="F76" s="243">
        <v>7.277979416</v>
      </c>
      <c r="G76" s="231" t="e">
        <v>#N/A</v>
      </c>
      <c r="H76" s="245">
        <v>19.567105859000002</v>
      </c>
      <c r="I76" s="243">
        <v>7.4980511490000001</v>
      </c>
      <c r="J76" s="231">
        <v>2.6096255507152186</v>
      </c>
      <c r="K76" s="245">
        <v>20.419586580000001</v>
      </c>
      <c r="L76" s="243">
        <v>7.7477877160000004</v>
      </c>
      <c r="M76" s="231">
        <v>2.6355376952096141</v>
      </c>
      <c r="N76" s="245">
        <v>20.280050611</v>
      </c>
      <c r="O76" s="243">
        <v>7.7432012200000004</v>
      </c>
      <c r="P76" s="231">
        <v>2.6190783417352543</v>
      </c>
      <c r="Q76" s="245">
        <v>19.919079794999998</v>
      </c>
      <c r="R76" s="243">
        <v>7.845299024</v>
      </c>
      <c r="S76" s="231">
        <v>2.5389828652884243</v>
      </c>
      <c r="T76" s="245">
        <v>19.062626705</v>
      </c>
      <c r="U76" s="243">
        <v>7.6272913840000003</v>
      </c>
      <c r="V76" s="231">
        <v>2.4992655643113686</v>
      </c>
      <c r="W76" s="245">
        <v>18.939964644</v>
      </c>
      <c r="X76" s="243">
        <v>7.4375475489999996</v>
      </c>
      <c r="Y76" s="231">
        <v>2.5465335877478235</v>
      </c>
      <c r="Z76" s="245">
        <v>17.965962636</v>
      </c>
      <c r="AA76" s="243">
        <v>7.1325550250000003</v>
      </c>
      <c r="AB76" s="231">
        <v>2.5188677231410495</v>
      </c>
      <c r="AC76" s="245">
        <v>18.358946069999998</v>
      </c>
      <c r="AD76" s="243">
        <v>6.7986972010000004</v>
      </c>
      <c r="AE76" s="231">
        <v>2.70036236755766</v>
      </c>
      <c r="AF76" s="245">
        <v>19.132755385999999</v>
      </c>
      <c r="AG76" s="243">
        <v>6.5562535979999996</v>
      </c>
      <c r="AH76" s="231">
        <v>2.9182451685268078</v>
      </c>
      <c r="AI76" s="245">
        <v>19.484326424999999</v>
      </c>
      <c r="AJ76" s="245">
        <v>6.4547372660000004</v>
      </c>
      <c r="AK76" s="231">
        <v>3.0186087554070862</v>
      </c>
      <c r="AL76" s="245">
        <v>19.656995379000001</v>
      </c>
      <c r="AM76" s="245">
        <v>6.2647803919999996</v>
      </c>
      <c r="AN76" s="231">
        <v>3.1376990331698771</v>
      </c>
      <c r="AO76" s="245">
        <v>19.544477169</v>
      </c>
      <c r="AP76" s="245">
        <v>6.0447005320000002</v>
      </c>
      <c r="AQ76" s="231">
        <v>3.2333243087120067</v>
      </c>
      <c r="AR76" s="245">
        <v>19.338673845999999</v>
      </c>
      <c r="AS76" s="245">
        <v>5.961974165</v>
      </c>
      <c r="AT76" s="231">
        <v>3.2436695146262848</v>
      </c>
      <c r="AU76" s="245">
        <v>18.729445018</v>
      </c>
      <c r="AV76" s="245">
        <v>5.9527277349999999</v>
      </c>
      <c r="AW76" s="231">
        <v>3.1463634575250738</v>
      </c>
      <c r="AX76" s="245">
        <v>19.097089891</v>
      </c>
      <c r="AY76" s="245">
        <v>5.9005298469999996</v>
      </c>
      <c r="AZ76" s="231">
        <v>3.2365042438874387</v>
      </c>
    </row>
    <row r="77" spans="1:52" s="141" customFormat="1">
      <c r="A77" s="200" t="s">
        <v>388</v>
      </c>
      <c r="B77" s="201" t="s">
        <v>254</v>
      </c>
      <c r="C77" s="201" t="s">
        <v>271</v>
      </c>
      <c r="D77" s="202" t="s">
        <v>110</v>
      </c>
      <c r="E77" s="245" t="e">
        <v>#N/A</v>
      </c>
      <c r="F77" s="243">
        <v>9.4685318879999993</v>
      </c>
      <c r="G77" s="231" t="e">
        <v>#N/A</v>
      </c>
      <c r="H77" s="245">
        <v>13.868093448</v>
      </c>
      <c r="I77" s="243">
        <v>9.4755982880000005</v>
      </c>
      <c r="J77" s="231">
        <v>1.4635586088070769</v>
      </c>
      <c r="K77" s="245">
        <v>14.04515724</v>
      </c>
      <c r="L77" s="243">
        <v>9.4513409199999998</v>
      </c>
      <c r="M77" s="231">
        <v>1.4860491605248327</v>
      </c>
      <c r="N77" s="245">
        <v>13.682650755999999</v>
      </c>
      <c r="O77" s="243">
        <v>9.4808559940000006</v>
      </c>
      <c r="P77" s="231">
        <v>1.4431872780958936</v>
      </c>
      <c r="Q77" s="245">
        <v>14.081477651</v>
      </c>
      <c r="R77" s="243">
        <v>9.3108275079999991</v>
      </c>
      <c r="S77" s="231">
        <v>1.5123766001358083</v>
      </c>
      <c r="T77" s="245">
        <v>13.477037836999999</v>
      </c>
      <c r="U77" s="243">
        <v>9.1762794109999994</v>
      </c>
      <c r="V77" s="231">
        <v>1.4686821568275805</v>
      </c>
      <c r="W77" s="245">
        <v>13.68149414</v>
      </c>
      <c r="X77" s="243">
        <v>9.0028670480000006</v>
      </c>
      <c r="Y77" s="231">
        <v>1.5196819043372813</v>
      </c>
      <c r="Z77" s="245">
        <v>13.669067930000001</v>
      </c>
      <c r="AA77" s="243">
        <v>8.8185980829999995</v>
      </c>
      <c r="AB77" s="231">
        <v>1.5500273174202672</v>
      </c>
      <c r="AC77" s="245">
        <v>13.949537475</v>
      </c>
      <c r="AD77" s="243">
        <v>8.6155252170000001</v>
      </c>
      <c r="AE77" s="231">
        <v>1.6191163189302751</v>
      </c>
      <c r="AF77" s="245">
        <v>13.980557047</v>
      </c>
      <c r="AG77" s="243">
        <v>8.5072409310000001</v>
      </c>
      <c r="AH77" s="231">
        <v>1.6433714714785477</v>
      </c>
      <c r="AI77" s="245">
        <v>14.726334786000001</v>
      </c>
      <c r="AJ77" s="245">
        <v>8.3652134650000001</v>
      </c>
      <c r="AK77" s="231">
        <v>1.7604254628545812</v>
      </c>
      <c r="AL77" s="245">
        <v>14.724355757</v>
      </c>
      <c r="AM77" s="245">
        <v>8.2799304019999997</v>
      </c>
      <c r="AN77" s="231">
        <v>1.7783187831438005</v>
      </c>
      <c r="AO77" s="245">
        <v>14.746448296000001</v>
      </c>
      <c r="AP77" s="245">
        <v>8.1780945710000008</v>
      </c>
      <c r="AQ77" s="231">
        <v>1.8031643151073069</v>
      </c>
      <c r="AR77" s="245">
        <v>14.977402274999999</v>
      </c>
      <c r="AS77" s="245">
        <v>8.0853641140000008</v>
      </c>
      <c r="AT77" s="231">
        <v>1.8524091263949722</v>
      </c>
      <c r="AU77" s="245">
        <v>14.740386462</v>
      </c>
      <c r="AV77" s="245">
        <v>7.9406432379999998</v>
      </c>
      <c r="AW77" s="231">
        <v>1.8563214616493264</v>
      </c>
      <c r="AX77" s="245">
        <v>15.128208538999999</v>
      </c>
      <c r="AY77" s="245">
        <v>7.8932680819999996</v>
      </c>
      <c r="AZ77" s="231">
        <v>1.9165963174998115</v>
      </c>
    </row>
    <row r="78" spans="1:52" s="141" customFormat="1">
      <c r="A78" s="200" t="s">
        <v>389</v>
      </c>
      <c r="B78" s="201" t="s">
        <v>254</v>
      </c>
      <c r="C78" s="201" t="s">
        <v>271</v>
      </c>
      <c r="D78" s="202" t="s">
        <v>111</v>
      </c>
      <c r="E78" s="245" t="e">
        <v>#N/A</v>
      </c>
      <c r="F78" s="243">
        <v>9.7036802560000002</v>
      </c>
      <c r="G78" s="231" t="e">
        <v>#N/A</v>
      </c>
      <c r="H78" s="245">
        <v>13.488717512999999</v>
      </c>
      <c r="I78" s="243">
        <v>9.7230062910000008</v>
      </c>
      <c r="J78" s="231">
        <v>1.3872990625837289</v>
      </c>
      <c r="K78" s="245">
        <v>13.443489964999999</v>
      </c>
      <c r="L78" s="243">
        <v>9.6799844319999995</v>
      </c>
      <c r="M78" s="231">
        <v>1.3887925191861508</v>
      </c>
      <c r="N78" s="245">
        <v>13.332909776999999</v>
      </c>
      <c r="O78" s="243">
        <v>9.6015340840000007</v>
      </c>
      <c r="P78" s="231">
        <v>1.3886228659249322</v>
      </c>
      <c r="Q78" s="245">
        <v>13.725998263999999</v>
      </c>
      <c r="R78" s="243">
        <v>9.4330601240000007</v>
      </c>
      <c r="S78" s="231">
        <v>1.4550949621404108</v>
      </c>
      <c r="T78" s="245">
        <v>13.820587515</v>
      </c>
      <c r="U78" s="243">
        <v>9.2977006079999995</v>
      </c>
      <c r="V78" s="231">
        <v>1.486452199063969</v>
      </c>
      <c r="W78" s="245">
        <v>13.788162016999999</v>
      </c>
      <c r="X78" s="243">
        <v>9.0440432079999997</v>
      </c>
      <c r="Y78" s="231">
        <v>1.5245572914560539</v>
      </c>
      <c r="Z78" s="245">
        <v>13.523438057</v>
      </c>
      <c r="AA78" s="243">
        <v>8.9781632770000002</v>
      </c>
      <c r="AB78" s="231">
        <v>1.5062588682970328</v>
      </c>
      <c r="AC78" s="245">
        <v>13.710861838</v>
      </c>
      <c r="AD78" s="243">
        <v>8.7998352119999996</v>
      </c>
      <c r="AE78" s="231">
        <v>1.5580816580863945</v>
      </c>
      <c r="AF78" s="245">
        <v>14.282080783</v>
      </c>
      <c r="AG78" s="243">
        <v>8.8351563350000006</v>
      </c>
      <c r="AH78" s="231">
        <v>1.6165057234383389</v>
      </c>
      <c r="AI78" s="245">
        <v>13.878355490000001</v>
      </c>
      <c r="AJ78" s="245">
        <v>8.6369428169999996</v>
      </c>
      <c r="AK78" s="231">
        <v>1.6068597169224492</v>
      </c>
      <c r="AL78" s="245">
        <v>13.944181486</v>
      </c>
      <c r="AM78" s="245">
        <v>8.6476328000000002</v>
      </c>
      <c r="AN78" s="231">
        <v>1.6124853828206025</v>
      </c>
      <c r="AO78" s="245">
        <v>14.018341928</v>
      </c>
      <c r="AP78" s="245">
        <v>8.4813742849999993</v>
      </c>
      <c r="AQ78" s="231">
        <v>1.6528384972695496</v>
      </c>
      <c r="AR78" s="245">
        <v>13.934307243999999</v>
      </c>
      <c r="AS78" s="245">
        <v>8.5251000660000003</v>
      </c>
      <c r="AT78" s="231">
        <v>1.634503658153307</v>
      </c>
      <c r="AU78" s="245">
        <v>13.450199624</v>
      </c>
      <c r="AV78" s="245">
        <v>8.3675166149999995</v>
      </c>
      <c r="AW78" s="231">
        <v>1.6074302858136602</v>
      </c>
      <c r="AX78" s="245">
        <v>13.503148619999999</v>
      </c>
      <c r="AY78" s="245">
        <v>8.2149920979999997</v>
      </c>
      <c r="AZ78" s="231">
        <v>1.643720220167642</v>
      </c>
    </row>
    <row r="79" spans="1:52" s="141" customFormat="1" ht="12">
      <c r="A79" s="200"/>
      <c r="B79" s="201"/>
      <c r="C79" s="201"/>
      <c r="D79" s="201"/>
      <c r="E79" s="221"/>
      <c r="F79" s="221"/>
      <c r="G79" s="236"/>
      <c r="H79" s="221"/>
      <c r="I79" s="221"/>
      <c r="J79" s="236"/>
      <c r="K79" s="221"/>
      <c r="L79" s="221"/>
      <c r="M79" s="236"/>
      <c r="N79" s="221"/>
      <c r="O79" s="221"/>
      <c r="P79" s="236"/>
      <c r="Q79" s="221"/>
      <c r="R79" s="221"/>
      <c r="S79" s="236"/>
      <c r="T79" s="221"/>
      <c r="U79" s="221"/>
      <c r="V79" s="231"/>
      <c r="W79" s="221"/>
      <c r="X79" s="221"/>
      <c r="Y79" s="231"/>
      <c r="Z79" s="221"/>
      <c r="AA79" s="221"/>
      <c r="AB79" s="231"/>
      <c r="AC79" s="221"/>
      <c r="AD79" s="221"/>
      <c r="AE79" s="231"/>
      <c r="AF79" s="221"/>
      <c r="AG79" s="221"/>
      <c r="AH79" s="231"/>
    </row>
    <row r="80" spans="1:52" s="141" customFormat="1" ht="12">
      <c r="A80" s="200"/>
      <c r="B80" s="201"/>
      <c r="C80" s="201"/>
      <c r="D80" s="201"/>
      <c r="E80" s="221"/>
      <c r="F80" s="221"/>
      <c r="G80" s="236"/>
      <c r="H80" s="221"/>
      <c r="I80" s="221"/>
      <c r="J80" s="236"/>
      <c r="K80" s="221"/>
      <c r="L80" s="221"/>
      <c r="M80" s="236"/>
      <c r="N80" s="221"/>
      <c r="O80" s="221"/>
      <c r="P80" s="236"/>
      <c r="Q80" s="221"/>
      <c r="R80" s="221"/>
      <c r="S80" s="236"/>
      <c r="T80" s="221"/>
      <c r="U80" s="221"/>
      <c r="V80" s="231"/>
      <c r="W80" s="221"/>
      <c r="X80" s="221"/>
      <c r="Y80" s="231"/>
      <c r="Z80" s="221"/>
      <c r="AA80" s="221"/>
      <c r="AB80" s="231"/>
      <c r="AC80" s="221"/>
      <c r="AD80" s="221"/>
      <c r="AE80" s="231"/>
      <c r="AF80" s="221"/>
      <c r="AG80" s="221"/>
      <c r="AH80" s="231"/>
    </row>
    <row r="81" spans="1:52" s="141" customFormat="1" ht="12">
      <c r="A81" s="200"/>
      <c r="B81" s="201"/>
      <c r="C81" s="201"/>
      <c r="D81" s="201" t="s">
        <v>288</v>
      </c>
      <c r="E81" s="221"/>
      <c r="F81" s="221"/>
      <c r="G81" s="236"/>
      <c r="H81" s="221"/>
      <c r="I81" s="221"/>
      <c r="J81" s="236"/>
      <c r="K81" s="221"/>
      <c r="L81" s="221"/>
      <c r="M81" s="236"/>
      <c r="N81" s="221"/>
      <c r="O81" s="221"/>
      <c r="P81" s="236"/>
      <c r="Q81" s="221"/>
      <c r="R81" s="221"/>
      <c r="S81" s="236"/>
      <c r="T81" s="221"/>
      <c r="U81" s="221"/>
      <c r="V81" s="231"/>
      <c r="W81" s="221"/>
      <c r="X81" s="221"/>
      <c r="Y81" s="231"/>
      <c r="Z81" s="221"/>
      <c r="AA81" s="221"/>
      <c r="AB81" s="231"/>
      <c r="AC81" s="221"/>
      <c r="AD81" s="221"/>
      <c r="AE81" s="231"/>
      <c r="AF81" s="221"/>
      <c r="AG81" s="221"/>
      <c r="AH81" s="231"/>
    </row>
    <row r="82" spans="1:52" s="141" customFormat="1">
      <c r="A82" s="200"/>
      <c r="B82" s="201"/>
      <c r="C82" s="201"/>
      <c r="D82" s="201" t="s">
        <v>290</v>
      </c>
      <c r="E82" s="218"/>
      <c r="F82" s="218"/>
      <c r="G82" s="232"/>
      <c r="H82" s="218"/>
      <c r="I82" s="218"/>
      <c r="J82" s="232"/>
      <c r="K82" s="218"/>
      <c r="L82" s="218"/>
      <c r="M82" s="232"/>
      <c r="N82" s="218"/>
      <c r="O82" s="218"/>
      <c r="P82" s="232"/>
      <c r="Q82" s="218"/>
      <c r="R82" s="218"/>
      <c r="S82" s="232"/>
      <c r="T82" s="218"/>
      <c r="U82" s="218"/>
      <c r="V82" s="232"/>
      <c r="W82" s="218"/>
      <c r="X82" s="218"/>
      <c r="Y82" s="232"/>
      <c r="Z82" s="218"/>
      <c r="AA82" s="218"/>
      <c r="AB82" s="232"/>
      <c r="AC82" s="218"/>
      <c r="AD82" s="218"/>
      <c r="AE82" s="232"/>
      <c r="AF82" s="218"/>
      <c r="AG82" s="218"/>
      <c r="AH82" s="232"/>
    </row>
    <row r="83" spans="1:52" s="141" customFormat="1" ht="12">
      <c r="A83" s="200"/>
      <c r="B83" s="201"/>
      <c r="C83" s="201"/>
      <c r="D83" s="201" t="s">
        <v>269</v>
      </c>
      <c r="E83" s="221"/>
      <c r="F83" s="221"/>
      <c r="G83" s="236"/>
      <c r="H83" s="221"/>
      <c r="I83" s="221"/>
      <c r="J83" s="236"/>
      <c r="K83" s="221"/>
      <c r="L83" s="221"/>
      <c r="M83" s="236"/>
      <c r="N83" s="221"/>
      <c r="O83" s="221"/>
      <c r="P83" s="236"/>
      <c r="Q83" s="221"/>
      <c r="R83" s="221"/>
      <c r="S83" s="236"/>
      <c r="T83" s="221"/>
      <c r="U83" s="221"/>
      <c r="V83" s="236"/>
      <c r="W83" s="221"/>
      <c r="X83" s="221"/>
      <c r="Y83" s="236"/>
      <c r="Z83" s="221"/>
      <c r="AA83" s="221"/>
      <c r="AB83" s="236"/>
      <c r="AC83" s="221"/>
      <c r="AD83" s="221"/>
      <c r="AE83" s="236"/>
      <c r="AF83" s="221"/>
      <c r="AG83" s="221"/>
      <c r="AH83" s="236"/>
    </row>
    <row r="84" spans="1:52" s="141" customFormat="1" ht="12">
      <c r="A84" s="200"/>
      <c r="B84" s="201"/>
      <c r="C84" s="201"/>
      <c r="D84" s="201" t="s">
        <v>270</v>
      </c>
      <c r="E84" s="221"/>
      <c r="F84" s="221"/>
      <c r="G84" s="236"/>
      <c r="H84" s="221"/>
      <c r="I84" s="221"/>
      <c r="J84" s="236"/>
      <c r="K84" s="221"/>
      <c r="L84" s="221"/>
      <c r="M84" s="236"/>
      <c r="N84" s="221"/>
      <c r="O84" s="221"/>
      <c r="P84" s="236"/>
      <c r="Q84" s="221"/>
      <c r="R84" s="221"/>
      <c r="S84" s="236"/>
      <c r="T84" s="221"/>
      <c r="U84" s="221"/>
      <c r="V84" s="236"/>
      <c r="W84" s="221"/>
      <c r="X84" s="221"/>
      <c r="Y84" s="236"/>
      <c r="Z84" s="221"/>
      <c r="AA84" s="221"/>
      <c r="AB84" s="236"/>
      <c r="AC84" s="221"/>
      <c r="AD84" s="221"/>
      <c r="AE84" s="236"/>
      <c r="AF84" s="221"/>
      <c r="AG84" s="221"/>
      <c r="AH84" s="236"/>
    </row>
    <row r="85" spans="1:52" s="141" customFormat="1" ht="12">
      <c r="A85" s="200"/>
      <c r="B85" s="201"/>
      <c r="C85" s="201"/>
      <c r="D85" s="206"/>
      <c r="E85" s="219" t="s">
        <v>257</v>
      </c>
      <c r="F85" s="219" t="s">
        <v>258</v>
      </c>
      <c r="G85" s="234" t="s">
        <v>259</v>
      </c>
      <c r="H85" s="219" t="s">
        <v>257</v>
      </c>
      <c r="I85" s="219" t="s">
        <v>258</v>
      </c>
      <c r="J85" s="234" t="s">
        <v>259</v>
      </c>
      <c r="K85" s="219" t="s">
        <v>257</v>
      </c>
      <c r="L85" s="219" t="s">
        <v>258</v>
      </c>
      <c r="M85" s="234" t="s">
        <v>259</v>
      </c>
      <c r="N85" s="219" t="s">
        <v>257</v>
      </c>
      <c r="O85" s="219" t="s">
        <v>258</v>
      </c>
      <c r="P85" s="234" t="s">
        <v>259</v>
      </c>
      <c r="Q85" s="249" t="s">
        <v>257</v>
      </c>
      <c r="R85" s="249" t="s">
        <v>258</v>
      </c>
      <c r="S85" s="234" t="s">
        <v>259</v>
      </c>
      <c r="T85" s="219" t="s">
        <v>257</v>
      </c>
      <c r="U85" s="219" t="s">
        <v>258</v>
      </c>
      <c r="V85" s="234" t="s">
        <v>259</v>
      </c>
      <c r="W85" s="219" t="s">
        <v>257</v>
      </c>
      <c r="X85" s="219" t="s">
        <v>258</v>
      </c>
      <c r="Y85" s="234" t="s">
        <v>259</v>
      </c>
      <c r="Z85" s="219" t="s">
        <v>257</v>
      </c>
      <c r="AA85" s="219" t="s">
        <v>258</v>
      </c>
      <c r="AB85" s="234" t="s">
        <v>259</v>
      </c>
      <c r="AC85" s="219" t="s">
        <v>306</v>
      </c>
      <c r="AD85" s="219" t="s">
        <v>307</v>
      </c>
      <c r="AE85" s="234" t="s">
        <v>259</v>
      </c>
      <c r="AF85" s="219" t="s">
        <v>306</v>
      </c>
      <c r="AG85" s="219" t="s">
        <v>307</v>
      </c>
      <c r="AH85" s="234" t="s">
        <v>259</v>
      </c>
      <c r="AI85" s="216" t="s">
        <v>306</v>
      </c>
      <c r="AJ85" s="216" t="s">
        <v>307</v>
      </c>
      <c r="AK85" s="229" t="s">
        <v>259</v>
      </c>
      <c r="AL85" s="216" t="s">
        <v>306</v>
      </c>
      <c r="AM85" s="216" t="s">
        <v>307</v>
      </c>
      <c r="AN85" s="229" t="s">
        <v>259</v>
      </c>
      <c r="AO85" s="216" t="s">
        <v>306</v>
      </c>
      <c r="AP85" s="216" t="s">
        <v>307</v>
      </c>
      <c r="AQ85" s="229" t="s">
        <v>259</v>
      </c>
      <c r="AR85" s="216" t="s">
        <v>306</v>
      </c>
      <c r="AS85" s="216" t="s">
        <v>307</v>
      </c>
      <c r="AT85" s="229" t="s">
        <v>259</v>
      </c>
      <c r="AU85" s="216" t="s">
        <v>306</v>
      </c>
      <c r="AV85" s="216" t="s">
        <v>307</v>
      </c>
      <c r="AW85" s="229" t="s">
        <v>259</v>
      </c>
      <c r="AX85" s="216" t="s">
        <v>306</v>
      </c>
      <c r="AY85" s="216" t="s">
        <v>307</v>
      </c>
      <c r="AZ85" s="229" t="s">
        <v>259</v>
      </c>
    </row>
    <row r="86" spans="1:52" s="141" customFormat="1" ht="12">
      <c r="A86" s="200"/>
      <c r="B86" s="201"/>
      <c r="C86" s="201"/>
      <c r="D86" s="201"/>
      <c r="E86" s="219" t="s">
        <v>260</v>
      </c>
      <c r="F86" s="219" t="s">
        <v>260</v>
      </c>
      <c r="G86" s="234" t="s">
        <v>260</v>
      </c>
      <c r="H86" s="219" t="s">
        <v>261</v>
      </c>
      <c r="I86" s="219" t="s">
        <v>261</v>
      </c>
      <c r="J86" s="234" t="s">
        <v>261</v>
      </c>
      <c r="K86" s="219" t="s">
        <v>262</v>
      </c>
      <c r="L86" s="219" t="s">
        <v>262</v>
      </c>
      <c r="M86" s="234" t="s">
        <v>262</v>
      </c>
      <c r="N86" s="219" t="s">
        <v>197</v>
      </c>
      <c r="O86" s="219" t="s">
        <v>197</v>
      </c>
      <c r="P86" s="234" t="s">
        <v>197</v>
      </c>
      <c r="Q86" s="249" t="s">
        <v>263</v>
      </c>
      <c r="R86" s="249" t="s">
        <v>263</v>
      </c>
      <c r="S86" s="234" t="s">
        <v>263</v>
      </c>
      <c r="T86" s="219" t="s">
        <v>264</v>
      </c>
      <c r="U86" s="219" t="s">
        <v>264</v>
      </c>
      <c r="V86" s="234" t="s">
        <v>264</v>
      </c>
      <c r="W86" s="219" t="s">
        <v>277</v>
      </c>
      <c r="X86" s="219" t="s">
        <v>277</v>
      </c>
      <c r="Y86" s="234" t="s">
        <v>277</v>
      </c>
      <c r="Z86" s="227" t="s">
        <v>289</v>
      </c>
      <c r="AA86" s="227" t="s">
        <v>289</v>
      </c>
      <c r="AB86" s="242" t="s">
        <v>289</v>
      </c>
      <c r="AC86" s="227" t="s">
        <v>305</v>
      </c>
      <c r="AD86" s="227" t="s">
        <v>305</v>
      </c>
      <c r="AE86" s="242" t="s">
        <v>305</v>
      </c>
      <c r="AF86" s="227" t="s">
        <v>312</v>
      </c>
      <c r="AG86" s="227" t="s">
        <v>312</v>
      </c>
      <c r="AH86" s="242" t="s">
        <v>312</v>
      </c>
      <c r="AI86" s="226" t="s">
        <v>318</v>
      </c>
      <c r="AJ86" s="226" t="s">
        <v>318</v>
      </c>
      <c r="AK86" s="226" t="s">
        <v>318</v>
      </c>
      <c r="AL86" s="226" t="s">
        <v>321</v>
      </c>
      <c r="AM86" s="226" t="s">
        <v>321</v>
      </c>
      <c r="AN86" s="226" t="s">
        <v>321</v>
      </c>
      <c r="AO86" s="226" t="s">
        <v>328</v>
      </c>
      <c r="AP86" s="226" t="s">
        <v>328</v>
      </c>
      <c r="AQ86" s="226" t="s">
        <v>328</v>
      </c>
      <c r="AR86" s="226" t="s">
        <v>329</v>
      </c>
      <c r="AS86" s="226" t="s">
        <v>329</v>
      </c>
      <c r="AT86" s="226" t="s">
        <v>329</v>
      </c>
      <c r="AU86" s="226" t="s">
        <v>333</v>
      </c>
      <c r="AV86" s="226" t="s">
        <v>333</v>
      </c>
      <c r="AW86" s="226" t="s">
        <v>333</v>
      </c>
      <c r="AX86" s="226" t="s">
        <v>335</v>
      </c>
      <c r="AY86" s="226" t="s">
        <v>335</v>
      </c>
      <c r="AZ86" s="226" t="s">
        <v>335</v>
      </c>
    </row>
    <row r="87" spans="1:52" s="141" customFormat="1" ht="12">
      <c r="A87" s="200"/>
      <c r="B87" s="204" t="s">
        <v>265</v>
      </c>
      <c r="C87" s="205" t="s">
        <v>266</v>
      </c>
      <c r="D87" s="204" t="s">
        <v>267</v>
      </c>
      <c r="E87" s="220" t="s">
        <v>97</v>
      </c>
      <c r="F87" s="220" t="s">
        <v>97</v>
      </c>
      <c r="G87" s="235" t="s">
        <v>96</v>
      </c>
      <c r="H87" s="220" t="s">
        <v>97</v>
      </c>
      <c r="I87" s="220" t="s">
        <v>97</v>
      </c>
      <c r="J87" s="235" t="s">
        <v>96</v>
      </c>
      <c r="K87" s="220" t="s">
        <v>97</v>
      </c>
      <c r="L87" s="220" t="s">
        <v>97</v>
      </c>
      <c r="M87" s="235" t="s">
        <v>96</v>
      </c>
      <c r="N87" s="220" t="s">
        <v>97</v>
      </c>
      <c r="O87" s="220" t="s">
        <v>97</v>
      </c>
      <c r="P87" s="235" t="s">
        <v>96</v>
      </c>
      <c r="Q87" s="220" t="s">
        <v>97</v>
      </c>
      <c r="R87" s="220" t="s">
        <v>97</v>
      </c>
      <c r="S87" s="235" t="s">
        <v>96</v>
      </c>
      <c r="T87" s="220" t="s">
        <v>97</v>
      </c>
      <c r="U87" s="220" t="s">
        <v>97</v>
      </c>
      <c r="V87" s="235" t="s">
        <v>96</v>
      </c>
      <c r="W87" s="220" t="s">
        <v>97</v>
      </c>
      <c r="X87" s="220" t="s">
        <v>97</v>
      </c>
      <c r="Y87" s="235" t="s">
        <v>96</v>
      </c>
      <c r="Z87" s="220" t="s">
        <v>97</v>
      </c>
      <c r="AA87" s="220" t="s">
        <v>97</v>
      </c>
      <c r="AB87" s="235" t="s">
        <v>96</v>
      </c>
      <c r="AC87" s="220" t="s">
        <v>308</v>
      </c>
      <c r="AD87" s="220" t="s">
        <v>308</v>
      </c>
      <c r="AE87" s="235" t="s">
        <v>309</v>
      </c>
      <c r="AF87" s="220" t="s">
        <v>308</v>
      </c>
      <c r="AG87" s="220" t="s">
        <v>308</v>
      </c>
      <c r="AH87" s="235" t="s">
        <v>309</v>
      </c>
      <c r="AI87" s="217" t="s">
        <v>308</v>
      </c>
      <c r="AJ87" s="217" t="s">
        <v>308</v>
      </c>
      <c r="AK87" s="230" t="s">
        <v>309</v>
      </c>
      <c r="AL87" s="217" t="s">
        <v>308</v>
      </c>
      <c r="AM87" s="217" t="s">
        <v>308</v>
      </c>
      <c r="AN87" s="230" t="s">
        <v>309</v>
      </c>
      <c r="AO87" s="217" t="s">
        <v>308</v>
      </c>
      <c r="AP87" s="217" t="s">
        <v>308</v>
      </c>
      <c r="AQ87" s="230" t="s">
        <v>309</v>
      </c>
      <c r="AR87" s="217" t="s">
        <v>308</v>
      </c>
      <c r="AS87" s="217" t="s">
        <v>308</v>
      </c>
      <c r="AT87" s="230" t="s">
        <v>309</v>
      </c>
      <c r="AU87" s="217" t="s">
        <v>308</v>
      </c>
      <c r="AV87" s="217" t="s">
        <v>308</v>
      </c>
      <c r="AW87" s="230" t="s">
        <v>309</v>
      </c>
      <c r="AX87" s="217" t="s">
        <v>308</v>
      </c>
      <c r="AY87" s="217" t="s">
        <v>308</v>
      </c>
      <c r="AZ87" s="230" t="s">
        <v>309</v>
      </c>
    </row>
    <row r="88" spans="1:52" s="141" customFormat="1">
      <c r="A88" s="200" t="s">
        <v>390</v>
      </c>
      <c r="B88" s="201" t="s">
        <v>255</v>
      </c>
      <c r="C88" s="201" t="s">
        <v>271</v>
      </c>
      <c r="D88" s="202" t="s">
        <v>313</v>
      </c>
      <c r="E88" s="245" t="e">
        <v>#N/A</v>
      </c>
      <c r="F88" s="243">
        <v>2.4736454559999999</v>
      </c>
      <c r="G88" s="231" t="e">
        <v>#N/A</v>
      </c>
      <c r="H88" s="245">
        <v>6.8780416349999998</v>
      </c>
      <c r="I88" s="243">
        <v>2.346698113</v>
      </c>
      <c r="J88" s="231">
        <v>2.9309443753747972</v>
      </c>
      <c r="K88" s="245">
        <v>7.0132697569999998</v>
      </c>
      <c r="L88" s="243">
        <v>2.3205392580000002</v>
      </c>
      <c r="M88" s="231">
        <v>3.0222586120109498</v>
      </c>
      <c r="N88" s="245">
        <v>6.850560829</v>
      </c>
      <c r="O88" s="243">
        <v>2.2506746820000001</v>
      </c>
      <c r="P88" s="231">
        <v>3.0437809976661923</v>
      </c>
      <c r="Q88" s="245">
        <v>6.655351156</v>
      </c>
      <c r="R88" s="243">
        <v>2.199076415</v>
      </c>
      <c r="S88" s="231">
        <v>3.0264301461302336</v>
      </c>
      <c r="T88" s="245">
        <v>6.4279950389999998</v>
      </c>
      <c r="U88" s="243">
        <v>2.0423106459999998</v>
      </c>
      <c r="V88" s="231">
        <v>3.1474129812669061</v>
      </c>
      <c r="W88" s="245">
        <v>6.3096472319999997</v>
      </c>
      <c r="X88" s="243">
        <v>1.987389845</v>
      </c>
      <c r="Y88" s="231">
        <v>3.1748412360434495</v>
      </c>
      <c r="Z88" s="245">
        <v>6.1723953150000002</v>
      </c>
      <c r="AA88" s="243">
        <v>1.894578576</v>
      </c>
      <c r="AB88" s="231">
        <v>3.2579252152379454</v>
      </c>
      <c r="AC88" s="245">
        <v>6.1953952790000004</v>
      </c>
      <c r="AD88" s="243">
        <v>1.8049100469999999</v>
      </c>
      <c r="AE88" s="231">
        <v>3.4325230164780622</v>
      </c>
      <c r="AF88" s="245">
        <v>6.1545621710000002</v>
      </c>
      <c r="AG88" s="243">
        <v>1.711071365</v>
      </c>
      <c r="AH88" s="231">
        <v>3.5969055977977868</v>
      </c>
      <c r="AI88" s="245">
        <v>6.4686729789999999</v>
      </c>
      <c r="AJ88" s="245">
        <v>1.6315607830000001</v>
      </c>
      <c r="AK88" s="231">
        <v>3.9647146746846023</v>
      </c>
      <c r="AL88" s="245">
        <v>6.2402714689999996</v>
      </c>
      <c r="AM88" s="245">
        <v>1.5705412160000001</v>
      </c>
      <c r="AN88" s="231">
        <v>3.9733255042445186</v>
      </c>
      <c r="AO88" s="245">
        <v>6.0980967430000002</v>
      </c>
      <c r="AP88" s="245">
        <v>1.546032345</v>
      </c>
      <c r="AQ88" s="231">
        <v>3.9443526280169774</v>
      </c>
      <c r="AR88" s="245">
        <v>5.7813368709999997</v>
      </c>
      <c r="AS88" s="245">
        <v>1.5079496100000001</v>
      </c>
      <c r="AT88" s="231">
        <v>3.8339058763376048</v>
      </c>
      <c r="AU88" s="245">
        <v>5.8632301160000004</v>
      </c>
      <c r="AV88" s="245">
        <v>1.4260017149999999</v>
      </c>
      <c r="AW88" s="231">
        <v>4.1116571279859935</v>
      </c>
      <c r="AX88" s="245">
        <v>5.4865083329999997</v>
      </c>
      <c r="AY88" s="245">
        <v>1.424800278</v>
      </c>
      <c r="AZ88" s="231">
        <v>3.8507209871557873</v>
      </c>
    </row>
    <row r="89" spans="1:52" s="141" customFormat="1">
      <c r="A89" s="200" t="s">
        <v>391</v>
      </c>
      <c r="B89" s="201" t="s">
        <v>255</v>
      </c>
      <c r="C89" s="201" t="s">
        <v>271</v>
      </c>
      <c r="D89" s="202" t="s">
        <v>100</v>
      </c>
      <c r="E89" s="245" t="e">
        <v>#N/A</v>
      </c>
      <c r="F89" s="243">
        <v>3.9384200759999999</v>
      </c>
      <c r="G89" s="231" t="e">
        <v>#N/A</v>
      </c>
      <c r="H89" s="245">
        <v>4.6696926889999997</v>
      </c>
      <c r="I89" s="243">
        <v>3.8529245510000001</v>
      </c>
      <c r="J89" s="231">
        <v>1.2119865383265844</v>
      </c>
      <c r="K89" s="245">
        <v>4.5653826879999997</v>
      </c>
      <c r="L89" s="243">
        <v>3.7073870609999999</v>
      </c>
      <c r="M89" s="231">
        <v>1.231428661988309</v>
      </c>
      <c r="N89" s="245">
        <v>4.397118764</v>
      </c>
      <c r="O89" s="243">
        <v>3.6077755329999999</v>
      </c>
      <c r="P89" s="231">
        <v>1.2187894517771265</v>
      </c>
      <c r="Q89" s="245">
        <v>4.2597008169999997</v>
      </c>
      <c r="R89" s="243">
        <v>3.4385938600000001</v>
      </c>
      <c r="S89" s="231">
        <v>1.2387914916476934</v>
      </c>
      <c r="T89" s="245">
        <v>4.2280867750000004</v>
      </c>
      <c r="U89" s="243">
        <v>3.3892234210000001</v>
      </c>
      <c r="V89" s="231">
        <v>1.2475090160189237</v>
      </c>
      <c r="W89" s="245">
        <v>3.8448419540000001</v>
      </c>
      <c r="X89" s="243">
        <v>3.2484048699999999</v>
      </c>
      <c r="Y89" s="231">
        <v>1.183609219869197</v>
      </c>
      <c r="Z89" s="245">
        <v>3.639774412</v>
      </c>
      <c r="AA89" s="243">
        <v>3.1543213919999999</v>
      </c>
      <c r="AB89" s="231">
        <v>1.1539009376885969</v>
      </c>
      <c r="AC89" s="245">
        <v>3.5694537739999999</v>
      </c>
      <c r="AD89" s="243">
        <v>3.0234021119999999</v>
      </c>
      <c r="AE89" s="231">
        <v>1.1806083484008627</v>
      </c>
      <c r="AF89" s="245">
        <v>3.5334178359999999</v>
      </c>
      <c r="AG89" s="243">
        <v>2.9817586760000001</v>
      </c>
      <c r="AH89" s="231">
        <v>1.1850113372488096</v>
      </c>
      <c r="AI89" s="245">
        <v>3.2097774170000002</v>
      </c>
      <c r="AJ89" s="245">
        <v>2.793787654</v>
      </c>
      <c r="AK89" s="231">
        <v>1.1488981320410689</v>
      </c>
      <c r="AL89" s="245">
        <v>3.2019741829999999</v>
      </c>
      <c r="AM89" s="245">
        <v>2.6575422799999999</v>
      </c>
      <c r="AN89" s="231">
        <v>1.2048629318514548</v>
      </c>
      <c r="AO89" s="245">
        <v>3.0408496349999998</v>
      </c>
      <c r="AP89" s="245">
        <v>2.5158848260000002</v>
      </c>
      <c r="AQ89" s="231">
        <v>1.2086601117725408</v>
      </c>
      <c r="AR89" s="245">
        <v>2.7493732899999999</v>
      </c>
      <c r="AS89" s="245">
        <v>2.3988394789999998</v>
      </c>
      <c r="AT89" s="231">
        <v>1.1461264140717438</v>
      </c>
      <c r="AU89" s="245">
        <v>2.644954979</v>
      </c>
      <c r="AV89" s="245">
        <v>2.203043332</v>
      </c>
      <c r="AW89" s="231">
        <v>1.2005914457428384</v>
      </c>
      <c r="AX89" s="245">
        <v>2.636931895</v>
      </c>
      <c r="AY89" s="245">
        <v>2.1339416789999999</v>
      </c>
      <c r="AZ89" s="231">
        <v>1.2357094483649196</v>
      </c>
    </row>
    <row r="90" spans="1:52" s="141" customFormat="1" ht="15.75" customHeight="1">
      <c r="A90" s="200" t="s">
        <v>392</v>
      </c>
      <c r="B90" s="201" t="s">
        <v>255</v>
      </c>
      <c r="C90" s="201" t="s">
        <v>271</v>
      </c>
      <c r="D90" s="202" t="s">
        <v>101</v>
      </c>
      <c r="E90" s="245" t="e">
        <v>#N/A</v>
      </c>
      <c r="F90" s="243">
        <v>7.3022910620000001</v>
      </c>
      <c r="G90" s="231" t="e">
        <v>#N/A</v>
      </c>
      <c r="H90" s="245">
        <v>9.5076404130000007</v>
      </c>
      <c r="I90" s="243">
        <v>7.1537463069999996</v>
      </c>
      <c r="J90" s="231">
        <v>1.3290435535429452</v>
      </c>
      <c r="K90" s="245">
        <v>9.843193844</v>
      </c>
      <c r="L90" s="243">
        <v>6.9470518969999997</v>
      </c>
      <c r="M90" s="231">
        <v>1.4168879101436775</v>
      </c>
      <c r="N90" s="245">
        <v>10.247005269000001</v>
      </c>
      <c r="O90" s="243">
        <v>6.8099454670000004</v>
      </c>
      <c r="P90" s="231">
        <v>1.5047117952200189</v>
      </c>
      <c r="Q90" s="245">
        <v>10.308094611</v>
      </c>
      <c r="R90" s="243">
        <v>6.707141697</v>
      </c>
      <c r="S90" s="231">
        <v>1.5368833814276877</v>
      </c>
      <c r="T90" s="245">
        <v>10.027872593</v>
      </c>
      <c r="U90" s="243">
        <v>6.5343571000000003</v>
      </c>
      <c r="V90" s="231">
        <v>1.5346379819064371</v>
      </c>
      <c r="W90" s="245">
        <v>9.9923962799999995</v>
      </c>
      <c r="X90" s="243">
        <v>6.3436470939999996</v>
      </c>
      <c r="Y90" s="231">
        <v>1.575181615864333</v>
      </c>
      <c r="Z90" s="245">
        <v>9.8430220249999998</v>
      </c>
      <c r="AA90" s="243">
        <v>6.2716724749999999</v>
      </c>
      <c r="AB90" s="231">
        <v>1.5694413355027759</v>
      </c>
      <c r="AC90" s="245">
        <v>9.5746776059999998</v>
      </c>
      <c r="AD90" s="243">
        <v>6.0802915190000002</v>
      </c>
      <c r="AE90" s="231">
        <v>1.5747069981892425</v>
      </c>
      <c r="AF90" s="245">
        <v>9.0130579819999994</v>
      </c>
      <c r="AG90" s="243">
        <v>5.8418003450000002</v>
      </c>
      <c r="AH90" s="231">
        <v>1.5428562172129487</v>
      </c>
      <c r="AI90" s="245">
        <v>8.9180146740000001</v>
      </c>
      <c r="AJ90" s="245">
        <v>5.5475239399999996</v>
      </c>
      <c r="AK90" s="231">
        <v>1.6075666856878856</v>
      </c>
      <c r="AL90" s="245">
        <v>9.0009028910000008</v>
      </c>
      <c r="AM90" s="245">
        <v>5.3643666980000004</v>
      </c>
      <c r="AN90" s="231">
        <v>1.677905966860135</v>
      </c>
      <c r="AO90" s="245">
        <v>8.5460024669999992</v>
      </c>
      <c r="AP90" s="245">
        <v>5.0756715789999998</v>
      </c>
      <c r="AQ90" s="231">
        <v>1.6837185649201751</v>
      </c>
      <c r="AR90" s="245">
        <v>8.2657916280000006</v>
      </c>
      <c r="AS90" s="245">
        <v>4.9605062430000002</v>
      </c>
      <c r="AT90" s="231">
        <v>1.666320174410473</v>
      </c>
      <c r="AU90" s="245">
        <v>8.4944942999999995</v>
      </c>
      <c r="AV90" s="245">
        <v>4.7902656280000002</v>
      </c>
      <c r="AW90" s="231">
        <v>1.773282519104596</v>
      </c>
      <c r="AX90" s="245">
        <v>8.5268794680000006</v>
      </c>
      <c r="AY90" s="245">
        <v>4.6579312399999999</v>
      </c>
      <c r="AZ90" s="231">
        <v>1.8306151440741321</v>
      </c>
    </row>
    <row r="91" spans="1:52" s="141" customFormat="1" ht="15" customHeight="1">
      <c r="A91" s="200" t="s">
        <v>393</v>
      </c>
      <c r="B91" s="201" t="s">
        <v>255</v>
      </c>
      <c r="C91" s="201" t="s">
        <v>271</v>
      </c>
      <c r="D91" s="202" t="s">
        <v>102</v>
      </c>
      <c r="E91" s="245" t="e">
        <v>#N/A</v>
      </c>
      <c r="F91" s="243">
        <v>25.65147683</v>
      </c>
      <c r="G91" s="231" t="e">
        <v>#N/A</v>
      </c>
      <c r="H91" s="245">
        <v>55.847062846</v>
      </c>
      <c r="I91" s="243">
        <v>25.326135634</v>
      </c>
      <c r="J91" s="231">
        <v>2.2051158397424855</v>
      </c>
      <c r="K91" s="245">
        <v>56.132443358000003</v>
      </c>
      <c r="L91" s="243">
        <v>25.198886253000001</v>
      </c>
      <c r="M91" s="231">
        <v>2.2275763616861148</v>
      </c>
      <c r="N91" s="245">
        <v>56.304112756999999</v>
      </c>
      <c r="O91" s="243">
        <v>24.950493766000001</v>
      </c>
      <c r="P91" s="231">
        <v>2.2566332067434081</v>
      </c>
      <c r="Q91" s="245">
        <v>56.330478710000001</v>
      </c>
      <c r="R91" s="243">
        <v>24.915378359999998</v>
      </c>
      <c r="S91" s="231">
        <v>2.2608718959064609</v>
      </c>
      <c r="T91" s="245">
        <v>56.994947727000003</v>
      </c>
      <c r="U91" s="243">
        <v>24.598861377999999</v>
      </c>
      <c r="V91" s="231">
        <v>2.3169750360060752</v>
      </c>
      <c r="W91" s="245">
        <v>57.365921884000002</v>
      </c>
      <c r="X91" s="243">
        <v>24.483792513000001</v>
      </c>
      <c r="Y91" s="231">
        <v>2.3430161750284721</v>
      </c>
      <c r="Z91" s="245">
        <v>56.967795428999999</v>
      </c>
      <c r="AA91" s="243">
        <v>24.106351493999998</v>
      </c>
      <c r="AB91" s="231">
        <v>2.3631861272403301</v>
      </c>
      <c r="AC91" s="245">
        <v>56.674314496000001</v>
      </c>
      <c r="AD91" s="243">
        <v>23.729736812999999</v>
      </c>
      <c r="AE91" s="231">
        <v>2.3883246132317737</v>
      </c>
      <c r="AF91" s="245">
        <v>55.956722397</v>
      </c>
      <c r="AG91" s="243">
        <v>23.059960431</v>
      </c>
      <c r="AH91" s="231">
        <v>2.426574952911722</v>
      </c>
      <c r="AI91" s="245">
        <v>55.110048409000001</v>
      </c>
      <c r="AJ91" s="245">
        <v>22.562449406999999</v>
      </c>
      <c r="AK91" s="231">
        <v>2.4425560990688409</v>
      </c>
      <c r="AL91" s="245">
        <v>54.579964367999999</v>
      </c>
      <c r="AM91" s="245">
        <v>21.771130189000001</v>
      </c>
      <c r="AN91" s="231">
        <v>2.5069881027847081</v>
      </c>
      <c r="AO91" s="245">
        <v>53.811322863000001</v>
      </c>
      <c r="AP91" s="245">
        <v>21.158501031</v>
      </c>
      <c r="AQ91" s="231">
        <v>2.543248351296687</v>
      </c>
      <c r="AR91" s="245">
        <v>52.490459397999999</v>
      </c>
      <c r="AS91" s="245">
        <v>20.360572965999999</v>
      </c>
      <c r="AT91" s="231">
        <v>2.5780443156316624</v>
      </c>
      <c r="AU91" s="245">
        <v>51.619413272000003</v>
      </c>
      <c r="AV91" s="245">
        <v>19.782107576000001</v>
      </c>
      <c r="AW91" s="231">
        <v>2.6093990781156999</v>
      </c>
      <c r="AX91" s="245">
        <v>49.909480223000003</v>
      </c>
      <c r="AY91" s="245">
        <v>19.024095696</v>
      </c>
      <c r="AZ91" s="231">
        <v>2.6234876558938858</v>
      </c>
    </row>
    <row r="92" spans="1:52" s="141" customFormat="1">
      <c r="A92" s="200" t="s">
        <v>394</v>
      </c>
      <c r="B92" s="201" t="s">
        <v>255</v>
      </c>
      <c r="C92" s="201" t="s">
        <v>271</v>
      </c>
      <c r="D92" s="202" t="s">
        <v>103</v>
      </c>
      <c r="E92" s="245" t="e">
        <v>#N/A</v>
      </c>
      <c r="F92" s="243">
        <v>3.0789744890000001</v>
      </c>
      <c r="G92" s="231" t="e">
        <v>#N/A</v>
      </c>
      <c r="H92" s="245">
        <v>2.8825678360000002</v>
      </c>
      <c r="I92" s="243">
        <v>3.096761093</v>
      </c>
      <c r="J92" s="231">
        <v>0.93083313482458563</v>
      </c>
      <c r="K92" s="245">
        <v>3.0164215799999998</v>
      </c>
      <c r="L92" s="243">
        <v>3.1571071399999999</v>
      </c>
      <c r="M92" s="231">
        <v>0.95543845876576738</v>
      </c>
      <c r="N92" s="245">
        <v>3.1396517820000001</v>
      </c>
      <c r="O92" s="243">
        <v>3.1423583079999999</v>
      </c>
      <c r="P92" s="231">
        <v>0.99913869593002513</v>
      </c>
      <c r="Q92" s="245">
        <v>3.5282985330000001</v>
      </c>
      <c r="R92" s="243">
        <v>3.1763213819999998</v>
      </c>
      <c r="S92" s="231">
        <v>1.1108128267481467</v>
      </c>
      <c r="T92" s="245">
        <v>3.4495908960000001</v>
      </c>
      <c r="U92" s="243">
        <v>3.0399557609999999</v>
      </c>
      <c r="V92" s="231">
        <v>1.1347503605990799</v>
      </c>
      <c r="W92" s="245">
        <v>3.552736672</v>
      </c>
      <c r="X92" s="243">
        <v>3.0865608920000001</v>
      </c>
      <c r="Y92" s="231">
        <v>1.1510340460828983</v>
      </c>
      <c r="Z92" s="245">
        <v>3.4245124530000002</v>
      </c>
      <c r="AA92" s="243">
        <v>3.0071845009999998</v>
      </c>
      <c r="AB92" s="231">
        <v>1.1387769695744385</v>
      </c>
      <c r="AC92" s="245">
        <v>3.4878133240000002</v>
      </c>
      <c r="AD92" s="243">
        <v>3.0348112729999999</v>
      </c>
      <c r="AE92" s="231">
        <v>1.149268606924672</v>
      </c>
      <c r="AF92" s="245">
        <v>3.5250520349999999</v>
      </c>
      <c r="AG92" s="243">
        <v>3.046244127</v>
      </c>
      <c r="AH92" s="231">
        <v>1.1571797558035966</v>
      </c>
      <c r="AI92" s="245">
        <v>3.8495338170000002</v>
      </c>
      <c r="AJ92" s="245">
        <v>3.049141144</v>
      </c>
      <c r="AK92" s="231">
        <v>1.2624977445124135</v>
      </c>
      <c r="AL92" s="245">
        <v>4.0293436089999997</v>
      </c>
      <c r="AM92" s="245">
        <v>2.9922457589999998</v>
      </c>
      <c r="AN92" s="231">
        <v>1.3465951440922403</v>
      </c>
      <c r="AO92" s="245">
        <v>4.2116861180000003</v>
      </c>
      <c r="AP92" s="245">
        <v>2.9813369010000002</v>
      </c>
      <c r="AQ92" s="231">
        <v>1.4126837247368174</v>
      </c>
      <c r="AR92" s="245">
        <v>4.2476172659999998</v>
      </c>
      <c r="AS92" s="245">
        <v>2.9414795680000001</v>
      </c>
      <c r="AT92" s="231">
        <v>1.444041057503616</v>
      </c>
      <c r="AU92" s="245">
        <v>4.461033155</v>
      </c>
      <c r="AV92" s="245">
        <v>2.96870528</v>
      </c>
      <c r="AW92" s="231">
        <v>1.5026864354147003</v>
      </c>
      <c r="AX92" s="245">
        <v>4.3669654380000003</v>
      </c>
      <c r="AY92" s="245">
        <v>3.0403811369999998</v>
      </c>
      <c r="AZ92" s="231">
        <v>1.4363217113986457</v>
      </c>
    </row>
    <row r="93" spans="1:52" s="141" customFormat="1">
      <c r="A93" s="200" t="s">
        <v>395</v>
      </c>
      <c r="B93" s="201" t="s">
        <v>255</v>
      </c>
      <c r="C93" s="201" t="s">
        <v>271</v>
      </c>
      <c r="D93" s="202" t="s">
        <v>104</v>
      </c>
      <c r="E93" s="245" t="e">
        <v>#N/A</v>
      </c>
      <c r="F93" s="243">
        <v>13.090083475</v>
      </c>
      <c r="G93" s="231" t="e">
        <v>#N/A</v>
      </c>
      <c r="H93" s="245">
        <v>15.54900745</v>
      </c>
      <c r="I93" s="243">
        <v>13.119362944000001</v>
      </c>
      <c r="J93" s="231">
        <v>1.185195311416487</v>
      </c>
      <c r="K93" s="245">
        <v>15.708375963</v>
      </c>
      <c r="L93" s="243">
        <v>13.066259875</v>
      </c>
      <c r="M93" s="231">
        <v>1.2022090570121926</v>
      </c>
      <c r="N93" s="245">
        <v>15.312682289</v>
      </c>
      <c r="O93" s="243">
        <v>13.020878944</v>
      </c>
      <c r="P93" s="231">
        <v>1.176009880351131</v>
      </c>
      <c r="Q93" s="245">
        <v>14.979310294999999</v>
      </c>
      <c r="R93" s="243">
        <v>12.824593448</v>
      </c>
      <c r="S93" s="231">
        <v>1.1680144369282932</v>
      </c>
      <c r="T93" s="245">
        <v>14.400976971</v>
      </c>
      <c r="U93" s="243">
        <v>12.851495408</v>
      </c>
      <c r="V93" s="231">
        <v>1.1205681917791026</v>
      </c>
      <c r="W93" s="245">
        <v>14.063535507999999</v>
      </c>
      <c r="X93" s="243">
        <v>12.767933867</v>
      </c>
      <c r="Y93" s="231">
        <v>1.101473085191067</v>
      </c>
      <c r="Z93" s="245">
        <v>13.893139158</v>
      </c>
      <c r="AA93" s="243">
        <v>12.616641489999999</v>
      </c>
      <c r="AB93" s="231">
        <v>1.1011757105892055</v>
      </c>
      <c r="AC93" s="245">
        <v>13.994046847</v>
      </c>
      <c r="AD93" s="243">
        <v>12.512375592</v>
      </c>
      <c r="AE93" s="231">
        <v>1.1184164624939275</v>
      </c>
      <c r="AF93" s="245">
        <v>14.186151873</v>
      </c>
      <c r="AG93" s="243">
        <v>12.472001735999999</v>
      </c>
      <c r="AH93" s="231">
        <v>1.1374398571523741</v>
      </c>
      <c r="AI93" s="245">
        <v>14.892340987000001</v>
      </c>
      <c r="AJ93" s="245">
        <v>12.427253872</v>
      </c>
      <c r="AK93" s="231">
        <v>1.1983613709344201</v>
      </c>
      <c r="AL93" s="245">
        <v>15.220433402999999</v>
      </c>
      <c r="AM93" s="245">
        <v>12.444787528999999</v>
      </c>
      <c r="AN93" s="231">
        <v>1.2230368230499664</v>
      </c>
      <c r="AO93" s="245">
        <v>14.9822191</v>
      </c>
      <c r="AP93" s="245">
        <v>12.527367999999999</v>
      </c>
      <c r="AQ93" s="231">
        <v>1.1959590474232098</v>
      </c>
      <c r="AR93" s="245">
        <v>15.196882746</v>
      </c>
      <c r="AS93" s="245">
        <v>12.538457019000001</v>
      </c>
      <c r="AT93" s="231">
        <v>1.2120217601712544</v>
      </c>
      <c r="AU93" s="245">
        <v>15.18809154</v>
      </c>
      <c r="AV93" s="245">
        <v>12.565015671999999</v>
      </c>
      <c r="AW93" s="231">
        <v>1.2087602543819573</v>
      </c>
      <c r="AX93" s="245">
        <v>14.946437852000001</v>
      </c>
      <c r="AY93" s="245">
        <v>12.47624519</v>
      </c>
      <c r="AZ93" s="231">
        <v>1.1979916733265163</v>
      </c>
    </row>
    <row r="94" spans="1:52" s="141" customFormat="1">
      <c r="A94" s="200" t="s">
        <v>396</v>
      </c>
      <c r="B94" s="201" t="s">
        <v>255</v>
      </c>
      <c r="C94" s="201" t="s">
        <v>271</v>
      </c>
      <c r="D94" s="202" t="s">
        <v>105</v>
      </c>
      <c r="E94" s="245" t="e">
        <v>#N/A</v>
      </c>
      <c r="F94" s="243">
        <v>38.177919039999999</v>
      </c>
      <c r="G94" s="231" t="e">
        <v>#N/A</v>
      </c>
      <c r="H94" s="245">
        <v>53.098366687000002</v>
      </c>
      <c r="I94" s="243">
        <v>38.553382380000002</v>
      </c>
      <c r="J94" s="231">
        <v>1.3772686962621825</v>
      </c>
      <c r="K94" s="245">
        <v>52.8088561</v>
      </c>
      <c r="L94" s="243">
        <v>38.965353807</v>
      </c>
      <c r="M94" s="231">
        <v>1.3552772127148776</v>
      </c>
      <c r="N94" s="245">
        <v>53.627638982999997</v>
      </c>
      <c r="O94" s="243">
        <v>39.565549275000002</v>
      </c>
      <c r="P94" s="231">
        <v>1.3554124728627313</v>
      </c>
      <c r="Q94" s="245">
        <v>54.294708077999999</v>
      </c>
      <c r="R94" s="243">
        <v>39.833601064</v>
      </c>
      <c r="S94" s="231">
        <v>1.3630379033712161</v>
      </c>
      <c r="T94" s="245">
        <v>55.264644963000002</v>
      </c>
      <c r="U94" s="243">
        <v>39.980044378999999</v>
      </c>
      <c r="V94" s="231">
        <v>1.3823057433129919</v>
      </c>
      <c r="W94" s="245">
        <v>55.463368406999997</v>
      </c>
      <c r="X94" s="243">
        <v>39.900376649000002</v>
      </c>
      <c r="Y94" s="231">
        <v>1.3900462367788211</v>
      </c>
      <c r="Z94" s="245">
        <v>56.344671048000002</v>
      </c>
      <c r="AA94" s="243">
        <v>39.853447942000003</v>
      </c>
      <c r="AB94" s="231">
        <v>1.4137966464030967</v>
      </c>
      <c r="AC94" s="245">
        <v>55.854408024999998</v>
      </c>
      <c r="AD94" s="243">
        <v>39.785443436999998</v>
      </c>
      <c r="AE94" s="231">
        <v>1.4038905489000042</v>
      </c>
      <c r="AF94" s="245">
        <v>55.765969376999998</v>
      </c>
      <c r="AG94" s="243">
        <v>39.776538207999998</v>
      </c>
      <c r="AH94" s="231">
        <v>1.4019814666974753</v>
      </c>
      <c r="AI94" s="245">
        <v>56.355333758999997</v>
      </c>
      <c r="AJ94" s="245">
        <v>39.866801877</v>
      </c>
      <c r="AK94" s="231">
        <v>1.4135905341208868</v>
      </c>
      <c r="AL94" s="245">
        <v>56.881157600000002</v>
      </c>
      <c r="AM94" s="245">
        <v>39.893461289999998</v>
      </c>
      <c r="AN94" s="231">
        <v>1.4258265831212362</v>
      </c>
      <c r="AO94" s="245">
        <v>56.615791317999999</v>
      </c>
      <c r="AP94" s="245">
        <v>39.465797324999997</v>
      </c>
      <c r="AQ94" s="231">
        <v>1.4345533387244191</v>
      </c>
      <c r="AR94" s="245">
        <v>56.279824009000002</v>
      </c>
      <c r="AS94" s="245">
        <v>38.780268991</v>
      </c>
      <c r="AT94" s="231">
        <v>1.4512489333702467</v>
      </c>
      <c r="AU94" s="245">
        <v>55.674301309999997</v>
      </c>
      <c r="AV94" s="245">
        <v>37.96322035</v>
      </c>
      <c r="AW94" s="231">
        <v>1.4665326280730027</v>
      </c>
      <c r="AX94" s="245">
        <v>54.406229572999997</v>
      </c>
      <c r="AY94" s="245">
        <v>37.212903179999998</v>
      </c>
      <c r="AZ94" s="231">
        <v>1.4620259351933744</v>
      </c>
    </row>
    <row r="95" spans="1:52" s="141" customFormat="1">
      <c r="A95" s="200" t="s">
        <v>397</v>
      </c>
      <c r="B95" s="201" t="s">
        <v>255</v>
      </c>
      <c r="C95" s="201" t="s">
        <v>271</v>
      </c>
      <c r="D95" s="202" t="s">
        <v>106</v>
      </c>
      <c r="E95" s="245" t="e">
        <v>#N/A</v>
      </c>
      <c r="F95" s="243">
        <v>0.48755732400000001</v>
      </c>
      <c r="G95" s="231" t="e">
        <v>#N/A</v>
      </c>
      <c r="H95" s="245">
        <v>0.88173230800000002</v>
      </c>
      <c r="I95" s="243">
        <v>0.45473341099999998</v>
      </c>
      <c r="J95" s="231">
        <v>1.9390092891151121</v>
      </c>
      <c r="K95" s="245">
        <v>0.87226307400000003</v>
      </c>
      <c r="L95" s="243">
        <v>0.48343704599999998</v>
      </c>
      <c r="M95" s="231">
        <v>1.804295060167979</v>
      </c>
      <c r="N95" s="245">
        <v>0.91761835199999997</v>
      </c>
      <c r="O95" s="243">
        <v>0.475044472</v>
      </c>
      <c r="P95" s="231">
        <v>1.9316472584907798</v>
      </c>
      <c r="Q95" s="245">
        <v>0.90850567699999996</v>
      </c>
      <c r="R95" s="243">
        <v>0.45149635700000001</v>
      </c>
      <c r="S95" s="231">
        <v>2.0122104263180134</v>
      </c>
      <c r="T95" s="245">
        <v>0.84032104600000002</v>
      </c>
      <c r="U95" s="243">
        <v>0.466948533</v>
      </c>
      <c r="V95" s="231">
        <v>1.799600997996925</v>
      </c>
      <c r="W95" s="245">
        <v>0.72640722800000002</v>
      </c>
      <c r="X95" s="243">
        <v>0.47849936700000001</v>
      </c>
      <c r="Y95" s="231">
        <v>1.5180944387748794</v>
      </c>
      <c r="Z95" s="245">
        <v>0.80148940499999999</v>
      </c>
      <c r="AA95" s="243">
        <v>0.42592728000000002</v>
      </c>
      <c r="AB95" s="231">
        <v>1.8817517511439981</v>
      </c>
      <c r="AC95" s="245">
        <v>0.75648831400000005</v>
      </c>
      <c r="AD95" s="243">
        <v>0.40954574500000002</v>
      </c>
      <c r="AE95" s="231">
        <v>1.847139967233697</v>
      </c>
      <c r="AF95" s="245">
        <v>0.70516609399999997</v>
      </c>
      <c r="AG95" s="243">
        <v>0.41977593000000002</v>
      </c>
      <c r="AH95" s="231">
        <v>1.6798630974386739</v>
      </c>
      <c r="AI95" s="245">
        <v>0.77667846399999996</v>
      </c>
      <c r="AJ95" s="245">
        <v>0.40219029299999998</v>
      </c>
      <c r="AK95" s="231">
        <v>1.9311218533063901</v>
      </c>
      <c r="AL95" s="245">
        <v>0.84527174100000002</v>
      </c>
      <c r="AM95" s="245">
        <v>0.384063086</v>
      </c>
      <c r="AN95" s="231">
        <v>2.2008669195560233</v>
      </c>
      <c r="AO95" s="245">
        <v>0.87850051799999995</v>
      </c>
      <c r="AP95" s="245">
        <v>0.40951978300000003</v>
      </c>
      <c r="AQ95" s="231">
        <v>2.1451967755120633</v>
      </c>
      <c r="AR95" s="245">
        <v>0.90413691299999999</v>
      </c>
      <c r="AS95" s="245">
        <v>0.38987216899999999</v>
      </c>
      <c r="AT95" s="231">
        <v>2.3190598993487015</v>
      </c>
      <c r="AU95" s="245">
        <v>0.88728463899999999</v>
      </c>
      <c r="AV95" s="245">
        <v>0.38355961</v>
      </c>
      <c r="AW95" s="231">
        <v>2.3132900750420515</v>
      </c>
      <c r="AX95" s="245">
        <v>0.89533255099999998</v>
      </c>
      <c r="AY95" s="245">
        <v>0.37869984400000001</v>
      </c>
      <c r="AZ95" s="231">
        <v>2.3642274090823232</v>
      </c>
    </row>
    <row r="96" spans="1:52" s="141" customFormat="1">
      <c r="A96" s="200" t="s">
        <v>398</v>
      </c>
      <c r="B96" s="201" t="s">
        <v>255</v>
      </c>
      <c r="C96" s="201" t="s">
        <v>271</v>
      </c>
      <c r="D96" s="202" t="s">
        <v>113</v>
      </c>
      <c r="E96" s="245" t="e">
        <v>#N/A</v>
      </c>
      <c r="F96" s="243">
        <v>37.869283813000003</v>
      </c>
      <c r="G96" s="231" t="e">
        <v>#N/A</v>
      </c>
      <c r="H96" s="245">
        <v>121.59316196100001</v>
      </c>
      <c r="I96" s="243">
        <v>37.638068152999999</v>
      </c>
      <c r="J96" s="231">
        <v>3.2305898768959067</v>
      </c>
      <c r="K96" s="245">
        <v>122.293359427</v>
      </c>
      <c r="L96" s="243">
        <v>37.688232108999998</v>
      </c>
      <c r="M96" s="231">
        <v>3.2448685593240176</v>
      </c>
      <c r="N96" s="245">
        <v>123.712024984</v>
      </c>
      <c r="O96" s="243">
        <v>37.171130486999999</v>
      </c>
      <c r="P96" s="231">
        <v>3.3281749401532532</v>
      </c>
      <c r="Q96" s="245">
        <v>124.27675348</v>
      </c>
      <c r="R96" s="243">
        <v>36.650546224000003</v>
      </c>
      <c r="S96" s="231">
        <v>3.390856788885166</v>
      </c>
      <c r="T96" s="245">
        <v>123.942514116</v>
      </c>
      <c r="U96" s="243">
        <v>35.890985256999997</v>
      </c>
      <c r="V96" s="231">
        <v>3.4533048682977259</v>
      </c>
      <c r="W96" s="245">
        <v>122.58079062500001</v>
      </c>
      <c r="X96" s="243">
        <v>35.373965664000004</v>
      </c>
      <c r="Y96" s="231">
        <v>3.4652826824488656</v>
      </c>
      <c r="Z96" s="245">
        <v>122.16464171</v>
      </c>
      <c r="AA96" s="243">
        <v>34.725683652000001</v>
      </c>
      <c r="AB96" s="231">
        <v>3.5179909756208358</v>
      </c>
      <c r="AC96" s="245">
        <v>121.626373656</v>
      </c>
      <c r="AD96" s="243">
        <v>34.448099079000002</v>
      </c>
      <c r="AE96" s="231">
        <v>3.530713650616065</v>
      </c>
      <c r="AF96" s="245">
        <v>121.38101455899999</v>
      </c>
      <c r="AG96" s="243">
        <v>33.859430164000003</v>
      </c>
      <c r="AH96" s="231">
        <v>3.5848510731304222</v>
      </c>
      <c r="AI96" s="245">
        <v>120.672878866</v>
      </c>
      <c r="AJ96" s="245">
        <v>33.554253363000001</v>
      </c>
      <c r="AK96" s="231">
        <v>3.5963511856611596</v>
      </c>
      <c r="AL96" s="245">
        <v>121.91176907400001</v>
      </c>
      <c r="AM96" s="245">
        <v>32.965975620999998</v>
      </c>
      <c r="AN96" s="231">
        <v>3.6981089373960381</v>
      </c>
      <c r="AO96" s="245">
        <v>122.610790877</v>
      </c>
      <c r="AP96" s="245">
        <v>32.403369083000001</v>
      </c>
      <c r="AQ96" s="231">
        <v>3.783890204840648</v>
      </c>
      <c r="AR96" s="245">
        <v>123.10943542</v>
      </c>
      <c r="AS96" s="245">
        <v>31.783732558000001</v>
      </c>
      <c r="AT96" s="231">
        <v>3.8733473230479096</v>
      </c>
      <c r="AU96" s="245">
        <v>123.77454493400001</v>
      </c>
      <c r="AV96" s="245">
        <v>31.348513229000002</v>
      </c>
      <c r="AW96" s="231">
        <v>3.9483386031685286</v>
      </c>
      <c r="AX96" s="245">
        <v>124.31599876999999</v>
      </c>
      <c r="AY96" s="245">
        <v>30.835993587000001</v>
      </c>
      <c r="AZ96" s="231">
        <v>4.0315223966841716</v>
      </c>
    </row>
    <row r="97" spans="1:52" s="141" customFormat="1">
      <c r="A97" s="200" t="s">
        <v>399</v>
      </c>
      <c r="B97" s="201" t="s">
        <v>255</v>
      </c>
      <c r="C97" s="201" t="s">
        <v>271</v>
      </c>
      <c r="D97" s="202" t="s">
        <v>114</v>
      </c>
      <c r="E97" s="245" t="e">
        <v>#N/A</v>
      </c>
      <c r="F97" s="243">
        <v>7.4083490379999999</v>
      </c>
      <c r="G97" s="231" t="e">
        <v>#N/A</v>
      </c>
      <c r="H97" s="245">
        <v>14.110028394</v>
      </c>
      <c r="I97" s="243">
        <v>7.1087353479999997</v>
      </c>
      <c r="J97" s="231">
        <v>1.984885876778318</v>
      </c>
      <c r="K97" s="245">
        <v>13.942036086</v>
      </c>
      <c r="L97" s="243">
        <v>6.7972768950000004</v>
      </c>
      <c r="M97" s="231">
        <v>2.0511208093134479</v>
      </c>
      <c r="N97" s="245">
        <v>13.597464678</v>
      </c>
      <c r="O97" s="243">
        <v>6.444928301</v>
      </c>
      <c r="P97" s="231">
        <v>2.1097930097826234</v>
      </c>
      <c r="Q97" s="245">
        <v>13.447828763</v>
      </c>
      <c r="R97" s="243">
        <v>6.1751402750000004</v>
      </c>
      <c r="S97" s="231">
        <v>2.1777365637252668</v>
      </c>
      <c r="T97" s="245">
        <v>12.647082374</v>
      </c>
      <c r="U97" s="243">
        <v>5.8687343299999997</v>
      </c>
      <c r="V97" s="231">
        <v>2.1549931659625834</v>
      </c>
      <c r="W97" s="245">
        <v>12.023432092</v>
      </c>
      <c r="X97" s="243">
        <v>5.5891293830000004</v>
      </c>
      <c r="Y97" s="231">
        <v>2.1512173485499719</v>
      </c>
      <c r="Z97" s="245">
        <v>11.370803005000001</v>
      </c>
      <c r="AA97" s="243">
        <v>5.2962203719999996</v>
      </c>
      <c r="AB97" s="231">
        <v>2.1469656106296178</v>
      </c>
      <c r="AC97" s="245">
        <v>10.955529993000001</v>
      </c>
      <c r="AD97" s="243">
        <v>5.0481279849999998</v>
      </c>
      <c r="AE97" s="231">
        <v>2.1702163704155772</v>
      </c>
      <c r="AF97" s="245">
        <v>10.315963111</v>
      </c>
      <c r="AG97" s="243">
        <v>4.8644547400000002</v>
      </c>
      <c r="AH97" s="231">
        <v>2.1206823091954599</v>
      </c>
      <c r="AI97" s="245">
        <v>9.9782357239999993</v>
      </c>
      <c r="AJ97" s="245">
        <v>4.6552247659999999</v>
      </c>
      <c r="AK97" s="231">
        <v>2.1434487539414331</v>
      </c>
      <c r="AL97" s="245">
        <v>9.445263873</v>
      </c>
      <c r="AM97" s="245">
        <v>4.546704912</v>
      </c>
      <c r="AN97" s="231">
        <v>2.0773866032236579</v>
      </c>
      <c r="AO97" s="245">
        <v>9.1024578819999995</v>
      </c>
      <c r="AP97" s="245">
        <v>4.4125769210000003</v>
      </c>
      <c r="AQ97" s="231">
        <v>2.0628440126857108</v>
      </c>
      <c r="AR97" s="245">
        <v>8.8677830069999999</v>
      </c>
      <c r="AS97" s="245">
        <v>4.3150116240000003</v>
      </c>
      <c r="AT97" s="231">
        <v>2.0551006068390603</v>
      </c>
      <c r="AU97" s="245">
        <v>8.5183220950000003</v>
      </c>
      <c r="AV97" s="245">
        <v>4.2466757609999997</v>
      </c>
      <c r="AW97" s="231">
        <v>2.0058800281456195</v>
      </c>
      <c r="AX97" s="245">
        <v>8.3466770639999996</v>
      </c>
      <c r="AY97" s="245">
        <v>4.150901342</v>
      </c>
      <c r="AZ97" s="231">
        <v>2.0108107556173276</v>
      </c>
    </row>
    <row r="98" spans="1:52" s="141" customFormat="1">
      <c r="A98" s="200" t="s">
        <v>400</v>
      </c>
      <c r="B98" s="201" t="s">
        <v>255</v>
      </c>
      <c r="C98" s="201" t="s">
        <v>271</v>
      </c>
      <c r="D98" s="202" t="s">
        <v>115</v>
      </c>
      <c r="E98" s="245" t="e">
        <v>#N/A</v>
      </c>
      <c r="F98" s="243">
        <v>7.0088286139999996</v>
      </c>
      <c r="G98" s="231" t="e">
        <v>#N/A</v>
      </c>
      <c r="H98" s="245">
        <v>17.773210220999999</v>
      </c>
      <c r="I98" s="243">
        <v>6.9938576299999999</v>
      </c>
      <c r="J98" s="231">
        <v>2.5412599399739282</v>
      </c>
      <c r="K98" s="245">
        <v>18.198785313999998</v>
      </c>
      <c r="L98" s="243">
        <v>6.9423088230000003</v>
      </c>
      <c r="M98" s="231">
        <v>2.6214312526269472</v>
      </c>
      <c r="N98" s="245">
        <v>18.309107009000002</v>
      </c>
      <c r="O98" s="243">
        <v>6.8599245360000003</v>
      </c>
      <c r="P98" s="231">
        <v>2.6689953968030067</v>
      </c>
      <c r="Q98" s="245">
        <v>18.397322297999999</v>
      </c>
      <c r="R98" s="243">
        <v>6.8135011859999999</v>
      </c>
      <c r="S98" s="231">
        <v>2.7001275549495443</v>
      </c>
      <c r="T98" s="245">
        <v>18.215815600999999</v>
      </c>
      <c r="U98" s="243">
        <v>6.9654628609999998</v>
      </c>
      <c r="V98" s="231">
        <v>2.6151622604997762</v>
      </c>
      <c r="W98" s="245">
        <v>18.510389176</v>
      </c>
      <c r="X98" s="243">
        <v>6.9266161820000001</v>
      </c>
      <c r="Y98" s="231">
        <v>2.6723567019784382</v>
      </c>
      <c r="Z98" s="245">
        <v>19.382647162000001</v>
      </c>
      <c r="AA98" s="243">
        <v>7.0458985670000001</v>
      </c>
      <c r="AB98" s="231">
        <v>2.7509120345246094</v>
      </c>
      <c r="AC98" s="245">
        <v>19.758325998</v>
      </c>
      <c r="AD98" s="243">
        <v>7.0850702610000003</v>
      </c>
      <c r="AE98" s="231">
        <v>2.7887268961551941</v>
      </c>
      <c r="AF98" s="245">
        <v>20.249318858999999</v>
      </c>
      <c r="AG98" s="243">
        <v>7.105504303</v>
      </c>
      <c r="AH98" s="231">
        <v>2.8498074162660876</v>
      </c>
      <c r="AI98" s="245">
        <v>21.09008699</v>
      </c>
      <c r="AJ98" s="245">
        <v>7.0925198030000001</v>
      </c>
      <c r="AK98" s="231">
        <v>2.9735675861037847</v>
      </c>
      <c r="AL98" s="245">
        <v>20.786094125000002</v>
      </c>
      <c r="AM98" s="245">
        <v>7.1682785830000002</v>
      </c>
      <c r="AN98" s="231">
        <v>2.8997330229736695</v>
      </c>
      <c r="AO98" s="245">
        <v>20.992876991999999</v>
      </c>
      <c r="AP98" s="245">
        <v>7.2067534379999998</v>
      </c>
      <c r="AQ98" s="231">
        <v>2.9129450830533603</v>
      </c>
      <c r="AR98" s="245">
        <v>21.763741200999998</v>
      </c>
      <c r="AS98" s="245">
        <v>7.2161345849999998</v>
      </c>
      <c r="AT98" s="231">
        <v>3.0159832725736226</v>
      </c>
      <c r="AU98" s="245">
        <v>22.699687954000002</v>
      </c>
      <c r="AV98" s="245">
        <v>7.3034265400000002</v>
      </c>
      <c r="AW98" s="231">
        <v>3.1080873929074944</v>
      </c>
      <c r="AX98" s="245">
        <v>23.284969163</v>
      </c>
      <c r="AY98" s="245">
        <v>7.3812106039999996</v>
      </c>
      <c r="AZ98" s="231">
        <v>3.1546273927452351</v>
      </c>
    </row>
    <row r="99" spans="1:52" s="141" customFormat="1">
      <c r="A99" s="200" t="s">
        <v>401</v>
      </c>
      <c r="B99" s="201" t="s">
        <v>255</v>
      </c>
      <c r="C99" s="201" t="s">
        <v>271</v>
      </c>
      <c r="D99" s="202" t="s">
        <v>116</v>
      </c>
      <c r="E99" s="245" t="e">
        <v>#N/A</v>
      </c>
      <c r="F99" s="243">
        <v>7.8827483870000004</v>
      </c>
      <c r="G99" s="231" t="e">
        <v>#N/A</v>
      </c>
      <c r="H99" s="245">
        <v>10.723629777999999</v>
      </c>
      <c r="I99" s="243">
        <v>7.6762368439999999</v>
      </c>
      <c r="J99" s="231">
        <v>1.3969904780077158</v>
      </c>
      <c r="K99" s="245">
        <v>10.698602622999999</v>
      </c>
      <c r="L99" s="243">
        <v>7.6353998819999997</v>
      </c>
      <c r="M99" s="231">
        <v>1.4011843241139625</v>
      </c>
      <c r="N99" s="245">
        <v>10.535085838000001</v>
      </c>
      <c r="O99" s="243">
        <v>7.5611397279999997</v>
      </c>
      <c r="P99" s="231">
        <v>1.393319819099103</v>
      </c>
      <c r="Q99" s="245">
        <v>10.361383994000001</v>
      </c>
      <c r="R99" s="243">
        <v>7.4774023400000003</v>
      </c>
      <c r="S99" s="231">
        <v>1.3856929884021729</v>
      </c>
      <c r="T99" s="245">
        <v>10.318301226999999</v>
      </c>
      <c r="U99" s="243">
        <v>7.4286745070000002</v>
      </c>
      <c r="V99" s="231">
        <v>1.3889828148045953</v>
      </c>
      <c r="W99" s="245">
        <v>10.324675255000001</v>
      </c>
      <c r="X99" s="243">
        <v>7.4656661160000004</v>
      </c>
      <c r="Y99" s="231">
        <v>1.3829543264562463</v>
      </c>
      <c r="Z99" s="245">
        <v>10.177566114999999</v>
      </c>
      <c r="AA99" s="243">
        <v>7.3724426750000003</v>
      </c>
      <c r="AB99" s="231">
        <v>1.3804876570301714</v>
      </c>
      <c r="AC99" s="245">
        <v>10.361652567</v>
      </c>
      <c r="AD99" s="243">
        <v>7.3897731179999999</v>
      </c>
      <c r="AE99" s="231">
        <v>1.402161122073031</v>
      </c>
      <c r="AF99" s="245">
        <v>10.469235413</v>
      </c>
      <c r="AG99" s="243">
        <v>7.4475984669999997</v>
      </c>
      <c r="AH99" s="231">
        <v>1.4057196369257483</v>
      </c>
      <c r="AI99" s="245">
        <v>10.446607539</v>
      </c>
      <c r="AJ99" s="245">
        <v>7.4670417609999999</v>
      </c>
      <c r="AK99" s="231">
        <v>1.3990289425676081</v>
      </c>
      <c r="AL99" s="245">
        <v>10.365718161</v>
      </c>
      <c r="AM99" s="245">
        <v>7.3296283679999998</v>
      </c>
      <c r="AN99" s="231">
        <v>1.414221518549984</v>
      </c>
      <c r="AO99" s="245">
        <v>10.715989932999999</v>
      </c>
      <c r="AP99" s="245">
        <v>7.1496988640000003</v>
      </c>
      <c r="AQ99" s="231">
        <v>1.4988029757388672</v>
      </c>
      <c r="AR99" s="245">
        <v>10.331575307</v>
      </c>
      <c r="AS99" s="245">
        <v>6.9777525980000004</v>
      </c>
      <c r="AT99" s="231">
        <v>1.4806451163031045</v>
      </c>
      <c r="AU99" s="245">
        <v>10.143796339</v>
      </c>
      <c r="AV99" s="245">
        <v>6.8044331400000004</v>
      </c>
      <c r="AW99" s="231">
        <v>1.4907628791837904</v>
      </c>
      <c r="AX99" s="245">
        <v>9.8063826600000006</v>
      </c>
      <c r="AY99" s="245">
        <v>6.6815501719999997</v>
      </c>
      <c r="AZ99" s="231">
        <v>1.4676807638285891</v>
      </c>
    </row>
    <row r="100" spans="1:52" s="141" customFormat="1">
      <c r="A100" s="200" t="s">
        <v>402</v>
      </c>
      <c r="B100" s="201" t="s">
        <v>255</v>
      </c>
      <c r="C100" s="201" t="s">
        <v>271</v>
      </c>
      <c r="D100" s="202" t="s">
        <v>284</v>
      </c>
      <c r="E100" s="245" t="e">
        <v>#N/A</v>
      </c>
      <c r="F100" s="243">
        <v>3.080384778</v>
      </c>
      <c r="G100" s="231" t="e">
        <v>#N/A</v>
      </c>
      <c r="H100" s="245">
        <v>7.3377419279999998</v>
      </c>
      <c r="I100" s="243">
        <v>3.0866444529999999</v>
      </c>
      <c r="J100" s="231">
        <v>2.3772553138953967</v>
      </c>
      <c r="K100" s="245">
        <v>7.5884423429999996</v>
      </c>
      <c r="L100" s="243">
        <v>3.0647528899999998</v>
      </c>
      <c r="M100" s="231">
        <v>2.4760372582599963</v>
      </c>
      <c r="N100" s="245">
        <v>7.3646841170000004</v>
      </c>
      <c r="O100" s="243">
        <v>3.0841507020000001</v>
      </c>
      <c r="P100" s="231">
        <v>2.3879131821360655</v>
      </c>
      <c r="Q100" s="245">
        <v>7.7085746960000003</v>
      </c>
      <c r="R100" s="243">
        <v>3.0393907210000002</v>
      </c>
      <c r="S100" s="231">
        <v>2.536223672310145</v>
      </c>
      <c r="T100" s="245">
        <v>7.7767118579999996</v>
      </c>
      <c r="U100" s="243">
        <v>2.954778675</v>
      </c>
      <c r="V100" s="231">
        <v>2.6319101067696717</v>
      </c>
      <c r="W100" s="245">
        <v>7.7865339010000003</v>
      </c>
      <c r="X100" s="243">
        <v>2.9144989990000001</v>
      </c>
      <c r="Y100" s="231">
        <v>2.6716543404789825</v>
      </c>
      <c r="Z100" s="245">
        <v>7.8238400500000003</v>
      </c>
      <c r="AA100" s="243">
        <v>2.93558041</v>
      </c>
      <c r="AB100" s="231">
        <v>2.6651765434011736</v>
      </c>
      <c r="AC100" s="245">
        <v>8.0567764250000007</v>
      </c>
      <c r="AD100" s="243">
        <v>2.8737812389999999</v>
      </c>
      <c r="AE100" s="231">
        <v>2.8035454876180994</v>
      </c>
      <c r="AF100" s="245">
        <v>7.9857150509999997</v>
      </c>
      <c r="AG100" s="243">
        <v>2.8449054949999999</v>
      </c>
      <c r="AH100" s="231">
        <v>2.807022962637991</v>
      </c>
      <c r="AI100" s="245">
        <v>7.9891632829999999</v>
      </c>
      <c r="AJ100" s="245">
        <v>2.8255789020000002</v>
      </c>
      <c r="AK100" s="231">
        <v>2.8274429984401119</v>
      </c>
      <c r="AL100" s="245">
        <v>8.2506171350000006</v>
      </c>
      <c r="AM100" s="245">
        <v>2.8020473699999999</v>
      </c>
      <c r="AN100" s="231">
        <v>2.9444959508304103</v>
      </c>
      <c r="AO100" s="245">
        <v>8.0317428490000005</v>
      </c>
      <c r="AP100" s="245">
        <v>2.754197574</v>
      </c>
      <c r="AQ100" s="231">
        <v>2.9161825298303747</v>
      </c>
      <c r="AR100" s="245">
        <v>7.754631753</v>
      </c>
      <c r="AS100" s="245">
        <v>2.7131146880000001</v>
      </c>
      <c r="AT100" s="231">
        <v>2.8582027097116214</v>
      </c>
      <c r="AU100" s="245">
        <v>7.4545066640000002</v>
      </c>
      <c r="AV100" s="245">
        <v>2.6408023730000001</v>
      </c>
      <c r="AW100" s="231">
        <v>2.8228188296921073</v>
      </c>
      <c r="AX100" s="245">
        <v>7.2934984649999999</v>
      </c>
      <c r="AY100" s="245">
        <v>2.6257656960000002</v>
      </c>
      <c r="AZ100" s="231">
        <v>2.7776653781830802</v>
      </c>
    </row>
    <row r="101" spans="1:52" s="141" customFormat="1">
      <c r="A101" s="200" t="s">
        <v>403</v>
      </c>
      <c r="B101" s="201" t="s">
        <v>255</v>
      </c>
      <c r="C101" s="201" t="s">
        <v>271</v>
      </c>
      <c r="D101" s="202" t="s">
        <v>108</v>
      </c>
      <c r="E101" s="245" t="e">
        <v>#N/A</v>
      </c>
      <c r="F101" s="243">
        <v>2.8579434379999999</v>
      </c>
      <c r="G101" s="231" t="e">
        <v>#N/A</v>
      </c>
      <c r="H101" s="245">
        <v>8.6317785170000008</v>
      </c>
      <c r="I101" s="243">
        <v>2.851683612</v>
      </c>
      <c r="J101" s="231">
        <v>3.0269060987962084</v>
      </c>
      <c r="K101" s="245">
        <v>9.1199721700000005</v>
      </c>
      <c r="L101" s="243">
        <v>2.893696383</v>
      </c>
      <c r="M101" s="231">
        <v>3.1516686489910852</v>
      </c>
      <c r="N101" s="245">
        <v>9.0063072109999993</v>
      </c>
      <c r="O101" s="243">
        <v>2.8318541150000001</v>
      </c>
      <c r="P101" s="231">
        <v>3.180357054162728</v>
      </c>
      <c r="Q101" s="245">
        <v>9.2058005870000006</v>
      </c>
      <c r="R101" s="243">
        <v>2.8342948799999998</v>
      </c>
      <c r="S101" s="231">
        <v>3.2480038163848359</v>
      </c>
      <c r="T101" s="245">
        <v>9.5663840919999998</v>
      </c>
      <c r="U101" s="243">
        <v>2.7580515330000002</v>
      </c>
      <c r="V101" s="231">
        <v>3.4685298579589663</v>
      </c>
      <c r="W101" s="245">
        <v>9.5597807219999993</v>
      </c>
      <c r="X101" s="243">
        <v>2.7395731369999998</v>
      </c>
      <c r="Y101" s="231">
        <v>3.4895146958801559</v>
      </c>
      <c r="Z101" s="245">
        <v>9.7804576000000001</v>
      </c>
      <c r="AA101" s="243">
        <v>2.7420185250000002</v>
      </c>
      <c r="AB101" s="231">
        <v>3.5668823936920702</v>
      </c>
      <c r="AC101" s="245">
        <v>9.9353556600000008</v>
      </c>
      <c r="AD101" s="243">
        <v>2.797765257</v>
      </c>
      <c r="AE101" s="231">
        <v>3.5511755802749252</v>
      </c>
      <c r="AF101" s="245">
        <v>10.047661926</v>
      </c>
      <c r="AG101" s="243">
        <v>2.7757147049999999</v>
      </c>
      <c r="AH101" s="231">
        <v>3.619846776003588</v>
      </c>
      <c r="AI101" s="245">
        <v>10.045637806</v>
      </c>
      <c r="AJ101" s="245">
        <v>2.7480387980000001</v>
      </c>
      <c r="AK101" s="231">
        <v>3.6555662217400759</v>
      </c>
      <c r="AL101" s="245">
        <v>10.283914504</v>
      </c>
      <c r="AM101" s="245">
        <v>2.6862412180000002</v>
      </c>
      <c r="AN101" s="231">
        <v>3.8283659840707571</v>
      </c>
      <c r="AO101" s="245">
        <v>10.790620931999999</v>
      </c>
      <c r="AP101" s="245">
        <v>2.6731081489999999</v>
      </c>
      <c r="AQ101" s="231">
        <v>4.0367318980478704</v>
      </c>
      <c r="AR101" s="245">
        <v>11.641491061</v>
      </c>
      <c r="AS101" s="245">
        <v>2.6401887570000002</v>
      </c>
      <c r="AT101" s="231">
        <v>4.4093404420932467</v>
      </c>
      <c r="AU101" s="245">
        <v>11.957819389999999</v>
      </c>
      <c r="AV101" s="245">
        <v>2.6313377629999999</v>
      </c>
      <c r="AW101" s="231">
        <v>4.5443878616201809</v>
      </c>
      <c r="AX101" s="245">
        <v>12.257756927000001</v>
      </c>
      <c r="AY101" s="245">
        <v>2.613438902</v>
      </c>
      <c r="AZ101" s="231">
        <v>4.6902787425485419</v>
      </c>
    </row>
    <row r="102" spans="1:52" s="141" customFormat="1">
      <c r="A102" s="200" t="s">
        <v>404</v>
      </c>
      <c r="B102" s="201" t="s">
        <v>255</v>
      </c>
      <c r="C102" s="201" t="s">
        <v>271</v>
      </c>
      <c r="D102" s="202" t="s">
        <v>109</v>
      </c>
      <c r="E102" s="245" t="e">
        <v>#N/A</v>
      </c>
      <c r="F102" s="243">
        <v>2.3334213030000002</v>
      </c>
      <c r="G102" s="231" t="e">
        <v>#N/A</v>
      </c>
      <c r="H102" s="245">
        <v>3.5800273680000001</v>
      </c>
      <c r="I102" s="243">
        <v>2.2902888799999999</v>
      </c>
      <c r="J102" s="231">
        <v>1.563133541477091</v>
      </c>
      <c r="K102" s="245">
        <v>3.4883967230000001</v>
      </c>
      <c r="L102" s="243">
        <v>2.3278280140000001</v>
      </c>
      <c r="M102" s="231">
        <v>1.4985629101549252</v>
      </c>
      <c r="N102" s="245">
        <v>3.67681082</v>
      </c>
      <c r="O102" s="243">
        <v>2.3182776920000001</v>
      </c>
      <c r="P102" s="231">
        <v>1.5860096625559903</v>
      </c>
      <c r="Q102" s="245">
        <v>3.5478655799999999</v>
      </c>
      <c r="R102" s="243">
        <v>2.3222571890000001</v>
      </c>
      <c r="S102" s="231">
        <v>1.5277660014598837</v>
      </c>
      <c r="T102" s="245">
        <v>3.5630604880000001</v>
      </c>
      <c r="U102" s="243">
        <v>2.3024198880000002</v>
      </c>
      <c r="V102" s="231">
        <v>1.5475285401113594</v>
      </c>
      <c r="W102" s="245">
        <v>3.618697482</v>
      </c>
      <c r="X102" s="243">
        <v>2.2971812210000002</v>
      </c>
      <c r="Y102" s="231">
        <v>1.5752773220149876</v>
      </c>
      <c r="Z102" s="245">
        <v>3.6069932389999999</v>
      </c>
      <c r="AA102" s="243">
        <v>2.2338345799999999</v>
      </c>
      <c r="AB102" s="231">
        <v>1.6147091961482662</v>
      </c>
      <c r="AC102" s="245">
        <v>3.533312097</v>
      </c>
      <c r="AD102" s="243">
        <v>2.20616937</v>
      </c>
      <c r="AE102" s="231">
        <v>1.6015597646521582</v>
      </c>
      <c r="AF102" s="245">
        <v>3.6164638330000001</v>
      </c>
      <c r="AG102" s="243">
        <v>2.1548013429999999</v>
      </c>
      <c r="AH102" s="231">
        <v>1.6783281877692797</v>
      </c>
      <c r="AI102" s="245">
        <v>3.711247873</v>
      </c>
      <c r="AJ102" s="245">
        <v>2.1067787139999998</v>
      </c>
      <c r="AK102" s="231">
        <v>1.7615746012326572</v>
      </c>
      <c r="AL102" s="245">
        <v>3.6535417830000001</v>
      </c>
      <c r="AM102" s="245">
        <v>2.056233797</v>
      </c>
      <c r="AN102" s="231">
        <v>1.7768124365674942</v>
      </c>
      <c r="AO102" s="245">
        <v>3.7935171169999999</v>
      </c>
      <c r="AP102" s="245">
        <v>2.0295088859999999</v>
      </c>
      <c r="AQ102" s="231">
        <v>1.8691798509326656</v>
      </c>
      <c r="AR102" s="245">
        <v>3.5432162250000001</v>
      </c>
      <c r="AS102" s="245">
        <v>2.0112729630000001</v>
      </c>
      <c r="AT102" s="231">
        <v>1.7616784445384104</v>
      </c>
      <c r="AU102" s="245">
        <v>3.7631077400000001</v>
      </c>
      <c r="AV102" s="245">
        <v>2.0386165969999999</v>
      </c>
      <c r="AW102" s="231">
        <v>1.8459124415732402</v>
      </c>
      <c r="AX102" s="245">
        <v>3.6960579939999998</v>
      </c>
      <c r="AY102" s="245">
        <v>2.0695405579999999</v>
      </c>
      <c r="AZ102" s="231">
        <v>1.785931655078006</v>
      </c>
    </row>
    <row r="103" spans="1:52" s="141" customFormat="1">
      <c r="A103" s="200" t="s">
        <v>405</v>
      </c>
      <c r="B103" s="201" t="s">
        <v>255</v>
      </c>
      <c r="C103" s="201" t="s">
        <v>271</v>
      </c>
      <c r="D103" s="202" t="s">
        <v>285</v>
      </c>
      <c r="E103" s="245" t="e">
        <v>#N/A</v>
      </c>
      <c r="F103" s="243">
        <v>0.42068884400000001</v>
      </c>
      <c r="G103" s="231" t="e">
        <v>#N/A</v>
      </c>
      <c r="H103" s="245">
        <v>2.1598715990000001</v>
      </c>
      <c r="I103" s="243">
        <v>0.395254155</v>
      </c>
      <c r="J103" s="231">
        <v>5.4645133306694778</v>
      </c>
      <c r="K103" s="245">
        <v>2.1265660610000001</v>
      </c>
      <c r="L103" s="243">
        <v>0.39245084400000002</v>
      </c>
      <c r="M103" s="231">
        <v>5.4186813291704885</v>
      </c>
      <c r="N103" s="245">
        <v>1.992620668</v>
      </c>
      <c r="O103" s="243">
        <v>0.37765633500000001</v>
      </c>
      <c r="P103" s="231">
        <v>5.2762802668198328</v>
      </c>
      <c r="Q103" s="245">
        <v>1.962166579</v>
      </c>
      <c r="R103" s="243">
        <v>0.35570636999999999</v>
      </c>
      <c r="S103" s="231">
        <v>5.5162536982399279</v>
      </c>
      <c r="T103" s="245">
        <v>2.0435845289999999</v>
      </c>
      <c r="U103" s="243">
        <v>0.34368115799999999</v>
      </c>
      <c r="V103" s="231">
        <v>5.9461639994823337</v>
      </c>
      <c r="W103" s="245">
        <v>2.028076671</v>
      </c>
      <c r="X103" s="243">
        <v>0.34280761799999998</v>
      </c>
      <c r="Y103" s="231">
        <v>5.9160781864538379</v>
      </c>
      <c r="Z103" s="245">
        <v>2.0869859759999998</v>
      </c>
      <c r="AA103" s="243">
        <v>0.310778569</v>
      </c>
      <c r="AB103" s="231">
        <v>6.7153471448026387</v>
      </c>
      <c r="AC103" s="245">
        <v>2.1537033399999999</v>
      </c>
      <c r="AD103" s="243">
        <v>0.30005477200000003</v>
      </c>
      <c r="AE103" s="231">
        <v>7.177700676595137</v>
      </c>
      <c r="AF103" s="245">
        <v>2.2829037080000001</v>
      </c>
      <c r="AG103" s="243">
        <v>0.30814677200000001</v>
      </c>
      <c r="AH103" s="231">
        <v>7.4084946377436012</v>
      </c>
      <c r="AI103" s="245">
        <v>2.4033391389999998</v>
      </c>
      <c r="AJ103" s="245">
        <v>0.31108678000000001</v>
      </c>
      <c r="AK103" s="231">
        <v>7.7256228599620975</v>
      </c>
      <c r="AL103" s="245">
        <v>2.5211865250000001</v>
      </c>
      <c r="AM103" s="245">
        <v>0.30125169600000001</v>
      </c>
      <c r="AN103" s="231">
        <v>8.3690367837796344</v>
      </c>
      <c r="AO103" s="245">
        <v>2.4560015119999998</v>
      </c>
      <c r="AP103" s="245">
        <v>0.30452311300000001</v>
      </c>
      <c r="AQ103" s="231">
        <v>8.0650742329696321</v>
      </c>
      <c r="AR103" s="245">
        <v>2.547223555</v>
      </c>
      <c r="AS103" s="245">
        <v>0.30516217099999998</v>
      </c>
      <c r="AT103" s="231">
        <v>8.3471144101933916</v>
      </c>
      <c r="AU103" s="245">
        <v>2.4149449430000001</v>
      </c>
      <c r="AV103" s="245">
        <v>0.29626527800000002</v>
      </c>
      <c r="AW103" s="231">
        <v>8.1512925149466895</v>
      </c>
      <c r="AX103" s="245">
        <v>2.3624796340000001</v>
      </c>
      <c r="AY103" s="245">
        <v>0.28425553999999997</v>
      </c>
      <c r="AZ103" s="231">
        <v>8.3111120156180611</v>
      </c>
    </row>
    <row r="104" spans="1:52" s="141" customFormat="1">
      <c r="A104" s="200" t="s">
        <v>406</v>
      </c>
      <c r="B104" s="201" t="s">
        <v>255</v>
      </c>
      <c r="C104" s="201" t="s">
        <v>271</v>
      </c>
      <c r="D104" s="202" t="s">
        <v>286</v>
      </c>
      <c r="E104" s="245" t="e">
        <v>#N/A</v>
      </c>
      <c r="F104" s="243">
        <v>4.4993741209999998</v>
      </c>
      <c r="G104" s="231" t="e">
        <v>#N/A</v>
      </c>
      <c r="H104" s="245">
        <v>9.9885881179999991</v>
      </c>
      <c r="I104" s="243">
        <v>4.5236558870000003</v>
      </c>
      <c r="J104" s="231">
        <v>2.2080786796150922</v>
      </c>
      <c r="K104" s="245">
        <v>10.499741208</v>
      </c>
      <c r="L104" s="243">
        <v>4.6078739840000003</v>
      </c>
      <c r="M104" s="231">
        <v>2.2786519866772466</v>
      </c>
      <c r="N104" s="245">
        <v>11.152092673</v>
      </c>
      <c r="O104" s="243">
        <v>4.7056286539999999</v>
      </c>
      <c r="P104" s="231">
        <v>2.3699474593092278</v>
      </c>
      <c r="Q104" s="245">
        <v>11.648477851000001</v>
      </c>
      <c r="R104" s="243">
        <v>4.6716355639999998</v>
      </c>
      <c r="S104" s="231">
        <v>2.4934474642594364</v>
      </c>
      <c r="T104" s="245">
        <v>11.979145822</v>
      </c>
      <c r="U104" s="243">
        <v>4.6079221840000004</v>
      </c>
      <c r="V104" s="231">
        <v>2.5996849216757516</v>
      </c>
      <c r="W104" s="245">
        <v>12.176045220000001</v>
      </c>
      <c r="X104" s="243">
        <v>4.5540875879999998</v>
      </c>
      <c r="Y104" s="231">
        <v>2.673651963147091</v>
      </c>
      <c r="Z104" s="245">
        <v>12.151275144</v>
      </c>
      <c r="AA104" s="243">
        <v>4.4682069950000001</v>
      </c>
      <c r="AB104" s="231">
        <v>2.7194969162345175</v>
      </c>
      <c r="AC104" s="245">
        <v>12.20673114</v>
      </c>
      <c r="AD104" s="243">
        <v>4.3472476420000001</v>
      </c>
      <c r="AE104" s="231">
        <v>2.8079217346781187</v>
      </c>
      <c r="AF104" s="245">
        <v>12.639776305</v>
      </c>
      <c r="AG104" s="243">
        <v>4.2877108829999999</v>
      </c>
      <c r="AH104" s="231">
        <v>2.9479077880727527</v>
      </c>
      <c r="AI104" s="245">
        <v>12.907465114000001</v>
      </c>
      <c r="AJ104" s="245">
        <v>4.2060226700000003</v>
      </c>
      <c r="AK104" s="231">
        <v>3.0688054075562081</v>
      </c>
      <c r="AL104" s="245">
        <v>12.885484879</v>
      </c>
      <c r="AM104" s="245">
        <v>4.1009897950000003</v>
      </c>
      <c r="AN104" s="231">
        <v>3.1420426587528243</v>
      </c>
      <c r="AO104" s="245">
        <v>13.129701487</v>
      </c>
      <c r="AP104" s="245">
        <v>3.9457879230000001</v>
      </c>
      <c r="AQ104" s="231">
        <v>3.3275233599015706</v>
      </c>
      <c r="AR104" s="245">
        <v>13.120328417</v>
      </c>
      <c r="AS104" s="245">
        <v>3.7809153950000001</v>
      </c>
      <c r="AT104" s="231">
        <v>3.4701459954250047</v>
      </c>
      <c r="AU104" s="245">
        <v>12.81540253</v>
      </c>
      <c r="AV104" s="245">
        <v>3.637682232</v>
      </c>
      <c r="AW104" s="231">
        <v>3.5229582224817046</v>
      </c>
      <c r="AX104" s="245">
        <v>12.659901697</v>
      </c>
      <c r="AY104" s="245">
        <v>3.6058672980000002</v>
      </c>
      <c r="AZ104" s="231">
        <v>3.5109172497894847</v>
      </c>
    </row>
    <row r="105" spans="1:52" s="141" customFormat="1">
      <c r="A105" s="200" t="s">
        <v>407</v>
      </c>
      <c r="B105" s="201" t="s">
        <v>255</v>
      </c>
      <c r="C105" s="201" t="s">
        <v>271</v>
      </c>
      <c r="D105" s="202" t="s">
        <v>110</v>
      </c>
      <c r="E105" s="245" t="e">
        <v>#N/A</v>
      </c>
      <c r="F105" s="243">
        <v>6.6385362360000002</v>
      </c>
      <c r="G105" s="231" t="e">
        <v>#N/A</v>
      </c>
      <c r="H105" s="245">
        <v>10.981729037999999</v>
      </c>
      <c r="I105" s="243">
        <v>6.6139038479999996</v>
      </c>
      <c r="J105" s="231">
        <v>1.6604004670132604</v>
      </c>
      <c r="K105" s="245">
        <v>11.159415578000001</v>
      </c>
      <c r="L105" s="243">
        <v>6.6408882660000002</v>
      </c>
      <c r="M105" s="231">
        <v>1.6804100793464547</v>
      </c>
      <c r="N105" s="245">
        <v>11.129090385</v>
      </c>
      <c r="O105" s="243">
        <v>6.6246934409999998</v>
      </c>
      <c r="P105" s="231">
        <v>1.6799404356015091</v>
      </c>
      <c r="Q105" s="245">
        <v>10.877357832</v>
      </c>
      <c r="R105" s="243">
        <v>6.663154563</v>
      </c>
      <c r="S105" s="231">
        <v>1.6324636820525154</v>
      </c>
      <c r="T105" s="245">
        <v>10.866516173999999</v>
      </c>
      <c r="U105" s="243">
        <v>6.6329447699999999</v>
      </c>
      <c r="V105" s="231">
        <v>1.6382642326750445</v>
      </c>
      <c r="W105" s="245">
        <v>10.478267051</v>
      </c>
      <c r="X105" s="243">
        <v>6.5754330110000003</v>
      </c>
      <c r="Y105" s="231">
        <v>1.5935478368452651</v>
      </c>
      <c r="Z105" s="245">
        <v>10.106253036</v>
      </c>
      <c r="AA105" s="243">
        <v>6.4846409039999999</v>
      </c>
      <c r="AB105" s="231">
        <v>1.5584907762226337</v>
      </c>
      <c r="AC105" s="245">
        <v>9.9127442309999996</v>
      </c>
      <c r="AD105" s="243">
        <v>6.3921521869999998</v>
      </c>
      <c r="AE105" s="231">
        <v>1.550767869882695</v>
      </c>
      <c r="AF105" s="245">
        <v>10.184937965</v>
      </c>
      <c r="AG105" s="243">
        <v>6.2764278869999997</v>
      </c>
      <c r="AH105" s="231">
        <v>1.6227284290313395</v>
      </c>
      <c r="AI105" s="245">
        <v>10.297817754</v>
      </c>
      <c r="AJ105" s="245">
        <v>6.0308914390000004</v>
      </c>
      <c r="AK105" s="231">
        <v>1.7075117100279809</v>
      </c>
      <c r="AL105" s="245">
        <v>10.578440174000001</v>
      </c>
      <c r="AM105" s="245">
        <v>5.8656998439999999</v>
      </c>
      <c r="AN105" s="231">
        <v>1.8034404172284138</v>
      </c>
      <c r="AO105" s="245">
        <v>10.616051277</v>
      </c>
      <c r="AP105" s="245">
        <v>5.8305992450000002</v>
      </c>
      <c r="AQ105" s="231">
        <v>1.8207478907255956</v>
      </c>
      <c r="AR105" s="245">
        <v>10.974334447</v>
      </c>
      <c r="AS105" s="245">
        <v>5.6226407700000003</v>
      </c>
      <c r="AT105" s="231">
        <v>1.9518114167197631</v>
      </c>
      <c r="AU105" s="245">
        <v>11.003685055</v>
      </c>
      <c r="AV105" s="245">
        <v>5.385407582</v>
      </c>
      <c r="AW105" s="231">
        <v>2.0432409037671238</v>
      </c>
      <c r="AX105" s="245">
        <v>10.839309767</v>
      </c>
      <c r="AY105" s="245">
        <v>5.3859162600000001</v>
      </c>
      <c r="AZ105" s="231">
        <v>2.0125284619631274</v>
      </c>
    </row>
    <row r="106" spans="1:52" s="141" customFormat="1">
      <c r="A106" s="200" t="s">
        <v>408</v>
      </c>
      <c r="B106" s="201" t="s">
        <v>255</v>
      </c>
      <c r="C106" s="201" t="s">
        <v>271</v>
      </c>
      <c r="D106" s="202" t="s">
        <v>111</v>
      </c>
      <c r="E106" s="245" t="e">
        <v>#N/A</v>
      </c>
      <c r="F106" s="243">
        <v>5.6605469150000003</v>
      </c>
      <c r="G106" s="231" t="e">
        <v>#N/A</v>
      </c>
      <c r="H106" s="245">
        <v>8.4309188640000006</v>
      </c>
      <c r="I106" s="243">
        <v>5.68136609</v>
      </c>
      <c r="J106" s="231">
        <v>1.483959796014483</v>
      </c>
      <c r="K106" s="245">
        <v>8.5160159649999994</v>
      </c>
      <c r="L106" s="243">
        <v>5.5982496819999996</v>
      </c>
      <c r="M106" s="231">
        <v>1.5211925956752994</v>
      </c>
      <c r="N106" s="245">
        <v>8.0812001979999994</v>
      </c>
      <c r="O106" s="243">
        <v>5.5587719959999999</v>
      </c>
      <c r="P106" s="231">
        <v>1.4537743594835508</v>
      </c>
      <c r="Q106" s="245">
        <v>8.1636924739999994</v>
      </c>
      <c r="R106" s="243">
        <v>5.5361682739999996</v>
      </c>
      <c r="S106" s="231">
        <v>1.4746106097135587</v>
      </c>
      <c r="T106" s="245">
        <v>8.4328456349999996</v>
      </c>
      <c r="U106" s="243">
        <v>5.4819186049999997</v>
      </c>
      <c r="V106" s="231">
        <v>1.5383018688581933</v>
      </c>
      <c r="W106" s="245">
        <v>8.5580126980000006</v>
      </c>
      <c r="X106" s="243">
        <v>5.3886652000000002</v>
      </c>
      <c r="Y106" s="231">
        <v>1.5881507535483927</v>
      </c>
      <c r="Z106" s="245">
        <v>8.3778412309999997</v>
      </c>
      <c r="AA106" s="243">
        <v>5.4058897039999998</v>
      </c>
      <c r="AB106" s="231">
        <v>1.5497617764566956</v>
      </c>
      <c r="AC106" s="245">
        <v>8.6690225999999999</v>
      </c>
      <c r="AD106" s="243">
        <v>5.3549055570000004</v>
      </c>
      <c r="AE106" s="231">
        <v>1.6188936495187565</v>
      </c>
      <c r="AF106" s="245">
        <v>8.9607653819999999</v>
      </c>
      <c r="AG106" s="243">
        <v>5.3482981159999996</v>
      </c>
      <c r="AH106" s="231">
        <v>1.6754423907659377</v>
      </c>
      <c r="AI106" s="245">
        <v>8.9118694410000003</v>
      </c>
      <c r="AJ106" s="245">
        <v>5.2465992899999998</v>
      </c>
      <c r="AK106" s="231">
        <v>1.6985992160647743</v>
      </c>
      <c r="AL106" s="245">
        <v>8.7279979349999994</v>
      </c>
      <c r="AM106" s="245">
        <v>5.1013696040000003</v>
      </c>
      <c r="AN106" s="231">
        <v>1.7109126788532139</v>
      </c>
      <c r="AO106" s="245">
        <v>8.6905759210000006</v>
      </c>
      <c r="AP106" s="245">
        <v>5.0399071710000003</v>
      </c>
      <c r="AQ106" s="231">
        <v>1.7243523791482152</v>
      </c>
      <c r="AR106" s="245">
        <v>8.5007470390000002</v>
      </c>
      <c r="AS106" s="245">
        <v>4.9343632409999998</v>
      </c>
      <c r="AT106" s="231">
        <v>1.7227647466985498</v>
      </c>
      <c r="AU106" s="245">
        <v>8.0741451600000005</v>
      </c>
      <c r="AV106" s="245">
        <v>4.802258449</v>
      </c>
      <c r="AW106" s="231">
        <v>1.6813224956023187</v>
      </c>
      <c r="AX106" s="245">
        <v>7.9363908680000002</v>
      </c>
      <c r="AY106" s="245">
        <v>4.7653733139999996</v>
      </c>
      <c r="AZ106" s="231">
        <v>1.6654289905649144</v>
      </c>
    </row>
    <row r="107" spans="1:52" s="141" customFormat="1" ht="12">
      <c r="E107" s="222"/>
      <c r="F107" s="225"/>
      <c r="G107" s="237"/>
      <c r="H107" s="222"/>
      <c r="I107" s="222"/>
      <c r="J107" s="237"/>
      <c r="K107" s="222"/>
      <c r="L107" s="222"/>
      <c r="M107" s="237"/>
      <c r="N107" s="222"/>
      <c r="O107" s="222"/>
      <c r="P107" s="237"/>
      <c r="Q107" s="222"/>
      <c r="R107" s="222"/>
      <c r="S107" s="237"/>
      <c r="T107" s="222"/>
      <c r="U107" s="222"/>
      <c r="V107" s="237"/>
      <c r="W107" s="222"/>
      <c r="X107" s="222"/>
      <c r="Y107" s="237"/>
      <c r="Z107" s="222"/>
      <c r="AA107" s="222"/>
      <c r="AB107" s="237"/>
      <c r="AC107" s="222"/>
      <c r="AD107" s="222"/>
      <c r="AE107" s="237"/>
      <c r="AF107" s="222"/>
      <c r="AG107" s="222"/>
      <c r="AH107" s="237"/>
    </row>
    <row r="108" spans="1:52" s="141" customFormat="1" ht="12">
      <c r="D108" s="168" t="s">
        <v>288</v>
      </c>
      <c r="E108" s="222"/>
      <c r="F108" s="222"/>
      <c r="G108" s="237"/>
      <c r="H108" s="222"/>
      <c r="I108" s="222"/>
      <c r="J108" s="237"/>
      <c r="K108" s="222"/>
      <c r="L108" s="222"/>
      <c r="M108" s="237"/>
      <c r="N108" s="222"/>
      <c r="O108" s="222"/>
      <c r="P108" s="237"/>
      <c r="Q108" s="222"/>
      <c r="R108" s="222"/>
      <c r="S108" s="237"/>
      <c r="T108" s="222"/>
      <c r="U108" s="222"/>
      <c r="V108" s="237"/>
      <c r="W108" s="222"/>
      <c r="X108" s="222"/>
      <c r="Y108" s="237"/>
      <c r="Z108" s="222"/>
      <c r="AA108" s="222"/>
      <c r="AB108" s="237"/>
      <c r="AC108" s="222"/>
      <c r="AD108" s="222"/>
      <c r="AE108" s="237"/>
      <c r="AF108" s="222"/>
      <c r="AG108" s="222"/>
      <c r="AH108" s="237"/>
    </row>
    <row r="109" spans="1:52" s="141" customFormat="1" ht="12">
      <c r="D109" s="168" t="s">
        <v>290</v>
      </c>
      <c r="E109" s="222"/>
      <c r="F109" s="222"/>
      <c r="G109" s="237"/>
      <c r="H109" s="222"/>
      <c r="I109" s="222"/>
      <c r="J109" s="237"/>
      <c r="K109" s="222"/>
      <c r="L109" s="222"/>
      <c r="M109" s="237"/>
      <c r="N109" s="222"/>
      <c r="O109" s="222"/>
      <c r="P109" s="237"/>
      <c r="Q109" s="222"/>
      <c r="R109" s="222"/>
      <c r="S109" s="237"/>
      <c r="T109" s="222"/>
      <c r="U109" s="222"/>
      <c r="V109" s="237"/>
      <c r="W109" s="222"/>
      <c r="X109" s="222"/>
      <c r="Y109" s="237"/>
      <c r="Z109" s="222"/>
      <c r="AA109" s="222"/>
      <c r="AB109" s="237"/>
      <c r="AC109" s="222"/>
      <c r="AD109" s="222"/>
      <c r="AE109" s="237"/>
      <c r="AF109" s="222"/>
      <c r="AG109" s="222"/>
      <c r="AH109" s="237"/>
    </row>
    <row r="110" spans="1:52" s="141" customFormat="1" ht="12">
      <c r="D110" s="141" t="s">
        <v>269</v>
      </c>
      <c r="E110" s="222"/>
      <c r="F110" s="222"/>
      <c r="G110" s="237"/>
      <c r="H110" s="222"/>
      <c r="I110" s="222"/>
      <c r="J110" s="237"/>
      <c r="K110" s="222"/>
      <c r="L110" s="222"/>
      <c r="M110" s="237"/>
      <c r="N110" s="222"/>
      <c r="O110" s="222"/>
      <c r="P110" s="237"/>
      <c r="Q110" s="222"/>
      <c r="R110" s="222"/>
      <c r="S110" s="237"/>
      <c r="T110" s="222"/>
      <c r="U110" s="222"/>
      <c r="V110" s="237"/>
      <c r="W110" s="222"/>
      <c r="X110" s="222"/>
      <c r="Y110" s="237"/>
      <c r="Z110" s="222"/>
      <c r="AA110" s="222"/>
      <c r="AB110" s="237"/>
      <c r="AC110" s="222"/>
      <c r="AD110" s="222"/>
      <c r="AE110" s="237"/>
      <c r="AF110" s="222"/>
      <c r="AG110" s="222"/>
      <c r="AH110" s="237"/>
    </row>
    <row r="111" spans="1:52" s="141" customFormat="1">
      <c r="B111" s="99"/>
      <c r="C111" s="99"/>
      <c r="D111" s="141" t="s">
        <v>270</v>
      </c>
      <c r="E111" s="215"/>
      <c r="F111" s="215"/>
      <c r="G111" s="228"/>
      <c r="H111" s="215"/>
      <c r="I111" s="215"/>
      <c r="J111" s="228"/>
      <c r="K111" s="215"/>
      <c r="L111" s="215"/>
      <c r="M111" s="228"/>
      <c r="N111" s="215"/>
      <c r="O111" s="215"/>
      <c r="P111" s="228"/>
      <c r="Q111" s="225"/>
      <c r="R111" s="225"/>
      <c r="S111" s="228"/>
      <c r="T111" s="215"/>
      <c r="U111" s="215"/>
      <c r="V111" s="228"/>
      <c r="W111" s="215"/>
      <c r="X111" s="215"/>
      <c r="Y111" s="228"/>
      <c r="Z111" s="215"/>
      <c r="AA111" s="215"/>
      <c r="AB111" s="228"/>
      <c r="AC111" s="215"/>
      <c r="AD111" s="215"/>
      <c r="AE111" s="228"/>
      <c r="AF111" s="215"/>
      <c r="AG111" s="215"/>
      <c r="AH111" s="228"/>
    </row>
    <row r="112" spans="1:52" s="141" customFormat="1">
      <c r="B112" s="99"/>
      <c r="C112" s="99"/>
      <c r="D112"/>
      <c r="E112" s="223"/>
      <c r="F112" s="223"/>
      <c r="G112" s="238"/>
      <c r="H112" s="223"/>
      <c r="I112" s="223"/>
      <c r="J112" s="238"/>
      <c r="K112" s="223"/>
      <c r="L112" s="223"/>
      <c r="M112" s="238"/>
      <c r="N112" s="223"/>
      <c r="O112" s="223"/>
      <c r="P112" s="238"/>
      <c r="Q112" s="223"/>
      <c r="R112" s="223"/>
      <c r="S112" s="238"/>
      <c r="T112" s="223"/>
      <c r="U112" s="223"/>
      <c r="V112" s="238"/>
      <c r="W112" s="223"/>
      <c r="X112" s="223"/>
      <c r="Y112" s="228"/>
      <c r="Z112" s="215"/>
      <c r="AA112" s="215"/>
      <c r="AB112" s="228"/>
      <c r="AC112" s="215"/>
      <c r="AD112" s="215"/>
      <c r="AE112" s="228"/>
      <c r="AF112" s="215"/>
      <c r="AG112" s="215"/>
      <c r="AH112" s="228"/>
    </row>
    <row r="113" spans="5:18">
      <c r="E113" s="224"/>
      <c r="F113" s="224"/>
      <c r="G113" s="239"/>
      <c r="H113" s="224"/>
      <c r="I113" s="224"/>
      <c r="J113" s="239"/>
      <c r="K113" s="224"/>
      <c r="L113" s="224"/>
      <c r="M113" s="239"/>
      <c r="N113" s="224"/>
      <c r="P113" s="240"/>
      <c r="R113" s="215"/>
    </row>
    <row r="114" spans="5:18">
      <c r="E114" s="224"/>
      <c r="F114" s="224"/>
      <c r="G114" s="239"/>
      <c r="H114" s="224"/>
      <c r="I114" s="224"/>
      <c r="J114" s="239"/>
      <c r="K114" s="224"/>
      <c r="L114" s="224"/>
      <c r="M114" s="239"/>
      <c r="N114" s="224"/>
      <c r="P114" s="240"/>
      <c r="R114" s="215"/>
    </row>
    <row r="115" spans="5:18">
      <c r="E115" s="224"/>
      <c r="F115" s="224"/>
      <c r="G115" s="239"/>
      <c r="H115" s="224"/>
      <c r="I115" s="224"/>
      <c r="J115" s="239"/>
      <c r="K115" s="224"/>
      <c r="L115" s="224"/>
      <c r="M115" s="239"/>
      <c r="N115" s="224"/>
      <c r="P115" s="240"/>
      <c r="R115" s="215"/>
    </row>
    <row r="116" spans="5:18">
      <c r="E116" s="224"/>
      <c r="F116" s="224"/>
      <c r="G116" s="239"/>
      <c r="H116" s="224"/>
      <c r="I116" s="224"/>
      <c r="J116" s="239"/>
      <c r="K116" s="224"/>
      <c r="L116" s="224"/>
      <c r="M116" s="239"/>
      <c r="N116" s="224"/>
      <c r="P116" s="240"/>
      <c r="R116" s="215"/>
    </row>
    <row r="117" spans="5:18">
      <c r="E117" s="224"/>
      <c r="F117" s="224"/>
      <c r="G117" s="239"/>
      <c r="H117" s="224"/>
      <c r="I117" s="224"/>
      <c r="J117" s="239"/>
      <c r="K117" s="224"/>
      <c r="L117" s="224"/>
      <c r="M117" s="239"/>
      <c r="N117" s="224"/>
      <c r="P117" s="240"/>
      <c r="R117" s="215"/>
    </row>
    <row r="118" spans="5:18">
      <c r="E118" s="224"/>
      <c r="F118" s="224"/>
      <c r="G118" s="239"/>
      <c r="H118" s="224"/>
      <c r="I118" s="224"/>
      <c r="J118" s="239"/>
      <c r="K118" s="224"/>
      <c r="L118" s="224"/>
      <c r="M118" s="239"/>
      <c r="N118" s="224"/>
      <c r="P118" s="240"/>
      <c r="R118" s="215"/>
    </row>
    <row r="119" spans="5:18">
      <c r="E119" s="224"/>
      <c r="F119" s="224"/>
      <c r="G119" s="239"/>
      <c r="H119" s="224"/>
      <c r="I119" s="224"/>
      <c r="J119" s="239"/>
      <c r="K119" s="224"/>
      <c r="L119" s="224"/>
      <c r="M119" s="239"/>
      <c r="N119" s="224"/>
      <c r="P119" s="240"/>
      <c r="R119" s="215"/>
    </row>
    <row r="120" spans="5:18">
      <c r="E120" s="224"/>
      <c r="F120" s="224"/>
      <c r="G120" s="239"/>
      <c r="H120" s="224"/>
      <c r="I120" s="224"/>
      <c r="J120" s="239"/>
      <c r="K120" s="224"/>
      <c r="L120" s="224"/>
      <c r="M120" s="239"/>
      <c r="N120" s="224"/>
      <c r="P120" s="240"/>
      <c r="R120" s="215"/>
    </row>
    <row r="121" spans="5:18">
      <c r="E121" s="224"/>
      <c r="F121" s="224"/>
      <c r="G121" s="239"/>
      <c r="H121" s="224"/>
      <c r="I121" s="224"/>
      <c r="J121" s="239"/>
      <c r="K121" s="224"/>
      <c r="L121" s="224"/>
      <c r="M121" s="239"/>
      <c r="N121" s="224"/>
      <c r="P121" s="240"/>
      <c r="R121" s="215"/>
    </row>
    <row r="122" spans="5:18">
      <c r="E122" s="224"/>
      <c r="F122" s="224"/>
      <c r="G122" s="239"/>
      <c r="H122" s="224"/>
      <c r="I122" s="224"/>
      <c r="J122" s="239"/>
      <c r="K122" s="224"/>
      <c r="L122" s="224"/>
      <c r="M122" s="239"/>
      <c r="N122" s="224"/>
      <c r="P122" s="240"/>
      <c r="R122" s="215"/>
    </row>
    <row r="123" spans="5:18">
      <c r="E123" s="224"/>
      <c r="F123" s="224"/>
      <c r="G123" s="239"/>
      <c r="H123" s="224"/>
      <c r="I123" s="224"/>
      <c r="J123" s="239"/>
      <c r="K123" s="224"/>
      <c r="L123" s="224"/>
      <c r="M123" s="239"/>
      <c r="N123" s="224"/>
      <c r="P123" s="240"/>
      <c r="R123" s="215"/>
    </row>
    <row r="124" spans="5:18">
      <c r="E124" s="224"/>
      <c r="F124" s="224"/>
      <c r="G124" s="239"/>
      <c r="H124" s="224"/>
      <c r="I124" s="224"/>
      <c r="J124" s="239"/>
      <c r="K124" s="224"/>
      <c r="L124" s="224"/>
      <c r="M124" s="239"/>
      <c r="N124" s="224"/>
      <c r="P124" s="240"/>
      <c r="R124" s="215"/>
    </row>
    <row r="125" spans="5:18">
      <c r="E125" s="224"/>
      <c r="F125" s="224"/>
      <c r="G125" s="239"/>
      <c r="H125" s="224"/>
      <c r="I125" s="224"/>
      <c r="J125" s="239"/>
      <c r="K125" s="224"/>
      <c r="L125" s="224"/>
      <c r="M125" s="239"/>
      <c r="N125" s="224"/>
      <c r="P125" s="240"/>
      <c r="R125" s="215"/>
    </row>
    <row r="126" spans="5:18">
      <c r="E126" s="224"/>
      <c r="F126" s="224"/>
      <c r="G126" s="239"/>
      <c r="H126" s="224"/>
      <c r="I126" s="224"/>
      <c r="J126" s="239"/>
      <c r="K126" s="224"/>
      <c r="L126" s="224"/>
      <c r="M126" s="239"/>
      <c r="N126" s="224"/>
      <c r="P126" s="240"/>
      <c r="R126" s="215"/>
    </row>
    <row r="127" spans="5:18">
      <c r="E127" s="224"/>
      <c r="F127" s="224"/>
      <c r="G127" s="239"/>
      <c r="H127" s="224"/>
      <c r="I127" s="224"/>
      <c r="J127" s="239"/>
      <c r="K127" s="224"/>
      <c r="L127" s="224"/>
      <c r="M127" s="239"/>
      <c r="N127" s="224"/>
      <c r="P127" s="240"/>
      <c r="R127" s="215"/>
    </row>
    <row r="128" spans="5:18">
      <c r="E128" s="224"/>
      <c r="F128" s="224"/>
      <c r="G128" s="239"/>
      <c r="H128" s="224"/>
      <c r="I128" s="224"/>
      <c r="J128" s="239"/>
      <c r="K128" s="224"/>
      <c r="L128" s="224"/>
      <c r="M128" s="239"/>
      <c r="N128" s="224"/>
      <c r="P128" s="240"/>
      <c r="R128" s="215"/>
    </row>
    <row r="129" spans="5:18">
      <c r="E129" s="224"/>
      <c r="F129" s="224"/>
      <c r="G129" s="239"/>
      <c r="H129" s="224"/>
      <c r="I129" s="224"/>
      <c r="J129" s="239"/>
      <c r="K129" s="224"/>
      <c r="L129" s="224"/>
      <c r="M129" s="239"/>
      <c r="N129" s="224"/>
      <c r="P129" s="240"/>
      <c r="R129" s="215"/>
    </row>
    <row r="130" spans="5:18">
      <c r="E130" s="224"/>
      <c r="F130" s="224"/>
      <c r="G130" s="239"/>
      <c r="H130" s="224"/>
      <c r="I130" s="224"/>
      <c r="J130" s="239"/>
      <c r="K130" s="224"/>
      <c r="L130" s="224"/>
      <c r="M130" s="239"/>
      <c r="N130" s="224"/>
      <c r="P130" s="240"/>
      <c r="R130" s="215"/>
    </row>
    <row r="131" spans="5:18">
      <c r="E131" s="224"/>
      <c r="F131" s="224"/>
      <c r="G131" s="239"/>
      <c r="H131" s="224"/>
      <c r="I131" s="224"/>
      <c r="J131" s="239"/>
      <c r="K131" s="224"/>
      <c r="L131" s="224"/>
      <c r="M131" s="239"/>
      <c r="N131" s="224"/>
      <c r="P131" s="240"/>
      <c r="R131" s="215"/>
    </row>
    <row r="132" spans="5:18">
      <c r="E132" s="224"/>
      <c r="F132" s="224"/>
      <c r="G132" s="239"/>
      <c r="H132" s="224"/>
      <c r="I132" s="224"/>
      <c r="J132" s="239"/>
      <c r="K132" s="224"/>
      <c r="L132" s="224"/>
      <c r="M132" s="239"/>
      <c r="N132" s="224"/>
      <c r="P132" s="240"/>
      <c r="R132" s="215"/>
    </row>
    <row r="133" spans="5:18">
      <c r="E133" s="224"/>
      <c r="F133" s="224"/>
      <c r="G133" s="239"/>
      <c r="H133" s="224"/>
      <c r="I133" s="224"/>
      <c r="J133" s="239"/>
      <c r="K133" s="224"/>
      <c r="L133" s="224"/>
      <c r="M133" s="239"/>
      <c r="N133" s="224"/>
      <c r="P133" s="240"/>
      <c r="R133" s="215"/>
    </row>
    <row r="134" spans="5:18">
      <c r="E134" s="224"/>
      <c r="F134" s="224"/>
      <c r="G134" s="239"/>
      <c r="H134" s="224"/>
      <c r="I134" s="224"/>
      <c r="J134" s="239"/>
      <c r="K134" s="224"/>
      <c r="L134" s="224"/>
      <c r="M134" s="239"/>
      <c r="N134" s="224"/>
      <c r="P134" s="240"/>
      <c r="R134" s="215"/>
    </row>
    <row r="135" spans="5:18">
      <c r="E135" s="224"/>
      <c r="F135" s="224"/>
      <c r="G135" s="239"/>
      <c r="H135" s="224"/>
      <c r="I135" s="224"/>
      <c r="J135" s="239"/>
      <c r="K135" s="224"/>
      <c r="L135" s="224"/>
      <c r="M135" s="239"/>
      <c r="N135" s="224"/>
      <c r="P135" s="240"/>
      <c r="R135" s="215"/>
    </row>
    <row r="136" spans="5:18">
      <c r="P136" s="240"/>
      <c r="R136" s="215"/>
    </row>
    <row r="137" spans="5:18">
      <c r="P137" s="240"/>
      <c r="R137" s="215"/>
    </row>
    <row r="138" spans="5:18">
      <c r="P138" s="240"/>
      <c r="R138" s="215"/>
    </row>
    <row r="139" spans="5:18">
      <c r="P139" s="240"/>
      <c r="R139" s="215"/>
    </row>
    <row r="140" spans="5:18">
      <c r="P140" s="240"/>
      <c r="R140" s="215"/>
    </row>
    <row r="141" spans="5:18">
      <c r="P141" s="240"/>
      <c r="R141" s="215"/>
    </row>
  </sheetData>
  <sheetProtection formatCells="0" formatColumns="0" formatRows="0" insertColumns="0" insertRows="0" insertHyperlinks="0" deleteColumns="0" deleteRows="0" selectLockedCells="1" sort="0" autoFilter="0" pivotTables="0"/>
  <phoneticPr fontId="19" type="noConversion"/>
  <pageMargins left="0.75" right="0.75" top="1" bottom="1" header="0.5" footer="0.5"/>
  <pageSetup scale="97" pageOrder="overThenDown" orientation="landscape" r:id="rId1"/>
  <headerFooter alignWithMargins="0"/>
  <rowBreaks count="3" manualBreakCount="3">
    <brk id="30" min="1" max="24" man="1"/>
    <brk id="58" min="1" max="24" man="1"/>
    <brk id="84" min="1" max="24" man="1"/>
  </rowBreaks>
  <colBreaks count="2" manualBreakCount="2">
    <brk id="13" max="1048575" man="1"/>
    <brk id="22" max="102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10"/>
  <dimension ref="A1:C17"/>
  <sheetViews>
    <sheetView showGridLines="0" showRowColHeaders="0" workbookViewId="0"/>
  </sheetViews>
  <sheetFormatPr defaultRowHeight="12.75" customHeight="1"/>
  <cols>
    <col min="1" max="1" width="10.5703125" style="72" customWidth="1"/>
    <col min="2" max="2" width="15.85546875" style="72" customWidth="1"/>
    <col min="3" max="3" width="31" style="72" customWidth="1"/>
    <col min="4" max="10" width="9.140625" style="72"/>
    <col min="11" max="11" width="9.42578125" style="72" customWidth="1"/>
    <col min="12" max="16384" width="9.140625" style="72"/>
  </cols>
  <sheetData>
    <row r="1" spans="1:3" ht="18" customHeight="1">
      <c r="A1" s="80" t="s">
        <v>287</v>
      </c>
    </row>
    <row r="2" spans="1:3" ht="20.100000000000001" customHeight="1">
      <c r="A2" s="85" t="str">
        <f>TRIM(Registry)&amp;", Year of Diagnosis "&amp;CaseYear</f>
        <v>Alabama, Year of Diagnosis 2010</v>
      </c>
    </row>
    <row r="4" spans="1:3" ht="12.75" customHeight="1">
      <c r="A4" s="75" t="s">
        <v>83</v>
      </c>
    </row>
    <row r="6" spans="1:3" ht="12.75" customHeight="1">
      <c r="A6" s="75">
        <v>0.2</v>
      </c>
      <c r="B6" s="72" t="s">
        <v>242</v>
      </c>
    </row>
    <row r="7" spans="1:3" ht="12.75" customHeight="1">
      <c r="A7" s="75">
        <v>0.2</v>
      </c>
      <c r="B7" s="72" t="s">
        <v>243</v>
      </c>
    </row>
    <row r="10" spans="1:3" ht="12.75" customHeight="1">
      <c r="A10" s="72" t="s">
        <v>319</v>
      </c>
    </row>
    <row r="12" spans="1:3" ht="12.75" customHeight="1" thickBot="1">
      <c r="A12" s="81" t="s">
        <v>244</v>
      </c>
      <c r="B12" s="81" t="s">
        <v>245</v>
      </c>
      <c r="C12" s="82" t="s">
        <v>246</v>
      </c>
    </row>
    <row r="13" spans="1:3" ht="12.75" customHeight="1">
      <c r="A13" s="72">
        <f>CaseYear</f>
        <v>2010</v>
      </c>
      <c r="B13" s="169">
        <f>CaseYear</f>
        <v>2010</v>
      </c>
      <c r="C13" s="72" t="s">
        <v>247</v>
      </c>
    </row>
    <row r="14" spans="1:3" ht="12.75" customHeight="1">
      <c r="A14" s="72">
        <f>IF(Registry="Wyoming",CaseYear-2,IF(Registry="Northwest Territory",CaseYear-2,IF(Registry="Prince Edward Island",CaseYear-2,IF(Registry="Yukon",CaseYear-2,CaseYear-1))))</f>
        <v>2009</v>
      </c>
      <c r="B14" s="169">
        <f>CaseYear</f>
        <v>2010</v>
      </c>
      <c r="C14" s="72" t="s">
        <v>248</v>
      </c>
    </row>
    <row r="15" spans="1:3" ht="12.75" customHeight="1">
      <c r="A15" s="72">
        <f>CaseYear-4</f>
        <v>2006</v>
      </c>
      <c r="B15" s="169">
        <f>CaseYear</f>
        <v>2010</v>
      </c>
      <c r="C15" s="72" t="s">
        <v>249</v>
      </c>
    </row>
    <row r="16" spans="1:3" ht="12.75" customHeight="1">
      <c r="A16" s="72">
        <f>CaseYear-4</f>
        <v>2006</v>
      </c>
      <c r="B16" s="169">
        <f>CaseYear</f>
        <v>2010</v>
      </c>
      <c r="C16" s="72" t="s">
        <v>250</v>
      </c>
    </row>
    <row r="17" spans="1:3" ht="12.75" customHeight="1">
      <c r="A17" s="72">
        <f>CaseYear-4</f>
        <v>2006</v>
      </c>
      <c r="B17" s="169">
        <f>CaseYear</f>
        <v>2010</v>
      </c>
      <c r="C17" s="72" t="s">
        <v>251</v>
      </c>
    </row>
  </sheetData>
  <phoneticPr fontId="19" type="noConversion"/>
  <pageMargins left="0.5" right="0.5" top="0.5" bottom="0.5" header="0.5" footer="0.5"/>
  <pageSetup orientation="portrait" r:id="rId1"/>
  <headerFooter alignWithMargins="0">
    <oddFooter>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41</vt:i4>
      </vt:variant>
    </vt:vector>
  </HeadingPairs>
  <TitlesOfParts>
    <vt:vector size="50" baseType="lpstr">
      <vt:lpstr>Completeness Report</vt:lpstr>
      <vt:lpstr>RegistryInfo</vt:lpstr>
      <vt:lpstr>Blacks</vt:lpstr>
      <vt:lpstr>Whites</vt:lpstr>
      <vt:lpstr>Instructions</vt:lpstr>
      <vt:lpstr>Documentation</vt:lpstr>
      <vt:lpstr>Pops by Race and Sex</vt:lpstr>
      <vt:lpstr>SEER US MORT Rates</vt:lpstr>
      <vt:lpstr>Adjustment Info</vt:lpstr>
      <vt:lpstr>AdjHigh</vt:lpstr>
      <vt:lpstr>AdjLow</vt:lpstr>
      <vt:lpstr>AllRacesFemalePop</vt:lpstr>
      <vt:lpstr>AllRacesMalePop</vt:lpstr>
      <vt:lpstr>AllRacesTotalPop</vt:lpstr>
      <vt:lpstr>BlackComplete</vt:lpstr>
      <vt:lpstr>BlackFemalePop</vt:lpstr>
      <vt:lpstr>BlackMalePop</vt:lpstr>
      <vt:lpstr>BlackPop</vt:lpstr>
      <vt:lpstr>CaseEnd</vt:lpstr>
      <vt:lpstr>CaseStart</vt:lpstr>
      <vt:lpstr>CaseYear</vt:lpstr>
      <vt:lpstr>IncidenceCases</vt:lpstr>
      <vt:lpstr>PercentDups</vt:lpstr>
      <vt:lpstr>PopSexData</vt:lpstr>
      <vt:lpstr>'Completeness Report'!Print_Area</vt:lpstr>
      <vt:lpstr>'Pops by Race and Sex'!Print_Area</vt:lpstr>
      <vt:lpstr>'SEER US MORT Rates'!Print_Area</vt:lpstr>
      <vt:lpstr>'Pops by Race and Sex'!Print_Titles</vt:lpstr>
      <vt:lpstr>RaceSexRegistry</vt:lpstr>
      <vt:lpstr>RateData</vt:lpstr>
      <vt:lpstr>RefSiteBF</vt:lpstr>
      <vt:lpstr>RefSiteBM</vt:lpstr>
      <vt:lpstr>RefSiteWF</vt:lpstr>
      <vt:lpstr>RefSiteWM</vt:lpstr>
      <vt:lpstr>registries</vt:lpstr>
      <vt:lpstr>Registry</vt:lpstr>
      <vt:lpstr>Registry_Type</vt:lpstr>
      <vt:lpstr>RegMCurrentEnd</vt:lpstr>
      <vt:lpstr>RegMCurrentStart</vt:lpstr>
      <vt:lpstr>RegMRefEnd</vt:lpstr>
      <vt:lpstr>RegMRefStart</vt:lpstr>
      <vt:lpstr>SEEREnd</vt:lpstr>
      <vt:lpstr>SEERStart</vt:lpstr>
      <vt:lpstr>summary_pops</vt:lpstr>
      <vt:lpstr>USMortEnd</vt:lpstr>
      <vt:lpstr>USMortStart</vt:lpstr>
      <vt:lpstr>WhiteComplete</vt:lpstr>
      <vt:lpstr>WhiteFemalePop</vt:lpstr>
      <vt:lpstr>WhiteMalePop</vt:lpstr>
      <vt:lpstr>WhitePop</vt:lpstr>
    </vt:vector>
  </TitlesOfParts>
  <Company>IMS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Miller</dc:creator>
  <cp:lastModifiedBy>howew</cp:lastModifiedBy>
  <cp:lastPrinted>2009-08-27T14:19:54Z</cp:lastPrinted>
  <dcterms:created xsi:type="dcterms:W3CDTF">2000-09-07T15:01:47Z</dcterms:created>
  <dcterms:modified xsi:type="dcterms:W3CDTF">2013-05-31T16:07:28Z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-614811087</vt:i4>
  </property>
  <property fmtid="{D5CDD505-2E9C-101B-9397-08002B2CF9AE}" pid="3" name="_EmailSubject">
    <vt:lpwstr>More updated version</vt:lpwstr>
  </property>
  <property fmtid="{D5CDD505-2E9C-101B-9397-08002B2CF9AE}" pid="4" name="_AuthorEmail">
    <vt:lpwstr>roneyd@imsweb.com</vt:lpwstr>
  </property>
  <property fmtid="{D5CDD505-2E9C-101B-9397-08002B2CF9AE}" pid="5" name="_AuthorEmailDisplayName">
    <vt:lpwstr>Roney, David (IMS)</vt:lpwstr>
  </property>
  <property fmtid="{D5CDD505-2E9C-101B-9397-08002B2CF9AE}" pid="6" name="_PreviousAdHocReviewCycleID">
    <vt:i4>-1100314050</vt:i4>
  </property>
  <property fmtid="{D5CDD505-2E9C-101B-9397-08002B2CF9AE}" pid="7" name="_ReviewingToolsShownOnce">
    <vt:lpwstr/>
  </property>
</Properties>
</file>