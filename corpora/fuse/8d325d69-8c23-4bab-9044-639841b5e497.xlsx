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12" windowWidth="19008" windowHeight="8040"/>
  </bookViews>
  <sheets>
    <sheet name="Overall" sheetId="1" r:id="rId1"/>
  </sheets>
  <externalReferences>
    <externalReference r:id="rId2"/>
  </externalReferences>
  <calcPr calcId="144525" concurrentCalc="0"/>
</workbook>
</file>

<file path=xl/calcChain.xml><?xml version="1.0" encoding="utf-8"?>
<calcChain xmlns="http://schemas.openxmlformats.org/spreadsheetml/2006/main">
  <c r="C118" i="1"/>
  <c r="B118"/>
  <c r="A118"/>
  <c r="C117"/>
  <c r="B117"/>
  <c r="A117"/>
  <c r="C116"/>
  <c r="B116"/>
  <c r="A116"/>
  <c r="C115"/>
  <c r="B115"/>
  <c r="A115"/>
  <c r="C114"/>
  <c r="B114"/>
  <c r="A114"/>
  <c r="C105"/>
  <c r="B105"/>
  <c r="A105"/>
  <c r="C104"/>
  <c r="B104"/>
  <c r="A104"/>
  <c r="C103"/>
  <c r="B103"/>
  <c r="A103"/>
  <c r="C102"/>
  <c r="B102"/>
  <c r="A102"/>
  <c r="H100"/>
  <c r="G100"/>
  <c r="F100"/>
  <c r="E100"/>
  <c r="D100"/>
  <c r="C100"/>
  <c r="B100"/>
  <c r="A100"/>
  <c r="H99"/>
  <c r="G99"/>
  <c r="F99"/>
  <c r="E99"/>
  <c r="D99"/>
  <c r="C99"/>
  <c r="B99"/>
  <c r="A99"/>
  <c r="H98"/>
  <c r="G98"/>
  <c r="F98"/>
  <c r="E98"/>
  <c r="D98"/>
  <c r="C98"/>
  <c r="B98"/>
  <c r="A98"/>
  <c r="H97"/>
  <c r="G97"/>
  <c r="F97"/>
  <c r="E97"/>
  <c r="D97"/>
  <c r="C97"/>
  <c r="B97"/>
  <c r="A97"/>
  <c r="H96"/>
  <c r="G96"/>
  <c r="F96"/>
  <c r="E96"/>
  <c r="D96"/>
  <c r="C96"/>
  <c r="B96"/>
  <c r="A96"/>
  <c r="C95"/>
  <c r="B95"/>
  <c r="A95"/>
  <c r="C94"/>
  <c r="B94"/>
  <c r="A94"/>
  <c r="C93"/>
  <c r="B93"/>
  <c r="A93"/>
  <c r="H91"/>
  <c r="G91"/>
  <c r="F91"/>
  <c r="E91"/>
  <c r="D91"/>
  <c r="C91"/>
  <c r="B91"/>
  <c r="A91"/>
  <c r="H90"/>
  <c r="G90"/>
  <c r="F90"/>
  <c r="E90"/>
  <c r="D90"/>
  <c r="C90"/>
  <c r="B90"/>
  <c r="A90"/>
  <c r="H89"/>
  <c r="G89"/>
  <c r="F89"/>
  <c r="E89"/>
  <c r="D89"/>
  <c r="C89"/>
  <c r="B89"/>
  <c r="A89"/>
  <c r="H88"/>
  <c r="G88"/>
  <c r="F88"/>
  <c r="E88"/>
  <c r="D88"/>
  <c r="C88"/>
  <c r="B88"/>
  <c r="A88"/>
  <c r="H87"/>
  <c r="G87"/>
  <c r="F87"/>
  <c r="E87"/>
  <c r="D87"/>
  <c r="C87"/>
  <c r="B87"/>
  <c r="A87"/>
  <c r="C86"/>
  <c r="B86"/>
  <c r="A86"/>
  <c r="C85"/>
  <c r="B85"/>
  <c r="A85"/>
  <c r="C84"/>
  <c r="B84"/>
  <c r="A84"/>
  <c r="C83"/>
  <c r="B83"/>
  <c r="A83"/>
  <c r="C82"/>
  <c r="B82"/>
  <c r="A82"/>
  <c r="C81"/>
  <c r="B81"/>
  <c r="A81"/>
  <c r="C80"/>
  <c r="B80"/>
  <c r="A80"/>
  <c r="E79"/>
  <c r="D79"/>
  <c r="C79"/>
  <c r="B79"/>
  <c r="A79"/>
  <c r="H75"/>
  <c r="G75"/>
  <c r="F75"/>
  <c r="E75"/>
  <c r="D75"/>
  <c r="C75"/>
  <c r="B75"/>
  <c r="A75"/>
  <c r="H74"/>
  <c r="G74"/>
  <c r="F74"/>
  <c r="E74"/>
  <c r="D74"/>
  <c r="C74"/>
  <c r="B74"/>
  <c r="A74"/>
  <c r="H73"/>
  <c r="G73"/>
  <c r="F73"/>
  <c r="E73"/>
  <c r="D73"/>
  <c r="C73"/>
  <c r="B73"/>
  <c r="A73"/>
  <c r="C72"/>
  <c r="B72"/>
  <c r="A72"/>
  <c r="C71"/>
  <c r="B71"/>
  <c r="A71"/>
  <c r="C70"/>
  <c r="B70"/>
  <c r="A70"/>
  <c r="C69"/>
  <c r="B69"/>
  <c r="A69"/>
  <c r="C68"/>
  <c r="B68"/>
  <c r="A68"/>
  <c r="C67"/>
  <c r="B67"/>
  <c r="A67"/>
  <c r="C66"/>
  <c r="B66"/>
  <c r="A66"/>
  <c r="C65"/>
  <c r="B65"/>
  <c r="A65"/>
  <c r="E64"/>
  <c r="D64"/>
  <c r="C64"/>
  <c r="B64"/>
  <c r="A64"/>
  <c r="E63"/>
  <c r="D63"/>
  <c r="C63"/>
  <c r="B63"/>
  <c r="A63"/>
  <c r="E62"/>
  <c r="D62"/>
  <c r="C62"/>
  <c r="B62"/>
  <c r="A62"/>
  <c r="E61"/>
  <c r="D61"/>
  <c r="C61"/>
  <c r="B61"/>
  <c r="A61"/>
  <c r="H57"/>
  <c r="G57"/>
  <c r="F57"/>
  <c r="E57"/>
  <c r="D57"/>
  <c r="C57"/>
  <c r="B57"/>
  <c r="A57"/>
  <c r="H56"/>
  <c r="G56"/>
  <c r="F56"/>
  <c r="E56"/>
  <c r="D56"/>
  <c r="C56"/>
  <c r="B56"/>
  <c r="A56"/>
  <c r="H55"/>
  <c r="G55"/>
  <c r="F55"/>
  <c r="E55"/>
  <c r="D55"/>
  <c r="C55"/>
  <c r="B55"/>
  <c r="A55"/>
  <c r="H54"/>
  <c r="G54"/>
  <c r="F54"/>
  <c r="E54"/>
  <c r="D54"/>
  <c r="C54"/>
  <c r="B54"/>
  <c r="A54"/>
  <c r="C53"/>
  <c r="B53"/>
  <c r="A53"/>
  <c r="C52"/>
  <c r="B52"/>
  <c r="A52"/>
  <c r="C51"/>
  <c r="B51"/>
  <c r="A51"/>
  <c r="C50"/>
  <c r="B50"/>
  <c r="A50"/>
  <c r="C49"/>
  <c r="B49"/>
  <c r="A49"/>
  <c r="C48"/>
  <c r="B48"/>
  <c r="A48"/>
  <c r="C47"/>
  <c r="B47"/>
  <c r="A47"/>
  <c r="C46"/>
  <c r="B46"/>
  <c r="A46"/>
  <c r="E45"/>
  <c r="D45"/>
  <c r="C45"/>
  <c r="B45"/>
  <c r="A45"/>
  <c r="E44"/>
  <c r="D44"/>
  <c r="C44"/>
  <c r="B44"/>
  <c r="A44"/>
  <c r="E43"/>
  <c r="D43"/>
  <c r="C43"/>
  <c r="B43"/>
  <c r="A43"/>
  <c r="E42"/>
  <c r="D42"/>
  <c r="C42"/>
  <c r="B42"/>
  <c r="A42"/>
  <c r="E41"/>
  <c r="D41"/>
  <c r="C41"/>
  <c r="B41"/>
  <c r="A41"/>
  <c r="H37"/>
  <c r="G37"/>
  <c r="F37"/>
  <c r="E37"/>
  <c r="D37"/>
  <c r="C37"/>
  <c r="B37"/>
  <c r="A37"/>
  <c r="H36"/>
  <c r="G36"/>
  <c r="F36"/>
  <c r="E36"/>
  <c r="D36"/>
  <c r="C36"/>
  <c r="B36"/>
  <c r="A36"/>
  <c r="H35"/>
  <c r="G35"/>
  <c r="F35"/>
  <c r="E35"/>
  <c r="D35"/>
  <c r="C35"/>
  <c r="B35"/>
  <c r="A35"/>
  <c r="H34"/>
  <c r="G34"/>
  <c r="F34"/>
  <c r="E34"/>
  <c r="D34"/>
  <c r="C34"/>
  <c r="B34"/>
  <c r="A34"/>
  <c r="C33"/>
  <c r="B33"/>
  <c r="A33"/>
  <c r="C32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E25"/>
  <c r="D25"/>
  <c r="C25"/>
  <c r="B25"/>
  <c r="A25"/>
  <c r="E24"/>
  <c r="D24"/>
  <c r="C24"/>
  <c r="B24"/>
  <c r="A24"/>
  <c r="E23"/>
  <c r="D23"/>
  <c r="C23"/>
  <c r="B23"/>
  <c r="A23"/>
  <c r="H19"/>
  <c r="G19"/>
  <c r="F19"/>
  <c r="E19"/>
  <c r="D19"/>
  <c r="C19"/>
  <c r="B19"/>
  <c r="A19"/>
  <c r="H18"/>
  <c r="G18"/>
  <c r="F18"/>
  <c r="E18"/>
  <c r="D18"/>
  <c r="C18"/>
  <c r="B18"/>
  <c r="A18"/>
  <c r="H17"/>
  <c r="G17"/>
  <c r="F17"/>
  <c r="E17"/>
  <c r="D17"/>
  <c r="C17"/>
  <c r="B17"/>
  <c r="A17"/>
  <c r="H16"/>
  <c r="G16"/>
  <c r="F16"/>
  <c r="E16"/>
  <c r="D16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E7"/>
  <c r="D7"/>
  <c r="C7"/>
  <c r="B7"/>
  <c r="A7"/>
  <c r="E6"/>
  <c r="D6"/>
  <c r="C6"/>
  <c r="B6"/>
  <c r="A6"/>
  <c r="E5"/>
  <c r="D5"/>
  <c r="C5"/>
  <c r="B5"/>
  <c r="A5"/>
  <c r="E4"/>
  <c r="D4"/>
  <c r="C4"/>
  <c r="B4"/>
  <c r="E3"/>
  <c r="D3"/>
  <c r="C3"/>
  <c r="B3"/>
</calcChain>
</file>

<file path=xl/comments1.xml><?xml version="1.0" encoding="utf-8"?>
<comments xmlns="http://schemas.openxmlformats.org/spreadsheetml/2006/main">
  <authors>
    <author>Ken Ontko</author>
  </authors>
  <commentList>
    <comment ref="B28" authorId="0">
      <text>
        <r>
          <rPr>
            <b/>
            <sz val="9"/>
            <color indexed="81"/>
            <rFont val="Tahoma"/>
            <family val="2"/>
          </rPr>
          <t>Ken Ontko:</t>
        </r>
        <r>
          <rPr>
            <sz val="9"/>
            <color indexed="81"/>
            <rFont val="Tahoma"/>
            <family val="2"/>
          </rPr>
          <t xml:space="preserve">
$.27 less than 2GB model from SCW.</t>
        </r>
      </text>
    </comment>
  </commentList>
</comments>
</file>

<file path=xl/sharedStrings.xml><?xml version="1.0" encoding="utf-8"?>
<sst xmlns="http://schemas.openxmlformats.org/spreadsheetml/2006/main" count="33" uniqueCount="33">
  <si>
    <t>Model/Size</t>
  </si>
  <si>
    <t>Dell</t>
  </si>
  <si>
    <t>Souther Computer Warehouse (SCW)</t>
  </si>
  <si>
    <r>
      <t xml:space="preserve">Accuuvent                                       </t>
    </r>
    <r>
      <rPr>
        <b/>
        <sz val="11"/>
        <color rgb="FFFF0000"/>
        <rFont val="Calibri"/>
        <family val="2"/>
        <scheme val="minor"/>
      </rPr>
      <t>1-1,499 devices on one PO</t>
    </r>
  </si>
  <si>
    <t>Accuuvent                                       1,500-4,999 devices on one PO</t>
  </si>
  <si>
    <t>Accuuvent                                       5000+ devices on one PO</t>
  </si>
  <si>
    <t>2 GB Devices</t>
  </si>
  <si>
    <t>4 GB Devices</t>
  </si>
  <si>
    <t>8 GB Devices</t>
  </si>
  <si>
    <t>16 GB Devices</t>
  </si>
  <si>
    <t>32 GB Devices</t>
  </si>
  <si>
    <t>64 GB Devices</t>
  </si>
  <si>
    <t>128 GB Devices</t>
  </si>
  <si>
    <t>Device Management Software Costs</t>
  </si>
  <si>
    <t>IronKey Enterprise Management Service 1YR</t>
  </si>
  <si>
    <t>2FIPS -$16.80    4FIPS-$16.56</t>
  </si>
  <si>
    <t>IronKey Enterprise Management Service 2YR</t>
  </si>
  <si>
    <t>2FIPS-$31.50    4FIPS-$31.05</t>
  </si>
  <si>
    <t>IronKey Enterprise Management Service 3YR</t>
  </si>
  <si>
    <t>2FIPS - $42.00 4FIPS - $41.40</t>
  </si>
  <si>
    <t>IronKey Enterprise Server</t>
  </si>
  <si>
    <t>IronKey 2GB Personal D200 - 2FIPS</t>
  </si>
  <si>
    <t>IronKey 4 GB Personal D200 - 2FIPS</t>
  </si>
  <si>
    <t>IronKey 8 GB Personal D200 - 2FIPS</t>
  </si>
  <si>
    <t>IronKey 8 GB Enterprise D200 - 4FIPS</t>
  </si>
  <si>
    <t>IronKey 4 GB Enterprise D200 - 4FIPS</t>
  </si>
  <si>
    <t>IronKey 2GB Enterprise D200 - 4FIPS</t>
  </si>
  <si>
    <t>IronKey 16 GB Personal D200 - 2FIPS</t>
  </si>
  <si>
    <t>IronKey 16 GB Enterprise D200 - 4FIPS</t>
  </si>
  <si>
    <t>IronKey 32 GB Personal D200 - 2FIPS</t>
  </si>
  <si>
    <t>IronKey 32 GB Enterprise D200 - 4FIPS</t>
  </si>
  <si>
    <t>CarahSoft ** &lt;20 (Per Order)</t>
  </si>
  <si>
    <t xml:space="preserve">CarahSoft **&gt;20 (Per Order) and Renewal 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</si>
</sst>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49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0" fontId="4" fillId="0" borderId="3" xfId="0" applyFont="1" applyBorder="1"/>
    <xf numFmtId="44" fontId="0" fillId="0" borderId="4" xfId="1" applyFont="1" applyBorder="1"/>
    <xf numFmtId="44" fontId="0" fillId="0" borderId="2" xfId="1" applyFont="1" applyBorder="1"/>
    <xf numFmtId="44" fontId="0" fillId="2" borderId="2" xfId="1" applyFont="1" applyFill="1" applyBorder="1"/>
    <xf numFmtId="44" fontId="0" fillId="3" borderId="2" xfId="1" applyFont="1" applyFill="1" applyBorder="1"/>
    <xf numFmtId="0" fontId="0" fillId="4" borderId="6" xfId="0" applyFill="1" applyBorder="1"/>
    <xf numFmtId="44" fontId="0" fillId="0" borderId="4" xfId="1" applyFont="1" applyFill="1" applyBorder="1"/>
    <xf numFmtId="44" fontId="0" fillId="4" borderId="2" xfId="1" applyFont="1" applyFill="1" applyBorder="1"/>
    <xf numFmtId="0" fontId="0" fillId="0" borderId="6" xfId="0" applyBorder="1"/>
    <xf numFmtId="0" fontId="2" fillId="4" borderId="6" xfId="0" applyFont="1" applyFill="1" applyBorder="1"/>
    <xf numFmtId="44" fontId="2" fillId="4" borderId="4" xfId="1" applyFont="1" applyFill="1" applyBorder="1"/>
    <xf numFmtId="44" fontId="0" fillId="0" borderId="2" xfId="1" applyFont="1" applyBorder="1" applyAlignment="1">
      <alignment horizontal="center" vertical="top" wrapText="1"/>
    </xf>
    <xf numFmtId="0" fontId="0" fillId="0" borderId="6" xfId="0" applyFill="1" applyBorder="1"/>
    <xf numFmtId="44" fontId="0" fillId="0" borderId="2" xfId="1" applyFont="1" applyFill="1" applyBorder="1"/>
    <xf numFmtId="0" fontId="0" fillId="0" borderId="7" xfId="0" applyBorder="1"/>
    <xf numFmtId="0" fontId="0" fillId="4" borderId="6" xfId="0" applyFont="1" applyFill="1" applyBorder="1"/>
    <xf numFmtId="44" fontId="0" fillId="4" borderId="4" xfId="1" applyFont="1" applyFill="1" applyBorder="1"/>
    <xf numFmtId="0" fontId="0" fillId="0" borderId="6" xfId="0" applyFont="1" applyFill="1" applyBorder="1"/>
    <xf numFmtId="44" fontId="2" fillId="4" borderId="2" xfId="1" applyFont="1" applyFill="1" applyBorder="1"/>
    <xf numFmtId="0" fontId="0" fillId="0" borderId="8" xfId="0" applyFont="1" applyFill="1" applyBorder="1"/>
    <xf numFmtId="0" fontId="0" fillId="0" borderId="8" xfId="0" applyBorder="1"/>
    <xf numFmtId="0" fontId="0" fillId="4" borderId="8" xfId="0" applyFill="1" applyBorder="1"/>
    <xf numFmtId="0" fontId="0" fillId="4" borderId="9" xfId="0" applyFont="1" applyFill="1" applyBorder="1"/>
    <xf numFmtId="0" fontId="0" fillId="0" borderId="2" xfId="0" applyFont="1" applyBorder="1"/>
    <xf numFmtId="0" fontId="0" fillId="4" borderId="2" xfId="0" applyFont="1" applyFill="1" applyBorder="1"/>
    <xf numFmtId="0" fontId="0" fillId="0" borderId="1" xfId="0" applyFont="1" applyBorder="1"/>
    <xf numFmtId="0" fontId="2" fillId="4" borderId="9" xfId="0" applyFont="1" applyFill="1" applyBorder="1"/>
    <xf numFmtId="0" fontId="0" fillId="0" borderId="2" xfId="0" applyFont="1" applyFill="1" applyBorder="1"/>
    <xf numFmtId="0" fontId="0" fillId="0" borderId="9" xfId="0" applyBorder="1" applyAlignment="1">
      <alignment vertical="top"/>
    </xf>
    <xf numFmtId="44" fontId="0" fillId="0" borderId="2" xfId="1" applyFont="1" applyBorder="1" applyAlignment="1">
      <alignment vertical="top"/>
    </xf>
    <xf numFmtId="44" fontId="0" fillId="2" borderId="2" xfId="1" applyFont="1" applyFill="1" applyBorder="1" applyAlignment="1">
      <alignment vertical="top"/>
    </xf>
    <xf numFmtId="44" fontId="5" fillId="2" borderId="2" xfId="1" applyFont="1" applyFill="1" applyBorder="1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2" xfId="0" applyFill="1" applyBorder="1"/>
    <xf numFmtId="0" fontId="0" fillId="0" borderId="0" xfId="0" applyBorder="1"/>
    <xf numFmtId="0" fontId="0" fillId="0" borderId="0" xfId="0" applyFill="1" applyBorder="1"/>
    <xf numFmtId="0" fontId="1" fillId="5" borderId="5" xfId="2" applyBorder="1"/>
    <xf numFmtId="0" fontId="0" fillId="5" borderId="5" xfId="2" applyFont="1" applyBorder="1"/>
    <xf numFmtId="0" fontId="0" fillId="5" borderId="6" xfId="2" applyFont="1" applyBorder="1"/>
    <xf numFmtId="0" fontId="0" fillId="0" borderId="10" xfId="0" applyFill="1" applyBorder="1"/>
    <xf numFmtId="0" fontId="0" fillId="0" borderId="10" xfId="0" applyBorder="1"/>
    <xf numFmtId="0" fontId="0" fillId="4" borderId="10" xfId="0" applyFill="1" applyBorder="1"/>
  </cellXfs>
  <cellStyles count="3">
    <cellStyle name="40% - Accent6" xfId="2" builtinId="51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crews\AppData\Local\Microsoft\Windows\Temporary%20Internet%20Files\Content.Outlook\EA8EK9GO\USB%20Drive%20Price%20Comparison%2030Sep2011%20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verall"/>
      <sheetName val="IronKey"/>
      <sheetName val="Kangaru"/>
      <sheetName val="Kingston"/>
      <sheetName val="McAfee"/>
    </sheetNames>
    <sheetDataSet>
      <sheetData sheetId="0"/>
      <sheetData sheetId="1">
        <row r="3">
          <cell r="A3" t="str">
            <v>IronKey 2GB Personal D200</v>
          </cell>
        </row>
        <row r="4">
          <cell r="B4">
            <v>61.61</v>
          </cell>
          <cell r="E4">
            <v>56.88</v>
          </cell>
          <cell r="F4">
            <v>55.3</v>
          </cell>
        </row>
        <row r="14">
          <cell r="A14" t="str">
            <v>IronKey 2GB Personal S200</v>
          </cell>
          <cell r="B14">
            <v>74.790000000000006</v>
          </cell>
          <cell r="D14">
            <v>74.28</v>
          </cell>
        </row>
        <row r="17">
          <cell r="A17" t="str">
            <v>IronKey 8GB Personal S200</v>
          </cell>
          <cell r="D17">
            <v>154.43</v>
          </cell>
        </row>
        <row r="18">
          <cell r="A18" t="str">
            <v>IronKey 8GB Personal S200-4FIPS</v>
          </cell>
          <cell r="B18">
            <v>154.84</v>
          </cell>
        </row>
        <row r="19">
          <cell r="A19" t="str">
            <v>IronKey 16GB Personal S200 - 2FIPS</v>
          </cell>
          <cell r="D19">
            <v>232.01</v>
          </cell>
        </row>
        <row r="21">
          <cell r="A21" t="str">
            <v>IronKey 2GB Personal S200 - 4FIPS</v>
          </cell>
          <cell r="D21">
            <v>83.84</v>
          </cell>
        </row>
        <row r="22">
          <cell r="A22" t="str">
            <v>IronKey 4GB Personal S200 - 4FIPS</v>
          </cell>
          <cell r="D22">
            <v>125.56</v>
          </cell>
        </row>
        <row r="23">
          <cell r="A23" t="str">
            <v>IronKey 8GB Personal S200 - 4FIPS</v>
          </cell>
          <cell r="D23">
            <v>168.15</v>
          </cell>
        </row>
        <row r="24">
          <cell r="A24" t="str">
            <v>IronKey 16GB Personal S200 - 4FIPS</v>
          </cell>
          <cell r="D24">
            <v>253.21</v>
          </cell>
        </row>
        <row r="26">
          <cell r="A26" t="str">
            <v>IronKey 4GB Enterprise S200</v>
          </cell>
        </row>
        <row r="27">
          <cell r="A27" t="str">
            <v>IronKey 8GB Enterprise S200</v>
          </cell>
        </row>
        <row r="28">
          <cell r="A28" t="str">
            <v>IronKey 16GB Enterprise S200</v>
          </cell>
        </row>
        <row r="29">
          <cell r="A29" t="str">
            <v>IronKey 32GB Enterprise S200</v>
          </cell>
        </row>
        <row r="31">
          <cell r="A31" t="str">
            <v>IronKey 2GB Enterprise D200</v>
          </cell>
        </row>
        <row r="32">
          <cell r="A32" t="str">
            <v>IronKey 4GB Enterprise D200</v>
          </cell>
        </row>
        <row r="33">
          <cell r="A33" t="str">
            <v>IronKey 8GB Enterprise D200</v>
          </cell>
        </row>
        <row r="34">
          <cell r="A34" t="str">
            <v>IronKey 16GB Enterprise D200</v>
          </cell>
        </row>
      </sheetData>
      <sheetData sheetId="2">
        <row r="4">
          <cell r="A4" t="str">
            <v>Kanguru Defender Elite - 2GB</v>
          </cell>
          <cell r="B4">
            <v>41.82</v>
          </cell>
          <cell r="D4">
            <v>46.29</v>
          </cell>
        </row>
        <row r="5">
          <cell r="A5" t="str">
            <v>Kanguru Defender Elite - 4GB</v>
          </cell>
          <cell r="B5">
            <v>54.28</v>
          </cell>
          <cell r="D5">
            <v>58.87</v>
          </cell>
        </row>
        <row r="6">
          <cell r="A6" t="str">
            <v>Kanguru Defender Elite - 8GB</v>
          </cell>
          <cell r="B6">
            <v>66.739999999999995</v>
          </cell>
          <cell r="D6">
            <v>72.47</v>
          </cell>
        </row>
        <row r="7">
          <cell r="A7" t="str">
            <v>Kanguru Defender Elite - 16GB</v>
          </cell>
          <cell r="B7">
            <v>100.56</v>
          </cell>
          <cell r="D7">
            <v>108.25</v>
          </cell>
        </row>
        <row r="8">
          <cell r="A8" t="str">
            <v>Kanguru Defender Elite - 64GB</v>
          </cell>
          <cell r="B8">
            <v>150.4</v>
          </cell>
          <cell r="D8">
            <v>273.89999999999998</v>
          </cell>
        </row>
        <row r="9">
          <cell r="A9" t="str">
            <v>Kanguru Defender Elite KDFE -  32GB</v>
          </cell>
          <cell r="B9">
            <v>165.59</v>
          </cell>
          <cell r="D9">
            <v>164.4</v>
          </cell>
        </row>
        <row r="10">
          <cell r="A10" t="str">
            <v>Kanguru Defender Elite KDFE -  128GB</v>
          </cell>
          <cell r="B10">
            <v>461.69</v>
          </cell>
          <cell r="D10">
            <v>442.37</v>
          </cell>
        </row>
        <row r="15">
          <cell r="A15" t="str">
            <v>Kanguru Defender V2 KDV2 - 2GB</v>
          </cell>
          <cell r="B15">
            <v>29.36</v>
          </cell>
        </row>
        <row r="16">
          <cell r="A16" t="str">
            <v>Kanguru Defender V2 KDV2 - 4GB</v>
          </cell>
          <cell r="B16">
            <v>33.81</v>
          </cell>
          <cell r="D16">
            <v>37.22</v>
          </cell>
        </row>
        <row r="17">
          <cell r="A17" t="str">
            <v>Kanguru Defender V2 KDV2 - 8GB</v>
          </cell>
          <cell r="B17">
            <v>49.83</v>
          </cell>
          <cell r="D17">
            <v>54.33</v>
          </cell>
        </row>
        <row r="18">
          <cell r="A18" t="str">
            <v>Kanguru Defender V2 KDV2 - 16GB</v>
          </cell>
          <cell r="B18">
            <v>66.739999999999995</v>
          </cell>
          <cell r="D18">
            <v>72.47</v>
          </cell>
        </row>
        <row r="19">
          <cell r="A19" t="str">
            <v>Kanguru Defender V2 KDV2 - 32GB</v>
          </cell>
          <cell r="B19">
            <v>106.13</v>
          </cell>
          <cell r="D19">
            <v>115.46</v>
          </cell>
        </row>
        <row r="20">
          <cell r="A20" t="str">
            <v>Kanguru Defender V2 KDV2 - 64GB</v>
          </cell>
          <cell r="B20">
            <v>180.08</v>
          </cell>
        </row>
        <row r="21">
          <cell r="A21" t="str">
            <v>Kanguru Defender V2 KDV2 - 128GB</v>
          </cell>
          <cell r="B21">
            <v>327.11</v>
          </cell>
          <cell r="D21">
            <v>354.64</v>
          </cell>
        </row>
        <row r="24">
          <cell r="A24" t="str">
            <v>Kanguru Defender VM-KDF3000 - 128GB</v>
          </cell>
        </row>
        <row r="26">
          <cell r="A26" t="str">
            <v>Kanguru Defender Basic KDFB-2G - 2GB</v>
          </cell>
          <cell r="B26">
            <v>24.35</v>
          </cell>
          <cell r="D26">
            <v>26.86</v>
          </cell>
        </row>
        <row r="27">
          <cell r="A27" t="str">
            <v>Kanguru Defender Basic KDFB-4G - 4GB</v>
          </cell>
          <cell r="B27">
            <v>30.44</v>
          </cell>
          <cell r="D27">
            <v>32.06</v>
          </cell>
        </row>
        <row r="28">
          <cell r="A28" t="str">
            <v>Kanguru Defender Basic KDFB-8G - 8GB</v>
          </cell>
          <cell r="B28">
            <v>39.14</v>
          </cell>
          <cell r="D28">
            <v>40.93</v>
          </cell>
        </row>
        <row r="29">
          <cell r="A29" t="str">
            <v>Kanguru Defender Basic KDFB-16G - 16GB</v>
          </cell>
          <cell r="B29">
            <v>53.39</v>
          </cell>
          <cell r="D29">
            <v>53.2</v>
          </cell>
        </row>
        <row r="30">
          <cell r="A30" t="str">
            <v xml:space="preserve">Kanguru Defender Basic KDFB-32G - 32GB </v>
          </cell>
          <cell r="B30">
            <v>88.99</v>
          </cell>
          <cell r="D30">
            <v>90.57</v>
          </cell>
        </row>
        <row r="31">
          <cell r="A31" t="str">
            <v>Kanguru Defender Basic KDFB-64G - 64GB</v>
          </cell>
          <cell r="B31">
            <v>160.19</v>
          </cell>
          <cell r="D31">
            <v>162.99</v>
          </cell>
        </row>
        <row r="32">
          <cell r="A32" t="str">
            <v>Kanguru Defender Basic KDFB-128G - 128GB</v>
          </cell>
          <cell r="B32">
            <v>312.38</v>
          </cell>
          <cell r="D32">
            <v>314.27</v>
          </cell>
        </row>
        <row r="34">
          <cell r="A34" t="str">
            <v>Kanguru Remote Management Console per device</v>
          </cell>
          <cell r="B34">
            <v>11.66</v>
          </cell>
          <cell r="D34">
            <v>18.190000000000001</v>
          </cell>
        </row>
        <row r="35">
          <cell r="A35" t="str">
            <v>1 YR ADDL WARR Kanguru Defender</v>
          </cell>
        </row>
        <row r="36">
          <cell r="A36" t="str">
            <v>2YR EXTENDED WARR FOR KCLONE</v>
          </cell>
        </row>
        <row r="37">
          <cell r="A37" t="str">
            <v>1 year KRMC Maintenance-per device</v>
          </cell>
          <cell r="B37">
            <v>2.35</v>
          </cell>
        </row>
        <row r="38">
          <cell r="A38" t="str">
            <v>AntiVirus Renewal-1yr-per device</v>
          </cell>
          <cell r="B38">
            <v>5.83</v>
          </cell>
        </row>
      </sheetData>
      <sheetData sheetId="3">
        <row r="3">
          <cell r="A3" t="str">
            <v>Kingston DataTraveler Vault Privacy Ed - 2GB</v>
          </cell>
          <cell r="B3">
            <v>32.29</v>
          </cell>
          <cell r="D3">
            <v>30.67</v>
          </cell>
        </row>
        <row r="4">
          <cell r="A4" t="str">
            <v>Kingston DataTraveler Vault Privacy Ed - 4GB</v>
          </cell>
          <cell r="B4">
            <v>125.83</v>
          </cell>
          <cell r="D4">
            <v>39.28</v>
          </cell>
        </row>
        <row r="5">
          <cell r="A5" t="str">
            <v>Kingston DataTraveler Vault Privacy Ed - 8GB</v>
          </cell>
          <cell r="D5">
            <v>59.64</v>
          </cell>
        </row>
        <row r="6">
          <cell r="A6" t="str">
            <v>Kingston DataTraveler Vault Privacy Ed - 16GB</v>
          </cell>
          <cell r="B6">
            <v>129.19</v>
          </cell>
          <cell r="D6">
            <v>124.19</v>
          </cell>
        </row>
        <row r="7">
          <cell r="A7" t="str">
            <v>Kingston DataTraveler Vault Privacy Ed - 32GB</v>
          </cell>
          <cell r="B7">
            <v>307.57</v>
          </cell>
          <cell r="D7">
            <v>296.95999999999998</v>
          </cell>
        </row>
        <row r="9">
          <cell r="A9" t="str">
            <v>Kingston DataTraveler Vault DTVPM - 2GB</v>
          </cell>
          <cell r="D9">
            <v>32.729999999999997</v>
          </cell>
        </row>
        <row r="10">
          <cell r="A10" t="str">
            <v>Kingston DataTraveler Vault DTVPM - 4GB</v>
          </cell>
          <cell r="D10">
            <v>43.64</v>
          </cell>
        </row>
        <row r="11">
          <cell r="A11" t="str">
            <v>Kingston DataTraveler Vault DTVPM - 8GB</v>
          </cell>
          <cell r="B11">
            <v>219.3</v>
          </cell>
          <cell r="D11">
            <v>67.27</v>
          </cell>
        </row>
        <row r="12">
          <cell r="A12" t="str">
            <v>Kingston DataTraveler Vault DTVPM - 16GB</v>
          </cell>
          <cell r="D12">
            <v>129.58000000000001</v>
          </cell>
        </row>
        <row r="13">
          <cell r="A13" t="str">
            <v>Kingston DataTraveler Vault DTVPM - 32GB</v>
          </cell>
          <cell r="D13">
            <v>302.36</v>
          </cell>
        </row>
        <row r="15">
          <cell r="A15" t="str">
            <v>Kingston DataTraveler 4000 DT4000- 2GB</v>
          </cell>
          <cell r="D15">
            <v>41.46</v>
          </cell>
        </row>
        <row r="16">
          <cell r="A16" t="str">
            <v>Kingston DataTraveler 4000 DT4000- 2GB-managed</v>
          </cell>
          <cell r="D16">
            <v>43.64</v>
          </cell>
        </row>
        <row r="17">
          <cell r="A17" t="str">
            <v>Kingston DataTraveler 4000 DT4000- 4GB</v>
          </cell>
          <cell r="D17">
            <v>50.19</v>
          </cell>
        </row>
        <row r="18">
          <cell r="A18" t="str">
            <v>Kingston DataTraveler 4000 DT4000- 4GB-managed</v>
          </cell>
          <cell r="D18">
            <v>52.37</v>
          </cell>
        </row>
        <row r="19">
          <cell r="A19" t="str">
            <v>Kingston DataTraveler 4000 DT4000- 8GB</v>
          </cell>
          <cell r="D19">
            <v>70.92</v>
          </cell>
        </row>
        <row r="20">
          <cell r="A20" t="str">
            <v>Kingston DataTraveler 4000 DT4000- 8GB-managed</v>
          </cell>
          <cell r="D20">
            <v>72.650000000000006</v>
          </cell>
        </row>
        <row r="21">
          <cell r="A21" t="str">
            <v>Kingston DataTraveler 4000 DT4000- 16GB</v>
          </cell>
          <cell r="D21">
            <v>136.38</v>
          </cell>
        </row>
        <row r="22">
          <cell r="A22" t="str">
            <v>Kingston DataTraveler 4000 DT4000- 16GB-managed</v>
          </cell>
          <cell r="D22">
            <v>137.13999999999999</v>
          </cell>
        </row>
        <row r="23">
          <cell r="A23" t="str">
            <v>Kingston DataTraveler 4000 DT4000- 32GB</v>
          </cell>
        </row>
        <row r="24">
          <cell r="A24" t="str">
            <v>Kingston DataTraveler 4000 DT4000- 32GB-managed</v>
          </cell>
        </row>
        <row r="26">
          <cell r="A26" t="str">
            <v>Kingston DataTraveler 5000 DT5000 - 2GB</v>
          </cell>
          <cell r="B26">
            <v>78.31</v>
          </cell>
          <cell r="D26">
            <v>75.91</v>
          </cell>
        </row>
        <row r="27">
          <cell r="A27" t="str">
            <v>Kingston DataTraveler 5000 DT5000 - 4GB</v>
          </cell>
          <cell r="B27">
            <v>96.29</v>
          </cell>
          <cell r="D27">
            <v>93.26</v>
          </cell>
        </row>
        <row r="28">
          <cell r="A28" t="str">
            <v>Kingston DataTraveler 5000 DT5000 - 8GB</v>
          </cell>
          <cell r="B28">
            <v>118.79</v>
          </cell>
          <cell r="D28">
            <v>114.46</v>
          </cell>
        </row>
        <row r="29">
          <cell r="A29" t="str">
            <v>Kingston DataTraveler 5000 DT5000 - 16GB</v>
          </cell>
          <cell r="B29">
            <v>207.67</v>
          </cell>
          <cell r="D29">
            <v>201.85</v>
          </cell>
        </row>
      </sheetData>
      <sheetData sheetId="4">
        <row r="3">
          <cell r="A3" t="str">
            <v>McAfee Encrypted USB Standard USB-ST02-2GBPFA - 2GB</v>
          </cell>
          <cell r="G3">
            <v>41.89</v>
          </cell>
          <cell r="H3">
            <v>40.409999999999997</v>
          </cell>
          <cell r="I3">
            <v>38.44</v>
          </cell>
        </row>
        <row r="4">
          <cell r="A4" t="str">
            <v>McAfee Encrypted USB Standard USB-ST02-2GBPFI - 2GB</v>
          </cell>
          <cell r="B4">
            <v>54.77</v>
          </cell>
        </row>
        <row r="5">
          <cell r="A5" t="str">
            <v>McAfee Encrypted USB Standard USB-ST02-4GBPFG - 4GB</v>
          </cell>
          <cell r="G5">
            <v>54.06</v>
          </cell>
          <cell r="H5">
            <v>52.15</v>
          </cell>
          <cell r="I5">
            <v>49.6</v>
          </cell>
        </row>
        <row r="6">
          <cell r="A6" t="str">
            <v>McAfee Encrypted USB Standard USB-ST02-4GBPFI - 4GB</v>
          </cell>
          <cell r="B6">
            <v>77.42</v>
          </cell>
        </row>
        <row r="7">
          <cell r="A7" t="str">
            <v>McAfee Encrypted USB Standard USB-ST02-8GBPFA - 8GB</v>
          </cell>
          <cell r="G7">
            <v>72.3</v>
          </cell>
          <cell r="H7">
            <v>69.75</v>
          </cell>
          <cell r="I7">
            <v>66.34</v>
          </cell>
        </row>
        <row r="8">
          <cell r="A8" t="str">
            <v>McAfee Encrypted USB Standard USB-ST02-8GBPFI - 8GB</v>
          </cell>
          <cell r="B8">
            <v>101.44</v>
          </cell>
        </row>
        <row r="9">
          <cell r="A9" t="str">
            <v>McAfee Encrypted USB Standard USB-ST02-16GBPFI - 16GB</v>
          </cell>
          <cell r="B9">
            <v>162.68</v>
          </cell>
          <cell r="G9">
            <v>118.92</v>
          </cell>
          <cell r="H9">
            <v>114.72</v>
          </cell>
          <cell r="I9">
            <v>109.13</v>
          </cell>
        </row>
        <row r="10">
          <cell r="A10" t="str">
            <v>McAfee Encrypted USB Standard USB-ST02-32GBPFA - 32GB</v>
          </cell>
          <cell r="G10">
            <v>178.38</v>
          </cell>
          <cell r="H10">
            <v>172.09</v>
          </cell>
          <cell r="I10">
            <v>163.69</v>
          </cell>
        </row>
        <row r="11">
          <cell r="A11" t="str">
            <v>McAfee Encrypted USB Standard USB-ST02-32GBPFI - 32GB</v>
          </cell>
          <cell r="B11">
            <v>247.64</v>
          </cell>
        </row>
        <row r="12">
          <cell r="A12" t="str">
            <v>McAfee Encrypted USB Standard USB-ST02-32GBPFG - 32GB</v>
          </cell>
        </row>
        <row r="13">
          <cell r="A13" t="str">
            <v>McAfee Encrypted USB Standard USB-ST02-64GBPFG - 64GB</v>
          </cell>
          <cell r="B13">
            <v>594.48</v>
          </cell>
          <cell r="G13">
            <v>428.39</v>
          </cell>
          <cell r="H13">
            <v>413.27</v>
          </cell>
          <cell r="I13">
            <v>393.11</v>
          </cell>
        </row>
        <row r="14">
          <cell r="A14" t="str">
            <v>McAfee Encrypted USB Standard USB-ST02-64GBPFI - 64GB</v>
          </cell>
        </row>
        <row r="16">
          <cell r="A16" t="str">
            <v>McAfee USB-ST02-2GBPFG - 2GB</v>
          </cell>
          <cell r="G16">
            <v>79.569999999999993</v>
          </cell>
          <cell r="H16">
            <v>79.569999999999993</v>
          </cell>
          <cell r="I16">
            <v>79.569999999999993</v>
          </cell>
        </row>
        <row r="17">
          <cell r="A17" t="str">
            <v>McAfee USB-ST02-4GBPFG - 4GB</v>
          </cell>
          <cell r="G17">
            <v>111.83</v>
          </cell>
          <cell r="H17">
            <v>111.83</v>
          </cell>
          <cell r="I17">
            <v>111.83</v>
          </cell>
        </row>
        <row r="18">
          <cell r="A18" t="str">
            <v>McAfee USB-ST02-8GBPFG - 8GB</v>
          </cell>
          <cell r="G18">
            <v>149.46</v>
          </cell>
          <cell r="H18">
            <v>149.46</v>
          </cell>
          <cell r="I18">
            <v>149.46</v>
          </cell>
        </row>
        <row r="19">
          <cell r="A19" t="str">
            <v>McAfee USB-ST02-16GBPFG - 16GB</v>
          </cell>
          <cell r="G19">
            <v>235.48</v>
          </cell>
          <cell r="H19">
            <v>235.48</v>
          </cell>
          <cell r="I19">
            <v>235.48</v>
          </cell>
        </row>
        <row r="20">
          <cell r="A20" t="str">
            <v>McAfee USB-ST02-16GBPF - 32GB</v>
          </cell>
          <cell r="G20">
            <v>365.59</v>
          </cell>
          <cell r="H20">
            <v>365.59</v>
          </cell>
          <cell r="I20">
            <v>365.59</v>
          </cell>
        </row>
        <row r="21">
          <cell r="A21" t="str">
            <v>McAfee USB-ST02-16GBPF - 64GB</v>
          </cell>
          <cell r="G21">
            <v>851.61</v>
          </cell>
          <cell r="H21">
            <v>851.61</v>
          </cell>
          <cell r="I21">
            <v>851.61</v>
          </cell>
        </row>
        <row r="23">
          <cell r="A23" t="str">
            <v>McAfee 64GB Encrypted USB STD 10U+</v>
          </cell>
        </row>
        <row r="25">
          <cell r="A25" t="str">
            <v>McAfee BiometricEncrypted USB-BIO2-2GBMF</v>
          </cell>
          <cell r="D25">
            <v>104.03</v>
          </cell>
          <cell r="G25">
            <v>78.45</v>
          </cell>
          <cell r="H25">
            <v>75.680000000000007</v>
          </cell>
          <cell r="I25">
            <v>71.989999999999995</v>
          </cell>
        </row>
        <row r="26">
          <cell r="A26" t="str">
            <v>McAfee BiometricEncrypted USB-BIO2-4GBMF</v>
          </cell>
          <cell r="D26">
            <v>116.48</v>
          </cell>
          <cell r="G26">
            <v>96.69</v>
          </cell>
          <cell r="H26">
            <v>93.28</v>
          </cell>
          <cell r="I26">
            <v>88.73</v>
          </cell>
        </row>
        <row r="27">
          <cell r="A27" t="str">
            <v>McAfee BiometricEncrypted USB-BIO2-8GBMF</v>
          </cell>
          <cell r="D27">
            <v>147.99</v>
          </cell>
          <cell r="G27">
            <v>111.89</v>
          </cell>
          <cell r="H27">
            <v>107.95</v>
          </cell>
          <cell r="I27">
            <v>102.68</v>
          </cell>
        </row>
        <row r="28">
          <cell r="A28" t="str">
            <v>McAfee BiometricEncrypted USB-BIO2-16GBMF</v>
          </cell>
          <cell r="D28">
            <v>208.8</v>
          </cell>
          <cell r="G28">
            <v>160.54</v>
          </cell>
          <cell r="H28">
            <v>154.88</v>
          </cell>
          <cell r="I28">
            <v>147.32</v>
          </cell>
        </row>
        <row r="29">
          <cell r="A29" t="str">
            <v>McAfee BiometricEncrypted USB-BIO2-32GBMF</v>
          </cell>
          <cell r="G29">
            <v>250.01</v>
          </cell>
          <cell r="H29">
            <v>241.18</v>
          </cell>
          <cell r="I29">
            <v>229.42</v>
          </cell>
        </row>
        <row r="30">
          <cell r="A30" t="str">
            <v>McAfee BiometricEncrypted USB-BIO2-64GBMF</v>
          </cell>
          <cell r="D30">
            <v>632.37</v>
          </cell>
          <cell r="G30">
            <v>478.39</v>
          </cell>
          <cell r="H30">
            <v>461.51</v>
          </cell>
          <cell r="I30">
            <v>438.99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4"/>
  <sheetViews>
    <sheetView tabSelected="1" workbookViewId="0">
      <pane ySplit="1" topLeftCell="A113" activePane="bottomLeft" state="frozen"/>
      <selection pane="bottomLeft" activeCell="A44" sqref="A44"/>
    </sheetView>
  </sheetViews>
  <sheetFormatPr defaultRowHeight="14.4"/>
  <cols>
    <col min="1" max="1" width="56.33203125" customWidth="1"/>
    <col min="2" max="2" width="16" customWidth="1"/>
    <col min="3" max="3" width="22.33203125" customWidth="1"/>
    <col min="4" max="4" width="14.5546875" customWidth="1"/>
    <col min="5" max="5" width="22.5546875" customWidth="1"/>
    <col min="6" max="8" width="18.5546875" customWidth="1"/>
  </cols>
  <sheetData>
    <row r="1" spans="1:8" ht="43.8" thickBot="1">
      <c r="A1" s="1" t="s">
        <v>0</v>
      </c>
      <c r="B1" s="2" t="s">
        <v>1</v>
      </c>
      <c r="C1" s="3" t="s">
        <v>2</v>
      </c>
      <c r="D1" s="4" t="s">
        <v>31</v>
      </c>
      <c r="E1" s="4" t="s">
        <v>32</v>
      </c>
      <c r="F1" s="5" t="s">
        <v>3</v>
      </c>
      <c r="G1" s="5" t="s">
        <v>4</v>
      </c>
      <c r="H1" s="5" t="s">
        <v>5</v>
      </c>
    </row>
    <row r="2" spans="1:8" ht="12.75" customHeight="1" thickBot="1">
      <c r="A2" s="6" t="s">
        <v>6</v>
      </c>
      <c r="B2" s="7"/>
      <c r="C2" s="8"/>
      <c r="D2" s="9"/>
      <c r="E2" s="9"/>
      <c r="F2" s="10"/>
      <c r="G2" s="10"/>
      <c r="H2" s="10"/>
    </row>
    <row r="3" spans="1:8" ht="14.1" customHeight="1">
      <c r="A3" s="43" t="s">
        <v>21</v>
      </c>
      <c r="B3" s="7">
        <f>[1]IronKey!B3</f>
        <v>0</v>
      </c>
      <c r="C3" s="8">
        <f>[1]IronKey!D3</f>
        <v>0</v>
      </c>
      <c r="D3" s="9">
        <f>[1]IronKey!E3</f>
        <v>0</v>
      </c>
      <c r="E3" s="9">
        <f>[1]IronKey!F3</f>
        <v>0</v>
      </c>
      <c r="F3" s="10"/>
      <c r="G3" s="10"/>
      <c r="H3" s="10"/>
    </row>
    <row r="4" spans="1:8" ht="14.1" customHeight="1">
      <c r="A4" s="45" t="s">
        <v>26</v>
      </c>
      <c r="B4" s="12">
        <f>[1]IronKey!B4</f>
        <v>61.61</v>
      </c>
      <c r="C4" s="8">
        <f>[1]IronKey!D4</f>
        <v>0</v>
      </c>
      <c r="D4" s="13">
        <f>[1]IronKey!E4</f>
        <v>56.88</v>
      </c>
      <c r="E4" s="9">
        <f>[1]IronKey!F4</f>
        <v>55.3</v>
      </c>
      <c r="F4" s="10"/>
      <c r="G4" s="10"/>
      <c r="H4" s="10"/>
    </row>
    <row r="5" spans="1:8" ht="14.1" customHeight="1">
      <c r="A5" s="14" t="str">
        <f>[1]IronKey!A14</f>
        <v>IronKey 2GB Personal S200</v>
      </c>
      <c r="B5" s="7">
        <f>[1]IronKey!B14</f>
        <v>74.790000000000006</v>
      </c>
      <c r="C5" s="8">
        <f>[1]IronKey!D14</f>
        <v>74.28</v>
      </c>
      <c r="D5" s="9">
        <f>[1]IronKey!E14</f>
        <v>0</v>
      </c>
      <c r="E5" s="9">
        <f>[1]IronKey!F14</f>
        <v>0</v>
      </c>
      <c r="F5" s="10"/>
      <c r="G5" s="10"/>
      <c r="H5" s="10"/>
    </row>
    <row r="6" spans="1:8" ht="14.1" customHeight="1">
      <c r="A6" s="14" t="str">
        <f>[1]IronKey!A21</f>
        <v>IronKey 2GB Personal S200 - 4FIPS</v>
      </c>
      <c r="B6" s="7">
        <f>[1]IronKey!B21</f>
        <v>0</v>
      </c>
      <c r="C6" s="8">
        <f>[1]IronKey!D21</f>
        <v>83.84</v>
      </c>
      <c r="D6" s="9">
        <f>[1]IronKey!E21</f>
        <v>0</v>
      </c>
      <c r="E6" s="9">
        <f>[1]IronKey!F21</f>
        <v>0</v>
      </c>
      <c r="F6" s="10"/>
      <c r="G6" s="10"/>
      <c r="H6" s="10"/>
    </row>
    <row r="7" spans="1:8" ht="14.1" customHeight="1">
      <c r="A7" s="14" t="str">
        <f>[1]IronKey!A31</f>
        <v>IronKey 2GB Enterprise D200</v>
      </c>
      <c r="B7" s="7">
        <f>[1]IronKey!B31</f>
        <v>0</v>
      </c>
      <c r="C7" s="8">
        <f>[1]IronKey!D31</f>
        <v>0</v>
      </c>
      <c r="D7" s="9">
        <f>[1]IronKey!E31</f>
        <v>0</v>
      </c>
      <c r="E7" s="9">
        <f>[1]IronKey!F31</f>
        <v>0</v>
      </c>
      <c r="F7" s="10"/>
      <c r="G7" s="10"/>
      <c r="H7" s="10"/>
    </row>
    <row r="8" spans="1:8" ht="14.1" customHeight="1">
      <c r="A8" s="15" t="str">
        <f>[1]Kangaru!A4</f>
        <v>Kanguru Defender Elite - 2GB</v>
      </c>
      <c r="B8" s="16">
        <f>[1]Kangaru!B4</f>
        <v>41.82</v>
      </c>
      <c r="C8" s="17">
        <f>[1]Kangaru!D4</f>
        <v>46.29</v>
      </c>
      <c r="D8" s="9"/>
      <c r="E8" s="9"/>
      <c r="F8" s="10"/>
      <c r="G8" s="10"/>
      <c r="H8" s="10"/>
    </row>
    <row r="9" spans="1:8" ht="14.1" customHeight="1">
      <c r="A9" s="18" t="str">
        <f>[1]Kangaru!A15</f>
        <v>Kanguru Defender V2 KDV2 - 2GB</v>
      </c>
      <c r="B9" s="12">
        <f>[1]Kangaru!B15</f>
        <v>29.36</v>
      </c>
      <c r="C9" s="17">
        <f>[1]Kangaru!D15</f>
        <v>0</v>
      </c>
      <c r="D9" s="9"/>
      <c r="E9" s="9"/>
      <c r="F9" s="10"/>
      <c r="G9" s="10"/>
      <c r="H9" s="10"/>
    </row>
    <row r="10" spans="1:8" ht="14.1" customHeight="1">
      <c r="A10" s="18" t="str">
        <f>[1]Kangaru!A26</f>
        <v>Kanguru Defender Basic KDFB-2G - 2GB</v>
      </c>
      <c r="B10" s="12">
        <f>[1]Kangaru!B26</f>
        <v>24.35</v>
      </c>
      <c r="C10" s="17">
        <f>[1]Kangaru!D26</f>
        <v>26.86</v>
      </c>
      <c r="D10" s="9"/>
      <c r="E10" s="9"/>
      <c r="F10" s="10"/>
      <c r="G10" s="10"/>
      <c r="H10" s="10"/>
    </row>
    <row r="11" spans="1:8" ht="14.1" customHeight="1">
      <c r="A11" s="46" t="str">
        <f>[1]Kingston!A3</f>
        <v>Kingston DataTraveler Vault Privacy Ed - 2GB</v>
      </c>
      <c r="B11" s="8">
        <f>[1]Kingston!B3</f>
        <v>32.29</v>
      </c>
      <c r="C11" s="19">
        <f>[1]Kingston!D3</f>
        <v>30.67</v>
      </c>
      <c r="D11" s="9"/>
      <c r="E11" s="9"/>
      <c r="F11" s="10"/>
      <c r="G11" s="10"/>
      <c r="H11" s="10"/>
    </row>
    <row r="12" spans="1:8" ht="14.1" customHeight="1">
      <c r="A12" s="47" t="str">
        <f>[1]Kingston!A9</f>
        <v>Kingston DataTraveler Vault DTVPM - 2GB</v>
      </c>
      <c r="B12" s="8">
        <f>[1]Kingston!B9</f>
        <v>0</v>
      </c>
      <c r="C12" s="8">
        <f>[1]Kingston!D9</f>
        <v>32.729999999999997</v>
      </c>
      <c r="D12" s="9"/>
      <c r="E12" s="9"/>
      <c r="F12" s="10"/>
      <c r="G12" s="10"/>
      <c r="H12" s="10"/>
    </row>
    <row r="13" spans="1:8" ht="14.1" customHeight="1">
      <c r="A13" s="47" t="str">
        <f>[1]Kingston!A15</f>
        <v>Kingston DataTraveler 4000 DT4000- 2GB</v>
      </c>
      <c r="B13" s="8">
        <f>[1]Kingston!B15</f>
        <v>0</v>
      </c>
      <c r="C13" s="8">
        <f>[1]Kingston!D15</f>
        <v>41.46</v>
      </c>
      <c r="D13" s="9"/>
      <c r="E13" s="9"/>
      <c r="F13" s="10"/>
      <c r="G13" s="10"/>
      <c r="H13" s="10"/>
    </row>
    <row r="14" spans="1:8" ht="14.1" customHeight="1">
      <c r="A14" s="48" t="str">
        <f>[1]Kingston!A16</f>
        <v>Kingston DataTraveler 4000 DT4000- 2GB-managed</v>
      </c>
      <c r="B14" s="8">
        <f>[1]Kingston!B16</f>
        <v>0</v>
      </c>
      <c r="C14" s="13">
        <f>[1]Kingston!D16</f>
        <v>43.64</v>
      </c>
      <c r="D14" s="9"/>
      <c r="E14" s="9"/>
      <c r="F14" s="10"/>
      <c r="G14" s="10"/>
      <c r="H14" s="10"/>
    </row>
    <row r="15" spans="1:8" ht="14.1" customHeight="1">
      <c r="A15" s="47" t="str">
        <f>[1]Kingston!A26</f>
        <v>Kingston DataTraveler 5000 DT5000 - 2GB</v>
      </c>
      <c r="B15" s="8">
        <f>[1]Kingston!B26</f>
        <v>78.31</v>
      </c>
      <c r="C15" s="8">
        <f>[1]Kingston!D26</f>
        <v>75.91</v>
      </c>
      <c r="D15" s="9"/>
      <c r="E15" s="9"/>
      <c r="F15" s="10"/>
      <c r="G15" s="10"/>
      <c r="H15" s="10"/>
    </row>
    <row r="16" spans="1:8" ht="14.1" customHeight="1">
      <c r="A16" s="48" t="str">
        <f>[1]McAfee!A3</f>
        <v>McAfee Encrypted USB Standard USB-ST02-2GBPFA - 2GB</v>
      </c>
      <c r="B16" s="8">
        <f>[1]McAfee!B3</f>
        <v>0</v>
      </c>
      <c r="C16" s="8">
        <f>[1]McAfee!D3</f>
        <v>0</v>
      </c>
      <c r="D16" s="9">
        <f>[1]McAfee!E3</f>
        <v>0</v>
      </c>
      <c r="E16" s="9">
        <f>[1]McAfee!F3</f>
        <v>0</v>
      </c>
      <c r="F16" s="13">
        <f>[1]McAfee!G3</f>
        <v>41.89</v>
      </c>
      <c r="G16" s="10">
        <f>[1]McAfee!H3</f>
        <v>40.409999999999997</v>
      </c>
      <c r="H16" s="10">
        <f>[1]McAfee!I3</f>
        <v>38.44</v>
      </c>
    </row>
    <row r="17" spans="1:8" ht="14.1" customHeight="1">
      <c r="A17" s="18" t="str">
        <f>[1]McAfee!A4</f>
        <v>McAfee Encrypted USB Standard USB-ST02-2GBPFI - 2GB</v>
      </c>
      <c r="B17" s="12">
        <f>[1]McAfee!B4</f>
        <v>54.77</v>
      </c>
      <c r="C17" s="8">
        <f>[1]McAfee!D4</f>
        <v>0</v>
      </c>
      <c r="D17" s="9">
        <f>[1]McAfee!E4</f>
        <v>0</v>
      </c>
      <c r="E17" s="9">
        <f>[1]McAfee!F4</f>
        <v>0</v>
      </c>
      <c r="F17" s="10">
        <f>[1]McAfee!G4</f>
        <v>0</v>
      </c>
      <c r="G17" s="10">
        <f>[1]McAfee!H4</f>
        <v>0</v>
      </c>
      <c r="H17" s="10">
        <f>[1]McAfee!I4</f>
        <v>0</v>
      </c>
    </row>
    <row r="18" spans="1:8" ht="14.1" customHeight="1">
      <c r="A18" s="14" t="str">
        <f>[1]McAfee!A16</f>
        <v>McAfee USB-ST02-2GBPFG - 2GB</v>
      </c>
      <c r="B18" s="7">
        <f>[1]McAfee!B16</f>
        <v>0</v>
      </c>
      <c r="C18" s="8">
        <f>[1]McAfee!D16</f>
        <v>0</v>
      </c>
      <c r="D18" s="9">
        <f>[1]McAfee!E16</f>
        <v>0</v>
      </c>
      <c r="E18" s="9">
        <f>[1]McAfee!F16</f>
        <v>0</v>
      </c>
      <c r="F18" s="10">
        <f>[1]McAfee!G16</f>
        <v>79.569999999999993</v>
      </c>
      <c r="G18" s="10">
        <f>[1]McAfee!H16</f>
        <v>79.569999999999993</v>
      </c>
      <c r="H18" s="10">
        <f>[1]McAfee!I16</f>
        <v>79.569999999999993</v>
      </c>
    </row>
    <row r="19" spans="1:8" ht="14.1" customHeight="1" thickBot="1">
      <c r="A19" s="20" t="str">
        <f>[1]McAfee!A25</f>
        <v>McAfee BiometricEncrypted USB-BIO2-2GBMF</v>
      </c>
      <c r="B19" s="7">
        <f>[1]McAfee!B25</f>
        <v>0</v>
      </c>
      <c r="C19" s="8">
        <f>[1]McAfee!D25</f>
        <v>104.03</v>
      </c>
      <c r="D19" s="9">
        <f>[1]McAfee!E25</f>
        <v>0</v>
      </c>
      <c r="E19" s="9">
        <f>[1]McAfee!F25</f>
        <v>0</v>
      </c>
      <c r="F19" s="10">
        <f>[1]McAfee!G25</f>
        <v>78.45</v>
      </c>
      <c r="G19" s="10">
        <f>[1]McAfee!H25</f>
        <v>75.680000000000007</v>
      </c>
      <c r="H19" s="10">
        <f>[1]McAfee!I25</f>
        <v>71.989999999999995</v>
      </c>
    </row>
    <row r="20" spans="1:8" ht="14.1" customHeight="1" thickBot="1">
      <c r="A20" s="6" t="s">
        <v>7</v>
      </c>
      <c r="B20" s="7"/>
      <c r="C20" s="8"/>
      <c r="D20" s="9"/>
      <c r="E20" s="9"/>
      <c r="F20" s="10"/>
      <c r="G20" s="10"/>
      <c r="H20" s="10"/>
    </row>
    <row r="21" spans="1:8" ht="14.1" customHeight="1">
      <c r="A21" s="44" t="s">
        <v>22</v>
      </c>
      <c r="B21" s="7">
        <v>77.89</v>
      </c>
      <c r="C21" s="8"/>
      <c r="D21" s="9">
        <v>72.27</v>
      </c>
      <c r="E21" s="9">
        <v>70.290000000000006</v>
      </c>
      <c r="F21" s="10"/>
      <c r="G21" s="10"/>
      <c r="H21" s="10"/>
    </row>
    <row r="22" spans="1:8" ht="14.1" customHeight="1">
      <c r="A22" s="45" t="s">
        <v>25</v>
      </c>
      <c r="B22" s="7"/>
      <c r="C22" s="8"/>
      <c r="D22" s="13">
        <v>71.28</v>
      </c>
      <c r="E22" s="9">
        <v>63.9</v>
      </c>
      <c r="F22" s="10"/>
      <c r="G22" s="10"/>
      <c r="H22" s="10"/>
    </row>
    <row r="23" spans="1:8" ht="14.1" customHeight="1">
      <c r="A23" s="14" t="str">
        <f>[1]IronKey!A22</f>
        <v>IronKey 4GB Personal S200 - 4FIPS</v>
      </c>
      <c r="B23" s="7">
        <f>[1]IronKey!B22</f>
        <v>0</v>
      </c>
      <c r="C23" s="8">
        <f>[1]IronKey!D22</f>
        <v>125.56</v>
      </c>
      <c r="D23" s="9">
        <f>[1]IronKey!E22</f>
        <v>0</v>
      </c>
      <c r="E23" s="9">
        <f>[1]IronKey!F22</f>
        <v>0</v>
      </c>
      <c r="F23" s="10"/>
      <c r="G23" s="10"/>
      <c r="H23" s="10"/>
    </row>
    <row r="24" spans="1:8" ht="14.1" customHeight="1">
      <c r="A24" s="14" t="str">
        <f>[1]IronKey!A26</f>
        <v>IronKey 4GB Enterprise S200</v>
      </c>
      <c r="B24" s="7">
        <f>[1]IronKey!B26</f>
        <v>0</v>
      </c>
      <c r="C24" s="8">
        <f>[1]IronKey!D26</f>
        <v>0</v>
      </c>
      <c r="D24" s="9">
        <f>[1]IronKey!E26</f>
        <v>0</v>
      </c>
      <c r="E24" s="9">
        <f>[1]IronKey!F26</f>
        <v>0</v>
      </c>
      <c r="F24" s="10"/>
      <c r="G24" s="10"/>
      <c r="H24" s="10"/>
    </row>
    <row r="25" spans="1:8" ht="14.1" customHeight="1">
      <c r="A25" s="14" t="str">
        <f>[1]IronKey!A32</f>
        <v>IronKey 4GB Enterprise D200</v>
      </c>
      <c r="B25" s="7">
        <f>[1]IronKey!B32</f>
        <v>0</v>
      </c>
      <c r="C25" s="8">
        <f>[1]IronKey!D32</f>
        <v>0</v>
      </c>
      <c r="D25" s="9">
        <f>[1]IronKey!E32</f>
        <v>0</v>
      </c>
      <c r="E25" s="9">
        <f>[1]IronKey!F32</f>
        <v>0</v>
      </c>
      <c r="F25" s="10"/>
      <c r="G25" s="10"/>
      <c r="H25" s="10"/>
    </row>
    <row r="26" spans="1:8" ht="14.1" customHeight="1">
      <c r="A26" s="21" t="str">
        <f>[1]Kangaru!A5</f>
        <v>Kanguru Defender Elite - 4GB</v>
      </c>
      <c r="B26" s="22">
        <f>[1]Kangaru!B5</f>
        <v>54.28</v>
      </c>
      <c r="C26" s="8">
        <f>[1]Kangaru!D5</f>
        <v>58.87</v>
      </c>
      <c r="D26" s="9"/>
      <c r="E26" s="9"/>
      <c r="F26" s="10"/>
      <c r="G26" s="10"/>
      <c r="H26" s="10"/>
    </row>
    <row r="27" spans="1:8" ht="14.1" customHeight="1">
      <c r="A27" s="23" t="str">
        <f>[1]Kangaru!A16</f>
        <v>Kanguru Defender V2 KDV2 - 4GB</v>
      </c>
      <c r="B27" s="12">
        <f>[1]Kangaru!B16</f>
        <v>33.81</v>
      </c>
      <c r="C27" s="8">
        <f>[1]Kangaru!D16</f>
        <v>37.22</v>
      </c>
      <c r="D27" s="9"/>
      <c r="E27" s="9"/>
      <c r="F27" s="10"/>
      <c r="G27" s="10"/>
      <c r="H27" s="10"/>
    </row>
    <row r="28" spans="1:8" ht="14.1" customHeight="1">
      <c r="A28" s="23" t="str">
        <f>[1]Kangaru!A27</f>
        <v>Kanguru Defender Basic KDFB-4G - 4GB</v>
      </c>
      <c r="B28" s="12">
        <f>[1]Kangaru!B27</f>
        <v>30.44</v>
      </c>
      <c r="C28" s="8">
        <f>[1]Kangaru!D27</f>
        <v>32.06</v>
      </c>
      <c r="D28" s="9"/>
      <c r="E28" s="9"/>
      <c r="F28" s="10"/>
      <c r="G28" s="10"/>
      <c r="H28" s="10"/>
    </row>
    <row r="29" spans="1:8" ht="14.1" customHeight="1">
      <c r="A29" s="14" t="str">
        <f>[1]Kingston!A4</f>
        <v>Kingston DataTraveler Vault Privacy Ed - 4GB</v>
      </c>
      <c r="B29" s="7">
        <f>[1]Kingston!B4</f>
        <v>125.83</v>
      </c>
      <c r="C29" s="8">
        <f>[1]Kingston!D4</f>
        <v>39.28</v>
      </c>
      <c r="D29" s="9"/>
      <c r="E29" s="9"/>
      <c r="F29" s="10"/>
      <c r="G29" s="10"/>
      <c r="H29" s="10"/>
    </row>
    <row r="30" spans="1:8" ht="14.1" customHeight="1">
      <c r="A30" s="14" t="str">
        <f>[1]Kingston!A10</f>
        <v>Kingston DataTraveler Vault DTVPM - 4GB</v>
      </c>
      <c r="B30" s="7">
        <f>[1]Kingston!B10</f>
        <v>0</v>
      </c>
      <c r="C30" s="8">
        <f>[1]Kingston!D10</f>
        <v>43.64</v>
      </c>
      <c r="D30" s="9"/>
      <c r="E30" s="9"/>
      <c r="F30" s="10"/>
      <c r="G30" s="10"/>
      <c r="H30" s="10"/>
    </row>
    <row r="31" spans="1:8" ht="14.1" customHeight="1">
      <c r="A31" s="14" t="str">
        <f>[1]Kingston!A17</f>
        <v>Kingston DataTraveler 4000 DT4000- 4GB</v>
      </c>
      <c r="B31" s="7">
        <f>[1]Kingston!B17</f>
        <v>0</v>
      </c>
      <c r="C31" s="8">
        <f>[1]Kingston!D17</f>
        <v>50.19</v>
      </c>
      <c r="D31" s="9"/>
      <c r="E31" s="9"/>
      <c r="F31" s="10"/>
      <c r="G31" s="10"/>
      <c r="H31" s="10"/>
    </row>
    <row r="32" spans="1:8" ht="14.1" customHeight="1">
      <c r="A32" s="15" t="str">
        <f>[1]Kingston!A18</f>
        <v>Kingston DataTraveler 4000 DT4000- 4GB-managed</v>
      </c>
      <c r="B32" s="7">
        <f>[1]Kingston!B18</f>
        <v>0</v>
      </c>
      <c r="C32" s="24">
        <f>[1]Kingston!D18</f>
        <v>52.37</v>
      </c>
      <c r="D32" s="9"/>
      <c r="E32" s="9"/>
      <c r="F32" s="10"/>
      <c r="G32" s="10"/>
      <c r="H32" s="10"/>
    </row>
    <row r="33" spans="1:8" ht="14.1" customHeight="1">
      <c r="A33" s="14" t="str">
        <f>[1]Kingston!A27</f>
        <v>Kingston DataTraveler 5000 DT5000 - 4GB</v>
      </c>
      <c r="B33" s="7">
        <f>[1]Kingston!B27</f>
        <v>96.29</v>
      </c>
      <c r="C33" s="8">
        <f>[1]Kingston!D27</f>
        <v>93.26</v>
      </c>
      <c r="D33" s="9"/>
      <c r="E33" s="9"/>
      <c r="F33" s="10"/>
      <c r="G33" s="10"/>
      <c r="H33" s="10"/>
    </row>
    <row r="34" spans="1:8" ht="14.1" customHeight="1">
      <c r="A34" s="14" t="str">
        <f>[1]McAfee!A5</f>
        <v>McAfee Encrypted USB Standard USB-ST02-4GBPFG - 4GB</v>
      </c>
      <c r="B34" s="7">
        <f>[1]McAfee!B5</f>
        <v>0</v>
      </c>
      <c r="C34" s="8">
        <f>[1]McAfee!D5</f>
        <v>0</v>
      </c>
      <c r="D34" s="9">
        <f>[1]McAfee!E5</f>
        <v>0</v>
      </c>
      <c r="E34" s="9">
        <f>[1]McAfee!F5</f>
        <v>0</v>
      </c>
      <c r="F34" s="10">
        <f>[1]McAfee!G5</f>
        <v>54.06</v>
      </c>
      <c r="G34" s="10">
        <f>[1]McAfee!H5</f>
        <v>52.15</v>
      </c>
      <c r="H34" s="10">
        <f>[1]McAfee!I5</f>
        <v>49.6</v>
      </c>
    </row>
    <row r="35" spans="1:8" ht="14.1" customHeight="1">
      <c r="A35" s="14" t="str">
        <f>[1]McAfee!A6</f>
        <v>McAfee Encrypted USB Standard USB-ST02-4GBPFI - 4GB</v>
      </c>
      <c r="B35" s="7">
        <f>[1]McAfee!B6</f>
        <v>77.42</v>
      </c>
      <c r="C35" s="8">
        <f>[1]McAfee!D6</f>
        <v>0</v>
      </c>
      <c r="D35" s="9">
        <f>[1]McAfee!E6</f>
        <v>0</v>
      </c>
      <c r="E35" s="9">
        <f>[1]McAfee!F6</f>
        <v>0</v>
      </c>
      <c r="F35" s="10">
        <f>[1]McAfee!G6</f>
        <v>0</v>
      </c>
      <c r="G35" s="10">
        <f>[1]McAfee!H6</f>
        <v>0</v>
      </c>
      <c r="H35" s="10">
        <f>[1]McAfee!I6</f>
        <v>0</v>
      </c>
    </row>
    <row r="36" spans="1:8" ht="14.1" customHeight="1">
      <c r="A36" s="11" t="str">
        <f>[1]McAfee!A17</f>
        <v>McAfee USB-ST02-4GBPFG - 4GB</v>
      </c>
      <c r="B36" s="7">
        <f>[1]McAfee!B17</f>
        <v>0</v>
      </c>
      <c r="C36" s="8">
        <f>[1]McAfee!D17</f>
        <v>0</v>
      </c>
      <c r="D36" s="9">
        <f>[1]McAfee!E17</f>
        <v>0</v>
      </c>
      <c r="E36" s="9">
        <f>[1]McAfee!F17</f>
        <v>0</v>
      </c>
      <c r="F36" s="10">
        <f>[1]McAfee!G17</f>
        <v>111.83</v>
      </c>
      <c r="G36" s="10">
        <f>[1]McAfee!H17</f>
        <v>111.83</v>
      </c>
      <c r="H36" s="10">
        <f>[1]McAfee!I17</f>
        <v>111.83</v>
      </c>
    </row>
    <row r="37" spans="1:8" ht="14.1" customHeight="1" thickBot="1">
      <c r="A37" s="20" t="str">
        <f>[1]McAfee!A26</f>
        <v>McAfee BiometricEncrypted USB-BIO2-4GBMF</v>
      </c>
      <c r="B37" s="7">
        <f>[1]McAfee!B26</f>
        <v>0</v>
      </c>
      <c r="C37" s="8">
        <f>[1]McAfee!D26</f>
        <v>116.48</v>
      </c>
      <c r="D37" s="9">
        <f>[1]McAfee!E26</f>
        <v>0</v>
      </c>
      <c r="E37" s="9">
        <f>[1]McAfee!F26</f>
        <v>0</v>
      </c>
      <c r="F37" s="10">
        <f>[1]McAfee!G26</f>
        <v>96.69</v>
      </c>
      <c r="G37" s="10">
        <f>[1]McAfee!H26</f>
        <v>93.28</v>
      </c>
      <c r="H37" s="10">
        <f>[1]McAfee!I26</f>
        <v>88.73</v>
      </c>
    </row>
    <row r="38" spans="1:8" ht="14.1" customHeight="1" thickBot="1">
      <c r="A38" s="6" t="s">
        <v>8</v>
      </c>
      <c r="B38" s="7"/>
      <c r="C38" s="8"/>
      <c r="D38" s="9"/>
      <c r="E38" s="9"/>
      <c r="F38" s="10"/>
      <c r="G38" s="10"/>
      <c r="H38" s="10"/>
    </row>
    <row r="39" spans="1:8" ht="14.1" customHeight="1">
      <c r="A39" s="44" t="s">
        <v>23</v>
      </c>
      <c r="B39" s="7">
        <v>100.91</v>
      </c>
      <c r="C39" s="8"/>
      <c r="D39" s="9">
        <v>94.17</v>
      </c>
      <c r="E39" s="9">
        <v>91.59</v>
      </c>
      <c r="F39" s="10"/>
      <c r="G39" s="10"/>
      <c r="H39" s="10"/>
    </row>
    <row r="40" spans="1:8" ht="14.1" customHeight="1">
      <c r="A40" s="45" t="s">
        <v>24</v>
      </c>
      <c r="B40" s="7"/>
      <c r="C40" s="8"/>
      <c r="D40" s="13">
        <v>92.88</v>
      </c>
      <c r="E40" s="9">
        <v>90.3</v>
      </c>
      <c r="F40" s="10"/>
      <c r="G40" s="10"/>
      <c r="H40" s="10"/>
    </row>
    <row r="41" spans="1:8" ht="14.1" customHeight="1">
      <c r="A41" s="14" t="str">
        <f>[1]IronKey!A17</f>
        <v>IronKey 8GB Personal S200</v>
      </c>
      <c r="B41" s="7">
        <f>[1]IronKey!B17</f>
        <v>0</v>
      </c>
      <c r="C41" s="8">
        <f>[1]IronKey!D17</f>
        <v>154.43</v>
      </c>
      <c r="D41" s="9">
        <f>[1]IronKey!E17</f>
        <v>0</v>
      </c>
      <c r="E41" s="9">
        <f>[1]IronKey!F17</f>
        <v>0</v>
      </c>
      <c r="F41" s="10"/>
      <c r="G41" s="10"/>
      <c r="H41" s="10"/>
    </row>
    <row r="42" spans="1:8" ht="14.1" customHeight="1">
      <c r="A42" s="23" t="str">
        <f>[1]IronKey!A18</f>
        <v>IronKey 8GB Personal S200-4FIPS</v>
      </c>
      <c r="B42" s="12">
        <f>[1]IronKey!B18</f>
        <v>154.84</v>
      </c>
      <c r="C42" s="8">
        <f>[1]IronKey!D18</f>
        <v>0</v>
      </c>
      <c r="D42" s="9">
        <f>[1]IronKey!E18</f>
        <v>0</v>
      </c>
      <c r="E42" s="9">
        <f>[1]IronKey!F18</f>
        <v>0</v>
      </c>
      <c r="F42" s="10"/>
      <c r="G42" s="10"/>
      <c r="H42" s="10"/>
    </row>
    <row r="43" spans="1:8" ht="14.1" customHeight="1">
      <c r="A43" s="14" t="str">
        <f>[1]IronKey!A23</f>
        <v>IronKey 8GB Personal S200 - 4FIPS</v>
      </c>
      <c r="B43" s="7">
        <f>[1]IronKey!B23</f>
        <v>0</v>
      </c>
      <c r="C43" s="8">
        <f>[1]IronKey!D23</f>
        <v>168.15</v>
      </c>
      <c r="D43" s="9">
        <f>[1]IronKey!E23</f>
        <v>0</v>
      </c>
      <c r="E43" s="9">
        <f>[1]IronKey!F23</f>
        <v>0</v>
      </c>
      <c r="F43" s="10"/>
      <c r="G43" s="10"/>
      <c r="H43" s="10"/>
    </row>
    <row r="44" spans="1:8" ht="14.1" customHeight="1">
      <c r="A44" s="14" t="str">
        <f>[1]IronKey!A27</f>
        <v>IronKey 8GB Enterprise S200</v>
      </c>
      <c r="B44" s="7">
        <f>[1]IronKey!B27</f>
        <v>0</v>
      </c>
      <c r="C44" s="8">
        <f>[1]IronKey!D27</f>
        <v>0</v>
      </c>
      <c r="D44" s="9">
        <f>[1]IronKey!E27</f>
        <v>0</v>
      </c>
      <c r="E44" s="9">
        <f>[1]IronKey!F27</f>
        <v>0</v>
      </c>
      <c r="F44" s="10"/>
      <c r="G44" s="10"/>
      <c r="H44" s="10"/>
    </row>
    <row r="45" spans="1:8" ht="14.1" customHeight="1">
      <c r="A45" s="14" t="str">
        <f>[1]IronKey!A33</f>
        <v>IronKey 8GB Enterprise D200</v>
      </c>
      <c r="B45" s="7">
        <f>[1]IronKey!B33</f>
        <v>0</v>
      </c>
      <c r="C45" s="8">
        <f>[1]IronKey!D33</f>
        <v>0</v>
      </c>
      <c r="D45" s="9">
        <f>[1]IronKey!E33</f>
        <v>0</v>
      </c>
      <c r="E45" s="9">
        <f>[1]IronKey!F33</f>
        <v>0</v>
      </c>
      <c r="F45" s="10"/>
      <c r="G45" s="10"/>
      <c r="H45" s="10"/>
    </row>
    <row r="46" spans="1:8" ht="14.1" customHeight="1">
      <c r="A46" s="15" t="str">
        <f>[1]Kangaru!A6</f>
        <v>Kanguru Defender Elite - 8GB</v>
      </c>
      <c r="B46" s="16">
        <f>[1]Kangaru!B6</f>
        <v>66.739999999999995</v>
      </c>
      <c r="C46" s="8">
        <f>[1]Kangaru!D6</f>
        <v>72.47</v>
      </c>
      <c r="D46" s="9"/>
      <c r="E46" s="9"/>
      <c r="F46" s="10"/>
      <c r="G46" s="10"/>
      <c r="H46" s="10"/>
    </row>
    <row r="47" spans="1:8" ht="14.1" customHeight="1">
      <c r="A47" s="18" t="str">
        <f>[1]Kangaru!A17</f>
        <v>Kanguru Defender V2 KDV2 - 8GB</v>
      </c>
      <c r="B47" s="12">
        <f>[1]Kangaru!B17</f>
        <v>49.83</v>
      </c>
      <c r="C47" s="8">
        <f>[1]Kangaru!D17</f>
        <v>54.33</v>
      </c>
      <c r="D47" s="9"/>
      <c r="E47" s="9"/>
      <c r="F47" s="10"/>
      <c r="G47" s="10"/>
      <c r="H47" s="10"/>
    </row>
    <row r="48" spans="1:8" ht="14.1" customHeight="1">
      <c r="A48" s="18" t="str">
        <f>[1]Kangaru!A28</f>
        <v>Kanguru Defender Basic KDFB-8G - 8GB</v>
      </c>
      <c r="B48" s="12">
        <f>[1]Kangaru!B28</f>
        <v>39.14</v>
      </c>
      <c r="C48" s="8">
        <f>[1]Kangaru!D28</f>
        <v>40.93</v>
      </c>
      <c r="D48" s="9"/>
      <c r="E48" s="9"/>
      <c r="F48" s="10"/>
      <c r="G48" s="10"/>
      <c r="H48" s="10"/>
    </row>
    <row r="49" spans="1:8" ht="14.1" customHeight="1">
      <c r="A49" s="14" t="str">
        <f>[1]Kingston!A5</f>
        <v>Kingston DataTraveler Vault Privacy Ed - 8GB</v>
      </c>
      <c r="B49" s="7">
        <f>[1]Kingston!B5</f>
        <v>0</v>
      </c>
      <c r="C49" s="8">
        <f>[1]Kingston!D5</f>
        <v>59.64</v>
      </c>
      <c r="D49" s="9"/>
      <c r="E49" s="9"/>
      <c r="F49" s="10"/>
      <c r="G49" s="10"/>
      <c r="H49" s="10"/>
    </row>
    <row r="50" spans="1:8" ht="14.1" customHeight="1">
      <c r="A50" s="14" t="str">
        <f>[1]Kingston!A11</f>
        <v>Kingston DataTraveler Vault DTVPM - 8GB</v>
      </c>
      <c r="B50" s="7">
        <f>[1]Kingston!B11</f>
        <v>219.3</v>
      </c>
      <c r="C50" s="8">
        <f>[1]Kingston!D11</f>
        <v>67.27</v>
      </c>
      <c r="D50" s="9"/>
      <c r="E50" s="9"/>
      <c r="F50" s="10"/>
      <c r="G50" s="10"/>
      <c r="H50" s="10"/>
    </row>
    <row r="51" spans="1:8" ht="14.1" customHeight="1">
      <c r="A51" s="14" t="str">
        <f>[1]Kingston!A19</f>
        <v>Kingston DataTraveler 4000 DT4000- 8GB</v>
      </c>
      <c r="B51" s="7">
        <f>[1]Kingston!B19</f>
        <v>0</v>
      </c>
      <c r="C51" s="8">
        <f>[1]Kingston!D19</f>
        <v>70.92</v>
      </c>
      <c r="D51" s="9"/>
      <c r="E51" s="9"/>
      <c r="F51" s="10"/>
      <c r="G51" s="10"/>
      <c r="H51" s="10"/>
    </row>
    <row r="52" spans="1:8" ht="14.1" customHeight="1">
      <c r="A52" s="11" t="str">
        <f>[1]Kingston!A20</f>
        <v>Kingston DataTraveler 4000 DT4000- 8GB-managed</v>
      </c>
      <c r="B52" s="7">
        <f>[1]Kingston!B20</f>
        <v>0</v>
      </c>
      <c r="C52" s="13">
        <f>[1]Kingston!D20</f>
        <v>72.650000000000006</v>
      </c>
      <c r="D52" s="9"/>
      <c r="E52" s="9"/>
      <c r="F52" s="10"/>
      <c r="G52" s="10"/>
      <c r="H52" s="10"/>
    </row>
    <row r="53" spans="1:8" ht="14.1" customHeight="1">
      <c r="A53" s="14" t="str">
        <f>[1]Kingston!A28</f>
        <v>Kingston DataTraveler 5000 DT5000 - 8GB</v>
      </c>
      <c r="B53" s="7">
        <f>[1]Kingston!B28</f>
        <v>118.79</v>
      </c>
      <c r="C53" s="8">
        <f>[1]Kingston!D28</f>
        <v>114.46</v>
      </c>
      <c r="D53" s="9"/>
      <c r="E53" s="9"/>
      <c r="F53" s="10"/>
      <c r="G53" s="10"/>
      <c r="H53" s="10"/>
    </row>
    <row r="54" spans="1:8" ht="14.1" customHeight="1">
      <c r="A54" s="11" t="str">
        <f>[1]McAfee!A7</f>
        <v>McAfee Encrypted USB Standard USB-ST02-8GBPFA - 8GB</v>
      </c>
      <c r="B54" s="7">
        <f>[1]McAfee!B7</f>
        <v>0</v>
      </c>
      <c r="C54" s="8">
        <f>[1]McAfee!D7</f>
        <v>0</v>
      </c>
      <c r="D54" s="9">
        <f>[1]McAfee!E7</f>
        <v>0</v>
      </c>
      <c r="E54" s="9">
        <f>[1]McAfee!F7</f>
        <v>0</v>
      </c>
      <c r="F54" s="13">
        <f>[1]McAfee!G7</f>
        <v>72.3</v>
      </c>
      <c r="G54" s="10">
        <f>[1]McAfee!H7</f>
        <v>69.75</v>
      </c>
      <c r="H54" s="10">
        <f>[1]McAfee!I7</f>
        <v>66.34</v>
      </c>
    </row>
    <row r="55" spans="1:8" ht="14.1" customHeight="1">
      <c r="A55" s="14" t="str">
        <f>[1]McAfee!A8</f>
        <v>McAfee Encrypted USB Standard USB-ST02-8GBPFI - 8GB</v>
      </c>
      <c r="B55" s="7">
        <f>[1]McAfee!B8</f>
        <v>101.44</v>
      </c>
      <c r="C55" s="8">
        <f>[1]McAfee!D8</f>
        <v>0</v>
      </c>
      <c r="D55" s="9">
        <f>[1]McAfee!E8</f>
        <v>0</v>
      </c>
      <c r="E55" s="9">
        <f>[1]McAfee!F8</f>
        <v>0</v>
      </c>
      <c r="F55" s="10">
        <f>[1]McAfee!G8</f>
        <v>0</v>
      </c>
      <c r="G55" s="10">
        <f>[1]McAfee!H8</f>
        <v>0</v>
      </c>
      <c r="H55" s="10">
        <f>[1]McAfee!I8</f>
        <v>0</v>
      </c>
    </row>
    <row r="56" spans="1:8" ht="14.1" customHeight="1">
      <c r="A56" s="14" t="str">
        <f>[1]McAfee!A18</f>
        <v>McAfee USB-ST02-8GBPFG - 8GB</v>
      </c>
      <c r="B56" s="7">
        <f>[1]McAfee!B18</f>
        <v>0</v>
      </c>
      <c r="C56" s="8">
        <f>[1]McAfee!D18</f>
        <v>0</v>
      </c>
      <c r="D56" s="9">
        <f>[1]McAfee!E18</f>
        <v>0</v>
      </c>
      <c r="E56" s="9">
        <f>[1]McAfee!F18</f>
        <v>0</v>
      </c>
      <c r="F56" s="10">
        <f>[1]McAfee!G18</f>
        <v>149.46</v>
      </c>
      <c r="G56" s="10">
        <f>[1]McAfee!H18</f>
        <v>149.46</v>
      </c>
      <c r="H56" s="10">
        <f>[1]McAfee!I18</f>
        <v>149.46</v>
      </c>
    </row>
    <row r="57" spans="1:8" ht="14.1" customHeight="1" thickBot="1">
      <c r="A57" s="20" t="str">
        <f>[1]McAfee!A27</f>
        <v>McAfee BiometricEncrypted USB-BIO2-8GBMF</v>
      </c>
      <c r="B57" s="7">
        <f>[1]McAfee!B27</f>
        <v>0</v>
      </c>
      <c r="C57" s="8">
        <f>[1]McAfee!D27</f>
        <v>147.99</v>
      </c>
      <c r="D57" s="9">
        <f>[1]McAfee!E27</f>
        <v>0</v>
      </c>
      <c r="E57" s="9">
        <f>[1]McAfee!F27</f>
        <v>0</v>
      </c>
      <c r="F57" s="10">
        <f>[1]McAfee!G27</f>
        <v>111.89</v>
      </c>
      <c r="G57" s="10">
        <f>[1]McAfee!H27</f>
        <v>107.95</v>
      </c>
      <c r="H57" s="10">
        <f>[1]McAfee!I27</f>
        <v>102.68</v>
      </c>
    </row>
    <row r="58" spans="1:8" ht="14.1" customHeight="1" thickBot="1">
      <c r="A58" s="6" t="s">
        <v>9</v>
      </c>
      <c r="B58" s="7"/>
      <c r="C58" s="8"/>
      <c r="D58" s="9"/>
      <c r="E58" s="9"/>
      <c r="F58" s="10"/>
      <c r="G58" s="10"/>
      <c r="H58" s="10"/>
    </row>
    <row r="59" spans="1:8" ht="14.1" customHeight="1">
      <c r="A59" s="44" t="s">
        <v>27</v>
      </c>
      <c r="B59" s="7"/>
      <c r="C59" s="8"/>
      <c r="D59" s="9">
        <v>145.27000000000001</v>
      </c>
      <c r="E59" s="9">
        <v>141.29</v>
      </c>
      <c r="F59" s="10"/>
      <c r="G59" s="10"/>
      <c r="H59" s="10"/>
    </row>
    <row r="60" spans="1:8" ht="14.1" customHeight="1">
      <c r="A60" s="45" t="s">
        <v>28</v>
      </c>
      <c r="B60" s="7"/>
      <c r="C60" s="8"/>
      <c r="D60" s="9">
        <v>143.28</v>
      </c>
      <c r="E60" s="9">
        <v>139.30000000000001</v>
      </c>
      <c r="F60" s="10"/>
      <c r="G60" s="10"/>
      <c r="H60" s="10"/>
    </row>
    <row r="61" spans="1:8" ht="14.1" customHeight="1">
      <c r="A61" s="14" t="str">
        <f>[1]IronKey!A19</f>
        <v>IronKey 16GB Personal S200 - 2FIPS</v>
      </c>
      <c r="B61" s="7">
        <f>[1]IronKey!B19</f>
        <v>0</v>
      </c>
      <c r="C61" s="8">
        <f>[1]IronKey!D19</f>
        <v>232.01</v>
      </c>
      <c r="D61" s="9">
        <f>[1]IronKey!E19</f>
        <v>0</v>
      </c>
      <c r="E61" s="9">
        <f>[1]IronKey!F19</f>
        <v>0</v>
      </c>
      <c r="F61" s="10"/>
      <c r="G61" s="10"/>
      <c r="H61" s="10"/>
    </row>
    <row r="62" spans="1:8" ht="14.1" customHeight="1">
      <c r="A62" s="14" t="str">
        <f>[1]IronKey!A24</f>
        <v>IronKey 16GB Personal S200 - 4FIPS</v>
      </c>
      <c r="B62" s="7">
        <f>[1]IronKey!B24</f>
        <v>0</v>
      </c>
      <c r="C62" s="8">
        <f>[1]IronKey!D24</f>
        <v>253.21</v>
      </c>
      <c r="D62" s="9">
        <f>[1]IronKey!E24</f>
        <v>0</v>
      </c>
      <c r="E62" s="9">
        <f>[1]IronKey!F24</f>
        <v>0</v>
      </c>
      <c r="F62" s="10"/>
      <c r="G62" s="10"/>
      <c r="H62" s="10"/>
    </row>
    <row r="63" spans="1:8" ht="14.1" customHeight="1">
      <c r="A63" s="14" t="str">
        <f>[1]IronKey!A28</f>
        <v>IronKey 16GB Enterprise S200</v>
      </c>
      <c r="B63" s="7">
        <f>[1]IronKey!B28</f>
        <v>0</v>
      </c>
      <c r="C63" s="8">
        <f>[1]IronKey!D28</f>
        <v>0</v>
      </c>
      <c r="D63" s="9">
        <f>[1]IronKey!E28</f>
        <v>0</v>
      </c>
      <c r="E63" s="9">
        <f>[1]IronKey!F28</f>
        <v>0</v>
      </c>
      <c r="F63" s="10"/>
      <c r="G63" s="10"/>
      <c r="H63" s="10"/>
    </row>
    <row r="64" spans="1:8" ht="14.1" customHeight="1">
      <c r="A64" s="14" t="str">
        <f>[1]IronKey!A34</f>
        <v>IronKey 16GB Enterprise D200</v>
      </c>
      <c r="B64" s="7">
        <f>[1]IronKey!B34</f>
        <v>0</v>
      </c>
      <c r="C64" s="8">
        <f>[1]IronKey!D34</f>
        <v>0</v>
      </c>
      <c r="D64" s="9">
        <f>[1]IronKey!E34</f>
        <v>0</v>
      </c>
      <c r="E64" s="9">
        <f>[1]IronKey!F34</f>
        <v>0</v>
      </c>
      <c r="F64" s="10"/>
      <c r="G64" s="10"/>
      <c r="H64" s="10"/>
    </row>
    <row r="65" spans="1:8" ht="14.1" customHeight="1">
      <c r="A65" s="15" t="str">
        <f>[1]Kangaru!A7</f>
        <v>Kanguru Defender Elite - 16GB</v>
      </c>
      <c r="B65" s="16">
        <f>[1]Kangaru!B7</f>
        <v>100.56</v>
      </c>
      <c r="C65" s="8">
        <f>[1]Kangaru!D7</f>
        <v>108.25</v>
      </c>
      <c r="D65" s="9"/>
      <c r="E65" s="9"/>
      <c r="F65" s="10"/>
      <c r="G65" s="10"/>
      <c r="H65" s="10"/>
    </row>
    <row r="66" spans="1:8" ht="14.1" customHeight="1">
      <c r="A66" s="23" t="str">
        <f>[1]Kangaru!A18</f>
        <v>Kanguru Defender V2 KDV2 - 16GB</v>
      </c>
      <c r="B66" s="12">
        <f>[1]Kangaru!B18</f>
        <v>66.739999999999995</v>
      </c>
      <c r="C66" s="8">
        <f>[1]Kangaru!D18</f>
        <v>72.47</v>
      </c>
      <c r="D66" s="9"/>
      <c r="E66" s="9"/>
      <c r="F66" s="10"/>
      <c r="G66" s="10"/>
      <c r="H66" s="10"/>
    </row>
    <row r="67" spans="1:8" ht="14.1" customHeight="1">
      <c r="A67" s="25" t="str">
        <f>[1]Kangaru!A29</f>
        <v>Kanguru Defender Basic KDFB-16G - 16GB</v>
      </c>
      <c r="B67" s="12">
        <f>[1]Kangaru!B29</f>
        <v>53.39</v>
      </c>
      <c r="C67" s="19">
        <f>[1]Kangaru!D29</f>
        <v>53.2</v>
      </c>
      <c r="D67" s="9"/>
      <c r="E67" s="9"/>
      <c r="F67" s="10"/>
      <c r="G67" s="10"/>
      <c r="H67" s="10"/>
    </row>
    <row r="68" spans="1:8" ht="14.1" customHeight="1">
      <c r="A68" s="26" t="str">
        <f>[1]Kingston!A6</f>
        <v>Kingston DataTraveler Vault Privacy Ed - 16GB</v>
      </c>
      <c r="B68" s="7">
        <f>[1]Kingston!B6</f>
        <v>129.19</v>
      </c>
      <c r="C68" s="8">
        <f>[1]Kingston!D6</f>
        <v>124.19</v>
      </c>
      <c r="D68" s="9"/>
      <c r="E68" s="9"/>
      <c r="F68" s="10"/>
      <c r="G68" s="10"/>
      <c r="H68" s="10"/>
    </row>
    <row r="69" spans="1:8" ht="14.1" customHeight="1">
      <c r="A69" s="26" t="str">
        <f>[1]Kingston!A12</f>
        <v>Kingston DataTraveler Vault DTVPM - 16GB</v>
      </c>
      <c r="B69" s="7">
        <f>[1]Kingston!B12</f>
        <v>0</v>
      </c>
      <c r="C69" s="8">
        <f>[1]Kingston!D12</f>
        <v>129.58000000000001</v>
      </c>
      <c r="D69" s="9"/>
      <c r="E69" s="9"/>
      <c r="F69" s="10"/>
      <c r="G69" s="10"/>
      <c r="H69" s="10"/>
    </row>
    <row r="70" spans="1:8" ht="14.1" customHeight="1">
      <c r="A70" s="26" t="str">
        <f>[1]Kingston!A21</f>
        <v>Kingston DataTraveler 4000 DT4000- 16GB</v>
      </c>
      <c r="B70" s="7">
        <f>[1]Kingston!B21</f>
        <v>0</v>
      </c>
      <c r="C70" s="8">
        <f>[1]Kingston!D21</f>
        <v>136.38</v>
      </c>
      <c r="D70" s="9"/>
      <c r="E70" s="9"/>
      <c r="F70" s="10"/>
      <c r="G70" s="10"/>
      <c r="H70" s="10"/>
    </row>
    <row r="71" spans="1:8" ht="14.1" customHeight="1">
      <c r="A71" s="27" t="str">
        <f>[1]Kingston!A22</f>
        <v>Kingston DataTraveler 4000 DT4000- 16GB-managed</v>
      </c>
      <c r="B71" s="7">
        <f>[1]Kingston!B22</f>
        <v>0</v>
      </c>
      <c r="C71" s="13">
        <f>[1]Kingston!D22</f>
        <v>137.13999999999999</v>
      </c>
      <c r="D71" s="9"/>
      <c r="E71" s="9"/>
      <c r="F71" s="10"/>
      <c r="G71" s="10"/>
      <c r="H71" s="10"/>
    </row>
    <row r="72" spans="1:8" ht="14.1" customHeight="1">
      <c r="A72" s="26" t="str">
        <f>[1]Kingston!A29</f>
        <v>Kingston DataTraveler 5000 DT5000 - 16GB</v>
      </c>
      <c r="B72" s="7">
        <f>[1]Kingston!B29</f>
        <v>207.67</v>
      </c>
      <c r="C72" s="8">
        <f>[1]Kingston!D29</f>
        <v>201.85</v>
      </c>
      <c r="D72" s="9"/>
      <c r="E72" s="9"/>
      <c r="F72" s="10"/>
      <c r="G72" s="10"/>
      <c r="H72" s="10"/>
    </row>
    <row r="73" spans="1:8" ht="14.1" customHeight="1">
      <c r="A73" s="27" t="str">
        <f>[1]McAfee!A9</f>
        <v>McAfee Encrypted USB Standard USB-ST02-16GBPFI - 16GB</v>
      </c>
      <c r="B73" s="7">
        <f>[1]McAfee!B9</f>
        <v>162.68</v>
      </c>
      <c r="C73" s="8">
        <f>[1]McAfee!D9</f>
        <v>0</v>
      </c>
      <c r="D73" s="9">
        <f>[1]McAfee!E9</f>
        <v>0</v>
      </c>
      <c r="E73" s="9">
        <f>[1]McAfee!F9</f>
        <v>0</v>
      </c>
      <c r="F73" s="13">
        <f>[1]McAfee!G9</f>
        <v>118.92</v>
      </c>
      <c r="G73" s="10">
        <f>[1]McAfee!H9</f>
        <v>114.72</v>
      </c>
      <c r="H73" s="10">
        <f>[1]McAfee!I9</f>
        <v>109.13</v>
      </c>
    </row>
    <row r="74" spans="1:8" ht="14.1" customHeight="1">
      <c r="A74" s="26" t="str">
        <f>[1]McAfee!A19</f>
        <v>McAfee USB-ST02-16GBPFG - 16GB</v>
      </c>
      <c r="B74" s="7">
        <f>[1]McAfee!B19</f>
        <v>0</v>
      </c>
      <c r="C74" s="8">
        <f>[1]McAfee!D19</f>
        <v>0</v>
      </c>
      <c r="D74" s="9">
        <f>[1]McAfee!E19</f>
        <v>0</v>
      </c>
      <c r="E74" s="9">
        <f>[1]McAfee!F19</f>
        <v>0</v>
      </c>
      <c r="F74" s="10">
        <f>[1]McAfee!G19</f>
        <v>235.48</v>
      </c>
      <c r="G74" s="10">
        <f>[1]McAfee!H19</f>
        <v>235.48</v>
      </c>
      <c r="H74" s="10">
        <f>[1]McAfee!I19</f>
        <v>235.48</v>
      </c>
    </row>
    <row r="75" spans="1:8" ht="14.1" customHeight="1" thickBot="1">
      <c r="A75" s="26" t="str">
        <f>[1]McAfee!A28</f>
        <v>McAfee BiometricEncrypted USB-BIO2-16GBMF</v>
      </c>
      <c r="B75" s="7">
        <f>[1]McAfee!B28</f>
        <v>0</v>
      </c>
      <c r="C75" s="8">
        <f>[1]McAfee!D28</f>
        <v>208.8</v>
      </c>
      <c r="D75" s="9">
        <f>[1]McAfee!E28</f>
        <v>0</v>
      </c>
      <c r="E75" s="9">
        <f>[1]McAfee!F28</f>
        <v>0</v>
      </c>
      <c r="F75" s="10">
        <f>[1]McAfee!G28</f>
        <v>160.54</v>
      </c>
      <c r="G75" s="10">
        <f>[1]McAfee!H28</f>
        <v>154.88</v>
      </c>
      <c r="H75" s="10">
        <f>[1]McAfee!I28</f>
        <v>147.32</v>
      </c>
    </row>
    <row r="76" spans="1:8" ht="14.1" customHeight="1" thickBot="1">
      <c r="A76" s="6" t="s">
        <v>10</v>
      </c>
      <c r="B76" s="7"/>
      <c r="C76" s="8"/>
      <c r="D76" s="9"/>
      <c r="E76" s="9"/>
      <c r="F76" s="10"/>
      <c r="G76" s="10"/>
      <c r="H76" s="10"/>
    </row>
    <row r="77" spans="1:8" ht="14.1" customHeight="1">
      <c r="A77" s="44" t="s">
        <v>29</v>
      </c>
      <c r="B77" s="7"/>
      <c r="C77" s="8">
        <v>239.74</v>
      </c>
      <c r="D77" s="9">
        <v>218.27</v>
      </c>
      <c r="E77" s="9">
        <v>212.29</v>
      </c>
      <c r="F77" s="10"/>
      <c r="G77" s="10"/>
      <c r="H77" s="10"/>
    </row>
    <row r="78" spans="1:8" ht="14.1" customHeight="1">
      <c r="A78" s="45" t="s">
        <v>30</v>
      </c>
      <c r="B78" s="7"/>
      <c r="C78" s="8">
        <v>253.21</v>
      </c>
      <c r="D78" s="9">
        <v>215.28</v>
      </c>
      <c r="E78" s="9">
        <v>209.3</v>
      </c>
      <c r="F78" s="10"/>
      <c r="G78" s="10"/>
      <c r="H78" s="10"/>
    </row>
    <row r="79" spans="1:8" ht="14.1" customHeight="1">
      <c r="A79" s="14" t="str">
        <f>[1]IronKey!A29</f>
        <v>IronKey 32GB Enterprise S200</v>
      </c>
      <c r="B79" s="7">
        <f>[1]IronKey!B29</f>
        <v>0</v>
      </c>
      <c r="C79" s="8">
        <f>[1]IronKey!D29</f>
        <v>0</v>
      </c>
      <c r="D79" s="9">
        <f>[1]IronKey!E29</f>
        <v>0</v>
      </c>
      <c r="E79" s="9">
        <f>[1]IronKey!F29</f>
        <v>0</v>
      </c>
      <c r="F79" s="10"/>
      <c r="G79" s="10"/>
      <c r="H79" s="10"/>
    </row>
    <row r="80" spans="1:8" ht="14.1" customHeight="1">
      <c r="A80" s="15" t="str">
        <f>[1]Kangaru!A9</f>
        <v>Kanguru Defender Elite KDFE -  32GB</v>
      </c>
      <c r="B80" s="7">
        <f>[1]Kangaru!B9</f>
        <v>165.59</v>
      </c>
      <c r="C80" s="8">
        <f>[1]Kangaru!D9</f>
        <v>164.4</v>
      </c>
      <c r="D80" s="9"/>
      <c r="E80" s="9"/>
      <c r="F80" s="10"/>
      <c r="G80" s="10"/>
      <c r="H80" s="10"/>
    </row>
    <row r="81" spans="1:8" ht="14.1" customHeight="1">
      <c r="A81" s="14" t="str">
        <f>[1]Kangaru!A19</f>
        <v>Kanguru Defender V2 KDV2 - 32GB</v>
      </c>
      <c r="B81" s="7">
        <f>[1]Kangaru!B19</f>
        <v>106.13</v>
      </c>
      <c r="C81" s="8">
        <f>[1]Kangaru!D19</f>
        <v>115.46</v>
      </c>
      <c r="D81" s="9"/>
      <c r="E81" s="9"/>
      <c r="F81" s="10"/>
      <c r="G81" s="10"/>
      <c r="H81" s="10"/>
    </row>
    <row r="82" spans="1:8" ht="14.1" customHeight="1">
      <c r="A82" s="23" t="str">
        <f>[1]Kangaru!A30</f>
        <v xml:space="preserve">Kanguru Defender Basic KDFB-32G - 32GB </v>
      </c>
      <c r="B82" s="12">
        <f>[1]Kangaru!B30</f>
        <v>88.99</v>
      </c>
      <c r="C82" s="8">
        <f>[1]Kangaru!D30</f>
        <v>90.57</v>
      </c>
      <c r="D82" s="9"/>
      <c r="E82" s="9"/>
      <c r="F82" s="10"/>
      <c r="G82" s="10"/>
      <c r="H82" s="10"/>
    </row>
    <row r="83" spans="1:8" ht="14.1" customHeight="1">
      <c r="A83" s="14" t="str">
        <f>[1]Kingston!A7</f>
        <v>Kingston DataTraveler Vault Privacy Ed - 32GB</v>
      </c>
      <c r="B83" s="7">
        <f>[1]Kingston!B7</f>
        <v>307.57</v>
      </c>
      <c r="C83" s="8">
        <f>[1]Kingston!D7</f>
        <v>296.95999999999998</v>
      </c>
      <c r="D83" s="9"/>
      <c r="E83" s="9"/>
      <c r="F83" s="10"/>
      <c r="G83" s="10"/>
      <c r="H83" s="10"/>
    </row>
    <row r="84" spans="1:8" ht="14.1" customHeight="1">
      <c r="A84" s="14" t="str">
        <f>[1]Kingston!A13</f>
        <v>Kingston DataTraveler Vault DTVPM - 32GB</v>
      </c>
      <c r="B84" s="7">
        <f>[1]Kingston!B13</f>
        <v>0</v>
      </c>
      <c r="C84" s="8">
        <f>[1]Kingston!D13</f>
        <v>302.36</v>
      </c>
      <c r="D84" s="9"/>
      <c r="E84" s="9"/>
      <c r="F84" s="10"/>
      <c r="G84" s="10"/>
      <c r="H84" s="10"/>
    </row>
    <row r="85" spans="1:8" ht="14.1" customHeight="1">
      <c r="A85" s="14" t="str">
        <f>[1]Kingston!A23</f>
        <v>Kingston DataTraveler 4000 DT4000- 32GB</v>
      </c>
      <c r="B85" s="7">
        <f>[1]Kingston!B23</f>
        <v>0</v>
      </c>
      <c r="C85" s="8">
        <f>[1]Kingston!D23</f>
        <v>0</v>
      </c>
      <c r="D85" s="9"/>
      <c r="E85" s="9"/>
      <c r="F85" s="10"/>
      <c r="G85" s="10"/>
      <c r="H85" s="10"/>
    </row>
    <row r="86" spans="1:8" ht="14.1" customHeight="1">
      <c r="A86" s="14" t="str">
        <f>[1]Kingston!A24</f>
        <v>Kingston DataTraveler 4000 DT4000- 32GB-managed</v>
      </c>
      <c r="B86" s="7">
        <f>[1]Kingston!B24</f>
        <v>0</v>
      </c>
      <c r="C86" s="8">
        <f>[1]Kingston!D24</f>
        <v>0</v>
      </c>
      <c r="D86" s="9"/>
      <c r="E86" s="9"/>
      <c r="F86" s="10"/>
      <c r="G86" s="10"/>
      <c r="H86" s="10"/>
    </row>
    <row r="87" spans="1:8" ht="14.1" customHeight="1">
      <c r="A87" s="14" t="str">
        <f>[1]McAfee!A10</f>
        <v>McAfee Encrypted USB Standard USB-ST02-32GBPFA - 32GB</v>
      </c>
      <c r="B87" s="7">
        <f>[1]McAfee!B10</f>
        <v>0</v>
      </c>
      <c r="C87" s="8">
        <f>[1]McAfee!D10</f>
        <v>0</v>
      </c>
      <c r="D87" s="9">
        <f>[1]McAfee!E10</f>
        <v>0</v>
      </c>
      <c r="E87" s="9">
        <f>[1]McAfee!F10</f>
        <v>0</v>
      </c>
      <c r="F87" s="10">
        <f>[1]McAfee!G10</f>
        <v>178.38</v>
      </c>
      <c r="G87" s="10">
        <f>[1]McAfee!H10</f>
        <v>172.09</v>
      </c>
      <c r="H87" s="10">
        <f>[1]McAfee!I10</f>
        <v>163.69</v>
      </c>
    </row>
    <row r="88" spans="1:8" ht="14.1" customHeight="1">
      <c r="A88" s="11" t="str">
        <f>[1]McAfee!A11</f>
        <v>McAfee Encrypted USB Standard USB-ST02-32GBPFI - 32GB</v>
      </c>
      <c r="B88" s="22">
        <f>[1]McAfee!B11</f>
        <v>247.64</v>
      </c>
      <c r="C88" s="8">
        <f>[1]McAfee!D11</f>
        <v>0</v>
      </c>
      <c r="D88" s="9">
        <f>[1]McAfee!E11</f>
        <v>0</v>
      </c>
      <c r="E88" s="9">
        <f>[1]McAfee!F11</f>
        <v>0</v>
      </c>
      <c r="F88" s="10">
        <f>[1]McAfee!G11</f>
        <v>0</v>
      </c>
      <c r="G88" s="10">
        <f>[1]McAfee!H11</f>
        <v>0</v>
      </c>
      <c r="H88" s="10">
        <f>[1]McAfee!I11</f>
        <v>0</v>
      </c>
    </row>
    <row r="89" spans="1:8" ht="14.1" customHeight="1">
      <c r="A89" s="14" t="str">
        <f>[1]McAfee!A12</f>
        <v>McAfee Encrypted USB Standard USB-ST02-32GBPFG - 32GB</v>
      </c>
      <c r="B89" s="7">
        <f>[1]McAfee!B12</f>
        <v>0</v>
      </c>
      <c r="C89" s="8">
        <f>[1]McAfee!D12</f>
        <v>0</v>
      </c>
      <c r="D89" s="9">
        <f>[1]McAfee!E12</f>
        <v>0</v>
      </c>
      <c r="E89" s="9">
        <f>[1]McAfee!F12</f>
        <v>0</v>
      </c>
      <c r="F89" s="10">
        <f>[1]McAfee!G12</f>
        <v>0</v>
      </c>
      <c r="G89" s="10">
        <f>[1]McAfee!H12</f>
        <v>0</v>
      </c>
      <c r="H89" s="10">
        <f>[1]McAfee!I12</f>
        <v>0</v>
      </c>
    </row>
    <row r="90" spans="1:8" ht="14.1" customHeight="1">
      <c r="A90" s="14" t="str">
        <f>[1]McAfee!A20</f>
        <v>McAfee USB-ST02-16GBPF - 32GB</v>
      </c>
      <c r="B90" s="7">
        <f>[1]McAfee!B20</f>
        <v>0</v>
      </c>
      <c r="C90" s="8">
        <f>[1]McAfee!D20</f>
        <v>0</v>
      </c>
      <c r="D90" s="9">
        <f>[1]McAfee!E20</f>
        <v>0</v>
      </c>
      <c r="E90" s="9">
        <f>[1]McAfee!F20</f>
        <v>0</v>
      </c>
      <c r="F90" s="10">
        <f>[1]McAfee!G20</f>
        <v>365.59</v>
      </c>
      <c r="G90" s="10">
        <f>[1]McAfee!H20</f>
        <v>365.59</v>
      </c>
      <c r="H90" s="10">
        <f>[1]McAfee!I20</f>
        <v>365.59</v>
      </c>
    </row>
    <row r="91" spans="1:8" ht="14.1" customHeight="1" thickBot="1">
      <c r="A91" s="20" t="str">
        <f>[1]McAfee!A29</f>
        <v>McAfee BiometricEncrypted USB-BIO2-32GBMF</v>
      </c>
      <c r="B91" s="7">
        <f>[1]McAfee!B29</f>
        <v>0</v>
      </c>
      <c r="C91" s="8">
        <f>[1]McAfee!D29</f>
        <v>0</v>
      </c>
      <c r="D91" s="9">
        <f>[1]McAfee!E29</f>
        <v>0</v>
      </c>
      <c r="E91" s="9">
        <f>[1]McAfee!F29</f>
        <v>0</v>
      </c>
      <c r="F91" s="10">
        <f>[1]McAfee!G29</f>
        <v>250.01</v>
      </c>
      <c r="G91" s="10">
        <f>[1]McAfee!H29</f>
        <v>241.18</v>
      </c>
      <c r="H91" s="10">
        <f>[1]McAfee!I29</f>
        <v>229.42</v>
      </c>
    </row>
    <row r="92" spans="1:8" ht="14.1" customHeight="1" thickBot="1">
      <c r="A92" s="6" t="s">
        <v>11</v>
      </c>
      <c r="B92" s="7"/>
      <c r="C92" s="8"/>
      <c r="D92" s="9"/>
      <c r="E92" s="9"/>
      <c r="F92" s="10"/>
      <c r="G92" s="10"/>
      <c r="H92" s="10"/>
    </row>
    <row r="93" spans="1:8" ht="14.1" customHeight="1">
      <c r="A93" s="28" t="str">
        <f>[1]Kangaru!A8</f>
        <v>Kanguru Defender Elite - 64GB</v>
      </c>
      <c r="B93" s="22">
        <f>[1]Kangaru!B8</f>
        <v>150.4</v>
      </c>
      <c r="C93" s="8">
        <f>[1]Kangaru!D8</f>
        <v>273.89999999999998</v>
      </c>
      <c r="D93" s="9"/>
      <c r="E93" s="9"/>
      <c r="F93" s="10"/>
      <c r="G93" s="10"/>
      <c r="H93" s="10"/>
    </row>
    <row r="94" spans="1:8" ht="14.1" customHeight="1">
      <c r="A94" s="29" t="str">
        <f>[1]Kangaru!A20</f>
        <v>Kanguru Defender V2 KDV2 - 64GB</v>
      </c>
      <c r="B94" s="7">
        <f>[1]Kangaru!B20</f>
        <v>180.08</v>
      </c>
      <c r="C94" s="8">
        <f>[1]Kangaru!D20</f>
        <v>0</v>
      </c>
      <c r="D94" s="9"/>
      <c r="E94" s="9"/>
      <c r="F94" s="10"/>
      <c r="G94" s="10"/>
      <c r="H94" s="10"/>
    </row>
    <row r="95" spans="1:8" ht="14.1" customHeight="1">
      <c r="A95" s="29" t="str">
        <f>[1]Kangaru!A31</f>
        <v>Kanguru Defender Basic KDFB-64G - 64GB</v>
      </c>
      <c r="B95" s="7">
        <f>[1]Kangaru!B31</f>
        <v>160.19</v>
      </c>
      <c r="C95" s="8">
        <f>[1]Kangaru!D31</f>
        <v>162.99</v>
      </c>
      <c r="D95" s="9"/>
      <c r="E95" s="9"/>
      <c r="F95" s="10"/>
      <c r="G95" s="10"/>
      <c r="H95" s="10"/>
    </row>
    <row r="96" spans="1:8" ht="14.1" customHeight="1">
      <c r="A96" s="30" t="str">
        <f>[1]McAfee!A13</f>
        <v>McAfee Encrypted USB Standard USB-ST02-64GBPFG - 64GB</v>
      </c>
      <c r="B96" s="22">
        <f>[1]McAfee!B13</f>
        <v>594.48</v>
      </c>
      <c r="C96" s="8">
        <f>[1]McAfee!D13</f>
        <v>0</v>
      </c>
      <c r="D96" s="9">
        <f>[1]McAfee!E13</f>
        <v>0</v>
      </c>
      <c r="E96" s="9">
        <f>[1]McAfee!F13</f>
        <v>0</v>
      </c>
      <c r="F96" s="10">
        <f>[1]McAfee!G13</f>
        <v>428.39</v>
      </c>
      <c r="G96" s="10">
        <f>[1]McAfee!H13</f>
        <v>413.27</v>
      </c>
      <c r="H96" s="10">
        <f>[1]McAfee!I13</f>
        <v>393.11</v>
      </c>
    </row>
    <row r="97" spans="1:8" ht="14.1" customHeight="1">
      <c r="A97" s="29" t="str">
        <f>[1]McAfee!A14</f>
        <v>McAfee Encrypted USB Standard USB-ST02-64GBPFI - 64GB</v>
      </c>
      <c r="B97" s="7">
        <f>[1]McAfee!B14</f>
        <v>0</v>
      </c>
      <c r="C97" s="8">
        <f>[1]McAfee!D14</f>
        <v>0</v>
      </c>
      <c r="D97" s="9">
        <f>[1]McAfee!E14</f>
        <v>0</v>
      </c>
      <c r="E97" s="9">
        <f>[1]McAfee!F14</f>
        <v>0</v>
      </c>
      <c r="F97" s="10">
        <f>[1]McAfee!G14</f>
        <v>0</v>
      </c>
      <c r="G97" s="10">
        <f>[1]McAfee!H14</f>
        <v>0</v>
      </c>
      <c r="H97" s="10">
        <f>[1]McAfee!I14</f>
        <v>0</v>
      </c>
    </row>
    <row r="98" spans="1:8" ht="14.1" customHeight="1">
      <c r="A98" s="29" t="str">
        <f>[1]McAfee!A21</f>
        <v>McAfee USB-ST02-16GBPF - 64GB</v>
      </c>
      <c r="B98" s="7">
        <f>[1]McAfee!B21</f>
        <v>0</v>
      </c>
      <c r="C98" s="8">
        <f>[1]McAfee!D21</f>
        <v>0</v>
      </c>
      <c r="D98" s="9">
        <f>[1]McAfee!E21</f>
        <v>0</v>
      </c>
      <c r="E98" s="9">
        <f>[1]McAfee!F21</f>
        <v>0</v>
      </c>
      <c r="F98" s="10">
        <f>[1]McAfee!G21</f>
        <v>851.61</v>
      </c>
      <c r="G98" s="10">
        <f>[1]McAfee!H21</f>
        <v>851.61</v>
      </c>
      <c r="H98" s="10">
        <f>[1]McAfee!I21</f>
        <v>851.61</v>
      </c>
    </row>
    <row r="99" spans="1:8" ht="14.1" customHeight="1">
      <c r="A99" s="29" t="str">
        <f>[1]McAfee!A23</f>
        <v>McAfee 64GB Encrypted USB STD 10U+</v>
      </c>
      <c r="B99" s="7">
        <f>[1]McAfee!B23</f>
        <v>0</v>
      </c>
      <c r="C99" s="8">
        <f>[1]McAfee!D23</f>
        <v>0</v>
      </c>
      <c r="D99" s="9">
        <f>[1]McAfee!E23</f>
        <v>0</v>
      </c>
      <c r="E99" s="9">
        <f>[1]McAfee!F23</f>
        <v>0</v>
      </c>
      <c r="F99" s="10">
        <f>[1]McAfee!G23</f>
        <v>0</v>
      </c>
      <c r="G99" s="10">
        <f>[1]McAfee!H23</f>
        <v>0</v>
      </c>
      <c r="H99" s="10">
        <f>[1]McAfee!I23</f>
        <v>0</v>
      </c>
    </row>
    <row r="100" spans="1:8" ht="14.1" customHeight="1" thickBot="1">
      <c r="A100" s="31" t="str">
        <f>[1]McAfee!A30</f>
        <v>McAfee BiometricEncrypted USB-BIO2-64GBMF</v>
      </c>
      <c r="B100" s="7">
        <f>[1]McAfee!B30</f>
        <v>0</v>
      </c>
      <c r="C100" s="8">
        <f>[1]McAfee!D30</f>
        <v>632.37</v>
      </c>
      <c r="D100" s="9">
        <f>[1]McAfee!E30</f>
        <v>0</v>
      </c>
      <c r="E100" s="9">
        <f>[1]McAfee!F30</f>
        <v>0</v>
      </c>
      <c r="F100" s="10">
        <f>[1]McAfee!G30</f>
        <v>478.39</v>
      </c>
      <c r="G100" s="10">
        <f>[1]McAfee!H30</f>
        <v>461.51</v>
      </c>
      <c r="H100" s="10">
        <f>[1]McAfee!I30</f>
        <v>438.99</v>
      </c>
    </row>
    <row r="101" spans="1:8" ht="14.1" customHeight="1" thickBot="1">
      <c r="A101" s="6" t="s">
        <v>12</v>
      </c>
      <c r="B101" s="7"/>
      <c r="C101" s="8"/>
      <c r="D101" s="9"/>
      <c r="E101" s="9"/>
      <c r="F101" s="10"/>
      <c r="G101" s="10"/>
      <c r="H101" s="10"/>
    </row>
    <row r="102" spans="1:8" ht="14.1" customHeight="1">
      <c r="A102" s="32" t="str">
        <f>[1]Kangaru!A10</f>
        <v>Kanguru Defender Elite KDFE -  128GB</v>
      </c>
      <c r="B102" s="7">
        <f>[1]Kangaru!B10</f>
        <v>461.69</v>
      </c>
      <c r="C102" s="8">
        <f>[1]Kangaru!D10</f>
        <v>442.37</v>
      </c>
      <c r="D102" s="9"/>
      <c r="E102" s="9"/>
      <c r="F102" s="10"/>
      <c r="G102" s="10"/>
      <c r="H102" s="10"/>
    </row>
    <row r="103" spans="1:8" ht="14.1" customHeight="1">
      <c r="A103" s="29" t="str">
        <f>[1]Kangaru!A21</f>
        <v>Kanguru Defender V2 KDV2 - 128GB</v>
      </c>
      <c r="B103" s="7">
        <f>[1]Kangaru!B21</f>
        <v>327.11</v>
      </c>
      <c r="C103" s="8">
        <f>[1]Kangaru!D21</f>
        <v>354.64</v>
      </c>
      <c r="D103" s="9"/>
      <c r="E103" s="9"/>
      <c r="F103" s="10"/>
      <c r="G103" s="10"/>
      <c r="H103" s="10"/>
    </row>
    <row r="104" spans="1:8" ht="14.1" customHeight="1">
      <c r="A104" s="29" t="str">
        <f>[1]Kangaru!A24</f>
        <v>Kanguru Defender VM-KDF3000 - 128GB</v>
      </c>
      <c r="B104" s="7">
        <f>[1]Kangaru!B24</f>
        <v>0</v>
      </c>
      <c r="C104" s="8">
        <f>[1]Kangaru!D24</f>
        <v>0</v>
      </c>
      <c r="D104" s="9"/>
      <c r="E104" s="9"/>
      <c r="F104" s="10"/>
      <c r="G104" s="10"/>
      <c r="H104" s="10"/>
    </row>
    <row r="105" spans="1:8" ht="14.1" customHeight="1">
      <c r="A105" s="33" t="str">
        <f>[1]Kangaru!A32</f>
        <v>Kanguru Defender Basic KDFB-128G - 128GB</v>
      </c>
      <c r="B105" s="12">
        <f>[1]Kangaru!B32</f>
        <v>312.38</v>
      </c>
      <c r="C105" s="8">
        <f>[1]Kangaru!D32</f>
        <v>314.27</v>
      </c>
      <c r="D105" s="9"/>
      <c r="E105" s="9"/>
      <c r="F105" s="10"/>
      <c r="G105" s="10"/>
      <c r="H105" s="10"/>
    </row>
    <row r="106" spans="1:8" ht="14.1" customHeight="1">
      <c r="A106" s="29"/>
      <c r="B106" s="7"/>
      <c r="C106" s="8"/>
      <c r="D106" s="9"/>
      <c r="E106" s="9"/>
      <c r="F106" s="10"/>
      <c r="G106" s="10"/>
      <c r="H106" s="10"/>
    </row>
    <row r="107" spans="1:8" ht="14.1" customHeight="1" thickBot="1">
      <c r="A107" s="31"/>
      <c r="B107" s="7"/>
      <c r="C107" s="8"/>
      <c r="D107" s="9"/>
      <c r="E107" s="9"/>
      <c r="F107" s="10"/>
      <c r="G107" s="10"/>
      <c r="H107" s="10"/>
    </row>
    <row r="108" spans="1:8" ht="14.1" customHeight="1" thickBot="1">
      <c r="A108" s="6" t="s">
        <v>13</v>
      </c>
      <c r="B108" s="7"/>
      <c r="C108" s="8"/>
      <c r="D108" s="9"/>
      <c r="E108" s="9"/>
      <c r="F108" s="10"/>
      <c r="G108" s="10"/>
      <c r="H108" s="10"/>
    </row>
    <row r="109" spans="1:8" ht="24.75" customHeight="1">
      <c r="A109" s="34" t="s">
        <v>14</v>
      </c>
      <c r="B109" s="35">
        <v>18.68</v>
      </c>
      <c r="C109" s="35">
        <v>20.59</v>
      </c>
      <c r="D109" s="36">
        <v>17.28</v>
      </c>
      <c r="E109" s="37" t="s">
        <v>15</v>
      </c>
      <c r="F109" s="38"/>
      <c r="G109" s="38"/>
      <c r="H109" s="38"/>
    </row>
    <row r="110" spans="1:8" ht="24" customHeight="1">
      <c r="A110" s="39" t="s">
        <v>16</v>
      </c>
      <c r="B110" s="35">
        <v>35.090000000000003</v>
      </c>
      <c r="C110" s="35">
        <v>40.200000000000003</v>
      </c>
      <c r="D110" s="36">
        <v>32.4</v>
      </c>
      <c r="E110" s="37" t="s">
        <v>17</v>
      </c>
      <c r="F110" s="38"/>
      <c r="G110" s="38"/>
      <c r="H110" s="38"/>
    </row>
    <row r="111" spans="1:8" ht="24.75" customHeight="1">
      <c r="A111" s="39" t="s">
        <v>18</v>
      </c>
      <c r="B111" s="35">
        <v>46.39</v>
      </c>
      <c r="C111" s="35">
        <v>53.8</v>
      </c>
      <c r="D111" s="36">
        <v>43.2</v>
      </c>
      <c r="E111" s="37" t="s">
        <v>19</v>
      </c>
      <c r="F111" s="38"/>
      <c r="G111" s="38"/>
      <c r="H111" s="38"/>
    </row>
    <row r="112" spans="1:8" ht="12.75" customHeight="1">
      <c r="A112" s="38" t="s">
        <v>20</v>
      </c>
      <c r="B112" s="38"/>
      <c r="C112" s="8">
        <v>4227.1000000000004</v>
      </c>
      <c r="D112" s="40"/>
      <c r="E112" s="40"/>
      <c r="F112" s="38"/>
      <c r="G112" s="38"/>
      <c r="H112" s="38"/>
    </row>
    <row r="113" spans="1:8" ht="6" customHeight="1">
      <c r="A113" s="41"/>
      <c r="B113" s="41"/>
      <c r="C113" s="41"/>
      <c r="D113" s="42"/>
    </row>
    <row r="114" spans="1:8">
      <c r="A114" s="40" t="str">
        <f>[1]Kangaru!A34</f>
        <v>Kanguru Remote Management Console per device</v>
      </c>
      <c r="B114" s="38">
        <f>[1]Kangaru!B34</f>
        <v>11.66</v>
      </c>
      <c r="C114" s="38">
        <f>[1]Kangaru!D34</f>
        <v>18.190000000000001</v>
      </c>
      <c r="D114" s="40"/>
      <c r="E114" s="38"/>
      <c r="F114" s="38"/>
      <c r="G114" s="38"/>
      <c r="H114" s="38"/>
    </row>
    <row r="115" spans="1:8">
      <c r="A115" s="40" t="str">
        <f>[1]Kangaru!A35</f>
        <v>1 YR ADDL WARR Kanguru Defender</v>
      </c>
      <c r="B115" s="38">
        <f>[1]Kangaru!B35</f>
        <v>0</v>
      </c>
      <c r="C115" s="38">
        <f>[1]Kangaru!D35</f>
        <v>0</v>
      </c>
      <c r="D115" s="40"/>
      <c r="E115" s="38"/>
      <c r="F115" s="38"/>
      <c r="G115" s="38"/>
      <c r="H115" s="38"/>
    </row>
    <row r="116" spans="1:8">
      <c r="A116" s="38" t="str">
        <f>[1]Kangaru!A36</f>
        <v>2YR EXTENDED WARR FOR KCLONE</v>
      </c>
      <c r="B116" s="38">
        <f>[1]Kangaru!B36</f>
        <v>0</v>
      </c>
      <c r="C116" s="38">
        <f>[1]Kangaru!D36</f>
        <v>0</v>
      </c>
      <c r="D116" s="40"/>
      <c r="E116" s="38"/>
      <c r="F116" s="38"/>
      <c r="G116" s="38"/>
      <c r="H116" s="38"/>
    </row>
    <row r="117" spans="1:8">
      <c r="A117" s="38" t="str">
        <f>[1]Kangaru!A37</f>
        <v>1 year KRMC Maintenance-per device</v>
      </c>
      <c r="B117" s="38">
        <f>[1]Kangaru!B37</f>
        <v>2.35</v>
      </c>
      <c r="C117" s="38">
        <f>[1]Kangaru!D37</f>
        <v>0</v>
      </c>
      <c r="D117" s="40"/>
      <c r="E117" s="38"/>
      <c r="F117" s="38"/>
      <c r="G117" s="38"/>
      <c r="H117" s="38"/>
    </row>
    <row r="118" spans="1:8">
      <c r="A118" s="38" t="str">
        <f>[1]Kangaru!A38</f>
        <v>AntiVirus Renewal-1yr-per device</v>
      </c>
      <c r="B118" s="38">
        <f>[1]Kangaru!B38</f>
        <v>5.83</v>
      </c>
      <c r="C118" s="38">
        <f>[1]Kangaru!D38</f>
        <v>0</v>
      </c>
      <c r="D118" s="40"/>
      <c r="E118" s="38"/>
      <c r="F118" s="38"/>
      <c r="G118" s="38"/>
      <c r="H118" s="38"/>
    </row>
    <row r="119" spans="1:8">
      <c r="A119" s="41"/>
      <c r="B119" s="41"/>
      <c r="C119" s="41"/>
      <c r="D119" s="42"/>
    </row>
    <row r="120" spans="1:8">
      <c r="A120" s="41"/>
      <c r="B120" s="41"/>
      <c r="C120" s="41"/>
      <c r="D120" s="42"/>
    </row>
    <row r="121" spans="1:8">
      <c r="A121" s="41"/>
      <c r="B121" s="41"/>
      <c r="C121" s="41"/>
      <c r="D121" s="42"/>
    </row>
    <row r="122" spans="1:8">
      <c r="A122" s="41"/>
      <c r="B122" s="41"/>
      <c r="C122" s="41"/>
      <c r="D122" s="42"/>
    </row>
    <row r="123" spans="1:8">
      <c r="A123" s="41"/>
      <c r="B123" s="41"/>
      <c r="C123" s="41"/>
      <c r="D123" s="42"/>
    </row>
    <row r="124" spans="1:8">
      <c r="A124" s="41"/>
      <c r="B124" s="41"/>
      <c r="C124" s="41"/>
      <c r="D124" s="42"/>
    </row>
    <row r="125" spans="1:8">
      <c r="A125" s="41"/>
      <c r="B125" s="41"/>
      <c r="C125" s="41"/>
      <c r="D125" s="42"/>
    </row>
    <row r="126" spans="1:8">
      <c r="A126" s="41"/>
      <c r="B126" s="41"/>
      <c r="C126" s="41"/>
      <c r="D126" s="42"/>
    </row>
    <row r="127" spans="1:8">
      <c r="A127" s="41"/>
      <c r="B127" s="41"/>
      <c r="C127" s="41"/>
      <c r="D127" s="42"/>
    </row>
    <row r="128" spans="1:8">
      <c r="A128" s="41"/>
      <c r="B128" s="41"/>
      <c r="C128" s="41"/>
      <c r="D128" s="42"/>
    </row>
    <row r="129" spans="1:4">
      <c r="A129" s="41"/>
      <c r="B129" s="41"/>
      <c r="C129" s="41"/>
      <c r="D129" s="42"/>
    </row>
    <row r="130" spans="1:4">
      <c r="A130" s="41"/>
      <c r="B130" s="41"/>
      <c r="C130" s="41"/>
      <c r="D130" s="42"/>
    </row>
    <row r="131" spans="1:4">
      <c r="A131" s="41"/>
      <c r="B131" s="41"/>
      <c r="C131" s="41"/>
      <c r="D131" s="42"/>
    </row>
    <row r="132" spans="1:4">
      <c r="A132" s="41"/>
      <c r="B132" s="41"/>
      <c r="C132" s="41"/>
      <c r="D132" s="42"/>
    </row>
    <row r="133" spans="1:4">
      <c r="A133" s="41"/>
      <c r="B133" s="41"/>
      <c r="C133" s="41"/>
      <c r="D133" s="42"/>
    </row>
    <row r="134" spans="1:4">
      <c r="A134" s="41"/>
      <c r="B134" s="41"/>
      <c r="C134" s="41"/>
      <c r="D134" s="42"/>
    </row>
    <row r="135" spans="1:4">
      <c r="A135" s="41"/>
      <c r="B135" s="41"/>
      <c r="C135" s="41"/>
      <c r="D135" s="42"/>
    </row>
    <row r="136" spans="1:4">
      <c r="A136" s="41"/>
      <c r="B136" s="41"/>
      <c r="C136" s="41"/>
      <c r="D136" s="42"/>
    </row>
    <row r="137" spans="1:4">
      <c r="A137" s="41"/>
      <c r="B137" s="41"/>
      <c r="C137" s="41"/>
      <c r="D137" s="42"/>
    </row>
    <row r="138" spans="1:4">
      <c r="A138" s="41"/>
      <c r="B138" s="41"/>
      <c r="C138" s="41"/>
      <c r="D138" s="42"/>
    </row>
    <row r="139" spans="1:4">
      <c r="A139" s="41"/>
      <c r="B139" s="41"/>
      <c r="C139" s="41"/>
      <c r="D139" s="42"/>
    </row>
    <row r="140" spans="1:4">
      <c r="A140" s="41"/>
      <c r="B140" s="41"/>
      <c r="C140" s="41"/>
      <c r="D140" s="42"/>
    </row>
    <row r="141" spans="1:4">
      <c r="A141" s="41"/>
      <c r="B141" s="41"/>
      <c r="C141" s="41"/>
      <c r="D141" s="42"/>
    </row>
    <row r="142" spans="1:4">
      <c r="A142" s="41"/>
      <c r="B142" s="41"/>
      <c r="C142" s="41"/>
      <c r="D142" s="42"/>
    </row>
    <row r="143" spans="1:4">
      <c r="A143" s="41"/>
      <c r="B143" s="41"/>
      <c r="C143" s="41"/>
      <c r="D143" s="42"/>
    </row>
    <row r="144" spans="1:4">
      <c r="A144" s="41"/>
      <c r="B144" s="41"/>
      <c r="C144" s="41"/>
      <c r="D144" s="42"/>
    </row>
    <row r="145" spans="1:4">
      <c r="A145" s="41"/>
      <c r="B145" s="41"/>
      <c r="C145" s="41"/>
      <c r="D145" s="42"/>
    </row>
    <row r="146" spans="1:4">
      <c r="A146" s="41"/>
      <c r="B146" s="41"/>
      <c r="C146" s="41"/>
      <c r="D146" s="42"/>
    </row>
    <row r="147" spans="1:4">
      <c r="A147" s="41"/>
      <c r="B147" s="41"/>
      <c r="C147" s="41"/>
      <c r="D147" s="42"/>
    </row>
    <row r="148" spans="1:4">
      <c r="A148" s="41"/>
      <c r="B148" s="41"/>
      <c r="C148" s="41"/>
      <c r="D148" s="42"/>
    </row>
    <row r="149" spans="1:4">
      <c r="A149" s="41"/>
      <c r="B149" s="41"/>
      <c r="C149" s="41"/>
      <c r="D149" s="42"/>
    </row>
    <row r="150" spans="1:4">
      <c r="A150" s="41"/>
      <c r="B150" s="41"/>
      <c r="C150" s="41"/>
      <c r="D150" s="42"/>
    </row>
    <row r="151" spans="1:4">
      <c r="A151" s="41"/>
      <c r="B151" s="41"/>
      <c r="C151" s="41"/>
      <c r="D151" s="42"/>
    </row>
    <row r="152" spans="1:4">
      <c r="A152" s="41"/>
      <c r="B152" s="41"/>
      <c r="C152" s="41"/>
      <c r="D152" s="42"/>
    </row>
    <row r="153" spans="1:4">
      <c r="A153" s="41"/>
      <c r="B153" s="41"/>
      <c r="C153" s="41"/>
      <c r="D153" s="42"/>
    </row>
    <row r="154" spans="1:4">
      <c r="A154" s="41"/>
      <c r="B154" s="41"/>
      <c r="C154" s="41"/>
      <c r="D154" s="42"/>
    </row>
    <row r="155" spans="1:4">
      <c r="A155" s="41"/>
      <c r="B155" s="41"/>
      <c r="C155" s="41"/>
      <c r="D155" s="42"/>
    </row>
    <row r="156" spans="1:4">
      <c r="A156" s="41"/>
      <c r="B156" s="41"/>
      <c r="C156" s="41"/>
      <c r="D156" s="42"/>
    </row>
    <row r="157" spans="1:4">
      <c r="A157" s="41"/>
      <c r="B157" s="41"/>
      <c r="C157" s="41"/>
      <c r="D157" s="42"/>
    </row>
    <row r="158" spans="1:4">
      <c r="A158" s="41"/>
      <c r="B158" s="41"/>
      <c r="C158" s="41"/>
      <c r="D158" s="42"/>
    </row>
    <row r="159" spans="1:4">
      <c r="A159" s="41"/>
      <c r="B159" s="41"/>
      <c r="C159" s="41"/>
      <c r="D159" s="42"/>
    </row>
    <row r="160" spans="1:4">
      <c r="A160" s="41"/>
      <c r="B160" s="41"/>
      <c r="C160" s="41"/>
      <c r="D160" s="42"/>
    </row>
    <row r="161" spans="1:4">
      <c r="A161" s="41"/>
      <c r="B161" s="41"/>
      <c r="C161" s="41"/>
      <c r="D161" s="42"/>
    </row>
    <row r="162" spans="1:4">
      <c r="A162" s="41"/>
      <c r="B162" s="41"/>
      <c r="C162" s="41"/>
      <c r="D162" s="42"/>
    </row>
    <row r="163" spans="1:4">
      <c r="A163" s="41"/>
      <c r="B163" s="41"/>
      <c r="C163" s="41"/>
      <c r="D163" s="42"/>
    </row>
    <row r="164" spans="1:4">
      <c r="A164" s="41"/>
      <c r="B164" s="41"/>
      <c r="C164" s="41"/>
      <c r="D164" s="42"/>
    </row>
  </sheetData>
  <pageMargins left="0.17" right="0.23" top="0.31" bottom="0.28999999999999998" header="0.18" footer="0.19"/>
  <pageSetup paperSize="5" scale="8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Rowland</dc:creator>
  <cp:lastModifiedBy>Gary Rowland</cp:lastModifiedBy>
  <dcterms:created xsi:type="dcterms:W3CDTF">2012-04-18T18:11:38Z</dcterms:created>
  <dcterms:modified xsi:type="dcterms:W3CDTF">2012-06-04T16:56:06Z</dcterms:modified>
</cp:coreProperties>
</file>